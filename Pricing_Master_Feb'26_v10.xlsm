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threadedComments/threadedComment1.xml" ContentType="application/vnd.ms-excel.threadedcomments+xml"/>
  <Override PartName="/xl/comments8.xml" ContentType="application/vnd.openxmlformats-officedocument.spreadsheetml.comments+xml"/>
  <Override PartName="/xl/threadedComments/threadedComment2.xml" ContentType="application/vnd.ms-excel.threadedcomments+xml"/>
  <Override PartName="/xl/comments9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firstsourcenew-my.sharepoint.com/personal/dipanjansi_firstsource_com/Documents/Desktop/Rate Card/Automation Project _Chennai_Feb'26/"/>
    </mc:Choice>
  </mc:AlternateContent>
  <xr:revisionPtr revIDLastSave="1172" documentId="8_{02A4F619-FE0A-48C2-A59D-2E6E163DD875}" xr6:coauthVersionLast="47" xr6:coauthVersionMax="47" xr10:uidLastSave="{DBF62816-68A0-4326-A328-0E560CA6DF6A}"/>
  <workbookProtection workbookAlgorithmName="SHA-512" workbookHashValue="uXCpPDwhOwZAHhCNVgNNwU2stANQmptR6UnHEjk0bHRC3vT6Z+tpgqAx34gtQYkjKhkFgFKppyx3Y2CNVt+4JQ==" workbookSaltValue="oX1CJkksSmwvOBEMCb5o3g==" workbookSpinCount="100000" lockStructure="1"/>
  <bookViews>
    <workbookView xWindow="60" yWindow="20" windowWidth="19140" windowHeight="10060" tabRatio="958" firstSheet="1" activeTab="6" xr2:uid="{00000000-000D-0000-FFFF-FFFF00000000}"/>
  </bookViews>
  <sheets>
    <sheet name="PPT (2)" sheetId="86" state="hidden" r:id="rId1"/>
    <sheet name="Cost Summary" sheetId="2" r:id="rId2"/>
    <sheet name="Rate Chart" sheetId="85" state="hidden" r:id="rId3"/>
    <sheet name="PPT" sheetId="84" state="hidden" r:id="rId4"/>
    <sheet name="Threshold Guidance" sheetId="87" r:id="rId5"/>
    <sheet name="SF Details" sheetId="88" state="hidden" r:id="rId6"/>
    <sheet name="Summary" sheetId="47" r:id="rId7"/>
    <sheet name="P&amp;L" sheetId="8" state="hidden" r:id="rId8"/>
    <sheet name="Rev." sheetId="7" state="hidden" r:id="rId9"/>
    <sheet name="Data" sheetId="9" r:id="rId10"/>
    <sheet name="Data Master" sheetId="66" r:id="rId11"/>
    <sheet name="US Salary" sheetId="69" r:id="rId12"/>
    <sheet name="UK Salary" sheetId="67" r:id="rId13"/>
    <sheet name="SA Salary" sheetId="71" r:id="rId14"/>
    <sheet name="Salary Maxico" sheetId="74" r:id="rId15"/>
    <sheet name="Mexico Salary" sheetId="89" r:id="rId16"/>
    <sheet name="Aus Salary" sheetId="76" r:id="rId17"/>
    <sheet name="T&amp;T Salary" sheetId="70" r:id="rId18"/>
    <sheet name="ROM Salary" sheetId="72" r:id="rId19"/>
    <sheet name="Salary PHP" sheetId="73" r:id="rId20"/>
    <sheet name="IND Salary" sheetId="75" r:id="rId21"/>
    <sheet name="BOM - AUS" sheetId="77" r:id="rId22"/>
    <sheet name="BOM-IND" sheetId="78" r:id="rId23"/>
    <sheet name="BOM-UK" sheetId="83" r:id="rId24"/>
    <sheet name="BOM-SA" sheetId="82" r:id="rId25"/>
    <sheet name="BOM-ROM,T&amp;T,US" sheetId="81" r:id="rId26"/>
    <sheet name="BOM-Phil" sheetId="80" r:id="rId27"/>
    <sheet name="BOM-Mexico" sheetId="79" r:id="rId28"/>
    <sheet name="Shrinkage" sheetId="33" state="hidden" r:id="rId29"/>
    <sheet name="FSL Confidential" sheetId="42" state="hidden" r:id="rId30"/>
  </sheets>
  <definedNames>
    <definedName name="______________DAT10" localSheetId="16">#REF!</definedName>
    <definedName name="______________DAT10" localSheetId="20">#REF!</definedName>
    <definedName name="______________DAT10" localSheetId="18">#REF!</definedName>
    <definedName name="______________DAT10" localSheetId="13">#REF!</definedName>
    <definedName name="______________DAT10" localSheetId="14">#REF!</definedName>
    <definedName name="______________DAT10" localSheetId="19">#REF!</definedName>
    <definedName name="______________DAT10" localSheetId="17">#REF!</definedName>
    <definedName name="______________DAT10" localSheetId="12">#REF!</definedName>
    <definedName name="______________DAT10" localSheetId="11">#REF!</definedName>
    <definedName name="______________DAT10">#REF!</definedName>
    <definedName name="______________DAT11" localSheetId="16">#REF!</definedName>
    <definedName name="______________DAT11" localSheetId="20">#REF!</definedName>
    <definedName name="______________DAT11" localSheetId="18">#REF!</definedName>
    <definedName name="______________DAT11" localSheetId="13">#REF!</definedName>
    <definedName name="______________DAT11" localSheetId="14">#REF!</definedName>
    <definedName name="______________DAT11" localSheetId="19">#REF!</definedName>
    <definedName name="______________DAT11" localSheetId="17">#REF!</definedName>
    <definedName name="______________DAT11" localSheetId="12">#REF!</definedName>
    <definedName name="______________DAT11" localSheetId="11">#REF!</definedName>
    <definedName name="______________DAT11">#REF!</definedName>
    <definedName name="______________DAT12" localSheetId="18">#REF!</definedName>
    <definedName name="______________DAT12" localSheetId="13">#REF!</definedName>
    <definedName name="______________DAT12" localSheetId="17">#REF!</definedName>
    <definedName name="______________DAT12" localSheetId="11">#REF!</definedName>
    <definedName name="______________DAT12">#REF!</definedName>
    <definedName name="______________DAT13" localSheetId="18">#REF!</definedName>
    <definedName name="______________DAT13" localSheetId="13">#REF!</definedName>
    <definedName name="______________DAT13" localSheetId="17">#REF!</definedName>
    <definedName name="______________DAT13" localSheetId="11">#REF!</definedName>
    <definedName name="______________DAT13">#REF!</definedName>
    <definedName name="______________DAT14" localSheetId="18">#REF!</definedName>
    <definedName name="______________DAT14" localSheetId="13">#REF!</definedName>
    <definedName name="______________DAT14" localSheetId="17">#REF!</definedName>
    <definedName name="______________DAT14" localSheetId="11">#REF!</definedName>
    <definedName name="______________DAT14">#REF!</definedName>
    <definedName name="_____________DAT10" localSheetId="18">#REF!</definedName>
    <definedName name="_____________DAT10" localSheetId="13">#REF!</definedName>
    <definedName name="_____________DAT10" localSheetId="17">#REF!</definedName>
    <definedName name="_____________DAT10" localSheetId="11">#REF!</definedName>
    <definedName name="_____________DAT10">#REF!</definedName>
    <definedName name="_____________DAT11" localSheetId="18">#REF!</definedName>
    <definedName name="_____________DAT11" localSheetId="13">#REF!</definedName>
    <definedName name="_____________DAT11" localSheetId="17">#REF!</definedName>
    <definedName name="_____________DAT11" localSheetId="11">#REF!</definedName>
    <definedName name="_____________DAT11">#REF!</definedName>
    <definedName name="_____________DAT12" localSheetId="18">#REF!</definedName>
    <definedName name="_____________DAT12" localSheetId="13">#REF!</definedName>
    <definedName name="_____________DAT12" localSheetId="17">#REF!</definedName>
    <definedName name="_____________DAT12" localSheetId="11">#REF!</definedName>
    <definedName name="_____________DAT12">#REF!</definedName>
    <definedName name="_____________DAT13" localSheetId="18">#REF!</definedName>
    <definedName name="_____________DAT13" localSheetId="13">#REF!</definedName>
    <definedName name="_____________DAT13" localSheetId="17">#REF!</definedName>
    <definedName name="_____________DAT13" localSheetId="11">#REF!</definedName>
    <definedName name="_____________DAT13">#REF!</definedName>
    <definedName name="_____________DAT14" localSheetId="18">#REF!</definedName>
    <definedName name="_____________DAT14" localSheetId="13">#REF!</definedName>
    <definedName name="_____________DAT14" localSheetId="17">#REF!</definedName>
    <definedName name="_____________DAT14" localSheetId="11">#REF!</definedName>
    <definedName name="_____________DAT14">#REF!</definedName>
    <definedName name="___________DAT1" localSheetId="18">#REF!</definedName>
    <definedName name="___________DAT1" localSheetId="13">#REF!</definedName>
    <definedName name="___________DAT1" localSheetId="17">#REF!</definedName>
    <definedName name="___________DAT1" localSheetId="11">#REF!</definedName>
    <definedName name="___________DAT1">#REF!</definedName>
    <definedName name="___________DAT2" localSheetId="18">#REF!</definedName>
    <definedName name="___________DAT2" localSheetId="13">#REF!</definedName>
    <definedName name="___________DAT2" localSheetId="17">#REF!</definedName>
    <definedName name="___________DAT2" localSheetId="11">#REF!</definedName>
    <definedName name="___________DAT2">#REF!</definedName>
    <definedName name="___________DAT3" localSheetId="18">#REF!</definedName>
    <definedName name="___________DAT3" localSheetId="13">#REF!</definedName>
    <definedName name="___________DAT3" localSheetId="17">#REF!</definedName>
    <definedName name="___________DAT3" localSheetId="11">#REF!</definedName>
    <definedName name="___________DAT3">#REF!</definedName>
    <definedName name="___________DAT4" localSheetId="18">#REF!</definedName>
    <definedName name="___________DAT4" localSheetId="13">#REF!</definedName>
    <definedName name="___________DAT4" localSheetId="17">#REF!</definedName>
    <definedName name="___________DAT4" localSheetId="11">#REF!</definedName>
    <definedName name="___________DAT4">#REF!</definedName>
    <definedName name="___________DAT5" localSheetId="18">#REF!</definedName>
    <definedName name="___________DAT5" localSheetId="13">#REF!</definedName>
    <definedName name="___________DAT5" localSheetId="17">#REF!</definedName>
    <definedName name="___________DAT5" localSheetId="11">#REF!</definedName>
    <definedName name="___________DAT5">#REF!</definedName>
    <definedName name="___________DAT6" localSheetId="18">#REF!</definedName>
    <definedName name="___________DAT6" localSheetId="13">#REF!</definedName>
    <definedName name="___________DAT6" localSheetId="17">#REF!</definedName>
    <definedName name="___________DAT6" localSheetId="11">#REF!</definedName>
    <definedName name="___________DAT6">#REF!</definedName>
    <definedName name="___________DAT7" localSheetId="18">#REF!</definedName>
    <definedName name="___________DAT7" localSheetId="13">#REF!</definedName>
    <definedName name="___________DAT7" localSheetId="17">#REF!</definedName>
    <definedName name="___________DAT7" localSheetId="11">#REF!</definedName>
    <definedName name="___________DAT7">#REF!</definedName>
    <definedName name="___________DAT8" localSheetId="18">#REF!</definedName>
    <definedName name="___________DAT8" localSheetId="13">#REF!</definedName>
    <definedName name="___________DAT8" localSheetId="17">#REF!</definedName>
    <definedName name="___________DAT8" localSheetId="11">#REF!</definedName>
    <definedName name="___________DAT8">#REF!</definedName>
    <definedName name="___________DAT9" localSheetId="18">#REF!</definedName>
    <definedName name="___________DAT9" localSheetId="13">#REF!</definedName>
    <definedName name="___________DAT9" localSheetId="17">#REF!</definedName>
    <definedName name="___________DAT9" localSheetId="11">#REF!</definedName>
    <definedName name="___________DAT9">#REF!</definedName>
    <definedName name="__________DAT1" localSheetId="18">#REF!</definedName>
    <definedName name="__________DAT1" localSheetId="13">#REF!</definedName>
    <definedName name="__________DAT1" localSheetId="17">#REF!</definedName>
    <definedName name="__________DAT1" localSheetId="11">#REF!</definedName>
    <definedName name="__________DAT1">#REF!</definedName>
    <definedName name="__________DAT2" localSheetId="18">#REF!</definedName>
    <definedName name="__________DAT2" localSheetId="13">#REF!</definedName>
    <definedName name="__________DAT2" localSheetId="17">#REF!</definedName>
    <definedName name="__________DAT2" localSheetId="11">#REF!</definedName>
    <definedName name="__________DAT2">#REF!</definedName>
    <definedName name="__________DAT3" localSheetId="18">#REF!</definedName>
    <definedName name="__________DAT3" localSheetId="13">#REF!</definedName>
    <definedName name="__________DAT3" localSheetId="17">#REF!</definedName>
    <definedName name="__________DAT3" localSheetId="11">#REF!</definedName>
    <definedName name="__________DAT3">#REF!</definedName>
    <definedName name="__________DAT4" localSheetId="18">#REF!</definedName>
    <definedName name="__________DAT4" localSheetId="13">#REF!</definedName>
    <definedName name="__________DAT4" localSheetId="17">#REF!</definedName>
    <definedName name="__________DAT4" localSheetId="11">#REF!</definedName>
    <definedName name="__________DAT4">#REF!</definedName>
    <definedName name="__________DAT5" localSheetId="18">#REF!</definedName>
    <definedName name="__________DAT5" localSheetId="13">#REF!</definedName>
    <definedName name="__________DAT5" localSheetId="17">#REF!</definedName>
    <definedName name="__________DAT5" localSheetId="11">#REF!</definedName>
    <definedName name="__________DAT5">#REF!</definedName>
    <definedName name="__________DAT6" localSheetId="18">#REF!</definedName>
    <definedName name="__________DAT6" localSheetId="13">#REF!</definedName>
    <definedName name="__________DAT6" localSheetId="17">#REF!</definedName>
    <definedName name="__________DAT6" localSheetId="11">#REF!</definedName>
    <definedName name="__________DAT6">#REF!</definedName>
    <definedName name="__________DAT7" localSheetId="18">#REF!</definedName>
    <definedName name="__________DAT7" localSheetId="13">#REF!</definedName>
    <definedName name="__________DAT7" localSheetId="17">#REF!</definedName>
    <definedName name="__________DAT7" localSheetId="11">#REF!</definedName>
    <definedName name="__________DAT7">#REF!</definedName>
    <definedName name="__________DAT8" localSheetId="18">#REF!</definedName>
    <definedName name="__________DAT8" localSheetId="13">#REF!</definedName>
    <definedName name="__________DAT8" localSheetId="17">#REF!</definedName>
    <definedName name="__________DAT8" localSheetId="11">#REF!</definedName>
    <definedName name="__________DAT8">#REF!</definedName>
    <definedName name="__________DAT9" localSheetId="18">#REF!</definedName>
    <definedName name="__________DAT9" localSheetId="13">#REF!</definedName>
    <definedName name="__________DAT9" localSheetId="17">#REF!</definedName>
    <definedName name="__________DAT9" localSheetId="11">#REF!</definedName>
    <definedName name="__________DAT9">#REF!</definedName>
    <definedName name="_________DAT1" localSheetId="18">#REF!</definedName>
    <definedName name="_________DAT1" localSheetId="13">#REF!</definedName>
    <definedName name="_________DAT1" localSheetId="17">#REF!</definedName>
    <definedName name="_________DAT1" localSheetId="11">#REF!</definedName>
    <definedName name="_________DAT1">#REF!</definedName>
    <definedName name="_________DAT10" localSheetId="18">#REF!</definedName>
    <definedName name="_________DAT10" localSheetId="13">#REF!</definedName>
    <definedName name="_________DAT10" localSheetId="17">#REF!</definedName>
    <definedName name="_________DAT10" localSheetId="11">#REF!</definedName>
    <definedName name="_________DAT10">#REF!</definedName>
    <definedName name="_________DAT11" localSheetId="18">#REF!</definedName>
    <definedName name="_________DAT11" localSheetId="13">#REF!</definedName>
    <definedName name="_________DAT11" localSheetId="17">#REF!</definedName>
    <definedName name="_________DAT11" localSheetId="11">#REF!</definedName>
    <definedName name="_________DAT11">#REF!</definedName>
    <definedName name="_________DAT12" localSheetId="18">#REF!</definedName>
    <definedName name="_________DAT12" localSheetId="13">#REF!</definedName>
    <definedName name="_________DAT12" localSheetId="17">#REF!</definedName>
    <definedName name="_________DAT12" localSheetId="11">#REF!</definedName>
    <definedName name="_________DAT12">#REF!</definedName>
    <definedName name="_________DAT13" localSheetId="18">#REF!</definedName>
    <definedName name="_________DAT13" localSheetId="13">#REF!</definedName>
    <definedName name="_________DAT13" localSheetId="17">#REF!</definedName>
    <definedName name="_________DAT13" localSheetId="11">#REF!</definedName>
    <definedName name="_________DAT13">#REF!</definedName>
    <definedName name="_________DAT14" localSheetId="18">#REF!</definedName>
    <definedName name="_________DAT14" localSheetId="13">#REF!</definedName>
    <definedName name="_________DAT14" localSheetId="17">#REF!</definedName>
    <definedName name="_________DAT14" localSheetId="11">#REF!</definedName>
    <definedName name="_________DAT14">#REF!</definedName>
    <definedName name="_________DAT2" localSheetId="18">#REF!</definedName>
    <definedName name="_________DAT2" localSheetId="13">#REF!</definedName>
    <definedName name="_________DAT2" localSheetId="17">#REF!</definedName>
    <definedName name="_________DAT2" localSheetId="11">#REF!</definedName>
    <definedName name="_________DAT2">#REF!</definedName>
    <definedName name="_________DAT3" localSheetId="18">#REF!</definedName>
    <definedName name="_________DAT3" localSheetId="13">#REF!</definedName>
    <definedName name="_________DAT3" localSheetId="17">#REF!</definedName>
    <definedName name="_________DAT3" localSheetId="11">#REF!</definedName>
    <definedName name="_________DAT3">#REF!</definedName>
    <definedName name="_________DAT4" localSheetId="18">#REF!</definedName>
    <definedName name="_________DAT4" localSheetId="13">#REF!</definedName>
    <definedName name="_________DAT4" localSheetId="17">#REF!</definedName>
    <definedName name="_________DAT4" localSheetId="11">#REF!</definedName>
    <definedName name="_________DAT4">#REF!</definedName>
    <definedName name="_________DAT5" localSheetId="18">#REF!</definedName>
    <definedName name="_________DAT5" localSheetId="13">#REF!</definedName>
    <definedName name="_________DAT5" localSheetId="17">#REF!</definedName>
    <definedName name="_________DAT5" localSheetId="11">#REF!</definedName>
    <definedName name="_________DAT5">#REF!</definedName>
    <definedName name="_________DAT6" localSheetId="18">#REF!</definedName>
    <definedName name="_________DAT6" localSheetId="13">#REF!</definedName>
    <definedName name="_________DAT6" localSheetId="17">#REF!</definedName>
    <definedName name="_________DAT6" localSheetId="11">#REF!</definedName>
    <definedName name="_________DAT6">#REF!</definedName>
    <definedName name="_________DAT7" localSheetId="18">#REF!</definedName>
    <definedName name="_________DAT7" localSheetId="13">#REF!</definedName>
    <definedName name="_________DAT7" localSheetId="17">#REF!</definedName>
    <definedName name="_________DAT7" localSheetId="11">#REF!</definedName>
    <definedName name="_________DAT7">#REF!</definedName>
    <definedName name="_________DAT8" localSheetId="18">#REF!</definedName>
    <definedName name="_________DAT8" localSheetId="13">#REF!</definedName>
    <definedName name="_________DAT8" localSheetId="17">#REF!</definedName>
    <definedName name="_________DAT8" localSheetId="11">#REF!</definedName>
    <definedName name="_________DAT8">#REF!</definedName>
    <definedName name="_________DAT9" localSheetId="18">#REF!</definedName>
    <definedName name="_________DAT9" localSheetId="13">#REF!</definedName>
    <definedName name="_________DAT9" localSheetId="17">#REF!</definedName>
    <definedName name="_________DAT9" localSheetId="11">#REF!</definedName>
    <definedName name="_________DAT9">#REF!</definedName>
    <definedName name="________DAT1" localSheetId="18">#REF!</definedName>
    <definedName name="________DAT1" localSheetId="13">#REF!</definedName>
    <definedName name="________DAT1" localSheetId="17">#REF!</definedName>
    <definedName name="________DAT1" localSheetId="11">#REF!</definedName>
    <definedName name="________DAT1">#REF!</definedName>
    <definedName name="________DAT10" localSheetId="18">#REF!</definedName>
    <definedName name="________DAT10" localSheetId="13">#REF!</definedName>
    <definedName name="________DAT10" localSheetId="17">#REF!</definedName>
    <definedName name="________DAT10" localSheetId="11">#REF!</definedName>
    <definedName name="________DAT10">#REF!</definedName>
    <definedName name="________DAT11" localSheetId="18">#REF!</definedName>
    <definedName name="________DAT11" localSheetId="13">#REF!</definedName>
    <definedName name="________DAT11" localSheetId="17">#REF!</definedName>
    <definedName name="________DAT11" localSheetId="11">#REF!</definedName>
    <definedName name="________DAT11">#REF!</definedName>
    <definedName name="________DAT12" localSheetId="18">#REF!</definedName>
    <definedName name="________DAT12" localSheetId="13">#REF!</definedName>
    <definedName name="________DAT12" localSheetId="17">#REF!</definedName>
    <definedName name="________DAT12" localSheetId="11">#REF!</definedName>
    <definedName name="________DAT12">#REF!</definedName>
    <definedName name="________DAT13" localSheetId="18">#REF!</definedName>
    <definedName name="________DAT13" localSheetId="13">#REF!</definedName>
    <definedName name="________DAT13" localSheetId="17">#REF!</definedName>
    <definedName name="________DAT13" localSheetId="11">#REF!</definedName>
    <definedName name="________DAT13">#REF!</definedName>
    <definedName name="________DAT14" localSheetId="18">#REF!</definedName>
    <definedName name="________DAT14" localSheetId="13">#REF!</definedName>
    <definedName name="________DAT14" localSheetId="17">#REF!</definedName>
    <definedName name="________DAT14" localSheetId="11">#REF!</definedName>
    <definedName name="________DAT14">#REF!</definedName>
    <definedName name="________DAT2" localSheetId="18">#REF!</definedName>
    <definedName name="________DAT2" localSheetId="13">#REF!</definedName>
    <definedName name="________DAT2" localSheetId="17">#REF!</definedName>
    <definedName name="________DAT2" localSheetId="11">#REF!</definedName>
    <definedName name="________DAT2">#REF!</definedName>
    <definedName name="________DAT3" localSheetId="18">#REF!</definedName>
    <definedName name="________DAT3" localSheetId="13">#REF!</definedName>
    <definedName name="________DAT3" localSheetId="17">#REF!</definedName>
    <definedName name="________DAT3" localSheetId="11">#REF!</definedName>
    <definedName name="________DAT3">#REF!</definedName>
    <definedName name="________DAT4" localSheetId="18">#REF!</definedName>
    <definedName name="________DAT4" localSheetId="13">#REF!</definedName>
    <definedName name="________DAT4" localSheetId="17">#REF!</definedName>
    <definedName name="________DAT4" localSheetId="11">#REF!</definedName>
    <definedName name="________DAT4">#REF!</definedName>
    <definedName name="________DAT5" localSheetId="18">#REF!</definedName>
    <definedName name="________DAT5" localSheetId="13">#REF!</definedName>
    <definedName name="________DAT5" localSheetId="17">#REF!</definedName>
    <definedName name="________DAT5" localSheetId="11">#REF!</definedName>
    <definedName name="________DAT5">#REF!</definedName>
    <definedName name="________DAT6" localSheetId="18">#REF!</definedName>
    <definedName name="________DAT6" localSheetId="13">#REF!</definedName>
    <definedName name="________DAT6" localSheetId="17">#REF!</definedName>
    <definedName name="________DAT6" localSheetId="11">#REF!</definedName>
    <definedName name="________DAT6">#REF!</definedName>
    <definedName name="________DAT7" localSheetId="18">#REF!</definedName>
    <definedName name="________DAT7" localSheetId="13">#REF!</definedName>
    <definedName name="________DAT7" localSheetId="17">#REF!</definedName>
    <definedName name="________DAT7" localSheetId="11">#REF!</definedName>
    <definedName name="________DAT7">#REF!</definedName>
    <definedName name="________DAT8" localSheetId="18">#REF!</definedName>
    <definedName name="________DAT8" localSheetId="13">#REF!</definedName>
    <definedName name="________DAT8" localSheetId="17">#REF!</definedName>
    <definedName name="________DAT8" localSheetId="11">#REF!</definedName>
    <definedName name="________DAT8">#REF!</definedName>
    <definedName name="________DAT9" localSheetId="18">#REF!</definedName>
    <definedName name="________DAT9" localSheetId="13">#REF!</definedName>
    <definedName name="________DAT9" localSheetId="17">#REF!</definedName>
    <definedName name="________DAT9" localSheetId="11">#REF!</definedName>
    <definedName name="________DAT9">#REF!</definedName>
    <definedName name="_______DAT1" localSheetId="18">#REF!</definedName>
    <definedName name="_______DAT1" localSheetId="13">#REF!</definedName>
    <definedName name="_______DAT1" localSheetId="17">#REF!</definedName>
    <definedName name="_______DAT1" localSheetId="11">#REF!</definedName>
    <definedName name="_______DAT1">#REF!</definedName>
    <definedName name="_______DAT10" localSheetId="18">#REF!</definedName>
    <definedName name="_______DAT10" localSheetId="13">#REF!</definedName>
    <definedName name="_______DAT10" localSheetId="17">#REF!</definedName>
    <definedName name="_______DAT10" localSheetId="11">#REF!</definedName>
    <definedName name="_______DAT10">#REF!</definedName>
    <definedName name="_______DAT11" localSheetId="18">#REF!</definedName>
    <definedName name="_______DAT11" localSheetId="13">#REF!</definedName>
    <definedName name="_______DAT11" localSheetId="17">#REF!</definedName>
    <definedName name="_______DAT11" localSheetId="11">#REF!</definedName>
    <definedName name="_______DAT11">#REF!</definedName>
    <definedName name="_______DAT12" localSheetId="18">#REF!</definedName>
    <definedName name="_______DAT12" localSheetId="13">#REF!</definedName>
    <definedName name="_______DAT12" localSheetId="17">#REF!</definedName>
    <definedName name="_______DAT12" localSheetId="11">#REF!</definedName>
    <definedName name="_______DAT12">#REF!</definedName>
    <definedName name="_______DAT13" localSheetId="18">#REF!</definedName>
    <definedName name="_______DAT13" localSheetId="13">#REF!</definedName>
    <definedName name="_______DAT13" localSheetId="17">#REF!</definedName>
    <definedName name="_______DAT13" localSheetId="11">#REF!</definedName>
    <definedName name="_______DAT13">#REF!</definedName>
    <definedName name="_______DAT14" localSheetId="18">#REF!</definedName>
    <definedName name="_______DAT14" localSheetId="13">#REF!</definedName>
    <definedName name="_______DAT14" localSheetId="17">#REF!</definedName>
    <definedName name="_______DAT14" localSheetId="11">#REF!</definedName>
    <definedName name="_______DAT14">#REF!</definedName>
    <definedName name="_______DAT2" localSheetId="18">#REF!</definedName>
    <definedName name="_______DAT2" localSheetId="13">#REF!</definedName>
    <definedName name="_______DAT2" localSheetId="17">#REF!</definedName>
    <definedName name="_______DAT2" localSheetId="11">#REF!</definedName>
    <definedName name="_______DAT2">#REF!</definedName>
    <definedName name="_______DAT3" localSheetId="18">#REF!</definedName>
    <definedName name="_______DAT3" localSheetId="13">#REF!</definedName>
    <definedName name="_______DAT3" localSheetId="17">#REF!</definedName>
    <definedName name="_______DAT3" localSheetId="11">#REF!</definedName>
    <definedName name="_______DAT3">#REF!</definedName>
    <definedName name="_______DAT4" localSheetId="18">#REF!</definedName>
    <definedName name="_______DAT4" localSheetId="13">#REF!</definedName>
    <definedName name="_______DAT4" localSheetId="17">#REF!</definedName>
    <definedName name="_______DAT4" localSheetId="11">#REF!</definedName>
    <definedName name="_______DAT4">#REF!</definedName>
    <definedName name="_______DAT5" localSheetId="18">#REF!</definedName>
    <definedName name="_______DAT5" localSheetId="13">#REF!</definedName>
    <definedName name="_______DAT5" localSheetId="17">#REF!</definedName>
    <definedName name="_______DAT5" localSheetId="11">#REF!</definedName>
    <definedName name="_______DAT5">#REF!</definedName>
    <definedName name="_______DAT6" localSheetId="18">#REF!</definedName>
    <definedName name="_______DAT6" localSheetId="13">#REF!</definedName>
    <definedName name="_______DAT6" localSheetId="17">#REF!</definedName>
    <definedName name="_______DAT6" localSheetId="11">#REF!</definedName>
    <definedName name="_______DAT6">#REF!</definedName>
    <definedName name="_______DAT7" localSheetId="18">#REF!</definedName>
    <definedName name="_______DAT7" localSheetId="13">#REF!</definedName>
    <definedName name="_______DAT7" localSheetId="17">#REF!</definedName>
    <definedName name="_______DAT7" localSheetId="11">#REF!</definedName>
    <definedName name="_______DAT7">#REF!</definedName>
    <definedName name="_______DAT8" localSheetId="18">#REF!</definedName>
    <definedName name="_______DAT8" localSheetId="13">#REF!</definedName>
    <definedName name="_______DAT8" localSheetId="17">#REF!</definedName>
    <definedName name="_______DAT8" localSheetId="11">#REF!</definedName>
    <definedName name="_______DAT8">#REF!</definedName>
    <definedName name="_______DAT9" localSheetId="18">#REF!</definedName>
    <definedName name="_______DAT9" localSheetId="13">#REF!</definedName>
    <definedName name="_______DAT9" localSheetId="17">#REF!</definedName>
    <definedName name="_______DAT9" localSheetId="11">#REF!</definedName>
    <definedName name="_______DAT9">#REF!</definedName>
    <definedName name="______DAT1" localSheetId="18">#REF!</definedName>
    <definedName name="______DAT1" localSheetId="13">#REF!</definedName>
    <definedName name="______DAT1" localSheetId="17">#REF!</definedName>
    <definedName name="______DAT1" localSheetId="11">#REF!</definedName>
    <definedName name="______DAT1">#REF!</definedName>
    <definedName name="______DAT10" localSheetId="18">#REF!</definedName>
    <definedName name="______DAT10" localSheetId="13">#REF!</definedName>
    <definedName name="______DAT10" localSheetId="17">#REF!</definedName>
    <definedName name="______DAT10" localSheetId="11">#REF!</definedName>
    <definedName name="______DAT10">#REF!</definedName>
    <definedName name="______DAT11" localSheetId="18">#REF!</definedName>
    <definedName name="______DAT11" localSheetId="13">#REF!</definedName>
    <definedName name="______DAT11" localSheetId="17">#REF!</definedName>
    <definedName name="______DAT11" localSheetId="11">#REF!</definedName>
    <definedName name="______DAT11">#REF!</definedName>
    <definedName name="______DAT12" localSheetId="18">#REF!</definedName>
    <definedName name="______DAT12" localSheetId="13">#REF!</definedName>
    <definedName name="______DAT12" localSheetId="17">#REF!</definedName>
    <definedName name="______DAT12" localSheetId="11">#REF!</definedName>
    <definedName name="______DAT12">#REF!</definedName>
    <definedName name="______DAT13" localSheetId="18">#REF!</definedName>
    <definedName name="______DAT13" localSheetId="13">#REF!</definedName>
    <definedName name="______DAT13" localSheetId="17">#REF!</definedName>
    <definedName name="______DAT13" localSheetId="11">#REF!</definedName>
    <definedName name="______DAT13">#REF!</definedName>
    <definedName name="______DAT14" localSheetId="18">#REF!</definedName>
    <definedName name="______DAT14" localSheetId="13">#REF!</definedName>
    <definedName name="______DAT14" localSheetId="17">#REF!</definedName>
    <definedName name="______DAT14" localSheetId="11">#REF!</definedName>
    <definedName name="______DAT14">#REF!</definedName>
    <definedName name="______DAT2" localSheetId="18">#REF!</definedName>
    <definedName name="______DAT2" localSheetId="13">#REF!</definedName>
    <definedName name="______DAT2" localSheetId="17">#REF!</definedName>
    <definedName name="______DAT2" localSheetId="11">#REF!</definedName>
    <definedName name="______DAT2">#REF!</definedName>
    <definedName name="______DAT3" localSheetId="18">#REF!</definedName>
    <definedName name="______DAT3" localSheetId="13">#REF!</definedName>
    <definedName name="______DAT3" localSheetId="17">#REF!</definedName>
    <definedName name="______DAT3" localSheetId="11">#REF!</definedName>
    <definedName name="______DAT3">#REF!</definedName>
    <definedName name="______DAT4" localSheetId="18">#REF!</definedName>
    <definedName name="______DAT4" localSheetId="13">#REF!</definedName>
    <definedName name="______DAT4" localSheetId="17">#REF!</definedName>
    <definedName name="______DAT4" localSheetId="11">#REF!</definedName>
    <definedName name="______DAT4">#REF!</definedName>
    <definedName name="______DAT5" localSheetId="18">#REF!</definedName>
    <definedName name="______DAT5" localSheetId="13">#REF!</definedName>
    <definedName name="______DAT5" localSheetId="17">#REF!</definedName>
    <definedName name="______DAT5" localSheetId="11">#REF!</definedName>
    <definedName name="______DAT5">#REF!</definedName>
    <definedName name="______DAT6" localSheetId="18">#REF!</definedName>
    <definedName name="______DAT6" localSheetId="13">#REF!</definedName>
    <definedName name="______DAT6" localSheetId="17">#REF!</definedName>
    <definedName name="______DAT6" localSheetId="11">#REF!</definedName>
    <definedName name="______DAT6">#REF!</definedName>
    <definedName name="______DAT7" localSheetId="18">#REF!</definedName>
    <definedName name="______DAT7" localSheetId="13">#REF!</definedName>
    <definedName name="______DAT7" localSheetId="17">#REF!</definedName>
    <definedName name="______DAT7" localSheetId="11">#REF!</definedName>
    <definedName name="______DAT7">#REF!</definedName>
    <definedName name="______DAT8" localSheetId="18">#REF!</definedName>
    <definedName name="______DAT8" localSheetId="13">#REF!</definedName>
    <definedName name="______DAT8" localSheetId="17">#REF!</definedName>
    <definedName name="______DAT8" localSheetId="11">#REF!</definedName>
    <definedName name="______DAT8">#REF!</definedName>
    <definedName name="______DAT9" localSheetId="18">#REF!</definedName>
    <definedName name="______DAT9" localSheetId="13">#REF!</definedName>
    <definedName name="______DAT9" localSheetId="17">#REF!</definedName>
    <definedName name="______DAT9" localSheetId="11">#REF!</definedName>
    <definedName name="______DAT9">#REF!</definedName>
    <definedName name="_____DAT1" localSheetId="18">#REF!</definedName>
    <definedName name="_____DAT1" localSheetId="13">#REF!</definedName>
    <definedName name="_____DAT1" localSheetId="17">#REF!</definedName>
    <definedName name="_____DAT1" localSheetId="11">#REF!</definedName>
    <definedName name="_____DAT1">#REF!</definedName>
    <definedName name="_____DAT10" localSheetId="18">#REF!</definedName>
    <definedName name="_____DAT10" localSheetId="13">#REF!</definedName>
    <definedName name="_____DAT10" localSheetId="17">#REF!</definedName>
    <definedName name="_____DAT10" localSheetId="11">#REF!</definedName>
    <definedName name="_____DAT10">#REF!</definedName>
    <definedName name="_____DAT11" localSheetId="18">#REF!</definedName>
    <definedName name="_____DAT11" localSheetId="13">#REF!</definedName>
    <definedName name="_____DAT11" localSheetId="17">#REF!</definedName>
    <definedName name="_____DAT11" localSheetId="11">#REF!</definedName>
    <definedName name="_____DAT11">#REF!</definedName>
    <definedName name="_____DAT12" localSheetId="18">#REF!</definedName>
    <definedName name="_____DAT12" localSheetId="13">#REF!</definedName>
    <definedName name="_____DAT12" localSheetId="17">#REF!</definedName>
    <definedName name="_____DAT12" localSheetId="11">#REF!</definedName>
    <definedName name="_____DAT12">#REF!</definedName>
    <definedName name="_____DAT13" localSheetId="18">#REF!</definedName>
    <definedName name="_____DAT13" localSheetId="13">#REF!</definedName>
    <definedName name="_____DAT13" localSheetId="17">#REF!</definedName>
    <definedName name="_____DAT13" localSheetId="11">#REF!</definedName>
    <definedName name="_____DAT13">#REF!</definedName>
    <definedName name="_____DAT14" localSheetId="18">#REF!</definedName>
    <definedName name="_____DAT14" localSheetId="13">#REF!</definedName>
    <definedName name="_____DAT14" localSheetId="17">#REF!</definedName>
    <definedName name="_____DAT14" localSheetId="11">#REF!</definedName>
    <definedName name="_____DAT14">#REF!</definedName>
    <definedName name="_____DAT2" localSheetId="18">#REF!</definedName>
    <definedName name="_____DAT2" localSheetId="13">#REF!</definedName>
    <definedName name="_____DAT2" localSheetId="17">#REF!</definedName>
    <definedName name="_____DAT2" localSheetId="11">#REF!</definedName>
    <definedName name="_____DAT2">#REF!</definedName>
    <definedName name="_____DAT3" localSheetId="18">#REF!</definedName>
    <definedName name="_____DAT3" localSheetId="13">#REF!</definedName>
    <definedName name="_____DAT3" localSheetId="17">#REF!</definedName>
    <definedName name="_____DAT3" localSheetId="11">#REF!</definedName>
    <definedName name="_____DAT3">#REF!</definedName>
    <definedName name="_____DAT4" localSheetId="18">#REF!</definedName>
    <definedName name="_____DAT4" localSheetId="13">#REF!</definedName>
    <definedName name="_____DAT4" localSheetId="17">#REF!</definedName>
    <definedName name="_____DAT4" localSheetId="11">#REF!</definedName>
    <definedName name="_____DAT4">#REF!</definedName>
    <definedName name="_____DAT5" localSheetId="18">#REF!</definedName>
    <definedName name="_____DAT5" localSheetId="13">#REF!</definedName>
    <definedName name="_____DAT5" localSheetId="17">#REF!</definedName>
    <definedName name="_____DAT5" localSheetId="11">#REF!</definedName>
    <definedName name="_____DAT5">#REF!</definedName>
    <definedName name="_____DAT6" localSheetId="18">#REF!</definedName>
    <definedName name="_____DAT6" localSheetId="13">#REF!</definedName>
    <definedName name="_____DAT6" localSheetId="17">#REF!</definedName>
    <definedName name="_____DAT6" localSheetId="11">#REF!</definedName>
    <definedName name="_____DAT6">#REF!</definedName>
    <definedName name="_____DAT7" localSheetId="18">#REF!</definedName>
    <definedName name="_____DAT7" localSheetId="13">#REF!</definedName>
    <definedName name="_____DAT7" localSheetId="17">#REF!</definedName>
    <definedName name="_____DAT7" localSheetId="11">#REF!</definedName>
    <definedName name="_____DAT7">#REF!</definedName>
    <definedName name="_____DAT8" localSheetId="18">#REF!</definedName>
    <definedName name="_____DAT8" localSheetId="13">#REF!</definedName>
    <definedName name="_____DAT8" localSheetId="17">#REF!</definedName>
    <definedName name="_____DAT8" localSheetId="11">#REF!</definedName>
    <definedName name="_____DAT8">#REF!</definedName>
    <definedName name="_____DAT9" localSheetId="18">#REF!</definedName>
    <definedName name="_____DAT9" localSheetId="13">#REF!</definedName>
    <definedName name="_____DAT9" localSheetId="17">#REF!</definedName>
    <definedName name="_____DAT9" localSheetId="11">#REF!</definedName>
    <definedName name="_____DAT9">#REF!</definedName>
    <definedName name="____DAT1" localSheetId="18">#REF!</definedName>
    <definedName name="____DAT1" localSheetId="13">#REF!</definedName>
    <definedName name="____DAT1" localSheetId="17">#REF!</definedName>
    <definedName name="____DAT1" localSheetId="11">#REF!</definedName>
    <definedName name="____DAT1">#REF!</definedName>
    <definedName name="____DAT10" localSheetId="18">#REF!</definedName>
    <definedName name="____DAT10" localSheetId="13">#REF!</definedName>
    <definedName name="____DAT10" localSheetId="17">#REF!</definedName>
    <definedName name="____DAT10" localSheetId="11">#REF!</definedName>
    <definedName name="____DAT10">#REF!</definedName>
    <definedName name="____DAT11" localSheetId="18">#REF!</definedName>
    <definedName name="____DAT11" localSheetId="13">#REF!</definedName>
    <definedName name="____DAT11" localSheetId="17">#REF!</definedName>
    <definedName name="____DAT11" localSheetId="11">#REF!</definedName>
    <definedName name="____DAT11">#REF!</definedName>
    <definedName name="____DAT12" localSheetId="18">#REF!</definedName>
    <definedName name="____DAT12" localSheetId="13">#REF!</definedName>
    <definedName name="____DAT12" localSheetId="17">#REF!</definedName>
    <definedName name="____DAT12" localSheetId="11">#REF!</definedName>
    <definedName name="____DAT12">#REF!</definedName>
    <definedName name="____DAT13" localSheetId="18">#REF!</definedName>
    <definedName name="____DAT13" localSheetId="13">#REF!</definedName>
    <definedName name="____DAT13" localSheetId="17">#REF!</definedName>
    <definedName name="____DAT13" localSheetId="11">#REF!</definedName>
    <definedName name="____DAT13">#REF!</definedName>
    <definedName name="____DAT14" localSheetId="18">#REF!</definedName>
    <definedName name="____DAT14" localSheetId="13">#REF!</definedName>
    <definedName name="____DAT14" localSheetId="17">#REF!</definedName>
    <definedName name="____DAT14" localSheetId="11">#REF!</definedName>
    <definedName name="____DAT14">#REF!</definedName>
    <definedName name="____DAT2" localSheetId="18">#REF!</definedName>
    <definedName name="____DAT2" localSheetId="13">#REF!</definedName>
    <definedName name="____DAT2" localSheetId="17">#REF!</definedName>
    <definedName name="____DAT2" localSheetId="11">#REF!</definedName>
    <definedName name="____DAT2">#REF!</definedName>
    <definedName name="____DAT3" localSheetId="18">#REF!</definedName>
    <definedName name="____DAT3" localSheetId="13">#REF!</definedName>
    <definedName name="____DAT3" localSheetId="17">#REF!</definedName>
    <definedName name="____DAT3" localSheetId="11">#REF!</definedName>
    <definedName name="____DAT3">#REF!</definedName>
    <definedName name="____DAT4" localSheetId="18">#REF!</definedName>
    <definedName name="____DAT4" localSheetId="13">#REF!</definedName>
    <definedName name="____DAT4" localSheetId="17">#REF!</definedName>
    <definedName name="____DAT4" localSheetId="11">#REF!</definedName>
    <definedName name="____DAT4">#REF!</definedName>
    <definedName name="____DAT5" localSheetId="18">#REF!</definedName>
    <definedName name="____DAT5" localSheetId="13">#REF!</definedName>
    <definedName name="____DAT5" localSheetId="17">#REF!</definedName>
    <definedName name="____DAT5" localSheetId="11">#REF!</definedName>
    <definedName name="____DAT5">#REF!</definedName>
    <definedName name="____DAT6" localSheetId="18">#REF!</definedName>
    <definedName name="____DAT6" localSheetId="13">#REF!</definedName>
    <definedName name="____DAT6" localSheetId="17">#REF!</definedName>
    <definedName name="____DAT6" localSheetId="11">#REF!</definedName>
    <definedName name="____DAT6">#REF!</definedName>
    <definedName name="____DAT7" localSheetId="18">#REF!</definedName>
    <definedName name="____DAT7" localSheetId="13">#REF!</definedName>
    <definedName name="____DAT7" localSheetId="17">#REF!</definedName>
    <definedName name="____DAT7" localSheetId="11">#REF!</definedName>
    <definedName name="____DAT7">#REF!</definedName>
    <definedName name="____DAT8" localSheetId="18">#REF!</definedName>
    <definedName name="____DAT8" localSheetId="13">#REF!</definedName>
    <definedName name="____DAT8" localSheetId="17">#REF!</definedName>
    <definedName name="____DAT8" localSheetId="11">#REF!</definedName>
    <definedName name="____DAT8">#REF!</definedName>
    <definedName name="____DAT9" localSheetId="18">#REF!</definedName>
    <definedName name="____DAT9" localSheetId="13">#REF!</definedName>
    <definedName name="____DAT9" localSheetId="17">#REF!</definedName>
    <definedName name="____DAT9" localSheetId="11">#REF!</definedName>
    <definedName name="____DAT9">#REF!</definedName>
    <definedName name="____May01" localSheetId="18">#REF!</definedName>
    <definedName name="____May01" localSheetId="13">#REF!</definedName>
    <definedName name="____May01" localSheetId="17">#REF!</definedName>
    <definedName name="____May01" localSheetId="11">#REF!</definedName>
    <definedName name="____May01">#REF!</definedName>
    <definedName name="___DAT1" localSheetId="18">#REF!</definedName>
    <definedName name="___DAT1" localSheetId="13">#REF!</definedName>
    <definedName name="___DAT1" localSheetId="17">#REF!</definedName>
    <definedName name="___DAT1" localSheetId="11">#REF!</definedName>
    <definedName name="___DAT1">#REF!</definedName>
    <definedName name="___DAT10" localSheetId="18">#REF!</definedName>
    <definedName name="___DAT10" localSheetId="13">#REF!</definedName>
    <definedName name="___DAT10" localSheetId="17">#REF!</definedName>
    <definedName name="___DAT10" localSheetId="11">#REF!</definedName>
    <definedName name="___DAT10">#REF!</definedName>
    <definedName name="___DAT11" localSheetId="18">#REF!</definedName>
    <definedName name="___DAT11" localSheetId="13">#REF!</definedName>
    <definedName name="___DAT11" localSheetId="17">#REF!</definedName>
    <definedName name="___DAT11" localSheetId="11">#REF!</definedName>
    <definedName name="___DAT11">#REF!</definedName>
    <definedName name="___DAT12" localSheetId="18">#REF!</definedName>
    <definedName name="___DAT12" localSheetId="13">#REF!</definedName>
    <definedName name="___DAT12" localSheetId="17">#REF!</definedName>
    <definedName name="___DAT12" localSheetId="11">#REF!</definedName>
    <definedName name="___DAT12">#REF!</definedName>
    <definedName name="___DAT13" localSheetId="18">#REF!</definedName>
    <definedName name="___DAT13" localSheetId="13">#REF!</definedName>
    <definedName name="___DAT13" localSheetId="17">#REF!</definedName>
    <definedName name="___DAT13" localSheetId="11">#REF!</definedName>
    <definedName name="___DAT13">#REF!</definedName>
    <definedName name="___DAT14" localSheetId="18">#REF!</definedName>
    <definedName name="___DAT14" localSheetId="13">#REF!</definedName>
    <definedName name="___DAT14" localSheetId="17">#REF!</definedName>
    <definedName name="___DAT14" localSheetId="11">#REF!</definedName>
    <definedName name="___DAT14">#REF!</definedName>
    <definedName name="___DAT2" localSheetId="18">#REF!</definedName>
    <definedName name="___DAT2" localSheetId="13">#REF!</definedName>
    <definedName name="___DAT2" localSheetId="17">#REF!</definedName>
    <definedName name="___DAT2" localSheetId="11">#REF!</definedName>
    <definedName name="___DAT2">#REF!</definedName>
    <definedName name="___DAT3" localSheetId="18">#REF!</definedName>
    <definedName name="___DAT3" localSheetId="13">#REF!</definedName>
    <definedName name="___DAT3" localSheetId="17">#REF!</definedName>
    <definedName name="___DAT3" localSheetId="11">#REF!</definedName>
    <definedName name="___DAT3">#REF!</definedName>
    <definedName name="___DAT4" localSheetId="18">#REF!</definedName>
    <definedName name="___DAT4" localSheetId="13">#REF!</definedName>
    <definedName name="___DAT4" localSheetId="17">#REF!</definedName>
    <definedName name="___DAT4" localSheetId="11">#REF!</definedName>
    <definedName name="___DAT4">#REF!</definedName>
    <definedName name="___DAT5" localSheetId="18">#REF!</definedName>
    <definedName name="___DAT5" localSheetId="13">#REF!</definedName>
    <definedName name="___DAT5" localSheetId="17">#REF!</definedName>
    <definedName name="___DAT5" localSheetId="11">#REF!</definedName>
    <definedName name="___DAT5">#REF!</definedName>
    <definedName name="___DAT6" localSheetId="18">#REF!</definedName>
    <definedName name="___DAT6" localSheetId="13">#REF!</definedName>
    <definedName name="___DAT6" localSheetId="17">#REF!</definedName>
    <definedName name="___DAT6" localSheetId="11">#REF!</definedName>
    <definedName name="___DAT6">#REF!</definedName>
    <definedName name="___DAT7" localSheetId="18">#REF!</definedName>
    <definedName name="___DAT7" localSheetId="13">#REF!</definedName>
    <definedName name="___DAT7" localSheetId="17">#REF!</definedName>
    <definedName name="___DAT7" localSheetId="11">#REF!</definedName>
    <definedName name="___DAT7">#REF!</definedName>
    <definedName name="___DAT8" localSheetId="18">#REF!</definedName>
    <definedName name="___DAT8" localSheetId="13">#REF!</definedName>
    <definedName name="___DAT8" localSheetId="17">#REF!</definedName>
    <definedName name="___DAT8" localSheetId="11">#REF!</definedName>
    <definedName name="___DAT8">#REF!</definedName>
    <definedName name="___DAT9" localSheetId="18">#REF!</definedName>
    <definedName name="___DAT9" localSheetId="13">#REF!</definedName>
    <definedName name="___DAT9" localSheetId="17">#REF!</definedName>
    <definedName name="___DAT9" localSheetId="11">#REF!</definedName>
    <definedName name="___DAT9">#REF!</definedName>
    <definedName name="___May01" localSheetId="18">#REF!</definedName>
    <definedName name="___May01" localSheetId="13">#REF!</definedName>
    <definedName name="___May01" localSheetId="17">#REF!</definedName>
    <definedName name="___May01" localSheetId="11">#REF!</definedName>
    <definedName name="___May01">#REF!</definedName>
    <definedName name="__DAT1" localSheetId="18">#REF!</definedName>
    <definedName name="__DAT1" localSheetId="13">#REF!</definedName>
    <definedName name="__DAT1" localSheetId="17">#REF!</definedName>
    <definedName name="__DAT1" localSheetId="11">#REF!</definedName>
    <definedName name="__DAT1">#REF!</definedName>
    <definedName name="__DAT10" localSheetId="18">#REF!</definedName>
    <definedName name="__DAT10" localSheetId="13">#REF!</definedName>
    <definedName name="__DAT10" localSheetId="17">#REF!</definedName>
    <definedName name="__DAT10" localSheetId="11">#REF!</definedName>
    <definedName name="__DAT10">#REF!</definedName>
    <definedName name="__Dat1000" localSheetId="18">#REF!</definedName>
    <definedName name="__Dat1000" localSheetId="13">#REF!</definedName>
    <definedName name="__Dat1000" localSheetId="17">#REF!</definedName>
    <definedName name="__Dat1000" localSheetId="11">#REF!</definedName>
    <definedName name="__Dat1000">#REF!</definedName>
    <definedName name="__Dat10000" localSheetId="18">#REF!</definedName>
    <definedName name="__Dat10000" localSheetId="13">#REF!</definedName>
    <definedName name="__Dat10000" localSheetId="17">#REF!</definedName>
    <definedName name="__Dat10000" localSheetId="11">#REF!</definedName>
    <definedName name="__Dat10000">#REF!</definedName>
    <definedName name="__DAT11" localSheetId="18">#REF!</definedName>
    <definedName name="__DAT11" localSheetId="13">#REF!</definedName>
    <definedName name="__DAT11" localSheetId="17">#REF!</definedName>
    <definedName name="__DAT11" localSheetId="11">#REF!</definedName>
    <definedName name="__DAT11">#REF!</definedName>
    <definedName name="__DAT12" localSheetId="18">#REF!</definedName>
    <definedName name="__DAT12" localSheetId="13">#REF!</definedName>
    <definedName name="__DAT12" localSheetId="17">#REF!</definedName>
    <definedName name="__DAT12" localSheetId="11">#REF!</definedName>
    <definedName name="__DAT12">#REF!</definedName>
    <definedName name="__DAT13" localSheetId="18">#REF!</definedName>
    <definedName name="__DAT13" localSheetId="13">#REF!</definedName>
    <definedName name="__DAT13" localSheetId="17">#REF!</definedName>
    <definedName name="__DAT13" localSheetId="11">#REF!</definedName>
    <definedName name="__DAT13">#REF!</definedName>
    <definedName name="__DAT14" localSheetId="18">#REF!</definedName>
    <definedName name="__DAT14" localSheetId="13">#REF!</definedName>
    <definedName name="__DAT14" localSheetId="17">#REF!</definedName>
    <definedName name="__DAT14" localSheetId="11">#REF!</definedName>
    <definedName name="__DAT14">#REF!</definedName>
    <definedName name="__DAT2" localSheetId="18">#REF!</definedName>
    <definedName name="__DAT2" localSheetId="13">#REF!</definedName>
    <definedName name="__DAT2" localSheetId="17">#REF!</definedName>
    <definedName name="__DAT2" localSheetId="11">#REF!</definedName>
    <definedName name="__DAT2">#REF!</definedName>
    <definedName name="__DAT2001" localSheetId="18">#REF!</definedName>
    <definedName name="__DAT2001" localSheetId="13">#REF!</definedName>
    <definedName name="__DAT2001" localSheetId="17">#REF!</definedName>
    <definedName name="__DAT2001" localSheetId="11">#REF!</definedName>
    <definedName name="__DAT2001">#REF!</definedName>
    <definedName name="__DAT3" localSheetId="18">#REF!</definedName>
    <definedName name="__DAT3" localSheetId="13">#REF!</definedName>
    <definedName name="__DAT3" localSheetId="17">#REF!</definedName>
    <definedName name="__DAT3" localSheetId="11">#REF!</definedName>
    <definedName name="__DAT3">#REF!</definedName>
    <definedName name="__DAT4" localSheetId="18">#REF!</definedName>
    <definedName name="__DAT4" localSheetId="13">#REF!</definedName>
    <definedName name="__DAT4" localSheetId="17">#REF!</definedName>
    <definedName name="__DAT4" localSheetId="11">#REF!</definedName>
    <definedName name="__DAT4">#REF!</definedName>
    <definedName name="__DAT5" localSheetId="18">#REF!</definedName>
    <definedName name="__DAT5" localSheetId="13">#REF!</definedName>
    <definedName name="__DAT5" localSheetId="17">#REF!</definedName>
    <definedName name="__DAT5" localSheetId="11">#REF!</definedName>
    <definedName name="__DAT5">#REF!</definedName>
    <definedName name="__DAT6" localSheetId="18">#REF!</definedName>
    <definedName name="__DAT6" localSheetId="13">#REF!</definedName>
    <definedName name="__DAT6" localSheetId="17">#REF!</definedName>
    <definedName name="__DAT6" localSheetId="11">#REF!</definedName>
    <definedName name="__DAT6">#REF!</definedName>
    <definedName name="__DAT7" localSheetId="18">#REF!</definedName>
    <definedName name="__DAT7" localSheetId="13">#REF!</definedName>
    <definedName name="__DAT7" localSheetId="17">#REF!</definedName>
    <definedName name="__DAT7" localSheetId="11">#REF!</definedName>
    <definedName name="__DAT7">#REF!</definedName>
    <definedName name="__DAT8" localSheetId="18">#REF!</definedName>
    <definedName name="__DAT8" localSheetId="13">#REF!</definedName>
    <definedName name="__DAT8" localSheetId="17">#REF!</definedName>
    <definedName name="__DAT8" localSheetId="11">#REF!</definedName>
    <definedName name="__DAT8">#REF!</definedName>
    <definedName name="__DAT9" localSheetId="18">#REF!</definedName>
    <definedName name="__DAT9" localSheetId="13">#REF!</definedName>
    <definedName name="__DAT9" localSheetId="17">#REF!</definedName>
    <definedName name="__DAT9" localSheetId="11">#REF!</definedName>
    <definedName name="__DAT9">#REF!</definedName>
    <definedName name="__IQR1">#REF!</definedName>
    <definedName name="__IQR2">#REF!</definedName>
    <definedName name="__May01" localSheetId="18">#REF!</definedName>
    <definedName name="__May01" localSheetId="13">#REF!</definedName>
    <definedName name="__May01" localSheetId="17">#REF!</definedName>
    <definedName name="__May01" localSheetId="11">#REF!</definedName>
    <definedName name="__May01">#REF!</definedName>
    <definedName name="_DAT1" localSheetId="18">#REF!</definedName>
    <definedName name="_DAT1" localSheetId="13">#REF!</definedName>
    <definedName name="_DAT1" localSheetId="17">#REF!</definedName>
    <definedName name="_DAT1" localSheetId="11">#REF!</definedName>
    <definedName name="_DAT1">#REF!</definedName>
    <definedName name="_DAT10" localSheetId="18">#REF!</definedName>
    <definedName name="_DAT10" localSheetId="13">#REF!</definedName>
    <definedName name="_DAT10" localSheetId="17">#REF!</definedName>
    <definedName name="_DAT10" localSheetId="11">#REF!</definedName>
    <definedName name="_DAT10">#REF!</definedName>
    <definedName name="_Dat1000" localSheetId="18">#REF!</definedName>
    <definedName name="_Dat1000" localSheetId="13">#REF!</definedName>
    <definedName name="_Dat1000" localSheetId="17">#REF!</definedName>
    <definedName name="_Dat1000" localSheetId="11">#REF!</definedName>
    <definedName name="_Dat1000">#REF!</definedName>
    <definedName name="_Dat10000" localSheetId="18">#REF!</definedName>
    <definedName name="_Dat10000" localSheetId="13">#REF!</definedName>
    <definedName name="_Dat10000" localSheetId="17">#REF!</definedName>
    <definedName name="_Dat10000" localSheetId="11">#REF!</definedName>
    <definedName name="_Dat10000">#REF!</definedName>
    <definedName name="_DAT11" localSheetId="18">#REF!</definedName>
    <definedName name="_DAT11" localSheetId="13">#REF!</definedName>
    <definedName name="_DAT11" localSheetId="17">#REF!</definedName>
    <definedName name="_DAT11" localSheetId="11">#REF!</definedName>
    <definedName name="_DAT11">#REF!</definedName>
    <definedName name="_DAT12" localSheetId="18">#REF!</definedName>
    <definedName name="_DAT12" localSheetId="13">#REF!</definedName>
    <definedName name="_DAT12" localSheetId="17">#REF!</definedName>
    <definedName name="_DAT12" localSheetId="11">#REF!</definedName>
    <definedName name="_DAT12">#REF!</definedName>
    <definedName name="_DAT13" localSheetId="18">#REF!</definedName>
    <definedName name="_DAT13" localSheetId="13">#REF!</definedName>
    <definedName name="_DAT13" localSheetId="17">#REF!</definedName>
    <definedName name="_DAT13" localSheetId="11">#REF!</definedName>
    <definedName name="_DAT13">#REF!</definedName>
    <definedName name="_DAT14" localSheetId="18">#REF!</definedName>
    <definedName name="_DAT14" localSheetId="13">#REF!</definedName>
    <definedName name="_DAT14" localSheetId="17">#REF!</definedName>
    <definedName name="_DAT14" localSheetId="11">#REF!</definedName>
    <definedName name="_DAT14">#REF!</definedName>
    <definedName name="_DAT2" localSheetId="18">#REF!</definedName>
    <definedName name="_DAT2" localSheetId="13">#REF!</definedName>
    <definedName name="_DAT2" localSheetId="17">#REF!</definedName>
    <definedName name="_DAT2" localSheetId="11">#REF!</definedName>
    <definedName name="_DAT2">#REF!</definedName>
    <definedName name="_DAT2001" localSheetId="18">#REF!</definedName>
    <definedName name="_DAT2001" localSheetId="13">#REF!</definedName>
    <definedName name="_DAT2001" localSheetId="17">#REF!</definedName>
    <definedName name="_DAT2001" localSheetId="11">#REF!</definedName>
    <definedName name="_DAT2001">#REF!</definedName>
    <definedName name="_DAT3" localSheetId="18">#REF!</definedName>
    <definedName name="_DAT3" localSheetId="13">#REF!</definedName>
    <definedName name="_DAT3" localSheetId="17">#REF!</definedName>
    <definedName name="_DAT3" localSheetId="11">#REF!</definedName>
    <definedName name="_DAT3">#REF!</definedName>
    <definedName name="_DAT4" localSheetId="18">#REF!</definedName>
    <definedName name="_DAT4" localSheetId="13">#REF!</definedName>
    <definedName name="_DAT4" localSheetId="17">#REF!</definedName>
    <definedName name="_DAT4" localSheetId="11">#REF!</definedName>
    <definedName name="_DAT4">#REF!</definedName>
    <definedName name="_DAT5" localSheetId="18">#REF!</definedName>
    <definedName name="_DAT5" localSheetId="13">#REF!</definedName>
    <definedName name="_DAT5" localSheetId="17">#REF!</definedName>
    <definedName name="_DAT5" localSheetId="11">#REF!</definedName>
    <definedName name="_DAT5">#REF!</definedName>
    <definedName name="_DAT6" localSheetId="18">#REF!</definedName>
    <definedName name="_DAT6" localSheetId="13">#REF!</definedName>
    <definedName name="_DAT6" localSheetId="17">#REF!</definedName>
    <definedName name="_DAT6" localSheetId="11">#REF!</definedName>
    <definedName name="_DAT6">#REF!</definedName>
    <definedName name="_DAT7" localSheetId="18">#REF!</definedName>
    <definedName name="_DAT7" localSheetId="13">#REF!</definedName>
    <definedName name="_DAT7" localSheetId="17">#REF!</definedName>
    <definedName name="_DAT7" localSheetId="11">#REF!</definedName>
    <definedName name="_DAT7">#REF!</definedName>
    <definedName name="_DAT8" localSheetId="18">#REF!</definedName>
    <definedName name="_DAT8" localSheetId="13">#REF!</definedName>
    <definedName name="_DAT8" localSheetId="17">#REF!</definedName>
    <definedName name="_DAT8" localSheetId="11">#REF!</definedName>
    <definedName name="_DAT8">#REF!</definedName>
    <definedName name="_DAT9" localSheetId="18">#REF!</definedName>
    <definedName name="_DAT9" localSheetId="13">#REF!</definedName>
    <definedName name="_DAT9" localSheetId="17">#REF!</definedName>
    <definedName name="_DAT9" localSheetId="11">#REF!</definedName>
    <definedName name="_DAT9">#REF!</definedName>
    <definedName name="_Fill" localSheetId="1" hidden="1">#REF!</definedName>
    <definedName name="_Fill" localSheetId="15" hidden="1">#REF!</definedName>
    <definedName name="_Fill" hidden="1">#REF!</definedName>
    <definedName name="_filter" localSheetId="18" hidden="1">#REF!</definedName>
    <definedName name="_filter" localSheetId="13" hidden="1">#REF!</definedName>
    <definedName name="_filter" localSheetId="17" hidden="1">#REF!</definedName>
    <definedName name="_filter" localSheetId="11" hidden="1">#REF!</definedName>
    <definedName name="_filter" hidden="1">#REF!</definedName>
    <definedName name="_filter2" localSheetId="18" hidden="1">#REF!</definedName>
    <definedName name="_filter2" localSheetId="13" hidden="1">#REF!</definedName>
    <definedName name="_filter2" localSheetId="17" hidden="1">#REF!</definedName>
    <definedName name="_filter2" localSheetId="11" hidden="1">#REF!</definedName>
    <definedName name="_filter2" hidden="1">#REF!</definedName>
    <definedName name="_xlnm._FilterDatabase" localSheetId="10" hidden="1">'Data Master'!$C$202:$G$238</definedName>
    <definedName name="_xlnm._FilterDatabase" localSheetId="18" hidden="1">#REF!</definedName>
    <definedName name="_xlnm._FilterDatabase" localSheetId="13" hidden="1">#REF!</definedName>
    <definedName name="_xlnm._FilterDatabase" localSheetId="17" hidden="1">#REF!</definedName>
    <definedName name="_xlnm._FilterDatabase" localSheetId="11" hidden="1">#REF!</definedName>
    <definedName name="_xlnm._FilterDatabase" hidden="1">#REF!</definedName>
    <definedName name="_IQR1">#REF!</definedName>
    <definedName name="_IQR2">#REF!</definedName>
    <definedName name="_Key1" localSheetId="1" hidden="1">#REF!</definedName>
    <definedName name="_Key1" hidden="1">#REF!</definedName>
    <definedName name="_May01" localSheetId="18">#REF!</definedName>
    <definedName name="_May01" localSheetId="13">#REF!</definedName>
    <definedName name="_May01" localSheetId="17">#REF!</definedName>
    <definedName name="_May01" localSheetId="11">#REF!</definedName>
    <definedName name="_May01">#REF!</definedName>
    <definedName name="_Order1" hidden="1">255</definedName>
    <definedName name="_Order2" hidden="1">255</definedName>
    <definedName name="_Parse_Out" localSheetId="16" hidden="1">#REF!</definedName>
    <definedName name="_Parse_Out" localSheetId="1" hidden="1">#REF!</definedName>
    <definedName name="_Parse_Out" localSheetId="20" hidden="1">#REF!</definedName>
    <definedName name="_Parse_Out" localSheetId="18" hidden="1">#REF!</definedName>
    <definedName name="_Parse_Out" localSheetId="13" hidden="1">#REF!</definedName>
    <definedName name="_Parse_Out" localSheetId="14" hidden="1">#REF!</definedName>
    <definedName name="_Parse_Out" localSheetId="19" hidden="1">#REF!</definedName>
    <definedName name="_Parse_Out" localSheetId="17" hidden="1">#REF!</definedName>
    <definedName name="_Parse_Out" localSheetId="12" hidden="1">#REF!</definedName>
    <definedName name="_Parse_Out" localSheetId="11" hidden="1">#REF!</definedName>
    <definedName name="_Parse_Out" hidden="1">#REF!</definedName>
    <definedName name="_Sort" localSheetId="16" hidden="1">#REF!</definedName>
    <definedName name="_Sort" localSheetId="1" hidden="1">#REF!</definedName>
    <definedName name="_Sort" localSheetId="20" hidden="1">#REF!</definedName>
    <definedName name="_Sort" localSheetId="15" hidden="1">#REF!</definedName>
    <definedName name="_Sort" localSheetId="18" hidden="1">#REF!</definedName>
    <definedName name="_Sort" localSheetId="13" hidden="1">#REF!</definedName>
    <definedName name="_Sort" localSheetId="14" hidden="1">#REF!</definedName>
    <definedName name="_Sort" localSheetId="19" hidden="1">#REF!</definedName>
    <definedName name="_Sort" localSheetId="17" hidden="1">#REF!</definedName>
    <definedName name="_Sort" localSheetId="12" hidden="1">#REF!</definedName>
    <definedName name="_Sort" localSheetId="11" hidden="1">#REF!</definedName>
    <definedName name="_Sort" hidden="1">#REF!</definedName>
    <definedName name="_xleta.AND" hidden="1" xlm="1">#NAME?</definedName>
    <definedName name="_xleta.IF" hidden="1" xlm="1">#NAME?</definedName>
    <definedName name="_xleta.MATCH" hidden="1" xlm="1">#NAME?</definedName>
    <definedName name="_xleta.MAX" hidden="1" xlm="1">#NAME?</definedName>
    <definedName name="_xleta.MID" hidden="1" xlm="1">#NAME?</definedName>
    <definedName name="_xleta.RATE" hidden="1" xlm="1">#NAME?</definedName>
    <definedName name="_xleta.ROUND" hidden="1" xlm="1">#NAME?</definedName>
    <definedName name="_xleta.SUM" hidden="1" xlm="1">#NAME?</definedName>
    <definedName name="_xleta.T" hidden="1" xlm="1">#NAME?</definedName>
    <definedName name="_xleta.UNIQUE" hidden="1" xlm="1">#NAME?</definedName>
    <definedName name="_xleta.VLOOKUP" hidden="1" xlm="1">#NAME?</definedName>
    <definedName name="AA" localSheetId="16">#REF!</definedName>
    <definedName name="AA" localSheetId="20">#REF!</definedName>
    <definedName name="AA" localSheetId="18">#REF!</definedName>
    <definedName name="AA" localSheetId="13">#REF!</definedName>
    <definedName name="AA" localSheetId="14">#REF!</definedName>
    <definedName name="AA" localSheetId="19">#REF!</definedName>
    <definedName name="AA" localSheetId="17">#REF!</definedName>
    <definedName name="AA" localSheetId="12">#REF!</definedName>
    <definedName name="AA" localSheetId="11">#REF!</definedName>
    <definedName name="AA">#REF!</definedName>
    <definedName name="ABU">#REF!</definedName>
    <definedName name="akhil" localSheetId="18">#REF!</definedName>
    <definedName name="akhil" localSheetId="13">#REF!</definedName>
    <definedName name="akhil" localSheetId="17">#REF!</definedName>
    <definedName name="akhil" localSheetId="11">#REF!</definedName>
    <definedName name="akhil">#REF!</definedName>
    <definedName name="Apr" localSheetId="18">#REF!</definedName>
    <definedName name="Apr" localSheetId="13">#REF!</definedName>
    <definedName name="Apr" localSheetId="17">#REF!</definedName>
    <definedName name="Apr" localSheetId="11">#REF!</definedName>
    <definedName name="Apr">#REF!</definedName>
    <definedName name="as" localSheetId="16" hidden="1">{"Page 1",#N/A,TRUE,"Sheet1";"Page 2",#N/A,TRUE,"Sheet1"}</definedName>
    <definedName name="as" localSheetId="21" hidden="1">{"Page 1",#N/A,TRUE,"Sheet1";"Page 2",#N/A,TRUE,"Sheet1"}</definedName>
    <definedName name="as" localSheetId="22" hidden="1">{"Page 1",#N/A,TRUE,"Sheet1";"Page 2",#N/A,TRUE,"Sheet1"}</definedName>
    <definedName name="as" localSheetId="27" hidden="1">{"Page 1",#N/A,TRUE,"Sheet1";"Page 2",#N/A,TRUE,"Sheet1"}</definedName>
    <definedName name="as" localSheetId="26" hidden="1">{"Page 1",#N/A,TRUE,"Sheet1";"Page 2",#N/A,TRUE,"Sheet1"}</definedName>
    <definedName name="as" localSheetId="25" hidden="1">{"Page 1",#N/A,TRUE,"Sheet1";"Page 2",#N/A,TRUE,"Sheet1"}</definedName>
    <definedName name="as" localSheetId="24" hidden="1">{"Page 1",#N/A,TRUE,"Sheet1";"Page 2",#N/A,TRUE,"Sheet1"}</definedName>
    <definedName name="as" localSheetId="23" hidden="1">{"Page 1",#N/A,TRUE,"Sheet1";"Page 2",#N/A,TRUE,"Sheet1"}</definedName>
    <definedName name="as" localSheetId="1" hidden="1">{"Page 1",#N/A,TRUE,"Sheet1";"Page 2",#N/A,TRUE,"Sheet1"}</definedName>
    <definedName name="as" localSheetId="20" hidden="1">{"Page 1",#N/A,TRUE,"Sheet1";"Page 2",#N/A,TRUE,"Sheet1"}</definedName>
    <definedName name="as" localSheetId="15" hidden="1">{"Page 1",#N/A,TRUE,"Sheet1";"Page 2",#N/A,TRUE,"Sheet1"}</definedName>
    <definedName name="as" localSheetId="18" hidden="1">{"Page 1",#N/A,TRUE,"Sheet1";"Page 2",#N/A,TRUE,"Sheet1"}</definedName>
    <definedName name="as" localSheetId="13" hidden="1">{"Page 1",#N/A,TRUE,"Sheet1";"Page 2",#N/A,TRUE,"Sheet1"}</definedName>
    <definedName name="as" localSheetId="14" hidden="1">{"Page 1",#N/A,TRUE,"Sheet1";"Page 2",#N/A,TRUE,"Sheet1"}</definedName>
    <definedName name="as" localSheetId="19" hidden="1">{"Page 1",#N/A,TRUE,"Sheet1";"Page 2",#N/A,TRUE,"Sheet1"}</definedName>
    <definedName name="as" localSheetId="17" hidden="1">{"Page 1",#N/A,TRUE,"Sheet1";"Page 2",#N/A,TRUE,"Sheet1"}</definedName>
    <definedName name="as" localSheetId="12" hidden="1">{"Page 1",#N/A,TRUE,"Sheet1";"Page 2",#N/A,TRUE,"Sheet1"}</definedName>
    <definedName name="as" localSheetId="11" hidden="1">{"Page 1",#N/A,TRUE,"Sheet1";"Page 2",#N/A,TRUE,"Sheet1"}</definedName>
    <definedName name="as" hidden="1">{"Page 1",#N/A,TRUE,"Sheet1";"Page 2",#N/A,TRUE,"Sheet1"}</definedName>
    <definedName name="asdcasdcasd" localSheetId="16" hidden="1">{"REPORT100",#N/A,FALSE,"100 &amp; 110"}</definedName>
    <definedName name="asdcasdcasd" localSheetId="21" hidden="1">{"REPORT100",#N/A,FALSE,"100 &amp; 110"}</definedName>
    <definedName name="asdcasdcasd" localSheetId="22" hidden="1">{"REPORT100",#N/A,FALSE,"100 &amp; 110"}</definedName>
    <definedName name="asdcasdcasd" localSheetId="27" hidden="1">{"REPORT100",#N/A,FALSE,"100 &amp; 110"}</definedName>
    <definedName name="asdcasdcasd" localSheetId="26" hidden="1">{"REPORT100",#N/A,FALSE,"100 &amp; 110"}</definedName>
    <definedName name="asdcasdcasd" localSheetId="25" hidden="1">{"REPORT100",#N/A,FALSE,"100 &amp; 110"}</definedName>
    <definedName name="asdcasdcasd" localSheetId="24" hidden="1">{"REPORT100",#N/A,FALSE,"100 &amp; 110"}</definedName>
    <definedName name="asdcasdcasd" localSheetId="23" hidden="1">{"REPORT100",#N/A,FALSE,"100 &amp; 110"}</definedName>
    <definedName name="asdcasdcasd" localSheetId="20" hidden="1">{"REPORT100",#N/A,FALSE,"100 &amp; 110"}</definedName>
    <definedName name="asdcasdcasd" localSheetId="15" hidden="1">{"REPORT100",#N/A,FALSE,"100 &amp; 110"}</definedName>
    <definedName name="asdcasdcasd" localSheetId="18" hidden="1">{"REPORT100",#N/A,FALSE,"100 &amp; 110"}</definedName>
    <definedName name="asdcasdcasd" localSheetId="13" hidden="1">{"REPORT100",#N/A,FALSE,"100 &amp; 110"}</definedName>
    <definedName name="asdcasdcasd" localSheetId="14" hidden="1">{"REPORT100",#N/A,FALSE,"100 &amp; 110"}</definedName>
    <definedName name="asdcasdcasd" localSheetId="19" hidden="1">{"REPORT100",#N/A,FALSE,"100 &amp; 110"}</definedName>
    <definedName name="asdcasdcasd" localSheetId="17" hidden="1">{"REPORT100",#N/A,FALSE,"100 &amp; 110"}</definedName>
    <definedName name="asdcasdcasd" localSheetId="12" hidden="1">{"REPORT100",#N/A,FALSE,"100 &amp; 110"}</definedName>
    <definedName name="asdcasdcasd" localSheetId="11" hidden="1">{"REPORT100",#N/A,FALSE,"100 &amp; 110"}</definedName>
    <definedName name="asdcasdcasd" hidden="1">{"REPORT100",#N/A,FALSE,"100 &amp; 110"}</definedName>
    <definedName name="ATTRINEW" localSheetId="18">#REF!</definedName>
    <definedName name="ATTRINEW" localSheetId="13">#REF!</definedName>
    <definedName name="ATTRINEW" localSheetId="17">#REF!</definedName>
    <definedName name="ATTRINEW" localSheetId="11">#REF!</definedName>
    <definedName name="ATTRINEW">#REF!</definedName>
    <definedName name="ATTRIOLD" localSheetId="18">#REF!</definedName>
    <definedName name="ATTRIOLD" localSheetId="13">#REF!</definedName>
    <definedName name="ATTRIOLD" localSheetId="17">#REF!</definedName>
    <definedName name="ATTRIOLD" localSheetId="11">#REF!</definedName>
    <definedName name="ATTRIOLD">#REF!</definedName>
    <definedName name="bajaj" localSheetId="18">#REF!</definedName>
    <definedName name="bajaj" localSheetId="13">#REF!</definedName>
    <definedName name="bajaj" localSheetId="17">#REF!</definedName>
    <definedName name="bajaj" localSheetId="11">#REF!</definedName>
    <definedName name="bajaj">#REF!</definedName>
    <definedName name="BANDWIDTH" localSheetId="18">#REF!</definedName>
    <definedName name="BANDWIDTH" localSheetId="13">#REF!</definedName>
    <definedName name="BANDWIDTH" localSheetId="17">#REF!</definedName>
    <definedName name="BANDWIDTH" localSheetId="11">#REF!</definedName>
    <definedName name="BANDWIDTH">#REF!</definedName>
    <definedName name="Bandwidth_Costs__Per_kbps_2010" localSheetId="18">#REF!</definedName>
    <definedName name="Bandwidth_Costs__Per_kbps_2010" localSheetId="13">#REF!</definedName>
    <definedName name="Bandwidth_Costs__Per_kbps_2010" localSheetId="17">#REF!</definedName>
    <definedName name="Bandwidth_Costs__Per_kbps_2010" localSheetId="11">#REF!</definedName>
    <definedName name="Bandwidth_Costs__Per_kbps_2010">#REF!</definedName>
    <definedName name="bb" localSheetId="18">#REF!</definedName>
    <definedName name="bb" localSheetId="13">#REF!</definedName>
    <definedName name="bb" localSheetId="17">#REF!</definedName>
    <definedName name="bb" localSheetId="11">#REF!</definedName>
    <definedName name="bb">#REF!</definedName>
    <definedName name="BDWTH" localSheetId="18">#REF!</definedName>
    <definedName name="BDWTH" localSheetId="13">#REF!</definedName>
    <definedName name="BDWTH" localSheetId="17">#REF!</definedName>
    <definedName name="BDWTH" localSheetId="11">#REF!</definedName>
    <definedName name="BDWTH">#REF!</definedName>
    <definedName name="Billgrid" localSheetId="18">#REF!</definedName>
    <definedName name="Billgrid" localSheetId="13">#REF!</definedName>
    <definedName name="Billgrid" localSheetId="17">#REF!</definedName>
    <definedName name="Billgrid" localSheetId="11">#REF!</definedName>
    <definedName name="Billgrid">#REF!</definedName>
    <definedName name="CANTEEN" localSheetId="18">#REF!</definedName>
    <definedName name="CANTEEN" localSheetId="13">#REF!</definedName>
    <definedName name="CANTEEN" localSheetId="17">#REF!</definedName>
    <definedName name="CANTEEN" localSheetId="11">#REF!</definedName>
    <definedName name="CANTEEN">#REF!</definedName>
    <definedName name="Car_Hire_2010" localSheetId="18">#REF!</definedName>
    <definedName name="Car_Hire_2010" localSheetId="13">#REF!</definedName>
    <definedName name="Car_Hire_2010" localSheetId="17">#REF!</definedName>
    <definedName name="Car_Hire_2010" localSheetId="11">#REF!</definedName>
    <definedName name="Car_Hire_2010">#REF!</definedName>
    <definedName name="CCC" localSheetId="18">#REF!</definedName>
    <definedName name="CCC" localSheetId="13">#REF!</definedName>
    <definedName name="CCC" localSheetId="17">#REF!</definedName>
    <definedName name="CCC" localSheetId="11">#REF!</definedName>
    <definedName name="CCC">#REF!</definedName>
    <definedName name="Centers" localSheetId="18">#REF!</definedName>
    <definedName name="Centers" localSheetId="13">#REF!</definedName>
    <definedName name="Centers" localSheetId="17">#REF!</definedName>
    <definedName name="Centers" localSheetId="11">#REF!</definedName>
    <definedName name="Centers">#REF!</definedName>
    <definedName name="CLIENT" localSheetId="18">#REF!</definedName>
    <definedName name="CLIENT" localSheetId="13">#REF!</definedName>
    <definedName name="CLIENT" localSheetId="17">#REF!</definedName>
    <definedName name="CLIENT" localSheetId="11">#REF!</definedName>
    <definedName name="CLIENT">#REF!</definedName>
    <definedName name="clientlist" localSheetId="18">#REF!</definedName>
    <definedName name="clientlist" localSheetId="13">#REF!</definedName>
    <definedName name="clientlist" localSheetId="17">#REF!</definedName>
    <definedName name="clientlist" localSheetId="11">#REF!</definedName>
    <definedName name="clientlist">#REF!</definedName>
    <definedName name="CLIENTS" localSheetId="18">#REF!</definedName>
    <definedName name="CLIENTS" localSheetId="13">#REF!</definedName>
    <definedName name="CLIENTS" localSheetId="17">#REF!</definedName>
    <definedName name="CLIENTS" localSheetId="11">#REF!</definedName>
    <definedName name="CLIENTS">#REF!</definedName>
    <definedName name="CONVEYANCE" localSheetId="18">#REF!</definedName>
    <definedName name="CONVEYANCE" localSheetId="13">#REF!</definedName>
    <definedName name="CONVEYANCE" localSheetId="17">#REF!</definedName>
    <definedName name="CONVEYANCE" localSheetId="11">#REF!</definedName>
    <definedName name="CONVEYANCE">#REF!</definedName>
    <definedName name="CS_Admin___Sect_cost_per_person_2010" localSheetId="18">#REF!</definedName>
    <definedName name="CS_Admin___Sect_cost_per_person_2010" localSheetId="13">#REF!</definedName>
    <definedName name="CS_Admin___Sect_cost_per_person_2010" localSheetId="17">#REF!</definedName>
    <definedName name="CS_Admin___Sect_cost_per_person_2010" localSheetId="11">#REF!</definedName>
    <definedName name="CS_Admin___Sect_cost_per_person_2010">#REF!</definedName>
    <definedName name="CSUPPORT" localSheetId="18">#REF!</definedName>
    <definedName name="CSUPPORT" localSheetId="13">#REF!</definedName>
    <definedName name="CSUPPORT" localSheetId="17">#REF!</definedName>
    <definedName name="CSUPPORT" localSheetId="11">#REF!</definedName>
    <definedName name="CSUPPORT">#REF!</definedName>
    <definedName name="CSupprot_2010" localSheetId="18">#REF!</definedName>
    <definedName name="CSupprot_2010" localSheetId="13">#REF!</definedName>
    <definedName name="CSupprot_2010" localSheetId="17">#REF!</definedName>
    <definedName name="CSupprot_2010" localSheetId="11">#REF!</definedName>
    <definedName name="CSupprot_2010">#REF!</definedName>
    <definedName name="Currency" localSheetId="18">#REF!</definedName>
    <definedName name="Currency" localSheetId="13">#REF!</definedName>
    <definedName name="Currency" localSheetId="17">#REF!</definedName>
    <definedName name="Currency" localSheetId="11">#REF!</definedName>
    <definedName name="Currency">#REF!</definedName>
    <definedName name="Dated">#REF!</definedName>
    <definedName name="daywise" localSheetId="18">#REF!</definedName>
    <definedName name="daywise" localSheetId="13">#REF!</definedName>
    <definedName name="daywise" localSheetId="17">#REF!</definedName>
    <definedName name="daywise" localSheetId="11">#REF!</definedName>
    <definedName name="daywise">#REF!</definedName>
    <definedName name="dd" localSheetId="16" hidden="1">{"Page 1",#N/A,TRUE,"Sheet1";"Page 2",#N/A,TRUE,"Sheet1"}</definedName>
    <definedName name="dd" localSheetId="21" hidden="1">{"Page 1",#N/A,TRUE,"Sheet1";"Page 2",#N/A,TRUE,"Sheet1"}</definedName>
    <definedName name="dd" localSheetId="22" hidden="1">{"Page 1",#N/A,TRUE,"Sheet1";"Page 2",#N/A,TRUE,"Sheet1"}</definedName>
    <definedName name="dd" localSheetId="27" hidden="1">{"Page 1",#N/A,TRUE,"Sheet1";"Page 2",#N/A,TRUE,"Sheet1"}</definedName>
    <definedName name="dd" localSheetId="26" hidden="1">{"Page 1",#N/A,TRUE,"Sheet1";"Page 2",#N/A,TRUE,"Sheet1"}</definedName>
    <definedName name="dd" localSheetId="25" hidden="1">{"Page 1",#N/A,TRUE,"Sheet1";"Page 2",#N/A,TRUE,"Sheet1"}</definedName>
    <definedName name="dd" localSheetId="24" hidden="1">{"Page 1",#N/A,TRUE,"Sheet1";"Page 2",#N/A,TRUE,"Sheet1"}</definedName>
    <definedName name="dd" localSheetId="23" hidden="1">{"Page 1",#N/A,TRUE,"Sheet1";"Page 2",#N/A,TRUE,"Sheet1"}</definedName>
    <definedName name="dd" localSheetId="1" hidden="1">{"Page 1",#N/A,TRUE,"Sheet1";"Page 2",#N/A,TRUE,"Sheet1"}</definedName>
    <definedName name="dd" localSheetId="20" hidden="1">{"Page 1",#N/A,TRUE,"Sheet1";"Page 2",#N/A,TRUE,"Sheet1"}</definedName>
    <definedName name="dd" localSheetId="15" hidden="1">{"Page 1",#N/A,TRUE,"Sheet1";"Page 2",#N/A,TRUE,"Sheet1"}</definedName>
    <definedName name="dd" localSheetId="18" hidden="1">{"Page 1",#N/A,TRUE,"Sheet1";"Page 2",#N/A,TRUE,"Sheet1"}</definedName>
    <definedName name="dd" localSheetId="13" hidden="1">{"Page 1",#N/A,TRUE,"Sheet1";"Page 2",#N/A,TRUE,"Sheet1"}</definedName>
    <definedName name="dd" localSheetId="14" hidden="1">{"Page 1",#N/A,TRUE,"Sheet1";"Page 2",#N/A,TRUE,"Sheet1"}</definedName>
    <definedName name="dd" localSheetId="19" hidden="1">{"Page 1",#N/A,TRUE,"Sheet1";"Page 2",#N/A,TRUE,"Sheet1"}</definedName>
    <definedName name="dd" localSheetId="17" hidden="1">{"Page 1",#N/A,TRUE,"Sheet1";"Page 2",#N/A,TRUE,"Sheet1"}</definedName>
    <definedName name="dd" localSheetId="12" hidden="1">{"Page 1",#N/A,TRUE,"Sheet1";"Page 2",#N/A,TRUE,"Sheet1"}</definedName>
    <definedName name="dd" localSheetId="11" hidden="1">{"Page 1",#N/A,TRUE,"Sheet1";"Page 2",#N/A,TRUE,"Sheet1"}</definedName>
    <definedName name="dd" hidden="1">{"Page 1",#N/A,TRUE,"Sheet1";"Page 2",#N/A,TRUE,"Sheet1"}</definedName>
    <definedName name="DE_Offshore_Plan">#REF!</definedName>
    <definedName name="DE_Offshore_Sizing">#REF!</definedName>
    <definedName name="DE_Onshore_Plan">#REF!</definedName>
    <definedName name="DE_Onshore_Sizing">#REF!</definedName>
    <definedName name="DecInvoice" localSheetId="18">#REF!</definedName>
    <definedName name="DecInvoice" localSheetId="13">#REF!</definedName>
    <definedName name="DecInvoice" localSheetId="17">#REF!</definedName>
    <definedName name="DecInvoice" localSheetId="11">#REF!</definedName>
    <definedName name="DecInvoice">#REF!</definedName>
    <definedName name="defadsfasfafasfdasfadsfadsfads" localSheetId="18">#REF!</definedName>
    <definedName name="defadsfasfafasfdasfadsfadsfads" localSheetId="13">#REF!</definedName>
    <definedName name="defadsfasfafasfdasfadsfadsfads" localSheetId="17">#REF!</definedName>
    <definedName name="defadsfasfafasfdasfadsfadsfads" localSheetId="11">#REF!</definedName>
    <definedName name="defadsfasfafasfdasfadsfadsfads">#REF!</definedName>
    <definedName name="Depn" localSheetId="16" hidden="1">{"Page 1",#N/A,TRUE,"Sheet1";"Page 2",#N/A,TRUE,"Sheet1"}</definedName>
    <definedName name="Depn" localSheetId="21" hidden="1">{"Page 1",#N/A,TRUE,"Sheet1";"Page 2",#N/A,TRUE,"Sheet1"}</definedName>
    <definedName name="Depn" localSheetId="22" hidden="1">{"Page 1",#N/A,TRUE,"Sheet1";"Page 2",#N/A,TRUE,"Sheet1"}</definedName>
    <definedName name="Depn" localSheetId="27" hidden="1">{"Page 1",#N/A,TRUE,"Sheet1";"Page 2",#N/A,TRUE,"Sheet1"}</definedName>
    <definedName name="Depn" localSheetId="26" hidden="1">{"Page 1",#N/A,TRUE,"Sheet1";"Page 2",#N/A,TRUE,"Sheet1"}</definedName>
    <definedName name="Depn" localSheetId="25" hidden="1">{"Page 1",#N/A,TRUE,"Sheet1";"Page 2",#N/A,TRUE,"Sheet1"}</definedName>
    <definedName name="Depn" localSheetId="24" hidden="1">{"Page 1",#N/A,TRUE,"Sheet1";"Page 2",#N/A,TRUE,"Sheet1"}</definedName>
    <definedName name="Depn" localSheetId="23" hidden="1">{"Page 1",#N/A,TRUE,"Sheet1";"Page 2",#N/A,TRUE,"Sheet1"}</definedName>
    <definedName name="Depn" localSheetId="1" hidden="1">{"Page 1",#N/A,TRUE,"Sheet1";"Page 2",#N/A,TRUE,"Sheet1"}</definedName>
    <definedName name="Depn" localSheetId="20" hidden="1">{"Page 1",#N/A,TRUE,"Sheet1";"Page 2",#N/A,TRUE,"Sheet1"}</definedName>
    <definedName name="Depn" localSheetId="15" hidden="1">{"Page 1",#N/A,TRUE,"Sheet1";"Page 2",#N/A,TRUE,"Sheet1"}</definedName>
    <definedName name="Depn" localSheetId="18" hidden="1">{"Page 1",#N/A,TRUE,"Sheet1";"Page 2",#N/A,TRUE,"Sheet1"}</definedName>
    <definedName name="Depn" localSheetId="13" hidden="1">{"Page 1",#N/A,TRUE,"Sheet1";"Page 2",#N/A,TRUE,"Sheet1"}</definedName>
    <definedName name="Depn" localSheetId="14" hidden="1">{"Page 1",#N/A,TRUE,"Sheet1";"Page 2",#N/A,TRUE,"Sheet1"}</definedName>
    <definedName name="Depn" localSheetId="19" hidden="1">{"Page 1",#N/A,TRUE,"Sheet1";"Page 2",#N/A,TRUE,"Sheet1"}</definedName>
    <definedName name="Depn" localSheetId="17" hidden="1">{"Page 1",#N/A,TRUE,"Sheet1";"Page 2",#N/A,TRUE,"Sheet1"}</definedName>
    <definedName name="Depn" localSheetId="12" hidden="1">{"Page 1",#N/A,TRUE,"Sheet1";"Page 2",#N/A,TRUE,"Sheet1"}</definedName>
    <definedName name="Depn" localSheetId="11" hidden="1">{"Page 1",#N/A,TRUE,"Sheet1";"Page 2",#N/A,TRUE,"Sheet1"}</definedName>
    <definedName name="Depn" hidden="1">{"Page 1",#N/A,TRUE,"Sheet1";"Page 2",#N/A,TRUE,"Sheet1"}</definedName>
    <definedName name="Depreciation" localSheetId="16" hidden="1">{"Page 1",#N/A,TRUE,"Sheet1";"Page 2",#N/A,TRUE,"Sheet1"}</definedName>
    <definedName name="Depreciation" localSheetId="21" hidden="1">{"Page 1",#N/A,TRUE,"Sheet1";"Page 2",#N/A,TRUE,"Sheet1"}</definedName>
    <definedName name="Depreciation" localSheetId="22" hidden="1">{"Page 1",#N/A,TRUE,"Sheet1";"Page 2",#N/A,TRUE,"Sheet1"}</definedName>
    <definedName name="Depreciation" localSheetId="27" hidden="1">{"Page 1",#N/A,TRUE,"Sheet1";"Page 2",#N/A,TRUE,"Sheet1"}</definedName>
    <definedName name="Depreciation" localSheetId="26" hidden="1">{"Page 1",#N/A,TRUE,"Sheet1";"Page 2",#N/A,TRUE,"Sheet1"}</definedName>
    <definedName name="Depreciation" localSheetId="25" hidden="1">{"Page 1",#N/A,TRUE,"Sheet1";"Page 2",#N/A,TRUE,"Sheet1"}</definedName>
    <definedName name="Depreciation" localSheetId="24" hidden="1">{"Page 1",#N/A,TRUE,"Sheet1";"Page 2",#N/A,TRUE,"Sheet1"}</definedName>
    <definedName name="Depreciation" localSheetId="23" hidden="1">{"Page 1",#N/A,TRUE,"Sheet1";"Page 2",#N/A,TRUE,"Sheet1"}</definedName>
    <definedName name="Depreciation" localSheetId="1" hidden="1">{"Page 1",#N/A,TRUE,"Sheet1";"Page 2",#N/A,TRUE,"Sheet1"}</definedName>
    <definedName name="Depreciation" localSheetId="20" hidden="1">{"Page 1",#N/A,TRUE,"Sheet1";"Page 2",#N/A,TRUE,"Sheet1"}</definedName>
    <definedName name="Depreciation" localSheetId="15" hidden="1">{"Page 1",#N/A,TRUE,"Sheet1";"Page 2",#N/A,TRUE,"Sheet1"}</definedName>
    <definedName name="Depreciation" localSheetId="18" hidden="1">{"Page 1",#N/A,TRUE,"Sheet1";"Page 2",#N/A,TRUE,"Sheet1"}</definedName>
    <definedName name="Depreciation" localSheetId="13" hidden="1">{"Page 1",#N/A,TRUE,"Sheet1";"Page 2",#N/A,TRUE,"Sheet1"}</definedName>
    <definedName name="Depreciation" localSheetId="14" hidden="1">{"Page 1",#N/A,TRUE,"Sheet1";"Page 2",#N/A,TRUE,"Sheet1"}</definedName>
    <definedName name="Depreciation" localSheetId="19" hidden="1">{"Page 1",#N/A,TRUE,"Sheet1";"Page 2",#N/A,TRUE,"Sheet1"}</definedName>
    <definedName name="Depreciation" localSheetId="17" hidden="1">{"Page 1",#N/A,TRUE,"Sheet1";"Page 2",#N/A,TRUE,"Sheet1"}</definedName>
    <definedName name="Depreciation" localSheetId="12" hidden="1">{"Page 1",#N/A,TRUE,"Sheet1";"Page 2",#N/A,TRUE,"Sheet1"}</definedName>
    <definedName name="Depreciation" localSheetId="11" hidden="1">{"Page 1",#N/A,TRUE,"Sheet1";"Page 2",#N/A,TRUE,"Sheet1"}</definedName>
    <definedName name="Depreciation" hidden="1">{"Page 1",#N/A,TRUE,"Sheet1";"Page 2",#N/A,TRUE,"Sheet1"}</definedName>
    <definedName name="dfadf" localSheetId="16" hidden="1">{"report102",#N/A,FALSE,"102"}</definedName>
    <definedName name="dfadf" localSheetId="21" hidden="1">{"report102",#N/A,FALSE,"102"}</definedName>
    <definedName name="dfadf" localSheetId="22" hidden="1">{"report102",#N/A,FALSE,"102"}</definedName>
    <definedName name="dfadf" localSheetId="27" hidden="1">{"report102",#N/A,FALSE,"102"}</definedName>
    <definedName name="dfadf" localSheetId="26" hidden="1">{"report102",#N/A,FALSE,"102"}</definedName>
    <definedName name="dfadf" localSheetId="25" hidden="1">{"report102",#N/A,FALSE,"102"}</definedName>
    <definedName name="dfadf" localSheetId="24" hidden="1">{"report102",#N/A,FALSE,"102"}</definedName>
    <definedName name="dfadf" localSheetId="23" hidden="1">{"report102",#N/A,FALSE,"102"}</definedName>
    <definedName name="dfadf" localSheetId="20" hidden="1">{"report102",#N/A,FALSE,"102"}</definedName>
    <definedName name="dfadf" localSheetId="15" hidden="1">{"report102",#N/A,FALSE,"102"}</definedName>
    <definedName name="dfadf" localSheetId="18" hidden="1">{"report102",#N/A,FALSE,"102"}</definedName>
    <definedName name="dfadf" localSheetId="13" hidden="1">{"report102",#N/A,FALSE,"102"}</definedName>
    <definedName name="dfadf" localSheetId="14" hidden="1">{"report102",#N/A,FALSE,"102"}</definedName>
    <definedName name="dfadf" localSheetId="19" hidden="1">{"report102",#N/A,FALSE,"102"}</definedName>
    <definedName name="dfadf" localSheetId="17" hidden="1">{"report102",#N/A,FALSE,"102"}</definedName>
    <definedName name="dfadf" localSheetId="12" hidden="1">{"report102",#N/A,FALSE,"102"}</definedName>
    <definedName name="dfadf" localSheetId="11" hidden="1">{"report102",#N/A,FALSE,"102"}</definedName>
    <definedName name="dfadf" hidden="1">{"report102",#N/A,FALSE,"102"}</definedName>
    <definedName name="dkibid" localSheetId="16" hidden="1">{"REPORT101",#N/A,FALSE,"101 &amp; 111"}</definedName>
    <definedName name="dkibid" localSheetId="21" hidden="1">{"REPORT101",#N/A,FALSE,"101 &amp; 111"}</definedName>
    <definedName name="dkibid" localSheetId="22" hidden="1">{"REPORT101",#N/A,FALSE,"101 &amp; 111"}</definedName>
    <definedName name="dkibid" localSheetId="27" hidden="1">{"REPORT101",#N/A,FALSE,"101 &amp; 111"}</definedName>
    <definedName name="dkibid" localSheetId="26" hidden="1">{"REPORT101",#N/A,FALSE,"101 &amp; 111"}</definedName>
    <definedName name="dkibid" localSheetId="25" hidden="1">{"REPORT101",#N/A,FALSE,"101 &amp; 111"}</definedName>
    <definedName name="dkibid" localSheetId="24" hidden="1">{"REPORT101",#N/A,FALSE,"101 &amp; 111"}</definedName>
    <definedName name="dkibid" localSheetId="23" hidden="1">{"REPORT101",#N/A,FALSE,"101 &amp; 111"}</definedName>
    <definedName name="dkibid" localSheetId="20" hidden="1">{"REPORT101",#N/A,FALSE,"101 &amp; 111"}</definedName>
    <definedName name="dkibid" localSheetId="15" hidden="1">{"REPORT101",#N/A,FALSE,"101 &amp; 111"}</definedName>
    <definedName name="dkibid" localSheetId="18" hidden="1">{"REPORT101",#N/A,FALSE,"101 &amp; 111"}</definedName>
    <definedName name="dkibid" localSheetId="13" hidden="1">{"REPORT101",#N/A,FALSE,"101 &amp; 111"}</definedName>
    <definedName name="dkibid" localSheetId="14" hidden="1">{"REPORT101",#N/A,FALSE,"101 &amp; 111"}</definedName>
    <definedName name="dkibid" localSheetId="19" hidden="1">{"REPORT101",#N/A,FALSE,"101 &amp; 111"}</definedName>
    <definedName name="dkibid" localSheetId="17" hidden="1">{"REPORT101",#N/A,FALSE,"101 &amp; 111"}</definedName>
    <definedName name="dkibid" localSheetId="12" hidden="1">{"REPORT101",#N/A,FALSE,"101 &amp; 111"}</definedName>
    <definedName name="dkibid" localSheetId="11" hidden="1">{"REPORT101",#N/A,FALSE,"101 &amp; 111"}</definedName>
    <definedName name="dkibid" hidden="1">{"REPORT101",#N/A,FALSE,"101 &amp; 111"}</definedName>
    <definedName name="Dom" localSheetId="18">#REF!</definedName>
    <definedName name="Dom" localSheetId="13">#REF!</definedName>
    <definedName name="Dom" localSheetId="17">#REF!</definedName>
    <definedName name="Dom" localSheetId="11">#REF!</definedName>
    <definedName name="Dom">#REF!</definedName>
    <definedName name="Domestic_Travel_Costs_Per_Trip_2010" localSheetId="18">#REF!</definedName>
    <definedName name="Domestic_Travel_Costs_Per_Trip_2010" localSheetId="13">#REF!</definedName>
    <definedName name="Domestic_Travel_Costs_Per_Trip_2010" localSheetId="17">#REF!</definedName>
    <definedName name="Domestic_Travel_Costs_Per_Trip_2010" localSheetId="11">#REF!</definedName>
    <definedName name="Domestic_Travel_Costs_Per_Trip_2010">#REF!</definedName>
    <definedName name="DOMSTAY" localSheetId="18">#REF!</definedName>
    <definedName name="DOMSTAY" localSheetId="13">#REF!</definedName>
    <definedName name="DOMSTAY" localSheetId="17">#REF!</definedName>
    <definedName name="DOMSTAY" localSheetId="11">#REF!</definedName>
    <definedName name="DOMSTAY">#REF!</definedName>
    <definedName name="DOMTRAVEL" localSheetId="18">#REF!</definedName>
    <definedName name="DOMTRAVEL" localSheetId="13">#REF!</definedName>
    <definedName name="DOMTRAVEL" localSheetId="17">#REF!</definedName>
    <definedName name="DOMTRAVEL" localSheetId="11">#REF!</definedName>
    <definedName name="DOMTRAVEL">#REF!</definedName>
    <definedName name="Dropdown" localSheetId="18">#REF!</definedName>
    <definedName name="Dropdown" localSheetId="13">#REF!</definedName>
    <definedName name="Dropdown" localSheetId="17">#REF!</definedName>
    <definedName name="Dropdown" localSheetId="11">#REF!</definedName>
    <definedName name="Dropdown">#REF!</definedName>
    <definedName name="DT" localSheetId="18">#REF!</definedName>
    <definedName name="DT" localSheetId="13">#REF!</definedName>
    <definedName name="DT" localSheetId="17">#REF!</definedName>
    <definedName name="DT" localSheetId="11">#REF!</definedName>
    <definedName name="DT">#REF!</definedName>
    <definedName name="DWPRICE" localSheetId="1" hidden="1">#REF!</definedName>
    <definedName name="DWPRICE" localSheetId="15" hidden="1">#REF!</definedName>
    <definedName name="DWPRICE" hidden="1">#REF!</definedName>
    <definedName name="eee" localSheetId="16" hidden="1">{"REPORT101",#N/A,FALSE,"101 &amp; 111"}</definedName>
    <definedName name="eee" localSheetId="21" hidden="1">{"REPORT101",#N/A,FALSE,"101 &amp; 111"}</definedName>
    <definedName name="eee" localSheetId="22" hidden="1">{"REPORT101",#N/A,FALSE,"101 &amp; 111"}</definedName>
    <definedName name="eee" localSheetId="27" hidden="1">{"REPORT101",#N/A,FALSE,"101 &amp; 111"}</definedName>
    <definedName name="eee" localSheetId="26" hidden="1">{"REPORT101",#N/A,FALSE,"101 &amp; 111"}</definedName>
    <definedName name="eee" localSheetId="25" hidden="1">{"REPORT101",#N/A,FALSE,"101 &amp; 111"}</definedName>
    <definedName name="eee" localSheetId="24" hidden="1">{"REPORT101",#N/A,FALSE,"101 &amp; 111"}</definedName>
    <definedName name="eee" localSheetId="23" hidden="1">{"REPORT101",#N/A,FALSE,"101 &amp; 111"}</definedName>
    <definedName name="eee" localSheetId="20" hidden="1">{"REPORT101",#N/A,FALSE,"101 &amp; 111"}</definedName>
    <definedName name="eee" localSheetId="15" hidden="1">{"REPORT101",#N/A,FALSE,"101 &amp; 111"}</definedName>
    <definedName name="eee" localSheetId="18" hidden="1">{"REPORT101",#N/A,FALSE,"101 &amp; 111"}</definedName>
    <definedName name="eee" localSheetId="13" hidden="1">{"REPORT101",#N/A,FALSE,"101 &amp; 111"}</definedName>
    <definedName name="eee" localSheetId="14" hidden="1">{"REPORT101",#N/A,FALSE,"101 &amp; 111"}</definedName>
    <definedName name="eee" localSheetId="19" hidden="1">{"REPORT101",#N/A,FALSE,"101 &amp; 111"}</definedName>
    <definedName name="eee" localSheetId="17" hidden="1">{"REPORT101",#N/A,FALSE,"101 &amp; 111"}</definedName>
    <definedName name="eee" localSheetId="12" hidden="1">{"REPORT101",#N/A,FALSE,"101 &amp; 111"}</definedName>
    <definedName name="eee" localSheetId="11" hidden="1">{"REPORT101",#N/A,FALSE,"101 &amp; 111"}</definedName>
    <definedName name="eee" hidden="1">{"REPORT101",#N/A,FALSE,"101 &amp; 111"}</definedName>
    <definedName name="eeee" localSheetId="16" hidden="1">{"JOBCOGS",#N/A,FALSE,"JOB COGS";"JOBHIST",#N/A,FALSE,"JOB COGS"}</definedName>
    <definedName name="eeee" localSheetId="21" hidden="1">{"JOBCOGS",#N/A,FALSE,"JOB COGS";"JOBHIST",#N/A,FALSE,"JOB COGS"}</definedName>
    <definedName name="eeee" localSheetId="22" hidden="1">{"JOBCOGS",#N/A,FALSE,"JOB COGS";"JOBHIST",#N/A,FALSE,"JOB COGS"}</definedName>
    <definedName name="eeee" localSheetId="27" hidden="1">{"JOBCOGS",#N/A,FALSE,"JOB COGS";"JOBHIST",#N/A,FALSE,"JOB COGS"}</definedName>
    <definedName name="eeee" localSheetId="26" hidden="1">{"JOBCOGS",#N/A,FALSE,"JOB COGS";"JOBHIST",#N/A,FALSE,"JOB COGS"}</definedName>
    <definedName name="eeee" localSheetId="25" hidden="1">{"JOBCOGS",#N/A,FALSE,"JOB COGS";"JOBHIST",#N/A,FALSE,"JOB COGS"}</definedName>
    <definedName name="eeee" localSheetId="24" hidden="1">{"JOBCOGS",#N/A,FALSE,"JOB COGS";"JOBHIST",#N/A,FALSE,"JOB COGS"}</definedName>
    <definedName name="eeee" localSheetId="23" hidden="1">{"JOBCOGS",#N/A,FALSE,"JOB COGS";"JOBHIST",#N/A,FALSE,"JOB COGS"}</definedName>
    <definedName name="eeee" localSheetId="20" hidden="1">{"JOBCOGS",#N/A,FALSE,"JOB COGS";"JOBHIST",#N/A,FALSE,"JOB COGS"}</definedName>
    <definedName name="eeee" localSheetId="15" hidden="1">{"JOBCOGS",#N/A,FALSE,"JOB COGS";"JOBHIST",#N/A,FALSE,"JOB COGS"}</definedName>
    <definedName name="eeee" localSheetId="18" hidden="1">{"JOBCOGS",#N/A,FALSE,"JOB COGS";"JOBHIST",#N/A,FALSE,"JOB COGS"}</definedName>
    <definedName name="eeee" localSheetId="13" hidden="1">{"JOBCOGS",#N/A,FALSE,"JOB COGS";"JOBHIST",#N/A,FALSE,"JOB COGS"}</definedName>
    <definedName name="eeee" localSheetId="14" hidden="1">{"JOBCOGS",#N/A,FALSE,"JOB COGS";"JOBHIST",#N/A,FALSE,"JOB COGS"}</definedName>
    <definedName name="eeee" localSheetId="19" hidden="1">{"JOBCOGS",#N/A,FALSE,"JOB COGS";"JOBHIST",#N/A,FALSE,"JOB COGS"}</definedName>
    <definedName name="eeee" localSheetId="17" hidden="1">{"JOBCOGS",#N/A,FALSE,"JOB COGS";"JOBHIST",#N/A,FALSE,"JOB COGS"}</definedName>
    <definedName name="eeee" localSheetId="12" hidden="1">{"JOBCOGS",#N/A,FALSE,"JOB COGS";"JOBHIST",#N/A,FALSE,"JOB COGS"}</definedName>
    <definedName name="eeee" localSheetId="11" hidden="1">{"JOBCOGS",#N/A,FALSE,"JOB COGS";"JOBHIST",#N/A,FALSE,"JOB COGS"}</definedName>
    <definedName name="eeee" hidden="1">{"JOBCOGS",#N/A,FALSE,"JOB COGS";"JOBHIST",#N/A,FALSE,"JOB COGS"}</definedName>
    <definedName name="EV__EVCOM_OPTIONS__" hidden="1">8</definedName>
    <definedName name="EV__EXPOPTIONS__" hidden="1">1</definedName>
    <definedName name="EV__LASTREFTIME__" localSheetId="16" hidden="1">"(GMT+05:30)14-02-2017 12:14:36"</definedName>
    <definedName name="EV__LASTREFTIME__" localSheetId="21" hidden="1">"(GMT+05:30)10/25/2011 11:36:24 AM"</definedName>
    <definedName name="EV__LASTREFTIME__" localSheetId="22" hidden="1">"(GMT+05:30)14-02-2017 12:14:36"</definedName>
    <definedName name="EV__LASTREFTIME__" localSheetId="27" hidden="1">"(GMT+05:30)14-02-2017 12:14:36"</definedName>
    <definedName name="EV__LASTREFTIME__" localSheetId="26" hidden="1">"(GMT+05:30)14-02-2017 12:14:36"</definedName>
    <definedName name="EV__LASTREFTIME__" localSheetId="25" hidden="1">"(GMT+05:30)14-02-2017 12:14:36"</definedName>
    <definedName name="EV__LASTREFTIME__" localSheetId="24" hidden="1">"(GMT+05:30)14-02-2017 12:14:36"</definedName>
    <definedName name="EV__LASTREFTIME__" localSheetId="23" hidden="1">"(GMT+05:30)14-02-2017 12:14:36"</definedName>
    <definedName name="EV__LASTREFTIME__" localSheetId="20" hidden="1">"(GMT+05:30)14-02-2017 12:14:36"</definedName>
    <definedName name="EV__LASTREFTIME__" localSheetId="15" hidden="1">"(GMT+05:30)14-02-2017 12:14:36"</definedName>
    <definedName name="EV__LASTREFTIME__" localSheetId="18" hidden="1">"(GMT+05:30)14-02-2017 12:14:36"</definedName>
    <definedName name="EV__LASTREFTIME__" localSheetId="13" hidden="1">"(GMT+05:30)14-02-2017 12:14:36"</definedName>
    <definedName name="EV__LASTREFTIME__" localSheetId="14" hidden="1">"(GMT+05:30)14-02-2017 12:14:36"</definedName>
    <definedName name="EV__LASTREFTIME__" localSheetId="19" hidden="1">"(GMT+05:30)14-02-2017 12:14:36"</definedName>
    <definedName name="EV__LASTREFTIME__" localSheetId="17" hidden="1">"(GMT+05:30)14-02-2017 12:14:36"</definedName>
    <definedName name="EV__LASTREFTIME__" localSheetId="12" hidden="1">"(GMT+05:30)14-02-2017 12:14:36"</definedName>
    <definedName name="EV__LASTREFTIME__" localSheetId="11" hidden="1">"(GMT+05:30)14-02-2017 12:14:36"</definedName>
    <definedName name="EV__LASTREFTIME__" hidden="1">"(GMT+05:30)10/25/2011 11:36:24 AM"</definedName>
    <definedName name="EV__MAXEXPCOLS__" hidden="1">100</definedName>
    <definedName name="EV__MAXEXPROWS__" hidden="1">1000</definedName>
    <definedName name="EV__MEMORYCVW__" hidden="1">0</definedName>
    <definedName name="EV__WBEVMODE__" localSheetId="16" hidden="1">0</definedName>
    <definedName name="EV__WBEVMODE__" localSheetId="21" hidden="1">1</definedName>
    <definedName name="EV__WBEVMODE__" localSheetId="22" hidden="1">0</definedName>
    <definedName name="EV__WBEVMODE__" localSheetId="27" hidden="1">0</definedName>
    <definedName name="EV__WBEVMODE__" localSheetId="26" hidden="1">0</definedName>
    <definedName name="EV__WBEVMODE__" localSheetId="25" hidden="1">0</definedName>
    <definedName name="EV__WBEVMODE__" localSheetId="24" hidden="1">0</definedName>
    <definedName name="EV__WBEVMODE__" localSheetId="23" hidden="1">0</definedName>
    <definedName name="EV__WBEVMODE__" localSheetId="20" hidden="1">0</definedName>
    <definedName name="EV__WBEVMODE__" localSheetId="15" hidden="1">0</definedName>
    <definedName name="EV__WBEVMODE__" localSheetId="18" hidden="1">0</definedName>
    <definedName name="EV__WBEVMODE__" localSheetId="13" hidden="1">0</definedName>
    <definedName name="EV__WBEVMODE__" localSheetId="14" hidden="1">0</definedName>
    <definedName name="EV__WBEVMODE__" localSheetId="19" hidden="1">0</definedName>
    <definedName name="EV__WBEVMODE__" localSheetId="17" hidden="1">0</definedName>
    <definedName name="EV__WBEVMODE__" localSheetId="12" hidden="1">0</definedName>
    <definedName name="EV__WBEVMODE__" localSheetId="11" hidden="1">0</definedName>
    <definedName name="EV__WBEVMODE__" hidden="1">1</definedName>
    <definedName name="EV__WBREFOPTIONS__" hidden="1">134217735</definedName>
    <definedName name="EV__WBVERSION__" hidden="1">0</definedName>
    <definedName name="F1HIKE" localSheetId="18">#REF!</definedName>
    <definedName name="F1HIKE" localSheetId="13">#REF!</definedName>
    <definedName name="F1HIKE" localSheetId="17">#REF!</definedName>
    <definedName name="F1HIKE" localSheetId="11">#REF!</definedName>
    <definedName name="F1HIKE">#REF!</definedName>
    <definedName name="FACILITY" localSheetId="18">#REF!</definedName>
    <definedName name="FACILITY" localSheetId="13">#REF!</definedName>
    <definedName name="FACILITY" localSheetId="17">#REF!</definedName>
    <definedName name="FACILITY" localSheetId="11">#REF!</definedName>
    <definedName name="FACILITY">#REF!</definedName>
    <definedName name="Facility_Costs_per_seat_2010" localSheetId="18">#REF!</definedName>
    <definedName name="Facility_Costs_per_seat_2010" localSheetId="13">#REF!</definedName>
    <definedName name="Facility_Costs_per_seat_2010" localSheetId="17">#REF!</definedName>
    <definedName name="Facility_Costs_per_seat_2010" localSheetId="11">#REF!</definedName>
    <definedName name="Facility_Costs_per_seat_2010">#REF!</definedName>
    <definedName name="FACIT" localSheetId="18">#REF!</definedName>
    <definedName name="FACIT" localSheetId="13">#REF!</definedName>
    <definedName name="FACIT" localSheetId="17">#REF!</definedName>
    <definedName name="FACIT" localSheetId="11">#REF!</definedName>
    <definedName name="FACIT">#REF!</definedName>
    <definedName name="Feb_Inv" localSheetId="18">#REF!</definedName>
    <definedName name="Feb_Inv" localSheetId="13">#REF!</definedName>
    <definedName name="Feb_Inv" localSheetId="17">#REF!</definedName>
    <definedName name="Feb_Inv" localSheetId="11">#REF!</definedName>
    <definedName name="Feb_Inv">#REF!</definedName>
    <definedName name="flfasdfj" localSheetId="16" hidden="1">{"Page 1",#N/A,TRUE,"Sheet1";"Page 2",#N/A,TRUE,"Sheet1"}</definedName>
    <definedName name="flfasdfj" localSheetId="21" hidden="1">{"Page 1",#N/A,TRUE,"Sheet1";"Page 2",#N/A,TRUE,"Sheet1"}</definedName>
    <definedName name="flfasdfj" localSheetId="22" hidden="1">{"Page 1",#N/A,TRUE,"Sheet1";"Page 2",#N/A,TRUE,"Sheet1"}</definedName>
    <definedName name="flfasdfj" localSheetId="27" hidden="1">{"Page 1",#N/A,TRUE,"Sheet1";"Page 2",#N/A,TRUE,"Sheet1"}</definedName>
    <definedName name="flfasdfj" localSheetId="26" hidden="1">{"Page 1",#N/A,TRUE,"Sheet1";"Page 2",#N/A,TRUE,"Sheet1"}</definedName>
    <definedName name="flfasdfj" localSheetId="25" hidden="1">{"Page 1",#N/A,TRUE,"Sheet1";"Page 2",#N/A,TRUE,"Sheet1"}</definedName>
    <definedName name="flfasdfj" localSheetId="24" hidden="1">{"Page 1",#N/A,TRUE,"Sheet1";"Page 2",#N/A,TRUE,"Sheet1"}</definedName>
    <definedName name="flfasdfj" localSheetId="23" hidden="1">{"Page 1",#N/A,TRUE,"Sheet1";"Page 2",#N/A,TRUE,"Sheet1"}</definedName>
    <definedName name="flfasdfj" localSheetId="1" hidden="1">{"Page 1",#N/A,TRUE,"Sheet1";"Page 2",#N/A,TRUE,"Sheet1"}</definedName>
    <definedName name="flfasdfj" localSheetId="20" hidden="1">{"Page 1",#N/A,TRUE,"Sheet1";"Page 2",#N/A,TRUE,"Sheet1"}</definedName>
    <definedName name="flfasdfj" localSheetId="15" hidden="1">{"Page 1",#N/A,TRUE,"Sheet1";"Page 2",#N/A,TRUE,"Sheet1"}</definedName>
    <definedName name="flfasdfj" localSheetId="18" hidden="1">{"Page 1",#N/A,TRUE,"Sheet1";"Page 2",#N/A,TRUE,"Sheet1"}</definedName>
    <definedName name="flfasdfj" localSheetId="13" hidden="1">{"Page 1",#N/A,TRUE,"Sheet1";"Page 2",#N/A,TRUE,"Sheet1"}</definedName>
    <definedName name="flfasdfj" localSheetId="14" hidden="1">{"Page 1",#N/A,TRUE,"Sheet1";"Page 2",#N/A,TRUE,"Sheet1"}</definedName>
    <definedName name="flfasdfj" localSheetId="19" hidden="1">{"Page 1",#N/A,TRUE,"Sheet1";"Page 2",#N/A,TRUE,"Sheet1"}</definedName>
    <definedName name="flfasdfj" localSheetId="17" hidden="1">{"Page 1",#N/A,TRUE,"Sheet1";"Page 2",#N/A,TRUE,"Sheet1"}</definedName>
    <definedName name="flfasdfj" localSheetId="12" hidden="1">{"Page 1",#N/A,TRUE,"Sheet1";"Page 2",#N/A,TRUE,"Sheet1"}</definedName>
    <definedName name="flfasdfj" localSheetId="11" hidden="1">{"Page 1",#N/A,TRUE,"Sheet1";"Page 2",#N/A,TRUE,"Sheet1"}</definedName>
    <definedName name="flfasdfj" hidden="1">{"Page 1",#N/A,TRUE,"Sheet1";"Page 2",#N/A,TRUE,"Sheet1"}</definedName>
    <definedName name="FT" localSheetId="18">#REF!</definedName>
    <definedName name="FT" localSheetId="13">#REF!</definedName>
    <definedName name="FT" localSheetId="17">#REF!</definedName>
    <definedName name="FT" localSheetId="11">#REF!</definedName>
    <definedName name="FT">#REF!</definedName>
    <definedName name="g" localSheetId="18" hidden="1">#REF!</definedName>
    <definedName name="g" localSheetId="13" hidden="1">#REF!</definedName>
    <definedName name="g" localSheetId="17" hidden="1">#REF!</definedName>
    <definedName name="g" localSheetId="11" hidden="1">#REF!</definedName>
    <definedName name="g" hidden="1">#REF!</definedName>
    <definedName name="Holidays" localSheetId="18">#REF!</definedName>
    <definedName name="Holidays" localSheetId="13">#REF!</definedName>
    <definedName name="Holidays" localSheetId="17">#REF!</definedName>
    <definedName name="Holidays" localSheetId="11">#REF!</definedName>
    <definedName name="Holidays">#REF!</definedName>
    <definedName name="HTML_CodePage" hidden="1">950</definedName>
    <definedName name="HTML_Control" localSheetId="16" hidden="1">{"'Sheet1'!$L$16"}</definedName>
    <definedName name="HTML_Control" localSheetId="21" hidden="1">{"'Sheet1'!$L$16"}</definedName>
    <definedName name="HTML_Control" localSheetId="22" hidden="1">{"'Sheet1'!$L$16"}</definedName>
    <definedName name="HTML_Control" localSheetId="27" hidden="1">{"'Sheet1'!$L$16"}</definedName>
    <definedName name="HTML_Control" localSheetId="26" hidden="1">{"'Sheet1'!$L$16"}</definedName>
    <definedName name="HTML_Control" localSheetId="25" hidden="1">{"'Sheet1'!$L$16"}</definedName>
    <definedName name="HTML_Control" localSheetId="24" hidden="1">{"'Sheet1'!$L$16"}</definedName>
    <definedName name="HTML_Control" localSheetId="23" hidden="1">{"'Sheet1'!$L$16"}</definedName>
    <definedName name="HTML_Control" localSheetId="1" hidden="1">{"'Sheet1'!$L$16"}</definedName>
    <definedName name="HTML_Control" localSheetId="20" hidden="1">{"'Sheet1'!$L$16"}</definedName>
    <definedName name="HTML_Control" localSheetId="15" hidden="1">{"'Sheet1'!$L$16"}</definedName>
    <definedName name="HTML_Control" localSheetId="18" hidden="1">{"'Sheet1'!$L$16"}</definedName>
    <definedName name="HTML_Control" localSheetId="13" hidden="1">{"'Sheet1'!$L$16"}</definedName>
    <definedName name="HTML_Control" localSheetId="14" hidden="1">{"'Sheet1'!$L$16"}</definedName>
    <definedName name="HTML_Control" localSheetId="19" hidden="1">{"'Sheet1'!$L$16"}</definedName>
    <definedName name="HTML_Control" localSheetId="17" hidden="1">{"'Sheet1'!$L$16"}</definedName>
    <definedName name="HTML_Control" localSheetId="12" hidden="1">{"'Sheet1'!$L$16"}</definedName>
    <definedName name="HTML_Control" localSheetId="11" hidden="1">{"'Sheet1'!$L$16"}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localSheetId="16" hidden="1">{"'Sheet1'!$L$16"}</definedName>
    <definedName name="huy" localSheetId="21" hidden="1">{"'Sheet1'!$L$16"}</definedName>
    <definedName name="huy" localSheetId="22" hidden="1">{"'Sheet1'!$L$16"}</definedName>
    <definedName name="huy" localSheetId="27" hidden="1">{"'Sheet1'!$L$16"}</definedName>
    <definedName name="huy" localSheetId="26" hidden="1">{"'Sheet1'!$L$16"}</definedName>
    <definedName name="huy" localSheetId="25" hidden="1">{"'Sheet1'!$L$16"}</definedName>
    <definedName name="huy" localSheetId="24" hidden="1">{"'Sheet1'!$L$16"}</definedName>
    <definedName name="huy" localSheetId="23" hidden="1">{"'Sheet1'!$L$16"}</definedName>
    <definedName name="huy" localSheetId="1" hidden="1">{"'Sheet1'!$L$16"}</definedName>
    <definedName name="huy" localSheetId="20" hidden="1">{"'Sheet1'!$L$16"}</definedName>
    <definedName name="huy" localSheetId="15" hidden="1">{"'Sheet1'!$L$16"}</definedName>
    <definedName name="huy" localSheetId="18" hidden="1">{"'Sheet1'!$L$16"}</definedName>
    <definedName name="huy" localSheetId="13" hidden="1">{"'Sheet1'!$L$16"}</definedName>
    <definedName name="huy" localSheetId="14" hidden="1">{"'Sheet1'!$L$16"}</definedName>
    <definedName name="huy" localSheetId="19" hidden="1">{"'Sheet1'!$L$16"}</definedName>
    <definedName name="huy" localSheetId="17" hidden="1">{"'Sheet1'!$L$16"}</definedName>
    <definedName name="huy" localSheetId="12" hidden="1">{"'Sheet1'!$L$16"}</definedName>
    <definedName name="huy" localSheetId="11" hidden="1">{"'Sheet1'!$L$16"}</definedName>
    <definedName name="huy" hidden="1">{"'Sheet1'!$L$16"}</definedName>
    <definedName name="India_International">#REF!</definedName>
    <definedName name="International_Travel_Costs_Per_Trip_2010" localSheetId="18">#REF!</definedName>
    <definedName name="International_Travel_Costs_Per_Trip_2010" localSheetId="13">#REF!</definedName>
    <definedName name="International_Travel_Costs_Per_Trip_2010" localSheetId="17">#REF!</definedName>
    <definedName name="International_Travel_Costs_Per_Trip_2010" localSheetId="11">#REF!</definedName>
    <definedName name="International_Travel_Costs_Per_Trip_2010">#REF!</definedName>
    <definedName name="Intl" localSheetId="18">#REF!</definedName>
    <definedName name="Intl" localSheetId="13">#REF!</definedName>
    <definedName name="Intl" localSheetId="17">#REF!</definedName>
    <definedName name="Intl" localSheetId="11">#REF!</definedName>
    <definedName name="Intl">#REF!</definedName>
    <definedName name="INTLSTAY" localSheetId="18">#REF!</definedName>
    <definedName name="INTLSTAY" localSheetId="13">#REF!</definedName>
    <definedName name="INTLSTAY" localSheetId="17">#REF!</definedName>
    <definedName name="INTLSTAY" localSheetId="11">#REF!</definedName>
    <definedName name="INTLSTAY">#REF!</definedName>
    <definedName name="INTLTRAVEL" localSheetId="18">#REF!</definedName>
    <definedName name="INTLTRAVEL" localSheetId="13">#REF!</definedName>
    <definedName name="INTLTRAVEL" localSheetId="17">#REF!</definedName>
    <definedName name="INTLTRAVEL" localSheetId="11">#REF!</definedName>
    <definedName name="INTLTRAVEL">#REF!</definedName>
    <definedName name="Invoice" localSheetId="18">#REF!</definedName>
    <definedName name="Invoice" localSheetId="13">#REF!</definedName>
    <definedName name="Invoice" localSheetId="17">#REF!</definedName>
    <definedName name="Invoice" localSheetId="11">#REF!</definedName>
    <definedName name="Invoice">#REF!</definedName>
    <definedName name="Invoice1" localSheetId="18">#REF!</definedName>
    <definedName name="Invoice1" localSheetId="13">#REF!</definedName>
    <definedName name="Invoice1" localSheetId="17">#REF!</definedName>
    <definedName name="Invoice1" localSheetId="11">#REF!</definedName>
    <definedName name="Invoice1">#REF!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40868.3572222222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IQuartileR1">#REF!</definedName>
    <definedName name="IQuartileR2">#REF!</definedName>
    <definedName name="Ireland">#REF!</definedName>
    <definedName name="janInv" localSheetId="18">#REF!</definedName>
    <definedName name="janInv" localSheetId="13">#REF!</definedName>
    <definedName name="janInv" localSheetId="17">#REF!</definedName>
    <definedName name="janInv" localSheetId="11">#REF!</definedName>
    <definedName name="janInv">#REF!</definedName>
    <definedName name="kbid" localSheetId="16" hidden="1">{"PRICE",#N/A,FALSE,"PRICE VAR"}</definedName>
    <definedName name="kbid" localSheetId="21" hidden="1">{"PRICE",#N/A,FALSE,"PRICE VAR"}</definedName>
    <definedName name="kbid" localSheetId="22" hidden="1">{"PRICE",#N/A,FALSE,"PRICE VAR"}</definedName>
    <definedName name="kbid" localSheetId="27" hidden="1">{"PRICE",#N/A,FALSE,"PRICE VAR"}</definedName>
    <definedName name="kbid" localSheetId="26" hidden="1">{"PRICE",#N/A,FALSE,"PRICE VAR"}</definedName>
    <definedName name="kbid" localSheetId="25" hidden="1">{"PRICE",#N/A,FALSE,"PRICE VAR"}</definedName>
    <definedName name="kbid" localSheetId="24" hidden="1">{"PRICE",#N/A,FALSE,"PRICE VAR"}</definedName>
    <definedName name="kbid" localSheetId="23" hidden="1">{"PRICE",#N/A,FALSE,"PRICE VAR"}</definedName>
    <definedName name="kbid" localSheetId="20" hidden="1">{"PRICE",#N/A,FALSE,"PRICE VAR"}</definedName>
    <definedName name="kbid" localSheetId="15" hidden="1">{"PRICE",#N/A,FALSE,"PRICE VAR"}</definedName>
    <definedName name="kbid" localSheetId="18" hidden="1">{"PRICE",#N/A,FALSE,"PRICE VAR"}</definedName>
    <definedName name="kbid" localSheetId="13" hidden="1">{"PRICE",#N/A,FALSE,"PRICE VAR"}</definedName>
    <definedName name="kbid" localSheetId="14" hidden="1">{"PRICE",#N/A,FALSE,"PRICE VAR"}</definedName>
    <definedName name="kbid" localSheetId="19" hidden="1">{"PRICE",#N/A,FALSE,"PRICE VAR"}</definedName>
    <definedName name="kbid" localSheetId="17" hidden="1">{"PRICE",#N/A,FALSE,"PRICE VAR"}</definedName>
    <definedName name="kbid" localSheetId="12" hidden="1">{"PRICE",#N/A,FALSE,"PRICE VAR"}</definedName>
    <definedName name="kbid" localSheetId="11" hidden="1">{"PRICE",#N/A,FALSE,"PRICE VAR"}</definedName>
    <definedName name="kbid" hidden="1">{"PRICE",#N/A,FALSE,"PRICE VAR"}</definedName>
    <definedName name="kbps" localSheetId="18">#REF!</definedName>
    <definedName name="kbps" localSheetId="13">#REF!</definedName>
    <definedName name="kbps" localSheetId="17">#REF!</definedName>
    <definedName name="kbps" localSheetId="11">#REF!</definedName>
    <definedName name="kbps">#REF!</definedName>
    <definedName name="kdibm" localSheetId="16" hidden="1">{"REPORT100",#N/A,FALSE,"100 &amp; 110"}</definedName>
    <definedName name="kdibm" localSheetId="21" hidden="1">{"REPORT100",#N/A,FALSE,"100 &amp; 110"}</definedName>
    <definedName name="kdibm" localSheetId="22" hidden="1">{"REPORT100",#N/A,FALSE,"100 &amp; 110"}</definedName>
    <definedName name="kdibm" localSheetId="27" hidden="1">{"REPORT100",#N/A,FALSE,"100 &amp; 110"}</definedName>
    <definedName name="kdibm" localSheetId="26" hidden="1">{"REPORT100",#N/A,FALSE,"100 &amp; 110"}</definedName>
    <definedName name="kdibm" localSheetId="25" hidden="1">{"REPORT100",#N/A,FALSE,"100 &amp; 110"}</definedName>
    <definedName name="kdibm" localSheetId="24" hidden="1">{"REPORT100",#N/A,FALSE,"100 &amp; 110"}</definedName>
    <definedName name="kdibm" localSheetId="23" hidden="1">{"REPORT100",#N/A,FALSE,"100 &amp; 110"}</definedName>
    <definedName name="kdibm" localSheetId="20" hidden="1">{"REPORT100",#N/A,FALSE,"100 &amp; 110"}</definedName>
    <definedName name="kdibm" localSheetId="15" hidden="1">{"REPORT100",#N/A,FALSE,"100 &amp; 110"}</definedName>
    <definedName name="kdibm" localSheetId="18" hidden="1">{"REPORT100",#N/A,FALSE,"100 &amp; 110"}</definedName>
    <definedName name="kdibm" localSheetId="13" hidden="1">{"REPORT100",#N/A,FALSE,"100 &amp; 110"}</definedName>
    <definedName name="kdibm" localSheetId="14" hidden="1">{"REPORT100",#N/A,FALSE,"100 &amp; 110"}</definedName>
    <definedName name="kdibm" localSheetId="19" hidden="1">{"REPORT100",#N/A,FALSE,"100 &amp; 110"}</definedName>
    <definedName name="kdibm" localSheetId="17" hidden="1">{"REPORT100",#N/A,FALSE,"100 &amp; 110"}</definedName>
    <definedName name="kdibm" localSheetId="12" hidden="1">{"REPORT100",#N/A,FALSE,"100 &amp; 110"}</definedName>
    <definedName name="kdibm" localSheetId="11" hidden="1">{"REPORT100",#N/A,FALSE,"100 &amp; 110"}</definedName>
    <definedName name="kdibm" hidden="1">{"REPORT100",#N/A,FALSE,"100 &amp; 110"}</definedName>
    <definedName name="kibmb" localSheetId="16" hidden="1">{"MFG COGS",#N/A,FALSE,"MFG COGS";"MFGCOGS ESTIMATES",#N/A,FALSE,"MFG COGS"}</definedName>
    <definedName name="kibmb" localSheetId="21" hidden="1">{"MFG COGS",#N/A,FALSE,"MFG COGS";"MFGCOGS ESTIMATES",#N/A,FALSE,"MFG COGS"}</definedName>
    <definedName name="kibmb" localSheetId="22" hidden="1">{"MFG COGS",#N/A,FALSE,"MFG COGS";"MFGCOGS ESTIMATES",#N/A,FALSE,"MFG COGS"}</definedName>
    <definedName name="kibmb" localSheetId="27" hidden="1">{"MFG COGS",#N/A,FALSE,"MFG COGS";"MFGCOGS ESTIMATES",#N/A,FALSE,"MFG COGS"}</definedName>
    <definedName name="kibmb" localSheetId="26" hidden="1">{"MFG COGS",#N/A,FALSE,"MFG COGS";"MFGCOGS ESTIMATES",#N/A,FALSE,"MFG COGS"}</definedName>
    <definedName name="kibmb" localSheetId="25" hidden="1">{"MFG COGS",#N/A,FALSE,"MFG COGS";"MFGCOGS ESTIMATES",#N/A,FALSE,"MFG COGS"}</definedName>
    <definedName name="kibmb" localSheetId="24" hidden="1">{"MFG COGS",#N/A,FALSE,"MFG COGS";"MFGCOGS ESTIMATES",#N/A,FALSE,"MFG COGS"}</definedName>
    <definedName name="kibmb" localSheetId="23" hidden="1">{"MFG COGS",#N/A,FALSE,"MFG COGS";"MFGCOGS ESTIMATES",#N/A,FALSE,"MFG COGS"}</definedName>
    <definedName name="kibmb" localSheetId="20" hidden="1">{"MFG COGS",#N/A,FALSE,"MFG COGS";"MFGCOGS ESTIMATES",#N/A,FALSE,"MFG COGS"}</definedName>
    <definedName name="kibmb" localSheetId="15" hidden="1">{"MFG COGS",#N/A,FALSE,"MFG COGS";"MFGCOGS ESTIMATES",#N/A,FALSE,"MFG COGS"}</definedName>
    <definedName name="kibmb" localSheetId="18" hidden="1">{"MFG COGS",#N/A,FALSE,"MFG COGS";"MFGCOGS ESTIMATES",#N/A,FALSE,"MFG COGS"}</definedName>
    <definedName name="kibmb" localSheetId="13" hidden="1">{"MFG COGS",#N/A,FALSE,"MFG COGS";"MFGCOGS ESTIMATES",#N/A,FALSE,"MFG COGS"}</definedName>
    <definedName name="kibmb" localSheetId="14" hidden="1">{"MFG COGS",#N/A,FALSE,"MFG COGS";"MFGCOGS ESTIMATES",#N/A,FALSE,"MFG COGS"}</definedName>
    <definedName name="kibmb" localSheetId="19" hidden="1">{"MFG COGS",#N/A,FALSE,"MFG COGS";"MFGCOGS ESTIMATES",#N/A,FALSE,"MFG COGS"}</definedName>
    <definedName name="kibmb" localSheetId="17" hidden="1">{"MFG COGS",#N/A,FALSE,"MFG COGS";"MFGCOGS ESTIMATES",#N/A,FALSE,"MFG COGS"}</definedName>
    <definedName name="kibmb" localSheetId="12" hidden="1">{"MFG COGS",#N/A,FALSE,"MFG COGS";"MFGCOGS ESTIMATES",#N/A,FALSE,"MFG COGS"}</definedName>
    <definedName name="kibmb" localSheetId="11" hidden="1">{"MFG COGS",#N/A,FALSE,"MFG COGS";"MFGCOGS ESTIMATES",#N/A,FALSE,"MFG COGS"}</definedName>
    <definedName name="kibmb" hidden="1">{"MFG COGS",#N/A,FALSE,"MFG COGS";"MFGCOGS ESTIMATES",#N/A,FALSE,"MFG COGS"}</definedName>
    <definedName name="kiby\" localSheetId="16" hidden="1">{"JOBCOGS",#N/A,FALSE,"JOB COGS";"JOBHIST",#N/A,FALSE,"JOB COGS"}</definedName>
    <definedName name="kiby\" localSheetId="21" hidden="1">{"JOBCOGS",#N/A,FALSE,"JOB COGS";"JOBHIST",#N/A,FALSE,"JOB COGS"}</definedName>
    <definedName name="kiby\" localSheetId="22" hidden="1">{"JOBCOGS",#N/A,FALSE,"JOB COGS";"JOBHIST",#N/A,FALSE,"JOB COGS"}</definedName>
    <definedName name="kiby\" localSheetId="27" hidden="1">{"JOBCOGS",#N/A,FALSE,"JOB COGS";"JOBHIST",#N/A,FALSE,"JOB COGS"}</definedName>
    <definedName name="kiby\" localSheetId="26" hidden="1">{"JOBCOGS",#N/A,FALSE,"JOB COGS";"JOBHIST",#N/A,FALSE,"JOB COGS"}</definedName>
    <definedName name="kiby\" localSheetId="25" hidden="1">{"JOBCOGS",#N/A,FALSE,"JOB COGS";"JOBHIST",#N/A,FALSE,"JOB COGS"}</definedName>
    <definedName name="kiby\" localSheetId="24" hidden="1">{"JOBCOGS",#N/A,FALSE,"JOB COGS";"JOBHIST",#N/A,FALSE,"JOB COGS"}</definedName>
    <definedName name="kiby\" localSheetId="23" hidden="1">{"JOBCOGS",#N/A,FALSE,"JOB COGS";"JOBHIST",#N/A,FALSE,"JOB COGS"}</definedName>
    <definedName name="kiby\" localSheetId="20" hidden="1">{"JOBCOGS",#N/A,FALSE,"JOB COGS";"JOBHIST",#N/A,FALSE,"JOB COGS"}</definedName>
    <definedName name="kiby\" localSheetId="15" hidden="1">{"JOBCOGS",#N/A,FALSE,"JOB COGS";"JOBHIST",#N/A,FALSE,"JOB COGS"}</definedName>
    <definedName name="kiby\" localSheetId="18" hidden="1">{"JOBCOGS",#N/A,FALSE,"JOB COGS";"JOBHIST",#N/A,FALSE,"JOB COGS"}</definedName>
    <definedName name="kiby\" localSheetId="13" hidden="1">{"JOBCOGS",#N/A,FALSE,"JOB COGS";"JOBHIST",#N/A,FALSE,"JOB COGS"}</definedName>
    <definedName name="kiby\" localSheetId="14" hidden="1">{"JOBCOGS",#N/A,FALSE,"JOB COGS";"JOBHIST",#N/A,FALSE,"JOB COGS"}</definedName>
    <definedName name="kiby\" localSheetId="19" hidden="1">{"JOBCOGS",#N/A,FALSE,"JOB COGS";"JOBHIST",#N/A,FALSE,"JOB COGS"}</definedName>
    <definedName name="kiby\" localSheetId="17" hidden="1">{"JOBCOGS",#N/A,FALSE,"JOB COGS";"JOBHIST",#N/A,FALSE,"JOB COGS"}</definedName>
    <definedName name="kiby\" localSheetId="12" hidden="1">{"JOBCOGS",#N/A,FALSE,"JOB COGS";"JOBHIST",#N/A,FALSE,"JOB COGS"}</definedName>
    <definedName name="kiby\" localSheetId="11" hidden="1">{"JOBCOGS",#N/A,FALSE,"JOB COGS";"JOBHIST",#N/A,FALSE,"JOB COGS"}</definedName>
    <definedName name="kiby\" hidden="1">{"JOBCOGS",#N/A,FALSE,"JOB COGS";"JOBHIST",#N/A,FALSE,"JOB COGS"}</definedName>
    <definedName name="kim" localSheetId="16" hidden="1">{"CONSOL",#N/A,FALSE,"CONSOLIDATION"}</definedName>
    <definedName name="kim" localSheetId="21" hidden="1">{"CONSOL",#N/A,FALSE,"CONSOLIDATION"}</definedName>
    <definedName name="kim" localSheetId="22" hidden="1">{"CONSOL",#N/A,FALSE,"CONSOLIDATION"}</definedName>
    <definedName name="kim" localSheetId="27" hidden="1">{"CONSOL",#N/A,FALSE,"CONSOLIDATION"}</definedName>
    <definedName name="kim" localSheetId="26" hidden="1">{"CONSOL",#N/A,FALSE,"CONSOLIDATION"}</definedName>
    <definedName name="kim" localSheetId="25" hidden="1">{"CONSOL",#N/A,FALSE,"CONSOLIDATION"}</definedName>
    <definedName name="kim" localSheetId="24" hidden="1">{"CONSOL",#N/A,FALSE,"CONSOLIDATION"}</definedName>
    <definedName name="kim" localSheetId="23" hidden="1">{"CONSOL",#N/A,FALSE,"CONSOLIDATION"}</definedName>
    <definedName name="kim" localSheetId="20" hidden="1">{"CONSOL",#N/A,FALSE,"CONSOLIDATION"}</definedName>
    <definedName name="kim" localSheetId="15" hidden="1">{"CONSOL",#N/A,FALSE,"CONSOLIDATION"}</definedName>
    <definedName name="kim" localSheetId="18" hidden="1">{"CONSOL",#N/A,FALSE,"CONSOLIDATION"}</definedName>
    <definedName name="kim" localSheetId="13" hidden="1">{"CONSOL",#N/A,FALSE,"CONSOLIDATION"}</definedName>
    <definedName name="kim" localSheetId="14" hidden="1">{"CONSOL",#N/A,FALSE,"CONSOLIDATION"}</definedName>
    <definedName name="kim" localSheetId="19" hidden="1">{"CONSOL",#N/A,FALSE,"CONSOLIDATION"}</definedName>
    <definedName name="kim" localSheetId="17" hidden="1">{"CONSOL",#N/A,FALSE,"CONSOLIDATION"}</definedName>
    <definedName name="kim" localSheetId="12" hidden="1">{"CONSOL",#N/A,FALSE,"CONSOLIDATION"}</definedName>
    <definedName name="kim" localSheetId="11" hidden="1">{"CONSOL",#N/A,FALSE,"CONSOLIDATION"}</definedName>
    <definedName name="kim" hidden="1">{"CONSOL",#N/A,FALSE,"CONSOLIDATION"}</definedName>
    <definedName name="kimb" localSheetId="16" hidden="1">{"EXCH HIST",#N/A,FALSE,"EXCHANGE VAR";"RATES",#N/A,FALSE,"EXCHANGE VAR"}</definedName>
    <definedName name="kimb" localSheetId="21" hidden="1">{"EXCH HIST",#N/A,FALSE,"EXCHANGE VAR";"RATES",#N/A,FALSE,"EXCHANGE VAR"}</definedName>
    <definedName name="kimb" localSheetId="22" hidden="1">{"EXCH HIST",#N/A,FALSE,"EXCHANGE VAR";"RATES",#N/A,FALSE,"EXCHANGE VAR"}</definedName>
    <definedName name="kimb" localSheetId="27" hidden="1">{"EXCH HIST",#N/A,FALSE,"EXCHANGE VAR";"RATES",#N/A,FALSE,"EXCHANGE VAR"}</definedName>
    <definedName name="kimb" localSheetId="26" hidden="1">{"EXCH HIST",#N/A,FALSE,"EXCHANGE VAR";"RATES",#N/A,FALSE,"EXCHANGE VAR"}</definedName>
    <definedName name="kimb" localSheetId="25" hidden="1">{"EXCH HIST",#N/A,FALSE,"EXCHANGE VAR";"RATES",#N/A,FALSE,"EXCHANGE VAR"}</definedName>
    <definedName name="kimb" localSheetId="24" hidden="1">{"EXCH HIST",#N/A,FALSE,"EXCHANGE VAR";"RATES",#N/A,FALSE,"EXCHANGE VAR"}</definedName>
    <definedName name="kimb" localSheetId="23" hidden="1">{"EXCH HIST",#N/A,FALSE,"EXCHANGE VAR";"RATES",#N/A,FALSE,"EXCHANGE VAR"}</definedName>
    <definedName name="kimb" localSheetId="20" hidden="1">{"EXCH HIST",#N/A,FALSE,"EXCHANGE VAR";"RATES",#N/A,FALSE,"EXCHANGE VAR"}</definedName>
    <definedName name="kimb" localSheetId="15" hidden="1">{"EXCH HIST",#N/A,FALSE,"EXCHANGE VAR";"RATES",#N/A,FALSE,"EXCHANGE VAR"}</definedName>
    <definedName name="kimb" localSheetId="18" hidden="1">{"EXCH HIST",#N/A,FALSE,"EXCHANGE VAR";"RATES",#N/A,FALSE,"EXCHANGE VAR"}</definedName>
    <definedName name="kimb" localSheetId="13" hidden="1">{"EXCH HIST",#N/A,FALSE,"EXCHANGE VAR";"RATES",#N/A,FALSE,"EXCHANGE VAR"}</definedName>
    <definedName name="kimb" localSheetId="14" hidden="1">{"EXCH HIST",#N/A,FALSE,"EXCHANGE VAR";"RATES",#N/A,FALSE,"EXCHANGE VAR"}</definedName>
    <definedName name="kimb" localSheetId="19" hidden="1">{"EXCH HIST",#N/A,FALSE,"EXCHANGE VAR";"RATES",#N/A,FALSE,"EXCHANGE VAR"}</definedName>
    <definedName name="kimb" localSheetId="17" hidden="1">{"EXCH HIST",#N/A,FALSE,"EXCHANGE VAR";"RATES",#N/A,FALSE,"EXCHANGE VAR"}</definedName>
    <definedName name="kimb" localSheetId="12" hidden="1">{"EXCH HIST",#N/A,FALSE,"EXCHANGE VAR";"RATES",#N/A,FALSE,"EXCHANGE VAR"}</definedName>
    <definedName name="kimb" localSheetId="11" hidden="1">{"EXCH HIST",#N/A,FALSE,"EXCHANGE VAR";"RATES",#N/A,FALSE,"EXCHANGE VAR"}</definedName>
    <definedName name="kimb" hidden="1">{"EXCH HIST",#N/A,FALSE,"EXCHANGE VAR";"RATES",#N/A,FALSE,"EXCHANGE VAR"}</definedName>
    <definedName name="kimbmb" localSheetId="16" hidden="1">{"MFGVAR",#N/A,FALSE,"MFG VAR"}</definedName>
    <definedName name="kimbmb" localSheetId="21" hidden="1">{"MFGVAR",#N/A,FALSE,"MFG VAR"}</definedName>
    <definedName name="kimbmb" localSheetId="22" hidden="1">{"MFGVAR",#N/A,FALSE,"MFG VAR"}</definedName>
    <definedName name="kimbmb" localSheetId="27" hidden="1">{"MFGVAR",#N/A,FALSE,"MFG VAR"}</definedName>
    <definedName name="kimbmb" localSheetId="26" hidden="1">{"MFGVAR",#N/A,FALSE,"MFG VAR"}</definedName>
    <definedName name="kimbmb" localSheetId="25" hidden="1">{"MFGVAR",#N/A,FALSE,"MFG VAR"}</definedName>
    <definedName name="kimbmb" localSheetId="24" hidden="1">{"MFGVAR",#N/A,FALSE,"MFG VAR"}</definedName>
    <definedName name="kimbmb" localSheetId="23" hidden="1">{"MFGVAR",#N/A,FALSE,"MFG VAR"}</definedName>
    <definedName name="kimbmb" localSheetId="20" hidden="1">{"MFGVAR",#N/A,FALSE,"MFG VAR"}</definedName>
    <definedName name="kimbmb" localSheetId="15" hidden="1">{"MFGVAR",#N/A,FALSE,"MFG VAR"}</definedName>
    <definedName name="kimbmb" localSheetId="18" hidden="1">{"MFGVAR",#N/A,FALSE,"MFG VAR"}</definedName>
    <definedName name="kimbmb" localSheetId="13" hidden="1">{"MFGVAR",#N/A,FALSE,"MFG VAR"}</definedName>
    <definedName name="kimbmb" localSheetId="14" hidden="1">{"MFGVAR",#N/A,FALSE,"MFG VAR"}</definedName>
    <definedName name="kimbmb" localSheetId="19" hidden="1">{"MFGVAR",#N/A,FALSE,"MFG VAR"}</definedName>
    <definedName name="kimbmb" localSheetId="17" hidden="1">{"MFGVAR",#N/A,FALSE,"MFG VAR"}</definedName>
    <definedName name="kimbmb" localSheetId="12" hidden="1">{"MFGVAR",#N/A,FALSE,"MFG VAR"}</definedName>
    <definedName name="kimbmb" localSheetId="11" hidden="1">{"MFGVAR",#N/A,FALSE,"MFG VAR"}</definedName>
    <definedName name="kimbmb" hidden="1">{"MFGVAR",#N/A,FALSE,"MFG VAR"}</definedName>
    <definedName name="kodak" localSheetId="16" hidden="1">{"REPORT100",#N/A,FALSE,"100 &amp; 110"}</definedName>
    <definedName name="kodak" localSheetId="21" hidden="1">{"REPORT100",#N/A,FALSE,"100 &amp; 110"}</definedName>
    <definedName name="kodak" localSheetId="22" hidden="1">{"REPORT100",#N/A,FALSE,"100 &amp; 110"}</definedName>
    <definedName name="kodak" localSheetId="27" hidden="1">{"REPORT100",#N/A,FALSE,"100 &amp; 110"}</definedName>
    <definedName name="kodak" localSheetId="26" hidden="1">{"REPORT100",#N/A,FALSE,"100 &amp; 110"}</definedName>
    <definedName name="kodak" localSheetId="25" hidden="1">{"REPORT100",#N/A,FALSE,"100 &amp; 110"}</definedName>
    <definedName name="kodak" localSheetId="24" hidden="1">{"REPORT100",#N/A,FALSE,"100 &amp; 110"}</definedName>
    <definedName name="kodak" localSheetId="23" hidden="1">{"REPORT100",#N/A,FALSE,"100 &amp; 110"}</definedName>
    <definedName name="kodak" localSheetId="20" hidden="1">{"REPORT100",#N/A,FALSE,"100 &amp; 110"}</definedName>
    <definedName name="kodak" localSheetId="15" hidden="1">{"REPORT100",#N/A,FALSE,"100 &amp; 110"}</definedName>
    <definedName name="kodak" localSheetId="18" hidden="1">{"REPORT100",#N/A,FALSE,"100 &amp; 110"}</definedName>
    <definedName name="kodak" localSheetId="13" hidden="1">{"REPORT100",#N/A,FALSE,"100 &amp; 110"}</definedName>
    <definedName name="kodak" localSheetId="14" hidden="1">{"REPORT100",#N/A,FALSE,"100 &amp; 110"}</definedName>
    <definedName name="kodak" localSheetId="19" hidden="1">{"REPORT100",#N/A,FALSE,"100 &amp; 110"}</definedName>
    <definedName name="kodak" localSheetId="17" hidden="1">{"REPORT100",#N/A,FALSE,"100 &amp; 110"}</definedName>
    <definedName name="kodak" localSheetId="12" hidden="1">{"REPORT100",#N/A,FALSE,"100 &amp; 110"}</definedName>
    <definedName name="kodak" localSheetId="11" hidden="1">{"REPORT100",#N/A,FALSE,"100 &amp; 110"}</definedName>
    <definedName name="kodak" hidden="1">{"REPORT100",#N/A,FALSE,"100 &amp; 110"}</definedName>
    <definedName name="kodakrjs" localSheetId="16" hidden="1">{"MFG COGS",#N/A,FALSE,"MFG COGS";"MFGCOGS ESTIMATES",#N/A,FALSE,"MFG COGS"}</definedName>
    <definedName name="kodakrjs" localSheetId="21" hidden="1">{"MFG COGS",#N/A,FALSE,"MFG COGS";"MFGCOGS ESTIMATES",#N/A,FALSE,"MFG COGS"}</definedName>
    <definedName name="kodakrjs" localSheetId="22" hidden="1">{"MFG COGS",#N/A,FALSE,"MFG COGS";"MFGCOGS ESTIMATES",#N/A,FALSE,"MFG COGS"}</definedName>
    <definedName name="kodakrjs" localSheetId="27" hidden="1">{"MFG COGS",#N/A,FALSE,"MFG COGS";"MFGCOGS ESTIMATES",#N/A,FALSE,"MFG COGS"}</definedName>
    <definedName name="kodakrjs" localSheetId="26" hidden="1">{"MFG COGS",#N/A,FALSE,"MFG COGS";"MFGCOGS ESTIMATES",#N/A,FALSE,"MFG COGS"}</definedName>
    <definedName name="kodakrjs" localSheetId="25" hidden="1">{"MFG COGS",#N/A,FALSE,"MFG COGS";"MFGCOGS ESTIMATES",#N/A,FALSE,"MFG COGS"}</definedName>
    <definedName name="kodakrjs" localSheetId="24" hidden="1">{"MFG COGS",#N/A,FALSE,"MFG COGS";"MFGCOGS ESTIMATES",#N/A,FALSE,"MFG COGS"}</definedName>
    <definedName name="kodakrjs" localSheetId="23" hidden="1">{"MFG COGS",#N/A,FALSE,"MFG COGS";"MFGCOGS ESTIMATES",#N/A,FALSE,"MFG COGS"}</definedName>
    <definedName name="kodakrjs" localSheetId="20" hidden="1">{"MFG COGS",#N/A,FALSE,"MFG COGS";"MFGCOGS ESTIMATES",#N/A,FALSE,"MFG COGS"}</definedName>
    <definedName name="kodakrjs" localSheetId="15" hidden="1">{"MFG COGS",#N/A,FALSE,"MFG COGS";"MFGCOGS ESTIMATES",#N/A,FALSE,"MFG COGS"}</definedName>
    <definedName name="kodakrjs" localSheetId="18" hidden="1">{"MFG COGS",#N/A,FALSE,"MFG COGS";"MFGCOGS ESTIMATES",#N/A,FALSE,"MFG COGS"}</definedName>
    <definedName name="kodakrjs" localSheetId="13" hidden="1">{"MFG COGS",#N/A,FALSE,"MFG COGS";"MFGCOGS ESTIMATES",#N/A,FALSE,"MFG COGS"}</definedName>
    <definedName name="kodakrjs" localSheetId="14" hidden="1">{"MFG COGS",#N/A,FALSE,"MFG COGS";"MFGCOGS ESTIMATES",#N/A,FALSE,"MFG COGS"}</definedName>
    <definedName name="kodakrjs" localSheetId="19" hidden="1">{"MFG COGS",#N/A,FALSE,"MFG COGS";"MFGCOGS ESTIMATES",#N/A,FALSE,"MFG COGS"}</definedName>
    <definedName name="kodakrjs" localSheetId="17" hidden="1">{"MFG COGS",#N/A,FALSE,"MFG COGS";"MFGCOGS ESTIMATES",#N/A,FALSE,"MFG COGS"}</definedName>
    <definedName name="kodakrjs" localSheetId="12" hidden="1">{"MFG COGS",#N/A,FALSE,"MFG COGS";"MFGCOGS ESTIMATES",#N/A,FALSE,"MFG COGS"}</definedName>
    <definedName name="kodakrjs" localSheetId="11" hidden="1">{"MFG COGS",#N/A,FALSE,"MFG COGS";"MFGCOGS ESTIMATES",#N/A,FALSE,"MFG COGS"}</definedName>
    <definedName name="kodakrjs" hidden="1">{"MFG COGS",#N/A,FALSE,"MFG COGS";"MFGCOGS ESTIMATES",#N/A,FALSE,"MFG COGS"}</definedName>
    <definedName name="LOCAL_MYSQL_DATE_FORMAT" localSheetId="1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Mar" localSheetId="16">#REF!</definedName>
    <definedName name="Mar" localSheetId="20">#REF!</definedName>
    <definedName name="Mar" localSheetId="18">#REF!</definedName>
    <definedName name="Mar" localSheetId="13">#REF!</definedName>
    <definedName name="Mar" localSheetId="14">#REF!</definedName>
    <definedName name="Mar" localSheetId="19">#REF!</definedName>
    <definedName name="Mar" localSheetId="17">#REF!</definedName>
    <definedName name="Mar" localSheetId="12">#REF!</definedName>
    <definedName name="Mar" localSheetId="11">#REF!</definedName>
    <definedName name="Mar">#REF!</definedName>
    <definedName name="Maria" localSheetId="16" hidden="1">{"CONSOL",#N/A,FALSE,"CONSOLIDATION"}</definedName>
    <definedName name="Maria" localSheetId="21" hidden="1">{"CONSOL",#N/A,FALSE,"CONSOLIDATION"}</definedName>
    <definedName name="Maria" localSheetId="22" hidden="1">{"CONSOL",#N/A,FALSE,"CONSOLIDATION"}</definedName>
    <definedName name="Maria" localSheetId="27" hidden="1">{"CONSOL",#N/A,FALSE,"CONSOLIDATION"}</definedName>
    <definedName name="Maria" localSheetId="26" hidden="1">{"CONSOL",#N/A,FALSE,"CONSOLIDATION"}</definedName>
    <definedName name="Maria" localSheetId="25" hidden="1">{"CONSOL",#N/A,FALSE,"CONSOLIDATION"}</definedName>
    <definedName name="Maria" localSheetId="24" hidden="1">{"CONSOL",#N/A,FALSE,"CONSOLIDATION"}</definedName>
    <definedName name="Maria" localSheetId="23" hidden="1">{"CONSOL",#N/A,FALSE,"CONSOLIDATION"}</definedName>
    <definedName name="Maria" localSheetId="20" hidden="1">{"CONSOL",#N/A,FALSE,"CONSOLIDATION"}</definedName>
    <definedName name="Maria" localSheetId="15" hidden="1">{"CONSOL",#N/A,FALSE,"CONSOLIDATION"}</definedName>
    <definedName name="Maria" localSheetId="18" hidden="1">{"CONSOL",#N/A,FALSE,"CONSOLIDATION"}</definedName>
    <definedName name="Maria" localSheetId="13" hidden="1">{"CONSOL",#N/A,FALSE,"CONSOLIDATION"}</definedName>
    <definedName name="Maria" localSheetId="14" hidden="1">{"CONSOL",#N/A,FALSE,"CONSOLIDATION"}</definedName>
    <definedName name="Maria" localSheetId="19" hidden="1">{"CONSOL",#N/A,FALSE,"CONSOLIDATION"}</definedName>
    <definedName name="Maria" localSheetId="17" hidden="1">{"CONSOL",#N/A,FALSE,"CONSOLIDATION"}</definedName>
    <definedName name="Maria" localSheetId="12" hidden="1">{"CONSOL",#N/A,FALSE,"CONSOLIDATION"}</definedName>
    <definedName name="Maria" localSheetId="11" hidden="1">{"CONSOL",#N/A,FALSE,"CONSOLIDATION"}</definedName>
    <definedName name="Maria" hidden="1">{"CONSOL",#N/A,FALSE,"CONSOLIDATION"}</definedName>
    <definedName name="MEWarning" localSheetId="16" hidden="1">1</definedName>
    <definedName name="MEWarning" localSheetId="21" hidden="1">0</definedName>
    <definedName name="MEWarning" localSheetId="22" hidden="1">1</definedName>
    <definedName name="MEWarning" localSheetId="27" hidden="1">1</definedName>
    <definedName name="MEWarning" localSheetId="26" hidden="1">1</definedName>
    <definedName name="MEWarning" localSheetId="25" hidden="1">1</definedName>
    <definedName name="MEWarning" localSheetId="24" hidden="1">1</definedName>
    <definedName name="MEWarning" localSheetId="23" hidden="1">1</definedName>
    <definedName name="MEWarning" localSheetId="20" hidden="1">1</definedName>
    <definedName name="MEWarning" localSheetId="15" hidden="1">1</definedName>
    <definedName name="MEWarning" localSheetId="18" hidden="1">1</definedName>
    <definedName name="MEWarning" localSheetId="13" hidden="1">1</definedName>
    <definedName name="MEWarning" localSheetId="14" hidden="1">1</definedName>
    <definedName name="MEWarning" localSheetId="19" hidden="1">1</definedName>
    <definedName name="MEWarning" localSheetId="17" hidden="1">1</definedName>
    <definedName name="MEWarning" localSheetId="12" hidden="1">1</definedName>
    <definedName name="MEWarning" localSheetId="11" hidden="1">1</definedName>
    <definedName name="MEWarning" hidden="1">0</definedName>
    <definedName name="mn" localSheetId="18">#REF!</definedName>
    <definedName name="mn" localSheetId="13">#REF!</definedName>
    <definedName name="mn" localSheetId="17">#REF!</definedName>
    <definedName name="mn" localSheetId="11">#REF!</definedName>
    <definedName name="mn">#REF!</definedName>
    <definedName name="mnchk" localSheetId="18">#REF!</definedName>
    <definedName name="mnchk" localSheetId="13">#REF!</definedName>
    <definedName name="mnchk" localSheetId="17">#REF!</definedName>
    <definedName name="mnchk" localSheetId="11">#REF!</definedName>
    <definedName name="mnchk">#REF!</definedName>
    <definedName name="MULTICURRENCIES">#REF!</definedName>
    <definedName name="n" hidden="1">#REF!</definedName>
    <definedName name="new" localSheetId="18">#REF!</definedName>
    <definedName name="new" localSheetId="13">#REF!</definedName>
    <definedName name="new" localSheetId="17">#REF!</definedName>
    <definedName name="new" localSheetId="11">#REF!</definedName>
    <definedName name="new">#REF!</definedName>
    <definedName name="OUTBOUND" localSheetId="18">#REF!</definedName>
    <definedName name="OUTBOUND" localSheetId="13">#REF!</definedName>
    <definedName name="OUTBOUND" localSheetId="17">#REF!</definedName>
    <definedName name="OUTBOUND" localSheetId="11">#REF!</definedName>
    <definedName name="OUTBOUND">#REF!</definedName>
    <definedName name="p" localSheetId="16" hidden="1">{"Page 1",#N/A,TRUE,"Sheet1";"Page 2",#N/A,TRUE,"Sheet1"}</definedName>
    <definedName name="p" localSheetId="21" hidden="1">{"Page 1",#N/A,TRUE,"Sheet1";"Page 2",#N/A,TRUE,"Sheet1"}</definedName>
    <definedName name="p" localSheetId="22" hidden="1">{"Page 1",#N/A,TRUE,"Sheet1";"Page 2",#N/A,TRUE,"Sheet1"}</definedName>
    <definedName name="p" localSheetId="27" hidden="1">{"Page 1",#N/A,TRUE,"Sheet1";"Page 2",#N/A,TRUE,"Sheet1"}</definedName>
    <definedName name="p" localSheetId="26" hidden="1">{"Page 1",#N/A,TRUE,"Sheet1";"Page 2",#N/A,TRUE,"Sheet1"}</definedName>
    <definedName name="p" localSheetId="25" hidden="1">{"Page 1",#N/A,TRUE,"Sheet1";"Page 2",#N/A,TRUE,"Sheet1"}</definedName>
    <definedName name="p" localSheetId="24" hidden="1">{"Page 1",#N/A,TRUE,"Sheet1";"Page 2",#N/A,TRUE,"Sheet1"}</definedName>
    <definedName name="p" localSheetId="23" hidden="1">{"Page 1",#N/A,TRUE,"Sheet1";"Page 2",#N/A,TRUE,"Sheet1"}</definedName>
    <definedName name="p" localSheetId="20" hidden="1">{"Page 1",#N/A,TRUE,"Sheet1";"Page 2",#N/A,TRUE,"Sheet1"}</definedName>
    <definedName name="p" localSheetId="15" hidden="1">{"Page 1",#N/A,TRUE,"Sheet1";"Page 2",#N/A,TRUE,"Sheet1"}</definedName>
    <definedName name="p" localSheetId="18" hidden="1">{"Page 1",#N/A,TRUE,"Sheet1";"Page 2",#N/A,TRUE,"Sheet1"}</definedName>
    <definedName name="p" localSheetId="13" hidden="1">{"Page 1",#N/A,TRUE,"Sheet1";"Page 2",#N/A,TRUE,"Sheet1"}</definedName>
    <definedName name="p" localSheetId="14" hidden="1">{"Page 1",#N/A,TRUE,"Sheet1";"Page 2",#N/A,TRUE,"Sheet1"}</definedName>
    <definedName name="p" localSheetId="19" hidden="1">{"Page 1",#N/A,TRUE,"Sheet1";"Page 2",#N/A,TRUE,"Sheet1"}</definedName>
    <definedName name="p" localSheetId="17" hidden="1">{"Page 1",#N/A,TRUE,"Sheet1";"Page 2",#N/A,TRUE,"Sheet1"}</definedName>
    <definedName name="p" localSheetId="12" hidden="1">{"Page 1",#N/A,TRUE,"Sheet1";"Page 2",#N/A,TRUE,"Sheet1"}</definedName>
    <definedName name="p" localSheetId="11" hidden="1">{"Page 1",#N/A,TRUE,"Sheet1";"Page 2",#N/A,TRUE,"Sheet1"}</definedName>
    <definedName name="p" hidden="1">{"Page 1",#N/A,TRUE,"Sheet1";"Page 2",#N/A,TRUE,"Sheet1"}</definedName>
    <definedName name="Percentbill" localSheetId="18">#REF!</definedName>
    <definedName name="Percentbill" localSheetId="13">#REF!</definedName>
    <definedName name="Percentbill" localSheetId="17">#REF!</definedName>
    <definedName name="Percentbill" localSheetId="11">#REF!</definedName>
    <definedName name="Percentbill">#REF!</definedName>
    <definedName name="Philippines">#REF!</definedName>
    <definedName name="Philippiness">#REF!</definedName>
    <definedName name="Projects" localSheetId="18">#REF!</definedName>
    <definedName name="Projects" localSheetId="13">#REF!</definedName>
    <definedName name="Projects" localSheetId="17">#REF!</definedName>
    <definedName name="Projects" localSheetId="11">#REF!</definedName>
    <definedName name="Projects">#REF!</definedName>
    <definedName name="RCRT" localSheetId="18">#REF!</definedName>
    <definedName name="RCRT" localSheetId="13">#REF!</definedName>
    <definedName name="RCRT" localSheetId="17">#REF!</definedName>
    <definedName name="RCRT" localSheetId="11">#REF!</definedName>
    <definedName name="RCRT">#REF!</definedName>
    <definedName name="RECRUITMENT" localSheetId="18">#REF!</definedName>
    <definedName name="RECRUITMENT" localSheetId="13">#REF!</definedName>
    <definedName name="RECRUITMENT" localSheetId="17">#REF!</definedName>
    <definedName name="RECRUITMENT" localSheetId="11">#REF!</definedName>
    <definedName name="RECRUITMENT">#REF!</definedName>
    <definedName name="Recruitment_Costs_2010" localSheetId="18">#REF!</definedName>
    <definedName name="Recruitment_Costs_2010" localSheetId="13">#REF!</definedName>
    <definedName name="Recruitment_Costs_2010" localSheetId="17">#REF!</definedName>
    <definedName name="Recruitment_Costs_2010" localSheetId="11">#REF!</definedName>
    <definedName name="Recruitment_Costs_2010">#REF!</definedName>
    <definedName name="RMO_Offshore_Plan">#REF!</definedName>
    <definedName name="RMO_Offshore_Sizing">#REF!</definedName>
    <definedName name="RMO_Onshore_Plan">#REF!</definedName>
    <definedName name="RMO_Onshore_Sizing">#REF!</definedName>
    <definedName name="Roster" localSheetId="18">#REF!</definedName>
    <definedName name="Roster" localSheetId="13">#REF!</definedName>
    <definedName name="Roster" localSheetId="17">#REF!</definedName>
    <definedName name="Roster" localSheetId="11">#REF!</definedName>
    <definedName name="Roster">#REF!</definedName>
    <definedName name="rrrrrr" localSheetId="16" hidden="1">{"MFGVAR",#N/A,FALSE,"MFG VAR"}</definedName>
    <definedName name="rrrrrr" localSheetId="21" hidden="1">{"MFGVAR",#N/A,FALSE,"MFG VAR"}</definedName>
    <definedName name="rrrrrr" localSheetId="22" hidden="1">{"MFGVAR",#N/A,FALSE,"MFG VAR"}</definedName>
    <definedName name="rrrrrr" localSheetId="27" hidden="1">{"MFGVAR",#N/A,FALSE,"MFG VAR"}</definedName>
    <definedName name="rrrrrr" localSheetId="26" hidden="1">{"MFGVAR",#N/A,FALSE,"MFG VAR"}</definedName>
    <definedName name="rrrrrr" localSheetId="25" hidden="1">{"MFGVAR",#N/A,FALSE,"MFG VAR"}</definedName>
    <definedName name="rrrrrr" localSheetId="24" hidden="1">{"MFGVAR",#N/A,FALSE,"MFG VAR"}</definedName>
    <definedName name="rrrrrr" localSheetId="23" hidden="1">{"MFGVAR",#N/A,FALSE,"MFG VAR"}</definedName>
    <definedName name="rrrrrr" localSheetId="20" hidden="1">{"MFGVAR",#N/A,FALSE,"MFG VAR"}</definedName>
    <definedName name="rrrrrr" localSheetId="15" hidden="1">{"MFGVAR",#N/A,FALSE,"MFG VAR"}</definedName>
    <definedName name="rrrrrr" localSheetId="18" hidden="1">{"MFGVAR",#N/A,FALSE,"MFG VAR"}</definedName>
    <definedName name="rrrrrr" localSheetId="13" hidden="1">{"MFGVAR",#N/A,FALSE,"MFG VAR"}</definedName>
    <definedName name="rrrrrr" localSheetId="14" hidden="1">{"MFGVAR",#N/A,FALSE,"MFG VAR"}</definedName>
    <definedName name="rrrrrr" localSheetId="19" hidden="1">{"MFGVAR",#N/A,FALSE,"MFG VAR"}</definedName>
    <definedName name="rrrrrr" localSheetId="17" hidden="1">{"MFGVAR",#N/A,FALSE,"MFG VAR"}</definedName>
    <definedName name="rrrrrr" localSheetId="12" hidden="1">{"MFGVAR",#N/A,FALSE,"MFG VAR"}</definedName>
    <definedName name="rrrrrr" localSheetId="11" hidden="1">{"MFGVAR",#N/A,FALSE,"MFG VAR"}</definedName>
    <definedName name="rrrrrr" hidden="1">{"MFGVAR",#N/A,FALSE,"MFG VAR"}</definedName>
    <definedName name="rt" localSheetId="18">#REF!</definedName>
    <definedName name="rt" localSheetId="13">#REF!</definedName>
    <definedName name="rt" localSheetId="17">#REF!</definedName>
    <definedName name="rt" localSheetId="11">#REF!</definedName>
    <definedName name="rt">#REF!</definedName>
    <definedName name="San" localSheetId="18">#REF!</definedName>
    <definedName name="San" localSheetId="13">#REF!</definedName>
    <definedName name="San" localSheetId="17">#REF!</definedName>
    <definedName name="San" localSheetId="11">#REF!</definedName>
    <definedName name="San">#REF!</definedName>
    <definedName name="segment">#REF!</definedName>
    <definedName name="SETATTRI" localSheetId="18">#REF!</definedName>
    <definedName name="SETATTRI" localSheetId="13">#REF!</definedName>
    <definedName name="SETATTRI" localSheetId="17">#REF!</definedName>
    <definedName name="SETATTRI" localSheetId="11">#REF!</definedName>
    <definedName name="SETATTRI">#REF!</definedName>
    <definedName name="Shift" localSheetId="18">#REF!</definedName>
    <definedName name="Shift" localSheetId="13">#REF!</definedName>
    <definedName name="Shift" localSheetId="17">#REF!</definedName>
    <definedName name="Shift" localSheetId="11">#REF!</definedName>
    <definedName name="Shift">#REF!</definedName>
    <definedName name="sss" localSheetId="16" hidden="1">{"Page 1",#N/A,TRUE,"Sheet1";"Page 2",#N/A,TRUE,"Sheet1"}</definedName>
    <definedName name="sss" localSheetId="21" hidden="1">{"Page 1",#N/A,TRUE,"Sheet1";"Page 2",#N/A,TRUE,"Sheet1"}</definedName>
    <definedName name="sss" localSheetId="22" hidden="1">{"Page 1",#N/A,TRUE,"Sheet1";"Page 2",#N/A,TRUE,"Sheet1"}</definedName>
    <definedName name="sss" localSheetId="27" hidden="1">{"Page 1",#N/A,TRUE,"Sheet1";"Page 2",#N/A,TRUE,"Sheet1"}</definedName>
    <definedName name="sss" localSheetId="26" hidden="1">{"Page 1",#N/A,TRUE,"Sheet1";"Page 2",#N/A,TRUE,"Sheet1"}</definedName>
    <definedName name="sss" localSheetId="25" hidden="1">{"Page 1",#N/A,TRUE,"Sheet1";"Page 2",#N/A,TRUE,"Sheet1"}</definedName>
    <definedName name="sss" localSheetId="24" hidden="1">{"Page 1",#N/A,TRUE,"Sheet1";"Page 2",#N/A,TRUE,"Sheet1"}</definedName>
    <definedName name="sss" localSheetId="23" hidden="1">{"Page 1",#N/A,TRUE,"Sheet1";"Page 2",#N/A,TRUE,"Sheet1"}</definedName>
    <definedName name="sss" localSheetId="1" hidden="1">{"Page 1",#N/A,TRUE,"Sheet1";"Page 2",#N/A,TRUE,"Sheet1"}</definedName>
    <definedName name="sss" localSheetId="20" hidden="1">{"Page 1",#N/A,TRUE,"Sheet1";"Page 2",#N/A,TRUE,"Sheet1"}</definedName>
    <definedName name="sss" localSheetId="15" hidden="1">{"Page 1",#N/A,TRUE,"Sheet1";"Page 2",#N/A,TRUE,"Sheet1"}</definedName>
    <definedName name="sss" localSheetId="18" hidden="1">{"Page 1",#N/A,TRUE,"Sheet1";"Page 2",#N/A,TRUE,"Sheet1"}</definedName>
    <definedName name="sss" localSheetId="13" hidden="1">{"Page 1",#N/A,TRUE,"Sheet1";"Page 2",#N/A,TRUE,"Sheet1"}</definedName>
    <definedName name="sss" localSheetId="14" hidden="1">{"Page 1",#N/A,TRUE,"Sheet1";"Page 2",#N/A,TRUE,"Sheet1"}</definedName>
    <definedName name="sss" localSheetId="19" hidden="1">{"Page 1",#N/A,TRUE,"Sheet1";"Page 2",#N/A,TRUE,"Sheet1"}</definedName>
    <definedName name="sss" localSheetId="17" hidden="1">{"Page 1",#N/A,TRUE,"Sheet1";"Page 2",#N/A,TRUE,"Sheet1"}</definedName>
    <definedName name="sss" localSheetId="12" hidden="1">{"Page 1",#N/A,TRUE,"Sheet1";"Page 2",#N/A,TRUE,"Sheet1"}</definedName>
    <definedName name="sss" localSheetId="11" hidden="1">{"Page 1",#N/A,TRUE,"Sheet1";"Page 2",#N/A,TRUE,"Sheet1"}</definedName>
    <definedName name="sss" hidden="1">{"Page 1",#N/A,TRUE,"Sheet1";"Page 2",#N/A,TRUE,"Sheet1"}</definedName>
    <definedName name="Staff_welfare_Expenses_2010" localSheetId="18">#REF!</definedName>
    <definedName name="Staff_welfare_Expenses_2010" localSheetId="13">#REF!</definedName>
    <definedName name="Staff_welfare_Expenses_2010" localSheetId="17">#REF!</definedName>
    <definedName name="Staff_welfare_Expenses_2010" localSheetId="11">#REF!</definedName>
    <definedName name="Staff_welfare_Expenses_2010">#REF!</definedName>
    <definedName name="StdDev1">#REF!</definedName>
    <definedName name="StdDev2">#REF!</definedName>
    <definedName name="StdDeviation1">#REF!</definedName>
    <definedName name="StdDeviation2">#REF!</definedName>
    <definedName name="Support" localSheetId="18">#REF!</definedName>
    <definedName name="Support" localSheetId="13">#REF!</definedName>
    <definedName name="Support" localSheetId="17">#REF!</definedName>
    <definedName name="Support" localSheetId="11">#REF!</definedName>
    <definedName name="Support">#REF!</definedName>
    <definedName name="Technology_Costs_per_seat_2010" localSheetId="18">#REF!</definedName>
    <definedName name="Technology_Costs_per_seat_2010" localSheetId="13">#REF!</definedName>
    <definedName name="Technology_Costs_per_seat_2010" localSheetId="17">#REF!</definedName>
    <definedName name="Technology_Costs_per_seat_2010" localSheetId="11">#REF!</definedName>
    <definedName name="Technology_Costs_per_seat_2010">#REF!</definedName>
    <definedName name="TEST1" localSheetId="18">#REF!</definedName>
    <definedName name="TEST1" localSheetId="13">#REF!</definedName>
    <definedName name="TEST1" localSheetId="17">#REF!</definedName>
    <definedName name="TEST1" localSheetId="11">#REF!</definedName>
    <definedName name="TEST1">#REF!</definedName>
    <definedName name="TEST2" localSheetId="18">#REF!</definedName>
    <definedName name="TEST2" localSheetId="13">#REF!</definedName>
    <definedName name="TEST2" localSheetId="17">#REF!</definedName>
    <definedName name="TEST2" localSheetId="11">#REF!</definedName>
    <definedName name="TEST2">#REF!</definedName>
    <definedName name="TEST3" localSheetId="18">#REF!</definedName>
    <definedName name="TEST3" localSheetId="13">#REF!</definedName>
    <definedName name="TEST3" localSheetId="17">#REF!</definedName>
    <definedName name="TEST3" localSheetId="11">#REF!</definedName>
    <definedName name="TEST3">#REF!</definedName>
    <definedName name="TESTHKEY" localSheetId="18">#REF!</definedName>
    <definedName name="TESTHKEY" localSheetId="13">#REF!</definedName>
    <definedName name="TESTHKEY" localSheetId="17">#REF!</definedName>
    <definedName name="TESTHKEY" localSheetId="11">#REF!</definedName>
    <definedName name="TESTHKEY">#REF!</definedName>
    <definedName name="TESTKEYS" localSheetId="18">#REF!</definedName>
    <definedName name="TESTKEYS" localSheetId="13">#REF!</definedName>
    <definedName name="TESTKEYS" localSheetId="17">#REF!</definedName>
    <definedName name="TESTKEYS" localSheetId="11">#REF!</definedName>
    <definedName name="TESTKEYS">#REF!</definedName>
    <definedName name="TESTVKEY" localSheetId="18">#REF!</definedName>
    <definedName name="TESTVKEY" localSheetId="13">#REF!</definedName>
    <definedName name="TESTVKEY" localSheetId="17">#REF!</definedName>
    <definedName name="TESTVKEY" localSheetId="11">#REF!</definedName>
    <definedName name="TESTVKEY">#REF!</definedName>
    <definedName name="TRAINING" localSheetId="18">#REF!</definedName>
    <definedName name="TRAINING" localSheetId="13">#REF!</definedName>
    <definedName name="TRAINING" localSheetId="17">#REF!</definedName>
    <definedName name="TRAINING" localSheetId="11">#REF!</definedName>
    <definedName name="TRAINING">#REF!</definedName>
    <definedName name="Training_Costs_2010" localSheetId="18">#REF!</definedName>
    <definedName name="Training_Costs_2010" localSheetId="13">#REF!</definedName>
    <definedName name="Training_Costs_2010" localSheetId="17">#REF!</definedName>
    <definedName name="Training_Costs_2010" localSheetId="11">#REF!</definedName>
    <definedName name="Training_Costs_2010">#REF!</definedName>
    <definedName name="USDINR1" localSheetId="18">#REF!</definedName>
    <definedName name="USDINR1" localSheetId="13">#REF!</definedName>
    <definedName name="USDINR1" localSheetId="17">#REF!</definedName>
    <definedName name="USDINR1" localSheetId="11">#REF!</definedName>
    <definedName name="USDINR1">#REF!</definedName>
    <definedName name="USDINR10" localSheetId="18">#REF!</definedName>
    <definedName name="USDINR10" localSheetId="13">#REF!</definedName>
    <definedName name="USDINR10" localSheetId="17">#REF!</definedName>
    <definedName name="USDINR10" localSheetId="11">#REF!</definedName>
    <definedName name="USDINR10">#REF!</definedName>
    <definedName name="USDINR11" localSheetId="18">#REF!</definedName>
    <definedName name="USDINR11" localSheetId="13">#REF!</definedName>
    <definedName name="USDINR11" localSheetId="17">#REF!</definedName>
    <definedName name="USDINR11" localSheetId="11">#REF!</definedName>
    <definedName name="USDINR11">#REF!</definedName>
    <definedName name="USDINR12" localSheetId="18">#REF!</definedName>
    <definedName name="USDINR12" localSheetId="13">#REF!</definedName>
    <definedName name="USDINR12" localSheetId="17">#REF!</definedName>
    <definedName name="USDINR12" localSheetId="11">#REF!</definedName>
    <definedName name="USDINR12">#REF!</definedName>
    <definedName name="USDINR2" localSheetId="18">#REF!</definedName>
    <definedName name="USDINR2" localSheetId="13">#REF!</definedName>
    <definedName name="USDINR2" localSheetId="17">#REF!</definedName>
    <definedName name="USDINR2" localSheetId="11">#REF!</definedName>
    <definedName name="USDINR2">#REF!</definedName>
    <definedName name="USDINR3" localSheetId="18">#REF!</definedName>
    <definedName name="USDINR3" localSheetId="13">#REF!</definedName>
    <definedName name="USDINR3" localSheetId="17">#REF!</definedName>
    <definedName name="USDINR3" localSheetId="11">#REF!</definedName>
    <definedName name="USDINR3">#REF!</definedName>
    <definedName name="USDINR4" localSheetId="18">#REF!</definedName>
    <definedName name="USDINR4" localSheetId="13">#REF!</definedName>
    <definedName name="USDINR4" localSheetId="17">#REF!</definedName>
    <definedName name="USDINR4" localSheetId="11">#REF!</definedName>
    <definedName name="USDINR4">#REF!</definedName>
    <definedName name="USDINR5" localSheetId="18">#REF!</definedName>
    <definedName name="USDINR5" localSheetId="13">#REF!</definedName>
    <definedName name="USDINR5" localSheetId="17">#REF!</definedName>
    <definedName name="USDINR5" localSheetId="11">#REF!</definedName>
    <definedName name="USDINR5">#REF!</definedName>
    <definedName name="USDINR6" localSheetId="18">#REF!</definedName>
    <definedName name="USDINR6" localSheetId="13">#REF!</definedName>
    <definedName name="USDINR6" localSheetId="17">#REF!</definedName>
    <definedName name="USDINR6" localSheetId="11">#REF!</definedName>
    <definedName name="USDINR6">#REF!</definedName>
    <definedName name="USDINR7" localSheetId="18">#REF!</definedName>
    <definedName name="USDINR7" localSheetId="13">#REF!</definedName>
    <definedName name="USDINR7" localSheetId="17">#REF!</definedName>
    <definedName name="USDINR7" localSheetId="11">#REF!</definedName>
    <definedName name="USDINR7">#REF!</definedName>
    <definedName name="USDINR8" localSheetId="18">#REF!</definedName>
    <definedName name="USDINR8" localSheetId="13">#REF!</definedName>
    <definedName name="USDINR8" localSheetId="17">#REF!</definedName>
    <definedName name="USDINR8" localSheetId="11">#REF!</definedName>
    <definedName name="USDINR8">#REF!</definedName>
    <definedName name="USDINR9" localSheetId="18">#REF!</definedName>
    <definedName name="USDINR9" localSheetId="13">#REF!</definedName>
    <definedName name="USDINR9" localSheetId="17">#REF!</definedName>
    <definedName name="USDINR9" localSheetId="11">#REF!</definedName>
    <definedName name="USDINR9">#REF!</definedName>
    <definedName name="usinfiodsjfadsfjasldfja" localSheetId="18">#REF!</definedName>
    <definedName name="usinfiodsjfadsfjasldfja" localSheetId="13">#REF!</definedName>
    <definedName name="usinfiodsjfadsfjasldfja" localSheetId="17">#REF!</definedName>
    <definedName name="usinfiodsjfadsfjasldfja" localSheetId="11">#REF!</definedName>
    <definedName name="usinfiodsjfadsfjasldfja">#REF!</definedName>
    <definedName name="wrn.Ex.._.A." localSheetId="16" hidden="1">{"Page 1",#N/A,TRUE,"Sheet1";"Page 2",#N/A,TRUE,"Sheet1"}</definedName>
    <definedName name="wrn.Ex.._.A." localSheetId="21" hidden="1">{"Page 1",#N/A,TRUE,"Sheet1";"Page 2",#N/A,TRUE,"Sheet1"}</definedName>
    <definedName name="wrn.Ex.._.A." localSheetId="22" hidden="1">{"Page 1",#N/A,TRUE,"Sheet1";"Page 2",#N/A,TRUE,"Sheet1"}</definedName>
    <definedName name="wrn.Ex.._.A." localSheetId="27" hidden="1">{"Page 1",#N/A,TRUE,"Sheet1";"Page 2",#N/A,TRUE,"Sheet1"}</definedName>
    <definedName name="wrn.Ex.._.A." localSheetId="26" hidden="1">{"Page 1",#N/A,TRUE,"Sheet1";"Page 2",#N/A,TRUE,"Sheet1"}</definedName>
    <definedName name="wrn.Ex.._.A." localSheetId="25" hidden="1">{"Page 1",#N/A,TRUE,"Sheet1";"Page 2",#N/A,TRUE,"Sheet1"}</definedName>
    <definedName name="wrn.Ex.._.A." localSheetId="24" hidden="1">{"Page 1",#N/A,TRUE,"Sheet1";"Page 2",#N/A,TRUE,"Sheet1"}</definedName>
    <definedName name="wrn.Ex.._.A." localSheetId="23" hidden="1">{"Page 1",#N/A,TRUE,"Sheet1";"Page 2",#N/A,TRUE,"Sheet1"}</definedName>
    <definedName name="wrn.Ex.._.A." localSheetId="1" hidden="1">{"Page 1",#N/A,TRUE,"Sheet1";"Page 2",#N/A,TRUE,"Sheet1"}</definedName>
    <definedName name="wrn.Ex.._.A." localSheetId="20" hidden="1">{"Page 1",#N/A,TRUE,"Sheet1";"Page 2",#N/A,TRUE,"Sheet1"}</definedName>
    <definedName name="wrn.Ex.._.A." localSheetId="15" hidden="1">{"Page 1",#N/A,TRUE,"Sheet1";"Page 2",#N/A,TRUE,"Sheet1"}</definedName>
    <definedName name="wrn.Ex.._.A." localSheetId="18" hidden="1">{"Page 1",#N/A,TRUE,"Sheet1";"Page 2",#N/A,TRUE,"Sheet1"}</definedName>
    <definedName name="wrn.Ex.._.A." localSheetId="13" hidden="1">{"Page 1",#N/A,TRUE,"Sheet1";"Page 2",#N/A,TRUE,"Sheet1"}</definedName>
    <definedName name="wrn.Ex.._.A." localSheetId="14" hidden="1">{"Page 1",#N/A,TRUE,"Sheet1";"Page 2",#N/A,TRUE,"Sheet1"}</definedName>
    <definedName name="wrn.Ex.._.A." localSheetId="19" hidden="1">{"Page 1",#N/A,TRUE,"Sheet1";"Page 2",#N/A,TRUE,"Sheet1"}</definedName>
    <definedName name="wrn.Ex.._.A." localSheetId="17" hidden="1">{"Page 1",#N/A,TRUE,"Sheet1";"Page 2",#N/A,TRUE,"Sheet1"}</definedName>
    <definedName name="wrn.Ex.._.A." localSheetId="12" hidden="1">{"Page 1",#N/A,TRUE,"Sheet1";"Page 2",#N/A,TRUE,"Sheet1"}</definedName>
    <definedName name="wrn.Ex.._.A." localSheetId="11" hidden="1">{"Page 1",#N/A,TRUE,"Sheet1";"Page 2",#N/A,TRUE,"Sheet1"}</definedName>
    <definedName name="wrn.Ex.._.A." hidden="1">{"Page 1",#N/A,TRUE,"Sheet1";"Page 2",#N/A,TRUE,"Sheet1"}</definedName>
    <definedName name="wrn.Long._.Report." localSheetId="16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1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2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7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6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5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4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3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20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5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8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3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4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9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7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2" hidden="1">{#N/A,#N/A,TRUE,"Cover";#N/A,#N/A,TRUE,"Header (ld)";#N/A,#N/A,TRUE,"T&amp;O By Region";#N/A,#N/A,TRUE,"Region Charts ";#N/A,#N/A,TRUE,"T&amp;O London";#N/A,#N/A,TRUE,"AD Report";#N/A,#N/A,TRUE,"Var by OU"}</definedName>
    <definedName name="wrn.Long._.Report." localSheetId="11" hidden="1">{#N/A,#N/A,TRUE,"Cover";#N/A,#N/A,TRUE,"Header (ld)";#N/A,#N/A,TRUE,"T&amp;O By Region";#N/A,#N/A,TRUE,"Region Charts ";#N/A,#N/A,TRUE,"T&amp;O London";#N/A,#N/A,TRUE,"AD Report";#N/A,#N/A,TRUE,"Var by OU"}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6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1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2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7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6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5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4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3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20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5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8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3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4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9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7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2" hidden="1">{#N/A,#N/A,TRUE,"Cover";#N/A,#N/A,TRUE,"Header (ld)";#N/A,#N/A,TRUE,"T&amp;O By Region";#N/A,#N/A,TRUE,"Region Charts ";#N/A,#N/A,TRUE,"T&amp;O London";#N/A,#N/A,TRUE,"AD Report";#N/A,#N/A,TRUE,"Var by OU"}</definedName>
    <definedName name="wrn.Long._.Report.a" localSheetId="11" hidden="1">{#N/A,#N/A,TRUE,"Cover";#N/A,#N/A,TRUE,"Header (ld)";#N/A,#N/A,TRUE,"T&amp;O By Region";#N/A,#N/A,TRUE,"Region Charts ";#N/A,#N/A,TRUE,"T&amp;O London";#N/A,#N/A,TRUE,"AD Report";#N/A,#N/A,TRUE,"Var by OU"}</definedName>
    <definedName name="wrn.Long._.Report.a" hidden="1">{#N/A,#N/A,TRUE,"Cover";#N/A,#N/A,TRUE,"Header (ld)";#N/A,#N/A,TRUE,"T&amp;O By Region";#N/A,#N/A,TRUE,"Region Charts ";#N/A,#N/A,TRUE,"T&amp;O London";#N/A,#N/A,TRUE,"AD Report";#N/A,#N/A,TRUE,"Var by OU"}</definedName>
    <definedName name="wrn.Short._.Report." localSheetId="16" hidden="1">{#N/A,#N/A,TRUE,"Cover";#N/A,#N/A,TRUE,"Header (eu)";#N/A,#N/A,TRUE,"Region Charts";#N/A,#N/A,TRUE,"T&amp;O By Region";#N/A,#N/A,TRUE,"AD Report"}</definedName>
    <definedName name="wrn.Short._.Report." localSheetId="21" hidden="1">{#N/A,#N/A,TRUE,"Cover";#N/A,#N/A,TRUE,"Header (eu)";#N/A,#N/A,TRUE,"Region Charts";#N/A,#N/A,TRUE,"T&amp;O By Region";#N/A,#N/A,TRUE,"AD Report"}</definedName>
    <definedName name="wrn.Short._.Report." localSheetId="22" hidden="1">{#N/A,#N/A,TRUE,"Cover";#N/A,#N/A,TRUE,"Header (eu)";#N/A,#N/A,TRUE,"Region Charts";#N/A,#N/A,TRUE,"T&amp;O By Region";#N/A,#N/A,TRUE,"AD Report"}</definedName>
    <definedName name="wrn.Short._.Report." localSheetId="27" hidden="1">{#N/A,#N/A,TRUE,"Cover";#N/A,#N/A,TRUE,"Header (eu)";#N/A,#N/A,TRUE,"Region Charts";#N/A,#N/A,TRUE,"T&amp;O By Region";#N/A,#N/A,TRUE,"AD Report"}</definedName>
    <definedName name="wrn.Short._.Report." localSheetId="26" hidden="1">{#N/A,#N/A,TRUE,"Cover";#N/A,#N/A,TRUE,"Header (eu)";#N/A,#N/A,TRUE,"Region Charts";#N/A,#N/A,TRUE,"T&amp;O By Region";#N/A,#N/A,TRUE,"AD Report"}</definedName>
    <definedName name="wrn.Short._.Report." localSheetId="25" hidden="1">{#N/A,#N/A,TRUE,"Cover";#N/A,#N/A,TRUE,"Header (eu)";#N/A,#N/A,TRUE,"Region Charts";#N/A,#N/A,TRUE,"T&amp;O By Region";#N/A,#N/A,TRUE,"AD Report"}</definedName>
    <definedName name="wrn.Short._.Report." localSheetId="24" hidden="1">{#N/A,#N/A,TRUE,"Cover";#N/A,#N/A,TRUE,"Header (eu)";#N/A,#N/A,TRUE,"Region Charts";#N/A,#N/A,TRUE,"T&amp;O By Region";#N/A,#N/A,TRUE,"AD Report"}</definedName>
    <definedName name="wrn.Short._.Report." localSheetId="23" hidden="1">{#N/A,#N/A,TRUE,"Cover";#N/A,#N/A,TRUE,"Header (eu)";#N/A,#N/A,TRUE,"Region Charts";#N/A,#N/A,TRUE,"T&amp;O By Region";#N/A,#N/A,TRUE,"AD Report"}</definedName>
    <definedName name="wrn.Short._.Report." localSheetId="20" hidden="1">{#N/A,#N/A,TRUE,"Cover";#N/A,#N/A,TRUE,"Header (eu)";#N/A,#N/A,TRUE,"Region Charts";#N/A,#N/A,TRUE,"T&amp;O By Region";#N/A,#N/A,TRUE,"AD Report"}</definedName>
    <definedName name="wrn.Short._.Report." localSheetId="15" hidden="1">{#N/A,#N/A,TRUE,"Cover";#N/A,#N/A,TRUE,"Header (eu)";#N/A,#N/A,TRUE,"Region Charts";#N/A,#N/A,TRUE,"T&amp;O By Region";#N/A,#N/A,TRUE,"AD Report"}</definedName>
    <definedName name="wrn.Short._.Report." localSheetId="18" hidden="1">{#N/A,#N/A,TRUE,"Cover";#N/A,#N/A,TRUE,"Header (eu)";#N/A,#N/A,TRUE,"Region Charts";#N/A,#N/A,TRUE,"T&amp;O By Region";#N/A,#N/A,TRUE,"AD Report"}</definedName>
    <definedName name="wrn.Short._.Report." localSheetId="13" hidden="1">{#N/A,#N/A,TRUE,"Cover";#N/A,#N/A,TRUE,"Header (eu)";#N/A,#N/A,TRUE,"Region Charts";#N/A,#N/A,TRUE,"T&amp;O By Region";#N/A,#N/A,TRUE,"AD Report"}</definedName>
    <definedName name="wrn.Short._.Report." localSheetId="14" hidden="1">{#N/A,#N/A,TRUE,"Cover";#N/A,#N/A,TRUE,"Header (eu)";#N/A,#N/A,TRUE,"Region Charts";#N/A,#N/A,TRUE,"T&amp;O By Region";#N/A,#N/A,TRUE,"AD Report"}</definedName>
    <definedName name="wrn.Short._.Report." localSheetId="19" hidden="1">{#N/A,#N/A,TRUE,"Cover";#N/A,#N/A,TRUE,"Header (eu)";#N/A,#N/A,TRUE,"Region Charts";#N/A,#N/A,TRUE,"T&amp;O By Region";#N/A,#N/A,TRUE,"AD Report"}</definedName>
    <definedName name="wrn.Short._.Report." localSheetId="17" hidden="1">{#N/A,#N/A,TRUE,"Cover";#N/A,#N/A,TRUE,"Header (eu)";#N/A,#N/A,TRUE,"Region Charts";#N/A,#N/A,TRUE,"T&amp;O By Region";#N/A,#N/A,TRUE,"AD Report"}</definedName>
    <definedName name="wrn.Short._.Report." localSheetId="12" hidden="1">{#N/A,#N/A,TRUE,"Cover";#N/A,#N/A,TRUE,"Header (eu)";#N/A,#N/A,TRUE,"Region Charts";#N/A,#N/A,TRUE,"T&amp;O By Region";#N/A,#N/A,TRUE,"AD Report"}</definedName>
    <definedName name="wrn.Short._.Report." localSheetId="11" hidden="1">{#N/A,#N/A,TRUE,"Cover";#N/A,#N/A,TRUE,"Header (eu)";#N/A,#N/A,TRUE,"Region Charts";#N/A,#N/A,TRUE,"T&amp;O By Region";#N/A,#N/A,TRUE,"AD Report"}</definedName>
    <definedName name="wrn.Short._.Report." hidden="1">{#N/A,#N/A,TRUE,"Cover";#N/A,#N/A,TRUE,"Header (eu)";#N/A,#N/A,TRUE,"Region Charts";#N/A,#N/A,TRUE,"T&amp;O By Region";#N/A,#N/A,TRUE,"AD Report"}</definedName>
    <definedName name="wrong" localSheetId="16" hidden="1">{"Page 1",#N/A,TRUE,"Sheet1";"Page 2",#N/A,TRUE,"Sheet1"}</definedName>
    <definedName name="wrong" localSheetId="21" hidden="1">{"Page 1",#N/A,TRUE,"Sheet1";"Page 2",#N/A,TRUE,"Sheet1"}</definedName>
    <definedName name="wrong" localSheetId="22" hidden="1">{"Page 1",#N/A,TRUE,"Sheet1";"Page 2",#N/A,TRUE,"Sheet1"}</definedName>
    <definedName name="wrong" localSheetId="27" hidden="1">{"Page 1",#N/A,TRUE,"Sheet1";"Page 2",#N/A,TRUE,"Sheet1"}</definedName>
    <definedName name="wrong" localSheetId="26" hidden="1">{"Page 1",#N/A,TRUE,"Sheet1";"Page 2",#N/A,TRUE,"Sheet1"}</definedName>
    <definedName name="wrong" localSheetId="25" hidden="1">{"Page 1",#N/A,TRUE,"Sheet1";"Page 2",#N/A,TRUE,"Sheet1"}</definedName>
    <definedName name="wrong" localSheetId="24" hidden="1">{"Page 1",#N/A,TRUE,"Sheet1";"Page 2",#N/A,TRUE,"Sheet1"}</definedName>
    <definedName name="wrong" localSheetId="23" hidden="1">{"Page 1",#N/A,TRUE,"Sheet1";"Page 2",#N/A,TRUE,"Sheet1"}</definedName>
    <definedName name="wrong" localSheetId="1" hidden="1">{"Page 1",#N/A,TRUE,"Sheet1";"Page 2",#N/A,TRUE,"Sheet1"}</definedName>
    <definedName name="wrong" localSheetId="20" hidden="1">{"Page 1",#N/A,TRUE,"Sheet1";"Page 2",#N/A,TRUE,"Sheet1"}</definedName>
    <definedName name="wrong" localSheetId="15" hidden="1">{"Page 1",#N/A,TRUE,"Sheet1";"Page 2",#N/A,TRUE,"Sheet1"}</definedName>
    <definedName name="wrong" localSheetId="18" hidden="1">{"Page 1",#N/A,TRUE,"Sheet1";"Page 2",#N/A,TRUE,"Sheet1"}</definedName>
    <definedName name="wrong" localSheetId="13" hidden="1">{"Page 1",#N/A,TRUE,"Sheet1";"Page 2",#N/A,TRUE,"Sheet1"}</definedName>
    <definedName name="wrong" localSheetId="14" hidden="1">{"Page 1",#N/A,TRUE,"Sheet1";"Page 2",#N/A,TRUE,"Sheet1"}</definedName>
    <definedName name="wrong" localSheetId="19" hidden="1">{"Page 1",#N/A,TRUE,"Sheet1";"Page 2",#N/A,TRUE,"Sheet1"}</definedName>
    <definedName name="wrong" localSheetId="17" hidden="1">{"Page 1",#N/A,TRUE,"Sheet1";"Page 2",#N/A,TRUE,"Sheet1"}</definedName>
    <definedName name="wrong" localSheetId="12" hidden="1">{"Page 1",#N/A,TRUE,"Sheet1";"Page 2",#N/A,TRUE,"Sheet1"}</definedName>
    <definedName name="wrong" localSheetId="11" hidden="1">{"Page 1",#N/A,TRUE,"Sheet1";"Page 2",#N/A,TRUE,"Sheet1"}</definedName>
    <definedName name="wrong" hidden="1">{"Page 1",#N/A,TRUE,"Sheet1";"Page 2",#N/A,TRUE,"Sheet1"}</definedName>
    <definedName name="Z_8575BA2F_1C78_4E30_AE5C_07AED6245426_.wvu.Cols" localSheetId="9" hidden="1">Data!$E:$F</definedName>
    <definedName name="Z_8575BA2F_1C78_4E30_AE5C_07AED6245426_.wvu.Cols" localSheetId="10" hidden="1">'Data Master'!$B:$C</definedName>
    <definedName name="Z_8575BA2F_1C78_4E30_AE5C_07AED6245426_.wvu.Cols" localSheetId="15" hidden="1">'Mexico Salary'!$Q:$V</definedName>
    <definedName name="Z_8575BA2F_1C78_4E30_AE5C_07AED6245426_.wvu.Rows" localSheetId="1" hidden="1">'Cost Summary'!$36:$37</definedName>
    <definedName name="Z_8575BA2F_1C78_4E30_AE5C_07AED6245426_.wvu.Rows" localSheetId="9" hidden="1">Data!$1:$1,Data!$79:$81,Data!$97:$99</definedName>
    <definedName name="Z_8575BA2F_1C78_4E30_AE5C_07AED6245426_.wvu.Rows" localSheetId="10" hidden="1">'Data Master'!$3:$3,'Data Master'!#REF!,'Data Master'!#REF!</definedName>
    <definedName name="Z_8575BA2F_1C78_4E30_AE5C_07AED6245426_.wvu.Rows" localSheetId="15" hidden="1">'Mexico Salary'!$95:$107,'Mexico Salary'!$110:$118</definedName>
  </definedNames>
  <calcPr calcId="191028"/>
  <customWorkbookViews>
    <customWorkbookView name="Mithun Somaiah - Personal View" guid="{8575BA2F-1C78-4E30-AE5C-07AED6245426}" mergeInterval="0" personalView="1" maximized="1" xWindow="-11" yWindow="-11" windowWidth="1942" windowHeight="1042" tabRatio="958" activeSheetId="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47" l="1"/>
  <c r="D166" i="66"/>
  <c r="C17" i="47"/>
  <c r="D17" i="47" s="1"/>
  <c r="E17" i="47" s="1"/>
  <c r="F50" i="7" s="1"/>
  <c r="I14" i="75"/>
  <c r="I13" i="75"/>
  <c r="I12" i="75"/>
  <c r="I11" i="75"/>
  <c r="I10" i="75"/>
  <c r="I9" i="75"/>
  <c r="I8" i="75"/>
  <c r="I7" i="75"/>
  <c r="I6" i="75"/>
  <c r="I5" i="75"/>
  <c r="I4" i="75"/>
  <c r="H14" i="75"/>
  <c r="H13" i="75"/>
  <c r="H12" i="75"/>
  <c r="H11" i="75"/>
  <c r="H10" i="75"/>
  <c r="H9" i="75"/>
  <c r="H8" i="75"/>
  <c r="H7" i="75"/>
  <c r="H6" i="75"/>
  <c r="H5" i="75"/>
  <c r="H4" i="75"/>
  <c r="B2" i="75"/>
  <c r="E260" i="66"/>
  <c r="F260" i="66"/>
  <c r="D260" i="66"/>
  <c r="K5" i="75"/>
  <c r="K6" i="75"/>
  <c r="K7" i="75"/>
  <c r="K8" i="75"/>
  <c r="K9" i="75"/>
  <c r="K10" i="75"/>
  <c r="K11" i="75"/>
  <c r="K12" i="75"/>
  <c r="K13" i="75"/>
  <c r="K14" i="75"/>
  <c r="G32" i="75"/>
  <c r="G31" i="75"/>
  <c r="G30" i="75"/>
  <c r="G29" i="75"/>
  <c r="G28" i="75"/>
  <c r="G27" i="75"/>
  <c r="G26" i="75"/>
  <c r="G25" i="75"/>
  <c r="G24" i="75"/>
  <c r="G23" i="75"/>
  <c r="G22" i="75"/>
  <c r="G21" i="75"/>
  <c r="G20" i="75"/>
  <c r="G19" i="75"/>
  <c r="G18" i="75"/>
  <c r="G17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F19" i="75"/>
  <c r="F18" i="75"/>
  <c r="F17" i="75"/>
  <c r="Q29" i="75"/>
  <c r="Q28" i="75"/>
  <c r="Q27" i="75"/>
  <c r="Q26" i="75"/>
  <c r="Q25" i="75"/>
  <c r="Q24" i="75"/>
  <c r="P23" i="75"/>
  <c r="Q23" i="75" s="1"/>
  <c r="Q22" i="75"/>
  <c r="Q21" i="75"/>
  <c r="Q20" i="75"/>
  <c r="Q19" i="75"/>
  <c r="Q18" i="75"/>
  <c r="F14" i="75"/>
  <c r="F13" i="75"/>
  <c r="F12" i="75"/>
  <c r="F11" i="75"/>
  <c r="F10" i="75"/>
  <c r="F9" i="75"/>
  <c r="F8" i="75"/>
  <c r="F7" i="75"/>
  <c r="F6" i="75"/>
  <c r="F5" i="75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30" i="72"/>
  <c r="G31" i="72"/>
  <c r="G16" i="72"/>
  <c r="K17" i="72"/>
  <c r="K18" i="72"/>
  <c r="K19" i="72"/>
  <c r="K20" i="72"/>
  <c r="K21" i="72"/>
  <c r="K22" i="72"/>
  <c r="K23" i="72"/>
  <c r="K24" i="72"/>
  <c r="K25" i="72"/>
  <c r="K26" i="72"/>
  <c r="K27" i="72"/>
  <c r="K28" i="72"/>
  <c r="K29" i="72"/>
  <c r="K30" i="72"/>
  <c r="K31" i="72"/>
  <c r="K16" i="72"/>
  <c r="L31" i="72"/>
  <c r="J31" i="72"/>
  <c r="I31" i="72"/>
  <c r="L30" i="72"/>
  <c r="J30" i="72"/>
  <c r="I30" i="72"/>
  <c r="L29" i="72"/>
  <c r="I29" i="72" s="1"/>
  <c r="J29" i="72"/>
  <c r="L28" i="72"/>
  <c r="J28" i="72"/>
  <c r="I28" i="72"/>
  <c r="L27" i="72"/>
  <c r="J27" i="72"/>
  <c r="I27" i="72"/>
  <c r="L26" i="72"/>
  <c r="J26" i="72"/>
  <c r="I26" i="72"/>
  <c r="L25" i="72"/>
  <c r="J25" i="72"/>
  <c r="I25" i="72"/>
  <c r="L24" i="72"/>
  <c r="I24" i="72"/>
  <c r="J24" i="72"/>
  <c r="L23" i="72"/>
  <c r="J23" i="72"/>
  <c r="I23" i="72" s="1"/>
  <c r="L22" i="72"/>
  <c r="I22" i="72"/>
  <c r="J22" i="72"/>
  <c r="L21" i="72"/>
  <c r="J21" i="72"/>
  <c r="I21" i="72"/>
  <c r="L20" i="72"/>
  <c r="I20" i="72" s="1"/>
  <c r="J20" i="72"/>
  <c r="L19" i="72"/>
  <c r="J19" i="72"/>
  <c r="I19" i="72"/>
  <c r="L18" i="72"/>
  <c r="J18" i="72"/>
  <c r="I18" i="72"/>
  <c r="L17" i="72"/>
  <c r="J17" i="72"/>
  <c r="I17" i="72" s="1"/>
  <c r="L16" i="72"/>
  <c r="J16" i="72"/>
  <c r="I16" i="72"/>
  <c r="L13" i="72"/>
  <c r="L12" i="72"/>
  <c r="L11" i="72"/>
  <c r="L10" i="72"/>
  <c r="L9" i="72"/>
  <c r="L8" i="72"/>
  <c r="L7" i="72"/>
  <c r="L6" i="72"/>
  <c r="L5" i="72"/>
  <c r="L4" i="72"/>
  <c r="G27" i="74"/>
  <c r="AE31" i="70"/>
  <c r="AE30" i="70"/>
  <c r="AE29" i="70"/>
  <c r="AE28" i="70"/>
  <c r="AE27" i="70"/>
  <c r="AE26" i="70"/>
  <c r="AE25" i="70"/>
  <c r="AE24" i="70"/>
  <c r="AE23" i="70"/>
  <c r="AE22" i="70"/>
  <c r="AE21" i="70"/>
  <c r="AE20" i="70"/>
  <c r="AE19" i="70"/>
  <c r="AE18" i="70"/>
  <c r="AE17" i="70"/>
  <c r="AE16" i="70"/>
  <c r="AC31" i="70"/>
  <c r="AC30" i="70"/>
  <c r="AC29" i="70"/>
  <c r="AC13" i="70"/>
  <c r="AC12" i="70"/>
  <c r="AC11" i="70"/>
  <c r="AC10" i="70"/>
  <c r="AC9" i="70"/>
  <c r="AC8" i="70"/>
  <c r="AC7" i="70"/>
  <c r="AC6" i="70"/>
  <c r="AC5" i="70"/>
  <c r="AC4" i="70"/>
  <c r="AE13" i="70"/>
  <c r="AE12" i="70"/>
  <c r="AE11" i="70"/>
  <c r="AE10" i="70"/>
  <c r="AE9" i="70"/>
  <c r="AE8" i="70"/>
  <c r="AE7" i="70"/>
  <c r="AE6" i="70"/>
  <c r="AE5" i="70"/>
  <c r="AE4" i="70"/>
  <c r="AE2" i="76"/>
  <c r="F27" i="74"/>
  <c r="G28" i="74"/>
  <c r="F28" i="74"/>
  <c r="L42" i="89"/>
  <c r="L41" i="89"/>
  <c r="L40" i="89"/>
  <c r="L39" i="89"/>
  <c r="L38" i="89"/>
  <c r="L37" i="89"/>
  <c r="L36" i="89"/>
  <c r="L35" i="89"/>
  <c r="L34" i="89"/>
  <c r="L33" i="89"/>
  <c r="L32" i="89"/>
  <c r="L31" i="89"/>
  <c r="L30" i="89"/>
  <c r="L29" i="89"/>
  <c r="L28" i="89"/>
  <c r="L26" i="89"/>
  <c r="L25" i="89"/>
  <c r="L24" i="89"/>
  <c r="L23" i="89"/>
  <c r="L22" i="89"/>
  <c r="L21" i="89"/>
  <c r="L20" i="89"/>
  <c r="L19" i="89"/>
  <c r="L18" i="89"/>
  <c r="L17" i="89"/>
  <c r="L15" i="89"/>
  <c r="L14" i="89"/>
  <c r="L13" i="89"/>
  <c r="L12" i="89"/>
  <c r="L11" i="89"/>
  <c r="L10" i="89"/>
  <c r="L9" i="89"/>
  <c r="L8" i="89"/>
  <c r="L7" i="89"/>
  <c r="L6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6" i="89"/>
  <c r="Q25" i="89"/>
  <c r="Q24" i="89"/>
  <c r="Q23" i="89"/>
  <c r="Q22" i="89"/>
  <c r="Q21" i="89"/>
  <c r="Q20" i="89"/>
  <c r="Q19" i="89"/>
  <c r="Q18" i="89"/>
  <c r="Q17" i="89"/>
  <c r="Q15" i="89"/>
  <c r="Q14" i="89"/>
  <c r="Q13" i="89"/>
  <c r="Q12" i="89"/>
  <c r="Q11" i="89"/>
  <c r="Q10" i="89"/>
  <c r="Q9" i="89"/>
  <c r="Q8" i="89"/>
  <c r="Q7" i="89"/>
  <c r="Q6" i="89"/>
  <c r="O16" i="71"/>
  <c r="N13" i="71"/>
  <c r="N12" i="71"/>
  <c r="N11" i="71"/>
  <c r="N10" i="71"/>
  <c r="N9" i="71"/>
  <c r="N8" i="71"/>
  <c r="N7" i="71"/>
  <c r="N6" i="71"/>
  <c r="N5" i="71"/>
  <c r="N4" i="71"/>
  <c r="AD31" i="71"/>
  <c r="AD30" i="71"/>
  <c r="AD29" i="71"/>
  <c r="AD28" i="71"/>
  <c r="AD27" i="71"/>
  <c r="AD26" i="71"/>
  <c r="AD25" i="71"/>
  <c r="AD24" i="71"/>
  <c r="AD23" i="71"/>
  <c r="AD22" i="71"/>
  <c r="AD21" i="71"/>
  <c r="AD20" i="71"/>
  <c r="AD19" i="71"/>
  <c r="AD18" i="71"/>
  <c r="AD17" i="71"/>
  <c r="AD16" i="71"/>
  <c r="AE31" i="71"/>
  <c r="AE30" i="71"/>
  <c r="AE29" i="71"/>
  <c r="AE28" i="71"/>
  <c r="AE27" i="71"/>
  <c r="AE26" i="71"/>
  <c r="AE25" i="71"/>
  <c r="AE24" i="71"/>
  <c r="AE23" i="71"/>
  <c r="AE22" i="71"/>
  <c r="AE21" i="71"/>
  <c r="AE20" i="71"/>
  <c r="AE19" i="71"/>
  <c r="AE18" i="71"/>
  <c r="AE17" i="71"/>
  <c r="AE16" i="71"/>
  <c r="AE13" i="71"/>
  <c r="AE12" i="71"/>
  <c r="AE11" i="71"/>
  <c r="AE10" i="71"/>
  <c r="AE9" i="71"/>
  <c r="AE8" i="71"/>
  <c r="AE7" i="71"/>
  <c r="AE6" i="71"/>
  <c r="AE5" i="71"/>
  <c r="AE4" i="71"/>
  <c r="L13" i="71"/>
  <c r="L12" i="71"/>
  <c r="L11" i="71"/>
  <c r="L10" i="71"/>
  <c r="L9" i="71"/>
  <c r="L8" i="71"/>
  <c r="L7" i="71"/>
  <c r="L6" i="71"/>
  <c r="L5" i="71"/>
  <c r="AL33" i="69"/>
  <c r="AL32" i="69"/>
  <c r="AL31" i="69"/>
  <c r="AL30" i="69"/>
  <c r="AL29" i="69"/>
  <c r="AL28" i="69"/>
  <c r="AL27" i="69"/>
  <c r="AL26" i="69"/>
  <c r="AL25" i="69"/>
  <c r="AL24" i="69"/>
  <c r="AL23" i="69"/>
  <c r="AL22" i="69"/>
  <c r="AL21" i="69"/>
  <c r="AL20" i="69"/>
  <c r="AL19" i="69"/>
  <c r="AL18" i="69"/>
  <c r="AO33" i="69"/>
  <c r="AO32" i="69"/>
  <c r="AO31" i="69"/>
  <c r="AO30" i="69"/>
  <c r="AO29" i="69"/>
  <c r="AO28" i="69"/>
  <c r="AO27" i="69"/>
  <c r="AO26" i="69"/>
  <c r="AO25" i="69"/>
  <c r="AO24" i="69"/>
  <c r="AO23" i="69"/>
  <c r="AO22" i="69"/>
  <c r="AO21" i="69"/>
  <c r="AO20" i="69"/>
  <c r="AO19" i="69"/>
  <c r="AO18" i="69"/>
  <c r="AO15" i="69"/>
  <c r="AO14" i="69"/>
  <c r="AO13" i="69"/>
  <c r="AO12" i="69"/>
  <c r="AO11" i="69"/>
  <c r="AO10" i="69"/>
  <c r="AO9" i="69"/>
  <c r="AO8" i="69"/>
  <c r="AO7" i="69"/>
  <c r="AO6" i="69"/>
  <c r="AO5" i="69"/>
  <c r="AO4" i="69"/>
  <c r="Q88" i="66"/>
  <c r="Q87" i="66"/>
  <c r="Q86" i="66"/>
  <c r="Q85" i="66"/>
  <c r="Q84" i="66"/>
  <c r="Q83" i="66"/>
  <c r="Q82" i="66"/>
  <c r="Q81" i="66"/>
  <c r="Q80" i="66"/>
  <c r="P88" i="66"/>
  <c r="O88" i="66"/>
  <c r="E41" i="80"/>
  <c r="E40" i="80"/>
  <c r="E39" i="80"/>
  <c r="E38" i="80"/>
  <c r="E37" i="80"/>
  <c r="E36" i="80"/>
  <c r="E35" i="80"/>
  <c r="E34" i="80"/>
  <c r="E33" i="80"/>
  <c r="H29" i="80"/>
  <c r="G29" i="80"/>
  <c r="F29" i="80"/>
  <c r="E27" i="80"/>
  <c r="E26" i="80"/>
  <c r="E25" i="80"/>
  <c r="E23" i="80"/>
  <c r="H23" i="80" s="1"/>
  <c r="F22" i="80"/>
  <c r="E22" i="80"/>
  <c r="G22" i="80" s="1"/>
  <c r="H21" i="80"/>
  <c r="F21" i="80"/>
  <c r="E21" i="80"/>
  <c r="G21" i="80" s="1"/>
  <c r="E20" i="80"/>
  <c r="E19" i="80"/>
  <c r="E18" i="80"/>
  <c r="E17" i="80"/>
  <c r="F17" i="80" s="1"/>
  <c r="G17" i="80" s="1"/>
  <c r="E16" i="80"/>
  <c r="E15" i="80"/>
  <c r="G14" i="80"/>
  <c r="E14" i="80"/>
  <c r="E12" i="80"/>
  <c r="E11" i="80"/>
  <c r="D6" i="80"/>
  <c r="E6" i="80" s="1"/>
  <c r="P87" i="66"/>
  <c r="O87" i="66"/>
  <c r="E41" i="78"/>
  <c r="E40" i="78"/>
  <c r="E39" i="78"/>
  <c r="E38" i="78"/>
  <c r="E37" i="78"/>
  <c r="E36" i="78"/>
  <c r="E35" i="78"/>
  <c r="E34" i="78"/>
  <c r="E33" i="78"/>
  <c r="H29" i="78"/>
  <c r="G29" i="78"/>
  <c r="F29" i="78"/>
  <c r="E27" i="78"/>
  <c r="E26" i="78"/>
  <c r="E25" i="78"/>
  <c r="E23" i="78"/>
  <c r="H23" i="78" s="1"/>
  <c r="F22" i="78"/>
  <c r="E22" i="78"/>
  <c r="G22" i="78" s="1"/>
  <c r="E21" i="78"/>
  <c r="E20" i="78"/>
  <c r="E19" i="78"/>
  <c r="E18" i="78"/>
  <c r="J43" i="78"/>
  <c r="E17" i="78"/>
  <c r="F17" i="78" s="1"/>
  <c r="G17" i="78" s="1"/>
  <c r="D16" i="78"/>
  <c r="E16" i="78" s="1"/>
  <c r="E15" i="78"/>
  <c r="E14" i="78"/>
  <c r="I43" i="78"/>
  <c r="E13" i="78"/>
  <c r="E43" i="78" s="1"/>
  <c r="E12" i="78"/>
  <c r="E11" i="78"/>
  <c r="E10" i="78"/>
  <c r="E9" i="78"/>
  <c r="E8" i="78"/>
  <c r="E7" i="78"/>
  <c r="D6" i="78"/>
  <c r="E6" i="78" s="1"/>
  <c r="E5" i="78"/>
  <c r="P86" i="66"/>
  <c r="O86" i="66"/>
  <c r="P85" i="66"/>
  <c r="O85" i="66"/>
  <c r="P84" i="66"/>
  <c r="O84" i="66"/>
  <c r="P83" i="66"/>
  <c r="O83" i="66"/>
  <c r="E41" i="77"/>
  <c r="E40" i="77"/>
  <c r="E39" i="77"/>
  <c r="E38" i="77"/>
  <c r="E37" i="77"/>
  <c r="E36" i="77"/>
  <c r="E35" i="77"/>
  <c r="E34" i="77"/>
  <c r="E33" i="77"/>
  <c r="H29" i="77"/>
  <c r="G29" i="77"/>
  <c r="F29" i="77"/>
  <c r="E27" i="77"/>
  <c r="E26" i="77"/>
  <c r="E25" i="77"/>
  <c r="E23" i="77"/>
  <c r="H23" i="77" s="1"/>
  <c r="E22" i="77"/>
  <c r="E21" i="77"/>
  <c r="E20" i="77"/>
  <c r="E19" i="77"/>
  <c r="E18" i="77"/>
  <c r="E17" i="77"/>
  <c r="F17" i="77" s="1"/>
  <c r="G17" i="77" s="1"/>
  <c r="D16" i="77"/>
  <c r="E16" i="77" s="1"/>
  <c r="E15" i="77"/>
  <c r="E14" i="77"/>
  <c r="E12" i="77"/>
  <c r="E11" i="77"/>
  <c r="F11" i="77" s="1"/>
  <c r="E6" i="77"/>
  <c r="P82" i="66"/>
  <c r="O82" i="66"/>
  <c r="P80" i="66"/>
  <c r="O80" i="66"/>
  <c r="P81" i="66"/>
  <c r="O81" i="66"/>
  <c r="E41" i="83"/>
  <c r="E40" i="83"/>
  <c r="E39" i="83"/>
  <c r="E38" i="83"/>
  <c r="E37" i="83"/>
  <c r="E36" i="83"/>
  <c r="E35" i="83"/>
  <c r="E34" i="83"/>
  <c r="E33" i="83"/>
  <c r="H29" i="83"/>
  <c r="G29" i="83"/>
  <c r="F29" i="83"/>
  <c r="E27" i="83"/>
  <c r="E26" i="83"/>
  <c r="E25" i="83"/>
  <c r="E23" i="83"/>
  <c r="H23" i="83" s="1"/>
  <c r="F22" i="83"/>
  <c r="E22" i="83"/>
  <c r="G22" i="83" s="1"/>
  <c r="E21" i="83"/>
  <c r="E20" i="83"/>
  <c r="E19" i="83"/>
  <c r="H18" i="83"/>
  <c r="E18" i="83"/>
  <c r="E17" i="83"/>
  <c r="F17" i="83" s="1"/>
  <c r="G17" i="83" s="1"/>
  <c r="D16" i="83"/>
  <c r="E16" i="83" s="1"/>
  <c r="E15" i="83"/>
  <c r="E14" i="83"/>
  <c r="E12" i="83"/>
  <c r="E11" i="83"/>
  <c r="F11" i="83" s="1"/>
  <c r="D6" i="83"/>
  <c r="E6" i="83" s="1"/>
  <c r="E41" i="81"/>
  <c r="E40" i="81"/>
  <c r="E39" i="81"/>
  <c r="E38" i="81"/>
  <c r="E37" i="81"/>
  <c r="E36" i="81"/>
  <c r="E35" i="81"/>
  <c r="E34" i="81"/>
  <c r="E33" i="81"/>
  <c r="H29" i="81"/>
  <c r="G29" i="81"/>
  <c r="F29" i="81"/>
  <c r="E27" i="81"/>
  <c r="E26" i="81"/>
  <c r="E25" i="81"/>
  <c r="E23" i="81"/>
  <c r="H23" i="81" s="1"/>
  <c r="E22" i="81"/>
  <c r="E21" i="81"/>
  <c r="E20" i="81"/>
  <c r="E19" i="81"/>
  <c r="E18" i="81"/>
  <c r="E17" i="81"/>
  <c r="F17" i="81" s="1"/>
  <c r="G17" i="81" s="1"/>
  <c r="E16" i="81"/>
  <c r="E15" i="81"/>
  <c r="E14" i="81"/>
  <c r="E12" i="81"/>
  <c r="E11" i="81"/>
  <c r="E10" i="81"/>
  <c r="E9" i="81"/>
  <c r="E8" i="81"/>
  <c r="E7" i="81"/>
  <c r="D6" i="81"/>
  <c r="E6" i="81" s="1"/>
  <c r="E5" i="81"/>
  <c r="E41" i="82"/>
  <c r="E40" i="82"/>
  <c r="E39" i="82"/>
  <c r="E38" i="82"/>
  <c r="E37" i="82"/>
  <c r="E36" i="82"/>
  <c r="E35" i="82"/>
  <c r="E34" i="82"/>
  <c r="E33" i="82"/>
  <c r="H29" i="82"/>
  <c r="G29" i="82"/>
  <c r="F29" i="82"/>
  <c r="E27" i="82"/>
  <c r="E26" i="82"/>
  <c r="E25" i="82"/>
  <c r="E23" i="82"/>
  <c r="H23" i="82" s="1"/>
  <c r="E22" i="82"/>
  <c r="E21" i="82"/>
  <c r="E20" i="82"/>
  <c r="E19" i="82"/>
  <c r="G18" i="82"/>
  <c r="E18" i="82"/>
  <c r="E17" i="82"/>
  <c r="F17" i="82" s="1"/>
  <c r="G17" i="82" s="1"/>
  <c r="E16" i="82"/>
  <c r="E15" i="82"/>
  <c r="E14" i="82"/>
  <c r="E12" i="82"/>
  <c r="E11" i="82"/>
  <c r="E10" i="82"/>
  <c r="E9" i="82"/>
  <c r="E8" i="82"/>
  <c r="E7" i="82"/>
  <c r="D6" i="82"/>
  <c r="E6" i="82" s="1"/>
  <c r="E5" i="82"/>
  <c r="E41" i="79"/>
  <c r="E40" i="79"/>
  <c r="E39" i="79"/>
  <c r="E38" i="79"/>
  <c r="E37" i="79"/>
  <c r="E36" i="79"/>
  <c r="E35" i="79"/>
  <c r="E34" i="79"/>
  <c r="E33" i="79"/>
  <c r="H29" i="79"/>
  <c r="G29" i="79"/>
  <c r="F29" i="79"/>
  <c r="E27" i="79"/>
  <c r="E26" i="79"/>
  <c r="E25" i="79"/>
  <c r="E23" i="79"/>
  <c r="H23" i="79" s="1"/>
  <c r="E22" i="79"/>
  <c r="H21" i="79"/>
  <c r="E21" i="79"/>
  <c r="E20" i="79"/>
  <c r="E19" i="79"/>
  <c r="E18" i="79"/>
  <c r="E17" i="79"/>
  <c r="F17" i="79" s="1"/>
  <c r="G17" i="79" s="1"/>
  <c r="E16" i="79"/>
  <c r="H15" i="79"/>
  <c r="E15" i="79"/>
  <c r="E14" i="79"/>
  <c r="E12" i="79"/>
  <c r="E11" i="79"/>
  <c r="E10" i="79"/>
  <c r="E9" i="79"/>
  <c r="E8" i="79"/>
  <c r="E7" i="79"/>
  <c r="D6" i="79"/>
  <c r="E6" i="79" s="1"/>
  <c r="E5" i="79"/>
  <c r="A26" i="66"/>
  <c r="D4" i="9"/>
  <c r="Y92" i="66"/>
  <c r="Y93" i="66"/>
  <c r="Y94" i="66"/>
  <c r="Y95" i="66"/>
  <c r="Y96" i="66"/>
  <c r="Y97" i="66"/>
  <c r="Y98" i="66"/>
  <c r="Y99" i="66"/>
  <c r="Y91" i="66"/>
  <c r="Z99" i="66"/>
  <c r="Z98" i="66"/>
  <c r="Z96" i="66"/>
  <c r="Z93" i="66"/>
  <c r="Z92" i="66"/>
  <c r="Z91" i="66"/>
  <c r="N92" i="66"/>
  <c r="N93" i="66"/>
  <c r="N94" i="66"/>
  <c r="N95" i="66"/>
  <c r="N96" i="66"/>
  <c r="N97" i="66"/>
  <c r="N98" i="66"/>
  <c r="N99" i="66"/>
  <c r="N91" i="66"/>
  <c r="O99" i="66"/>
  <c r="O98" i="66"/>
  <c r="P98" i="66" s="1"/>
  <c r="Q98" i="66" s="1"/>
  <c r="R98" i="66" s="1"/>
  <c r="S98" i="66" s="1"/>
  <c r="T98" i="66" s="1"/>
  <c r="U98" i="66" s="1"/>
  <c r="V98" i="66" s="1"/>
  <c r="W98" i="66" s="1"/>
  <c r="X98" i="66" s="1"/>
  <c r="AA98" i="66" s="1"/>
  <c r="AB98" i="66" s="1"/>
  <c r="AC98" i="66" s="1"/>
  <c r="AD98" i="66" s="1"/>
  <c r="AE98" i="66" s="1"/>
  <c r="AF98" i="66" s="1"/>
  <c r="AG98" i="66" s="1"/>
  <c r="AH98" i="66" s="1"/>
  <c r="AI98" i="66" s="1"/>
  <c r="O96" i="66"/>
  <c r="O93" i="66"/>
  <c r="O92" i="66"/>
  <c r="O91" i="66"/>
  <c r="P99" i="66"/>
  <c r="Q99" i="66" s="1"/>
  <c r="R99" i="66" s="1"/>
  <c r="S99" i="66" s="1"/>
  <c r="T99" i="66" s="1"/>
  <c r="U99" i="66" s="1"/>
  <c r="V99" i="66" s="1"/>
  <c r="W99" i="66" s="1"/>
  <c r="X99" i="66" s="1"/>
  <c r="P96" i="66"/>
  <c r="Q96" i="66" s="1"/>
  <c r="R96" i="66" s="1"/>
  <c r="S96" i="66" s="1"/>
  <c r="T96" i="66" s="1"/>
  <c r="U96" i="66" s="1"/>
  <c r="V96" i="66" s="1"/>
  <c r="W96" i="66" s="1"/>
  <c r="X96" i="66" s="1"/>
  <c r="AA96" i="66" s="1"/>
  <c r="AB96" i="66" s="1"/>
  <c r="AC96" i="66" s="1"/>
  <c r="AD96" i="66" s="1"/>
  <c r="AE96" i="66" s="1"/>
  <c r="AF96" i="66" s="1"/>
  <c r="AG96" i="66" s="1"/>
  <c r="AH96" i="66" s="1"/>
  <c r="AI96" i="66" s="1"/>
  <c r="P93" i="66"/>
  <c r="Q93" i="66" s="1"/>
  <c r="R93" i="66" s="1"/>
  <c r="S93" i="66" s="1"/>
  <c r="T93" i="66" s="1"/>
  <c r="U93" i="66" s="1"/>
  <c r="V93" i="66" s="1"/>
  <c r="W93" i="66" s="1"/>
  <c r="X93" i="66" s="1"/>
  <c r="AA93" i="66" s="1"/>
  <c r="AB93" i="66" s="1"/>
  <c r="AC93" i="66" s="1"/>
  <c r="AD93" i="66" s="1"/>
  <c r="AE93" i="66" s="1"/>
  <c r="AF93" i="66" s="1"/>
  <c r="AG93" i="66" s="1"/>
  <c r="AH93" i="66" s="1"/>
  <c r="AI93" i="66" s="1"/>
  <c r="P92" i="66"/>
  <c r="Q92" i="66" s="1"/>
  <c r="R92" i="66" s="1"/>
  <c r="S92" i="66" s="1"/>
  <c r="T92" i="66" s="1"/>
  <c r="U92" i="66" s="1"/>
  <c r="V92" i="66" s="1"/>
  <c r="W92" i="66" s="1"/>
  <c r="X92" i="66" s="1"/>
  <c r="E99" i="66"/>
  <c r="F99" i="66" s="1"/>
  <c r="G99" i="66" s="1"/>
  <c r="H99" i="66" s="1"/>
  <c r="I99" i="66" s="1"/>
  <c r="J99" i="66" s="1"/>
  <c r="K99" i="66" s="1"/>
  <c r="L99" i="66" s="1"/>
  <c r="M99" i="66" s="1"/>
  <c r="E98" i="66"/>
  <c r="F98" i="66" s="1"/>
  <c r="G98" i="66" s="1"/>
  <c r="H98" i="66" s="1"/>
  <c r="I98" i="66" s="1"/>
  <c r="J98" i="66" s="1"/>
  <c r="K98" i="66" s="1"/>
  <c r="L98" i="66" s="1"/>
  <c r="M98" i="66" s="1"/>
  <c r="E97" i="66"/>
  <c r="F97" i="66" s="1"/>
  <c r="G97" i="66" s="1"/>
  <c r="H97" i="66" s="1"/>
  <c r="I97" i="66" s="1"/>
  <c r="J97" i="66" s="1"/>
  <c r="K97" i="66" s="1"/>
  <c r="L97" i="66" s="1"/>
  <c r="M97" i="66" s="1"/>
  <c r="O97" i="66" s="1"/>
  <c r="P97" i="66" s="1"/>
  <c r="Q97" i="66" s="1"/>
  <c r="R97" i="66" s="1"/>
  <c r="S97" i="66" s="1"/>
  <c r="T97" i="66" s="1"/>
  <c r="U97" i="66" s="1"/>
  <c r="V97" i="66" s="1"/>
  <c r="W97" i="66" s="1"/>
  <c r="X97" i="66" s="1"/>
  <c r="E96" i="66"/>
  <c r="F96" i="66" s="1"/>
  <c r="G96" i="66" s="1"/>
  <c r="H96" i="66" s="1"/>
  <c r="I96" i="66" s="1"/>
  <c r="J96" i="66" s="1"/>
  <c r="K96" i="66" s="1"/>
  <c r="L96" i="66" s="1"/>
  <c r="M96" i="66" s="1"/>
  <c r="E95" i="66"/>
  <c r="F95" i="66" s="1"/>
  <c r="G95" i="66" s="1"/>
  <c r="H95" i="66" s="1"/>
  <c r="I95" i="66" s="1"/>
  <c r="J95" i="66" s="1"/>
  <c r="K95" i="66" s="1"/>
  <c r="L95" i="66" s="1"/>
  <c r="M95" i="66" s="1"/>
  <c r="O95" i="66" s="1"/>
  <c r="P95" i="66" s="1"/>
  <c r="Q95" i="66" s="1"/>
  <c r="R95" i="66" s="1"/>
  <c r="S95" i="66" s="1"/>
  <c r="T95" i="66" s="1"/>
  <c r="U95" i="66" s="1"/>
  <c r="V95" i="66" s="1"/>
  <c r="W95" i="66" s="1"/>
  <c r="X95" i="66" s="1"/>
  <c r="E94" i="66"/>
  <c r="F94" i="66" s="1"/>
  <c r="G94" i="66" s="1"/>
  <c r="H94" i="66" s="1"/>
  <c r="I94" i="66" s="1"/>
  <c r="J94" i="66" s="1"/>
  <c r="K94" i="66" s="1"/>
  <c r="L94" i="66" s="1"/>
  <c r="M94" i="66" s="1"/>
  <c r="O94" i="66" s="1"/>
  <c r="P94" i="66" s="1"/>
  <c r="Q94" i="66" s="1"/>
  <c r="R94" i="66" s="1"/>
  <c r="S94" i="66" s="1"/>
  <c r="T94" i="66" s="1"/>
  <c r="U94" i="66" s="1"/>
  <c r="V94" i="66" s="1"/>
  <c r="W94" i="66" s="1"/>
  <c r="X94" i="66" s="1"/>
  <c r="E93" i="66"/>
  <c r="F93" i="66" s="1"/>
  <c r="G93" i="66" s="1"/>
  <c r="H93" i="66" s="1"/>
  <c r="I93" i="66" s="1"/>
  <c r="J93" i="66" s="1"/>
  <c r="K93" i="66" s="1"/>
  <c r="L93" i="66" s="1"/>
  <c r="M93" i="66" s="1"/>
  <c r="E92" i="66"/>
  <c r="F92" i="66" s="1"/>
  <c r="G92" i="66" s="1"/>
  <c r="H92" i="66" s="1"/>
  <c r="I92" i="66" s="1"/>
  <c r="J92" i="66" s="1"/>
  <c r="K92" i="66" s="1"/>
  <c r="L92" i="66" s="1"/>
  <c r="M92" i="66" s="1"/>
  <c r="F91" i="66"/>
  <c r="G91" i="66" s="1"/>
  <c r="H91" i="66" s="1"/>
  <c r="I91" i="66" s="1"/>
  <c r="J91" i="66" s="1"/>
  <c r="K91" i="66" s="1"/>
  <c r="L91" i="66" s="1"/>
  <c r="M91" i="66" s="1"/>
  <c r="E91" i="66"/>
  <c r="E33" i="66"/>
  <c r="F33" i="66" s="1"/>
  <c r="G33" i="66" s="1"/>
  <c r="H33" i="66" s="1"/>
  <c r="I33" i="66" s="1"/>
  <c r="J33" i="66" s="1"/>
  <c r="K33" i="66" s="1"/>
  <c r="L33" i="66" s="1"/>
  <c r="M33" i="66" s="1"/>
  <c r="N33" i="66" s="1"/>
  <c r="O33" i="66" s="1"/>
  <c r="P33" i="66" s="1"/>
  <c r="Q33" i="66" s="1"/>
  <c r="R33" i="66" s="1"/>
  <c r="S33" i="66" s="1"/>
  <c r="T33" i="66" s="1"/>
  <c r="U33" i="66" s="1"/>
  <c r="V33" i="66" s="1"/>
  <c r="W33" i="66" s="1"/>
  <c r="X33" i="66" s="1"/>
  <c r="Y33" i="66" s="1"/>
  <c r="Z33" i="66" s="1"/>
  <c r="AA33" i="66" s="1"/>
  <c r="AB33" i="66" s="1"/>
  <c r="AC33" i="66" s="1"/>
  <c r="AD33" i="66" s="1"/>
  <c r="AE33" i="66" s="1"/>
  <c r="AF33" i="66" s="1"/>
  <c r="AG33" i="66" s="1"/>
  <c r="AH33" i="66" s="1"/>
  <c r="AI33" i="66" s="1"/>
  <c r="AJ33" i="66" s="1"/>
  <c r="AK33" i="66" s="1"/>
  <c r="AL33" i="66" s="1"/>
  <c r="AM33" i="66" s="1"/>
  <c r="AN33" i="66" s="1"/>
  <c r="AO33" i="66" s="1"/>
  <c r="AP33" i="66" s="1"/>
  <c r="AQ33" i="66" s="1"/>
  <c r="AR33" i="66" s="1"/>
  <c r="AS33" i="66" s="1"/>
  <c r="AT33" i="66" s="1"/>
  <c r="AU33" i="66" s="1"/>
  <c r="AV33" i="66" s="1"/>
  <c r="AW33" i="66" s="1"/>
  <c r="AX33" i="66" s="1"/>
  <c r="AY33" i="66" s="1"/>
  <c r="AZ33" i="66" s="1"/>
  <c r="BA33" i="66" s="1"/>
  <c r="BB33" i="66" s="1"/>
  <c r="BC33" i="66" s="1"/>
  <c r="BD33" i="66" s="1"/>
  <c r="BE33" i="66" s="1"/>
  <c r="BF33" i="66" s="1"/>
  <c r="BG33" i="66" s="1"/>
  <c r="BH33" i="66" s="1"/>
  <c r="BI33" i="66" s="1"/>
  <c r="BJ33" i="66" s="1"/>
  <c r="BK33" i="66" s="1"/>
  <c r="BL33" i="66" s="1"/>
  <c r="BM33" i="66" s="1"/>
  <c r="BN33" i="66" s="1"/>
  <c r="BO33" i="66" s="1"/>
  <c r="BP33" i="66" s="1"/>
  <c r="BQ33" i="66" s="1"/>
  <c r="BR33" i="66" s="1"/>
  <c r="BS33" i="66" s="1"/>
  <c r="BT33" i="66" s="1"/>
  <c r="BU33" i="66" s="1"/>
  <c r="BV33" i="66" s="1"/>
  <c r="BW33" i="66" s="1"/>
  <c r="BX33" i="66" s="1"/>
  <c r="BY33" i="66" s="1"/>
  <c r="BZ33" i="66" s="1"/>
  <c r="CA33" i="66" s="1"/>
  <c r="CB33" i="66" s="1"/>
  <c r="CC33" i="66" s="1"/>
  <c r="CD33" i="66" s="1"/>
  <c r="CE33" i="66" s="1"/>
  <c r="CF33" i="66" s="1"/>
  <c r="CG33" i="66" s="1"/>
  <c r="CH33" i="66" s="1"/>
  <c r="CI33" i="66" s="1"/>
  <c r="CJ33" i="66" s="1"/>
  <c r="CK33" i="66" s="1"/>
  <c r="CL33" i="66" s="1"/>
  <c r="CM33" i="66" s="1"/>
  <c r="CN33" i="66" s="1"/>
  <c r="CO33" i="66" s="1"/>
  <c r="CP33" i="66" s="1"/>
  <c r="CQ33" i="66" s="1"/>
  <c r="CR33" i="66" s="1"/>
  <c r="CS33" i="66" s="1"/>
  <c r="CT33" i="66" s="1"/>
  <c r="CU33" i="66" s="1"/>
  <c r="CV33" i="66" s="1"/>
  <c r="CW33" i="66" s="1"/>
  <c r="CX33" i="66" s="1"/>
  <c r="CY33" i="66" s="1"/>
  <c r="CZ33" i="66" s="1"/>
  <c r="DA33" i="66" s="1"/>
  <c r="DB33" i="66" s="1"/>
  <c r="DC33" i="66" s="1"/>
  <c r="DD33" i="66" s="1"/>
  <c r="DE33" i="66" s="1"/>
  <c r="DF33" i="66" s="1"/>
  <c r="DG33" i="66" s="1"/>
  <c r="DH33" i="66" s="1"/>
  <c r="DI33" i="66" s="1"/>
  <c r="DJ33" i="66" s="1"/>
  <c r="DK33" i="66" s="1"/>
  <c r="DL33" i="66" s="1"/>
  <c r="DM33" i="66" s="1"/>
  <c r="DN33" i="66" s="1"/>
  <c r="DO33" i="66" s="1"/>
  <c r="DP33" i="66" s="1"/>
  <c r="DQ33" i="66" s="1"/>
  <c r="DR33" i="66" s="1"/>
  <c r="DS33" i="66" s="1"/>
  <c r="DT33" i="66" s="1"/>
  <c r="E29" i="66"/>
  <c r="F29" i="66" s="1"/>
  <c r="G29" i="66" s="1"/>
  <c r="H29" i="66" s="1"/>
  <c r="I29" i="66" s="1"/>
  <c r="J29" i="66" s="1"/>
  <c r="K29" i="66" s="1"/>
  <c r="L29" i="66" s="1"/>
  <c r="M29" i="66" s="1"/>
  <c r="N29" i="66" s="1"/>
  <c r="O29" i="66" s="1"/>
  <c r="P29" i="66" s="1"/>
  <c r="Q29" i="66" s="1"/>
  <c r="R29" i="66" s="1"/>
  <c r="S29" i="66" s="1"/>
  <c r="T29" i="66" s="1"/>
  <c r="U29" i="66" s="1"/>
  <c r="V29" i="66" s="1"/>
  <c r="W29" i="66" s="1"/>
  <c r="X29" i="66" s="1"/>
  <c r="Y29" i="66" s="1"/>
  <c r="Z29" i="66" s="1"/>
  <c r="AA29" i="66" s="1"/>
  <c r="AB29" i="66" s="1"/>
  <c r="AC29" i="66" s="1"/>
  <c r="AD29" i="66" s="1"/>
  <c r="AE29" i="66" s="1"/>
  <c r="AF29" i="66" s="1"/>
  <c r="AG29" i="66" s="1"/>
  <c r="AH29" i="66" s="1"/>
  <c r="AI29" i="66" s="1"/>
  <c r="AJ29" i="66" s="1"/>
  <c r="AK29" i="66" s="1"/>
  <c r="AL29" i="66" s="1"/>
  <c r="AM29" i="66" s="1"/>
  <c r="AN29" i="66" s="1"/>
  <c r="AO29" i="66" s="1"/>
  <c r="AP29" i="66" s="1"/>
  <c r="AQ29" i="66" s="1"/>
  <c r="AR29" i="66" s="1"/>
  <c r="AS29" i="66" s="1"/>
  <c r="AT29" i="66" s="1"/>
  <c r="AU29" i="66" s="1"/>
  <c r="AV29" i="66" s="1"/>
  <c r="AW29" i="66" s="1"/>
  <c r="AX29" i="66" s="1"/>
  <c r="AY29" i="66" s="1"/>
  <c r="AZ29" i="66" s="1"/>
  <c r="BA29" i="66" s="1"/>
  <c r="BB29" i="66" s="1"/>
  <c r="BC29" i="66" s="1"/>
  <c r="BD29" i="66" s="1"/>
  <c r="BE29" i="66" s="1"/>
  <c r="BF29" i="66" s="1"/>
  <c r="BG29" i="66" s="1"/>
  <c r="BH29" i="66" s="1"/>
  <c r="BI29" i="66" s="1"/>
  <c r="BJ29" i="66" s="1"/>
  <c r="BK29" i="66" s="1"/>
  <c r="BL29" i="66" s="1"/>
  <c r="BM29" i="66" s="1"/>
  <c r="BN29" i="66" s="1"/>
  <c r="BO29" i="66" s="1"/>
  <c r="BP29" i="66" s="1"/>
  <c r="BQ29" i="66" s="1"/>
  <c r="BR29" i="66" s="1"/>
  <c r="BS29" i="66" s="1"/>
  <c r="BT29" i="66" s="1"/>
  <c r="BU29" i="66" s="1"/>
  <c r="BV29" i="66" s="1"/>
  <c r="BW29" i="66" s="1"/>
  <c r="BX29" i="66" s="1"/>
  <c r="BY29" i="66" s="1"/>
  <c r="BZ29" i="66" s="1"/>
  <c r="CA29" i="66" s="1"/>
  <c r="CB29" i="66" s="1"/>
  <c r="CC29" i="66" s="1"/>
  <c r="CD29" i="66" s="1"/>
  <c r="CE29" i="66" s="1"/>
  <c r="CF29" i="66" s="1"/>
  <c r="CG29" i="66" s="1"/>
  <c r="CH29" i="66" s="1"/>
  <c r="CI29" i="66" s="1"/>
  <c r="CJ29" i="66" s="1"/>
  <c r="CK29" i="66" s="1"/>
  <c r="CL29" i="66" s="1"/>
  <c r="CM29" i="66" s="1"/>
  <c r="CN29" i="66" s="1"/>
  <c r="CO29" i="66" s="1"/>
  <c r="CP29" i="66" s="1"/>
  <c r="CQ29" i="66" s="1"/>
  <c r="CR29" i="66" s="1"/>
  <c r="CS29" i="66" s="1"/>
  <c r="CT29" i="66" s="1"/>
  <c r="CU29" i="66" s="1"/>
  <c r="CV29" i="66" s="1"/>
  <c r="CW29" i="66" s="1"/>
  <c r="CX29" i="66" s="1"/>
  <c r="CY29" i="66" s="1"/>
  <c r="CZ29" i="66" s="1"/>
  <c r="DA29" i="66" s="1"/>
  <c r="DB29" i="66" s="1"/>
  <c r="DC29" i="66" s="1"/>
  <c r="DD29" i="66" s="1"/>
  <c r="DE29" i="66" s="1"/>
  <c r="DF29" i="66" s="1"/>
  <c r="DG29" i="66" s="1"/>
  <c r="DH29" i="66" s="1"/>
  <c r="DI29" i="66" s="1"/>
  <c r="DJ29" i="66" s="1"/>
  <c r="DK29" i="66" s="1"/>
  <c r="DL29" i="66" s="1"/>
  <c r="DM29" i="66" s="1"/>
  <c r="DN29" i="66" s="1"/>
  <c r="DO29" i="66" s="1"/>
  <c r="DP29" i="66" s="1"/>
  <c r="DQ29" i="66" s="1"/>
  <c r="DR29" i="66" s="1"/>
  <c r="DS29" i="66" s="1"/>
  <c r="DT29" i="66" s="1"/>
  <c r="E24" i="66"/>
  <c r="F24" i="66" s="1"/>
  <c r="G24" i="66" s="1"/>
  <c r="H24" i="66" s="1"/>
  <c r="I24" i="66" s="1"/>
  <c r="J24" i="66" s="1"/>
  <c r="K24" i="66" s="1"/>
  <c r="L24" i="66" s="1"/>
  <c r="M24" i="66" s="1"/>
  <c r="N24" i="66" s="1"/>
  <c r="O24" i="66" s="1"/>
  <c r="P24" i="66" s="1"/>
  <c r="Q24" i="66" s="1"/>
  <c r="R24" i="66" s="1"/>
  <c r="S24" i="66" s="1"/>
  <c r="T24" i="66" s="1"/>
  <c r="U24" i="66" s="1"/>
  <c r="V24" i="66" s="1"/>
  <c r="W24" i="66" s="1"/>
  <c r="X24" i="66" s="1"/>
  <c r="Y24" i="66" s="1"/>
  <c r="Z24" i="66" s="1"/>
  <c r="AA24" i="66" s="1"/>
  <c r="AB24" i="66" s="1"/>
  <c r="AC24" i="66" s="1"/>
  <c r="AD24" i="66" s="1"/>
  <c r="AE24" i="66" s="1"/>
  <c r="AF24" i="66" s="1"/>
  <c r="AG24" i="66" s="1"/>
  <c r="AH24" i="66" s="1"/>
  <c r="AI24" i="66" s="1"/>
  <c r="AJ24" i="66" s="1"/>
  <c r="AK24" i="66" s="1"/>
  <c r="AL24" i="66" s="1"/>
  <c r="AM24" i="66" s="1"/>
  <c r="AN24" i="66" s="1"/>
  <c r="AO24" i="66" s="1"/>
  <c r="AP24" i="66" s="1"/>
  <c r="AQ24" i="66" s="1"/>
  <c r="AR24" i="66" s="1"/>
  <c r="AS24" i="66" s="1"/>
  <c r="AT24" i="66" s="1"/>
  <c r="AU24" i="66" s="1"/>
  <c r="AV24" i="66" s="1"/>
  <c r="AW24" i="66" s="1"/>
  <c r="AX24" i="66" s="1"/>
  <c r="AY24" i="66" s="1"/>
  <c r="AZ24" i="66" s="1"/>
  <c r="BA24" i="66" s="1"/>
  <c r="BB24" i="66" s="1"/>
  <c r="BC24" i="66" s="1"/>
  <c r="BD24" i="66" s="1"/>
  <c r="BE24" i="66" s="1"/>
  <c r="BF24" i="66" s="1"/>
  <c r="BG24" i="66" s="1"/>
  <c r="BH24" i="66" s="1"/>
  <c r="BI24" i="66" s="1"/>
  <c r="BJ24" i="66" s="1"/>
  <c r="BK24" i="66" s="1"/>
  <c r="BL24" i="66" s="1"/>
  <c r="BM24" i="66" s="1"/>
  <c r="BN24" i="66" s="1"/>
  <c r="BO24" i="66" s="1"/>
  <c r="BP24" i="66" s="1"/>
  <c r="BQ24" i="66" s="1"/>
  <c r="BR24" i="66" s="1"/>
  <c r="BS24" i="66" s="1"/>
  <c r="BT24" i="66" s="1"/>
  <c r="BU24" i="66" s="1"/>
  <c r="BV24" i="66" s="1"/>
  <c r="BW24" i="66" s="1"/>
  <c r="BX24" i="66" s="1"/>
  <c r="BY24" i="66" s="1"/>
  <c r="BZ24" i="66" s="1"/>
  <c r="CA24" i="66" s="1"/>
  <c r="CB24" i="66" s="1"/>
  <c r="CC24" i="66" s="1"/>
  <c r="CD24" i="66" s="1"/>
  <c r="CE24" i="66" s="1"/>
  <c r="CF24" i="66" s="1"/>
  <c r="CG24" i="66" s="1"/>
  <c r="CH24" i="66" s="1"/>
  <c r="CI24" i="66" s="1"/>
  <c r="CJ24" i="66" s="1"/>
  <c r="CK24" i="66" s="1"/>
  <c r="CL24" i="66" s="1"/>
  <c r="CM24" i="66" s="1"/>
  <c r="CN24" i="66" s="1"/>
  <c r="CO24" i="66" s="1"/>
  <c r="CP24" i="66" s="1"/>
  <c r="CQ24" i="66" s="1"/>
  <c r="CR24" i="66" s="1"/>
  <c r="CS24" i="66" s="1"/>
  <c r="CT24" i="66" s="1"/>
  <c r="CU24" i="66" s="1"/>
  <c r="CV24" i="66" s="1"/>
  <c r="CW24" i="66" s="1"/>
  <c r="CX24" i="66" s="1"/>
  <c r="CY24" i="66" s="1"/>
  <c r="CZ24" i="66" s="1"/>
  <c r="DA24" i="66" s="1"/>
  <c r="DB24" i="66" s="1"/>
  <c r="DC24" i="66" s="1"/>
  <c r="DD24" i="66" s="1"/>
  <c r="DE24" i="66" s="1"/>
  <c r="DF24" i="66" s="1"/>
  <c r="DG24" i="66" s="1"/>
  <c r="DH24" i="66" s="1"/>
  <c r="DI24" i="66" s="1"/>
  <c r="DJ24" i="66" s="1"/>
  <c r="DK24" i="66" s="1"/>
  <c r="DL24" i="66" s="1"/>
  <c r="DM24" i="66" s="1"/>
  <c r="DN24" i="66" s="1"/>
  <c r="DO24" i="66" s="1"/>
  <c r="DP24" i="66" s="1"/>
  <c r="DQ24" i="66" s="1"/>
  <c r="DR24" i="66" s="1"/>
  <c r="DS24" i="66" s="1"/>
  <c r="DT24" i="66" s="1"/>
  <c r="E23" i="66"/>
  <c r="F23" i="66" s="1"/>
  <c r="G23" i="66" s="1"/>
  <c r="H23" i="66" s="1"/>
  <c r="I23" i="66" s="1"/>
  <c r="J23" i="66" s="1"/>
  <c r="K23" i="66" s="1"/>
  <c r="L23" i="66" s="1"/>
  <c r="M23" i="66" s="1"/>
  <c r="N23" i="66" s="1"/>
  <c r="O23" i="66" s="1"/>
  <c r="P23" i="66" s="1"/>
  <c r="Q23" i="66" s="1"/>
  <c r="R23" i="66" s="1"/>
  <c r="S23" i="66" s="1"/>
  <c r="T23" i="66" s="1"/>
  <c r="U23" i="66" s="1"/>
  <c r="V23" i="66" s="1"/>
  <c r="W23" i="66" s="1"/>
  <c r="X23" i="66" s="1"/>
  <c r="Y23" i="66" s="1"/>
  <c r="Z23" i="66" s="1"/>
  <c r="AA23" i="66" s="1"/>
  <c r="AB23" i="66" s="1"/>
  <c r="AC23" i="66" s="1"/>
  <c r="AD23" i="66" s="1"/>
  <c r="AE23" i="66" s="1"/>
  <c r="AF23" i="66" s="1"/>
  <c r="AG23" i="66" s="1"/>
  <c r="AH23" i="66" s="1"/>
  <c r="AI23" i="66" s="1"/>
  <c r="AJ23" i="66" s="1"/>
  <c r="AK23" i="66" s="1"/>
  <c r="AL23" i="66" s="1"/>
  <c r="AM23" i="66" s="1"/>
  <c r="AN23" i="66" s="1"/>
  <c r="AO23" i="66" s="1"/>
  <c r="AP23" i="66" s="1"/>
  <c r="AQ23" i="66" s="1"/>
  <c r="AR23" i="66" s="1"/>
  <c r="AS23" i="66" s="1"/>
  <c r="AT23" i="66" s="1"/>
  <c r="AU23" i="66" s="1"/>
  <c r="AV23" i="66" s="1"/>
  <c r="AW23" i="66" s="1"/>
  <c r="AX23" i="66" s="1"/>
  <c r="AY23" i="66" s="1"/>
  <c r="AZ23" i="66" s="1"/>
  <c r="BA23" i="66" s="1"/>
  <c r="BB23" i="66" s="1"/>
  <c r="BC23" i="66" s="1"/>
  <c r="BD23" i="66" s="1"/>
  <c r="BE23" i="66" s="1"/>
  <c r="BF23" i="66" s="1"/>
  <c r="BG23" i="66" s="1"/>
  <c r="BH23" i="66" s="1"/>
  <c r="BI23" i="66" s="1"/>
  <c r="BJ23" i="66" s="1"/>
  <c r="BK23" i="66" s="1"/>
  <c r="BL23" i="66" s="1"/>
  <c r="BM23" i="66" s="1"/>
  <c r="BN23" i="66" s="1"/>
  <c r="BO23" i="66" s="1"/>
  <c r="BP23" i="66" s="1"/>
  <c r="BQ23" i="66" s="1"/>
  <c r="BR23" i="66" s="1"/>
  <c r="BS23" i="66" s="1"/>
  <c r="BT23" i="66" s="1"/>
  <c r="BU23" i="66" s="1"/>
  <c r="BV23" i="66" s="1"/>
  <c r="BW23" i="66" s="1"/>
  <c r="BX23" i="66" s="1"/>
  <c r="BY23" i="66" s="1"/>
  <c r="BZ23" i="66" s="1"/>
  <c r="CA23" i="66" s="1"/>
  <c r="CB23" i="66" s="1"/>
  <c r="CC23" i="66" s="1"/>
  <c r="CD23" i="66" s="1"/>
  <c r="CE23" i="66" s="1"/>
  <c r="CF23" i="66" s="1"/>
  <c r="CG23" i="66" s="1"/>
  <c r="CH23" i="66" s="1"/>
  <c r="CI23" i="66" s="1"/>
  <c r="CJ23" i="66" s="1"/>
  <c r="CK23" i="66" s="1"/>
  <c r="CL23" i="66" s="1"/>
  <c r="CM23" i="66" s="1"/>
  <c r="CN23" i="66" s="1"/>
  <c r="CO23" i="66" s="1"/>
  <c r="CP23" i="66" s="1"/>
  <c r="CQ23" i="66" s="1"/>
  <c r="CR23" i="66" s="1"/>
  <c r="CS23" i="66" s="1"/>
  <c r="CT23" i="66" s="1"/>
  <c r="CU23" i="66" s="1"/>
  <c r="CV23" i="66" s="1"/>
  <c r="CW23" i="66" s="1"/>
  <c r="CX23" i="66" s="1"/>
  <c r="CY23" i="66" s="1"/>
  <c r="CZ23" i="66" s="1"/>
  <c r="DA23" i="66" s="1"/>
  <c r="DB23" i="66" s="1"/>
  <c r="DC23" i="66" s="1"/>
  <c r="DD23" i="66" s="1"/>
  <c r="DE23" i="66" s="1"/>
  <c r="DF23" i="66" s="1"/>
  <c r="DG23" i="66" s="1"/>
  <c r="DH23" i="66" s="1"/>
  <c r="DI23" i="66" s="1"/>
  <c r="DJ23" i="66" s="1"/>
  <c r="DK23" i="66" s="1"/>
  <c r="DL23" i="66" s="1"/>
  <c r="DM23" i="66" s="1"/>
  <c r="DN23" i="66" s="1"/>
  <c r="DO23" i="66" s="1"/>
  <c r="DP23" i="66" s="1"/>
  <c r="DQ23" i="66" s="1"/>
  <c r="DR23" i="66" s="1"/>
  <c r="DS23" i="66" s="1"/>
  <c r="DT23" i="66" s="1"/>
  <c r="E22" i="66"/>
  <c r="F22" i="66" s="1"/>
  <c r="G22" i="66" s="1"/>
  <c r="H22" i="66" s="1"/>
  <c r="I22" i="66" s="1"/>
  <c r="J22" i="66" s="1"/>
  <c r="K22" i="66" s="1"/>
  <c r="L22" i="66" s="1"/>
  <c r="M22" i="66" s="1"/>
  <c r="N22" i="66" s="1"/>
  <c r="O22" i="66" s="1"/>
  <c r="P22" i="66" s="1"/>
  <c r="Q22" i="66" s="1"/>
  <c r="R22" i="66" s="1"/>
  <c r="S22" i="66" s="1"/>
  <c r="T22" i="66" s="1"/>
  <c r="U22" i="66" s="1"/>
  <c r="V22" i="66" s="1"/>
  <c r="W22" i="66" s="1"/>
  <c r="X22" i="66" s="1"/>
  <c r="Y22" i="66" s="1"/>
  <c r="Z22" i="66" s="1"/>
  <c r="AA22" i="66" s="1"/>
  <c r="AB22" i="66" s="1"/>
  <c r="AC22" i="66" s="1"/>
  <c r="AD22" i="66" s="1"/>
  <c r="AE22" i="66" s="1"/>
  <c r="AF22" i="66" s="1"/>
  <c r="AG22" i="66" s="1"/>
  <c r="AH22" i="66" s="1"/>
  <c r="AI22" i="66" s="1"/>
  <c r="AJ22" i="66" s="1"/>
  <c r="AK22" i="66" s="1"/>
  <c r="AL22" i="66" s="1"/>
  <c r="AM22" i="66" s="1"/>
  <c r="AN22" i="66" s="1"/>
  <c r="AO22" i="66" s="1"/>
  <c r="AP22" i="66" s="1"/>
  <c r="AQ22" i="66" s="1"/>
  <c r="AR22" i="66" s="1"/>
  <c r="AS22" i="66" s="1"/>
  <c r="AT22" i="66" s="1"/>
  <c r="AU22" i="66" s="1"/>
  <c r="AV22" i="66" s="1"/>
  <c r="AW22" i="66" s="1"/>
  <c r="AX22" i="66" s="1"/>
  <c r="AY22" i="66" s="1"/>
  <c r="AZ22" i="66" s="1"/>
  <c r="BA22" i="66" s="1"/>
  <c r="BB22" i="66" s="1"/>
  <c r="BC22" i="66" s="1"/>
  <c r="BD22" i="66" s="1"/>
  <c r="BE22" i="66" s="1"/>
  <c r="BF22" i="66" s="1"/>
  <c r="BG22" i="66" s="1"/>
  <c r="BH22" i="66" s="1"/>
  <c r="BI22" i="66" s="1"/>
  <c r="BJ22" i="66" s="1"/>
  <c r="BK22" i="66" s="1"/>
  <c r="BL22" i="66" s="1"/>
  <c r="BM22" i="66" s="1"/>
  <c r="BN22" i="66" s="1"/>
  <c r="BO22" i="66" s="1"/>
  <c r="BP22" i="66" s="1"/>
  <c r="BQ22" i="66" s="1"/>
  <c r="BR22" i="66" s="1"/>
  <c r="BS22" i="66" s="1"/>
  <c r="BT22" i="66" s="1"/>
  <c r="BU22" i="66" s="1"/>
  <c r="BV22" i="66" s="1"/>
  <c r="BW22" i="66" s="1"/>
  <c r="BX22" i="66" s="1"/>
  <c r="BY22" i="66" s="1"/>
  <c r="BZ22" i="66" s="1"/>
  <c r="CA22" i="66" s="1"/>
  <c r="CB22" i="66" s="1"/>
  <c r="CC22" i="66" s="1"/>
  <c r="CD22" i="66" s="1"/>
  <c r="CE22" i="66" s="1"/>
  <c r="CF22" i="66" s="1"/>
  <c r="CG22" i="66" s="1"/>
  <c r="CH22" i="66" s="1"/>
  <c r="CI22" i="66" s="1"/>
  <c r="CJ22" i="66" s="1"/>
  <c r="CK22" i="66" s="1"/>
  <c r="CL22" i="66" s="1"/>
  <c r="CM22" i="66" s="1"/>
  <c r="CN22" i="66" s="1"/>
  <c r="CO22" i="66" s="1"/>
  <c r="CP22" i="66" s="1"/>
  <c r="CQ22" i="66" s="1"/>
  <c r="CR22" i="66" s="1"/>
  <c r="CS22" i="66" s="1"/>
  <c r="CT22" i="66" s="1"/>
  <c r="CU22" i="66" s="1"/>
  <c r="CV22" i="66" s="1"/>
  <c r="CW22" i="66" s="1"/>
  <c r="CX22" i="66" s="1"/>
  <c r="CY22" i="66" s="1"/>
  <c r="CZ22" i="66" s="1"/>
  <c r="DA22" i="66" s="1"/>
  <c r="DB22" i="66" s="1"/>
  <c r="DC22" i="66" s="1"/>
  <c r="DD22" i="66" s="1"/>
  <c r="DE22" i="66" s="1"/>
  <c r="DF22" i="66" s="1"/>
  <c r="DG22" i="66" s="1"/>
  <c r="DH22" i="66" s="1"/>
  <c r="DI22" i="66" s="1"/>
  <c r="DJ22" i="66" s="1"/>
  <c r="DK22" i="66" s="1"/>
  <c r="DL22" i="66" s="1"/>
  <c r="DM22" i="66" s="1"/>
  <c r="DN22" i="66" s="1"/>
  <c r="DO22" i="66" s="1"/>
  <c r="DP22" i="66" s="1"/>
  <c r="DQ22" i="66" s="1"/>
  <c r="DR22" i="66" s="1"/>
  <c r="DS22" i="66" s="1"/>
  <c r="DT22" i="66" s="1"/>
  <c r="E21" i="66"/>
  <c r="F21" i="66" s="1"/>
  <c r="G21" i="66" s="1"/>
  <c r="H21" i="66" s="1"/>
  <c r="I21" i="66" s="1"/>
  <c r="J21" i="66" s="1"/>
  <c r="K21" i="66" s="1"/>
  <c r="L21" i="66" s="1"/>
  <c r="M21" i="66" s="1"/>
  <c r="N21" i="66" s="1"/>
  <c r="O21" i="66" s="1"/>
  <c r="P21" i="66" s="1"/>
  <c r="Q21" i="66" s="1"/>
  <c r="R21" i="66" s="1"/>
  <c r="S21" i="66" s="1"/>
  <c r="T21" i="66" s="1"/>
  <c r="U21" i="66" s="1"/>
  <c r="V21" i="66" s="1"/>
  <c r="W21" i="66" s="1"/>
  <c r="X21" i="66" s="1"/>
  <c r="Y21" i="66" s="1"/>
  <c r="Z21" i="66" s="1"/>
  <c r="AA21" i="66" s="1"/>
  <c r="AB21" i="66" s="1"/>
  <c r="AC21" i="66" s="1"/>
  <c r="AD21" i="66" s="1"/>
  <c r="AE21" i="66" s="1"/>
  <c r="AF21" i="66" s="1"/>
  <c r="AG21" i="66" s="1"/>
  <c r="AH21" i="66" s="1"/>
  <c r="AI21" i="66" s="1"/>
  <c r="AJ21" i="66" s="1"/>
  <c r="AK21" i="66" s="1"/>
  <c r="AL21" i="66" s="1"/>
  <c r="AM21" i="66" s="1"/>
  <c r="AN21" i="66" s="1"/>
  <c r="AO21" i="66" s="1"/>
  <c r="AP21" i="66" s="1"/>
  <c r="AQ21" i="66" s="1"/>
  <c r="AR21" i="66" s="1"/>
  <c r="AS21" i="66" s="1"/>
  <c r="AT21" i="66" s="1"/>
  <c r="AU21" i="66" s="1"/>
  <c r="AV21" i="66" s="1"/>
  <c r="AW21" i="66" s="1"/>
  <c r="AX21" i="66" s="1"/>
  <c r="AY21" i="66" s="1"/>
  <c r="AZ21" i="66" s="1"/>
  <c r="BA21" i="66" s="1"/>
  <c r="BB21" i="66" s="1"/>
  <c r="BC21" i="66" s="1"/>
  <c r="BD21" i="66" s="1"/>
  <c r="BE21" i="66" s="1"/>
  <c r="BF21" i="66" s="1"/>
  <c r="BG21" i="66" s="1"/>
  <c r="BH21" i="66" s="1"/>
  <c r="BI21" i="66" s="1"/>
  <c r="BJ21" i="66" s="1"/>
  <c r="BK21" i="66" s="1"/>
  <c r="BL21" i="66" s="1"/>
  <c r="BM21" i="66" s="1"/>
  <c r="BN21" i="66" s="1"/>
  <c r="BO21" i="66" s="1"/>
  <c r="BP21" i="66" s="1"/>
  <c r="BQ21" i="66" s="1"/>
  <c r="BR21" i="66" s="1"/>
  <c r="BS21" i="66" s="1"/>
  <c r="BT21" i="66" s="1"/>
  <c r="BU21" i="66" s="1"/>
  <c r="BV21" i="66" s="1"/>
  <c r="BW21" i="66" s="1"/>
  <c r="BX21" i="66" s="1"/>
  <c r="BY21" i="66" s="1"/>
  <c r="BZ21" i="66" s="1"/>
  <c r="CA21" i="66" s="1"/>
  <c r="CB21" i="66" s="1"/>
  <c r="CC21" i="66" s="1"/>
  <c r="CD21" i="66" s="1"/>
  <c r="CE21" i="66" s="1"/>
  <c r="CF21" i="66" s="1"/>
  <c r="CG21" i="66" s="1"/>
  <c r="CH21" i="66" s="1"/>
  <c r="CI21" i="66" s="1"/>
  <c r="CJ21" i="66" s="1"/>
  <c r="CK21" i="66" s="1"/>
  <c r="CL21" i="66" s="1"/>
  <c r="CM21" i="66" s="1"/>
  <c r="CN21" i="66" s="1"/>
  <c r="CO21" i="66" s="1"/>
  <c r="CP21" i="66" s="1"/>
  <c r="CQ21" i="66" s="1"/>
  <c r="CR21" i="66" s="1"/>
  <c r="CS21" i="66" s="1"/>
  <c r="CT21" i="66" s="1"/>
  <c r="CU21" i="66" s="1"/>
  <c r="CV21" i="66" s="1"/>
  <c r="CW21" i="66" s="1"/>
  <c r="CX21" i="66" s="1"/>
  <c r="CY21" i="66" s="1"/>
  <c r="CZ21" i="66" s="1"/>
  <c r="DA21" i="66" s="1"/>
  <c r="DB21" i="66" s="1"/>
  <c r="DC21" i="66" s="1"/>
  <c r="DD21" i="66" s="1"/>
  <c r="DE21" i="66" s="1"/>
  <c r="DF21" i="66" s="1"/>
  <c r="DG21" i="66" s="1"/>
  <c r="DH21" i="66" s="1"/>
  <c r="DI21" i="66" s="1"/>
  <c r="DJ21" i="66" s="1"/>
  <c r="DK21" i="66" s="1"/>
  <c r="DL21" i="66" s="1"/>
  <c r="DM21" i="66" s="1"/>
  <c r="DN21" i="66" s="1"/>
  <c r="DO21" i="66" s="1"/>
  <c r="DP21" i="66" s="1"/>
  <c r="DQ21" i="66" s="1"/>
  <c r="DR21" i="66" s="1"/>
  <c r="DS21" i="66" s="1"/>
  <c r="DT21" i="66" s="1"/>
  <c r="E20" i="66"/>
  <c r="F20" i="66" s="1"/>
  <c r="G20" i="66" s="1"/>
  <c r="H20" i="66" s="1"/>
  <c r="I20" i="66" s="1"/>
  <c r="J20" i="66" s="1"/>
  <c r="K20" i="66" s="1"/>
  <c r="L20" i="66" s="1"/>
  <c r="M20" i="66" s="1"/>
  <c r="N20" i="66" s="1"/>
  <c r="O20" i="66" s="1"/>
  <c r="P20" i="66" s="1"/>
  <c r="Q20" i="66" s="1"/>
  <c r="R20" i="66" s="1"/>
  <c r="S20" i="66" s="1"/>
  <c r="T20" i="66" s="1"/>
  <c r="U20" i="66" s="1"/>
  <c r="V20" i="66" s="1"/>
  <c r="W20" i="66" s="1"/>
  <c r="X20" i="66" s="1"/>
  <c r="Y20" i="66" s="1"/>
  <c r="Z20" i="66" s="1"/>
  <c r="AA20" i="66" s="1"/>
  <c r="AB20" i="66" s="1"/>
  <c r="AC20" i="66" s="1"/>
  <c r="AD20" i="66" s="1"/>
  <c r="AE20" i="66" s="1"/>
  <c r="AF20" i="66" s="1"/>
  <c r="AG20" i="66" s="1"/>
  <c r="AH20" i="66" s="1"/>
  <c r="AI20" i="66" s="1"/>
  <c r="AJ20" i="66" s="1"/>
  <c r="AK20" i="66" s="1"/>
  <c r="AL20" i="66" s="1"/>
  <c r="AM20" i="66" s="1"/>
  <c r="AN20" i="66" s="1"/>
  <c r="AO20" i="66" s="1"/>
  <c r="AP20" i="66" s="1"/>
  <c r="AQ20" i="66" s="1"/>
  <c r="AR20" i="66" s="1"/>
  <c r="AS20" i="66" s="1"/>
  <c r="AT20" i="66" s="1"/>
  <c r="AU20" i="66" s="1"/>
  <c r="AV20" i="66" s="1"/>
  <c r="AW20" i="66" s="1"/>
  <c r="AX20" i="66" s="1"/>
  <c r="AY20" i="66" s="1"/>
  <c r="AZ20" i="66" s="1"/>
  <c r="BA20" i="66" s="1"/>
  <c r="BB20" i="66" s="1"/>
  <c r="BC20" i="66" s="1"/>
  <c r="BD20" i="66" s="1"/>
  <c r="BE20" i="66" s="1"/>
  <c r="BF20" i="66" s="1"/>
  <c r="BG20" i="66" s="1"/>
  <c r="BH20" i="66" s="1"/>
  <c r="BI20" i="66" s="1"/>
  <c r="BJ20" i="66" s="1"/>
  <c r="BK20" i="66" s="1"/>
  <c r="BL20" i="66" s="1"/>
  <c r="BM20" i="66" s="1"/>
  <c r="BN20" i="66" s="1"/>
  <c r="BO20" i="66" s="1"/>
  <c r="BP20" i="66" s="1"/>
  <c r="BQ20" i="66" s="1"/>
  <c r="BR20" i="66" s="1"/>
  <c r="BS20" i="66" s="1"/>
  <c r="BT20" i="66" s="1"/>
  <c r="BU20" i="66" s="1"/>
  <c r="BV20" i="66" s="1"/>
  <c r="BW20" i="66" s="1"/>
  <c r="BX20" i="66" s="1"/>
  <c r="BY20" i="66" s="1"/>
  <c r="BZ20" i="66" s="1"/>
  <c r="CA20" i="66" s="1"/>
  <c r="CB20" i="66" s="1"/>
  <c r="CC20" i="66" s="1"/>
  <c r="CD20" i="66" s="1"/>
  <c r="CE20" i="66" s="1"/>
  <c r="CF20" i="66" s="1"/>
  <c r="CG20" i="66" s="1"/>
  <c r="CH20" i="66" s="1"/>
  <c r="CI20" i="66" s="1"/>
  <c r="CJ20" i="66" s="1"/>
  <c r="CK20" i="66" s="1"/>
  <c r="CL20" i="66" s="1"/>
  <c r="CM20" i="66" s="1"/>
  <c r="CN20" i="66" s="1"/>
  <c r="CO20" i="66" s="1"/>
  <c r="CP20" i="66" s="1"/>
  <c r="CQ20" i="66" s="1"/>
  <c r="CR20" i="66" s="1"/>
  <c r="CS20" i="66" s="1"/>
  <c r="CT20" i="66" s="1"/>
  <c r="CU20" i="66" s="1"/>
  <c r="CV20" i="66" s="1"/>
  <c r="CW20" i="66" s="1"/>
  <c r="CX20" i="66" s="1"/>
  <c r="CY20" i="66" s="1"/>
  <c r="CZ20" i="66" s="1"/>
  <c r="DA20" i="66" s="1"/>
  <c r="DB20" i="66" s="1"/>
  <c r="DC20" i="66" s="1"/>
  <c r="DD20" i="66" s="1"/>
  <c r="DE20" i="66" s="1"/>
  <c r="DF20" i="66" s="1"/>
  <c r="DG20" i="66" s="1"/>
  <c r="DH20" i="66" s="1"/>
  <c r="DI20" i="66" s="1"/>
  <c r="DJ20" i="66" s="1"/>
  <c r="DK20" i="66" s="1"/>
  <c r="DL20" i="66" s="1"/>
  <c r="DM20" i="66" s="1"/>
  <c r="DN20" i="66" s="1"/>
  <c r="DO20" i="66" s="1"/>
  <c r="DP20" i="66" s="1"/>
  <c r="DQ20" i="66" s="1"/>
  <c r="DR20" i="66" s="1"/>
  <c r="DS20" i="66" s="1"/>
  <c r="DT20" i="66" s="1"/>
  <c r="E19" i="66"/>
  <c r="F19" i="66" s="1"/>
  <c r="G19" i="66" s="1"/>
  <c r="H19" i="66" s="1"/>
  <c r="I19" i="66" s="1"/>
  <c r="J19" i="66" s="1"/>
  <c r="K19" i="66" s="1"/>
  <c r="L19" i="66" s="1"/>
  <c r="M19" i="66" s="1"/>
  <c r="N19" i="66" s="1"/>
  <c r="O19" i="66" s="1"/>
  <c r="P19" i="66" s="1"/>
  <c r="Q19" i="66" s="1"/>
  <c r="R19" i="66" s="1"/>
  <c r="S19" i="66" s="1"/>
  <c r="T19" i="66" s="1"/>
  <c r="U19" i="66" s="1"/>
  <c r="V19" i="66" s="1"/>
  <c r="W19" i="66" s="1"/>
  <c r="X19" i="66" s="1"/>
  <c r="Y19" i="66" s="1"/>
  <c r="Z19" i="66" s="1"/>
  <c r="AA19" i="66" s="1"/>
  <c r="AB19" i="66" s="1"/>
  <c r="AC19" i="66" s="1"/>
  <c r="AD19" i="66" s="1"/>
  <c r="AE19" i="66" s="1"/>
  <c r="AF19" i="66" s="1"/>
  <c r="AG19" i="66" s="1"/>
  <c r="AH19" i="66" s="1"/>
  <c r="AI19" i="66" s="1"/>
  <c r="AJ19" i="66" s="1"/>
  <c r="AK19" i="66" s="1"/>
  <c r="AL19" i="66" s="1"/>
  <c r="AM19" i="66" s="1"/>
  <c r="AN19" i="66" s="1"/>
  <c r="AO19" i="66" s="1"/>
  <c r="AP19" i="66" s="1"/>
  <c r="AQ19" i="66" s="1"/>
  <c r="AR19" i="66" s="1"/>
  <c r="AS19" i="66" s="1"/>
  <c r="AT19" i="66" s="1"/>
  <c r="AU19" i="66" s="1"/>
  <c r="AV19" i="66" s="1"/>
  <c r="AW19" i="66" s="1"/>
  <c r="AX19" i="66" s="1"/>
  <c r="AY19" i="66" s="1"/>
  <c r="AZ19" i="66" s="1"/>
  <c r="BA19" i="66" s="1"/>
  <c r="BB19" i="66" s="1"/>
  <c r="BC19" i="66" s="1"/>
  <c r="BD19" i="66" s="1"/>
  <c r="BE19" i="66" s="1"/>
  <c r="BF19" i="66" s="1"/>
  <c r="BG19" i="66" s="1"/>
  <c r="BH19" i="66" s="1"/>
  <c r="BI19" i="66" s="1"/>
  <c r="BJ19" i="66" s="1"/>
  <c r="BK19" i="66" s="1"/>
  <c r="BL19" i="66" s="1"/>
  <c r="BM19" i="66" s="1"/>
  <c r="BN19" i="66" s="1"/>
  <c r="BO19" i="66" s="1"/>
  <c r="BP19" i="66" s="1"/>
  <c r="BQ19" i="66" s="1"/>
  <c r="BR19" i="66" s="1"/>
  <c r="BS19" i="66" s="1"/>
  <c r="BT19" i="66" s="1"/>
  <c r="BU19" i="66" s="1"/>
  <c r="BV19" i="66" s="1"/>
  <c r="BW19" i="66" s="1"/>
  <c r="BX19" i="66" s="1"/>
  <c r="BY19" i="66" s="1"/>
  <c r="BZ19" i="66" s="1"/>
  <c r="CA19" i="66" s="1"/>
  <c r="CB19" i="66" s="1"/>
  <c r="CC19" i="66" s="1"/>
  <c r="CD19" i="66" s="1"/>
  <c r="CE19" i="66" s="1"/>
  <c r="CF19" i="66" s="1"/>
  <c r="CG19" i="66" s="1"/>
  <c r="CH19" i="66" s="1"/>
  <c r="CI19" i="66" s="1"/>
  <c r="CJ19" i="66" s="1"/>
  <c r="CK19" i="66" s="1"/>
  <c r="CL19" i="66" s="1"/>
  <c r="CM19" i="66" s="1"/>
  <c r="CN19" i="66" s="1"/>
  <c r="CO19" i="66" s="1"/>
  <c r="CP19" i="66" s="1"/>
  <c r="CQ19" i="66" s="1"/>
  <c r="CR19" i="66" s="1"/>
  <c r="CS19" i="66" s="1"/>
  <c r="CT19" i="66" s="1"/>
  <c r="CU19" i="66" s="1"/>
  <c r="CV19" i="66" s="1"/>
  <c r="CW19" i="66" s="1"/>
  <c r="CX19" i="66" s="1"/>
  <c r="CY19" i="66" s="1"/>
  <c r="CZ19" i="66" s="1"/>
  <c r="DA19" i="66" s="1"/>
  <c r="DB19" i="66" s="1"/>
  <c r="DC19" i="66" s="1"/>
  <c r="DD19" i="66" s="1"/>
  <c r="DE19" i="66" s="1"/>
  <c r="DF19" i="66" s="1"/>
  <c r="DG19" i="66" s="1"/>
  <c r="DH19" i="66" s="1"/>
  <c r="DI19" i="66" s="1"/>
  <c r="DJ19" i="66" s="1"/>
  <c r="DK19" i="66" s="1"/>
  <c r="DL19" i="66" s="1"/>
  <c r="DM19" i="66" s="1"/>
  <c r="DN19" i="66" s="1"/>
  <c r="DO19" i="66" s="1"/>
  <c r="DP19" i="66" s="1"/>
  <c r="DQ19" i="66" s="1"/>
  <c r="DR19" i="66" s="1"/>
  <c r="DS19" i="66" s="1"/>
  <c r="DT19" i="66" s="1"/>
  <c r="E18" i="66"/>
  <c r="F18" i="66" s="1"/>
  <c r="G18" i="66" s="1"/>
  <c r="H18" i="66" s="1"/>
  <c r="I18" i="66" s="1"/>
  <c r="J18" i="66" s="1"/>
  <c r="K18" i="66" s="1"/>
  <c r="L18" i="66" s="1"/>
  <c r="M18" i="66" s="1"/>
  <c r="N18" i="66" s="1"/>
  <c r="O18" i="66" s="1"/>
  <c r="P18" i="66" s="1"/>
  <c r="Q18" i="66" s="1"/>
  <c r="R18" i="66" s="1"/>
  <c r="S18" i="66" s="1"/>
  <c r="T18" i="66" s="1"/>
  <c r="U18" i="66" s="1"/>
  <c r="V18" i="66" s="1"/>
  <c r="W18" i="66" s="1"/>
  <c r="X18" i="66" s="1"/>
  <c r="Y18" i="66" s="1"/>
  <c r="Z18" i="66" s="1"/>
  <c r="AA18" i="66" s="1"/>
  <c r="AB18" i="66" s="1"/>
  <c r="AC18" i="66" s="1"/>
  <c r="AD18" i="66" s="1"/>
  <c r="AE18" i="66" s="1"/>
  <c r="AF18" i="66" s="1"/>
  <c r="AG18" i="66" s="1"/>
  <c r="AH18" i="66" s="1"/>
  <c r="AI18" i="66" s="1"/>
  <c r="AJ18" i="66" s="1"/>
  <c r="AK18" i="66" s="1"/>
  <c r="AL18" i="66" s="1"/>
  <c r="AM18" i="66" s="1"/>
  <c r="AN18" i="66" s="1"/>
  <c r="AO18" i="66" s="1"/>
  <c r="AP18" i="66" s="1"/>
  <c r="AQ18" i="66" s="1"/>
  <c r="AR18" i="66" s="1"/>
  <c r="AS18" i="66" s="1"/>
  <c r="AT18" i="66" s="1"/>
  <c r="AU18" i="66" s="1"/>
  <c r="AV18" i="66" s="1"/>
  <c r="AW18" i="66" s="1"/>
  <c r="AX18" i="66" s="1"/>
  <c r="AY18" i="66" s="1"/>
  <c r="AZ18" i="66" s="1"/>
  <c r="BA18" i="66" s="1"/>
  <c r="BB18" i="66" s="1"/>
  <c r="BC18" i="66" s="1"/>
  <c r="BD18" i="66" s="1"/>
  <c r="BE18" i="66" s="1"/>
  <c r="BF18" i="66" s="1"/>
  <c r="BG18" i="66" s="1"/>
  <c r="BH18" i="66" s="1"/>
  <c r="BI18" i="66" s="1"/>
  <c r="BJ18" i="66" s="1"/>
  <c r="BK18" i="66" s="1"/>
  <c r="BL18" i="66" s="1"/>
  <c r="BM18" i="66" s="1"/>
  <c r="BN18" i="66" s="1"/>
  <c r="BO18" i="66" s="1"/>
  <c r="BP18" i="66" s="1"/>
  <c r="BQ18" i="66" s="1"/>
  <c r="BR18" i="66" s="1"/>
  <c r="BS18" i="66" s="1"/>
  <c r="BT18" i="66" s="1"/>
  <c r="BU18" i="66" s="1"/>
  <c r="BV18" i="66" s="1"/>
  <c r="BW18" i="66" s="1"/>
  <c r="BX18" i="66" s="1"/>
  <c r="BY18" i="66" s="1"/>
  <c r="BZ18" i="66" s="1"/>
  <c r="CA18" i="66" s="1"/>
  <c r="CB18" i="66" s="1"/>
  <c r="CC18" i="66" s="1"/>
  <c r="CD18" i="66" s="1"/>
  <c r="CE18" i="66" s="1"/>
  <c r="CF18" i="66" s="1"/>
  <c r="CG18" i="66" s="1"/>
  <c r="CH18" i="66" s="1"/>
  <c r="CI18" i="66" s="1"/>
  <c r="CJ18" i="66" s="1"/>
  <c r="CK18" i="66" s="1"/>
  <c r="CL18" i="66" s="1"/>
  <c r="CM18" i="66" s="1"/>
  <c r="CN18" i="66" s="1"/>
  <c r="CO18" i="66" s="1"/>
  <c r="CP18" i="66" s="1"/>
  <c r="CQ18" i="66" s="1"/>
  <c r="CR18" i="66" s="1"/>
  <c r="CS18" i="66" s="1"/>
  <c r="CT18" i="66" s="1"/>
  <c r="CU18" i="66" s="1"/>
  <c r="CV18" i="66" s="1"/>
  <c r="CW18" i="66" s="1"/>
  <c r="CX18" i="66" s="1"/>
  <c r="CY18" i="66" s="1"/>
  <c r="CZ18" i="66" s="1"/>
  <c r="DA18" i="66" s="1"/>
  <c r="DB18" i="66" s="1"/>
  <c r="DC18" i="66" s="1"/>
  <c r="DD18" i="66" s="1"/>
  <c r="DE18" i="66" s="1"/>
  <c r="DF18" i="66" s="1"/>
  <c r="DG18" i="66" s="1"/>
  <c r="DH18" i="66" s="1"/>
  <c r="DI18" i="66" s="1"/>
  <c r="DJ18" i="66" s="1"/>
  <c r="DK18" i="66" s="1"/>
  <c r="DL18" i="66" s="1"/>
  <c r="DM18" i="66" s="1"/>
  <c r="DN18" i="66" s="1"/>
  <c r="DO18" i="66" s="1"/>
  <c r="DP18" i="66" s="1"/>
  <c r="DQ18" i="66" s="1"/>
  <c r="DR18" i="66" s="1"/>
  <c r="DS18" i="66" s="1"/>
  <c r="DT18" i="66" s="1"/>
  <c r="E17" i="66"/>
  <c r="F17" i="66" s="1"/>
  <c r="G17" i="66" s="1"/>
  <c r="H17" i="66" s="1"/>
  <c r="I17" i="66" s="1"/>
  <c r="J17" i="66" s="1"/>
  <c r="K17" i="66" s="1"/>
  <c r="L17" i="66" s="1"/>
  <c r="M17" i="66" s="1"/>
  <c r="N17" i="66" s="1"/>
  <c r="O17" i="66" s="1"/>
  <c r="P17" i="66" s="1"/>
  <c r="Q17" i="66" s="1"/>
  <c r="R17" i="66" s="1"/>
  <c r="S17" i="66" s="1"/>
  <c r="T17" i="66" s="1"/>
  <c r="U17" i="66" s="1"/>
  <c r="V17" i="66" s="1"/>
  <c r="W17" i="66" s="1"/>
  <c r="X17" i="66" s="1"/>
  <c r="Y17" i="66" s="1"/>
  <c r="Z17" i="66" s="1"/>
  <c r="AA17" i="66" s="1"/>
  <c r="AB17" i="66" s="1"/>
  <c r="AC17" i="66" s="1"/>
  <c r="AD17" i="66" s="1"/>
  <c r="AE17" i="66" s="1"/>
  <c r="AF17" i="66" s="1"/>
  <c r="AG17" i="66" s="1"/>
  <c r="AH17" i="66" s="1"/>
  <c r="AI17" i="66" s="1"/>
  <c r="AJ17" i="66" s="1"/>
  <c r="AK17" i="66" s="1"/>
  <c r="AL17" i="66" s="1"/>
  <c r="AM17" i="66" s="1"/>
  <c r="AN17" i="66" s="1"/>
  <c r="AO17" i="66" s="1"/>
  <c r="AP17" i="66" s="1"/>
  <c r="AQ17" i="66" s="1"/>
  <c r="AR17" i="66" s="1"/>
  <c r="AS17" i="66" s="1"/>
  <c r="AT17" i="66" s="1"/>
  <c r="AU17" i="66" s="1"/>
  <c r="AV17" i="66" s="1"/>
  <c r="AW17" i="66" s="1"/>
  <c r="AX17" i="66" s="1"/>
  <c r="AY17" i="66" s="1"/>
  <c r="AZ17" i="66" s="1"/>
  <c r="BA17" i="66" s="1"/>
  <c r="BB17" i="66" s="1"/>
  <c r="BC17" i="66" s="1"/>
  <c r="BD17" i="66" s="1"/>
  <c r="BE17" i="66" s="1"/>
  <c r="BF17" i="66" s="1"/>
  <c r="BG17" i="66" s="1"/>
  <c r="BH17" i="66" s="1"/>
  <c r="BI17" i="66" s="1"/>
  <c r="BJ17" i="66" s="1"/>
  <c r="BK17" i="66" s="1"/>
  <c r="BL17" i="66" s="1"/>
  <c r="BM17" i="66" s="1"/>
  <c r="BN17" i="66" s="1"/>
  <c r="BO17" i="66" s="1"/>
  <c r="BP17" i="66" s="1"/>
  <c r="BQ17" i="66" s="1"/>
  <c r="BR17" i="66" s="1"/>
  <c r="BS17" i="66" s="1"/>
  <c r="BT17" i="66" s="1"/>
  <c r="BU17" i="66" s="1"/>
  <c r="BV17" i="66" s="1"/>
  <c r="BW17" i="66" s="1"/>
  <c r="BX17" i="66" s="1"/>
  <c r="BY17" i="66" s="1"/>
  <c r="BZ17" i="66" s="1"/>
  <c r="CA17" i="66" s="1"/>
  <c r="CB17" i="66" s="1"/>
  <c r="CC17" i="66" s="1"/>
  <c r="CD17" i="66" s="1"/>
  <c r="CE17" i="66" s="1"/>
  <c r="CF17" i="66" s="1"/>
  <c r="CG17" i="66" s="1"/>
  <c r="CH17" i="66" s="1"/>
  <c r="CI17" i="66" s="1"/>
  <c r="CJ17" i="66" s="1"/>
  <c r="CK17" i="66" s="1"/>
  <c r="CL17" i="66" s="1"/>
  <c r="CM17" i="66" s="1"/>
  <c r="CN17" i="66" s="1"/>
  <c r="CO17" i="66" s="1"/>
  <c r="CP17" i="66" s="1"/>
  <c r="CQ17" i="66" s="1"/>
  <c r="CR17" i="66" s="1"/>
  <c r="CS17" i="66" s="1"/>
  <c r="CT17" i="66" s="1"/>
  <c r="CU17" i="66" s="1"/>
  <c r="CV17" i="66" s="1"/>
  <c r="CW17" i="66" s="1"/>
  <c r="CX17" i="66" s="1"/>
  <c r="CY17" i="66" s="1"/>
  <c r="CZ17" i="66" s="1"/>
  <c r="DA17" i="66" s="1"/>
  <c r="DB17" i="66" s="1"/>
  <c r="DC17" i="66" s="1"/>
  <c r="DD17" i="66" s="1"/>
  <c r="DE17" i="66" s="1"/>
  <c r="DF17" i="66" s="1"/>
  <c r="DG17" i="66" s="1"/>
  <c r="DH17" i="66" s="1"/>
  <c r="DI17" i="66" s="1"/>
  <c r="DJ17" i="66" s="1"/>
  <c r="DK17" i="66" s="1"/>
  <c r="DL17" i="66" s="1"/>
  <c r="DM17" i="66" s="1"/>
  <c r="DN17" i="66" s="1"/>
  <c r="DO17" i="66" s="1"/>
  <c r="DP17" i="66" s="1"/>
  <c r="DQ17" i="66" s="1"/>
  <c r="DR17" i="66" s="1"/>
  <c r="DS17" i="66" s="1"/>
  <c r="DT17" i="66" s="1"/>
  <c r="F16" i="66"/>
  <c r="G16" i="66" s="1"/>
  <c r="H16" i="66" s="1"/>
  <c r="I16" i="66" s="1"/>
  <c r="J16" i="66" s="1"/>
  <c r="K16" i="66" s="1"/>
  <c r="L16" i="66" s="1"/>
  <c r="M16" i="66" s="1"/>
  <c r="N16" i="66" s="1"/>
  <c r="O16" i="66" s="1"/>
  <c r="P16" i="66" s="1"/>
  <c r="Q16" i="66" s="1"/>
  <c r="R16" i="66" s="1"/>
  <c r="S16" i="66" s="1"/>
  <c r="T16" i="66" s="1"/>
  <c r="U16" i="66" s="1"/>
  <c r="V16" i="66" s="1"/>
  <c r="W16" i="66" s="1"/>
  <c r="X16" i="66" s="1"/>
  <c r="Y16" i="66" s="1"/>
  <c r="Z16" i="66" s="1"/>
  <c r="AA16" i="66" s="1"/>
  <c r="AB16" i="66" s="1"/>
  <c r="AC16" i="66" s="1"/>
  <c r="AD16" i="66" s="1"/>
  <c r="AE16" i="66" s="1"/>
  <c r="AF16" i="66" s="1"/>
  <c r="AG16" i="66" s="1"/>
  <c r="AH16" i="66" s="1"/>
  <c r="AI16" i="66" s="1"/>
  <c r="AJ16" i="66" s="1"/>
  <c r="AK16" i="66" s="1"/>
  <c r="AL16" i="66" s="1"/>
  <c r="AM16" i="66" s="1"/>
  <c r="AN16" i="66" s="1"/>
  <c r="AO16" i="66" s="1"/>
  <c r="AP16" i="66" s="1"/>
  <c r="AQ16" i="66" s="1"/>
  <c r="AR16" i="66" s="1"/>
  <c r="AS16" i="66" s="1"/>
  <c r="AT16" i="66" s="1"/>
  <c r="AU16" i="66" s="1"/>
  <c r="AV16" i="66" s="1"/>
  <c r="AW16" i="66" s="1"/>
  <c r="AX16" i="66" s="1"/>
  <c r="AY16" i="66" s="1"/>
  <c r="AZ16" i="66" s="1"/>
  <c r="BA16" i="66" s="1"/>
  <c r="BB16" i="66" s="1"/>
  <c r="BC16" i="66" s="1"/>
  <c r="BD16" i="66" s="1"/>
  <c r="BE16" i="66" s="1"/>
  <c r="BF16" i="66" s="1"/>
  <c r="BG16" i="66" s="1"/>
  <c r="BH16" i="66" s="1"/>
  <c r="BI16" i="66" s="1"/>
  <c r="BJ16" i="66" s="1"/>
  <c r="BK16" i="66" s="1"/>
  <c r="BL16" i="66" s="1"/>
  <c r="BM16" i="66" s="1"/>
  <c r="BN16" i="66" s="1"/>
  <c r="BO16" i="66" s="1"/>
  <c r="BP16" i="66" s="1"/>
  <c r="BQ16" i="66" s="1"/>
  <c r="BR16" i="66" s="1"/>
  <c r="BS16" i="66" s="1"/>
  <c r="BT16" i="66" s="1"/>
  <c r="BU16" i="66" s="1"/>
  <c r="BV16" i="66" s="1"/>
  <c r="BW16" i="66" s="1"/>
  <c r="BX16" i="66" s="1"/>
  <c r="BY16" i="66" s="1"/>
  <c r="BZ16" i="66" s="1"/>
  <c r="CA16" i="66" s="1"/>
  <c r="CB16" i="66" s="1"/>
  <c r="CC16" i="66" s="1"/>
  <c r="CD16" i="66" s="1"/>
  <c r="CE16" i="66" s="1"/>
  <c r="CF16" i="66" s="1"/>
  <c r="CG16" i="66" s="1"/>
  <c r="CH16" i="66" s="1"/>
  <c r="CI16" i="66" s="1"/>
  <c r="CJ16" i="66" s="1"/>
  <c r="CK16" i="66" s="1"/>
  <c r="CL16" i="66" s="1"/>
  <c r="CM16" i="66" s="1"/>
  <c r="CN16" i="66" s="1"/>
  <c r="CO16" i="66" s="1"/>
  <c r="CP16" i="66" s="1"/>
  <c r="CQ16" i="66" s="1"/>
  <c r="CR16" i="66" s="1"/>
  <c r="CS16" i="66" s="1"/>
  <c r="CT16" i="66" s="1"/>
  <c r="CU16" i="66" s="1"/>
  <c r="CV16" i="66" s="1"/>
  <c r="CW16" i="66" s="1"/>
  <c r="CX16" i="66" s="1"/>
  <c r="CY16" i="66" s="1"/>
  <c r="CZ16" i="66" s="1"/>
  <c r="DA16" i="66" s="1"/>
  <c r="DB16" i="66" s="1"/>
  <c r="DC16" i="66" s="1"/>
  <c r="DD16" i="66" s="1"/>
  <c r="DE16" i="66" s="1"/>
  <c r="DF16" i="66" s="1"/>
  <c r="DG16" i="66" s="1"/>
  <c r="DH16" i="66" s="1"/>
  <c r="DI16" i="66" s="1"/>
  <c r="DJ16" i="66" s="1"/>
  <c r="DK16" i="66" s="1"/>
  <c r="DL16" i="66" s="1"/>
  <c r="DM16" i="66" s="1"/>
  <c r="DN16" i="66" s="1"/>
  <c r="DO16" i="66" s="1"/>
  <c r="DP16" i="66" s="1"/>
  <c r="DQ16" i="66" s="1"/>
  <c r="DR16" i="66" s="1"/>
  <c r="DS16" i="66" s="1"/>
  <c r="DT16" i="66" s="1"/>
  <c r="E16" i="66"/>
  <c r="E5" i="66"/>
  <c r="F5" i="66"/>
  <c r="G5" i="66" s="1"/>
  <c r="H5" i="66" s="1"/>
  <c r="I5" i="66" s="1"/>
  <c r="J5" i="66" s="1"/>
  <c r="K5" i="66" s="1"/>
  <c r="L5" i="66" s="1"/>
  <c r="M5" i="66" s="1"/>
  <c r="N5" i="66" s="1"/>
  <c r="O5" i="66" s="1"/>
  <c r="P5" i="66" s="1"/>
  <c r="Q5" i="66" s="1"/>
  <c r="R5" i="66" s="1"/>
  <c r="S5" i="66" s="1"/>
  <c r="T5" i="66" s="1"/>
  <c r="U5" i="66" s="1"/>
  <c r="V5" i="66" s="1"/>
  <c r="W5" i="66" s="1"/>
  <c r="X5" i="66" s="1"/>
  <c r="Y5" i="66" s="1"/>
  <c r="Z5" i="66" s="1"/>
  <c r="AA5" i="66" s="1"/>
  <c r="AB5" i="66" s="1"/>
  <c r="AC5" i="66" s="1"/>
  <c r="AD5" i="66" s="1"/>
  <c r="AE5" i="66" s="1"/>
  <c r="AF5" i="66" s="1"/>
  <c r="AG5" i="66" s="1"/>
  <c r="AH5" i="66" s="1"/>
  <c r="AI5" i="66" s="1"/>
  <c r="AJ5" i="66" s="1"/>
  <c r="AK5" i="66" s="1"/>
  <c r="AL5" i="66" s="1"/>
  <c r="AM5" i="66" s="1"/>
  <c r="AN5" i="66" s="1"/>
  <c r="AO5" i="66" s="1"/>
  <c r="AP5" i="66" s="1"/>
  <c r="AQ5" i="66" s="1"/>
  <c r="AR5" i="66" s="1"/>
  <c r="AS5" i="66" s="1"/>
  <c r="AT5" i="66" s="1"/>
  <c r="AU5" i="66" s="1"/>
  <c r="AV5" i="66" s="1"/>
  <c r="AW5" i="66" s="1"/>
  <c r="AX5" i="66" s="1"/>
  <c r="AY5" i="66" s="1"/>
  <c r="AZ5" i="66" s="1"/>
  <c r="BA5" i="66" s="1"/>
  <c r="BB5" i="66" s="1"/>
  <c r="BC5" i="66" s="1"/>
  <c r="BD5" i="66" s="1"/>
  <c r="BE5" i="66" s="1"/>
  <c r="BF5" i="66" s="1"/>
  <c r="BG5" i="66" s="1"/>
  <c r="BH5" i="66" s="1"/>
  <c r="BI5" i="66" s="1"/>
  <c r="BJ5" i="66" s="1"/>
  <c r="BK5" i="66" s="1"/>
  <c r="BL5" i="66" s="1"/>
  <c r="BM5" i="66" s="1"/>
  <c r="BN5" i="66" s="1"/>
  <c r="BO5" i="66" s="1"/>
  <c r="BP5" i="66" s="1"/>
  <c r="BQ5" i="66" s="1"/>
  <c r="BR5" i="66" s="1"/>
  <c r="BS5" i="66" s="1"/>
  <c r="BT5" i="66" s="1"/>
  <c r="BU5" i="66" s="1"/>
  <c r="BV5" i="66" s="1"/>
  <c r="BW5" i="66" s="1"/>
  <c r="BX5" i="66" s="1"/>
  <c r="BY5" i="66" s="1"/>
  <c r="BZ5" i="66" s="1"/>
  <c r="CA5" i="66" s="1"/>
  <c r="CB5" i="66" s="1"/>
  <c r="CC5" i="66" s="1"/>
  <c r="CD5" i="66" s="1"/>
  <c r="CE5" i="66" s="1"/>
  <c r="CF5" i="66" s="1"/>
  <c r="CG5" i="66" s="1"/>
  <c r="CH5" i="66" s="1"/>
  <c r="CI5" i="66" s="1"/>
  <c r="CJ5" i="66" s="1"/>
  <c r="CK5" i="66" s="1"/>
  <c r="CL5" i="66" s="1"/>
  <c r="CM5" i="66" s="1"/>
  <c r="CN5" i="66" s="1"/>
  <c r="CO5" i="66" s="1"/>
  <c r="CP5" i="66" s="1"/>
  <c r="CQ5" i="66" s="1"/>
  <c r="CR5" i="66" s="1"/>
  <c r="CS5" i="66" s="1"/>
  <c r="CT5" i="66" s="1"/>
  <c r="CU5" i="66" s="1"/>
  <c r="CV5" i="66" s="1"/>
  <c r="CW5" i="66" s="1"/>
  <c r="CX5" i="66" s="1"/>
  <c r="CY5" i="66" s="1"/>
  <c r="CZ5" i="66" s="1"/>
  <c r="DA5" i="66" s="1"/>
  <c r="DB5" i="66" s="1"/>
  <c r="DC5" i="66" s="1"/>
  <c r="DD5" i="66" s="1"/>
  <c r="DE5" i="66" s="1"/>
  <c r="DF5" i="66" s="1"/>
  <c r="DG5" i="66" s="1"/>
  <c r="DH5" i="66" s="1"/>
  <c r="DI5" i="66" s="1"/>
  <c r="DJ5" i="66" s="1"/>
  <c r="DK5" i="66" s="1"/>
  <c r="DL5" i="66" s="1"/>
  <c r="DM5" i="66" s="1"/>
  <c r="DN5" i="66" s="1"/>
  <c r="DO5" i="66" s="1"/>
  <c r="DP5" i="66" s="1"/>
  <c r="DQ5" i="66" s="1"/>
  <c r="DR5" i="66" s="1"/>
  <c r="DS5" i="66" s="1"/>
  <c r="DT5" i="66" s="1"/>
  <c r="B1" i="9"/>
  <c r="A28" i="66" s="1"/>
  <c r="A3" i="47"/>
  <c r="I244" i="66"/>
  <c r="I245" i="66"/>
  <c r="I246" i="66"/>
  <c r="I247" i="66"/>
  <c r="I248" i="66"/>
  <c r="I249" i="66"/>
  <c r="I250" i="66"/>
  <c r="I251" i="66"/>
  <c r="I252" i="66"/>
  <c r="I253" i="66"/>
  <c r="I254" i="66"/>
  <c r="I255" i="66"/>
  <c r="I256" i="66"/>
  <c r="I257" i="66"/>
  <c r="I258" i="66"/>
  <c r="I243" i="66"/>
  <c r="C1" i="9"/>
  <c r="C15" i="9"/>
  <c r="E3" i="47"/>
  <c r="G44" i="71"/>
  <c r="G43" i="71"/>
  <c r="G42" i="71"/>
  <c r="F40" i="71"/>
  <c r="G40" i="71" s="1"/>
  <c r="F36" i="71"/>
  <c r="G36" i="71" s="1"/>
  <c r="G46" i="71" s="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16" i="71"/>
  <c r="D32" i="66" l="1"/>
  <c r="E32" i="66" s="1"/>
  <c r="F32" i="66" s="1"/>
  <c r="G32" i="66" s="1"/>
  <c r="H32" i="66" s="1"/>
  <c r="I32" i="66" s="1"/>
  <c r="J32" i="66" s="1"/>
  <c r="K32" i="66" s="1"/>
  <c r="L32" i="66" s="1"/>
  <c r="M32" i="66" s="1"/>
  <c r="N32" i="66" s="1"/>
  <c r="O32" i="66" s="1"/>
  <c r="P32" i="66" s="1"/>
  <c r="Q32" i="66" s="1"/>
  <c r="R32" i="66" s="1"/>
  <c r="S32" i="66" s="1"/>
  <c r="T32" i="66" s="1"/>
  <c r="U32" i="66" s="1"/>
  <c r="V32" i="66" s="1"/>
  <c r="W32" i="66" s="1"/>
  <c r="X32" i="66" s="1"/>
  <c r="Y32" i="66" s="1"/>
  <c r="Z32" i="66" s="1"/>
  <c r="AA32" i="66" s="1"/>
  <c r="AB32" i="66" s="1"/>
  <c r="AC32" i="66" s="1"/>
  <c r="AD32" i="66" s="1"/>
  <c r="AE32" i="66" s="1"/>
  <c r="AF32" i="66" s="1"/>
  <c r="AG32" i="66" s="1"/>
  <c r="AH32" i="66" s="1"/>
  <c r="AI32" i="66" s="1"/>
  <c r="AJ32" i="66" s="1"/>
  <c r="AK32" i="66" s="1"/>
  <c r="AL32" i="66" s="1"/>
  <c r="AM32" i="66" s="1"/>
  <c r="AN32" i="66" s="1"/>
  <c r="AO32" i="66" s="1"/>
  <c r="AP32" i="66" s="1"/>
  <c r="AQ32" i="66" s="1"/>
  <c r="AR32" i="66" s="1"/>
  <c r="AS32" i="66" s="1"/>
  <c r="AT32" i="66" s="1"/>
  <c r="AU32" i="66" s="1"/>
  <c r="AV32" i="66" s="1"/>
  <c r="AW32" i="66" s="1"/>
  <c r="AX32" i="66" s="1"/>
  <c r="AY32" i="66" s="1"/>
  <c r="AZ32" i="66" s="1"/>
  <c r="BA32" i="66" s="1"/>
  <c r="BB32" i="66" s="1"/>
  <c r="BC32" i="66" s="1"/>
  <c r="BD32" i="66" s="1"/>
  <c r="BE32" i="66" s="1"/>
  <c r="BF32" i="66" s="1"/>
  <c r="BG32" i="66" s="1"/>
  <c r="BH32" i="66" s="1"/>
  <c r="BI32" i="66" s="1"/>
  <c r="BJ32" i="66" s="1"/>
  <c r="BK32" i="66" s="1"/>
  <c r="BL32" i="66" s="1"/>
  <c r="BM32" i="66" s="1"/>
  <c r="BN32" i="66" s="1"/>
  <c r="BO32" i="66" s="1"/>
  <c r="BP32" i="66" s="1"/>
  <c r="BQ32" i="66" s="1"/>
  <c r="BR32" i="66" s="1"/>
  <c r="BS32" i="66" s="1"/>
  <c r="BT32" i="66" s="1"/>
  <c r="BU32" i="66" s="1"/>
  <c r="BV32" i="66" s="1"/>
  <c r="BW32" i="66" s="1"/>
  <c r="BX32" i="66" s="1"/>
  <c r="BY32" i="66" s="1"/>
  <c r="BZ32" i="66" s="1"/>
  <c r="CA32" i="66" s="1"/>
  <c r="CB32" i="66" s="1"/>
  <c r="CC32" i="66" s="1"/>
  <c r="CD32" i="66" s="1"/>
  <c r="CE32" i="66" s="1"/>
  <c r="CF32" i="66" s="1"/>
  <c r="CG32" i="66" s="1"/>
  <c r="CH32" i="66" s="1"/>
  <c r="CI32" i="66" s="1"/>
  <c r="CJ32" i="66" s="1"/>
  <c r="CK32" i="66" s="1"/>
  <c r="CL32" i="66" s="1"/>
  <c r="CM32" i="66" s="1"/>
  <c r="CN32" i="66" s="1"/>
  <c r="CO32" i="66" s="1"/>
  <c r="CP32" i="66" s="1"/>
  <c r="CQ32" i="66" s="1"/>
  <c r="CR32" i="66" s="1"/>
  <c r="CS32" i="66" s="1"/>
  <c r="CT32" i="66" s="1"/>
  <c r="CU32" i="66" s="1"/>
  <c r="CV32" i="66" s="1"/>
  <c r="CW32" i="66" s="1"/>
  <c r="CX32" i="66" s="1"/>
  <c r="CY32" i="66" s="1"/>
  <c r="CZ32" i="66" s="1"/>
  <c r="DA32" i="66" s="1"/>
  <c r="DB32" i="66" s="1"/>
  <c r="DC32" i="66" s="1"/>
  <c r="DD32" i="66" s="1"/>
  <c r="DE32" i="66" s="1"/>
  <c r="DF32" i="66" s="1"/>
  <c r="DG32" i="66" s="1"/>
  <c r="DH32" i="66" s="1"/>
  <c r="DI32" i="66" s="1"/>
  <c r="DJ32" i="66" s="1"/>
  <c r="DK32" i="66" s="1"/>
  <c r="DL32" i="66" s="1"/>
  <c r="DM32" i="66" s="1"/>
  <c r="DN32" i="66" s="1"/>
  <c r="DO32" i="66" s="1"/>
  <c r="DP32" i="66" s="1"/>
  <c r="DQ32" i="66" s="1"/>
  <c r="DR32" i="66" s="1"/>
  <c r="DS32" i="66" s="1"/>
  <c r="DT32" i="66" s="1"/>
  <c r="D30" i="66"/>
  <c r="E30" i="66" s="1"/>
  <c r="F30" i="66" s="1"/>
  <c r="G30" i="66" s="1"/>
  <c r="H30" i="66" s="1"/>
  <c r="I30" i="66" s="1"/>
  <c r="J30" i="66" s="1"/>
  <c r="K30" i="66" s="1"/>
  <c r="L30" i="66" s="1"/>
  <c r="M30" i="66" s="1"/>
  <c r="N30" i="66" s="1"/>
  <c r="O30" i="66" s="1"/>
  <c r="P30" i="66" s="1"/>
  <c r="Q30" i="66" s="1"/>
  <c r="R30" i="66" s="1"/>
  <c r="S30" i="66" s="1"/>
  <c r="T30" i="66" s="1"/>
  <c r="U30" i="66" s="1"/>
  <c r="V30" i="66" s="1"/>
  <c r="W30" i="66" s="1"/>
  <c r="X30" i="66" s="1"/>
  <c r="Y30" i="66" s="1"/>
  <c r="Z30" i="66" s="1"/>
  <c r="AA30" i="66" s="1"/>
  <c r="AB30" i="66" s="1"/>
  <c r="AC30" i="66" s="1"/>
  <c r="AD30" i="66" s="1"/>
  <c r="AE30" i="66" s="1"/>
  <c r="AF30" i="66" s="1"/>
  <c r="AG30" i="66" s="1"/>
  <c r="AH30" i="66" s="1"/>
  <c r="AI30" i="66" s="1"/>
  <c r="AJ30" i="66" s="1"/>
  <c r="AK30" i="66" s="1"/>
  <c r="AL30" i="66" s="1"/>
  <c r="AM30" i="66" s="1"/>
  <c r="AN30" i="66" s="1"/>
  <c r="AO30" i="66" s="1"/>
  <c r="AP30" i="66" s="1"/>
  <c r="AQ30" i="66" s="1"/>
  <c r="AR30" i="66" s="1"/>
  <c r="AS30" i="66" s="1"/>
  <c r="AT30" i="66" s="1"/>
  <c r="AU30" i="66" s="1"/>
  <c r="AV30" i="66" s="1"/>
  <c r="AW30" i="66" s="1"/>
  <c r="AX30" i="66" s="1"/>
  <c r="AY30" i="66" s="1"/>
  <c r="AZ30" i="66" s="1"/>
  <c r="BA30" i="66" s="1"/>
  <c r="BB30" i="66" s="1"/>
  <c r="BC30" i="66" s="1"/>
  <c r="BD30" i="66" s="1"/>
  <c r="BE30" i="66" s="1"/>
  <c r="BF30" i="66" s="1"/>
  <c r="BG30" i="66" s="1"/>
  <c r="BH30" i="66" s="1"/>
  <c r="BI30" i="66" s="1"/>
  <c r="BJ30" i="66" s="1"/>
  <c r="BK30" i="66" s="1"/>
  <c r="BL30" i="66" s="1"/>
  <c r="BM30" i="66" s="1"/>
  <c r="BN30" i="66" s="1"/>
  <c r="BO30" i="66" s="1"/>
  <c r="BP30" i="66" s="1"/>
  <c r="BQ30" i="66" s="1"/>
  <c r="BR30" i="66" s="1"/>
  <c r="BS30" i="66" s="1"/>
  <c r="BT30" i="66" s="1"/>
  <c r="BU30" i="66" s="1"/>
  <c r="BV30" i="66" s="1"/>
  <c r="BW30" i="66" s="1"/>
  <c r="BX30" i="66" s="1"/>
  <c r="BY30" i="66" s="1"/>
  <c r="BZ30" i="66" s="1"/>
  <c r="CA30" i="66" s="1"/>
  <c r="CB30" i="66" s="1"/>
  <c r="CC30" i="66" s="1"/>
  <c r="CD30" i="66" s="1"/>
  <c r="CE30" i="66" s="1"/>
  <c r="CF30" i="66" s="1"/>
  <c r="CG30" i="66" s="1"/>
  <c r="CH30" i="66" s="1"/>
  <c r="CI30" i="66" s="1"/>
  <c r="CJ30" i="66" s="1"/>
  <c r="CK30" i="66" s="1"/>
  <c r="CL30" i="66" s="1"/>
  <c r="CM30" i="66" s="1"/>
  <c r="CN30" i="66" s="1"/>
  <c r="CO30" i="66" s="1"/>
  <c r="CP30" i="66" s="1"/>
  <c r="CQ30" i="66" s="1"/>
  <c r="CR30" i="66" s="1"/>
  <c r="CS30" i="66" s="1"/>
  <c r="CT30" i="66" s="1"/>
  <c r="CU30" i="66" s="1"/>
  <c r="CV30" i="66" s="1"/>
  <c r="CW30" i="66" s="1"/>
  <c r="CX30" i="66" s="1"/>
  <c r="CY30" i="66" s="1"/>
  <c r="CZ30" i="66" s="1"/>
  <c r="DA30" i="66" s="1"/>
  <c r="DB30" i="66" s="1"/>
  <c r="DC30" i="66" s="1"/>
  <c r="DD30" i="66" s="1"/>
  <c r="DE30" i="66" s="1"/>
  <c r="DF30" i="66" s="1"/>
  <c r="DG30" i="66" s="1"/>
  <c r="DH30" i="66" s="1"/>
  <c r="DI30" i="66" s="1"/>
  <c r="DJ30" i="66" s="1"/>
  <c r="DK30" i="66" s="1"/>
  <c r="DL30" i="66" s="1"/>
  <c r="DM30" i="66" s="1"/>
  <c r="DN30" i="66" s="1"/>
  <c r="DO30" i="66" s="1"/>
  <c r="DP30" i="66" s="1"/>
  <c r="DQ30" i="66" s="1"/>
  <c r="DR30" i="66" s="1"/>
  <c r="DS30" i="66" s="1"/>
  <c r="DT30" i="66" s="1"/>
  <c r="D28" i="66"/>
  <c r="E28" i="66" s="1"/>
  <c r="F28" i="66" s="1"/>
  <c r="G28" i="66" s="1"/>
  <c r="H28" i="66" s="1"/>
  <c r="I28" i="66" s="1"/>
  <c r="J28" i="66" s="1"/>
  <c r="K28" i="66" s="1"/>
  <c r="L28" i="66" s="1"/>
  <c r="M28" i="66" s="1"/>
  <c r="N28" i="66" s="1"/>
  <c r="O28" i="66" s="1"/>
  <c r="P28" i="66" s="1"/>
  <c r="Q28" i="66" s="1"/>
  <c r="R28" i="66" s="1"/>
  <c r="S28" i="66" s="1"/>
  <c r="T28" i="66" s="1"/>
  <c r="U28" i="66" s="1"/>
  <c r="V28" i="66" s="1"/>
  <c r="W28" i="66" s="1"/>
  <c r="X28" i="66" s="1"/>
  <c r="Y28" i="66" s="1"/>
  <c r="Z28" i="66" s="1"/>
  <c r="AA28" i="66" s="1"/>
  <c r="AB28" i="66" s="1"/>
  <c r="AC28" i="66" s="1"/>
  <c r="AD28" i="66" s="1"/>
  <c r="AE28" i="66" s="1"/>
  <c r="AF28" i="66" s="1"/>
  <c r="AG28" i="66" s="1"/>
  <c r="AH28" i="66" s="1"/>
  <c r="AI28" i="66" s="1"/>
  <c r="AJ28" i="66" s="1"/>
  <c r="AK28" i="66" s="1"/>
  <c r="AL28" i="66" s="1"/>
  <c r="AM28" i="66" s="1"/>
  <c r="AN28" i="66" s="1"/>
  <c r="AO28" i="66" s="1"/>
  <c r="AP28" i="66" s="1"/>
  <c r="AQ28" i="66" s="1"/>
  <c r="AR28" i="66" s="1"/>
  <c r="AS28" i="66" s="1"/>
  <c r="AT28" i="66" s="1"/>
  <c r="AU28" i="66" s="1"/>
  <c r="AV28" i="66" s="1"/>
  <c r="AW28" i="66" s="1"/>
  <c r="AX28" i="66" s="1"/>
  <c r="AY28" i="66" s="1"/>
  <c r="AZ28" i="66" s="1"/>
  <c r="BA28" i="66" s="1"/>
  <c r="BB28" i="66" s="1"/>
  <c r="BC28" i="66" s="1"/>
  <c r="BD28" i="66" s="1"/>
  <c r="BE28" i="66" s="1"/>
  <c r="BF28" i="66" s="1"/>
  <c r="BG28" i="66" s="1"/>
  <c r="BH28" i="66" s="1"/>
  <c r="BI28" i="66" s="1"/>
  <c r="BJ28" i="66" s="1"/>
  <c r="BK28" i="66" s="1"/>
  <c r="BL28" i="66" s="1"/>
  <c r="BM28" i="66" s="1"/>
  <c r="BN28" i="66" s="1"/>
  <c r="BO28" i="66" s="1"/>
  <c r="BP28" i="66" s="1"/>
  <c r="BQ28" i="66" s="1"/>
  <c r="BR28" i="66" s="1"/>
  <c r="BS28" i="66" s="1"/>
  <c r="BT28" i="66" s="1"/>
  <c r="BU28" i="66" s="1"/>
  <c r="BV28" i="66" s="1"/>
  <c r="BW28" i="66" s="1"/>
  <c r="BX28" i="66" s="1"/>
  <c r="BY28" i="66" s="1"/>
  <c r="BZ28" i="66" s="1"/>
  <c r="CA28" i="66" s="1"/>
  <c r="CB28" i="66" s="1"/>
  <c r="CC28" i="66" s="1"/>
  <c r="CD28" i="66" s="1"/>
  <c r="CE28" i="66" s="1"/>
  <c r="CF28" i="66" s="1"/>
  <c r="CG28" i="66" s="1"/>
  <c r="CH28" i="66" s="1"/>
  <c r="CI28" i="66" s="1"/>
  <c r="CJ28" i="66" s="1"/>
  <c r="CK28" i="66" s="1"/>
  <c r="CL28" i="66" s="1"/>
  <c r="CM28" i="66" s="1"/>
  <c r="CN28" i="66" s="1"/>
  <c r="CO28" i="66" s="1"/>
  <c r="CP28" i="66" s="1"/>
  <c r="CQ28" i="66" s="1"/>
  <c r="CR28" i="66" s="1"/>
  <c r="CS28" i="66" s="1"/>
  <c r="CT28" i="66" s="1"/>
  <c r="CU28" i="66" s="1"/>
  <c r="CV28" i="66" s="1"/>
  <c r="CW28" i="66" s="1"/>
  <c r="CX28" i="66" s="1"/>
  <c r="CY28" i="66" s="1"/>
  <c r="CZ28" i="66" s="1"/>
  <c r="DA28" i="66" s="1"/>
  <c r="DB28" i="66" s="1"/>
  <c r="DC28" i="66" s="1"/>
  <c r="DD28" i="66" s="1"/>
  <c r="DE28" i="66" s="1"/>
  <c r="DF28" i="66" s="1"/>
  <c r="DG28" i="66" s="1"/>
  <c r="DH28" i="66" s="1"/>
  <c r="DI28" i="66" s="1"/>
  <c r="DJ28" i="66" s="1"/>
  <c r="DK28" i="66" s="1"/>
  <c r="DL28" i="66" s="1"/>
  <c r="DM28" i="66" s="1"/>
  <c r="DN28" i="66" s="1"/>
  <c r="DO28" i="66" s="1"/>
  <c r="DP28" i="66" s="1"/>
  <c r="DQ28" i="66" s="1"/>
  <c r="DR28" i="66" s="1"/>
  <c r="DS28" i="66" s="1"/>
  <c r="DT28" i="66" s="1"/>
  <c r="D27" i="66"/>
  <c r="D31" i="66"/>
  <c r="E31" i="66" s="1"/>
  <c r="F31" i="66" s="1"/>
  <c r="G31" i="66" s="1"/>
  <c r="H31" i="66" s="1"/>
  <c r="I31" i="66" s="1"/>
  <c r="J31" i="66" s="1"/>
  <c r="K31" i="66" s="1"/>
  <c r="L31" i="66" s="1"/>
  <c r="M31" i="66" s="1"/>
  <c r="N31" i="66" s="1"/>
  <c r="O31" i="66" s="1"/>
  <c r="P31" i="66" s="1"/>
  <c r="Q31" i="66" s="1"/>
  <c r="R31" i="66" s="1"/>
  <c r="S31" i="66" s="1"/>
  <c r="T31" i="66" s="1"/>
  <c r="U31" i="66" s="1"/>
  <c r="V31" i="66" s="1"/>
  <c r="W31" i="66" s="1"/>
  <c r="X31" i="66" s="1"/>
  <c r="Y31" i="66" s="1"/>
  <c r="Z31" i="66" s="1"/>
  <c r="AA31" i="66" s="1"/>
  <c r="AB31" i="66" s="1"/>
  <c r="AC31" i="66" s="1"/>
  <c r="AD31" i="66" s="1"/>
  <c r="AE31" i="66" s="1"/>
  <c r="AF31" i="66" s="1"/>
  <c r="AG31" i="66" s="1"/>
  <c r="AH31" i="66" s="1"/>
  <c r="AI31" i="66" s="1"/>
  <c r="AJ31" i="66" s="1"/>
  <c r="AK31" i="66" s="1"/>
  <c r="AL31" i="66" s="1"/>
  <c r="AM31" i="66" s="1"/>
  <c r="AN31" i="66" s="1"/>
  <c r="AO31" i="66" s="1"/>
  <c r="AP31" i="66" s="1"/>
  <c r="AQ31" i="66" s="1"/>
  <c r="AR31" i="66" s="1"/>
  <c r="AS31" i="66" s="1"/>
  <c r="AT31" i="66" s="1"/>
  <c r="AU31" i="66" s="1"/>
  <c r="AV31" i="66" s="1"/>
  <c r="AW31" i="66" s="1"/>
  <c r="AX31" i="66" s="1"/>
  <c r="AY31" i="66" s="1"/>
  <c r="AZ31" i="66" s="1"/>
  <c r="BA31" i="66" s="1"/>
  <c r="BB31" i="66" s="1"/>
  <c r="BC31" i="66" s="1"/>
  <c r="BD31" i="66" s="1"/>
  <c r="BE31" i="66" s="1"/>
  <c r="BF31" i="66" s="1"/>
  <c r="BG31" i="66" s="1"/>
  <c r="BH31" i="66" s="1"/>
  <c r="BI31" i="66" s="1"/>
  <c r="BJ31" i="66" s="1"/>
  <c r="BK31" i="66" s="1"/>
  <c r="BL31" i="66" s="1"/>
  <c r="BM31" i="66" s="1"/>
  <c r="BN31" i="66" s="1"/>
  <c r="BO31" i="66" s="1"/>
  <c r="BP31" i="66" s="1"/>
  <c r="BQ31" i="66" s="1"/>
  <c r="BR31" i="66" s="1"/>
  <c r="BS31" i="66" s="1"/>
  <c r="BT31" i="66" s="1"/>
  <c r="BU31" i="66" s="1"/>
  <c r="BV31" i="66" s="1"/>
  <c r="BW31" i="66" s="1"/>
  <c r="BX31" i="66" s="1"/>
  <c r="BY31" i="66" s="1"/>
  <c r="BZ31" i="66" s="1"/>
  <c r="CA31" i="66" s="1"/>
  <c r="CB31" i="66" s="1"/>
  <c r="CC31" i="66" s="1"/>
  <c r="CD31" i="66" s="1"/>
  <c r="CE31" i="66" s="1"/>
  <c r="CF31" i="66" s="1"/>
  <c r="CG31" i="66" s="1"/>
  <c r="CH31" i="66" s="1"/>
  <c r="CI31" i="66" s="1"/>
  <c r="CJ31" i="66" s="1"/>
  <c r="CK31" i="66" s="1"/>
  <c r="CL31" i="66" s="1"/>
  <c r="CM31" i="66" s="1"/>
  <c r="CN31" i="66" s="1"/>
  <c r="CO31" i="66" s="1"/>
  <c r="CP31" i="66" s="1"/>
  <c r="CQ31" i="66" s="1"/>
  <c r="CR31" i="66" s="1"/>
  <c r="CS31" i="66" s="1"/>
  <c r="CT31" i="66" s="1"/>
  <c r="CU31" i="66" s="1"/>
  <c r="CV31" i="66" s="1"/>
  <c r="CW31" i="66" s="1"/>
  <c r="CX31" i="66" s="1"/>
  <c r="CY31" i="66" s="1"/>
  <c r="CZ31" i="66" s="1"/>
  <c r="DA31" i="66" s="1"/>
  <c r="DB31" i="66" s="1"/>
  <c r="DC31" i="66" s="1"/>
  <c r="DD31" i="66" s="1"/>
  <c r="DE31" i="66" s="1"/>
  <c r="DF31" i="66" s="1"/>
  <c r="DG31" i="66" s="1"/>
  <c r="DH31" i="66" s="1"/>
  <c r="DI31" i="66" s="1"/>
  <c r="DJ31" i="66" s="1"/>
  <c r="DK31" i="66" s="1"/>
  <c r="DL31" i="66" s="1"/>
  <c r="DM31" i="66" s="1"/>
  <c r="DN31" i="66" s="1"/>
  <c r="DO31" i="66" s="1"/>
  <c r="DP31" i="66" s="1"/>
  <c r="DQ31" i="66" s="1"/>
  <c r="DR31" i="66" s="1"/>
  <c r="DS31" i="66" s="1"/>
  <c r="DT31" i="66" s="1"/>
  <c r="Z97" i="66"/>
  <c r="AA97" i="66" s="1"/>
  <c r="AB97" i="66" s="1"/>
  <c r="AC97" i="66" s="1"/>
  <c r="AD97" i="66" s="1"/>
  <c r="AE97" i="66" s="1"/>
  <c r="AF97" i="66" s="1"/>
  <c r="AG97" i="66" s="1"/>
  <c r="AH97" i="66" s="1"/>
  <c r="AI97" i="66" s="1"/>
  <c r="Z95" i="66"/>
  <c r="AA95" i="66" s="1"/>
  <c r="AB95" i="66" s="1"/>
  <c r="AC95" i="66" s="1"/>
  <c r="AD95" i="66" s="1"/>
  <c r="AE95" i="66" s="1"/>
  <c r="AF95" i="66" s="1"/>
  <c r="AG95" i="66" s="1"/>
  <c r="AH95" i="66" s="1"/>
  <c r="AI95" i="66" s="1"/>
  <c r="Z94" i="66"/>
  <c r="AA94" i="66" s="1"/>
  <c r="AB94" i="66" s="1"/>
  <c r="AC94" i="66" s="1"/>
  <c r="AD94" i="66" s="1"/>
  <c r="AE94" i="66" s="1"/>
  <c r="AF94" i="66" s="1"/>
  <c r="AG94" i="66" s="1"/>
  <c r="AH94" i="66" s="1"/>
  <c r="AI94" i="66" s="1"/>
  <c r="H38" i="80"/>
  <c r="G38" i="80"/>
  <c r="F38" i="80"/>
  <c r="H25" i="80"/>
  <c r="G25" i="80"/>
  <c r="F25" i="80"/>
  <c r="H20" i="80"/>
  <c r="G20" i="80"/>
  <c r="F20" i="80"/>
  <c r="H19" i="80"/>
  <c r="F19" i="80"/>
  <c r="G19" i="80"/>
  <c r="F18" i="80"/>
  <c r="H18" i="80"/>
  <c r="G18" i="80"/>
  <c r="H16" i="80"/>
  <c r="G16" i="80"/>
  <c r="F16" i="80"/>
  <c r="H15" i="80"/>
  <c r="F15" i="80"/>
  <c r="G15" i="80"/>
  <c r="H14" i="80"/>
  <c r="F14" i="80"/>
  <c r="E43" i="80"/>
  <c r="H6" i="80"/>
  <c r="H43" i="80" s="1"/>
  <c r="G6" i="80"/>
  <c r="G43" i="80" s="1"/>
  <c r="F6" i="80"/>
  <c r="F43" i="80" s="1"/>
  <c r="G38" i="78"/>
  <c r="F38" i="78"/>
  <c r="H38" i="78"/>
  <c r="H25" i="78"/>
  <c r="F25" i="78"/>
  <c r="G25" i="78"/>
  <c r="G21" i="78"/>
  <c r="H21" i="78"/>
  <c r="F21" i="78"/>
  <c r="H20" i="78"/>
  <c r="F20" i="78"/>
  <c r="G20" i="78"/>
  <c r="G19" i="78"/>
  <c r="H19" i="78"/>
  <c r="F19" i="78"/>
  <c r="G18" i="78"/>
  <c r="H18" i="78"/>
  <c r="F18" i="78"/>
  <c r="F16" i="78"/>
  <c r="G16" i="78"/>
  <c r="H16" i="78"/>
  <c r="H15" i="78"/>
  <c r="G15" i="78"/>
  <c r="F15" i="78"/>
  <c r="H14" i="78"/>
  <c r="G14" i="78"/>
  <c r="F14" i="78"/>
  <c r="G6" i="78"/>
  <c r="G43" i="78" s="1"/>
  <c r="F6" i="78"/>
  <c r="F43" i="78" s="1"/>
  <c r="H6" i="78"/>
  <c r="H43" i="78" s="1"/>
  <c r="H34" i="77"/>
  <c r="G34" i="77"/>
  <c r="F34" i="77"/>
  <c r="H25" i="77"/>
  <c r="G25" i="77"/>
  <c r="F25" i="77"/>
  <c r="G22" i="77"/>
  <c r="F22" i="77"/>
  <c r="H21" i="77"/>
  <c r="G21" i="77"/>
  <c r="F21" i="77"/>
  <c r="H20" i="77"/>
  <c r="G20" i="77"/>
  <c r="F20" i="77"/>
  <c r="H19" i="77"/>
  <c r="G19" i="77"/>
  <c r="F19" i="77"/>
  <c r="H18" i="77"/>
  <c r="G18" i="77"/>
  <c r="F18" i="77"/>
  <c r="F16" i="77"/>
  <c r="G16" i="77"/>
  <c r="H16" i="77"/>
  <c r="H15" i="77"/>
  <c r="G15" i="77"/>
  <c r="F15" i="77"/>
  <c r="E43" i="77"/>
  <c r="H14" i="77"/>
  <c r="G14" i="77"/>
  <c r="F14" i="77"/>
  <c r="G11" i="77"/>
  <c r="F43" i="77"/>
  <c r="G34" i="83"/>
  <c r="F34" i="83"/>
  <c r="H34" i="83"/>
  <c r="H25" i="83"/>
  <c r="F25" i="83"/>
  <c r="G25" i="83"/>
  <c r="H21" i="83"/>
  <c r="G21" i="83"/>
  <c r="F21" i="83"/>
  <c r="H20" i="83"/>
  <c r="G20" i="83"/>
  <c r="F20" i="83"/>
  <c r="G19" i="83"/>
  <c r="H19" i="83"/>
  <c r="F19" i="83"/>
  <c r="F18" i="83"/>
  <c r="G18" i="83"/>
  <c r="G16" i="83"/>
  <c r="F16" i="83"/>
  <c r="H16" i="83"/>
  <c r="H15" i="83"/>
  <c r="F15" i="83"/>
  <c r="G15" i="83"/>
  <c r="E43" i="83"/>
  <c r="H14" i="83"/>
  <c r="G14" i="83"/>
  <c r="F14" i="83"/>
  <c r="F43" i="83"/>
  <c r="G11" i="83"/>
  <c r="H34" i="81"/>
  <c r="G34" i="81"/>
  <c r="F34" i="81"/>
  <c r="H25" i="81"/>
  <c r="G25" i="81"/>
  <c r="F25" i="81"/>
  <c r="G22" i="81"/>
  <c r="F22" i="81"/>
  <c r="H21" i="81"/>
  <c r="G21" i="81"/>
  <c r="F21" i="81"/>
  <c r="H20" i="81"/>
  <c r="G20" i="81"/>
  <c r="F20" i="81"/>
  <c r="H19" i="81"/>
  <c r="G19" i="81"/>
  <c r="F19" i="81"/>
  <c r="H18" i="81"/>
  <c r="G18" i="81"/>
  <c r="F18" i="81"/>
  <c r="H16" i="81"/>
  <c r="G16" i="81"/>
  <c r="F16" i="81"/>
  <c r="H15" i="81"/>
  <c r="G15" i="81"/>
  <c r="F15" i="81"/>
  <c r="E43" i="81"/>
  <c r="H14" i="81"/>
  <c r="G14" i="81"/>
  <c r="F14" i="81"/>
  <c r="F6" i="81"/>
  <c r="F43" i="81" s="1"/>
  <c r="G6" i="81"/>
  <c r="G43" i="81" s="1"/>
  <c r="H6" i="81"/>
  <c r="H43" i="81" s="1"/>
  <c r="H34" i="82"/>
  <c r="F34" i="82"/>
  <c r="G34" i="82"/>
  <c r="G25" i="82"/>
  <c r="F25" i="82"/>
  <c r="H25" i="82"/>
  <c r="F22" i="82"/>
  <c r="G22" i="82"/>
  <c r="F21" i="82"/>
  <c r="H21" i="82"/>
  <c r="G21" i="82"/>
  <c r="F20" i="82"/>
  <c r="G20" i="82"/>
  <c r="H20" i="82"/>
  <c r="H19" i="82"/>
  <c r="G19" i="82"/>
  <c r="F19" i="82"/>
  <c r="F18" i="82"/>
  <c r="H18" i="82"/>
  <c r="F16" i="82"/>
  <c r="G16" i="82"/>
  <c r="H16" i="82"/>
  <c r="F15" i="82"/>
  <c r="H15" i="82"/>
  <c r="G15" i="82"/>
  <c r="F14" i="82"/>
  <c r="G14" i="82"/>
  <c r="H14" i="82"/>
  <c r="E43" i="82"/>
  <c r="G6" i="82"/>
  <c r="G43" i="82" s="1"/>
  <c r="F6" i="82"/>
  <c r="H6" i="82"/>
  <c r="F34" i="79"/>
  <c r="G34" i="79"/>
  <c r="H34" i="79"/>
  <c r="G25" i="79"/>
  <c r="F25" i="79"/>
  <c r="H25" i="79"/>
  <c r="F22" i="79"/>
  <c r="G22" i="79"/>
  <c r="F21" i="79"/>
  <c r="G21" i="79"/>
  <c r="H20" i="79"/>
  <c r="G20" i="79"/>
  <c r="F20" i="79"/>
  <c r="G19" i="79"/>
  <c r="H19" i="79"/>
  <c r="F19" i="79"/>
  <c r="F18" i="79"/>
  <c r="G18" i="79"/>
  <c r="H18" i="79"/>
  <c r="G16" i="79"/>
  <c r="H16" i="79"/>
  <c r="F16" i="79"/>
  <c r="G15" i="79"/>
  <c r="F15" i="79"/>
  <c r="G14" i="79"/>
  <c r="E43" i="79"/>
  <c r="H14" i="79"/>
  <c r="F14" i="79"/>
  <c r="G6" i="79"/>
  <c r="G43" i="79" s="1"/>
  <c r="F6" i="79"/>
  <c r="F43" i="79" s="1"/>
  <c r="H6" i="79"/>
  <c r="H43" i="79" s="1"/>
  <c r="P91" i="66"/>
  <c r="Q91" i="66" s="1"/>
  <c r="R91" i="66" s="1"/>
  <c r="S91" i="66" s="1"/>
  <c r="T91" i="66" s="1"/>
  <c r="U91" i="66" s="1"/>
  <c r="V91" i="66" s="1"/>
  <c r="W91" i="66" s="1"/>
  <c r="X91" i="66" s="1"/>
  <c r="AA91" i="66" s="1"/>
  <c r="AB91" i="66" s="1"/>
  <c r="AC91" i="66" s="1"/>
  <c r="AD91" i="66" s="1"/>
  <c r="AE91" i="66" s="1"/>
  <c r="AF91" i="66" s="1"/>
  <c r="AG91" i="66" s="1"/>
  <c r="AH91" i="66" s="1"/>
  <c r="AI91" i="66" s="1"/>
  <c r="AA92" i="66"/>
  <c r="AB92" i="66" s="1"/>
  <c r="AC92" i="66" s="1"/>
  <c r="AD92" i="66" s="1"/>
  <c r="AE92" i="66" s="1"/>
  <c r="AF92" i="66" s="1"/>
  <c r="AG92" i="66" s="1"/>
  <c r="AH92" i="66" s="1"/>
  <c r="AI92" i="66" s="1"/>
  <c r="AA99" i="66"/>
  <c r="AB99" i="66" s="1"/>
  <c r="AC99" i="66" s="1"/>
  <c r="AD99" i="66" s="1"/>
  <c r="AE99" i="66" s="1"/>
  <c r="AF99" i="66" s="1"/>
  <c r="AG99" i="66" s="1"/>
  <c r="AH99" i="66" s="1"/>
  <c r="AI99" i="66" s="1"/>
  <c r="G108" i="9"/>
  <c r="C114" i="9"/>
  <c r="G109" i="9"/>
  <c r="D149" i="9"/>
  <c r="AA6" i="47"/>
  <c r="C190" i="66"/>
  <c r="A5" i="8"/>
  <c r="A5" i="74"/>
  <c r="A6" i="74"/>
  <c r="A7" i="74"/>
  <c r="A8" i="74"/>
  <c r="A9" i="74"/>
  <c r="A10" i="74"/>
  <c r="A11" i="74"/>
  <c r="A12" i="74"/>
  <c r="A13" i="74"/>
  <c r="A4" i="74"/>
  <c r="G43" i="77" l="1"/>
  <c r="H11" i="77"/>
  <c r="H43" i="77" s="1"/>
  <c r="H11" i="83"/>
  <c r="H43" i="83" s="1"/>
  <c r="G43" i="83"/>
  <c r="F43" i="82"/>
  <c r="H43" i="82"/>
  <c r="Z4" i="74"/>
  <c r="Z5" i="74"/>
  <c r="Z6" i="74"/>
  <c r="Z7" i="74"/>
  <c r="Z8" i="74"/>
  <c r="Z9" i="74"/>
  <c r="Z10" i="74"/>
  <c r="Z11" i="74"/>
  <c r="Z12" i="74"/>
  <c r="Z13" i="74"/>
  <c r="Y5" i="74"/>
  <c r="Y6" i="74"/>
  <c r="Y7" i="74"/>
  <c r="Y8" i="74"/>
  <c r="Y9" i="74"/>
  <c r="Y10" i="74"/>
  <c r="Y11" i="74"/>
  <c r="Y12" i="74"/>
  <c r="Y13" i="74"/>
  <c r="Y4" i="74"/>
  <c r="C17" i="89"/>
  <c r="C18" i="89"/>
  <c r="C19" i="89"/>
  <c r="C20" i="89"/>
  <c r="C21" i="89"/>
  <c r="C22" i="89"/>
  <c r="C23" i="89"/>
  <c r="C24" i="89"/>
  <c r="C25" i="89"/>
  <c r="C26" i="89"/>
  <c r="C6" i="89"/>
  <c r="C7" i="89"/>
  <c r="C8" i="89"/>
  <c r="C9" i="89"/>
  <c r="C10" i="89"/>
  <c r="C11" i="89"/>
  <c r="C12" i="89"/>
  <c r="C13" i="89"/>
  <c r="C14" i="89"/>
  <c r="C15" i="89"/>
  <c r="C152" i="9"/>
  <c r="K59" i="89" l="1"/>
  <c r="J59" i="89"/>
  <c r="I59" i="89"/>
  <c r="H59" i="89"/>
  <c r="G59" i="89"/>
  <c r="F59" i="89"/>
  <c r="E59" i="89"/>
  <c r="D59" i="89"/>
  <c r="M59" i="89" s="1"/>
  <c r="K58" i="89"/>
  <c r="J58" i="89"/>
  <c r="M58" i="89" s="1"/>
  <c r="I58" i="89"/>
  <c r="H58" i="89"/>
  <c r="G58" i="89"/>
  <c r="F58" i="89"/>
  <c r="E58" i="89"/>
  <c r="D58" i="89"/>
  <c r="K57" i="89"/>
  <c r="J57" i="89"/>
  <c r="I57" i="89"/>
  <c r="M57" i="89" s="1"/>
  <c r="H57" i="89"/>
  <c r="L57" i="89" s="1"/>
  <c r="G57" i="89"/>
  <c r="F57" i="89"/>
  <c r="E57" i="89"/>
  <c r="D57" i="89"/>
  <c r="K56" i="89"/>
  <c r="J56" i="89"/>
  <c r="I56" i="89"/>
  <c r="M56" i="89" s="1"/>
  <c r="H56" i="89"/>
  <c r="G56" i="89"/>
  <c r="F56" i="89"/>
  <c r="L56" i="89" s="1"/>
  <c r="E56" i="89"/>
  <c r="D56" i="89"/>
  <c r="K55" i="89"/>
  <c r="J55" i="89"/>
  <c r="I55" i="89"/>
  <c r="M55" i="89" s="1"/>
  <c r="H55" i="89"/>
  <c r="G55" i="89"/>
  <c r="F55" i="89"/>
  <c r="E55" i="89"/>
  <c r="D55" i="89"/>
  <c r="L55" i="89" s="1"/>
  <c r="K54" i="89"/>
  <c r="J54" i="89"/>
  <c r="I54" i="89"/>
  <c r="M54" i="89" s="1"/>
  <c r="H54" i="89"/>
  <c r="G54" i="89"/>
  <c r="F54" i="89"/>
  <c r="E54" i="89"/>
  <c r="D54" i="89"/>
  <c r="L54" i="89" s="1"/>
  <c r="F53" i="89"/>
  <c r="F52" i="89"/>
  <c r="F51" i="89"/>
  <c r="L50" i="89"/>
  <c r="G21" i="74" s="1"/>
  <c r="G22" i="74" s="1"/>
  <c r="K50" i="89"/>
  <c r="J50" i="89"/>
  <c r="M50" i="89" s="1"/>
  <c r="I50" i="89"/>
  <c r="H50" i="89"/>
  <c r="G50" i="89"/>
  <c r="F50" i="89"/>
  <c r="E50" i="89"/>
  <c r="D50" i="89"/>
  <c r="K49" i="89"/>
  <c r="J49" i="89"/>
  <c r="M49" i="89" s="1"/>
  <c r="I49" i="89"/>
  <c r="H49" i="89"/>
  <c r="G49" i="89"/>
  <c r="F49" i="89"/>
  <c r="E49" i="89"/>
  <c r="L49" i="89" s="1"/>
  <c r="G20" i="74" s="1"/>
  <c r="D49" i="89"/>
  <c r="K48" i="89"/>
  <c r="J48" i="89"/>
  <c r="I48" i="89"/>
  <c r="M48" i="89" s="1"/>
  <c r="H48" i="89"/>
  <c r="L48" i="89" s="1"/>
  <c r="G19" i="74" s="1"/>
  <c r="G48" i="89"/>
  <c r="F48" i="89"/>
  <c r="E48" i="89"/>
  <c r="D48" i="89"/>
  <c r="K47" i="89"/>
  <c r="J47" i="89"/>
  <c r="I47" i="89"/>
  <c r="M47" i="89" s="1"/>
  <c r="H47" i="89"/>
  <c r="G47" i="89"/>
  <c r="F47" i="89"/>
  <c r="L47" i="89" s="1"/>
  <c r="E47" i="89"/>
  <c r="D47" i="89"/>
  <c r="F46" i="89"/>
  <c r="F45" i="89"/>
  <c r="K42" i="89"/>
  <c r="J42" i="89"/>
  <c r="I42" i="89"/>
  <c r="H42" i="89"/>
  <c r="G42" i="89"/>
  <c r="F42" i="89"/>
  <c r="E42" i="89"/>
  <c r="D42" i="89"/>
  <c r="K41" i="89"/>
  <c r="J41" i="89"/>
  <c r="I41" i="89"/>
  <c r="H41" i="89"/>
  <c r="G41" i="89"/>
  <c r="F41" i="89"/>
  <c r="E41" i="89"/>
  <c r="D41" i="89"/>
  <c r="M40" i="89"/>
  <c r="K40" i="89"/>
  <c r="J40" i="89"/>
  <c r="I40" i="89"/>
  <c r="H40" i="89"/>
  <c r="G40" i="89"/>
  <c r="F40" i="89"/>
  <c r="E40" i="89"/>
  <c r="D40" i="89"/>
  <c r="K39" i="89"/>
  <c r="J39" i="89"/>
  <c r="I39" i="89"/>
  <c r="H39" i="89"/>
  <c r="G39" i="89"/>
  <c r="F39" i="89"/>
  <c r="E39" i="89"/>
  <c r="D39" i="89"/>
  <c r="K38" i="89"/>
  <c r="J38" i="89"/>
  <c r="I38" i="89"/>
  <c r="H38" i="89"/>
  <c r="G38" i="89"/>
  <c r="F38" i="89"/>
  <c r="E38" i="89"/>
  <c r="D38" i="89"/>
  <c r="K37" i="89"/>
  <c r="J37" i="89"/>
  <c r="I37" i="89"/>
  <c r="H37" i="89"/>
  <c r="G37" i="89"/>
  <c r="F37" i="89"/>
  <c r="E37" i="89"/>
  <c r="D37" i="89"/>
  <c r="K36" i="89"/>
  <c r="J36" i="89"/>
  <c r="I36" i="89"/>
  <c r="M36" i="89" s="1"/>
  <c r="H36" i="89"/>
  <c r="G36" i="89"/>
  <c r="F36" i="89"/>
  <c r="E36" i="89"/>
  <c r="D36" i="89"/>
  <c r="K35" i="89"/>
  <c r="J35" i="89"/>
  <c r="I35" i="89"/>
  <c r="H35" i="89"/>
  <c r="G35" i="89"/>
  <c r="F35" i="89"/>
  <c r="E35" i="89"/>
  <c r="D35" i="89"/>
  <c r="K34" i="89"/>
  <c r="J34" i="89"/>
  <c r="I34" i="89"/>
  <c r="M34" i="89" s="1"/>
  <c r="H34" i="89"/>
  <c r="G34" i="89"/>
  <c r="F34" i="89"/>
  <c r="E34" i="89"/>
  <c r="D34" i="89"/>
  <c r="F24" i="74" s="1"/>
  <c r="K33" i="89"/>
  <c r="J33" i="89"/>
  <c r="I33" i="89"/>
  <c r="H33" i="89"/>
  <c r="G33" i="89"/>
  <c r="F33" i="89"/>
  <c r="E33" i="89"/>
  <c r="D33" i="89"/>
  <c r="K32" i="89"/>
  <c r="J32" i="89"/>
  <c r="I32" i="89"/>
  <c r="H32" i="89"/>
  <c r="G32" i="89"/>
  <c r="F32" i="89"/>
  <c r="E32" i="89"/>
  <c r="D32" i="89"/>
  <c r="K31" i="89"/>
  <c r="J31" i="89"/>
  <c r="I31" i="89"/>
  <c r="H31" i="89"/>
  <c r="G31" i="89"/>
  <c r="F31" i="89"/>
  <c r="E31" i="89"/>
  <c r="D31" i="89"/>
  <c r="K30" i="89"/>
  <c r="J30" i="89"/>
  <c r="I30" i="89"/>
  <c r="H30" i="89"/>
  <c r="G30" i="89"/>
  <c r="F30" i="89"/>
  <c r="E30" i="89"/>
  <c r="D30" i="89"/>
  <c r="K29" i="89"/>
  <c r="J29" i="89"/>
  <c r="I29" i="89"/>
  <c r="H29" i="89"/>
  <c r="G29" i="89"/>
  <c r="F29" i="89"/>
  <c r="E29" i="89"/>
  <c r="D29" i="89"/>
  <c r="K28" i="89"/>
  <c r="J28" i="89"/>
  <c r="I28" i="89"/>
  <c r="H28" i="89"/>
  <c r="G28" i="89"/>
  <c r="F28" i="89"/>
  <c r="E28" i="89"/>
  <c r="D28" i="89"/>
  <c r="F16" i="74" s="1"/>
  <c r="F23" i="74" s="1"/>
  <c r="F26" i="89"/>
  <c r="B26" i="89"/>
  <c r="F25" i="89"/>
  <c r="B25" i="89"/>
  <c r="F24" i="89"/>
  <c r="B24" i="89"/>
  <c r="F23" i="89"/>
  <c r="B23" i="89"/>
  <c r="F22" i="89"/>
  <c r="B22" i="89"/>
  <c r="F21" i="89"/>
  <c r="B21" i="89"/>
  <c r="F20" i="89"/>
  <c r="B20" i="89"/>
  <c r="F19" i="89"/>
  <c r="B19" i="89"/>
  <c r="F18" i="89"/>
  <c r="B18" i="89"/>
  <c r="F17" i="89"/>
  <c r="B17" i="89"/>
  <c r="F15" i="89"/>
  <c r="F14" i="89"/>
  <c r="K14" i="89"/>
  <c r="F13" i="89"/>
  <c r="J13" i="89"/>
  <c r="F12" i="89"/>
  <c r="I12" i="89"/>
  <c r="F11" i="89"/>
  <c r="H11" i="89"/>
  <c r="F10" i="89"/>
  <c r="G10" i="89"/>
  <c r="F9" i="89"/>
  <c r="E9" i="89"/>
  <c r="F8" i="89"/>
  <c r="E8" i="89"/>
  <c r="F7" i="89"/>
  <c r="D7" i="89"/>
  <c r="F6" i="89"/>
  <c r="I6" i="89"/>
  <c r="M2" i="89"/>
  <c r="F21" i="74" l="1"/>
  <c r="F22" i="74" s="1"/>
  <c r="N47" i="89"/>
  <c r="G18" i="74"/>
  <c r="D10" i="89"/>
  <c r="I10" i="89"/>
  <c r="K7" i="89"/>
  <c r="K11" i="89"/>
  <c r="G6" i="89"/>
  <c r="E10" i="89"/>
  <c r="H6" i="89"/>
  <c r="J6" i="89"/>
  <c r="K6" i="89"/>
  <c r="H10" i="89"/>
  <c r="M32" i="89"/>
  <c r="M38" i="89"/>
  <c r="F18" i="74"/>
  <c r="F26" i="74"/>
  <c r="M39" i="89"/>
  <c r="M29" i="89"/>
  <c r="M42" i="89"/>
  <c r="F19" i="74"/>
  <c r="M35" i="89"/>
  <c r="M28" i="89"/>
  <c r="M31" i="89"/>
  <c r="M41" i="89"/>
  <c r="M37" i="89"/>
  <c r="F17" i="74"/>
  <c r="M30" i="89"/>
  <c r="M33" i="89"/>
  <c r="F25" i="74"/>
  <c r="G8" i="89"/>
  <c r="H8" i="89"/>
  <c r="E7" i="89"/>
  <c r="D9" i="89"/>
  <c r="G7" i="89"/>
  <c r="H9" i="89"/>
  <c r="D6" i="89"/>
  <c r="H7" i="89"/>
  <c r="I9" i="89"/>
  <c r="E6" i="89"/>
  <c r="I7" i="89"/>
  <c r="K9" i="89"/>
  <c r="I11" i="89"/>
  <c r="J7" i="89"/>
  <c r="J11" i="89"/>
  <c r="H14" i="89"/>
  <c r="I14" i="89"/>
  <c r="G12" i="89"/>
  <c r="K12" i="89"/>
  <c r="J10" i="89"/>
  <c r="K10" i="89"/>
  <c r="H13" i="89"/>
  <c r="E11" i="89"/>
  <c r="D14" i="89"/>
  <c r="E14" i="89"/>
  <c r="G9" i="89"/>
  <c r="J12" i="89"/>
  <c r="K13" i="89"/>
  <c r="L58" i="89"/>
  <c r="I8" i="89"/>
  <c r="J9" i="89"/>
  <c r="D15" i="89"/>
  <c r="D17" i="89"/>
  <c r="D18" i="89"/>
  <c r="D19" i="89"/>
  <c r="D20" i="89"/>
  <c r="D21" i="89"/>
  <c r="D22" i="89"/>
  <c r="D23" i="89"/>
  <c r="D24" i="89"/>
  <c r="D25" i="89"/>
  <c r="D26" i="89"/>
  <c r="J8" i="89"/>
  <c r="E15" i="89"/>
  <c r="E17" i="89"/>
  <c r="E18" i="89"/>
  <c r="E19" i="89"/>
  <c r="E20" i="89"/>
  <c r="E21" i="89"/>
  <c r="E22" i="89"/>
  <c r="E23" i="89"/>
  <c r="E24" i="89"/>
  <c r="E25" i="89"/>
  <c r="E26" i="89"/>
  <c r="F20" i="74"/>
  <c r="K8" i="89"/>
  <c r="D13" i="89"/>
  <c r="D12" i="89"/>
  <c r="E13" i="89"/>
  <c r="G15" i="89"/>
  <c r="G17" i="89"/>
  <c r="G18" i="89"/>
  <c r="G19" i="89"/>
  <c r="G20" i="89"/>
  <c r="G21" i="89"/>
  <c r="G22" i="89"/>
  <c r="G23" i="89"/>
  <c r="G24" i="89"/>
  <c r="G25" i="89"/>
  <c r="G26" i="89"/>
  <c r="D11" i="89"/>
  <c r="E12" i="89"/>
  <c r="G14" i="89"/>
  <c r="H15" i="89"/>
  <c r="H17" i="89"/>
  <c r="H18" i="89"/>
  <c r="H19" i="89"/>
  <c r="H20" i="89"/>
  <c r="H21" i="89"/>
  <c r="H22" i="89"/>
  <c r="H23" i="89"/>
  <c r="H24" i="89"/>
  <c r="H25" i="89"/>
  <c r="H26" i="89"/>
  <c r="G13" i="89"/>
  <c r="I15" i="89"/>
  <c r="I17" i="89"/>
  <c r="I18" i="89"/>
  <c r="I19" i="89"/>
  <c r="I20" i="89"/>
  <c r="I21" i="89"/>
  <c r="I22" i="89"/>
  <c r="I23" i="89"/>
  <c r="I24" i="89"/>
  <c r="I25" i="89"/>
  <c r="I26" i="89"/>
  <c r="J15" i="89"/>
  <c r="J17" i="89"/>
  <c r="J18" i="89"/>
  <c r="J19" i="89"/>
  <c r="J20" i="89"/>
  <c r="J21" i="89"/>
  <c r="J22" i="89"/>
  <c r="J23" i="89"/>
  <c r="J24" i="89"/>
  <c r="J25" i="89"/>
  <c r="J26" i="89"/>
  <c r="D8" i="89"/>
  <c r="G11" i="89"/>
  <c r="H12" i="89"/>
  <c r="I13" i="89"/>
  <c r="J14" i="89"/>
  <c r="K15" i="89"/>
  <c r="K17" i="89"/>
  <c r="K18" i="89"/>
  <c r="K19" i="89"/>
  <c r="K20" i="89"/>
  <c r="K21" i="89"/>
  <c r="K22" i="89"/>
  <c r="K23" i="89"/>
  <c r="K24" i="89"/>
  <c r="K25" i="89"/>
  <c r="K26" i="89"/>
  <c r="C45" i="89"/>
  <c r="L59" i="89"/>
  <c r="M18" i="89" l="1"/>
  <c r="M19" i="89"/>
  <c r="X13" i="74"/>
  <c r="X12" i="74"/>
  <c r="X11" i="74"/>
  <c r="X9" i="74"/>
  <c r="M7" i="89"/>
  <c r="M12" i="89"/>
  <c r="M6" i="89"/>
  <c r="M20" i="89"/>
  <c r="M9" i="89"/>
  <c r="M17" i="89"/>
  <c r="X5" i="74"/>
  <c r="M25" i="89"/>
  <c r="X8" i="74"/>
  <c r="M11" i="89"/>
  <c r="X7" i="74"/>
  <c r="X6" i="74"/>
  <c r="M24" i="89"/>
  <c r="M10" i="89"/>
  <c r="M8" i="89"/>
  <c r="X10" i="74"/>
  <c r="M15" i="89"/>
  <c r="M26" i="89"/>
  <c r="M23" i="89"/>
  <c r="M22" i="89"/>
  <c r="M21" i="89"/>
  <c r="X4" i="74"/>
  <c r="D45" i="89"/>
  <c r="C46" i="89"/>
  <c r="K45" i="89"/>
  <c r="J45" i="89"/>
  <c r="I45" i="89"/>
  <c r="C51" i="89"/>
  <c r="H45" i="89"/>
  <c r="C52" i="89"/>
  <c r="G45" i="89"/>
  <c r="C53" i="89"/>
  <c r="E45" i="89"/>
  <c r="M14" i="89"/>
  <c r="M13" i="89"/>
  <c r="N7" i="89" l="1"/>
  <c r="W5" i="74"/>
  <c r="N10" i="89"/>
  <c r="W8" i="74"/>
  <c r="N6" i="89"/>
  <c r="W4" i="74"/>
  <c r="N9" i="89"/>
  <c r="W7" i="74"/>
  <c r="N11" i="89"/>
  <c r="W9" i="74"/>
  <c r="N8" i="89"/>
  <c r="W6" i="74"/>
  <c r="N14" i="89"/>
  <c r="W12" i="74"/>
  <c r="N15" i="89"/>
  <c r="W13" i="74"/>
  <c r="N12" i="89"/>
  <c r="W10" i="74"/>
  <c r="N13" i="89"/>
  <c r="W11" i="74"/>
  <c r="L45" i="89"/>
  <c r="G16" i="74" s="1"/>
  <c r="G23" i="74" s="1"/>
  <c r="M45" i="89"/>
  <c r="K52" i="89"/>
  <c r="J52" i="89"/>
  <c r="I52" i="89"/>
  <c r="H52" i="89"/>
  <c r="G52" i="89"/>
  <c r="E52" i="89"/>
  <c r="D52" i="89"/>
  <c r="L52" i="89" s="1"/>
  <c r="G25" i="74" s="1"/>
  <c r="D46" i="89"/>
  <c r="K46" i="89"/>
  <c r="J46" i="89"/>
  <c r="I46" i="89"/>
  <c r="H46" i="89"/>
  <c r="G46" i="89"/>
  <c r="E46" i="89"/>
  <c r="K51" i="89"/>
  <c r="J51" i="89"/>
  <c r="I51" i="89"/>
  <c r="H51" i="89"/>
  <c r="G51" i="89"/>
  <c r="E51" i="89"/>
  <c r="D51" i="89"/>
  <c r="L51" i="89" s="1"/>
  <c r="G24" i="74" s="1"/>
  <c r="K53" i="89"/>
  <c r="J53" i="89"/>
  <c r="I53" i="89"/>
  <c r="H53" i="89"/>
  <c r="G53" i="89"/>
  <c r="E53" i="89"/>
  <c r="D53" i="89"/>
  <c r="L46" i="89" l="1"/>
  <c r="G17" i="74" s="1"/>
  <c r="L53" i="89"/>
  <c r="G26" i="74" s="1"/>
  <c r="N45" i="89"/>
  <c r="M46" i="89"/>
  <c r="M51" i="89"/>
  <c r="M52" i="89"/>
  <c r="M53" i="89"/>
  <c r="P13" i="2"/>
  <c r="P20" i="2"/>
  <c r="P22" i="2"/>
  <c r="P24" i="2"/>
  <c r="P26" i="2"/>
  <c r="P28" i="2"/>
  <c r="P30" i="2"/>
  <c r="P34" i="2"/>
  <c r="T132" i="9"/>
  <c r="N132" i="9"/>
  <c r="G132" i="9"/>
  <c r="H132" i="9" s="1"/>
  <c r="I132" i="9" s="1"/>
  <c r="J132" i="9" s="1"/>
  <c r="K132" i="9" s="1"/>
  <c r="L132" i="9" s="1"/>
  <c r="C67" i="9"/>
  <c r="L127" i="66"/>
  <c r="K127" i="66"/>
  <c r="J127" i="66"/>
  <c r="I127" i="66"/>
  <c r="H127" i="66"/>
  <c r="G127" i="66"/>
  <c r="F127" i="66"/>
  <c r="E127" i="66"/>
  <c r="D127" i="66"/>
  <c r="L126" i="66"/>
  <c r="K126" i="66"/>
  <c r="J126" i="66"/>
  <c r="I126" i="66"/>
  <c r="H126" i="66"/>
  <c r="G126" i="66"/>
  <c r="F126" i="66"/>
  <c r="E126" i="66"/>
  <c r="D126" i="66"/>
  <c r="N46" i="89" l="1"/>
  <c r="D158" i="66"/>
  <c r="G156" i="66"/>
  <c r="G155" i="66"/>
  <c r="G154" i="66"/>
  <c r="G153" i="66"/>
  <c r="G152" i="66"/>
  <c r="G151" i="66"/>
  <c r="D150" i="66"/>
  <c r="D238" i="66"/>
  <c r="F238" i="66" s="1"/>
  <c r="F237" i="66"/>
  <c r="F236" i="66"/>
  <c r="D235" i="66"/>
  <c r="F235" i="66" s="1"/>
  <c r="D234" i="66"/>
  <c r="F234" i="66" s="1"/>
  <c r="D233" i="66"/>
  <c r="F233" i="66" s="1"/>
  <c r="D232" i="66"/>
  <c r="F232" i="66" s="1"/>
  <c r="D231" i="66"/>
  <c r="F231" i="66" s="1"/>
  <c r="D230" i="66"/>
  <c r="F230" i="66" s="1"/>
  <c r="D229" i="66"/>
  <c r="F229" i="66" s="1"/>
  <c r="E228" i="66"/>
  <c r="D228" i="66"/>
  <c r="F228" i="66" s="1"/>
  <c r="E227" i="66"/>
  <c r="D227" i="66"/>
  <c r="E226" i="66"/>
  <c r="D226" i="66"/>
  <c r="F226" i="66" s="1"/>
  <c r="E225" i="66"/>
  <c r="D225" i="66"/>
  <c r="F224" i="66"/>
  <c r="F223" i="66"/>
  <c r="F222" i="66"/>
  <c r="F221" i="66"/>
  <c r="F220" i="66"/>
  <c r="F219" i="66"/>
  <c r="F218" i="66"/>
  <c r="F217" i="66"/>
  <c r="F216" i="66"/>
  <c r="F215" i="66"/>
  <c r="F214" i="66"/>
  <c r="F213" i="66"/>
  <c r="F212" i="66"/>
  <c r="F211" i="66"/>
  <c r="F210" i="66"/>
  <c r="F209" i="66"/>
  <c r="F208" i="66"/>
  <c r="F207" i="66"/>
  <c r="F206" i="66"/>
  <c r="F205" i="66"/>
  <c r="F204" i="66"/>
  <c r="F227" i="66" l="1"/>
  <c r="F225" i="66"/>
  <c r="D190" i="66"/>
  <c r="E190" i="66"/>
  <c r="Q46" i="66" l="1"/>
  <c r="R46" i="66" s="1"/>
  <c r="S46" i="66" s="1"/>
  <c r="T46" i="66" s="1"/>
  <c r="U46" i="66" s="1"/>
  <c r="V46" i="66" s="1"/>
  <c r="W46" i="66" s="1"/>
  <c r="X46" i="66" s="1"/>
  <c r="Y46" i="66" s="1"/>
  <c r="Z46" i="66" s="1"/>
  <c r="AA46" i="66" s="1"/>
  <c r="AB46" i="66" s="1"/>
  <c r="AC46" i="66" s="1"/>
  <c r="AD46" i="66" s="1"/>
  <c r="AE46" i="66" s="1"/>
  <c r="AF46" i="66" s="1"/>
  <c r="AG46" i="66" s="1"/>
  <c r="AH46" i="66" s="1"/>
  <c r="AI46" i="66" s="1"/>
  <c r="AJ46" i="66" s="1"/>
  <c r="AK46" i="66" s="1"/>
  <c r="AL46" i="66" s="1"/>
  <c r="AM46" i="66" s="1"/>
  <c r="AN46" i="66" s="1"/>
  <c r="AO46" i="66" s="1"/>
  <c r="AP46" i="66" s="1"/>
  <c r="AQ46" i="66" s="1"/>
  <c r="AR46" i="66" s="1"/>
  <c r="AS46" i="66" s="1"/>
  <c r="AT46" i="66" s="1"/>
  <c r="AU46" i="66" s="1"/>
  <c r="AV46" i="66" s="1"/>
  <c r="AW46" i="66" s="1"/>
  <c r="AX46" i="66" s="1"/>
  <c r="AY46" i="66" s="1"/>
  <c r="AZ46" i="66" s="1"/>
  <c r="BA46" i="66" s="1"/>
  <c r="BB46" i="66" s="1"/>
  <c r="BC46" i="66" s="1"/>
  <c r="BD46" i="66" s="1"/>
  <c r="BE46" i="66" s="1"/>
  <c r="BF46" i="66" s="1"/>
  <c r="BG46" i="66" s="1"/>
  <c r="BH46" i="66" s="1"/>
  <c r="BI46" i="66" s="1"/>
  <c r="BJ46" i="66" s="1"/>
  <c r="BK46" i="66" s="1"/>
  <c r="BL46" i="66" s="1"/>
  <c r="BM46" i="66" s="1"/>
  <c r="BN46" i="66" s="1"/>
  <c r="BO46" i="66" s="1"/>
  <c r="BP46" i="66" s="1"/>
  <c r="BQ46" i="66" s="1"/>
  <c r="BR46" i="66" s="1"/>
  <c r="BS46" i="66" s="1"/>
  <c r="BT46" i="66" s="1"/>
  <c r="BU46" i="66" s="1"/>
  <c r="BV46" i="66" s="1"/>
  <c r="BW46" i="66" s="1"/>
  <c r="BX46" i="66" s="1"/>
  <c r="BY46" i="66" s="1"/>
  <c r="BZ46" i="66" s="1"/>
  <c r="CA46" i="66" s="1"/>
  <c r="CB46" i="66" s="1"/>
  <c r="CC46" i="66" s="1"/>
  <c r="CD46" i="66" s="1"/>
  <c r="CE46" i="66" s="1"/>
  <c r="CF46" i="66" s="1"/>
  <c r="CG46" i="66" s="1"/>
  <c r="CH46" i="66" s="1"/>
  <c r="CI46" i="66" s="1"/>
  <c r="CJ46" i="66" s="1"/>
  <c r="CK46" i="66" s="1"/>
  <c r="CL46" i="66" s="1"/>
  <c r="CM46" i="66" s="1"/>
  <c r="CN46" i="66" s="1"/>
  <c r="CO46" i="66" s="1"/>
  <c r="CP46" i="66" s="1"/>
  <c r="CQ46" i="66" s="1"/>
  <c r="CR46" i="66" s="1"/>
  <c r="CS46" i="66" s="1"/>
  <c r="CT46" i="66" s="1"/>
  <c r="CU46" i="66" s="1"/>
  <c r="CV46" i="66" s="1"/>
  <c r="CW46" i="66" s="1"/>
  <c r="CX46" i="66" s="1"/>
  <c r="CY46" i="66" s="1"/>
  <c r="CZ46" i="66" s="1"/>
  <c r="DA46" i="66" s="1"/>
  <c r="DB46" i="66" s="1"/>
  <c r="DC46" i="66" s="1"/>
  <c r="DD46" i="66" s="1"/>
  <c r="DE46" i="66" s="1"/>
  <c r="DF46" i="66" s="1"/>
  <c r="DG46" i="66" s="1"/>
  <c r="DH46" i="66" s="1"/>
  <c r="DI46" i="66" s="1"/>
  <c r="DJ46" i="66" s="1"/>
  <c r="DK46" i="66" s="1"/>
  <c r="DL46" i="66" s="1"/>
  <c r="DM46" i="66" s="1"/>
  <c r="DN46" i="66" s="1"/>
  <c r="DO46" i="66" s="1"/>
  <c r="DP46" i="66" s="1"/>
  <c r="DQ46" i="66" s="1"/>
  <c r="DR46" i="66" s="1"/>
  <c r="DS46" i="66" s="1"/>
  <c r="DT46" i="66" s="1"/>
  <c r="Q45" i="66"/>
  <c r="R45" i="66" s="1"/>
  <c r="S45" i="66" s="1"/>
  <c r="T45" i="66" s="1"/>
  <c r="U45" i="66" s="1"/>
  <c r="V45" i="66" s="1"/>
  <c r="W45" i="66" s="1"/>
  <c r="X45" i="66" s="1"/>
  <c r="Y45" i="66" s="1"/>
  <c r="Z45" i="66" s="1"/>
  <c r="AA45" i="66" s="1"/>
  <c r="AB45" i="66" s="1"/>
  <c r="AC45" i="66" s="1"/>
  <c r="AD45" i="66" s="1"/>
  <c r="AE45" i="66" s="1"/>
  <c r="AF45" i="66" s="1"/>
  <c r="AG45" i="66" s="1"/>
  <c r="AH45" i="66" s="1"/>
  <c r="AI45" i="66" s="1"/>
  <c r="AJ45" i="66" s="1"/>
  <c r="AK45" i="66" s="1"/>
  <c r="AL45" i="66" s="1"/>
  <c r="AM45" i="66" s="1"/>
  <c r="AN45" i="66" s="1"/>
  <c r="AO45" i="66" s="1"/>
  <c r="AP45" i="66" s="1"/>
  <c r="AQ45" i="66" s="1"/>
  <c r="AR45" i="66" s="1"/>
  <c r="AS45" i="66" s="1"/>
  <c r="AT45" i="66" s="1"/>
  <c r="AU45" i="66" s="1"/>
  <c r="AV45" i="66" s="1"/>
  <c r="AW45" i="66" s="1"/>
  <c r="AX45" i="66" s="1"/>
  <c r="AY45" i="66" s="1"/>
  <c r="AZ45" i="66" s="1"/>
  <c r="BA45" i="66" s="1"/>
  <c r="BB45" i="66" s="1"/>
  <c r="BC45" i="66" s="1"/>
  <c r="BD45" i="66" s="1"/>
  <c r="BE45" i="66" s="1"/>
  <c r="BF45" i="66" s="1"/>
  <c r="BG45" i="66" s="1"/>
  <c r="BH45" i="66" s="1"/>
  <c r="BI45" i="66" s="1"/>
  <c r="BJ45" i="66" s="1"/>
  <c r="BK45" i="66" s="1"/>
  <c r="BL45" i="66" s="1"/>
  <c r="BM45" i="66" s="1"/>
  <c r="BN45" i="66" s="1"/>
  <c r="BO45" i="66" s="1"/>
  <c r="BP45" i="66" s="1"/>
  <c r="BQ45" i="66" s="1"/>
  <c r="BR45" i="66" s="1"/>
  <c r="BS45" i="66" s="1"/>
  <c r="BT45" i="66" s="1"/>
  <c r="BU45" i="66" s="1"/>
  <c r="BV45" i="66" s="1"/>
  <c r="BW45" i="66" s="1"/>
  <c r="BX45" i="66" s="1"/>
  <c r="BY45" i="66" s="1"/>
  <c r="BZ45" i="66" s="1"/>
  <c r="CA45" i="66" s="1"/>
  <c r="CB45" i="66" s="1"/>
  <c r="CC45" i="66" s="1"/>
  <c r="CD45" i="66" s="1"/>
  <c r="CE45" i="66" s="1"/>
  <c r="CF45" i="66" s="1"/>
  <c r="CG45" i="66" s="1"/>
  <c r="CH45" i="66" s="1"/>
  <c r="CI45" i="66" s="1"/>
  <c r="CJ45" i="66" s="1"/>
  <c r="CK45" i="66" s="1"/>
  <c r="CL45" i="66" s="1"/>
  <c r="CM45" i="66" s="1"/>
  <c r="CN45" i="66" s="1"/>
  <c r="CO45" i="66" s="1"/>
  <c r="CP45" i="66" s="1"/>
  <c r="CQ45" i="66" s="1"/>
  <c r="CR45" i="66" s="1"/>
  <c r="CS45" i="66" s="1"/>
  <c r="CT45" i="66" s="1"/>
  <c r="CU45" i="66" s="1"/>
  <c r="CV45" i="66" s="1"/>
  <c r="CW45" i="66" s="1"/>
  <c r="CX45" i="66" s="1"/>
  <c r="CY45" i="66" s="1"/>
  <c r="CZ45" i="66" s="1"/>
  <c r="DA45" i="66" s="1"/>
  <c r="DB45" i="66" s="1"/>
  <c r="DC45" i="66" s="1"/>
  <c r="DD45" i="66" s="1"/>
  <c r="DE45" i="66" s="1"/>
  <c r="DF45" i="66" s="1"/>
  <c r="DG45" i="66" s="1"/>
  <c r="DH45" i="66" s="1"/>
  <c r="DI45" i="66" s="1"/>
  <c r="DJ45" i="66" s="1"/>
  <c r="DK45" i="66" s="1"/>
  <c r="DL45" i="66" s="1"/>
  <c r="DM45" i="66" s="1"/>
  <c r="DN45" i="66" s="1"/>
  <c r="DO45" i="66" s="1"/>
  <c r="DP45" i="66" s="1"/>
  <c r="DQ45" i="66" s="1"/>
  <c r="DR45" i="66" s="1"/>
  <c r="DS45" i="66" s="1"/>
  <c r="DT45" i="66" s="1"/>
  <c r="Q44" i="66"/>
  <c r="R44" i="66" s="1"/>
  <c r="S44" i="66" s="1"/>
  <c r="T44" i="66" s="1"/>
  <c r="U44" i="66" s="1"/>
  <c r="V44" i="66" s="1"/>
  <c r="W44" i="66" s="1"/>
  <c r="X44" i="66" s="1"/>
  <c r="Y44" i="66" s="1"/>
  <c r="Z44" i="66" s="1"/>
  <c r="AA44" i="66" s="1"/>
  <c r="AB44" i="66" s="1"/>
  <c r="AC44" i="66" s="1"/>
  <c r="AD44" i="66" s="1"/>
  <c r="AE44" i="66" s="1"/>
  <c r="AF44" i="66" s="1"/>
  <c r="AG44" i="66" s="1"/>
  <c r="AH44" i="66" s="1"/>
  <c r="AI44" i="66" s="1"/>
  <c r="AJ44" i="66" s="1"/>
  <c r="AK44" i="66" s="1"/>
  <c r="AL44" i="66" s="1"/>
  <c r="AM44" i="66" s="1"/>
  <c r="AN44" i="66" s="1"/>
  <c r="AO44" i="66" s="1"/>
  <c r="AP44" i="66" s="1"/>
  <c r="AQ44" i="66" s="1"/>
  <c r="AR44" i="66" s="1"/>
  <c r="AS44" i="66" s="1"/>
  <c r="AT44" i="66" s="1"/>
  <c r="AU44" i="66" s="1"/>
  <c r="AV44" i="66" s="1"/>
  <c r="AW44" i="66" s="1"/>
  <c r="AX44" i="66" s="1"/>
  <c r="AY44" i="66" s="1"/>
  <c r="AZ44" i="66" s="1"/>
  <c r="BA44" i="66" s="1"/>
  <c r="BB44" i="66" s="1"/>
  <c r="BC44" i="66" s="1"/>
  <c r="BD44" i="66" s="1"/>
  <c r="BE44" i="66" s="1"/>
  <c r="BF44" i="66" s="1"/>
  <c r="BG44" i="66" s="1"/>
  <c r="BH44" i="66" s="1"/>
  <c r="BI44" i="66" s="1"/>
  <c r="BJ44" i="66" s="1"/>
  <c r="BK44" i="66" s="1"/>
  <c r="BL44" i="66" s="1"/>
  <c r="BM44" i="66" s="1"/>
  <c r="BN44" i="66" s="1"/>
  <c r="BO44" i="66" s="1"/>
  <c r="BP44" i="66" s="1"/>
  <c r="BQ44" i="66" s="1"/>
  <c r="BR44" i="66" s="1"/>
  <c r="BS44" i="66" s="1"/>
  <c r="BT44" i="66" s="1"/>
  <c r="BU44" i="66" s="1"/>
  <c r="BV44" i="66" s="1"/>
  <c r="BW44" i="66" s="1"/>
  <c r="BX44" i="66" s="1"/>
  <c r="BY44" i="66" s="1"/>
  <c r="BZ44" i="66" s="1"/>
  <c r="CA44" i="66" s="1"/>
  <c r="CB44" i="66" s="1"/>
  <c r="CC44" i="66" s="1"/>
  <c r="CD44" i="66" s="1"/>
  <c r="CE44" i="66" s="1"/>
  <c r="CF44" i="66" s="1"/>
  <c r="CG44" i="66" s="1"/>
  <c r="CH44" i="66" s="1"/>
  <c r="CI44" i="66" s="1"/>
  <c r="CJ44" i="66" s="1"/>
  <c r="CK44" i="66" s="1"/>
  <c r="CL44" i="66" s="1"/>
  <c r="CM44" i="66" s="1"/>
  <c r="CN44" i="66" s="1"/>
  <c r="CO44" i="66" s="1"/>
  <c r="CP44" i="66" s="1"/>
  <c r="CQ44" i="66" s="1"/>
  <c r="CR44" i="66" s="1"/>
  <c r="CS44" i="66" s="1"/>
  <c r="CT44" i="66" s="1"/>
  <c r="CU44" i="66" s="1"/>
  <c r="CV44" i="66" s="1"/>
  <c r="CW44" i="66" s="1"/>
  <c r="CX44" i="66" s="1"/>
  <c r="CY44" i="66" s="1"/>
  <c r="CZ44" i="66" s="1"/>
  <c r="DA44" i="66" s="1"/>
  <c r="DB44" i="66" s="1"/>
  <c r="DC44" i="66" s="1"/>
  <c r="DD44" i="66" s="1"/>
  <c r="DE44" i="66" s="1"/>
  <c r="DF44" i="66" s="1"/>
  <c r="DG44" i="66" s="1"/>
  <c r="DH44" i="66" s="1"/>
  <c r="DI44" i="66" s="1"/>
  <c r="DJ44" i="66" s="1"/>
  <c r="DK44" i="66" s="1"/>
  <c r="DL44" i="66" s="1"/>
  <c r="DM44" i="66" s="1"/>
  <c r="DN44" i="66" s="1"/>
  <c r="DO44" i="66" s="1"/>
  <c r="DP44" i="66" s="1"/>
  <c r="DQ44" i="66" s="1"/>
  <c r="DR44" i="66" s="1"/>
  <c r="DS44" i="66" s="1"/>
  <c r="DT44" i="66" s="1"/>
  <c r="Q43" i="66"/>
  <c r="R43" i="66" s="1"/>
  <c r="S43" i="66" s="1"/>
  <c r="T43" i="66" s="1"/>
  <c r="U43" i="66" s="1"/>
  <c r="V43" i="66" s="1"/>
  <c r="W43" i="66" s="1"/>
  <c r="X43" i="66" s="1"/>
  <c r="Y43" i="66" s="1"/>
  <c r="Z43" i="66" s="1"/>
  <c r="AA43" i="66" s="1"/>
  <c r="AB43" i="66" s="1"/>
  <c r="AC43" i="66" s="1"/>
  <c r="AD43" i="66" s="1"/>
  <c r="AE43" i="66" s="1"/>
  <c r="AF43" i="66" s="1"/>
  <c r="AG43" i="66" s="1"/>
  <c r="AH43" i="66" s="1"/>
  <c r="AI43" i="66" s="1"/>
  <c r="AJ43" i="66" s="1"/>
  <c r="AK43" i="66" s="1"/>
  <c r="AL43" i="66" s="1"/>
  <c r="AM43" i="66" s="1"/>
  <c r="AN43" i="66" s="1"/>
  <c r="AO43" i="66" s="1"/>
  <c r="AP43" i="66" s="1"/>
  <c r="AQ43" i="66" s="1"/>
  <c r="AR43" i="66" s="1"/>
  <c r="AS43" i="66" s="1"/>
  <c r="AT43" i="66" s="1"/>
  <c r="AU43" i="66" s="1"/>
  <c r="AV43" i="66" s="1"/>
  <c r="AW43" i="66" s="1"/>
  <c r="AX43" i="66" s="1"/>
  <c r="AY43" i="66" s="1"/>
  <c r="AZ43" i="66" s="1"/>
  <c r="BA43" i="66" s="1"/>
  <c r="BB43" i="66" s="1"/>
  <c r="BC43" i="66" s="1"/>
  <c r="BD43" i="66" s="1"/>
  <c r="BE43" i="66" s="1"/>
  <c r="BF43" i="66" s="1"/>
  <c r="BG43" i="66" s="1"/>
  <c r="BH43" i="66" s="1"/>
  <c r="BI43" i="66" s="1"/>
  <c r="BJ43" i="66" s="1"/>
  <c r="BK43" i="66" s="1"/>
  <c r="BL43" i="66" s="1"/>
  <c r="BM43" i="66" s="1"/>
  <c r="BN43" i="66" s="1"/>
  <c r="BO43" i="66" s="1"/>
  <c r="BP43" i="66" s="1"/>
  <c r="BQ43" i="66" s="1"/>
  <c r="BR43" i="66" s="1"/>
  <c r="BS43" i="66" s="1"/>
  <c r="BT43" i="66" s="1"/>
  <c r="BU43" i="66" s="1"/>
  <c r="BV43" i="66" s="1"/>
  <c r="BW43" i="66" s="1"/>
  <c r="BX43" i="66" s="1"/>
  <c r="BY43" i="66" s="1"/>
  <c r="BZ43" i="66" s="1"/>
  <c r="CA43" i="66" s="1"/>
  <c r="CB43" i="66" s="1"/>
  <c r="CC43" i="66" s="1"/>
  <c r="CD43" i="66" s="1"/>
  <c r="CE43" i="66" s="1"/>
  <c r="CF43" i="66" s="1"/>
  <c r="CG43" i="66" s="1"/>
  <c r="CH43" i="66" s="1"/>
  <c r="CI43" i="66" s="1"/>
  <c r="CJ43" i="66" s="1"/>
  <c r="CK43" i="66" s="1"/>
  <c r="CL43" i="66" s="1"/>
  <c r="CM43" i="66" s="1"/>
  <c r="CN43" i="66" s="1"/>
  <c r="CO43" i="66" s="1"/>
  <c r="CP43" i="66" s="1"/>
  <c r="CQ43" i="66" s="1"/>
  <c r="CR43" i="66" s="1"/>
  <c r="CS43" i="66" s="1"/>
  <c r="CT43" i="66" s="1"/>
  <c r="CU43" i="66" s="1"/>
  <c r="CV43" i="66" s="1"/>
  <c r="CW43" i="66" s="1"/>
  <c r="CX43" i="66" s="1"/>
  <c r="CY43" i="66" s="1"/>
  <c r="CZ43" i="66" s="1"/>
  <c r="DA43" i="66" s="1"/>
  <c r="DB43" i="66" s="1"/>
  <c r="DC43" i="66" s="1"/>
  <c r="DD43" i="66" s="1"/>
  <c r="DE43" i="66" s="1"/>
  <c r="DF43" i="66" s="1"/>
  <c r="DG43" i="66" s="1"/>
  <c r="DH43" i="66" s="1"/>
  <c r="DI43" i="66" s="1"/>
  <c r="DJ43" i="66" s="1"/>
  <c r="DK43" i="66" s="1"/>
  <c r="DL43" i="66" s="1"/>
  <c r="DM43" i="66" s="1"/>
  <c r="DN43" i="66" s="1"/>
  <c r="DO43" i="66" s="1"/>
  <c r="DP43" i="66" s="1"/>
  <c r="DQ43" i="66" s="1"/>
  <c r="DR43" i="66" s="1"/>
  <c r="DS43" i="66" s="1"/>
  <c r="DT43" i="66" s="1"/>
  <c r="Q42" i="66"/>
  <c r="R42" i="66" s="1"/>
  <c r="S42" i="66" s="1"/>
  <c r="T42" i="66" s="1"/>
  <c r="U42" i="66" s="1"/>
  <c r="V42" i="66" s="1"/>
  <c r="W42" i="66" s="1"/>
  <c r="X42" i="66" s="1"/>
  <c r="Y42" i="66" s="1"/>
  <c r="Z42" i="66" s="1"/>
  <c r="AA42" i="66" s="1"/>
  <c r="AB42" i="66" s="1"/>
  <c r="AC42" i="66" s="1"/>
  <c r="AD42" i="66" s="1"/>
  <c r="AE42" i="66" s="1"/>
  <c r="AF42" i="66" s="1"/>
  <c r="AG42" i="66" s="1"/>
  <c r="AH42" i="66" s="1"/>
  <c r="AI42" i="66" s="1"/>
  <c r="AJ42" i="66" s="1"/>
  <c r="AK42" i="66" s="1"/>
  <c r="AL42" i="66" s="1"/>
  <c r="AM42" i="66" s="1"/>
  <c r="AN42" i="66" s="1"/>
  <c r="AO42" i="66" s="1"/>
  <c r="AP42" i="66" s="1"/>
  <c r="AQ42" i="66" s="1"/>
  <c r="AR42" i="66" s="1"/>
  <c r="AS42" i="66" s="1"/>
  <c r="AT42" i="66" s="1"/>
  <c r="AU42" i="66" s="1"/>
  <c r="AV42" i="66" s="1"/>
  <c r="AW42" i="66" s="1"/>
  <c r="AX42" i="66" s="1"/>
  <c r="AY42" i="66" s="1"/>
  <c r="AZ42" i="66" s="1"/>
  <c r="BA42" i="66" s="1"/>
  <c r="BB42" i="66" s="1"/>
  <c r="BC42" i="66" s="1"/>
  <c r="BD42" i="66" s="1"/>
  <c r="BE42" i="66" s="1"/>
  <c r="BF42" i="66" s="1"/>
  <c r="BG42" i="66" s="1"/>
  <c r="BH42" i="66" s="1"/>
  <c r="BI42" i="66" s="1"/>
  <c r="BJ42" i="66" s="1"/>
  <c r="BK42" i="66" s="1"/>
  <c r="BL42" i="66" s="1"/>
  <c r="BM42" i="66" s="1"/>
  <c r="BN42" i="66" s="1"/>
  <c r="BO42" i="66" s="1"/>
  <c r="BP42" i="66" s="1"/>
  <c r="BQ42" i="66" s="1"/>
  <c r="BR42" i="66" s="1"/>
  <c r="BS42" i="66" s="1"/>
  <c r="BT42" i="66" s="1"/>
  <c r="BU42" i="66" s="1"/>
  <c r="BV42" i="66" s="1"/>
  <c r="BW42" i="66" s="1"/>
  <c r="BX42" i="66" s="1"/>
  <c r="BY42" i="66" s="1"/>
  <c r="BZ42" i="66" s="1"/>
  <c r="CA42" i="66" s="1"/>
  <c r="CB42" i="66" s="1"/>
  <c r="CC42" i="66" s="1"/>
  <c r="CD42" i="66" s="1"/>
  <c r="CE42" i="66" s="1"/>
  <c r="CF42" i="66" s="1"/>
  <c r="CG42" i="66" s="1"/>
  <c r="CH42" i="66" s="1"/>
  <c r="CI42" i="66" s="1"/>
  <c r="CJ42" i="66" s="1"/>
  <c r="CK42" i="66" s="1"/>
  <c r="CL42" i="66" s="1"/>
  <c r="CM42" i="66" s="1"/>
  <c r="CN42" i="66" s="1"/>
  <c r="CO42" i="66" s="1"/>
  <c r="CP42" i="66" s="1"/>
  <c r="CQ42" i="66" s="1"/>
  <c r="CR42" i="66" s="1"/>
  <c r="CS42" i="66" s="1"/>
  <c r="CT42" i="66" s="1"/>
  <c r="CU42" i="66" s="1"/>
  <c r="CV42" i="66" s="1"/>
  <c r="CW42" i="66" s="1"/>
  <c r="CX42" i="66" s="1"/>
  <c r="CY42" i="66" s="1"/>
  <c r="CZ42" i="66" s="1"/>
  <c r="DA42" i="66" s="1"/>
  <c r="DB42" i="66" s="1"/>
  <c r="DC42" i="66" s="1"/>
  <c r="DD42" i="66" s="1"/>
  <c r="DE42" i="66" s="1"/>
  <c r="DF42" i="66" s="1"/>
  <c r="DG42" i="66" s="1"/>
  <c r="DH42" i="66" s="1"/>
  <c r="DI42" i="66" s="1"/>
  <c r="DJ42" i="66" s="1"/>
  <c r="DK42" i="66" s="1"/>
  <c r="DL42" i="66" s="1"/>
  <c r="DM42" i="66" s="1"/>
  <c r="DN42" i="66" s="1"/>
  <c r="DO42" i="66" s="1"/>
  <c r="DP42" i="66" s="1"/>
  <c r="DQ42" i="66" s="1"/>
  <c r="DR42" i="66" s="1"/>
  <c r="DS42" i="66" s="1"/>
  <c r="DT42" i="66" s="1"/>
  <c r="Q41" i="66"/>
  <c r="R41" i="66" s="1"/>
  <c r="S41" i="66" s="1"/>
  <c r="T41" i="66" s="1"/>
  <c r="U41" i="66" s="1"/>
  <c r="V41" i="66" s="1"/>
  <c r="W41" i="66" s="1"/>
  <c r="X41" i="66" s="1"/>
  <c r="Y41" i="66" s="1"/>
  <c r="Z41" i="66" s="1"/>
  <c r="AA41" i="66" s="1"/>
  <c r="AC41" i="66" s="1"/>
  <c r="AD41" i="66" s="1"/>
  <c r="AE41" i="66" s="1"/>
  <c r="AF41" i="66" s="1"/>
  <c r="AG41" i="66" s="1"/>
  <c r="AH41" i="66" s="1"/>
  <c r="AI41" i="66" s="1"/>
  <c r="AJ41" i="66" s="1"/>
  <c r="AK41" i="66" s="1"/>
  <c r="AL41" i="66" s="1"/>
  <c r="AM41" i="66" s="1"/>
  <c r="AN41" i="66" s="1"/>
  <c r="AO41" i="66" s="1"/>
  <c r="AP41" i="66" s="1"/>
  <c r="AQ41" i="66" s="1"/>
  <c r="AR41" i="66" s="1"/>
  <c r="AS41" i="66" s="1"/>
  <c r="AT41" i="66" s="1"/>
  <c r="AU41" i="66" s="1"/>
  <c r="AV41" i="66" s="1"/>
  <c r="AW41" i="66" s="1"/>
  <c r="AX41" i="66" s="1"/>
  <c r="AY41" i="66" s="1"/>
  <c r="AZ41" i="66" s="1"/>
  <c r="BA41" i="66" s="1"/>
  <c r="BB41" i="66" s="1"/>
  <c r="BC41" i="66" s="1"/>
  <c r="BD41" i="66" s="1"/>
  <c r="BE41" i="66" s="1"/>
  <c r="BF41" i="66" s="1"/>
  <c r="BG41" i="66" s="1"/>
  <c r="BH41" i="66" s="1"/>
  <c r="BI41" i="66" s="1"/>
  <c r="BJ41" i="66" s="1"/>
  <c r="BK41" i="66" s="1"/>
  <c r="BL41" i="66" s="1"/>
  <c r="BM41" i="66" s="1"/>
  <c r="BN41" i="66" s="1"/>
  <c r="BO41" i="66" s="1"/>
  <c r="BP41" i="66" s="1"/>
  <c r="BQ41" i="66" s="1"/>
  <c r="BR41" i="66" s="1"/>
  <c r="BS41" i="66" s="1"/>
  <c r="BT41" i="66" s="1"/>
  <c r="BU41" i="66" s="1"/>
  <c r="BV41" i="66" s="1"/>
  <c r="BW41" i="66" s="1"/>
  <c r="BX41" i="66" s="1"/>
  <c r="BY41" i="66" s="1"/>
  <c r="BZ41" i="66" s="1"/>
  <c r="CA41" i="66" s="1"/>
  <c r="CB41" i="66" s="1"/>
  <c r="CC41" i="66" s="1"/>
  <c r="CD41" i="66" s="1"/>
  <c r="CE41" i="66" s="1"/>
  <c r="CF41" i="66" s="1"/>
  <c r="CG41" i="66" s="1"/>
  <c r="CH41" i="66" s="1"/>
  <c r="CI41" i="66" s="1"/>
  <c r="CJ41" i="66" s="1"/>
  <c r="CK41" i="66" s="1"/>
  <c r="CL41" i="66" s="1"/>
  <c r="CM41" i="66" s="1"/>
  <c r="CN41" i="66" s="1"/>
  <c r="CO41" i="66" s="1"/>
  <c r="CP41" i="66" s="1"/>
  <c r="CQ41" i="66" s="1"/>
  <c r="CR41" i="66" s="1"/>
  <c r="CS41" i="66" s="1"/>
  <c r="CT41" i="66" s="1"/>
  <c r="CU41" i="66" s="1"/>
  <c r="CV41" i="66" s="1"/>
  <c r="CW41" i="66" s="1"/>
  <c r="CX41" i="66" s="1"/>
  <c r="CY41" i="66" s="1"/>
  <c r="CZ41" i="66" s="1"/>
  <c r="DA41" i="66" s="1"/>
  <c r="DB41" i="66" s="1"/>
  <c r="DC41" i="66" s="1"/>
  <c r="DD41" i="66" s="1"/>
  <c r="DE41" i="66" s="1"/>
  <c r="DF41" i="66" s="1"/>
  <c r="DG41" i="66" s="1"/>
  <c r="DH41" i="66" s="1"/>
  <c r="DI41" i="66" s="1"/>
  <c r="DJ41" i="66" s="1"/>
  <c r="DK41" i="66" s="1"/>
  <c r="DL41" i="66" s="1"/>
  <c r="DM41" i="66" s="1"/>
  <c r="DN41" i="66" s="1"/>
  <c r="DO41" i="66" s="1"/>
  <c r="DP41" i="66" s="1"/>
  <c r="DQ41" i="66" s="1"/>
  <c r="DR41" i="66" s="1"/>
  <c r="DS41" i="66" s="1"/>
  <c r="DT41" i="66" s="1"/>
  <c r="Q40" i="66"/>
  <c r="R40" i="66" s="1"/>
  <c r="S40" i="66" s="1"/>
  <c r="T40" i="66" s="1"/>
  <c r="U40" i="66" s="1"/>
  <c r="V40" i="66" s="1"/>
  <c r="W40" i="66" s="1"/>
  <c r="X40" i="66" s="1"/>
  <c r="Y40" i="66" s="1"/>
  <c r="Z40" i="66" s="1"/>
  <c r="AA40" i="66" s="1"/>
  <c r="AB40" i="66" s="1"/>
  <c r="AC40" i="66" s="1"/>
  <c r="AD40" i="66" s="1"/>
  <c r="AE40" i="66" s="1"/>
  <c r="AF40" i="66" s="1"/>
  <c r="AG40" i="66" s="1"/>
  <c r="AH40" i="66" s="1"/>
  <c r="AI40" i="66" s="1"/>
  <c r="AJ40" i="66" s="1"/>
  <c r="AK40" i="66" s="1"/>
  <c r="AL40" i="66" s="1"/>
  <c r="AM40" i="66" s="1"/>
  <c r="AN40" i="66" s="1"/>
  <c r="AO40" i="66" s="1"/>
  <c r="AP40" i="66" s="1"/>
  <c r="AQ40" i="66" s="1"/>
  <c r="AR40" i="66" s="1"/>
  <c r="AS40" i="66" s="1"/>
  <c r="AT40" i="66" s="1"/>
  <c r="AU40" i="66" s="1"/>
  <c r="AV40" i="66" s="1"/>
  <c r="AW40" i="66" s="1"/>
  <c r="AX40" i="66" s="1"/>
  <c r="AY40" i="66" s="1"/>
  <c r="AZ40" i="66" s="1"/>
  <c r="BA40" i="66" s="1"/>
  <c r="BB40" i="66" s="1"/>
  <c r="BC40" i="66" s="1"/>
  <c r="BD40" i="66" s="1"/>
  <c r="BE40" i="66" s="1"/>
  <c r="BF40" i="66" s="1"/>
  <c r="BG40" i="66" s="1"/>
  <c r="BH40" i="66" s="1"/>
  <c r="BI40" i="66" s="1"/>
  <c r="BJ40" i="66" s="1"/>
  <c r="BK40" i="66" s="1"/>
  <c r="BL40" i="66" s="1"/>
  <c r="BM40" i="66" s="1"/>
  <c r="BN40" i="66" s="1"/>
  <c r="BO40" i="66" s="1"/>
  <c r="BP40" i="66" s="1"/>
  <c r="BQ40" i="66" s="1"/>
  <c r="BR40" i="66" s="1"/>
  <c r="BS40" i="66" s="1"/>
  <c r="BT40" i="66" s="1"/>
  <c r="BU40" i="66" s="1"/>
  <c r="BV40" i="66" s="1"/>
  <c r="BW40" i="66" s="1"/>
  <c r="BX40" i="66" s="1"/>
  <c r="BY40" i="66" s="1"/>
  <c r="BZ40" i="66" s="1"/>
  <c r="CA40" i="66" s="1"/>
  <c r="CB40" i="66" s="1"/>
  <c r="CC40" i="66" s="1"/>
  <c r="CD40" i="66" s="1"/>
  <c r="CE40" i="66" s="1"/>
  <c r="CF40" i="66" s="1"/>
  <c r="CG40" i="66" s="1"/>
  <c r="CH40" i="66" s="1"/>
  <c r="CI40" i="66" s="1"/>
  <c r="CJ40" i="66" s="1"/>
  <c r="CK40" i="66" s="1"/>
  <c r="CL40" i="66" s="1"/>
  <c r="CM40" i="66" s="1"/>
  <c r="CN40" i="66" s="1"/>
  <c r="CO40" i="66" s="1"/>
  <c r="CP40" i="66" s="1"/>
  <c r="CQ40" i="66" s="1"/>
  <c r="CR40" i="66" s="1"/>
  <c r="CS40" i="66" s="1"/>
  <c r="CT40" i="66" s="1"/>
  <c r="CU40" i="66" s="1"/>
  <c r="CV40" i="66" s="1"/>
  <c r="CW40" i="66" s="1"/>
  <c r="CX40" i="66" s="1"/>
  <c r="CY40" i="66" s="1"/>
  <c r="CZ40" i="66" s="1"/>
  <c r="DA40" i="66" s="1"/>
  <c r="DB40" i="66" s="1"/>
  <c r="DC40" i="66" s="1"/>
  <c r="DD40" i="66" s="1"/>
  <c r="DE40" i="66" s="1"/>
  <c r="DF40" i="66" s="1"/>
  <c r="DG40" i="66" s="1"/>
  <c r="DH40" i="66" s="1"/>
  <c r="DI40" i="66" s="1"/>
  <c r="DJ40" i="66" s="1"/>
  <c r="DK40" i="66" s="1"/>
  <c r="DL40" i="66" s="1"/>
  <c r="DM40" i="66" s="1"/>
  <c r="DN40" i="66" s="1"/>
  <c r="DO40" i="66" s="1"/>
  <c r="DP40" i="66" s="1"/>
  <c r="DQ40" i="66" s="1"/>
  <c r="DR40" i="66" s="1"/>
  <c r="DS40" i="66" s="1"/>
  <c r="DT40" i="66" s="1"/>
  <c r="Q39" i="66"/>
  <c r="R39" i="66" s="1"/>
  <c r="S39" i="66" s="1"/>
  <c r="T39" i="66" s="1"/>
  <c r="U39" i="66" s="1"/>
  <c r="V39" i="66" s="1"/>
  <c r="W39" i="66" s="1"/>
  <c r="X39" i="66" s="1"/>
  <c r="Y39" i="66" s="1"/>
  <c r="Z39" i="66" s="1"/>
  <c r="AA39" i="66" s="1"/>
  <c r="AB39" i="66" s="1"/>
  <c r="AC39" i="66" s="1"/>
  <c r="AD39" i="66" s="1"/>
  <c r="AE39" i="66" s="1"/>
  <c r="AF39" i="66" s="1"/>
  <c r="AG39" i="66" s="1"/>
  <c r="AH39" i="66" s="1"/>
  <c r="AI39" i="66" s="1"/>
  <c r="AJ39" i="66" s="1"/>
  <c r="AK39" i="66" s="1"/>
  <c r="AL39" i="66" s="1"/>
  <c r="AM39" i="66" s="1"/>
  <c r="AN39" i="66" s="1"/>
  <c r="AO39" i="66" s="1"/>
  <c r="AP39" i="66" s="1"/>
  <c r="AQ39" i="66" s="1"/>
  <c r="AR39" i="66" s="1"/>
  <c r="AS39" i="66" s="1"/>
  <c r="AT39" i="66" s="1"/>
  <c r="AU39" i="66" s="1"/>
  <c r="AV39" i="66" s="1"/>
  <c r="AW39" i="66" s="1"/>
  <c r="AX39" i="66" s="1"/>
  <c r="AY39" i="66" s="1"/>
  <c r="AZ39" i="66" s="1"/>
  <c r="BA39" i="66" s="1"/>
  <c r="BB39" i="66" s="1"/>
  <c r="BC39" i="66" s="1"/>
  <c r="BD39" i="66" s="1"/>
  <c r="BE39" i="66" s="1"/>
  <c r="BF39" i="66" s="1"/>
  <c r="BG39" i="66" s="1"/>
  <c r="BH39" i="66" s="1"/>
  <c r="BI39" i="66" s="1"/>
  <c r="BJ39" i="66" s="1"/>
  <c r="BK39" i="66" s="1"/>
  <c r="BL39" i="66" s="1"/>
  <c r="BM39" i="66" s="1"/>
  <c r="BN39" i="66" s="1"/>
  <c r="BO39" i="66" s="1"/>
  <c r="BP39" i="66" s="1"/>
  <c r="BQ39" i="66" s="1"/>
  <c r="BR39" i="66" s="1"/>
  <c r="BS39" i="66" s="1"/>
  <c r="BT39" i="66" s="1"/>
  <c r="BU39" i="66" s="1"/>
  <c r="BV39" i="66" s="1"/>
  <c r="BW39" i="66" s="1"/>
  <c r="BX39" i="66" s="1"/>
  <c r="BY39" i="66" s="1"/>
  <c r="BZ39" i="66" s="1"/>
  <c r="CA39" i="66" s="1"/>
  <c r="CB39" i="66" s="1"/>
  <c r="CC39" i="66" s="1"/>
  <c r="CD39" i="66" s="1"/>
  <c r="CE39" i="66" s="1"/>
  <c r="CF39" i="66" s="1"/>
  <c r="CG39" i="66" s="1"/>
  <c r="CH39" i="66" s="1"/>
  <c r="CI39" i="66" s="1"/>
  <c r="CJ39" i="66" s="1"/>
  <c r="CK39" i="66" s="1"/>
  <c r="CL39" i="66" s="1"/>
  <c r="CM39" i="66" s="1"/>
  <c r="CN39" i="66" s="1"/>
  <c r="CO39" i="66" s="1"/>
  <c r="CP39" i="66" s="1"/>
  <c r="CQ39" i="66" s="1"/>
  <c r="CR39" i="66" s="1"/>
  <c r="CS39" i="66" s="1"/>
  <c r="CT39" i="66" s="1"/>
  <c r="CU39" i="66" s="1"/>
  <c r="CV39" i="66" s="1"/>
  <c r="CW39" i="66" s="1"/>
  <c r="CX39" i="66" s="1"/>
  <c r="CY39" i="66" s="1"/>
  <c r="CZ39" i="66" s="1"/>
  <c r="DA39" i="66" s="1"/>
  <c r="DB39" i="66" s="1"/>
  <c r="DC39" i="66" s="1"/>
  <c r="DD39" i="66" s="1"/>
  <c r="DE39" i="66" s="1"/>
  <c r="DF39" i="66" s="1"/>
  <c r="DG39" i="66" s="1"/>
  <c r="DH39" i="66" s="1"/>
  <c r="DI39" i="66" s="1"/>
  <c r="DJ39" i="66" s="1"/>
  <c r="DK39" i="66" s="1"/>
  <c r="DL39" i="66" s="1"/>
  <c r="DM39" i="66" s="1"/>
  <c r="DN39" i="66" s="1"/>
  <c r="DO39" i="66" s="1"/>
  <c r="DP39" i="66" s="1"/>
  <c r="DQ39" i="66" s="1"/>
  <c r="DR39" i="66" s="1"/>
  <c r="DS39" i="66" s="1"/>
  <c r="DT39" i="66" s="1"/>
  <c r="Q38" i="66"/>
  <c r="R38" i="66" s="1"/>
  <c r="S38" i="66" s="1"/>
  <c r="T38" i="66" s="1"/>
  <c r="U38" i="66" s="1"/>
  <c r="V38" i="66" s="1"/>
  <c r="W38" i="66" s="1"/>
  <c r="X38" i="66" s="1"/>
  <c r="Y38" i="66" s="1"/>
  <c r="Z38" i="66" s="1"/>
  <c r="AA38" i="66" s="1"/>
  <c r="AB38" i="66" s="1"/>
  <c r="AC38" i="66" s="1"/>
  <c r="AD38" i="66" s="1"/>
  <c r="AE38" i="66" s="1"/>
  <c r="AF38" i="66" s="1"/>
  <c r="AG38" i="66" s="1"/>
  <c r="AH38" i="66" s="1"/>
  <c r="AI38" i="66" s="1"/>
  <c r="AJ38" i="66" s="1"/>
  <c r="AK38" i="66" s="1"/>
  <c r="AL38" i="66" s="1"/>
  <c r="AM38" i="66" s="1"/>
  <c r="AN38" i="66" s="1"/>
  <c r="AO38" i="66" s="1"/>
  <c r="AP38" i="66" s="1"/>
  <c r="AQ38" i="66" s="1"/>
  <c r="AR38" i="66" s="1"/>
  <c r="AS38" i="66" s="1"/>
  <c r="AT38" i="66" s="1"/>
  <c r="AU38" i="66" s="1"/>
  <c r="AV38" i="66" s="1"/>
  <c r="AW38" i="66" s="1"/>
  <c r="AX38" i="66" s="1"/>
  <c r="AY38" i="66" s="1"/>
  <c r="AZ38" i="66" s="1"/>
  <c r="BA38" i="66" s="1"/>
  <c r="BB38" i="66" s="1"/>
  <c r="BC38" i="66" s="1"/>
  <c r="BD38" i="66" s="1"/>
  <c r="BE38" i="66" s="1"/>
  <c r="BF38" i="66" s="1"/>
  <c r="BG38" i="66" s="1"/>
  <c r="BH38" i="66" s="1"/>
  <c r="BI38" i="66" s="1"/>
  <c r="BJ38" i="66" s="1"/>
  <c r="BK38" i="66" s="1"/>
  <c r="BL38" i="66" s="1"/>
  <c r="BM38" i="66" s="1"/>
  <c r="BN38" i="66" s="1"/>
  <c r="BO38" i="66" s="1"/>
  <c r="BP38" i="66" s="1"/>
  <c r="BQ38" i="66" s="1"/>
  <c r="BR38" i="66" s="1"/>
  <c r="BS38" i="66" s="1"/>
  <c r="BT38" i="66" s="1"/>
  <c r="BU38" i="66" s="1"/>
  <c r="BV38" i="66" s="1"/>
  <c r="BW38" i="66" s="1"/>
  <c r="BX38" i="66" s="1"/>
  <c r="BY38" i="66" s="1"/>
  <c r="BZ38" i="66" s="1"/>
  <c r="CA38" i="66" s="1"/>
  <c r="CB38" i="66" s="1"/>
  <c r="CC38" i="66" s="1"/>
  <c r="CD38" i="66" s="1"/>
  <c r="CE38" i="66" s="1"/>
  <c r="CF38" i="66" s="1"/>
  <c r="CG38" i="66" s="1"/>
  <c r="CH38" i="66" s="1"/>
  <c r="CI38" i="66" s="1"/>
  <c r="CJ38" i="66" s="1"/>
  <c r="CK38" i="66" s="1"/>
  <c r="CL38" i="66" s="1"/>
  <c r="CM38" i="66" s="1"/>
  <c r="CN38" i="66" s="1"/>
  <c r="CO38" i="66" s="1"/>
  <c r="CP38" i="66" s="1"/>
  <c r="CQ38" i="66" s="1"/>
  <c r="CR38" i="66" s="1"/>
  <c r="CS38" i="66" s="1"/>
  <c r="CT38" i="66" s="1"/>
  <c r="CU38" i="66" s="1"/>
  <c r="CV38" i="66" s="1"/>
  <c r="CW38" i="66" s="1"/>
  <c r="CX38" i="66" s="1"/>
  <c r="CY38" i="66" s="1"/>
  <c r="CZ38" i="66" s="1"/>
  <c r="DA38" i="66" s="1"/>
  <c r="DB38" i="66" s="1"/>
  <c r="DC38" i="66" s="1"/>
  <c r="DD38" i="66" s="1"/>
  <c r="DE38" i="66" s="1"/>
  <c r="DF38" i="66" s="1"/>
  <c r="DG38" i="66" s="1"/>
  <c r="DH38" i="66" s="1"/>
  <c r="DI38" i="66" s="1"/>
  <c r="DJ38" i="66" s="1"/>
  <c r="DK38" i="66" s="1"/>
  <c r="DL38" i="66" s="1"/>
  <c r="DM38" i="66" s="1"/>
  <c r="DN38" i="66" s="1"/>
  <c r="DO38" i="66" s="1"/>
  <c r="DP38" i="66" s="1"/>
  <c r="DQ38" i="66" s="1"/>
  <c r="DR38" i="66" s="1"/>
  <c r="DS38" i="66" s="1"/>
  <c r="DT38" i="66" s="1"/>
  <c r="K46" i="66"/>
  <c r="L46" i="66" s="1"/>
  <c r="M46" i="66" s="1"/>
  <c r="N46" i="66" s="1"/>
  <c r="O46" i="66" s="1"/>
  <c r="K45" i="66"/>
  <c r="L45" i="66" s="1"/>
  <c r="M45" i="66" s="1"/>
  <c r="N45" i="66" s="1"/>
  <c r="O45" i="66" s="1"/>
  <c r="K44" i="66"/>
  <c r="L44" i="66" s="1"/>
  <c r="M44" i="66" s="1"/>
  <c r="N44" i="66" s="1"/>
  <c r="O44" i="66" s="1"/>
  <c r="K43" i="66"/>
  <c r="L43" i="66" s="1"/>
  <c r="M43" i="66" s="1"/>
  <c r="N43" i="66" s="1"/>
  <c r="O43" i="66" s="1"/>
  <c r="K42" i="66"/>
  <c r="L42" i="66" s="1"/>
  <c r="M42" i="66" s="1"/>
  <c r="N42" i="66" s="1"/>
  <c r="O42" i="66" s="1"/>
  <c r="K41" i="66"/>
  <c r="L41" i="66" s="1"/>
  <c r="M41" i="66" s="1"/>
  <c r="N41" i="66" s="1"/>
  <c r="O41" i="66" s="1"/>
  <c r="K40" i="66"/>
  <c r="L40" i="66" s="1"/>
  <c r="M40" i="66" s="1"/>
  <c r="N40" i="66" s="1"/>
  <c r="O40" i="66" s="1"/>
  <c r="K39" i="66"/>
  <c r="L39" i="66" s="1"/>
  <c r="M39" i="66" s="1"/>
  <c r="N39" i="66" s="1"/>
  <c r="O39" i="66" s="1"/>
  <c r="K38" i="66"/>
  <c r="L38" i="66" s="1"/>
  <c r="M38" i="66" s="1"/>
  <c r="N38" i="66" s="1"/>
  <c r="O38" i="66" s="1"/>
  <c r="F42" i="66"/>
  <c r="G42" i="66" s="1"/>
  <c r="H42" i="66" s="1"/>
  <c r="I42" i="66" s="1"/>
  <c r="E46" i="66"/>
  <c r="F46" i="66" s="1"/>
  <c r="G46" i="66" s="1"/>
  <c r="H46" i="66" s="1"/>
  <c r="I46" i="66" s="1"/>
  <c r="E45" i="66"/>
  <c r="F45" i="66" s="1"/>
  <c r="G45" i="66" s="1"/>
  <c r="H45" i="66" s="1"/>
  <c r="I45" i="66" s="1"/>
  <c r="E44" i="66"/>
  <c r="F44" i="66" s="1"/>
  <c r="G44" i="66" s="1"/>
  <c r="H44" i="66" s="1"/>
  <c r="I44" i="66" s="1"/>
  <c r="E43" i="66"/>
  <c r="F43" i="66" s="1"/>
  <c r="G43" i="66" s="1"/>
  <c r="H43" i="66" s="1"/>
  <c r="I43" i="66" s="1"/>
  <c r="E42" i="66"/>
  <c r="E41" i="66"/>
  <c r="F41" i="66" s="1"/>
  <c r="G41" i="66" s="1"/>
  <c r="H41" i="66" s="1"/>
  <c r="I41" i="66" s="1"/>
  <c r="E40" i="66"/>
  <c r="F40" i="66" s="1"/>
  <c r="G40" i="66" s="1"/>
  <c r="H40" i="66" s="1"/>
  <c r="I40" i="66" s="1"/>
  <c r="E39" i="66"/>
  <c r="F39" i="66" s="1"/>
  <c r="G39" i="66" s="1"/>
  <c r="H39" i="66" s="1"/>
  <c r="I39" i="66" s="1"/>
  <c r="E38" i="66"/>
  <c r="F38" i="66" s="1"/>
  <c r="G38" i="66" s="1"/>
  <c r="H38" i="66" s="1"/>
  <c r="I38" i="66" s="1"/>
  <c r="E13" i="66"/>
  <c r="F13" i="66" s="1"/>
  <c r="G13" i="66" s="1"/>
  <c r="H13" i="66" s="1"/>
  <c r="I13" i="66" s="1"/>
  <c r="J13" i="66" s="1"/>
  <c r="K13" i="66" s="1"/>
  <c r="L13" i="66" s="1"/>
  <c r="M13" i="66" s="1"/>
  <c r="N13" i="66" s="1"/>
  <c r="O13" i="66" s="1"/>
  <c r="P13" i="66" s="1"/>
  <c r="Q13" i="66" s="1"/>
  <c r="R13" i="66" s="1"/>
  <c r="S13" i="66" s="1"/>
  <c r="T13" i="66" s="1"/>
  <c r="U13" i="66" s="1"/>
  <c r="V13" i="66" s="1"/>
  <c r="W13" i="66" s="1"/>
  <c r="X13" i="66" s="1"/>
  <c r="Y13" i="66" s="1"/>
  <c r="Z13" i="66" s="1"/>
  <c r="AA13" i="66" s="1"/>
  <c r="AB13" i="66" s="1"/>
  <c r="AC13" i="66" s="1"/>
  <c r="AD13" i="66" s="1"/>
  <c r="AE13" i="66" s="1"/>
  <c r="AF13" i="66" s="1"/>
  <c r="AG13" i="66" s="1"/>
  <c r="AH13" i="66" s="1"/>
  <c r="AI13" i="66" s="1"/>
  <c r="AJ13" i="66" s="1"/>
  <c r="AK13" i="66" s="1"/>
  <c r="AL13" i="66" s="1"/>
  <c r="AM13" i="66" s="1"/>
  <c r="AN13" i="66" s="1"/>
  <c r="AO13" i="66" s="1"/>
  <c r="AP13" i="66" s="1"/>
  <c r="AQ13" i="66" s="1"/>
  <c r="AR13" i="66" s="1"/>
  <c r="AS13" i="66" s="1"/>
  <c r="AT13" i="66" s="1"/>
  <c r="AU13" i="66" s="1"/>
  <c r="AV13" i="66" s="1"/>
  <c r="AW13" i="66" s="1"/>
  <c r="AX13" i="66" s="1"/>
  <c r="AY13" i="66" s="1"/>
  <c r="AZ13" i="66" s="1"/>
  <c r="BA13" i="66" s="1"/>
  <c r="BB13" i="66" s="1"/>
  <c r="BC13" i="66" s="1"/>
  <c r="BD13" i="66" s="1"/>
  <c r="BE13" i="66" s="1"/>
  <c r="BF13" i="66" s="1"/>
  <c r="BG13" i="66" s="1"/>
  <c r="BH13" i="66" s="1"/>
  <c r="BI13" i="66" s="1"/>
  <c r="BJ13" i="66" s="1"/>
  <c r="BK13" i="66" s="1"/>
  <c r="BL13" i="66" s="1"/>
  <c r="BM13" i="66" s="1"/>
  <c r="BN13" i="66" s="1"/>
  <c r="BO13" i="66" s="1"/>
  <c r="BP13" i="66" s="1"/>
  <c r="BQ13" i="66" s="1"/>
  <c r="BR13" i="66" s="1"/>
  <c r="BS13" i="66" s="1"/>
  <c r="BT13" i="66" s="1"/>
  <c r="BU13" i="66" s="1"/>
  <c r="BV13" i="66" s="1"/>
  <c r="BW13" i="66" s="1"/>
  <c r="BX13" i="66" s="1"/>
  <c r="BY13" i="66" s="1"/>
  <c r="BZ13" i="66" s="1"/>
  <c r="CA13" i="66" s="1"/>
  <c r="CB13" i="66" s="1"/>
  <c r="CC13" i="66" s="1"/>
  <c r="CD13" i="66" s="1"/>
  <c r="CE13" i="66" s="1"/>
  <c r="CF13" i="66" s="1"/>
  <c r="CG13" i="66" s="1"/>
  <c r="CH13" i="66" s="1"/>
  <c r="CI13" i="66" s="1"/>
  <c r="CJ13" i="66" s="1"/>
  <c r="CK13" i="66" s="1"/>
  <c r="CL13" i="66" s="1"/>
  <c r="CM13" i="66" s="1"/>
  <c r="CN13" i="66" s="1"/>
  <c r="CO13" i="66" s="1"/>
  <c r="CP13" i="66" s="1"/>
  <c r="CQ13" i="66" s="1"/>
  <c r="CR13" i="66" s="1"/>
  <c r="CS13" i="66" s="1"/>
  <c r="CT13" i="66" s="1"/>
  <c r="CU13" i="66" s="1"/>
  <c r="CV13" i="66" s="1"/>
  <c r="CW13" i="66" s="1"/>
  <c r="CX13" i="66" s="1"/>
  <c r="CY13" i="66" s="1"/>
  <c r="CZ13" i="66" s="1"/>
  <c r="DA13" i="66" s="1"/>
  <c r="DB13" i="66" s="1"/>
  <c r="DC13" i="66" s="1"/>
  <c r="DD13" i="66" s="1"/>
  <c r="DE13" i="66" s="1"/>
  <c r="DF13" i="66" s="1"/>
  <c r="DG13" i="66" s="1"/>
  <c r="DH13" i="66" s="1"/>
  <c r="DI13" i="66" s="1"/>
  <c r="DJ13" i="66" s="1"/>
  <c r="DK13" i="66" s="1"/>
  <c r="DL13" i="66" s="1"/>
  <c r="DM13" i="66" s="1"/>
  <c r="DN13" i="66" s="1"/>
  <c r="DO13" i="66" s="1"/>
  <c r="DP13" i="66" s="1"/>
  <c r="DQ13" i="66" s="1"/>
  <c r="DR13" i="66" s="1"/>
  <c r="DS13" i="66" s="1"/>
  <c r="DT13" i="66" s="1"/>
  <c r="E12" i="66"/>
  <c r="F12" i="66" s="1"/>
  <c r="G12" i="66" s="1"/>
  <c r="H12" i="66" s="1"/>
  <c r="I12" i="66" s="1"/>
  <c r="J12" i="66" s="1"/>
  <c r="K12" i="66" s="1"/>
  <c r="L12" i="66" s="1"/>
  <c r="M12" i="66" s="1"/>
  <c r="N12" i="66" s="1"/>
  <c r="O12" i="66" s="1"/>
  <c r="P12" i="66" s="1"/>
  <c r="Q12" i="66" s="1"/>
  <c r="R12" i="66" s="1"/>
  <c r="S12" i="66" s="1"/>
  <c r="T12" i="66" s="1"/>
  <c r="U12" i="66" s="1"/>
  <c r="V12" i="66" s="1"/>
  <c r="W12" i="66" s="1"/>
  <c r="X12" i="66" s="1"/>
  <c r="Y12" i="66" s="1"/>
  <c r="Z12" i="66" s="1"/>
  <c r="AA12" i="66" s="1"/>
  <c r="AB12" i="66" s="1"/>
  <c r="AC12" i="66" s="1"/>
  <c r="AD12" i="66" s="1"/>
  <c r="AE12" i="66" s="1"/>
  <c r="AF12" i="66" s="1"/>
  <c r="AG12" i="66" s="1"/>
  <c r="AH12" i="66" s="1"/>
  <c r="AI12" i="66" s="1"/>
  <c r="AJ12" i="66" s="1"/>
  <c r="AK12" i="66" s="1"/>
  <c r="AL12" i="66" s="1"/>
  <c r="AM12" i="66" s="1"/>
  <c r="AN12" i="66" s="1"/>
  <c r="AO12" i="66" s="1"/>
  <c r="AP12" i="66" s="1"/>
  <c r="AQ12" i="66" s="1"/>
  <c r="AR12" i="66" s="1"/>
  <c r="AS12" i="66" s="1"/>
  <c r="AT12" i="66" s="1"/>
  <c r="AU12" i="66" s="1"/>
  <c r="AV12" i="66" s="1"/>
  <c r="AW12" i="66" s="1"/>
  <c r="AX12" i="66" s="1"/>
  <c r="AY12" i="66" s="1"/>
  <c r="AZ12" i="66" s="1"/>
  <c r="BA12" i="66" s="1"/>
  <c r="BB12" i="66" s="1"/>
  <c r="BC12" i="66" s="1"/>
  <c r="BD12" i="66" s="1"/>
  <c r="BE12" i="66" s="1"/>
  <c r="BF12" i="66" s="1"/>
  <c r="BG12" i="66" s="1"/>
  <c r="BH12" i="66" s="1"/>
  <c r="BI12" i="66" s="1"/>
  <c r="BJ12" i="66" s="1"/>
  <c r="BK12" i="66" s="1"/>
  <c r="BL12" i="66" s="1"/>
  <c r="BM12" i="66" s="1"/>
  <c r="BN12" i="66" s="1"/>
  <c r="BO12" i="66" s="1"/>
  <c r="BP12" i="66" s="1"/>
  <c r="BQ12" i="66" s="1"/>
  <c r="BR12" i="66" s="1"/>
  <c r="BS12" i="66" s="1"/>
  <c r="BT12" i="66" s="1"/>
  <c r="BU12" i="66" s="1"/>
  <c r="BV12" i="66" s="1"/>
  <c r="BW12" i="66" s="1"/>
  <c r="BX12" i="66" s="1"/>
  <c r="BY12" i="66" s="1"/>
  <c r="BZ12" i="66" s="1"/>
  <c r="CA12" i="66" s="1"/>
  <c r="CB12" i="66" s="1"/>
  <c r="CC12" i="66" s="1"/>
  <c r="CD12" i="66" s="1"/>
  <c r="CE12" i="66" s="1"/>
  <c r="CF12" i="66" s="1"/>
  <c r="CG12" i="66" s="1"/>
  <c r="CH12" i="66" s="1"/>
  <c r="CI12" i="66" s="1"/>
  <c r="CJ12" i="66" s="1"/>
  <c r="CK12" i="66" s="1"/>
  <c r="CL12" i="66" s="1"/>
  <c r="CM12" i="66" s="1"/>
  <c r="CN12" i="66" s="1"/>
  <c r="CO12" i="66" s="1"/>
  <c r="CP12" i="66" s="1"/>
  <c r="CQ12" i="66" s="1"/>
  <c r="CR12" i="66" s="1"/>
  <c r="CS12" i="66" s="1"/>
  <c r="CT12" i="66" s="1"/>
  <c r="CU12" i="66" s="1"/>
  <c r="CV12" i="66" s="1"/>
  <c r="CW12" i="66" s="1"/>
  <c r="CX12" i="66" s="1"/>
  <c r="CY12" i="66" s="1"/>
  <c r="CZ12" i="66" s="1"/>
  <c r="DA12" i="66" s="1"/>
  <c r="DB12" i="66" s="1"/>
  <c r="DC12" i="66" s="1"/>
  <c r="DD12" i="66" s="1"/>
  <c r="DE12" i="66" s="1"/>
  <c r="DF12" i="66" s="1"/>
  <c r="DG12" i="66" s="1"/>
  <c r="DH12" i="66" s="1"/>
  <c r="DI12" i="66" s="1"/>
  <c r="DJ12" i="66" s="1"/>
  <c r="DK12" i="66" s="1"/>
  <c r="DL12" i="66" s="1"/>
  <c r="DM12" i="66" s="1"/>
  <c r="DN12" i="66" s="1"/>
  <c r="DO12" i="66" s="1"/>
  <c r="DP12" i="66" s="1"/>
  <c r="DQ12" i="66" s="1"/>
  <c r="DR12" i="66" s="1"/>
  <c r="DS12" i="66" s="1"/>
  <c r="DT12" i="66" s="1"/>
  <c r="E11" i="66"/>
  <c r="F11" i="66" s="1"/>
  <c r="G11" i="66" s="1"/>
  <c r="H11" i="66" s="1"/>
  <c r="I11" i="66" s="1"/>
  <c r="J11" i="66" s="1"/>
  <c r="K11" i="66" s="1"/>
  <c r="L11" i="66" s="1"/>
  <c r="M11" i="66" s="1"/>
  <c r="N11" i="66" s="1"/>
  <c r="O11" i="66" s="1"/>
  <c r="P11" i="66" s="1"/>
  <c r="Q11" i="66" s="1"/>
  <c r="R11" i="66" s="1"/>
  <c r="S11" i="66" s="1"/>
  <c r="T11" i="66" s="1"/>
  <c r="U11" i="66" s="1"/>
  <c r="V11" i="66" s="1"/>
  <c r="W11" i="66" s="1"/>
  <c r="X11" i="66" s="1"/>
  <c r="Y11" i="66" s="1"/>
  <c r="Z11" i="66" s="1"/>
  <c r="AA11" i="66" s="1"/>
  <c r="AB11" i="66" s="1"/>
  <c r="AC11" i="66" s="1"/>
  <c r="AD11" i="66" s="1"/>
  <c r="AE11" i="66" s="1"/>
  <c r="AF11" i="66" s="1"/>
  <c r="AG11" i="66" s="1"/>
  <c r="AH11" i="66" s="1"/>
  <c r="AI11" i="66" s="1"/>
  <c r="AJ11" i="66" s="1"/>
  <c r="AK11" i="66" s="1"/>
  <c r="AL11" i="66" s="1"/>
  <c r="AM11" i="66" s="1"/>
  <c r="AN11" i="66" s="1"/>
  <c r="AO11" i="66" s="1"/>
  <c r="AP11" i="66" s="1"/>
  <c r="AQ11" i="66" s="1"/>
  <c r="AR11" i="66" s="1"/>
  <c r="AS11" i="66" s="1"/>
  <c r="AT11" i="66" s="1"/>
  <c r="AU11" i="66" s="1"/>
  <c r="AV11" i="66" s="1"/>
  <c r="AW11" i="66" s="1"/>
  <c r="AX11" i="66" s="1"/>
  <c r="AY11" i="66" s="1"/>
  <c r="AZ11" i="66" s="1"/>
  <c r="BA11" i="66" s="1"/>
  <c r="BB11" i="66" s="1"/>
  <c r="BC11" i="66" s="1"/>
  <c r="BD11" i="66" s="1"/>
  <c r="BE11" i="66" s="1"/>
  <c r="BF11" i="66" s="1"/>
  <c r="BG11" i="66" s="1"/>
  <c r="BH11" i="66" s="1"/>
  <c r="BI11" i="66" s="1"/>
  <c r="BJ11" i="66" s="1"/>
  <c r="BK11" i="66" s="1"/>
  <c r="BL11" i="66" s="1"/>
  <c r="BM11" i="66" s="1"/>
  <c r="BN11" i="66" s="1"/>
  <c r="BO11" i="66" s="1"/>
  <c r="BP11" i="66" s="1"/>
  <c r="BQ11" i="66" s="1"/>
  <c r="BR11" i="66" s="1"/>
  <c r="BS11" i="66" s="1"/>
  <c r="BT11" i="66" s="1"/>
  <c r="BU11" i="66" s="1"/>
  <c r="BV11" i="66" s="1"/>
  <c r="BW11" i="66" s="1"/>
  <c r="BX11" i="66" s="1"/>
  <c r="BY11" i="66" s="1"/>
  <c r="BZ11" i="66" s="1"/>
  <c r="CA11" i="66" s="1"/>
  <c r="CB11" i="66" s="1"/>
  <c r="CC11" i="66" s="1"/>
  <c r="CD11" i="66" s="1"/>
  <c r="CE11" i="66" s="1"/>
  <c r="CF11" i="66" s="1"/>
  <c r="CG11" i="66" s="1"/>
  <c r="CH11" i="66" s="1"/>
  <c r="CI11" i="66" s="1"/>
  <c r="CJ11" i="66" s="1"/>
  <c r="CK11" i="66" s="1"/>
  <c r="CL11" i="66" s="1"/>
  <c r="CM11" i="66" s="1"/>
  <c r="CN11" i="66" s="1"/>
  <c r="CO11" i="66" s="1"/>
  <c r="CP11" i="66" s="1"/>
  <c r="CQ11" i="66" s="1"/>
  <c r="CR11" i="66" s="1"/>
  <c r="CS11" i="66" s="1"/>
  <c r="CT11" i="66" s="1"/>
  <c r="CU11" i="66" s="1"/>
  <c r="CV11" i="66" s="1"/>
  <c r="CW11" i="66" s="1"/>
  <c r="CX11" i="66" s="1"/>
  <c r="CY11" i="66" s="1"/>
  <c r="CZ11" i="66" s="1"/>
  <c r="DA11" i="66" s="1"/>
  <c r="DB11" i="66" s="1"/>
  <c r="DC11" i="66" s="1"/>
  <c r="DD11" i="66" s="1"/>
  <c r="DE11" i="66" s="1"/>
  <c r="DF11" i="66" s="1"/>
  <c r="DG11" i="66" s="1"/>
  <c r="DH11" i="66" s="1"/>
  <c r="DI11" i="66" s="1"/>
  <c r="DJ11" i="66" s="1"/>
  <c r="DK11" i="66" s="1"/>
  <c r="DL11" i="66" s="1"/>
  <c r="DM11" i="66" s="1"/>
  <c r="DN11" i="66" s="1"/>
  <c r="DO11" i="66" s="1"/>
  <c r="DP11" i="66" s="1"/>
  <c r="DQ11" i="66" s="1"/>
  <c r="DR11" i="66" s="1"/>
  <c r="DS11" i="66" s="1"/>
  <c r="DT11" i="66" s="1"/>
  <c r="E10" i="66"/>
  <c r="F10" i="66" s="1"/>
  <c r="G10" i="66" s="1"/>
  <c r="H10" i="66" s="1"/>
  <c r="I10" i="66" s="1"/>
  <c r="J10" i="66" s="1"/>
  <c r="K10" i="66" s="1"/>
  <c r="L10" i="66" s="1"/>
  <c r="M10" i="66" s="1"/>
  <c r="N10" i="66" s="1"/>
  <c r="O10" i="66" s="1"/>
  <c r="P10" i="66" s="1"/>
  <c r="Q10" i="66" s="1"/>
  <c r="R10" i="66" s="1"/>
  <c r="S10" i="66" s="1"/>
  <c r="T10" i="66" s="1"/>
  <c r="U10" i="66" s="1"/>
  <c r="V10" i="66" s="1"/>
  <c r="W10" i="66" s="1"/>
  <c r="X10" i="66" s="1"/>
  <c r="Y10" i="66" s="1"/>
  <c r="Z10" i="66" s="1"/>
  <c r="AA10" i="66" s="1"/>
  <c r="AB10" i="66" s="1"/>
  <c r="AC10" i="66" s="1"/>
  <c r="AD10" i="66" s="1"/>
  <c r="AE10" i="66" s="1"/>
  <c r="AF10" i="66" s="1"/>
  <c r="AG10" i="66" s="1"/>
  <c r="AH10" i="66" s="1"/>
  <c r="AI10" i="66" s="1"/>
  <c r="AJ10" i="66" s="1"/>
  <c r="AK10" i="66" s="1"/>
  <c r="AL10" i="66" s="1"/>
  <c r="AM10" i="66" s="1"/>
  <c r="AN10" i="66" s="1"/>
  <c r="AO10" i="66" s="1"/>
  <c r="AP10" i="66" s="1"/>
  <c r="AQ10" i="66" s="1"/>
  <c r="AR10" i="66" s="1"/>
  <c r="AS10" i="66" s="1"/>
  <c r="AT10" i="66" s="1"/>
  <c r="AU10" i="66" s="1"/>
  <c r="AV10" i="66" s="1"/>
  <c r="AW10" i="66" s="1"/>
  <c r="AX10" i="66" s="1"/>
  <c r="AY10" i="66" s="1"/>
  <c r="AZ10" i="66" s="1"/>
  <c r="BA10" i="66" s="1"/>
  <c r="BB10" i="66" s="1"/>
  <c r="BC10" i="66" s="1"/>
  <c r="BD10" i="66" s="1"/>
  <c r="BE10" i="66" s="1"/>
  <c r="BF10" i="66" s="1"/>
  <c r="BG10" i="66" s="1"/>
  <c r="BH10" i="66" s="1"/>
  <c r="BI10" i="66" s="1"/>
  <c r="BJ10" i="66" s="1"/>
  <c r="BK10" i="66" s="1"/>
  <c r="BL10" i="66" s="1"/>
  <c r="BM10" i="66" s="1"/>
  <c r="BN10" i="66" s="1"/>
  <c r="BO10" i="66" s="1"/>
  <c r="BP10" i="66" s="1"/>
  <c r="BQ10" i="66" s="1"/>
  <c r="BR10" i="66" s="1"/>
  <c r="BS10" i="66" s="1"/>
  <c r="BT10" i="66" s="1"/>
  <c r="BU10" i="66" s="1"/>
  <c r="BV10" i="66" s="1"/>
  <c r="BW10" i="66" s="1"/>
  <c r="BX10" i="66" s="1"/>
  <c r="BY10" i="66" s="1"/>
  <c r="BZ10" i="66" s="1"/>
  <c r="CA10" i="66" s="1"/>
  <c r="CB10" i="66" s="1"/>
  <c r="CC10" i="66" s="1"/>
  <c r="CD10" i="66" s="1"/>
  <c r="CE10" i="66" s="1"/>
  <c r="CF10" i="66" s="1"/>
  <c r="CG10" i="66" s="1"/>
  <c r="CH10" i="66" s="1"/>
  <c r="CI10" i="66" s="1"/>
  <c r="CJ10" i="66" s="1"/>
  <c r="CK10" i="66" s="1"/>
  <c r="CL10" i="66" s="1"/>
  <c r="CM10" i="66" s="1"/>
  <c r="CN10" i="66" s="1"/>
  <c r="CO10" i="66" s="1"/>
  <c r="CP10" i="66" s="1"/>
  <c r="CQ10" i="66" s="1"/>
  <c r="CR10" i="66" s="1"/>
  <c r="CS10" i="66" s="1"/>
  <c r="CT10" i="66" s="1"/>
  <c r="CU10" i="66" s="1"/>
  <c r="CV10" i="66" s="1"/>
  <c r="CW10" i="66" s="1"/>
  <c r="CX10" i="66" s="1"/>
  <c r="CY10" i="66" s="1"/>
  <c r="CZ10" i="66" s="1"/>
  <c r="DA10" i="66" s="1"/>
  <c r="DB10" i="66" s="1"/>
  <c r="DC10" i="66" s="1"/>
  <c r="DD10" i="66" s="1"/>
  <c r="DE10" i="66" s="1"/>
  <c r="DF10" i="66" s="1"/>
  <c r="DG10" i="66" s="1"/>
  <c r="DH10" i="66" s="1"/>
  <c r="DI10" i="66" s="1"/>
  <c r="DJ10" i="66" s="1"/>
  <c r="DK10" i="66" s="1"/>
  <c r="DL10" i="66" s="1"/>
  <c r="DM10" i="66" s="1"/>
  <c r="DN10" i="66" s="1"/>
  <c r="DO10" i="66" s="1"/>
  <c r="DP10" i="66" s="1"/>
  <c r="DQ10" i="66" s="1"/>
  <c r="DR10" i="66" s="1"/>
  <c r="DS10" i="66" s="1"/>
  <c r="DT10" i="66" s="1"/>
  <c r="E9" i="66"/>
  <c r="F9" i="66" s="1"/>
  <c r="G9" i="66" s="1"/>
  <c r="H9" i="66" s="1"/>
  <c r="I9" i="66" s="1"/>
  <c r="J9" i="66" s="1"/>
  <c r="K9" i="66" s="1"/>
  <c r="L9" i="66" s="1"/>
  <c r="M9" i="66" s="1"/>
  <c r="N9" i="66" s="1"/>
  <c r="O9" i="66" s="1"/>
  <c r="P9" i="66" s="1"/>
  <c r="Q9" i="66" s="1"/>
  <c r="R9" i="66" s="1"/>
  <c r="S9" i="66" s="1"/>
  <c r="T9" i="66" s="1"/>
  <c r="U9" i="66" s="1"/>
  <c r="V9" i="66" s="1"/>
  <c r="W9" i="66" s="1"/>
  <c r="X9" i="66" s="1"/>
  <c r="Y9" i="66" s="1"/>
  <c r="Z9" i="66" s="1"/>
  <c r="AA9" i="66" s="1"/>
  <c r="AB9" i="66" s="1"/>
  <c r="AC9" i="66" s="1"/>
  <c r="AD9" i="66" s="1"/>
  <c r="AE9" i="66" s="1"/>
  <c r="AF9" i="66" s="1"/>
  <c r="AG9" i="66" s="1"/>
  <c r="AH9" i="66" s="1"/>
  <c r="AI9" i="66" s="1"/>
  <c r="AJ9" i="66" s="1"/>
  <c r="AK9" i="66" s="1"/>
  <c r="AL9" i="66" s="1"/>
  <c r="AM9" i="66" s="1"/>
  <c r="AN9" i="66" s="1"/>
  <c r="AO9" i="66" s="1"/>
  <c r="AP9" i="66" s="1"/>
  <c r="AQ9" i="66" s="1"/>
  <c r="AR9" i="66" s="1"/>
  <c r="AS9" i="66" s="1"/>
  <c r="AT9" i="66" s="1"/>
  <c r="AU9" i="66" s="1"/>
  <c r="AV9" i="66" s="1"/>
  <c r="AW9" i="66" s="1"/>
  <c r="AX9" i="66" s="1"/>
  <c r="AY9" i="66" s="1"/>
  <c r="AZ9" i="66" s="1"/>
  <c r="BA9" i="66" s="1"/>
  <c r="BB9" i="66" s="1"/>
  <c r="BC9" i="66" s="1"/>
  <c r="BD9" i="66" s="1"/>
  <c r="BE9" i="66" s="1"/>
  <c r="BF9" i="66" s="1"/>
  <c r="BG9" i="66" s="1"/>
  <c r="BH9" i="66" s="1"/>
  <c r="BI9" i="66" s="1"/>
  <c r="BJ9" i="66" s="1"/>
  <c r="BK9" i="66" s="1"/>
  <c r="BL9" i="66" s="1"/>
  <c r="BM9" i="66" s="1"/>
  <c r="BN9" i="66" s="1"/>
  <c r="BO9" i="66" s="1"/>
  <c r="BP9" i="66" s="1"/>
  <c r="BQ9" i="66" s="1"/>
  <c r="BR9" i="66" s="1"/>
  <c r="BS9" i="66" s="1"/>
  <c r="BT9" i="66" s="1"/>
  <c r="BU9" i="66" s="1"/>
  <c r="BV9" i="66" s="1"/>
  <c r="BW9" i="66" s="1"/>
  <c r="BX9" i="66" s="1"/>
  <c r="BY9" i="66" s="1"/>
  <c r="BZ9" i="66" s="1"/>
  <c r="CA9" i="66" s="1"/>
  <c r="CB9" i="66" s="1"/>
  <c r="CC9" i="66" s="1"/>
  <c r="CD9" i="66" s="1"/>
  <c r="CE9" i="66" s="1"/>
  <c r="CF9" i="66" s="1"/>
  <c r="CG9" i="66" s="1"/>
  <c r="CH9" i="66" s="1"/>
  <c r="CI9" i="66" s="1"/>
  <c r="CJ9" i="66" s="1"/>
  <c r="CK9" i="66" s="1"/>
  <c r="CL9" i="66" s="1"/>
  <c r="CM9" i="66" s="1"/>
  <c r="CN9" i="66" s="1"/>
  <c r="CO9" i="66" s="1"/>
  <c r="CP9" i="66" s="1"/>
  <c r="CQ9" i="66" s="1"/>
  <c r="CR9" i="66" s="1"/>
  <c r="CS9" i="66" s="1"/>
  <c r="CT9" i="66" s="1"/>
  <c r="CU9" i="66" s="1"/>
  <c r="CV9" i="66" s="1"/>
  <c r="CW9" i="66" s="1"/>
  <c r="CX9" i="66" s="1"/>
  <c r="CY9" i="66" s="1"/>
  <c r="CZ9" i="66" s="1"/>
  <c r="DA9" i="66" s="1"/>
  <c r="DB9" i="66" s="1"/>
  <c r="DC9" i="66" s="1"/>
  <c r="DD9" i="66" s="1"/>
  <c r="DE9" i="66" s="1"/>
  <c r="DF9" i="66" s="1"/>
  <c r="DG9" i="66" s="1"/>
  <c r="DH9" i="66" s="1"/>
  <c r="DI9" i="66" s="1"/>
  <c r="DJ9" i="66" s="1"/>
  <c r="DK9" i="66" s="1"/>
  <c r="DL9" i="66" s="1"/>
  <c r="DM9" i="66" s="1"/>
  <c r="DN9" i="66" s="1"/>
  <c r="DO9" i="66" s="1"/>
  <c r="DP9" i="66" s="1"/>
  <c r="DQ9" i="66" s="1"/>
  <c r="DR9" i="66" s="1"/>
  <c r="DS9" i="66" s="1"/>
  <c r="DT9" i="66" s="1"/>
  <c r="E8" i="66"/>
  <c r="F8" i="66" s="1"/>
  <c r="G8" i="66" s="1"/>
  <c r="H8" i="66" s="1"/>
  <c r="I8" i="66" s="1"/>
  <c r="J8" i="66" s="1"/>
  <c r="K8" i="66" s="1"/>
  <c r="L8" i="66" s="1"/>
  <c r="M8" i="66" s="1"/>
  <c r="N8" i="66" s="1"/>
  <c r="O8" i="66" s="1"/>
  <c r="P8" i="66" s="1"/>
  <c r="Q8" i="66" s="1"/>
  <c r="R8" i="66" s="1"/>
  <c r="S8" i="66" s="1"/>
  <c r="T8" i="66" s="1"/>
  <c r="U8" i="66" s="1"/>
  <c r="V8" i="66" s="1"/>
  <c r="W8" i="66" s="1"/>
  <c r="X8" i="66" s="1"/>
  <c r="Y8" i="66" s="1"/>
  <c r="Z8" i="66" s="1"/>
  <c r="AA8" i="66" s="1"/>
  <c r="AB8" i="66" s="1"/>
  <c r="AC8" i="66" s="1"/>
  <c r="AD8" i="66" s="1"/>
  <c r="AE8" i="66" s="1"/>
  <c r="AF8" i="66" s="1"/>
  <c r="AG8" i="66" s="1"/>
  <c r="AH8" i="66" s="1"/>
  <c r="AI8" i="66" s="1"/>
  <c r="AJ8" i="66" s="1"/>
  <c r="AK8" i="66" s="1"/>
  <c r="AL8" i="66" s="1"/>
  <c r="AM8" i="66" s="1"/>
  <c r="AN8" i="66" s="1"/>
  <c r="AO8" i="66" s="1"/>
  <c r="AP8" i="66" s="1"/>
  <c r="AQ8" i="66" s="1"/>
  <c r="AR8" i="66" s="1"/>
  <c r="AS8" i="66" s="1"/>
  <c r="AT8" i="66" s="1"/>
  <c r="AU8" i="66" s="1"/>
  <c r="AV8" i="66" s="1"/>
  <c r="AW8" i="66" s="1"/>
  <c r="AX8" i="66" s="1"/>
  <c r="AY8" i="66" s="1"/>
  <c r="AZ8" i="66" s="1"/>
  <c r="BA8" i="66" s="1"/>
  <c r="BB8" i="66" s="1"/>
  <c r="BC8" i="66" s="1"/>
  <c r="BD8" i="66" s="1"/>
  <c r="BE8" i="66" s="1"/>
  <c r="BF8" i="66" s="1"/>
  <c r="BG8" i="66" s="1"/>
  <c r="BH8" i="66" s="1"/>
  <c r="BI8" i="66" s="1"/>
  <c r="BJ8" i="66" s="1"/>
  <c r="BK8" i="66" s="1"/>
  <c r="BL8" i="66" s="1"/>
  <c r="BM8" i="66" s="1"/>
  <c r="BN8" i="66" s="1"/>
  <c r="BO8" i="66" s="1"/>
  <c r="BP8" i="66" s="1"/>
  <c r="BQ8" i="66" s="1"/>
  <c r="BR8" i="66" s="1"/>
  <c r="BS8" i="66" s="1"/>
  <c r="BT8" i="66" s="1"/>
  <c r="BU8" i="66" s="1"/>
  <c r="BV8" i="66" s="1"/>
  <c r="BW8" i="66" s="1"/>
  <c r="BX8" i="66" s="1"/>
  <c r="BY8" i="66" s="1"/>
  <c r="BZ8" i="66" s="1"/>
  <c r="CA8" i="66" s="1"/>
  <c r="CB8" i="66" s="1"/>
  <c r="CC8" i="66" s="1"/>
  <c r="CD8" i="66" s="1"/>
  <c r="CE8" i="66" s="1"/>
  <c r="CF8" i="66" s="1"/>
  <c r="CG8" i="66" s="1"/>
  <c r="CH8" i="66" s="1"/>
  <c r="CI8" i="66" s="1"/>
  <c r="CJ8" i="66" s="1"/>
  <c r="CK8" i="66" s="1"/>
  <c r="CL8" i="66" s="1"/>
  <c r="CM8" i="66" s="1"/>
  <c r="CN8" i="66" s="1"/>
  <c r="CO8" i="66" s="1"/>
  <c r="CP8" i="66" s="1"/>
  <c r="CQ8" i="66" s="1"/>
  <c r="CR8" i="66" s="1"/>
  <c r="CS8" i="66" s="1"/>
  <c r="CT8" i="66" s="1"/>
  <c r="CU8" i="66" s="1"/>
  <c r="CV8" i="66" s="1"/>
  <c r="CW8" i="66" s="1"/>
  <c r="CX8" i="66" s="1"/>
  <c r="CY8" i="66" s="1"/>
  <c r="CZ8" i="66" s="1"/>
  <c r="DA8" i="66" s="1"/>
  <c r="DB8" i="66" s="1"/>
  <c r="DC8" i="66" s="1"/>
  <c r="DD8" i="66" s="1"/>
  <c r="DE8" i="66" s="1"/>
  <c r="DF8" i="66" s="1"/>
  <c r="DG8" i="66" s="1"/>
  <c r="DH8" i="66" s="1"/>
  <c r="DI8" i="66" s="1"/>
  <c r="DJ8" i="66" s="1"/>
  <c r="DK8" i="66" s="1"/>
  <c r="DL8" i="66" s="1"/>
  <c r="DM8" i="66" s="1"/>
  <c r="DN8" i="66" s="1"/>
  <c r="DO8" i="66" s="1"/>
  <c r="DP8" i="66" s="1"/>
  <c r="DQ8" i="66" s="1"/>
  <c r="DR8" i="66" s="1"/>
  <c r="DS8" i="66" s="1"/>
  <c r="DT8" i="66" s="1"/>
  <c r="E7" i="66"/>
  <c r="F7" i="66" s="1"/>
  <c r="G7" i="66" s="1"/>
  <c r="H7" i="66" s="1"/>
  <c r="I7" i="66" s="1"/>
  <c r="J7" i="66" s="1"/>
  <c r="K7" i="66" s="1"/>
  <c r="L7" i="66" s="1"/>
  <c r="M7" i="66" s="1"/>
  <c r="N7" i="66" s="1"/>
  <c r="O7" i="66" s="1"/>
  <c r="Q7" i="66" s="1"/>
  <c r="R7" i="66" s="1"/>
  <c r="S7" i="66" s="1"/>
  <c r="T7" i="66" s="1"/>
  <c r="U7" i="66" s="1"/>
  <c r="V7" i="66" s="1"/>
  <c r="W7" i="66" s="1"/>
  <c r="X7" i="66" s="1"/>
  <c r="Y7" i="66" s="1"/>
  <c r="Z7" i="66" s="1"/>
  <c r="AA7" i="66" s="1"/>
  <c r="AC7" i="66" s="1"/>
  <c r="AD7" i="66" s="1"/>
  <c r="AE7" i="66" s="1"/>
  <c r="AF7" i="66" s="1"/>
  <c r="AG7" i="66" s="1"/>
  <c r="AH7" i="66" s="1"/>
  <c r="AI7" i="66" s="1"/>
  <c r="AJ7" i="66" s="1"/>
  <c r="AK7" i="66" s="1"/>
  <c r="AL7" i="66" s="1"/>
  <c r="AM7" i="66" s="1"/>
  <c r="AO7" i="66" s="1"/>
  <c r="AP7" i="66" s="1"/>
  <c r="AQ7" i="66" s="1"/>
  <c r="AR7" i="66" s="1"/>
  <c r="AS7" i="66" s="1"/>
  <c r="AT7" i="66" s="1"/>
  <c r="AU7" i="66" s="1"/>
  <c r="AV7" i="66" s="1"/>
  <c r="AW7" i="66" s="1"/>
  <c r="AX7" i="66" s="1"/>
  <c r="AY7" i="66" s="1"/>
  <c r="BA7" i="66" s="1"/>
  <c r="BB7" i="66" s="1"/>
  <c r="BC7" i="66" s="1"/>
  <c r="BD7" i="66" s="1"/>
  <c r="BE7" i="66" s="1"/>
  <c r="BF7" i="66" s="1"/>
  <c r="BG7" i="66" s="1"/>
  <c r="BH7" i="66" s="1"/>
  <c r="BI7" i="66" s="1"/>
  <c r="BJ7" i="66" s="1"/>
  <c r="BK7" i="66" s="1"/>
  <c r="BL7" i="66" s="1"/>
  <c r="BM7" i="66" s="1"/>
  <c r="BN7" i="66" s="1"/>
  <c r="BO7" i="66" s="1"/>
  <c r="BP7" i="66" s="1"/>
  <c r="BQ7" i="66" s="1"/>
  <c r="BR7" i="66" s="1"/>
  <c r="BS7" i="66" s="1"/>
  <c r="BT7" i="66" s="1"/>
  <c r="BU7" i="66" s="1"/>
  <c r="BV7" i="66" s="1"/>
  <c r="BW7" i="66" s="1"/>
  <c r="BX7" i="66" s="1"/>
  <c r="BY7" i="66" s="1"/>
  <c r="BZ7" i="66" s="1"/>
  <c r="CA7" i="66" s="1"/>
  <c r="CB7" i="66" s="1"/>
  <c r="CC7" i="66" s="1"/>
  <c r="CD7" i="66" s="1"/>
  <c r="CE7" i="66" s="1"/>
  <c r="CF7" i="66" s="1"/>
  <c r="CG7" i="66" s="1"/>
  <c r="CH7" i="66" s="1"/>
  <c r="CI7" i="66" s="1"/>
  <c r="CJ7" i="66" s="1"/>
  <c r="CK7" i="66" s="1"/>
  <c r="CL7" i="66" s="1"/>
  <c r="CM7" i="66" s="1"/>
  <c r="CN7" i="66" s="1"/>
  <c r="CO7" i="66" s="1"/>
  <c r="CP7" i="66" s="1"/>
  <c r="CQ7" i="66" s="1"/>
  <c r="CR7" i="66" s="1"/>
  <c r="CS7" i="66" s="1"/>
  <c r="CT7" i="66" s="1"/>
  <c r="CU7" i="66" s="1"/>
  <c r="CV7" i="66" s="1"/>
  <c r="CW7" i="66" s="1"/>
  <c r="CX7" i="66" s="1"/>
  <c r="CY7" i="66" s="1"/>
  <c r="CZ7" i="66" s="1"/>
  <c r="DA7" i="66" s="1"/>
  <c r="DB7" i="66" s="1"/>
  <c r="DC7" i="66" s="1"/>
  <c r="DD7" i="66" s="1"/>
  <c r="DE7" i="66" s="1"/>
  <c r="DF7" i="66" s="1"/>
  <c r="DG7" i="66" s="1"/>
  <c r="DH7" i="66" s="1"/>
  <c r="DI7" i="66" s="1"/>
  <c r="DJ7" i="66" s="1"/>
  <c r="DK7" i="66" s="1"/>
  <c r="DL7" i="66" s="1"/>
  <c r="DM7" i="66" s="1"/>
  <c r="DN7" i="66" s="1"/>
  <c r="DO7" i="66" s="1"/>
  <c r="DP7" i="66" s="1"/>
  <c r="DQ7" i="66" s="1"/>
  <c r="DR7" i="66" s="1"/>
  <c r="DS7" i="66" s="1"/>
  <c r="DT7" i="66" s="1"/>
  <c r="E6" i="66"/>
  <c r="F6" i="66" s="1"/>
  <c r="G6" i="66" s="1"/>
  <c r="H6" i="66" s="1"/>
  <c r="I6" i="66" s="1"/>
  <c r="J6" i="66" s="1"/>
  <c r="K6" i="66" s="1"/>
  <c r="L6" i="66" s="1"/>
  <c r="M6" i="66" s="1"/>
  <c r="N6" i="66" s="1"/>
  <c r="O6" i="66" s="1"/>
  <c r="P6" i="66" s="1"/>
  <c r="Q6" i="66" s="1"/>
  <c r="R6" i="66" s="1"/>
  <c r="S6" i="66" s="1"/>
  <c r="T6" i="66" s="1"/>
  <c r="U6" i="66" s="1"/>
  <c r="V6" i="66" s="1"/>
  <c r="W6" i="66" s="1"/>
  <c r="X6" i="66" s="1"/>
  <c r="Y6" i="66" s="1"/>
  <c r="Z6" i="66" s="1"/>
  <c r="AA6" i="66" s="1"/>
  <c r="AB6" i="66" s="1"/>
  <c r="AC6" i="66" s="1"/>
  <c r="AD6" i="66" s="1"/>
  <c r="AE6" i="66" s="1"/>
  <c r="AF6" i="66" s="1"/>
  <c r="AG6" i="66" s="1"/>
  <c r="AH6" i="66" s="1"/>
  <c r="AI6" i="66" s="1"/>
  <c r="AJ6" i="66" s="1"/>
  <c r="AK6" i="66" s="1"/>
  <c r="AL6" i="66" s="1"/>
  <c r="AM6" i="66" s="1"/>
  <c r="AN6" i="66" s="1"/>
  <c r="AO6" i="66" s="1"/>
  <c r="AP6" i="66" s="1"/>
  <c r="AQ6" i="66" s="1"/>
  <c r="AR6" i="66" s="1"/>
  <c r="AS6" i="66" s="1"/>
  <c r="AT6" i="66" s="1"/>
  <c r="AU6" i="66" s="1"/>
  <c r="AV6" i="66" s="1"/>
  <c r="AW6" i="66" s="1"/>
  <c r="AX6" i="66" s="1"/>
  <c r="AY6" i="66" s="1"/>
  <c r="AZ6" i="66" s="1"/>
  <c r="BA6" i="66" s="1"/>
  <c r="BB6" i="66" s="1"/>
  <c r="BC6" i="66" s="1"/>
  <c r="BD6" i="66" s="1"/>
  <c r="BE6" i="66" s="1"/>
  <c r="BF6" i="66" s="1"/>
  <c r="BG6" i="66" s="1"/>
  <c r="BH6" i="66" s="1"/>
  <c r="BI6" i="66" s="1"/>
  <c r="BJ6" i="66" s="1"/>
  <c r="BK6" i="66" s="1"/>
  <c r="BL6" i="66" s="1"/>
  <c r="BM6" i="66" s="1"/>
  <c r="BN6" i="66" s="1"/>
  <c r="BO6" i="66" s="1"/>
  <c r="BP6" i="66" s="1"/>
  <c r="BQ6" i="66" s="1"/>
  <c r="BR6" i="66" s="1"/>
  <c r="BS6" i="66" s="1"/>
  <c r="BT6" i="66" s="1"/>
  <c r="BU6" i="66" s="1"/>
  <c r="BV6" i="66" s="1"/>
  <c r="BW6" i="66" s="1"/>
  <c r="BX6" i="66" s="1"/>
  <c r="BY6" i="66" s="1"/>
  <c r="BZ6" i="66" s="1"/>
  <c r="CA6" i="66" s="1"/>
  <c r="CB6" i="66" s="1"/>
  <c r="CC6" i="66" s="1"/>
  <c r="CD6" i="66" s="1"/>
  <c r="CE6" i="66" s="1"/>
  <c r="CF6" i="66" s="1"/>
  <c r="CG6" i="66" s="1"/>
  <c r="CH6" i="66" s="1"/>
  <c r="CI6" i="66" s="1"/>
  <c r="CJ6" i="66" s="1"/>
  <c r="CK6" i="66" s="1"/>
  <c r="CL6" i="66" s="1"/>
  <c r="CM6" i="66" s="1"/>
  <c r="CN6" i="66" s="1"/>
  <c r="CO6" i="66" s="1"/>
  <c r="CP6" i="66" s="1"/>
  <c r="CQ6" i="66" s="1"/>
  <c r="CR6" i="66" s="1"/>
  <c r="CS6" i="66" s="1"/>
  <c r="CT6" i="66" s="1"/>
  <c r="CU6" i="66" s="1"/>
  <c r="CV6" i="66" s="1"/>
  <c r="CW6" i="66" s="1"/>
  <c r="CX6" i="66" s="1"/>
  <c r="CY6" i="66" s="1"/>
  <c r="CZ6" i="66" s="1"/>
  <c r="DA6" i="66" s="1"/>
  <c r="DB6" i="66" s="1"/>
  <c r="DC6" i="66" s="1"/>
  <c r="DD6" i="66" s="1"/>
  <c r="DE6" i="66" s="1"/>
  <c r="DF6" i="66" s="1"/>
  <c r="DG6" i="66" s="1"/>
  <c r="DH6" i="66" s="1"/>
  <c r="DI6" i="66" s="1"/>
  <c r="DJ6" i="66" s="1"/>
  <c r="DK6" i="66" s="1"/>
  <c r="DL6" i="66" s="1"/>
  <c r="DM6" i="66" s="1"/>
  <c r="DN6" i="66" s="1"/>
  <c r="DO6" i="66" s="1"/>
  <c r="DP6" i="66" s="1"/>
  <c r="DQ6" i="66" s="1"/>
  <c r="DR6" i="66" s="1"/>
  <c r="DS6" i="66" s="1"/>
  <c r="DT6" i="66" s="1"/>
  <c r="D183" i="8"/>
  <c r="C183" i="8"/>
  <c r="D182" i="8"/>
  <c r="C182" i="8"/>
  <c r="C10" i="47"/>
  <c r="C9" i="47"/>
  <c r="C7" i="47"/>
  <c r="J3" i="47"/>
  <c r="K14" i="47"/>
  <c r="K15" i="47" s="1"/>
  <c r="K16" i="47" s="1"/>
  <c r="K17" i="47" s="1"/>
  <c r="K18" i="47" s="1"/>
  <c r="K4" i="67"/>
  <c r="A80" i="66"/>
  <c r="AP4" i="69"/>
  <c r="AP5" i="69" s="1"/>
  <c r="AP6" i="69" s="1"/>
  <c r="AP7" i="69" s="1"/>
  <c r="AP8" i="69" s="1"/>
  <c r="AP9" i="69" s="1"/>
  <c r="AP10" i="69" s="1"/>
  <c r="AP11" i="69" s="1"/>
  <c r="AP12" i="69" s="1"/>
  <c r="AP13" i="69" s="1"/>
  <c r="AP14" i="69" s="1"/>
  <c r="AP15" i="69" s="1"/>
  <c r="K8" i="67" l="1"/>
  <c r="K9" i="67" s="1"/>
  <c r="K10" i="67" s="1"/>
  <c r="K11" i="67" s="1"/>
  <c r="K12" i="67" s="1"/>
  <c r="L12" i="67" s="1"/>
  <c r="K7" i="67"/>
  <c r="K5" i="67"/>
  <c r="K6" i="67" s="1"/>
  <c r="L6" i="67" s="1"/>
  <c r="L4" i="67"/>
  <c r="L7" i="67" l="1"/>
  <c r="L13" i="67" s="1"/>
  <c r="K13" i="67"/>
  <c r="L5" i="67"/>
  <c r="L8" i="67"/>
  <c r="L9" i="67" s="1"/>
  <c r="L10" i="67" s="1"/>
  <c r="L11" i="67" s="1"/>
  <c r="D178" i="8" l="1"/>
  <c r="B87" i="8"/>
  <c r="B131" i="8" s="1"/>
  <c r="E87" i="8"/>
  <c r="F87" i="8"/>
  <c r="N35" i="9" l="1"/>
  <c r="A2" i="47"/>
  <c r="L35" i="2" l="1"/>
  <c r="C153" i="9" l="1"/>
  <c r="C154" i="9" s="1"/>
  <c r="C155" i="9" s="1"/>
  <c r="C156" i="9" s="1"/>
  <c r="C157" i="9" s="1"/>
  <c r="C158" i="9" s="1"/>
  <c r="C159" i="9" s="1"/>
  <c r="C160" i="9" s="1"/>
  <c r="C161" i="9" s="1"/>
  <c r="O90" i="66"/>
  <c r="Z90" i="66" s="1"/>
  <c r="E90" i="66"/>
  <c r="P90" i="66" s="1"/>
  <c r="AA90" i="66" s="1"/>
  <c r="O47" i="66"/>
  <c r="Y47" i="66" s="1"/>
  <c r="AI47" i="66" s="1"/>
  <c r="AS47" i="66" s="1"/>
  <c r="P47" i="66"/>
  <c r="Z47" i="66" s="1"/>
  <c r="AJ47" i="66" s="1"/>
  <c r="AT47" i="66" s="1"/>
  <c r="Q47" i="66"/>
  <c r="AA47" i="66" s="1"/>
  <c r="AK47" i="66" s="1"/>
  <c r="AU47" i="66" s="1"/>
  <c r="R47" i="66"/>
  <c r="AB47" i="66" s="1"/>
  <c r="AL47" i="66" s="1"/>
  <c r="AV47" i="66" s="1"/>
  <c r="S47" i="66"/>
  <c r="AC47" i="66" s="1"/>
  <c r="AM47" i="66" s="1"/>
  <c r="AW47" i="66" s="1"/>
  <c r="T47" i="66"/>
  <c r="AD47" i="66" s="1"/>
  <c r="AN47" i="66" s="1"/>
  <c r="AX47" i="66" s="1"/>
  <c r="U47" i="66"/>
  <c r="AE47" i="66" s="1"/>
  <c r="AO47" i="66" s="1"/>
  <c r="AY47" i="66" s="1"/>
  <c r="V47" i="66"/>
  <c r="AF47" i="66" s="1"/>
  <c r="AP47" i="66" s="1"/>
  <c r="AZ47" i="66" s="1"/>
  <c r="N49" i="66"/>
  <c r="X49" i="66" s="1"/>
  <c r="AH49" i="66" s="1"/>
  <c r="AR49" i="66" s="1"/>
  <c r="N50" i="66"/>
  <c r="X50" i="66" s="1"/>
  <c r="AH50" i="66" s="1"/>
  <c r="AR50" i="66" s="1"/>
  <c r="N51" i="66"/>
  <c r="X51" i="66" s="1"/>
  <c r="AH51" i="66" s="1"/>
  <c r="AR51" i="66" s="1"/>
  <c r="N52" i="66"/>
  <c r="X52" i="66" s="1"/>
  <c r="AH52" i="66" s="1"/>
  <c r="AR52" i="66" s="1"/>
  <c r="N53" i="66"/>
  <c r="X53" i="66" s="1"/>
  <c r="AH53" i="66" s="1"/>
  <c r="AR53" i="66" s="1"/>
  <c r="N54" i="66"/>
  <c r="X54" i="66" s="1"/>
  <c r="AH54" i="66" s="1"/>
  <c r="AR54" i="66" s="1"/>
  <c r="N55" i="66"/>
  <c r="X55" i="66" s="1"/>
  <c r="AH55" i="66" s="1"/>
  <c r="AR55" i="66" s="1"/>
  <c r="N56" i="66"/>
  <c r="X56" i="66" s="1"/>
  <c r="AH56" i="66" s="1"/>
  <c r="AR56" i="66" s="1"/>
  <c r="N57" i="66"/>
  <c r="X57" i="66" s="1"/>
  <c r="AH57" i="66" s="1"/>
  <c r="AR57" i="66" s="1"/>
  <c r="N58" i="66"/>
  <c r="X58" i="66" s="1"/>
  <c r="AH58" i="66" s="1"/>
  <c r="AR58" i="66" s="1"/>
  <c r="N59" i="66"/>
  <c r="X59" i="66" s="1"/>
  <c r="AH59" i="66" s="1"/>
  <c r="AR59" i="66" s="1"/>
  <c r="N60" i="66"/>
  <c r="X60" i="66" s="1"/>
  <c r="AH60" i="66" s="1"/>
  <c r="AR60" i="66" s="1"/>
  <c r="N61" i="66"/>
  <c r="X61" i="66" s="1"/>
  <c r="AH61" i="66" s="1"/>
  <c r="AR61" i="66" s="1"/>
  <c r="N62" i="66"/>
  <c r="X62" i="66" s="1"/>
  <c r="AH62" i="66" s="1"/>
  <c r="AR62" i="66" s="1"/>
  <c r="N63" i="66"/>
  <c r="X63" i="66" s="1"/>
  <c r="AH63" i="66" s="1"/>
  <c r="AR63" i="66" s="1"/>
  <c r="F90" i="66" l="1"/>
  <c r="A68" i="7"/>
  <c r="I69" i="7" s="1"/>
  <c r="A4" i="87"/>
  <c r="A5" i="87"/>
  <c r="A6" i="87"/>
  <c r="A7" i="87"/>
  <c r="A8" i="87"/>
  <c r="A9" i="87"/>
  <c r="A10" i="87"/>
  <c r="A11" i="87"/>
  <c r="A12" i="87"/>
  <c r="A13" i="87"/>
  <c r="A14" i="87"/>
  <c r="A3" i="87"/>
  <c r="Q90" i="66" l="1"/>
  <c r="AB90" i="66" s="1"/>
  <c r="G90" i="66"/>
  <c r="B3" i="9"/>
  <c r="A27" i="66" s="1"/>
  <c r="E27" i="66" l="1"/>
  <c r="F27" i="66" s="1"/>
  <c r="G27" i="66" s="1"/>
  <c r="H27" i="66" s="1"/>
  <c r="I27" i="66" s="1"/>
  <c r="J27" i="66" s="1"/>
  <c r="K27" i="66" s="1"/>
  <c r="L27" i="66" s="1"/>
  <c r="M27" i="66" s="1"/>
  <c r="N27" i="66" s="1"/>
  <c r="O27" i="66" s="1"/>
  <c r="P27" i="66" s="1"/>
  <c r="Q27" i="66" s="1"/>
  <c r="R27" i="66" s="1"/>
  <c r="S27" i="66" s="1"/>
  <c r="T27" i="66" s="1"/>
  <c r="U27" i="66" s="1"/>
  <c r="V27" i="66" s="1"/>
  <c r="W27" i="66" s="1"/>
  <c r="X27" i="66" s="1"/>
  <c r="Y27" i="66" s="1"/>
  <c r="Z27" i="66" s="1"/>
  <c r="AA27" i="66" s="1"/>
  <c r="AB27" i="66" s="1"/>
  <c r="AC27" i="66" s="1"/>
  <c r="AD27" i="66" s="1"/>
  <c r="AE27" i="66" s="1"/>
  <c r="AF27" i="66" s="1"/>
  <c r="AG27" i="66" s="1"/>
  <c r="AH27" i="66" s="1"/>
  <c r="AI27" i="66" s="1"/>
  <c r="AJ27" i="66" s="1"/>
  <c r="AK27" i="66" s="1"/>
  <c r="AL27" i="66" s="1"/>
  <c r="AM27" i="66" s="1"/>
  <c r="AN27" i="66" s="1"/>
  <c r="AO27" i="66" s="1"/>
  <c r="AP27" i="66" s="1"/>
  <c r="AQ27" i="66" s="1"/>
  <c r="AR27" i="66" s="1"/>
  <c r="AS27" i="66" s="1"/>
  <c r="AT27" i="66" s="1"/>
  <c r="AU27" i="66" s="1"/>
  <c r="AV27" i="66" s="1"/>
  <c r="AW27" i="66" s="1"/>
  <c r="AX27" i="66" s="1"/>
  <c r="AY27" i="66" s="1"/>
  <c r="AZ27" i="66" s="1"/>
  <c r="BA27" i="66" s="1"/>
  <c r="BB27" i="66" s="1"/>
  <c r="BC27" i="66" s="1"/>
  <c r="BD27" i="66" s="1"/>
  <c r="BE27" i="66" s="1"/>
  <c r="BF27" i="66" s="1"/>
  <c r="BG27" i="66" s="1"/>
  <c r="BH27" i="66" s="1"/>
  <c r="BI27" i="66" s="1"/>
  <c r="BJ27" i="66" s="1"/>
  <c r="BK27" i="66" s="1"/>
  <c r="BL27" i="66" s="1"/>
  <c r="BM27" i="66" s="1"/>
  <c r="BN27" i="66" s="1"/>
  <c r="BO27" i="66" s="1"/>
  <c r="BP27" i="66" s="1"/>
  <c r="BQ27" i="66" s="1"/>
  <c r="BR27" i="66" s="1"/>
  <c r="BS27" i="66" s="1"/>
  <c r="BT27" i="66" s="1"/>
  <c r="BU27" i="66" s="1"/>
  <c r="BV27" i="66" s="1"/>
  <c r="BW27" i="66" s="1"/>
  <c r="BX27" i="66" s="1"/>
  <c r="BY27" i="66" s="1"/>
  <c r="BZ27" i="66" s="1"/>
  <c r="CA27" i="66" s="1"/>
  <c r="CB27" i="66" s="1"/>
  <c r="CC27" i="66" s="1"/>
  <c r="CD27" i="66" s="1"/>
  <c r="CE27" i="66" s="1"/>
  <c r="CF27" i="66" s="1"/>
  <c r="CG27" i="66" s="1"/>
  <c r="CH27" i="66" s="1"/>
  <c r="CI27" i="66" s="1"/>
  <c r="CJ27" i="66" s="1"/>
  <c r="CK27" i="66" s="1"/>
  <c r="CL27" i="66" s="1"/>
  <c r="CM27" i="66" s="1"/>
  <c r="CN27" i="66" s="1"/>
  <c r="CO27" i="66" s="1"/>
  <c r="CP27" i="66" s="1"/>
  <c r="CQ27" i="66" s="1"/>
  <c r="CR27" i="66" s="1"/>
  <c r="CS27" i="66" s="1"/>
  <c r="CT27" i="66" s="1"/>
  <c r="CU27" i="66" s="1"/>
  <c r="CV27" i="66" s="1"/>
  <c r="CW27" i="66" s="1"/>
  <c r="CX27" i="66" s="1"/>
  <c r="CY27" i="66" s="1"/>
  <c r="CZ27" i="66" s="1"/>
  <c r="DA27" i="66" s="1"/>
  <c r="DB27" i="66" s="1"/>
  <c r="DC27" i="66" s="1"/>
  <c r="DD27" i="66" s="1"/>
  <c r="DE27" i="66" s="1"/>
  <c r="DF27" i="66" s="1"/>
  <c r="DG27" i="66" s="1"/>
  <c r="DH27" i="66" s="1"/>
  <c r="DI27" i="66" s="1"/>
  <c r="DJ27" i="66" s="1"/>
  <c r="DK27" i="66" s="1"/>
  <c r="DL27" i="66" s="1"/>
  <c r="DM27" i="66" s="1"/>
  <c r="DN27" i="66" s="1"/>
  <c r="DO27" i="66" s="1"/>
  <c r="DP27" i="66" s="1"/>
  <c r="DQ27" i="66" s="1"/>
  <c r="DR27" i="66" s="1"/>
  <c r="DS27" i="66" s="1"/>
  <c r="DT27" i="66" s="1"/>
  <c r="D34" i="66"/>
  <c r="E34" i="66" s="1"/>
  <c r="F34" i="66" s="1"/>
  <c r="G34" i="66" s="1"/>
  <c r="H34" i="66" s="1"/>
  <c r="I34" i="66" s="1"/>
  <c r="J34" i="66" s="1"/>
  <c r="K34" i="66" s="1"/>
  <c r="L34" i="66" s="1"/>
  <c r="M34" i="66" s="1"/>
  <c r="N34" i="66" s="1"/>
  <c r="O34" i="66" s="1"/>
  <c r="P34" i="66" s="1"/>
  <c r="Q34" i="66" s="1"/>
  <c r="R34" i="66" s="1"/>
  <c r="S34" i="66" s="1"/>
  <c r="T34" i="66" s="1"/>
  <c r="U34" i="66" s="1"/>
  <c r="V34" i="66" s="1"/>
  <c r="W34" i="66" s="1"/>
  <c r="X34" i="66" s="1"/>
  <c r="Y34" i="66" s="1"/>
  <c r="Z34" i="66" s="1"/>
  <c r="AA34" i="66" s="1"/>
  <c r="AB34" i="66" s="1"/>
  <c r="AC34" i="66" s="1"/>
  <c r="AD34" i="66" s="1"/>
  <c r="AE34" i="66" s="1"/>
  <c r="AF34" i="66" s="1"/>
  <c r="AG34" i="66" s="1"/>
  <c r="AH34" i="66" s="1"/>
  <c r="AI34" i="66" s="1"/>
  <c r="AJ34" i="66" s="1"/>
  <c r="AK34" i="66" s="1"/>
  <c r="AL34" i="66" s="1"/>
  <c r="AM34" i="66" s="1"/>
  <c r="AN34" i="66" s="1"/>
  <c r="AO34" i="66" s="1"/>
  <c r="AP34" i="66" s="1"/>
  <c r="AQ34" i="66" s="1"/>
  <c r="AR34" i="66" s="1"/>
  <c r="AS34" i="66" s="1"/>
  <c r="AT34" i="66" s="1"/>
  <c r="AU34" i="66" s="1"/>
  <c r="AV34" i="66" s="1"/>
  <c r="AW34" i="66" s="1"/>
  <c r="AX34" i="66" s="1"/>
  <c r="AY34" i="66" s="1"/>
  <c r="AZ34" i="66" s="1"/>
  <c r="BA34" i="66" s="1"/>
  <c r="BB34" i="66" s="1"/>
  <c r="BC34" i="66" s="1"/>
  <c r="BD34" i="66" s="1"/>
  <c r="BE34" i="66" s="1"/>
  <c r="BF34" i="66" s="1"/>
  <c r="BG34" i="66" s="1"/>
  <c r="BH34" i="66" s="1"/>
  <c r="BI34" i="66" s="1"/>
  <c r="BJ34" i="66" s="1"/>
  <c r="BK34" i="66" s="1"/>
  <c r="BL34" i="66" s="1"/>
  <c r="BM34" i="66" s="1"/>
  <c r="BN34" i="66" s="1"/>
  <c r="BO34" i="66" s="1"/>
  <c r="BP34" i="66" s="1"/>
  <c r="BQ34" i="66" s="1"/>
  <c r="BR34" i="66" s="1"/>
  <c r="BS34" i="66" s="1"/>
  <c r="BT34" i="66" s="1"/>
  <c r="BU34" i="66" s="1"/>
  <c r="BV34" i="66" s="1"/>
  <c r="BW34" i="66" s="1"/>
  <c r="BX34" i="66" s="1"/>
  <c r="BY34" i="66" s="1"/>
  <c r="BZ34" i="66" s="1"/>
  <c r="CA34" i="66" s="1"/>
  <c r="CB34" i="66" s="1"/>
  <c r="CC34" i="66" s="1"/>
  <c r="CD34" i="66" s="1"/>
  <c r="CE34" i="66" s="1"/>
  <c r="CF34" i="66" s="1"/>
  <c r="CG34" i="66" s="1"/>
  <c r="CH34" i="66" s="1"/>
  <c r="CI34" i="66" s="1"/>
  <c r="CJ34" i="66" s="1"/>
  <c r="CK34" i="66" s="1"/>
  <c r="CL34" i="66" s="1"/>
  <c r="CM34" i="66" s="1"/>
  <c r="CN34" i="66" s="1"/>
  <c r="CO34" i="66" s="1"/>
  <c r="CP34" i="66" s="1"/>
  <c r="CQ34" i="66" s="1"/>
  <c r="CR34" i="66" s="1"/>
  <c r="CS34" i="66" s="1"/>
  <c r="CT34" i="66" s="1"/>
  <c r="CU34" i="66" s="1"/>
  <c r="CV34" i="66" s="1"/>
  <c r="CW34" i="66" s="1"/>
  <c r="CX34" i="66" s="1"/>
  <c r="CY34" i="66" s="1"/>
  <c r="CZ34" i="66" s="1"/>
  <c r="DA34" i="66" s="1"/>
  <c r="DB34" i="66" s="1"/>
  <c r="DC34" i="66" s="1"/>
  <c r="DD34" i="66" s="1"/>
  <c r="DE34" i="66" s="1"/>
  <c r="DF34" i="66" s="1"/>
  <c r="DG34" i="66" s="1"/>
  <c r="DH34" i="66" s="1"/>
  <c r="DI34" i="66" s="1"/>
  <c r="DJ34" i="66" s="1"/>
  <c r="DK34" i="66" s="1"/>
  <c r="DL34" i="66" s="1"/>
  <c r="DM34" i="66" s="1"/>
  <c r="DN34" i="66" s="1"/>
  <c r="DO34" i="66" s="1"/>
  <c r="DP34" i="66" s="1"/>
  <c r="DQ34" i="66" s="1"/>
  <c r="DR34" i="66" s="1"/>
  <c r="DS34" i="66" s="1"/>
  <c r="DT34" i="66" s="1"/>
  <c r="D35" i="66"/>
  <c r="E35" i="66" s="1"/>
  <c r="F35" i="66" s="1"/>
  <c r="G35" i="66" s="1"/>
  <c r="H35" i="66" s="1"/>
  <c r="I35" i="66" s="1"/>
  <c r="J35" i="66" s="1"/>
  <c r="K35" i="66" s="1"/>
  <c r="L35" i="66" s="1"/>
  <c r="M35" i="66" s="1"/>
  <c r="N35" i="66" s="1"/>
  <c r="O35" i="66" s="1"/>
  <c r="P35" i="66" s="1"/>
  <c r="Q35" i="66" s="1"/>
  <c r="R35" i="66" s="1"/>
  <c r="S35" i="66" s="1"/>
  <c r="T35" i="66" s="1"/>
  <c r="U35" i="66" s="1"/>
  <c r="V35" i="66" s="1"/>
  <c r="W35" i="66" s="1"/>
  <c r="X35" i="66" s="1"/>
  <c r="Y35" i="66" s="1"/>
  <c r="Z35" i="66" s="1"/>
  <c r="AA35" i="66" s="1"/>
  <c r="AB35" i="66" s="1"/>
  <c r="AC35" i="66" s="1"/>
  <c r="AD35" i="66" s="1"/>
  <c r="AE35" i="66" s="1"/>
  <c r="AF35" i="66" s="1"/>
  <c r="AG35" i="66" s="1"/>
  <c r="AH35" i="66" s="1"/>
  <c r="AI35" i="66" s="1"/>
  <c r="AJ35" i="66" s="1"/>
  <c r="AK35" i="66" s="1"/>
  <c r="AL35" i="66" s="1"/>
  <c r="AM35" i="66" s="1"/>
  <c r="AN35" i="66" s="1"/>
  <c r="AO35" i="66" s="1"/>
  <c r="AP35" i="66" s="1"/>
  <c r="AQ35" i="66" s="1"/>
  <c r="AR35" i="66" s="1"/>
  <c r="AS35" i="66" s="1"/>
  <c r="AT35" i="66" s="1"/>
  <c r="AU35" i="66" s="1"/>
  <c r="AV35" i="66" s="1"/>
  <c r="AW35" i="66" s="1"/>
  <c r="AX35" i="66" s="1"/>
  <c r="AY35" i="66" s="1"/>
  <c r="AZ35" i="66" s="1"/>
  <c r="BA35" i="66" s="1"/>
  <c r="BB35" i="66" s="1"/>
  <c r="BC35" i="66" s="1"/>
  <c r="BD35" i="66" s="1"/>
  <c r="BE35" i="66" s="1"/>
  <c r="BF35" i="66" s="1"/>
  <c r="BG35" i="66" s="1"/>
  <c r="BH35" i="66" s="1"/>
  <c r="BI35" i="66" s="1"/>
  <c r="BJ35" i="66" s="1"/>
  <c r="BK35" i="66" s="1"/>
  <c r="BL35" i="66" s="1"/>
  <c r="BM35" i="66" s="1"/>
  <c r="BN35" i="66" s="1"/>
  <c r="BO35" i="66" s="1"/>
  <c r="BP35" i="66" s="1"/>
  <c r="BQ35" i="66" s="1"/>
  <c r="BR35" i="66" s="1"/>
  <c r="BS35" i="66" s="1"/>
  <c r="BT35" i="66" s="1"/>
  <c r="BU35" i="66" s="1"/>
  <c r="BV35" i="66" s="1"/>
  <c r="BW35" i="66" s="1"/>
  <c r="BX35" i="66" s="1"/>
  <c r="BY35" i="66" s="1"/>
  <c r="BZ35" i="66" s="1"/>
  <c r="CA35" i="66" s="1"/>
  <c r="CB35" i="66" s="1"/>
  <c r="CC35" i="66" s="1"/>
  <c r="CD35" i="66" s="1"/>
  <c r="CE35" i="66" s="1"/>
  <c r="CF35" i="66" s="1"/>
  <c r="CG35" i="66" s="1"/>
  <c r="CH35" i="66" s="1"/>
  <c r="CI35" i="66" s="1"/>
  <c r="CJ35" i="66" s="1"/>
  <c r="CK35" i="66" s="1"/>
  <c r="CL35" i="66" s="1"/>
  <c r="CM35" i="66" s="1"/>
  <c r="CN35" i="66" s="1"/>
  <c r="CO35" i="66" s="1"/>
  <c r="CP35" i="66" s="1"/>
  <c r="CQ35" i="66" s="1"/>
  <c r="CR35" i="66" s="1"/>
  <c r="CS35" i="66" s="1"/>
  <c r="CT35" i="66" s="1"/>
  <c r="CU35" i="66" s="1"/>
  <c r="CV35" i="66" s="1"/>
  <c r="CW35" i="66" s="1"/>
  <c r="CX35" i="66" s="1"/>
  <c r="CY35" i="66" s="1"/>
  <c r="CZ35" i="66" s="1"/>
  <c r="DA35" i="66" s="1"/>
  <c r="DB35" i="66" s="1"/>
  <c r="DC35" i="66" s="1"/>
  <c r="DD35" i="66" s="1"/>
  <c r="DE35" i="66" s="1"/>
  <c r="DF35" i="66" s="1"/>
  <c r="DG35" i="66" s="1"/>
  <c r="DH35" i="66" s="1"/>
  <c r="DI35" i="66" s="1"/>
  <c r="DJ35" i="66" s="1"/>
  <c r="DK35" i="66" s="1"/>
  <c r="DL35" i="66" s="1"/>
  <c r="DM35" i="66" s="1"/>
  <c r="DN35" i="66" s="1"/>
  <c r="DO35" i="66" s="1"/>
  <c r="DP35" i="66" s="1"/>
  <c r="DQ35" i="66" s="1"/>
  <c r="DR35" i="66" s="1"/>
  <c r="DS35" i="66" s="1"/>
  <c r="DT35" i="66" s="1"/>
  <c r="H90" i="66"/>
  <c r="R90" i="66"/>
  <c r="AC90" i="66" s="1"/>
  <c r="I90" i="66" l="1"/>
  <c r="S90" i="66"/>
  <c r="AD90" i="66" s="1"/>
  <c r="J90" i="66" l="1"/>
  <c r="T90" i="66"/>
  <c r="AE90" i="66" s="1"/>
  <c r="AS125" i="9"/>
  <c r="AT125" i="9" s="1"/>
  <c r="AU125" i="9" s="1"/>
  <c r="AV125" i="9" s="1"/>
  <c r="AW125" i="9" s="1"/>
  <c r="AX125" i="9" s="1"/>
  <c r="AY125" i="9" s="1"/>
  <c r="AZ125" i="9" s="1"/>
  <c r="BA125" i="9" s="1"/>
  <c r="BB125" i="9" s="1"/>
  <c r="BC125" i="9" s="1"/>
  <c r="BE125" i="9"/>
  <c r="BF125" i="9" s="1"/>
  <c r="BG125" i="9" s="1"/>
  <c r="BH125" i="9" s="1"/>
  <c r="BI125" i="9" s="1"/>
  <c r="BJ125" i="9" s="1"/>
  <c r="BK125" i="9" s="1"/>
  <c r="BL125" i="9" s="1"/>
  <c r="BM125" i="9" s="1"/>
  <c r="BN125" i="9" s="1"/>
  <c r="BO125" i="9" s="1"/>
  <c r="BP125" i="9" s="1"/>
  <c r="BQ125" i="9" s="1"/>
  <c r="BR125" i="9" s="1"/>
  <c r="BS125" i="9" s="1"/>
  <c r="BT125" i="9" s="1"/>
  <c r="BU125" i="9" s="1"/>
  <c r="BV125" i="9" s="1"/>
  <c r="BW125" i="9" s="1"/>
  <c r="BX125" i="9" s="1"/>
  <c r="BY125" i="9" s="1"/>
  <c r="BZ125" i="9" s="1"/>
  <c r="CA125" i="9" s="1"/>
  <c r="CB125" i="9" s="1"/>
  <c r="CC125" i="9" s="1"/>
  <c r="CD125" i="9" s="1"/>
  <c r="CE125" i="9" s="1"/>
  <c r="CF125" i="9" s="1"/>
  <c r="CG125" i="9" s="1"/>
  <c r="CH125" i="9" s="1"/>
  <c r="CI125" i="9" s="1"/>
  <c r="CJ125" i="9" s="1"/>
  <c r="CK125" i="9" s="1"/>
  <c r="CL125" i="9" s="1"/>
  <c r="CM125" i="9" s="1"/>
  <c r="CN125" i="9" s="1"/>
  <c r="CO125" i="9" s="1"/>
  <c r="CP125" i="9" s="1"/>
  <c r="CQ125" i="9" s="1"/>
  <c r="CR125" i="9" s="1"/>
  <c r="CS125" i="9" s="1"/>
  <c r="CT125" i="9" s="1"/>
  <c r="CU125" i="9" s="1"/>
  <c r="CV125" i="9" s="1"/>
  <c r="CW125" i="9" s="1"/>
  <c r="CX125" i="9" s="1"/>
  <c r="CY125" i="9" s="1"/>
  <c r="CZ125" i="9" s="1"/>
  <c r="DA125" i="9" s="1"/>
  <c r="DB125" i="9" s="1"/>
  <c r="DC125" i="9" s="1"/>
  <c r="DD125" i="9" s="1"/>
  <c r="DE125" i="9" s="1"/>
  <c r="DF125" i="9" s="1"/>
  <c r="DG125" i="9" s="1"/>
  <c r="DH125" i="9" s="1"/>
  <c r="DI125" i="9" s="1"/>
  <c r="DJ125" i="9" s="1"/>
  <c r="DK125" i="9" s="1"/>
  <c r="DL125" i="9" s="1"/>
  <c r="DM125" i="9" s="1"/>
  <c r="DN125" i="9" s="1"/>
  <c r="DO125" i="9" s="1"/>
  <c r="DP125" i="9" s="1"/>
  <c r="DQ125" i="9" s="1"/>
  <c r="DR125" i="9" s="1"/>
  <c r="DS125" i="9" s="1"/>
  <c r="DT125" i="9" s="1"/>
  <c r="DU125" i="9" s="1"/>
  <c r="DV125" i="9" s="1"/>
  <c r="DW125" i="9" s="1"/>
  <c r="K90" i="66" l="1"/>
  <c r="U90" i="66"/>
  <c r="AF90" i="66" s="1"/>
  <c r="B6" i="7"/>
  <c r="V90" i="66" l="1"/>
  <c r="AG90" i="66" s="1"/>
  <c r="L90" i="66"/>
  <c r="M90" i="66" l="1"/>
  <c r="X90" i="66" s="1"/>
  <c r="AI90" i="66" s="1"/>
  <c r="W90" i="66"/>
  <c r="AH90" i="66" s="1"/>
  <c r="J12" i="85" l="1"/>
  <c r="P12" i="85"/>
  <c r="J11" i="85"/>
  <c r="P11" i="85"/>
  <c r="J10" i="85"/>
  <c r="P10" i="85"/>
  <c r="J9" i="85"/>
  <c r="P9" i="85"/>
  <c r="J8" i="85"/>
  <c r="P8" i="85"/>
  <c r="J7" i="85"/>
  <c r="P7" i="85"/>
  <c r="J6" i="85"/>
  <c r="P6" i="85"/>
  <c r="J5" i="85"/>
  <c r="P5" i="85"/>
  <c r="J4" i="85"/>
  <c r="P4" i="85"/>
  <c r="J3" i="85"/>
  <c r="P3" i="85"/>
  <c r="B148" i="66" l="1"/>
  <c r="E136" i="66"/>
  <c r="E141" i="66" s="1"/>
  <c r="B149" i="66" s="1"/>
  <c r="F136" i="66"/>
  <c r="F141" i="66" s="1"/>
  <c r="B156" i="66" s="1"/>
  <c r="G136" i="66"/>
  <c r="G141" i="66" s="1"/>
  <c r="B161" i="66" s="1"/>
  <c r="H136" i="66"/>
  <c r="H141" i="66" s="1"/>
  <c r="B158" i="66" s="1"/>
  <c r="I136" i="66"/>
  <c r="I141" i="66" s="1"/>
  <c r="B160" i="66" s="1"/>
  <c r="J136" i="66"/>
  <c r="J141" i="66" s="1"/>
  <c r="B159" i="66" s="1"/>
  <c r="K136" i="66"/>
  <c r="K141" i="66" s="1"/>
  <c r="B152" i="66" s="1"/>
  <c r="L136" i="66"/>
  <c r="L141" i="66" s="1"/>
  <c r="B154" i="66" s="1"/>
  <c r="D136" i="66"/>
  <c r="D141" i="66" s="1"/>
  <c r="B155" i="66" s="1"/>
  <c r="D125" i="66" a="1"/>
  <c r="E125" i="66" s="1"/>
  <c r="D48" i="66" a="1"/>
  <c r="E48" i="66" s="1"/>
  <c r="O48" i="66" s="1"/>
  <c r="Y48" i="66" s="1"/>
  <c r="AI48" i="66" s="1"/>
  <c r="AS48" i="66" s="1"/>
  <c r="C24" i="66"/>
  <c r="C35" i="66" s="1"/>
  <c r="C46" i="66" s="1"/>
  <c r="C23" i="66"/>
  <c r="C34" i="66" s="1"/>
  <c r="C45" i="66" s="1"/>
  <c r="C22" i="66"/>
  <c r="C33" i="66" s="1"/>
  <c r="C44" i="66" s="1"/>
  <c r="C21" i="66"/>
  <c r="C32" i="66" s="1"/>
  <c r="C43" i="66" s="1"/>
  <c r="C20" i="66"/>
  <c r="C31" i="66" s="1"/>
  <c r="C42" i="66" s="1"/>
  <c r="C19" i="66"/>
  <c r="C30" i="66" s="1"/>
  <c r="C41" i="66" s="1"/>
  <c r="C18" i="66"/>
  <c r="C29" i="66" s="1"/>
  <c r="C40" i="66" s="1"/>
  <c r="C17" i="66"/>
  <c r="C28" i="66" s="1"/>
  <c r="C39" i="66" s="1"/>
  <c r="C16" i="66"/>
  <c r="C27" i="66" s="1"/>
  <c r="C38" i="66" s="1"/>
  <c r="H161" i="9"/>
  <c r="L161" i="9" s="1"/>
  <c r="H160" i="9"/>
  <c r="L160" i="9" s="1"/>
  <c r="H159" i="9"/>
  <c r="L159" i="9" s="1"/>
  <c r="H158" i="9"/>
  <c r="L158" i="9" s="1"/>
  <c r="H157" i="9"/>
  <c r="L157" i="9" s="1"/>
  <c r="H156" i="9"/>
  <c r="L156" i="9" s="1"/>
  <c r="H155" i="9"/>
  <c r="L155" i="9" s="1"/>
  <c r="H154" i="9"/>
  <c r="L154" i="9" s="1"/>
  <c r="H153" i="9"/>
  <c r="L153" i="9" s="1"/>
  <c r="H152" i="9"/>
  <c r="L152" i="9" s="1"/>
  <c r="J151" i="9"/>
  <c r="H151" i="9"/>
  <c r="L151" i="9" s="1"/>
  <c r="F151" i="9"/>
  <c r="E152" i="9" l="1"/>
  <c r="E153" i="9"/>
  <c r="E154" i="9"/>
  <c r="E155" i="9"/>
  <c r="E156" i="9"/>
  <c r="E157" i="9"/>
  <c r="E158" i="9"/>
  <c r="E159" i="9"/>
  <c r="E160" i="9"/>
  <c r="E161" i="9"/>
  <c r="I152" i="9"/>
  <c r="I153" i="9"/>
  <c r="I154" i="9"/>
  <c r="K48" i="66"/>
  <c r="U48" i="66" s="1"/>
  <c r="AE48" i="66" s="1"/>
  <c r="AO48" i="66" s="1"/>
  <c r="AY48" i="66" s="1"/>
  <c r="J125" i="66"/>
  <c r="F125" i="66"/>
  <c r="L48" i="66"/>
  <c r="V48" i="66" s="1"/>
  <c r="AF48" i="66" s="1"/>
  <c r="AP48" i="66" s="1"/>
  <c r="AZ48" i="66" s="1"/>
  <c r="D125" i="66"/>
  <c r="D48" i="66"/>
  <c r="N48" i="66" s="1"/>
  <c r="X48" i="66" s="1"/>
  <c r="AH48" i="66" s="1"/>
  <c r="AR48" i="66" s="1"/>
  <c r="L125" i="66"/>
  <c r="K125" i="66"/>
  <c r="I125" i="66"/>
  <c r="H125" i="66"/>
  <c r="G125" i="66"/>
  <c r="J48" i="66"/>
  <c r="T48" i="66" s="1"/>
  <c r="AD48" i="66" s="1"/>
  <c r="AN48" i="66" s="1"/>
  <c r="AX48" i="66" s="1"/>
  <c r="I48" i="66"/>
  <c r="S48" i="66" s="1"/>
  <c r="AC48" i="66" s="1"/>
  <c r="AM48" i="66" s="1"/>
  <c r="AW48" i="66" s="1"/>
  <c r="H48" i="66"/>
  <c r="R48" i="66" s="1"/>
  <c r="AB48" i="66" s="1"/>
  <c r="AL48" i="66" s="1"/>
  <c r="AV48" i="66" s="1"/>
  <c r="G48" i="66"/>
  <c r="Q48" i="66" s="1"/>
  <c r="AA48" i="66" s="1"/>
  <c r="AK48" i="66" s="1"/>
  <c r="AU48" i="66" s="1"/>
  <c r="F48" i="66"/>
  <c r="P48" i="66" s="1"/>
  <c r="Z48" i="66" s="1"/>
  <c r="AJ48" i="66" s="1"/>
  <c r="AT48" i="66" s="1"/>
  <c r="I155" i="9" l="1"/>
  <c r="I156" i="9" l="1"/>
  <c r="G117" i="9"/>
  <c r="H117" i="9" s="1"/>
  <c r="I117" i="9" s="1"/>
  <c r="J117" i="9" s="1"/>
  <c r="K117" i="9" s="1"/>
  <c r="L117" i="9" s="1"/>
  <c r="M117" i="9" s="1"/>
  <c r="N117" i="9" s="1"/>
  <c r="O117" i="9" s="1"/>
  <c r="P117" i="9" s="1"/>
  <c r="Q117" i="9" s="1"/>
  <c r="R117" i="9" s="1"/>
  <c r="S117" i="9" s="1"/>
  <c r="T117" i="9" s="1"/>
  <c r="U117" i="9" s="1"/>
  <c r="V117" i="9" s="1"/>
  <c r="W117" i="9" s="1"/>
  <c r="X117" i="9" s="1"/>
  <c r="Y117" i="9" s="1"/>
  <c r="Z117" i="9" s="1"/>
  <c r="AA117" i="9" s="1"/>
  <c r="AB117" i="9" s="1"/>
  <c r="AC117" i="9" s="1"/>
  <c r="AD117" i="9" s="1"/>
  <c r="AE117" i="9" s="1"/>
  <c r="AF117" i="9" s="1"/>
  <c r="AG117" i="9" s="1"/>
  <c r="AH117" i="9" s="1"/>
  <c r="AI117" i="9" s="1"/>
  <c r="AJ117" i="9" s="1"/>
  <c r="AK117" i="9" s="1"/>
  <c r="AL117" i="9" s="1"/>
  <c r="AM117" i="9" s="1"/>
  <c r="AN117" i="9" s="1"/>
  <c r="AO117" i="9" s="1"/>
  <c r="AP117" i="9" s="1"/>
  <c r="AQ117" i="9" s="1"/>
  <c r="AR117" i="9" s="1"/>
  <c r="AS117" i="9" s="1"/>
  <c r="AT117" i="9" s="1"/>
  <c r="AU117" i="9" s="1"/>
  <c r="AV117" i="9" s="1"/>
  <c r="AW117" i="9" s="1"/>
  <c r="AX117" i="9" s="1"/>
  <c r="AY117" i="9" s="1"/>
  <c r="AZ117" i="9" s="1"/>
  <c r="BA117" i="9" s="1"/>
  <c r="BB117" i="9" s="1"/>
  <c r="BC117" i="9" s="1"/>
  <c r="BD117" i="9" s="1"/>
  <c r="BE117" i="9" s="1"/>
  <c r="BF117" i="9" s="1"/>
  <c r="BG117" i="9" s="1"/>
  <c r="BH117" i="9" s="1"/>
  <c r="BI117" i="9" s="1"/>
  <c r="BJ117" i="9" s="1"/>
  <c r="BK117" i="9" s="1"/>
  <c r="BL117" i="9" s="1"/>
  <c r="BM117" i="9" s="1"/>
  <c r="BN117" i="9" s="1"/>
  <c r="BO117" i="9" s="1"/>
  <c r="BP117" i="9" s="1"/>
  <c r="BQ117" i="9" s="1"/>
  <c r="BR117" i="9" s="1"/>
  <c r="BS117" i="9" s="1"/>
  <c r="BT117" i="9" s="1"/>
  <c r="BU117" i="9" s="1"/>
  <c r="BV117" i="9" s="1"/>
  <c r="BW117" i="9" s="1"/>
  <c r="BX117" i="9" s="1"/>
  <c r="BY117" i="9" s="1"/>
  <c r="BZ117" i="9" s="1"/>
  <c r="CA117" i="9" s="1"/>
  <c r="CB117" i="9" s="1"/>
  <c r="CC117" i="9" s="1"/>
  <c r="CD117" i="9" s="1"/>
  <c r="CE117" i="9" s="1"/>
  <c r="CF117" i="9" s="1"/>
  <c r="CG117" i="9" s="1"/>
  <c r="CH117" i="9" s="1"/>
  <c r="CI117" i="9" s="1"/>
  <c r="CJ117" i="9" s="1"/>
  <c r="CK117" i="9" s="1"/>
  <c r="CL117" i="9" s="1"/>
  <c r="CM117" i="9" s="1"/>
  <c r="CN117" i="9" s="1"/>
  <c r="CO117" i="9" s="1"/>
  <c r="CP117" i="9" s="1"/>
  <c r="CQ117" i="9" s="1"/>
  <c r="CR117" i="9" s="1"/>
  <c r="CS117" i="9" s="1"/>
  <c r="CT117" i="9" s="1"/>
  <c r="CU117" i="9" s="1"/>
  <c r="CV117" i="9" s="1"/>
  <c r="CW117" i="9" s="1"/>
  <c r="CX117" i="9" s="1"/>
  <c r="CY117" i="9" s="1"/>
  <c r="CZ117" i="9" s="1"/>
  <c r="DA117" i="9" s="1"/>
  <c r="DB117" i="9" s="1"/>
  <c r="DC117" i="9" s="1"/>
  <c r="DD117" i="9" s="1"/>
  <c r="DE117" i="9" s="1"/>
  <c r="DF117" i="9" s="1"/>
  <c r="DG117" i="9" s="1"/>
  <c r="DH117" i="9" s="1"/>
  <c r="DI117" i="9" s="1"/>
  <c r="DJ117" i="9" s="1"/>
  <c r="DK117" i="9" s="1"/>
  <c r="DL117" i="9" s="1"/>
  <c r="DM117" i="9" s="1"/>
  <c r="DN117" i="9" s="1"/>
  <c r="DO117" i="9" s="1"/>
  <c r="DP117" i="9" s="1"/>
  <c r="DQ117" i="9" s="1"/>
  <c r="DR117" i="9" s="1"/>
  <c r="DS117" i="9" s="1"/>
  <c r="DT117" i="9" s="1"/>
  <c r="DU117" i="9" s="1"/>
  <c r="DV117" i="9" s="1"/>
  <c r="DW117" i="9" s="1"/>
  <c r="AP9" i="47"/>
  <c r="AP8" i="47"/>
  <c r="AP7" i="47"/>
  <c r="I157" i="9" l="1"/>
  <c r="AO9" i="47"/>
  <c r="AO8" i="47"/>
  <c r="AB5" i="47"/>
  <c r="AA7" i="47"/>
  <c r="AC6" i="47"/>
  <c r="AC7" i="47" s="1"/>
  <c r="B2" i="2"/>
  <c r="I158" i="9" l="1"/>
  <c r="D2" i="66"/>
  <c r="C2" i="66"/>
  <c r="I159" i="9" l="1"/>
  <c r="C1" i="8"/>
  <c r="E1" i="8" s="1"/>
  <c r="I160" i="9" l="1"/>
  <c r="T75" i="66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B50" i="66"/>
  <c r="B51" i="66" s="1"/>
  <c r="B52" i="66" s="1"/>
  <c r="B53" i="66" s="1"/>
  <c r="B54" i="66" s="1"/>
  <c r="B55" i="66" s="1"/>
  <c r="B56" i="66" s="1"/>
  <c r="B57" i="66" s="1"/>
  <c r="B58" i="66" s="1"/>
  <c r="B59" i="66" s="1"/>
  <c r="B60" i="66" s="1"/>
  <c r="B61" i="66" s="1"/>
  <c r="B62" i="66" s="1"/>
  <c r="B63" i="66" s="1"/>
  <c r="O62" i="66" l="1"/>
  <c r="Y62" i="66" s="1"/>
  <c r="AI62" i="66" s="1"/>
  <c r="AS62" i="66" s="1"/>
  <c r="O53" i="66"/>
  <c r="Y53" i="66" s="1"/>
  <c r="AI53" i="66" s="1"/>
  <c r="AS53" i="66" s="1"/>
  <c r="O57" i="66"/>
  <c r="Y57" i="66" s="1"/>
  <c r="AI57" i="66" s="1"/>
  <c r="AS57" i="66" s="1"/>
  <c r="O61" i="66"/>
  <c r="Y61" i="66" s="1"/>
  <c r="AI61" i="66" s="1"/>
  <c r="AS61" i="66" s="1"/>
  <c r="O50" i="66"/>
  <c r="Y50" i="66" s="1"/>
  <c r="AI50" i="66" s="1"/>
  <c r="AS50" i="66" s="1"/>
  <c r="O54" i="66"/>
  <c r="Y54" i="66" s="1"/>
  <c r="AI54" i="66" s="1"/>
  <c r="AS54" i="66" s="1"/>
  <c r="O56" i="66"/>
  <c r="Y56" i="66" s="1"/>
  <c r="AI56" i="66" s="1"/>
  <c r="AS56" i="66" s="1"/>
  <c r="O58" i="66"/>
  <c r="Y58" i="66" s="1"/>
  <c r="AI58" i="66" s="1"/>
  <c r="AS58" i="66" s="1"/>
  <c r="O59" i="66"/>
  <c r="Y59" i="66" s="1"/>
  <c r="AI59" i="66" s="1"/>
  <c r="AS59" i="66" s="1"/>
  <c r="O60" i="66"/>
  <c r="Y60" i="66" s="1"/>
  <c r="AI60" i="66" s="1"/>
  <c r="AS60" i="66" s="1"/>
  <c r="O51" i="66"/>
  <c r="Y51" i="66" s="1"/>
  <c r="AI51" i="66" s="1"/>
  <c r="AS51" i="66" s="1"/>
  <c r="O63" i="66"/>
  <c r="Y63" i="66" s="1"/>
  <c r="AI63" i="66" s="1"/>
  <c r="AS63" i="66" s="1"/>
  <c r="O52" i="66"/>
  <c r="Y52" i="66" s="1"/>
  <c r="AI52" i="66" s="1"/>
  <c r="AS52" i="66" s="1"/>
  <c r="O55" i="66"/>
  <c r="Y55" i="66" s="1"/>
  <c r="AI55" i="66" s="1"/>
  <c r="AS55" i="66" s="1"/>
  <c r="I161" i="9"/>
  <c r="B34" i="66"/>
  <c r="B38" i="66"/>
  <c r="B23" i="66"/>
  <c r="B9" i="66"/>
  <c r="B24" i="66"/>
  <c r="B40" i="66"/>
  <c r="B8" i="66"/>
  <c r="B27" i="66"/>
  <c r="B41" i="66"/>
  <c r="B7" i="66"/>
  <c r="B28" i="66"/>
  <c r="B42" i="66"/>
  <c r="B6" i="66"/>
  <c r="B29" i="66"/>
  <c r="B43" i="66"/>
  <c r="B16" i="66"/>
  <c r="B30" i="66"/>
  <c r="B44" i="66"/>
  <c r="B21" i="66"/>
  <c r="B11" i="66"/>
  <c r="B39" i="66"/>
  <c r="B17" i="66"/>
  <c r="B31" i="66"/>
  <c r="B45" i="66"/>
  <c r="B35" i="66"/>
  <c r="B10" i="66"/>
  <c r="B18" i="66"/>
  <c r="B32" i="66"/>
  <c r="B46" i="66"/>
  <c r="B12" i="66"/>
  <c r="B22" i="66"/>
  <c r="B5" i="66"/>
  <c r="B19" i="66"/>
  <c r="B33" i="66"/>
  <c r="B13" i="66"/>
  <c r="B20" i="66"/>
  <c r="P60" i="66" l="1"/>
  <c r="Z60" i="66" s="1"/>
  <c r="AJ60" i="66" s="1"/>
  <c r="AT60" i="66" s="1"/>
  <c r="P54" i="66"/>
  <c r="Z54" i="66" s="1"/>
  <c r="AJ54" i="66" s="1"/>
  <c r="AT54" i="66" s="1"/>
  <c r="P51" i="66"/>
  <c r="Z51" i="66" s="1"/>
  <c r="AJ51" i="66" s="1"/>
  <c r="AT51" i="66" s="1"/>
  <c r="P61" i="66"/>
  <c r="Z61" i="66" s="1"/>
  <c r="AJ61" i="66" s="1"/>
  <c r="AT61" i="66" s="1"/>
  <c r="P55" i="66"/>
  <c r="Z55" i="66" s="1"/>
  <c r="AJ55" i="66" s="1"/>
  <c r="AT55" i="66" s="1"/>
  <c r="P58" i="66"/>
  <c r="Z58" i="66" s="1"/>
  <c r="AJ58" i="66" s="1"/>
  <c r="AT58" i="66" s="1"/>
  <c r="P53" i="66"/>
  <c r="Z53" i="66" s="1"/>
  <c r="AJ53" i="66" s="1"/>
  <c r="AT53" i="66" s="1"/>
  <c r="P63" i="66"/>
  <c r="Z63" i="66" s="1"/>
  <c r="AJ63" i="66" s="1"/>
  <c r="AT63" i="66" s="1"/>
  <c r="P59" i="66"/>
  <c r="Z59" i="66" s="1"/>
  <c r="AJ59" i="66" s="1"/>
  <c r="AT59" i="66" s="1"/>
  <c r="P50" i="66"/>
  <c r="Z50" i="66" s="1"/>
  <c r="AJ50" i="66" s="1"/>
  <c r="AT50" i="66" s="1"/>
  <c r="P57" i="66"/>
  <c r="Z57" i="66" s="1"/>
  <c r="AJ57" i="66" s="1"/>
  <c r="AT57" i="66" s="1"/>
  <c r="P52" i="66"/>
  <c r="Z52" i="66" s="1"/>
  <c r="AJ52" i="66" s="1"/>
  <c r="AT52" i="66" s="1"/>
  <c r="P56" i="66"/>
  <c r="Z56" i="66" s="1"/>
  <c r="AJ56" i="66" s="1"/>
  <c r="AT56" i="66" s="1"/>
  <c r="P62" i="66"/>
  <c r="Z62" i="66" s="1"/>
  <c r="AJ62" i="66" s="1"/>
  <c r="AT62" i="66" s="1"/>
  <c r="M152" i="9"/>
  <c r="E4" i="9"/>
  <c r="F4" i="9"/>
  <c r="C104" i="9" l="1"/>
  <c r="AR8" i="47" s="1"/>
  <c r="G15" i="9"/>
  <c r="G14" i="9"/>
  <c r="H14" i="9" s="1"/>
  <c r="I14" i="9" s="1"/>
  <c r="J14" i="9" s="1"/>
  <c r="K14" i="9" s="1"/>
  <c r="L14" i="9" s="1"/>
  <c r="M14" i="9" s="1"/>
  <c r="N14" i="9" s="1"/>
  <c r="O14" i="9" s="1"/>
  <c r="P14" i="9" s="1"/>
  <c r="Q14" i="9" s="1"/>
  <c r="R14" i="9" s="1"/>
  <c r="S14" i="9" s="1"/>
  <c r="T14" i="9" s="1"/>
  <c r="U14" i="9" s="1"/>
  <c r="V14" i="9" s="1"/>
  <c r="W14" i="9" s="1"/>
  <c r="X14" i="9" s="1"/>
  <c r="Y14" i="9" s="1"/>
  <c r="Z14" i="9" s="1"/>
  <c r="AA14" i="9" s="1"/>
  <c r="AB14" i="9" s="1"/>
  <c r="AC14" i="9" s="1"/>
  <c r="AD14" i="9" s="1"/>
  <c r="AE14" i="9" s="1"/>
  <c r="AF14" i="9" s="1"/>
  <c r="AG14" i="9" s="1"/>
  <c r="AH14" i="9" s="1"/>
  <c r="AI14" i="9" s="1"/>
  <c r="AJ14" i="9" s="1"/>
  <c r="AK14" i="9" s="1"/>
  <c r="AL14" i="9" s="1"/>
  <c r="AM14" i="9" s="1"/>
  <c r="AN14" i="9" s="1"/>
  <c r="AO14" i="9" s="1"/>
  <c r="AP14" i="9" s="1"/>
  <c r="AQ14" i="9" s="1"/>
  <c r="AR14" i="9" s="1"/>
  <c r="AS14" i="9" s="1"/>
  <c r="AT14" i="9" s="1"/>
  <c r="AU14" i="9" s="1"/>
  <c r="AV14" i="9" s="1"/>
  <c r="AW14" i="9" s="1"/>
  <c r="AX14" i="9" s="1"/>
  <c r="AY14" i="9" s="1"/>
  <c r="AZ14" i="9" s="1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S14" i="9" s="1"/>
  <c r="BT14" i="9" s="1"/>
  <c r="BU14" i="9" s="1"/>
  <c r="BV14" i="9" s="1"/>
  <c r="BW14" i="9" s="1"/>
  <c r="BX14" i="9" s="1"/>
  <c r="BY14" i="9" s="1"/>
  <c r="BZ14" i="9" s="1"/>
  <c r="CA14" i="9" s="1"/>
  <c r="CB14" i="9" s="1"/>
  <c r="CC14" i="9" s="1"/>
  <c r="CD14" i="9" s="1"/>
  <c r="CE14" i="9" s="1"/>
  <c r="CF14" i="9" s="1"/>
  <c r="CG14" i="9" s="1"/>
  <c r="CH14" i="9" s="1"/>
  <c r="CI14" i="9" s="1"/>
  <c r="CJ14" i="9" s="1"/>
  <c r="CK14" i="9" s="1"/>
  <c r="CL14" i="9" s="1"/>
  <c r="CM14" i="9" s="1"/>
  <c r="CN14" i="9" s="1"/>
  <c r="CO14" i="9" s="1"/>
  <c r="CP14" i="9" s="1"/>
  <c r="CQ14" i="9" s="1"/>
  <c r="CR14" i="9" s="1"/>
  <c r="CS14" i="9" s="1"/>
  <c r="CT14" i="9" s="1"/>
  <c r="CU14" i="9" s="1"/>
  <c r="CV14" i="9" s="1"/>
  <c r="CW14" i="9" s="1"/>
  <c r="CX14" i="9" s="1"/>
  <c r="CY14" i="9" s="1"/>
  <c r="CZ14" i="9" s="1"/>
  <c r="DA14" i="9" s="1"/>
  <c r="DB14" i="9" s="1"/>
  <c r="DC14" i="9" s="1"/>
  <c r="DD14" i="9" s="1"/>
  <c r="DE14" i="9" s="1"/>
  <c r="DF14" i="9" s="1"/>
  <c r="DG14" i="9" s="1"/>
  <c r="DH14" i="9" s="1"/>
  <c r="DI14" i="9" s="1"/>
  <c r="DJ14" i="9" s="1"/>
  <c r="DK14" i="9" s="1"/>
  <c r="DL14" i="9" s="1"/>
  <c r="DM14" i="9" s="1"/>
  <c r="DN14" i="9" s="1"/>
  <c r="DO14" i="9" s="1"/>
  <c r="DP14" i="9" s="1"/>
  <c r="DQ14" i="9" s="1"/>
  <c r="DR14" i="9" s="1"/>
  <c r="DS14" i="9" s="1"/>
  <c r="DT14" i="9" s="1"/>
  <c r="DU14" i="9" s="1"/>
  <c r="DV14" i="9" s="1"/>
  <c r="DW14" i="9" s="1"/>
  <c r="DX14" i="9" s="1"/>
  <c r="DY14" i="9" s="1"/>
  <c r="DZ14" i="9" s="1"/>
  <c r="EA14" i="9" s="1"/>
  <c r="EB14" i="9" s="1"/>
  <c r="G165" i="9"/>
  <c r="H165" i="9" s="1"/>
  <c r="I165" i="9" s="1"/>
  <c r="J165" i="9" s="1"/>
  <c r="K165" i="9" s="1"/>
  <c r="L165" i="9" s="1"/>
  <c r="M165" i="9" s="1"/>
  <c r="N165" i="9" s="1"/>
  <c r="O165" i="9" s="1"/>
  <c r="P165" i="9" s="1"/>
  <c r="Q165" i="9" s="1"/>
  <c r="R165" i="9" s="1"/>
  <c r="S165" i="9" s="1"/>
  <c r="T165" i="9" s="1"/>
  <c r="U165" i="9" s="1"/>
  <c r="V165" i="9" s="1"/>
  <c r="W165" i="9" s="1"/>
  <c r="X165" i="9" s="1"/>
  <c r="Y165" i="9" s="1"/>
  <c r="Z165" i="9" s="1"/>
  <c r="AA165" i="9" s="1"/>
  <c r="AB165" i="9" s="1"/>
  <c r="AC165" i="9" s="1"/>
  <c r="AD165" i="9" s="1"/>
  <c r="AE165" i="9" s="1"/>
  <c r="AF165" i="9" s="1"/>
  <c r="AG165" i="9" s="1"/>
  <c r="AH165" i="9" s="1"/>
  <c r="AI165" i="9" s="1"/>
  <c r="AJ165" i="9" s="1"/>
  <c r="AK165" i="9" s="1"/>
  <c r="AL165" i="9" s="1"/>
  <c r="AM165" i="9" s="1"/>
  <c r="AN165" i="9" s="1"/>
  <c r="AO165" i="9" s="1"/>
  <c r="AP165" i="9" s="1"/>
  <c r="AQ165" i="9" s="1"/>
  <c r="AR165" i="9" s="1"/>
  <c r="AS165" i="9" s="1"/>
  <c r="AT165" i="9" s="1"/>
  <c r="AU165" i="9" s="1"/>
  <c r="AV165" i="9" s="1"/>
  <c r="AW165" i="9" s="1"/>
  <c r="AX165" i="9" s="1"/>
  <c r="AY165" i="9" s="1"/>
  <c r="AZ165" i="9" s="1"/>
  <c r="BA165" i="9" s="1"/>
  <c r="BB165" i="9" s="1"/>
  <c r="BC165" i="9" s="1"/>
  <c r="BD165" i="9" s="1"/>
  <c r="BE165" i="9" s="1"/>
  <c r="BF165" i="9" s="1"/>
  <c r="BG165" i="9" s="1"/>
  <c r="BH165" i="9" s="1"/>
  <c r="BI165" i="9" s="1"/>
  <c r="BJ165" i="9" s="1"/>
  <c r="BK165" i="9" s="1"/>
  <c r="BL165" i="9" s="1"/>
  <c r="BM165" i="9" s="1"/>
  <c r="BN165" i="9" s="1"/>
  <c r="BO165" i="9" s="1"/>
  <c r="BP165" i="9" s="1"/>
  <c r="BQ165" i="9" s="1"/>
  <c r="BR165" i="9" s="1"/>
  <c r="BS165" i="9" s="1"/>
  <c r="BT165" i="9" s="1"/>
  <c r="BU165" i="9" s="1"/>
  <c r="BV165" i="9" s="1"/>
  <c r="BW165" i="9" s="1"/>
  <c r="BX165" i="9" s="1"/>
  <c r="BY165" i="9" s="1"/>
  <c r="BZ165" i="9" s="1"/>
  <c r="CA165" i="9" s="1"/>
  <c r="CB165" i="9" s="1"/>
  <c r="CC165" i="9" s="1"/>
  <c r="CD165" i="9" s="1"/>
  <c r="CE165" i="9" s="1"/>
  <c r="CF165" i="9" s="1"/>
  <c r="CG165" i="9" s="1"/>
  <c r="CH165" i="9" s="1"/>
  <c r="CI165" i="9" s="1"/>
  <c r="CJ165" i="9" s="1"/>
  <c r="CK165" i="9" s="1"/>
  <c r="CL165" i="9" s="1"/>
  <c r="CM165" i="9" s="1"/>
  <c r="CN165" i="9" s="1"/>
  <c r="CO165" i="9" s="1"/>
  <c r="CP165" i="9" s="1"/>
  <c r="CQ165" i="9" s="1"/>
  <c r="CR165" i="9" s="1"/>
  <c r="CS165" i="9" s="1"/>
  <c r="CT165" i="9" s="1"/>
  <c r="CU165" i="9" s="1"/>
  <c r="CV165" i="9" s="1"/>
  <c r="CW165" i="9" s="1"/>
  <c r="CX165" i="9" s="1"/>
  <c r="CY165" i="9" s="1"/>
  <c r="CZ165" i="9" s="1"/>
  <c r="DA165" i="9" s="1"/>
  <c r="DB165" i="9" s="1"/>
  <c r="DC165" i="9" s="1"/>
  <c r="DD165" i="9" s="1"/>
  <c r="DE165" i="9" s="1"/>
  <c r="DF165" i="9" s="1"/>
  <c r="DG165" i="9" s="1"/>
  <c r="DH165" i="9" s="1"/>
  <c r="DI165" i="9" s="1"/>
  <c r="DJ165" i="9" s="1"/>
  <c r="DK165" i="9" s="1"/>
  <c r="DL165" i="9" s="1"/>
  <c r="DM165" i="9" s="1"/>
  <c r="DN165" i="9" s="1"/>
  <c r="DO165" i="9" s="1"/>
  <c r="DP165" i="9" s="1"/>
  <c r="DQ165" i="9" s="1"/>
  <c r="DR165" i="9" s="1"/>
  <c r="DS165" i="9" s="1"/>
  <c r="DT165" i="9" s="1"/>
  <c r="DU165" i="9" s="1"/>
  <c r="DV165" i="9" s="1"/>
  <c r="DW165" i="9" s="1"/>
  <c r="DX165" i="9" s="1"/>
  <c r="DY165" i="9" s="1"/>
  <c r="DZ165" i="9" s="1"/>
  <c r="EA165" i="9" s="1"/>
  <c r="EB165" i="9" s="1"/>
  <c r="EC165" i="9" s="1"/>
  <c r="ED165" i="9" s="1"/>
  <c r="C107" i="9"/>
  <c r="AR9" i="47" s="1"/>
  <c r="C103" i="9"/>
  <c r="AR7" i="47" s="1"/>
  <c r="C119" i="9"/>
  <c r="C105" i="9" s="1"/>
  <c r="B119" i="9"/>
  <c r="A119" i="9"/>
  <c r="C123" i="9"/>
  <c r="G123" i="9" s="1"/>
  <c r="H123" i="9" s="1"/>
  <c r="I123" i="9" s="1"/>
  <c r="J123" i="9" s="1"/>
  <c r="K123" i="9" s="1"/>
  <c r="L123" i="9" s="1"/>
  <c r="M123" i="9" s="1"/>
  <c r="N123" i="9" s="1"/>
  <c r="O123" i="9" s="1"/>
  <c r="P123" i="9" s="1"/>
  <c r="Q123" i="9" s="1"/>
  <c r="R123" i="9" s="1"/>
  <c r="S123" i="9" s="1"/>
  <c r="T123" i="9" s="1"/>
  <c r="U123" i="9" s="1"/>
  <c r="V123" i="9" s="1"/>
  <c r="W123" i="9" s="1"/>
  <c r="X123" i="9" s="1"/>
  <c r="Y123" i="9" s="1"/>
  <c r="Z123" i="9" s="1"/>
  <c r="AA123" i="9" s="1"/>
  <c r="AB123" i="9" s="1"/>
  <c r="AC123" i="9" s="1"/>
  <c r="AD123" i="9" s="1"/>
  <c r="AE123" i="9" s="1"/>
  <c r="AF123" i="9" s="1"/>
  <c r="AG123" i="9" s="1"/>
  <c r="AH123" i="9" s="1"/>
  <c r="AI123" i="9" s="1"/>
  <c r="AJ123" i="9" s="1"/>
  <c r="AK123" i="9" s="1"/>
  <c r="AL123" i="9" s="1"/>
  <c r="AM123" i="9" s="1"/>
  <c r="AN123" i="9" s="1"/>
  <c r="AO123" i="9" s="1"/>
  <c r="AP123" i="9" s="1"/>
  <c r="AQ123" i="9" s="1"/>
  <c r="AR123" i="9" s="1"/>
  <c r="AS123" i="9" s="1"/>
  <c r="AT123" i="9" s="1"/>
  <c r="AU123" i="9" s="1"/>
  <c r="AV123" i="9" s="1"/>
  <c r="AW123" i="9" s="1"/>
  <c r="AX123" i="9" s="1"/>
  <c r="AY123" i="9" s="1"/>
  <c r="AZ123" i="9" s="1"/>
  <c r="BA123" i="9" s="1"/>
  <c r="BB123" i="9" s="1"/>
  <c r="BC123" i="9" s="1"/>
  <c r="BD123" i="9" s="1"/>
  <c r="BE123" i="9" s="1"/>
  <c r="BF123" i="9" s="1"/>
  <c r="BG123" i="9" s="1"/>
  <c r="BH123" i="9" s="1"/>
  <c r="BI123" i="9" s="1"/>
  <c r="BJ123" i="9" s="1"/>
  <c r="BK123" i="9" s="1"/>
  <c r="BL123" i="9" s="1"/>
  <c r="BM123" i="9" s="1"/>
  <c r="BN123" i="9" s="1"/>
  <c r="BO123" i="9" s="1"/>
  <c r="BP123" i="9" s="1"/>
  <c r="BQ123" i="9" s="1"/>
  <c r="BR123" i="9" s="1"/>
  <c r="BS123" i="9" s="1"/>
  <c r="BT123" i="9" s="1"/>
  <c r="BU123" i="9" s="1"/>
  <c r="BV123" i="9" s="1"/>
  <c r="BW123" i="9" s="1"/>
  <c r="BX123" i="9" s="1"/>
  <c r="BY123" i="9" s="1"/>
  <c r="BZ123" i="9" s="1"/>
  <c r="CA123" i="9" s="1"/>
  <c r="CB123" i="9" s="1"/>
  <c r="CC123" i="9" s="1"/>
  <c r="CD123" i="9" s="1"/>
  <c r="CE123" i="9" s="1"/>
  <c r="CF123" i="9" s="1"/>
  <c r="CG123" i="9" s="1"/>
  <c r="CH123" i="9" s="1"/>
  <c r="CI123" i="9" s="1"/>
  <c r="CJ123" i="9" s="1"/>
  <c r="CK123" i="9" s="1"/>
  <c r="CL123" i="9" s="1"/>
  <c r="CM123" i="9" s="1"/>
  <c r="CN123" i="9" s="1"/>
  <c r="CO123" i="9" s="1"/>
  <c r="CP123" i="9" s="1"/>
  <c r="CQ123" i="9" s="1"/>
  <c r="CR123" i="9" s="1"/>
  <c r="CS123" i="9" s="1"/>
  <c r="CT123" i="9" s="1"/>
  <c r="CU123" i="9" s="1"/>
  <c r="CV123" i="9" s="1"/>
  <c r="CW123" i="9" s="1"/>
  <c r="CX123" i="9" s="1"/>
  <c r="CY123" i="9" s="1"/>
  <c r="CZ123" i="9" s="1"/>
  <c r="DA123" i="9" s="1"/>
  <c r="DB123" i="9" s="1"/>
  <c r="DC123" i="9" s="1"/>
  <c r="DD123" i="9" s="1"/>
  <c r="DE123" i="9" s="1"/>
  <c r="DF123" i="9" s="1"/>
  <c r="DG123" i="9" s="1"/>
  <c r="DH123" i="9" s="1"/>
  <c r="DI123" i="9" s="1"/>
  <c r="DJ123" i="9" s="1"/>
  <c r="DK123" i="9" s="1"/>
  <c r="DL123" i="9" s="1"/>
  <c r="DM123" i="9" s="1"/>
  <c r="DN123" i="9" s="1"/>
  <c r="DO123" i="9" s="1"/>
  <c r="DP123" i="9" s="1"/>
  <c r="DQ123" i="9" s="1"/>
  <c r="DR123" i="9" s="1"/>
  <c r="DS123" i="9" s="1"/>
  <c r="DT123" i="9" s="1"/>
  <c r="DU123" i="9" s="1"/>
  <c r="DV123" i="9" s="1"/>
  <c r="DW123" i="9" s="1"/>
  <c r="C124" i="9"/>
  <c r="G124" i="9" s="1"/>
  <c r="H124" i="9" s="1"/>
  <c r="I124" i="9" s="1"/>
  <c r="J124" i="9" s="1"/>
  <c r="K124" i="9" s="1"/>
  <c r="L124" i="9" s="1"/>
  <c r="M124" i="9" s="1"/>
  <c r="N124" i="9" s="1"/>
  <c r="O124" i="9" s="1"/>
  <c r="P124" i="9" s="1"/>
  <c r="Q124" i="9" s="1"/>
  <c r="R124" i="9" s="1"/>
  <c r="S124" i="9" s="1"/>
  <c r="T124" i="9" s="1"/>
  <c r="U124" i="9" s="1"/>
  <c r="V124" i="9" s="1"/>
  <c r="W124" i="9" s="1"/>
  <c r="X124" i="9" s="1"/>
  <c r="Y124" i="9" s="1"/>
  <c r="Z124" i="9" s="1"/>
  <c r="AA124" i="9" s="1"/>
  <c r="AB124" i="9" s="1"/>
  <c r="AC124" i="9" s="1"/>
  <c r="AD124" i="9" s="1"/>
  <c r="AE124" i="9" s="1"/>
  <c r="AF124" i="9" s="1"/>
  <c r="AG124" i="9" s="1"/>
  <c r="AH124" i="9" s="1"/>
  <c r="AI124" i="9" s="1"/>
  <c r="AJ124" i="9" s="1"/>
  <c r="AK124" i="9" s="1"/>
  <c r="AL124" i="9" s="1"/>
  <c r="AM124" i="9" s="1"/>
  <c r="AN124" i="9" s="1"/>
  <c r="AO124" i="9" s="1"/>
  <c r="AP124" i="9" s="1"/>
  <c r="AQ124" i="9" s="1"/>
  <c r="AR124" i="9" s="1"/>
  <c r="AS124" i="9" s="1"/>
  <c r="AT124" i="9" s="1"/>
  <c r="AU124" i="9" s="1"/>
  <c r="AV124" i="9" s="1"/>
  <c r="AW124" i="9" s="1"/>
  <c r="AX124" i="9" s="1"/>
  <c r="AY124" i="9" s="1"/>
  <c r="AZ124" i="9" s="1"/>
  <c r="BA124" i="9" s="1"/>
  <c r="BB124" i="9" s="1"/>
  <c r="BC124" i="9" s="1"/>
  <c r="BD124" i="9" s="1"/>
  <c r="BE124" i="9" s="1"/>
  <c r="BF124" i="9" s="1"/>
  <c r="BG124" i="9" s="1"/>
  <c r="BH124" i="9" s="1"/>
  <c r="BI124" i="9" s="1"/>
  <c r="BJ124" i="9" s="1"/>
  <c r="BK124" i="9" s="1"/>
  <c r="BL124" i="9" s="1"/>
  <c r="BM124" i="9" s="1"/>
  <c r="BN124" i="9" s="1"/>
  <c r="BO124" i="9" s="1"/>
  <c r="BP124" i="9" s="1"/>
  <c r="BQ124" i="9" s="1"/>
  <c r="BR124" i="9" s="1"/>
  <c r="BS124" i="9" s="1"/>
  <c r="BT124" i="9" s="1"/>
  <c r="BU124" i="9" s="1"/>
  <c r="BV124" i="9" s="1"/>
  <c r="BW124" i="9" s="1"/>
  <c r="BX124" i="9" s="1"/>
  <c r="BY124" i="9" s="1"/>
  <c r="BZ124" i="9" s="1"/>
  <c r="CA124" i="9" s="1"/>
  <c r="CB124" i="9" s="1"/>
  <c r="CC124" i="9" s="1"/>
  <c r="CD124" i="9" s="1"/>
  <c r="CE124" i="9" s="1"/>
  <c r="CF124" i="9" s="1"/>
  <c r="CG124" i="9" s="1"/>
  <c r="CH124" i="9" s="1"/>
  <c r="CI124" i="9" s="1"/>
  <c r="CJ124" i="9" s="1"/>
  <c r="CK124" i="9" s="1"/>
  <c r="CL124" i="9" s="1"/>
  <c r="CM124" i="9" s="1"/>
  <c r="CN124" i="9" s="1"/>
  <c r="CO124" i="9" s="1"/>
  <c r="CP124" i="9" s="1"/>
  <c r="CQ124" i="9" s="1"/>
  <c r="CR124" i="9" s="1"/>
  <c r="CS124" i="9" s="1"/>
  <c r="CT124" i="9" s="1"/>
  <c r="CU124" i="9" s="1"/>
  <c r="CV124" i="9" s="1"/>
  <c r="CW124" i="9" s="1"/>
  <c r="CX124" i="9" s="1"/>
  <c r="CY124" i="9" s="1"/>
  <c r="CZ124" i="9" s="1"/>
  <c r="DA124" i="9" s="1"/>
  <c r="DB124" i="9" s="1"/>
  <c r="DC124" i="9" s="1"/>
  <c r="DD124" i="9" s="1"/>
  <c r="DE124" i="9" s="1"/>
  <c r="DF124" i="9" s="1"/>
  <c r="DG124" i="9" s="1"/>
  <c r="DH124" i="9" s="1"/>
  <c r="DI124" i="9" s="1"/>
  <c r="DJ124" i="9" s="1"/>
  <c r="DK124" i="9" s="1"/>
  <c r="DL124" i="9" s="1"/>
  <c r="DM124" i="9" s="1"/>
  <c r="DN124" i="9" s="1"/>
  <c r="DO124" i="9" s="1"/>
  <c r="DP124" i="9" s="1"/>
  <c r="DQ124" i="9" s="1"/>
  <c r="DR124" i="9" s="1"/>
  <c r="DS124" i="9" s="1"/>
  <c r="DT124" i="9" s="1"/>
  <c r="DU124" i="9" s="1"/>
  <c r="DV124" i="9" s="1"/>
  <c r="DW124" i="9" s="1"/>
  <c r="Q55" i="66"/>
  <c r="AA55" i="66" s="1"/>
  <c r="AK55" i="66" s="1"/>
  <c r="AU55" i="66" s="1"/>
  <c r="Q50" i="66"/>
  <c r="AA50" i="66" s="1"/>
  <c r="AK50" i="66" s="1"/>
  <c r="AU50" i="66" s="1"/>
  <c r="Q61" i="66"/>
  <c r="AA61" i="66" s="1"/>
  <c r="AK61" i="66" s="1"/>
  <c r="AU61" i="66" s="1"/>
  <c r="Q52" i="66"/>
  <c r="AA52" i="66" s="1"/>
  <c r="AK52" i="66" s="1"/>
  <c r="AU52" i="66" s="1"/>
  <c r="Q57" i="66"/>
  <c r="AA57" i="66" s="1"/>
  <c r="AK57" i="66" s="1"/>
  <c r="AU57" i="66" s="1"/>
  <c r="Q51" i="66"/>
  <c r="AA51" i="66" s="1"/>
  <c r="AK51" i="66" s="1"/>
  <c r="AU51" i="66" s="1"/>
  <c r="Q63" i="66"/>
  <c r="AA63" i="66" s="1"/>
  <c r="AK63" i="66" s="1"/>
  <c r="AU63" i="66" s="1"/>
  <c r="Q58" i="66"/>
  <c r="AA58" i="66" s="1"/>
  <c r="AK58" i="66" s="1"/>
  <c r="AU58" i="66" s="1"/>
  <c r="Q59" i="66"/>
  <c r="AA59" i="66" s="1"/>
  <c r="AK59" i="66" s="1"/>
  <c r="AU59" i="66" s="1"/>
  <c r="Q62" i="66"/>
  <c r="AA62" i="66" s="1"/>
  <c r="AK62" i="66" s="1"/>
  <c r="AU62" i="66" s="1"/>
  <c r="Q54" i="66"/>
  <c r="AA54" i="66" s="1"/>
  <c r="AK54" i="66" s="1"/>
  <c r="AU54" i="66" s="1"/>
  <c r="Q56" i="66"/>
  <c r="AA56" i="66" s="1"/>
  <c r="AK56" i="66" s="1"/>
  <c r="AU56" i="66" s="1"/>
  <c r="Q53" i="66"/>
  <c r="AA53" i="66" s="1"/>
  <c r="AK53" i="66" s="1"/>
  <c r="AU53" i="66" s="1"/>
  <c r="Q60" i="66"/>
  <c r="AA60" i="66" s="1"/>
  <c r="AK60" i="66" s="1"/>
  <c r="AU60" i="66" s="1"/>
  <c r="G27" i="9"/>
  <c r="G28" i="9"/>
  <c r="G29" i="9"/>
  <c r="G33" i="9"/>
  <c r="G34" i="9"/>
  <c r="G35" i="9"/>
  <c r="G36" i="9"/>
  <c r="G38" i="9"/>
  <c r="G37" i="9"/>
  <c r="G26" i="9"/>
  <c r="G30" i="9"/>
  <c r="G25" i="9"/>
  <c r="G31" i="9"/>
  <c r="G32" i="9"/>
  <c r="AR34" i="9"/>
  <c r="AF37" i="9"/>
  <c r="T27" i="9"/>
  <c r="N30" i="9"/>
  <c r="AR33" i="9"/>
  <c r="AF36" i="9"/>
  <c r="T26" i="9"/>
  <c r="N29" i="9"/>
  <c r="AR28" i="9"/>
  <c r="N25" i="9"/>
  <c r="AF30" i="9"/>
  <c r="AR38" i="9"/>
  <c r="T29" i="9"/>
  <c r="AF38" i="9"/>
  <c r="AR31" i="9"/>
  <c r="T38" i="9"/>
  <c r="T25" i="9"/>
  <c r="N28" i="9"/>
  <c r="T34" i="9"/>
  <c r="T33" i="9"/>
  <c r="AR25" i="9"/>
  <c r="AF27" i="9"/>
  <c r="T28" i="9"/>
  <c r="AR30" i="9"/>
  <c r="AF34" i="9"/>
  <c r="T37" i="9"/>
  <c r="N27" i="9"/>
  <c r="N38" i="9"/>
  <c r="N37" i="9"/>
  <c r="AR26" i="9"/>
  <c r="T31" i="9"/>
  <c r="T30" i="9"/>
  <c r="AR36" i="9"/>
  <c r="N33" i="9"/>
  <c r="N31" i="9"/>
  <c r="AR29" i="9"/>
  <c r="AF33" i="9"/>
  <c r="T36" i="9"/>
  <c r="N26" i="9"/>
  <c r="AF31" i="9"/>
  <c r="AR27" i="9"/>
  <c r="AF29" i="9"/>
  <c r="N36" i="9"/>
  <c r="AF28" i="9"/>
  <c r="AR37" i="9"/>
  <c r="N34" i="9"/>
  <c r="AF26" i="9"/>
  <c r="AF25" i="9"/>
  <c r="M153" i="9"/>
  <c r="AF125" i="9"/>
  <c r="AG125" i="9" s="1"/>
  <c r="AH125" i="9" s="1"/>
  <c r="AI125" i="9" s="1"/>
  <c r="AJ125" i="9" s="1"/>
  <c r="AK125" i="9" s="1"/>
  <c r="AL125" i="9" s="1"/>
  <c r="AM125" i="9" s="1"/>
  <c r="AN125" i="9" s="1"/>
  <c r="AO125" i="9" s="1"/>
  <c r="AP125" i="9" s="1"/>
  <c r="AQ125" i="9" s="1"/>
  <c r="G125" i="9"/>
  <c r="H125" i="9" s="1"/>
  <c r="I125" i="9" s="1"/>
  <c r="J125" i="9" s="1"/>
  <c r="K125" i="9" s="1"/>
  <c r="L125" i="9" s="1"/>
  <c r="M125" i="9" s="1"/>
  <c r="N125" i="9" s="1"/>
  <c r="O125" i="9" s="1"/>
  <c r="P125" i="9" s="1"/>
  <c r="Q125" i="9" s="1"/>
  <c r="R125" i="9" s="1"/>
  <c r="S125" i="9" s="1"/>
  <c r="T125" i="9"/>
  <c r="U125" i="9" s="1"/>
  <c r="V125" i="9" s="1"/>
  <c r="W125" i="9" s="1"/>
  <c r="X125" i="9" s="1"/>
  <c r="Y125" i="9" s="1"/>
  <c r="Z125" i="9" s="1"/>
  <c r="AA125" i="9" s="1"/>
  <c r="AB125" i="9" s="1"/>
  <c r="AC125" i="9" s="1"/>
  <c r="AD125" i="9" s="1"/>
  <c r="AE125" i="9" s="1"/>
  <c r="G16" i="9"/>
  <c r="B4" i="9"/>
  <c r="B15" i="66"/>
  <c r="B26" i="66" s="1"/>
  <c r="B37" i="66" s="1"/>
  <c r="B48" i="66" s="1"/>
  <c r="B65" i="66" s="1"/>
  <c r="B78" i="66" s="1"/>
  <c r="B90" i="66" s="1"/>
  <c r="B101" i="66" s="1"/>
  <c r="B114" i="66" s="1"/>
  <c r="B125" i="66" s="1"/>
  <c r="B130" i="66" s="1"/>
  <c r="B136" i="66" s="1"/>
  <c r="DV21" i="9" l="1"/>
  <c r="DW21" i="9" s="1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R21" i="9"/>
  <c r="AP21" i="9"/>
  <c r="AO21" i="9"/>
  <c r="AM21" i="9"/>
  <c r="AK21" i="9"/>
  <c r="BZ21" i="9"/>
  <c r="AS21" i="9"/>
  <c r="AQ21" i="9"/>
  <c r="AN21" i="9"/>
  <c r="AL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G13" i="9"/>
  <c r="R52" i="66"/>
  <c r="AB52" i="66" s="1"/>
  <c r="AL52" i="66" s="1"/>
  <c r="AV52" i="66" s="1"/>
  <c r="R51" i="66"/>
  <c r="AB51" i="66" s="1"/>
  <c r="AL51" i="66" s="1"/>
  <c r="AV51" i="66" s="1"/>
  <c r="R54" i="66"/>
  <c r="AB54" i="66" s="1"/>
  <c r="AL54" i="66" s="1"/>
  <c r="AV54" i="66" s="1"/>
  <c r="R60" i="66"/>
  <c r="AB60" i="66" s="1"/>
  <c r="AL60" i="66" s="1"/>
  <c r="AV60" i="66" s="1"/>
  <c r="R58" i="66"/>
  <c r="AB58" i="66" s="1"/>
  <c r="AL58" i="66" s="1"/>
  <c r="AV58" i="66" s="1"/>
  <c r="R50" i="66"/>
  <c r="AB50" i="66" s="1"/>
  <c r="AL50" i="66" s="1"/>
  <c r="AV50" i="66" s="1"/>
  <c r="R56" i="66"/>
  <c r="AB56" i="66" s="1"/>
  <c r="AL56" i="66" s="1"/>
  <c r="AV56" i="66" s="1"/>
  <c r="R57" i="66"/>
  <c r="AB57" i="66" s="1"/>
  <c r="AL57" i="66" s="1"/>
  <c r="AV57" i="66" s="1"/>
  <c r="R62" i="66"/>
  <c r="AB62" i="66" s="1"/>
  <c r="AL62" i="66" s="1"/>
  <c r="AV62" i="66" s="1"/>
  <c r="R61" i="66"/>
  <c r="AB61" i="66" s="1"/>
  <c r="AL61" i="66" s="1"/>
  <c r="AV61" i="66" s="1"/>
  <c r="R59" i="66"/>
  <c r="AB59" i="66" s="1"/>
  <c r="AL59" i="66" s="1"/>
  <c r="AV59" i="66" s="1"/>
  <c r="R53" i="66"/>
  <c r="AB53" i="66" s="1"/>
  <c r="AL53" i="66" s="1"/>
  <c r="AV53" i="66" s="1"/>
  <c r="R63" i="66"/>
  <c r="AB63" i="66" s="1"/>
  <c r="AL63" i="66" s="1"/>
  <c r="AV63" i="66" s="1"/>
  <c r="R55" i="66"/>
  <c r="AB55" i="66" s="1"/>
  <c r="AL55" i="66" s="1"/>
  <c r="AV55" i="66" s="1"/>
  <c r="M154" i="9"/>
  <c r="H10" i="9"/>
  <c r="H11" i="9"/>
  <c r="AR5" i="47"/>
  <c r="G19" i="9"/>
  <c r="G10" i="9"/>
  <c r="I71" i="7" s="1"/>
  <c r="G11" i="9"/>
  <c r="S53" i="66" l="1"/>
  <c r="AC53" i="66" s="1"/>
  <c r="AM53" i="66" s="1"/>
  <c r="AW53" i="66" s="1"/>
  <c r="S58" i="66"/>
  <c r="AC58" i="66" s="1"/>
  <c r="AM58" i="66" s="1"/>
  <c r="AW58" i="66" s="1"/>
  <c r="S60" i="66"/>
  <c r="AC60" i="66" s="1"/>
  <c r="AM60" i="66" s="1"/>
  <c r="AW60" i="66" s="1"/>
  <c r="S62" i="66"/>
  <c r="AC62" i="66" s="1"/>
  <c r="AM62" i="66" s="1"/>
  <c r="AW62" i="66" s="1"/>
  <c r="S55" i="66"/>
  <c r="AC55" i="66" s="1"/>
  <c r="AM55" i="66" s="1"/>
  <c r="AW55" i="66" s="1"/>
  <c r="S57" i="66"/>
  <c r="AC57" i="66" s="1"/>
  <c r="AM57" i="66" s="1"/>
  <c r="AW57" i="66" s="1"/>
  <c r="S51" i="66"/>
  <c r="AC51" i="66" s="1"/>
  <c r="AM51" i="66" s="1"/>
  <c r="AW51" i="66" s="1"/>
  <c r="S50" i="66"/>
  <c r="AC50" i="66" s="1"/>
  <c r="AM50" i="66" s="1"/>
  <c r="AW50" i="66" s="1"/>
  <c r="S59" i="66"/>
  <c r="AC59" i="66" s="1"/>
  <c r="AM59" i="66" s="1"/>
  <c r="AW59" i="66" s="1"/>
  <c r="S61" i="66"/>
  <c r="AC61" i="66" s="1"/>
  <c r="AM61" i="66" s="1"/>
  <c r="AW61" i="66" s="1"/>
  <c r="S54" i="66"/>
  <c r="AC54" i="66" s="1"/>
  <c r="AM54" i="66" s="1"/>
  <c r="AW54" i="66" s="1"/>
  <c r="S63" i="66"/>
  <c r="AC63" i="66" s="1"/>
  <c r="AM63" i="66" s="1"/>
  <c r="AW63" i="66" s="1"/>
  <c r="S56" i="66"/>
  <c r="AC56" i="66" s="1"/>
  <c r="AM56" i="66" s="1"/>
  <c r="AW56" i="66" s="1"/>
  <c r="S52" i="66"/>
  <c r="AC52" i="66" s="1"/>
  <c r="AM52" i="66" s="1"/>
  <c r="AW52" i="66" s="1"/>
  <c r="M155" i="9"/>
  <c r="T54" i="66" l="1"/>
  <c r="AD54" i="66" s="1"/>
  <c r="AN54" i="66" s="1"/>
  <c r="AX54" i="66" s="1"/>
  <c r="T55" i="66"/>
  <c r="AD55" i="66" s="1"/>
  <c r="AN55" i="66" s="1"/>
  <c r="AX55" i="66" s="1"/>
  <c r="T61" i="66"/>
  <c r="AD61" i="66" s="1"/>
  <c r="AN61" i="66" s="1"/>
  <c r="AX61" i="66" s="1"/>
  <c r="T59" i="66"/>
  <c r="AD59" i="66" s="1"/>
  <c r="AN59" i="66" s="1"/>
  <c r="AX59" i="66" s="1"/>
  <c r="T60" i="66"/>
  <c r="AD60" i="66" s="1"/>
  <c r="AN60" i="66" s="1"/>
  <c r="AX60" i="66" s="1"/>
  <c r="T52" i="66"/>
  <c r="AD52" i="66" s="1"/>
  <c r="AN52" i="66" s="1"/>
  <c r="AX52" i="66" s="1"/>
  <c r="T50" i="66"/>
  <c r="AD50" i="66" s="1"/>
  <c r="AN50" i="66" s="1"/>
  <c r="AX50" i="66" s="1"/>
  <c r="T58" i="66"/>
  <c r="AD58" i="66" s="1"/>
  <c r="AN58" i="66" s="1"/>
  <c r="AX58" i="66" s="1"/>
  <c r="T63" i="66"/>
  <c r="AD63" i="66" s="1"/>
  <c r="AN63" i="66" s="1"/>
  <c r="AX63" i="66" s="1"/>
  <c r="T57" i="66"/>
  <c r="AD57" i="66" s="1"/>
  <c r="AN57" i="66" s="1"/>
  <c r="AX57" i="66" s="1"/>
  <c r="T62" i="66"/>
  <c r="AD62" i="66" s="1"/>
  <c r="AN62" i="66" s="1"/>
  <c r="AX62" i="66" s="1"/>
  <c r="T56" i="66"/>
  <c r="AD56" i="66" s="1"/>
  <c r="AN56" i="66" s="1"/>
  <c r="AX56" i="66" s="1"/>
  <c r="T51" i="66"/>
  <c r="AD51" i="66" s="1"/>
  <c r="AN51" i="66" s="1"/>
  <c r="AX51" i="66" s="1"/>
  <c r="T53" i="66"/>
  <c r="AD53" i="66" s="1"/>
  <c r="AN53" i="66" s="1"/>
  <c r="AX53" i="66" s="1"/>
  <c r="M156" i="9"/>
  <c r="V56" i="66" l="1"/>
  <c r="AF56" i="66" s="1"/>
  <c r="AP56" i="66" s="1"/>
  <c r="AZ56" i="66" s="1"/>
  <c r="U56" i="66"/>
  <c r="AE56" i="66" s="1"/>
  <c r="AO56" i="66" s="1"/>
  <c r="AY56" i="66" s="1"/>
  <c r="V52" i="66"/>
  <c r="AF52" i="66" s="1"/>
  <c r="AP52" i="66" s="1"/>
  <c r="AZ52" i="66" s="1"/>
  <c r="U52" i="66"/>
  <c r="AE52" i="66" s="1"/>
  <c r="AO52" i="66" s="1"/>
  <c r="AY52" i="66" s="1"/>
  <c r="V62" i="66"/>
  <c r="AF62" i="66" s="1"/>
  <c r="AP62" i="66" s="1"/>
  <c r="AZ62" i="66" s="1"/>
  <c r="U62" i="66"/>
  <c r="AE62" i="66" s="1"/>
  <c r="AO62" i="66" s="1"/>
  <c r="AY62" i="66" s="1"/>
  <c r="V60" i="66"/>
  <c r="AF60" i="66" s="1"/>
  <c r="AP60" i="66" s="1"/>
  <c r="AZ60" i="66" s="1"/>
  <c r="U60" i="66"/>
  <c r="AE60" i="66" s="1"/>
  <c r="AO60" i="66" s="1"/>
  <c r="AY60" i="66" s="1"/>
  <c r="V57" i="66"/>
  <c r="AF57" i="66" s="1"/>
  <c r="AP57" i="66" s="1"/>
  <c r="AZ57" i="66" s="1"/>
  <c r="U57" i="66"/>
  <c r="AE57" i="66" s="1"/>
  <c r="AO57" i="66" s="1"/>
  <c r="AY57" i="66" s="1"/>
  <c r="V59" i="66"/>
  <c r="AF59" i="66" s="1"/>
  <c r="AP59" i="66" s="1"/>
  <c r="AZ59" i="66" s="1"/>
  <c r="U59" i="66"/>
  <c r="AE59" i="66" s="1"/>
  <c r="AO59" i="66" s="1"/>
  <c r="AY59" i="66" s="1"/>
  <c r="V63" i="66"/>
  <c r="AF63" i="66" s="1"/>
  <c r="AP63" i="66" s="1"/>
  <c r="AZ63" i="66" s="1"/>
  <c r="U63" i="66"/>
  <c r="AE63" i="66" s="1"/>
  <c r="AO63" i="66" s="1"/>
  <c r="AY63" i="66" s="1"/>
  <c r="V61" i="66"/>
  <c r="AF61" i="66" s="1"/>
  <c r="AP61" i="66" s="1"/>
  <c r="AZ61" i="66" s="1"/>
  <c r="U61" i="66"/>
  <c r="AE61" i="66" s="1"/>
  <c r="AO61" i="66" s="1"/>
  <c r="AY61" i="66" s="1"/>
  <c r="V53" i="66"/>
  <c r="AF53" i="66" s="1"/>
  <c r="AP53" i="66" s="1"/>
  <c r="AZ53" i="66" s="1"/>
  <c r="U53" i="66"/>
  <c r="AE53" i="66" s="1"/>
  <c r="AO53" i="66" s="1"/>
  <c r="AY53" i="66" s="1"/>
  <c r="V58" i="66"/>
  <c r="AF58" i="66" s="1"/>
  <c r="AP58" i="66" s="1"/>
  <c r="AZ58" i="66" s="1"/>
  <c r="U58" i="66"/>
  <c r="AE58" i="66" s="1"/>
  <c r="AO58" i="66" s="1"/>
  <c r="AY58" i="66" s="1"/>
  <c r="V55" i="66"/>
  <c r="AF55" i="66" s="1"/>
  <c r="AP55" i="66" s="1"/>
  <c r="AZ55" i="66" s="1"/>
  <c r="U55" i="66"/>
  <c r="AE55" i="66" s="1"/>
  <c r="AO55" i="66" s="1"/>
  <c r="AY55" i="66" s="1"/>
  <c r="V51" i="66"/>
  <c r="AF51" i="66" s="1"/>
  <c r="AP51" i="66" s="1"/>
  <c r="AZ51" i="66" s="1"/>
  <c r="U51" i="66"/>
  <c r="AE51" i="66" s="1"/>
  <c r="AO51" i="66" s="1"/>
  <c r="AY51" i="66" s="1"/>
  <c r="V50" i="66"/>
  <c r="AF50" i="66" s="1"/>
  <c r="AP50" i="66" s="1"/>
  <c r="AZ50" i="66" s="1"/>
  <c r="U50" i="66"/>
  <c r="AE50" i="66" s="1"/>
  <c r="AO50" i="66" s="1"/>
  <c r="AY50" i="66" s="1"/>
  <c r="V54" i="66"/>
  <c r="AF54" i="66" s="1"/>
  <c r="AP54" i="66" s="1"/>
  <c r="AZ54" i="66" s="1"/>
  <c r="U54" i="66"/>
  <c r="AE54" i="66" s="1"/>
  <c r="AO54" i="66" s="1"/>
  <c r="AY54" i="66" s="1"/>
  <c r="M157" i="9"/>
  <c r="M158" i="9" l="1"/>
  <c r="M159" i="9" l="1"/>
  <c r="M161" i="9" l="1"/>
  <c r="M160" i="9"/>
  <c r="G83" i="66" l="1"/>
  <c r="F83" i="66"/>
  <c r="B3" i="76"/>
  <c r="B13" i="76" s="1"/>
  <c r="AE50" i="76"/>
  <c r="Z50" i="76"/>
  <c r="Y50" i="76"/>
  <c r="W50" i="76"/>
  <c r="AE49" i="76"/>
  <c r="Z49" i="76"/>
  <c r="Y49" i="76"/>
  <c r="W49" i="76"/>
  <c r="X49" i="76" s="1"/>
  <c r="AE48" i="76"/>
  <c r="AB48" i="76"/>
  <c r="Z48" i="76"/>
  <c r="Y48" i="76"/>
  <c r="W48" i="76"/>
  <c r="AA48" i="76" s="1"/>
  <c r="AE47" i="76"/>
  <c r="Z47" i="76"/>
  <c r="Y47" i="76"/>
  <c r="W47" i="76"/>
  <c r="AA47" i="76" s="1"/>
  <c r="AE46" i="76"/>
  <c r="Z46" i="76"/>
  <c r="Y46" i="76"/>
  <c r="W46" i="76"/>
  <c r="AE45" i="76"/>
  <c r="Z45" i="76"/>
  <c r="Y45" i="76"/>
  <c r="AE44" i="76"/>
  <c r="Z44" i="76"/>
  <c r="Y44" i="76"/>
  <c r="AE43" i="76"/>
  <c r="Z43" i="76"/>
  <c r="Y43" i="76"/>
  <c r="AE42" i="76"/>
  <c r="Z42" i="76"/>
  <c r="Y42" i="76"/>
  <c r="AE41" i="76"/>
  <c r="Z41" i="76"/>
  <c r="Y41" i="76"/>
  <c r="W41" i="76"/>
  <c r="AB41" i="76" s="1"/>
  <c r="AE40" i="76"/>
  <c r="Z40" i="76"/>
  <c r="Y40" i="76"/>
  <c r="W40" i="76"/>
  <c r="AA40" i="76" s="1"/>
  <c r="AE39" i="76"/>
  <c r="Z39" i="76"/>
  <c r="Y39" i="76"/>
  <c r="W39" i="76"/>
  <c r="AB39" i="76" s="1"/>
  <c r="AE38" i="76"/>
  <c r="Z38" i="76"/>
  <c r="Y38" i="76"/>
  <c r="W38" i="76"/>
  <c r="X38" i="76" s="1"/>
  <c r="AE37" i="76"/>
  <c r="Z37" i="76"/>
  <c r="Y37" i="76"/>
  <c r="W37" i="76"/>
  <c r="AA37" i="76" s="1"/>
  <c r="AE36" i="76"/>
  <c r="Z36" i="76"/>
  <c r="Y36" i="76"/>
  <c r="AE35" i="76"/>
  <c r="Z35" i="76"/>
  <c r="Y35" i="76"/>
  <c r="N35" i="76"/>
  <c r="AE31" i="76"/>
  <c r="Z31" i="76"/>
  <c r="Y31" i="76"/>
  <c r="W31" i="76"/>
  <c r="X31" i="76" s="1"/>
  <c r="AE30" i="76"/>
  <c r="Z30" i="76"/>
  <c r="Y30" i="76"/>
  <c r="W30" i="76"/>
  <c r="AE29" i="76"/>
  <c r="Z29" i="76"/>
  <c r="Y29" i="76"/>
  <c r="W29" i="76"/>
  <c r="X29" i="76" s="1"/>
  <c r="AE28" i="76"/>
  <c r="Z28" i="76"/>
  <c r="Y28" i="76"/>
  <c r="W28" i="76"/>
  <c r="AE27" i="76"/>
  <c r="Z27" i="76"/>
  <c r="Y27" i="76"/>
  <c r="W27" i="76"/>
  <c r="AE26" i="76"/>
  <c r="Z26" i="76"/>
  <c r="Y26" i="76"/>
  <c r="W26" i="76"/>
  <c r="AA26" i="76" s="1"/>
  <c r="AE25" i="76"/>
  <c r="Z25" i="76"/>
  <c r="Y25" i="76"/>
  <c r="W25" i="76"/>
  <c r="AE24" i="76"/>
  <c r="Z24" i="76"/>
  <c r="Y24" i="76"/>
  <c r="W24" i="76"/>
  <c r="AE23" i="76"/>
  <c r="Z23" i="76"/>
  <c r="Y23" i="76"/>
  <c r="W23" i="76"/>
  <c r="AA23" i="76" s="1"/>
  <c r="AE22" i="76"/>
  <c r="Z22" i="76"/>
  <c r="Y22" i="76"/>
  <c r="W22" i="76"/>
  <c r="AB22" i="76" s="1"/>
  <c r="AE21" i="76"/>
  <c r="Z21" i="76"/>
  <c r="Y21" i="76"/>
  <c r="W21" i="76"/>
  <c r="AB21" i="76" s="1"/>
  <c r="AE20" i="76"/>
  <c r="AB20" i="76"/>
  <c r="AA20" i="76"/>
  <c r="Z20" i="76"/>
  <c r="Y20" i="76"/>
  <c r="W20" i="76"/>
  <c r="AE19" i="76"/>
  <c r="Z19" i="76"/>
  <c r="Y19" i="76"/>
  <c r="W19" i="76"/>
  <c r="AB19" i="76" s="1"/>
  <c r="AE18" i="76"/>
  <c r="Z18" i="76"/>
  <c r="Y18" i="76"/>
  <c r="W18" i="76"/>
  <c r="AE17" i="76"/>
  <c r="Z17" i="76"/>
  <c r="Y17" i="76"/>
  <c r="W17" i="76"/>
  <c r="AE16" i="76"/>
  <c r="Z16" i="76"/>
  <c r="Y16" i="76"/>
  <c r="W16" i="76"/>
  <c r="AB16" i="76" s="1"/>
  <c r="N16" i="76"/>
  <c r="AE13" i="76"/>
  <c r="Z13" i="76"/>
  <c r="Y13" i="76"/>
  <c r="U13" i="76"/>
  <c r="N13" i="76" s="1"/>
  <c r="L13" i="76"/>
  <c r="F13" i="76" s="1"/>
  <c r="W13" i="76" s="1"/>
  <c r="AE12" i="76"/>
  <c r="Z12" i="76"/>
  <c r="Y12" i="76"/>
  <c r="U12" i="76"/>
  <c r="N12" i="76"/>
  <c r="L12" i="76"/>
  <c r="F12" i="76"/>
  <c r="W12" i="76" s="1"/>
  <c r="X12" i="76" s="1"/>
  <c r="AE11" i="76"/>
  <c r="Z11" i="76"/>
  <c r="Y11" i="76"/>
  <c r="U11" i="76"/>
  <c r="N11" i="76"/>
  <c r="L11" i="76"/>
  <c r="F11" i="76"/>
  <c r="W11" i="76" s="1"/>
  <c r="AA11" i="76" s="1"/>
  <c r="AE10" i="76"/>
  <c r="Z10" i="76"/>
  <c r="Y10" i="76"/>
  <c r="U10" i="76"/>
  <c r="N10" i="76" s="1"/>
  <c r="L10" i="76"/>
  <c r="F10" i="76" s="1"/>
  <c r="W10" i="76" s="1"/>
  <c r="AE9" i="76"/>
  <c r="Z9" i="76"/>
  <c r="Y9" i="76"/>
  <c r="U9" i="76"/>
  <c r="N9" i="76"/>
  <c r="L9" i="76"/>
  <c r="F9" i="76" s="1"/>
  <c r="W9" i="76" s="1"/>
  <c r="AE8" i="76"/>
  <c r="Z8" i="76"/>
  <c r="Y8" i="76"/>
  <c r="U8" i="76"/>
  <c r="N8" i="76"/>
  <c r="L8" i="76"/>
  <c r="F8" i="76" s="1"/>
  <c r="W8" i="76" s="1"/>
  <c r="AA8" i="76" s="1"/>
  <c r="AE7" i="76"/>
  <c r="Z7" i="76"/>
  <c r="Y7" i="76"/>
  <c r="U7" i="76"/>
  <c r="N7" i="76" s="1"/>
  <c r="L7" i="76"/>
  <c r="F7" i="76"/>
  <c r="W35" i="76" s="1"/>
  <c r="AA35" i="76" s="1"/>
  <c r="AE6" i="76"/>
  <c r="Z6" i="76"/>
  <c r="Y6" i="76"/>
  <c r="U6" i="76"/>
  <c r="N6" i="76"/>
  <c r="L6" i="76"/>
  <c r="F6" i="76"/>
  <c r="W6" i="76" s="1"/>
  <c r="AE5" i="76"/>
  <c r="Z5" i="76"/>
  <c r="Y5" i="76"/>
  <c r="U5" i="76"/>
  <c r="N5" i="76"/>
  <c r="L5" i="76"/>
  <c r="F5" i="76" s="1"/>
  <c r="W5" i="76" s="1"/>
  <c r="AE4" i="76"/>
  <c r="Z4" i="76"/>
  <c r="Y4" i="76"/>
  <c r="U4" i="76"/>
  <c r="N4" i="76" s="1"/>
  <c r="L4" i="76"/>
  <c r="F4" i="76"/>
  <c r="W4" i="76" s="1"/>
  <c r="AA39" i="76" l="1"/>
  <c r="B12" i="76"/>
  <c r="B4" i="76"/>
  <c r="B5" i="76"/>
  <c r="B6" i="76"/>
  <c r="B7" i="76"/>
  <c r="B8" i="76"/>
  <c r="B9" i="76"/>
  <c r="B10" i="76"/>
  <c r="B11" i="76"/>
  <c r="AB40" i="76"/>
  <c r="AC40" i="76" s="1"/>
  <c r="AD40" i="76" s="1"/>
  <c r="X19" i="76"/>
  <c r="AB49" i="76"/>
  <c r="X37" i="76"/>
  <c r="AA22" i="76"/>
  <c r="W36" i="76"/>
  <c r="X36" i="76" s="1"/>
  <c r="AA38" i="76"/>
  <c r="AB38" i="76"/>
  <c r="X11" i="76"/>
  <c r="AA19" i="76"/>
  <c r="AC19" i="76" s="1"/>
  <c r="AA21" i="76"/>
  <c r="AC21" i="76" s="1"/>
  <c r="AB37" i="76"/>
  <c r="X46" i="76"/>
  <c r="AB46" i="76"/>
  <c r="AA46" i="76"/>
  <c r="AA4" i="76"/>
  <c r="AB4" i="76"/>
  <c r="X4" i="76"/>
  <c r="X9" i="76"/>
  <c r="AA9" i="76"/>
  <c r="AB9" i="76"/>
  <c r="X6" i="76"/>
  <c r="AA6" i="76"/>
  <c r="AB28" i="76"/>
  <c r="AA28" i="76"/>
  <c r="X28" i="76"/>
  <c r="AA13" i="76"/>
  <c r="AB13" i="76"/>
  <c r="X13" i="76"/>
  <c r="AB6" i="76"/>
  <c r="AB27" i="76"/>
  <c r="AA27" i="76"/>
  <c r="AC39" i="76"/>
  <c r="AD39" i="76" s="1"/>
  <c r="AA12" i="76"/>
  <c r="W44" i="76"/>
  <c r="W43" i="76"/>
  <c r="W42" i="76"/>
  <c r="AA16" i="76"/>
  <c r="AB17" i="76"/>
  <c r="X27" i="76"/>
  <c r="AB36" i="76"/>
  <c r="AC37" i="76"/>
  <c r="AD37" i="76" s="1"/>
  <c r="AH37" i="76" s="1"/>
  <c r="W45" i="76"/>
  <c r="AA10" i="76"/>
  <c r="X18" i="76"/>
  <c r="AB25" i="76"/>
  <c r="X25" i="76"/>
  <c r="X10" i="76"/>
  <c r="X17" i="76"/>
  <c r="AB5" i="76"/>
  <c r="X16" i="76"/>
  <c r="AC22" i="76"/>
  <c r="AD22" i="76" s="1"/>
  <c r="AB47" i="76"/>
  <c r="X47" i="76"/>
  <c r="AA18" i="76"/>
  <c r="AC20" i="76"/>
  <c r="AD20" i="76" s="1"/>
  <c r="AA25" i="76"/>
  <c r="AC25" i="76" s="1"/>
  <c r="AD25" i="76" s="1"/>
  <c r="X35" i="76"/>
  <c r="AA50" i="76"/>
  <c r="AB10" i="76"/>
  <c r="AA17" i="76"/>
  <c r="AB18" i="76"/>
  <c r="AB24" i="76"/>
  <c r="X24" i="76"/>
  <c r="AB31" i="76"/>
  <c r="AA31" i="76"/>
  <c r="AA36" i="76"/>
  <c r="AC38" i="76"/>
  <c r="X50" i="76"/>
  <c r="AB8" i="76"/>
  <c r="AB12" i="76"/>
  <c r="X5" i="76"/>
  <c r="AC16" i="76"/>
  <c r="AA24" i="76"/>
  <c r="AB30" i="76"/>
  <c r="AA30" i="76"/>
  <c r="AB35" i="76"/>
  <c r="X41" i="76"/>
  <c r="AB50" i="76"/>
  <c r="AB11" i="76"/>
  <c r="AB23" i="76"/>
  <c r="X23" i="76"/>
  <c r="AB26" i="76"/>
  <c r="X26" i="76"/>
  <c r="X30" i="76"/>
  <c r="W7" i="76"/>
  <c r="X21" i="76"/>
  <c r="X22" i="76"/>
  <c r="X40" i="76"/>
  <c r="AA5" i="76"/>
  <c r="X8" i="76"/>
  <c r="X20" i="76"/>
  <c r="AB29" i="76"/>
  <c r="AA29" i="76"/>
  <c r="X39" i="76"/>
  <c r="AA41" i="76"/>
  <c r="AC48" i="76"/>
  <c r="X48" i="76"/>
  <c r="AA49" i="76"/>
  <c r="AC49" i="76" s="1"/>
  <c r="AC4" i="76" l="1"/>
  <c r="AC6" i="76"/>
  <c r="AD19" i="76"/>
  <c r="AH19" i="76" s="1"/>
  <c r="G19" i="76" s="1"/>
  <c r="I71" i="66" s="1"/>
  <c r="AC24" i="76"/>
  <c r="AC28" i="76"/>
  <c r="AC17" i="76"/>
  <c r="AD17" i="76" s="1"/>
  <c r="AH17" i="76" s="1"/>
  <c r="AH20" i="76"/>
  <c r="G20" i="76" s="1"/>
  <c r="J71" i="66" s="1"/>
  <c r="AC36" i="76"/>
  <c r="AD36" i="76" s="1"/>
  <c r="AD4" i="76"/>
  <c r="AC8" i="76"/>
  <c r="AD8" i="76" s="1"/>
  <c r="AH25" i="76"/>
  <c r="AI25" i="76" s="1"/>
  <c r="AC5" i="76"/>
  <c r="AD5" i="76" s="1"/>
  <c r="AH5" i="76" s="1"/>
  <c r="AH4" i="76"/>
  <c r="AI4" i="76" s="1"/>
  <c r="AC12" i="76"/>
  <c r="AD12" i="76" s="1"/>
  <c r="AH12" i="76" s="1"/>
  <c r="AH39" i="76"/>
  <c r="G39" i="76" s="1"/>
  <c r="AI37" i="76"/>
  <c r="G37" i="76"/>
  <c r="AD6" i="76"/>
  <c r="AH6" i="76" s="1"/>
  <c r="AB42" i="76"/>
  <c r="AA42" i="76"/>
  <c r="X42" i="76"/>
  <c r="AB43" i="76"/>
  <c r="AA43" i="76"/>
  <c r="AC43" i="76" s="1"/>
  <c r="AD43" i="76" s="1"/>
  <c r="X43" i="76"/>
  <c r="AC23" i="76"/>
  <c r="AD23" i="76" s="1"/>
  <c r="AC30" i="76"/>
  <c r="AD30" i="76" s="1"/>
  <c r="AH30" i="76" s="1"/>
  <c r="AA44" i="76"/>
  <c r="X44" i="76"/>
  <c r="AB44" i="76"/>
  <c r="AD38" i="76"/>
  <c r="AH38" i="76" s="1"/>
  <c r="AH22" i="76"/>
  <c r="AD48" i="76"/>
  <c r="AH48" i="76" s="1"/>
  <c r="AI48" i="76" s="1"/>
  <c r="AC31" i="76"/>
  <c r="AD21" i="76"/>
  <c r="AH21" i="76" s="1"/>
  <c r="AD16" i="76"/>
  <c r="AH16" i="76" s="1"/>
  <c r="AC9" i="76"/>
  <c r="AD9" i="76" s="1"/>
  <c r="AH9" i="76" s="1"/>
  <c r="AC11" i="76"/>
  <c r="AD24" i="76"/>
  <c r="AH24" i="76" s="1"/>
  <c r="AC13" i="76"/>
  <c r="AC46" i="76"/>
  <c r="X45" i="76"/>
  <c r="AB45" i="76"/>
  <c r="AA45" i="76"/>
  <c r="AC50" i="76"/>
  <c r="AH40" i="76"/>
  <c r="AD50" i="76"/>
  <c r="AC35" i="76"/>
  <c r="AD35" i="76" s="1"/>
  <c r="AH35" i="76" s="1"/>
  <c r="AC41" i="76"/>
  <c r="AD41" i="76" s="1"/>
  <c r="AD49" i="76"/>
  <c r="AH49" i="76" s="1"/>
  <c r="AI49" i="76" s="1"/>
  <c r="AC27" i="76"/>
  <c r="AD27" i="76" s="1"/>
  <c r="AC18" i="76"/>
  <c r="AD18" i="76" s="1"/>
  <c r="AC10" i="76"/>
  <c r="AA7" i="76"/>
  <c r="X7" i="76"/>
  <c r="AB7" i="76"/>
  <c r="AC7" i="76"/>
  <c r="AD28" i="76"/>
  <c r="AH28" i="76" s="1"/>
  <c r="AC29" i="76"/>
  <c r="AD29" i="76" s="1"/>
  <c r="AH29" i="76" s="1"/>
  <c r="AC26" i="76"/>
  <c r="AD26" i="76" s="1"/>
  <c r="AH26" i="76" s="1"/>
  <c r="AC47" i="76"/>
  <c r="AD47" i="76" s="1"/>
  <c r="AJ71" i="66" l="1"/>
  <c r="V71" i="66"/>
  <c r="AL71" i="66"/>
  <c r="X71" i="66"/>
  <c r="AD31" i="76"/>
  <c r="AH31" i="76" s="1"/>
  <c r="AI19" i="76"/>
  <c r="AC44" i="76"/>
  <c r="AH8" i="76"/>
  <c r="AI8" i="76" s="1"/>
  <c r="AH36" i="76"/>
  <c r="G36" i="76" s="1"/>
  <c r="AI17" i="76"/>
  <c r="G17" i="76"/>
  <c r="G71" i="66" s="1"/>
  <c r="G12" i="76"/>
  <c r="AI12" i="76"/>
  <c r="AI39" i="76"/>
  <c r="G4" i="76"/>
  <c r="AH50" i="76"/>
  <c r="AI50" i="76" s="1"/>
  <c r="AI20" i="76"/>
  <c r="AH27" i="76"/>
  <c r="AC42" i="76"/>
  <c r="AD42" i="76" s="1"/>
  <c r="AH42" i="76" s="1"/>
  <c r="G25" i="76"/>
  <c r="O71" i="66" s="1"/>
  <c r="AI5" i="76"/>
  <c r="G5" i="76"/>
  <c r="G38" i="76"/>
  <c r="AI38" i="76"/>
  <c r="AI24" i="76"/>
  <c r="G24" i="76"/>
  <c r="N71" i="66" s="1"/>
  <c r="G9" i="76"/>
  <c r="AI9" i="76"/>
  <c r="G6" i="76"/>
  <c r="AI6" i="76"/>
  <c r="G30" i="76"/>
  <c r="AI30" i="76"/>
  <c r="G21" i="76"/>
  <c r="K71" i="66" s="1"/>
  <c r="AI21" i="76"/>
  <c r="G29" i="76"/>
  <c r="AI29" i="76"/>
  <c r="G27" i="76"/>
  <c r="Q71" i="66" s="1"/>
  <c r="AI27" i="76"/>
  <c r="AH43" i="76"/>
  <c r="G28" i="76"/>
  <c r="R71" i="66" s="1"/>
  <c r="AI28" i="76"/>
  <c r="G26" i="76"/>
  <c r="P71" i="66" s="1"/>
  <c r="AI26" i="76"/>
  <c r="AI16" i="76"/>
  <c r="G16" i="76"/>
  <c r="F71" i="66" s="1"/>
  <c r="G22" i="76"/>
  <c r="L71" i="66" s="1"/>
  <c r="AI22" i="76"/>
  <c r="AD10" i="76"/>
  <c r="AH10" i="76" s="1"/>
  <c r="AH23" i="76"/>
  <c r="G35" i="76"/>
  <c r="AI35" i="76"/>
  <c r="G40" i="76"/>
  <c r="AI40" i="76"/>
  <c r="AH18" i="76"/>
  <c r="AD44" i="76"/>
  <c r="AH44" i="76" s="1"/>
  <c r="AH47" i="76"/>
  <c r="AH41" i="76"/>
  <c r="AC45" i="76"/>
  <c r="AD45" i="76" s="1"/>
  <c r="AH45" i="76" s="1"/>
  <c r="AD11" i="76"/>
  <c r="AH11" i="76" s="1"/>
  <c r="AD7" i="76"/>
  <c r="AH7" i="76" s="1"/>
  <c r="AD46" i="76"/>
  <c r="AH46" i="76" s="1"/>
  <c r="AD13" i="76"/>
  <c r="AH13" i="76" s="1"/>
  <c r="AI71" i="66" l="1"/>
  <c r="U71" i="66"/>
  <c r="AK71" i="66"/>
  <c r="W71" i="66"/>
  <c r="AI36" i="76"/>
  <c r="AM71" i="66"/>
  <c r="Y71" i="66"/>
  <c r="AH71" i="66"/>
  <c r="T71" i="66"/>
  <c r="AI31" i="76"/>
  <c r="G31" i="76"/>
  <c r="G8" i="76"/>
  <c r="G42" i="76"/>
  <c r="AI42" i="76"/>
  <c r="AI10" i="76"/>
  <c r="G10" i="76"/>
  <c r="AI44" i="76"/>
  <c r="G44" i="76"/>
  <c r="AI13" i="76"/>
  <c r="G13" i="76"/>
  <c r="AI45" i="76"/>
  <c r="G45" i="76"/>
  <c r="G23" i="76"/>
  <c r="M71" i="66" s="1"/>
  <c r="AI23" i="76"/>
  <c r="G11" i="76"/>
  <c r="AI11" i="76"/>
  <c r="G18" i="76"/>
  <c r="H71" i="66" s="1"/>
  <c r="AI18" i="76"/>
  <c r="G41" i="76"/>
  <c r="AI41" i="76"/>
  <c r="AI47" i="76"/>
  <c r="G47" i="76"/>
  <c r="AI7" i="76"/>
  <c r="G7" i="76"/>
  <c r="AI46" i="76"/>
  <c r="G46" i="76"/>
  <c r="G43" i="76"/>
  <c r="AI43" i="76"/>
  <c r="AS71" i="66" l="1"/>
  <c r="AE71" i="66"/>
  <c r="AR71" i="66"/>
  <c r="AD71" i="66"/>
  <c r="AC71" i="66"/>
  <c r="AQ71" i="66"/>
  <c r="Z71" i="66"/>
  <c r="AN71" i="66"/>
  <c r="AT71" i="66"/>
  <c r="AF71" i="66"/>
  <c r="AP71" i="66"/>
  <c r="AB71" i="66"/>
  <c r="AO71" i="66"/>
  <c r="AA71" i="66"/>
  <c r="G87" i="66"/>
  <c r="F87" i="66"/>
  <c r="AT75" i="66"/>
  <c r="AS75" i="66"/>
  <c r="AR75" i="66"/>
  <c r="AQ75" i="66"/>
  <c r="AP75" i="66"/>
  <c r="AO75" i="66"/>
  <c r="AN75" i="66"/>
  <c r="AM75" i="66"/>
  <c r="AL75" i="66"/>
  <c r="AK75" i="66"/>
  <c r="AJ75" i="66"/>
  <c r="AI75" i="66"/>
  <c r="AH75" i="66"/>
  <c r="AF75" i="66"/>
  <c r="AE75" i="66"/>
  <c r="AD75" i="66"/>
  <c r="AC75" i="66"/>
  <c r="AB75" i="66"/>
  <c r="AA75" i="66"/>
  <c r="Z75" i="66"/>
  <c r="Y75" i="66"/>
  <c r="X75" i="66"/>
  <c r="W75" i="66"/>
  <c r="V75" i="66"/>
  <c r="U75" i="66"/>
  <c r="R75" i="66"/>
  <c r="Q75" i="66"/>
  <c r="P75" i="66"/>
  <c r="O75" i="66"/>
  <c r="N75" i="66"/>
  <c r="M75" i="66"/>
  <c r="L75" i="66"/>
  <c r="K75" i="66"/>
  <c r="J75" i="66"/>
  <c r="I75" i="66"/>
  <c r="H75" i="66"/>
  <c r="G75" i="66"/>
  <c r="F75" i="66"/>
  <c r="B3" i="75"/>
  <c r="B9" i="75" s="1"/>
  <c r="M14" i="75"/>
  <c r="G14" i="75"/>
  <c r="M13" i="75"/>
  <c r="G13" i="75"/>
  <c r="AE12" i="75"/>
  <c r="AD12" i="75"/>
  <c r="AC12" i="75"/>
  <c r="AB12" i="75"/>
  <c r="AA12" i="75"/>
  <c r="Z12" i="75"/>
  <c r="Y12" i="75"/>
  <c r="W12" i="75"/>
  <c r="M12" i="75"/>
  <c r="G12" i="75"/>
  <c r="X11" i="75"/>
  <c r="M11" i="75"/>
  <c r="G11" i="75"/>
  <c r="X10" i="75"/>
  <c r="M10" i="75"/>
  <c r="G10" i="75"/>
  <c r="X9" i="75"/>
  <c r="M9" i="75"/>
  <c r="G9" i="75"/>
  <c r="X8" i="75"/>
  <c r="M8" i="75"/>
  <c r="G8" i="75"/>
  <c r="X7" i="75"/>
  <c r="M7" i="75"/>
  <c r="G7" i="75"/>
  <c r="X6" i="75"/>
  <c r="M6" i="75"/>
  <c r="G6" i="75"/>
  <c r="X5" i="75"/>
  <c r="M5" i="75"/>
  <c r="G5" i="75"/>
  <c r="X4" i="75"/>
  <c r="M4" i="75"/>
  <c r="K4" i="75"/>
  <c r="F4" i="75" s="1"/>
  <c r="G4" i="75" s="1"/>
  <c r="B8" i="75" l="1"/>
  <c r="B7" i="75"/>
  <c r="B6" i="75"/>
  <c r="B5" i="75"/>
  <c r="B4" i="75"/>
  <c r="B14" i="75"/>
  <c r="B13" i="75"/>
  <c r="B12" i="75"/>
  <c r="B11" i="75"/>
  <c r="B10" i="75"/>
  <c r="X12" i="75"/>
  <c r="G82" i="66" l="1"/>
  <c r="F82" i="66"/>
  <c r="B3" i="74"/>
  <c r="B5" i="74" s="1"/>
  <c r="AF70" i="66"/>
  <c r="R70" i="66"/>
  <c r="AS70" i="66"/>
  <c r="Q70" i="66"/>
  <c r="AR70" i="66"/>
  <c r="P70" i="66"/>
  <c r="AQ70" i="66"/>
  <c r="O70" i="66"/>
  <c r="AP70" i="66"/>
  <c r="N70" i="66"/>
  <c r="Z70" i="66"/>
  <c r="L70" i="66"/>
  <c r="X70" i="66"/>
  <c r="J70" i="66"/>
  <c r="AK70" i="66"/>
  <c r="I70" i="66"/>
  <c r="AJ70" i="66"/>
  <c r="H70" i="66"/>
  <c r="AI70" i="66"/>
  <c r="G70" i="66"/>
  <c r="AO70" i="66"/>
  <c r="U13" i="74"/>
  <c r="L13" i="74"/>
  <c r="F13" i="74"/>
  <c r="U12" i="74"/>
  <c r="L12" i="74"/>
  <c r="F12" i="74" s="1"/>
  <c r="U11" i="74"/>
  <c r="L11" i="74"/>
  <c r="F11" i="74"/>
  <c r="U10" i="74"/>
  <c r="L10" i="74"/>
  <c r="F10" i="74"/>
  <c r="U9" i="74"/>
  <c r="L9" i="74"/>
  <c r="G9" i="74" s="1"/>
  <c r="F9" i="74"/>
  <c r="U8" i="74"/>
  <c r="L8" i="74"/>
  <c r="F8" i="74"/>
  <c r="U7" i="74"/>
  <c r="L7" i="74"/>
  <c r="F7" i="74"/>
  <c r="U6" i="74"/>
  <c r="L6" i="74"/>
  <c r="F6" i="74"/>
  <c r="U5" i="74"/>
  <c r="L5" i="74"/>
  <c r="F5" i="74"/>
  <c r="U4" i="74"/>
  <c r="L4" i="74"/>
  <c r="F4" i="74"/>
  <c r="Z3" i="74"/>
  <c r="Y3" i="74"/>
  <c r="Z2" i="74"/>
  <c r="Y2" i="74"/>
  <c r="G4" i="74" l="1"/>
  <c r="AA70" i="66"/>
  <c r="AB70" i="66"/>
  <c r="AC70" i="66"/>
  <c r="AM70" i="66"/>
  <c r="AL70" i="66"/>
  <c r="T70" i="66"/>
  <c r="Y70" i="66"/>
  <c r="AN70" i="66"/>
  <c r="G7" i="74"/>
  <c r="G13" i="74"/>
  <c r="AD70" i="66"/>
  <c r="F70" i="66"/>
  <c r="AE70" i="66"/>
  <c r="U70" i="66"/>
  <c r="AH70" i="66"/>
  <c r="AT70" i="66"/>
  <c r="V70" i="66"/>
  <c r="W70" i="66"/>
  <c r="K70" i="66"/>
  <c r="B12" i="74"/>
  <c r="B11" i="74"/>
  <c r="B10" i="74"/>
  <c r="B13" i="74"/>
  <c r="B9" i="74"/>
  <c r="B8" i="74"/>
  <c r="B6" i="74"/>
  <c r="B7" i="74"/>
  <c r="B4" i="74"/>
  <c r="G6" i="74"/>
  <c r="G5" i="74"/>
  <c r="G12" i="74"/>
  <c r="M70" i="66"/>
  <c r="G11" i="74"/>
  <c r="G8" i="74"/>
  <c r="G10" i="74"/>
  <c r="G88" i="66" l="1"/>
  <c r="F88" i="66"/>
  <c r="AT76" i="66"/>
  <c r="AS76" i="66"/>
  <c r="AR76" i="66"/>
  <c r="AQ76" i="66"/>
  <c r="AP76" i="66"/>
  <c r="AO76" i="66"/>
  <c r="AN76" i="66"/>
  <c r="AM76" i="66"/>
  <c r="AL76" i="66"/>
  <c r="AK76" i="66"/>
  <c r="AJ76" i="66"/>
  <c r="AI76" i="66"/>
  <c r="AH76" i="66"/>
  <c r="AF76" i="66"/>
  <c r="AE76" i="66"/>
  <c r="AD76" i="66"/>
  <c r="AC76" i="66"/>
  <c r="AB76" i="66"/>
  <c r="AA76" i="66"/>
  <c r="Z76" i="66"/>
  <c r="Y76" i="66"/>
  <c r="X76" i="66"/>
  <c r="W76" i="66"/>
  <c r="V76" i="66"/>
  <c r="U76" i="66"/>
  <c r="T76" i="66"/>
  <c r="R76" i="66"/>
  <c r="Q76" i="66"/>
  <c r="P76" i="66"/>
  <c r="O76" i="66"/>
  <c r="N76" i="66"/>
  <c r="M76" i="66"/>
  <c r="L76" i="66"/>
  <c r="K76" i="66"/>
  <c r="J76" i="66"/>
  <c r="I76" i="66"/>
  <c r="H76" i="66"/>
  <c r="G76" i="66"/>
  <c r="F76" i="66"/>
  <c r="B1" i="73"/>
  <c r="B8" i="73" s="1"/>
  <c r="X21" i="73"/>
  <c r="X20" i="73"/>
  <c r="T13" i="73"/>
  <c r="K13" i="73"/>
  <c r="F13" i="73" s="1"/>
  <c r="T12" i="73"/>
  <c r="K12" i="73"/>
  <c r="F12" i="73"/>
  <c r="T11" i="73"/>
  <c r="K11" i="73"/>
  <c r="F11" i="73"/>
  <c r="T10" i="73"/>
  <c r="K10" i="73"/>
  <c r="F10" i="73" s="1"/>
  <c r="T9" i="73"/>
  <c r="K9" i="73"/>
  <c r="F9" i="73"/>
  <c r="T8" i="73"/>
  <c r="K8" i="73"/>
  <c r="F8" i="73"/>
  <c r="T7" i="73"/>
  <c r="K7" i="73"/>
  <c r="F7" i="73" s="1"/>
  <c r="T6" i="73"/>
  <c r="K6" i="73"/>
  <c r="F6" i="73"/>
  <c r="T5" i="73"/>
  <c r="K5" i="73"/>
  <c r="F5" i="73"/>
  <c r="T4" i="73"/>
  <c r="K4" i="73"/>
  <c r="F4" i="73"/>
  <c r="B7" i="73" l="1"/>
  <c r="B6" i="73"/>
  <c r="B5" i="73"/>
  <c r="B13" i="73"/>
  <c r="B12" i="73"/>
  <c r="B4" i="73"/>
  <c r="B10" i="73"/>
  <c r="B11" i="73"/>
  <c r="B9" i="73"/>
  <c r="G86" i="66"/>
  <c r="F86" i="66"/>
  <c r="AN74" i="66"/>
  <c r="AK74" i="66"/>
  <c r="AJ74" i="66"/>
  <c r="AI74" i="66"/>
  <c r="AH74" i="66"/>
  <c r="AB74" i="66"/>
  <c r="AA74" i="66"/>
  <c r="V74" i="66"/>
  <c r="U74" i="66"/>
  <c r="O74" i="66"/>
  <c r="N74" i="66"/>
  <c r="L74" i="66"/>
  <c r="K74" i="66"/>
  <c r="J74" i="66"/>
  <c r="H74" i="66"/>
  <c r="B5" i="72"/>
  <c r="B6" i="72"/>
  <c r="B7" i="72"/>
  <c r="B8" i="72"/>
  <c r="B9" i="72"/>
  <c r="B10" i="72"/>
  <c r="B11" i="72"/>
  <c r="B12" i="72"/>
  <c r="B13" i="72"/>
  <c r="B4" i="72"/>
  <c r="AN31" i="72"/>
  <c r="AN30" i="72"/>
  <c r="AQ30" i="72" s="1"/>
  <c r="AN29" i="72"/>
  <c r="AR29" i="72" s="1"/>
  <c r="AN28" i="72"/>
  <c r="AN27" i="72"/>
  <c r="AS74" i="66"/>
  <c r="AN26" i="72"/>
  <c r="AR74" i="66"/>
  <c r="AN25" i="72"/>
  <c r="AQ74" i="66"/>
  <c r="AN24" i="72"/>
  <c r="AR24" i="72" s="1"/>
  <c r="AP74" i="66"/>
  <c r="AN23" i="72"/>
  <c r="AO74" i="66"/>
  <c r="Z74" i="66"/>
  <c r="AN21" i="72"/>
  <c r="AR21" i="72" s="1"/>
  <c r="AM74" i="66"/>
  <c r="AN20" i="72"/>
  <c r="AO20" i="72" s="1"/>
  <c r="X74" i="66"/>
  <c r="AN19" i="72"/>
  <c r="W74" i="66"/>
  <c r="AN18" i="72"/>
  <c r="AN17" i="72"/>
  <c r="AR17" i="72" s="1"/>
  <c r="G74" i="66"/>
  <c r="AN16" i="72"/>
  <c r="AO16" i="72" s="1"/>
  <c r="AP16" i="72" s="1"/>
  <c r="T74" i="66"/>
  <c r="G15" i="72"/>
  <c r="F15" i="72"/>
  <c r="AW13" i="72"/>
  <c r="AM13" i="72"/>
  <c r="AJ13" i="72"/>
  <c r="AD13" i="72"/>
  <c r="AA13" i="72"/>
  <c r="U13" i="72"/>
  <c r="AW12" i="72"/>
  <c r="F12" i="72" s="1"/>
  <c r="AN12" i="72" s="1"/>
  <c r="AR12" i="72" s="1"/>
  <c r="AM12" i="72"/>
  <c r="AJ12" i="72"/>
  <c r="AI12" i="72"/>
  <c r="AF12" i="72" s="1"/>
  <c r="AD12" i="72"/>
  <c r="AA12" i="72"/>
  <c r="Z12" i="72"/>
  <c r="W12" i="72" s="1"/>
  <c r="U12" i="72"/>
  <c r="N12" i="72" s="1"/>
  <c r="AW11" i="72"/>
  <c r="AM11" i="72"/>
  <c r="AJ11" i="72"/>
  <c r="AI11" i="72"/>
  <c r="AF11" i="72" s="1"/>
  <c r="AD11" i="72"/>
  <c r="AA11" i="72"/>
  <c r="Z11" i="72"/>
  <c r="W11" i="72" s="1"/>
  <c r="U11" i="72"/>
  <c r="N11" i="72" s="1"/>
  <c r="AW10" i="72"/>
  <c r="AM10" i="72"/>
  <c r="AJ10" i="72"/>
  <c r="AI10" i="72"/>
  <c r="AF10" i="72" s="1"/>
  <c r="AD10" i="72"/>
  <c r="AA10" i="72"/>
  <c r="Z10" i="72"/>
  <c r="U10" i="72"/>
  <c r="N10" i="72" s="1"/>
  <c r="AW9" i="72"/>
  <c r="AM9" i="72"/>
  <c r="AJ9" i="72"/>
  <c r="AD9" i="72"/>
  <c r="AA9" i="72"/>
  <c r="U9" i="72"/>
  <c r="AW8" i="72"/>
  <c r="AM8" i="72"/>
  <c r="AJ8" i="72"/>
  <c r="AI8" i="72"/>
  <c r="AD8" i="72"/>
  <c r="AA8" i="72"/>
  <c r="Z8" i="72"/>
  <c r="W8" i="72"/>
  <c r="U8" i="72"/>
  <c r="N8" i="72"/>
  <c r="AW7" i="72"/>
  <c r="AM7" i="72"/>
  <c r="AJ7" i="72"/>
  <c r="AD7" i="72"/>
  <c r="AA7" i="72"/>
  <c r="U7" i="72"/>
  <c r="AW6" i="72"/>
  <c r="F6" i="72" s="1"/>
  <c r="G6" i="72" s="1"/>
  <c r="H6" i="72" s="1"/>
  <c r="AM6" i="72"/>
  <c r="AJ6" i="72"/>
  <c r="AI6" i="72"/>
  <c r="AF6" i="72" s="1"/>
  <c r="AD6" i="72"/>
  <c r="AA6" i="72"/>
  <c r="Z6" i="72"/>
  <c r="W6" i="72"/>
  <c r="U6" i="72"/>
  <c r="N6" i="72"/>
  <c r="AW5" i="72"/>
  <c r="F5" i="72" s="1"/>
  <c r="AM5" i="72"/>
  <c r="AJ5" i="72"/>
  <c r="AI5" i="72"/>
  <c r="AF5" i="72" s="1"/>
  <c r="AD5" i="72"/>
  <c r="AA5" i="72"/>
  <c r="Z5" i="72"/>
  <c r="W5" i="72"/>
  <c r="U5" i="72"/>
  <c r="N5" i="72" s="1"/>
  <c r="AW4" i="72"/>
  <c r="AM4" i="72"/>
  <c r="AF4" i="72" s="1"/>
  <c r="AJ4" i="72"/>
  <c r="AI4" i="72"/>
  <c r="AD4" i="72"/>
  <c r="AA4" i="72"/>
  <c r="Z4" i="72"/>
  <c r="U4" i="72"/>
  <c r="AL74" i="66" l="1"/>
  <c r="Y74" i="66"/>
  <c r="M74" i="66"/>
  <c r="I74" i="66"/>
  <c r="P74" i="66"/>
  <c r="AC74" i="66"/>
  <c r="Q74" i="66"/>
  <c r="AD74" i="66"/>
  <c r="F74" i="66"/>
  <c r="AE74" i="66"/>
  <c r="F13" i="72"/>
  <c r="F10" i="72"/>
  <c r="AN10" i="72" s="1"/>
  <c r="AR10" i="72" s="1"/>
  <c r="F11" i="72"/>
  <c r="AN11" i="72" s="1"/>
  <c r="AQ11" i="72" s="1"/>
  <c r="F8" i="72"/>
  <c r="G8" i="72" s="1"/>
  <c r="H8" i="72" s="1"/>
  <c r="F7" i="72"/>
  <c r="G7" i="72" s="1"/>
  <c r="H7" i="72" s="1"/>
  <c r="F9" i="72"/>
  <c r="N9" i="72" s="1"/>
  <c r="F4" i="72"/>
  <c r="AO25" i="72"/>
  <c r="AP25" i="72" s="1"/>
  <c r="AQ29" i="72"/>
  <c r="AS29" i="72" s="1"/>
  <c r="AQ16" i="72"/>
  <c r="AQ25" i="72"/>
  <c r="AR16" i="72"/>
  <c r="AR25" i="72"/>
  <c r="W4" i="72"/>
  <c r="AR30" i="72"/>
  <c r="AO29" i="72"/>
  <c r="AP29" i="72" s="1"/>
  <c r="AQ20" i="72"/>
  <c r="AR20" i="72"/>
  <c r="AF8" i="72"/>
  <c r="AR28" i="72"/>
  <c r="AO28" i="72"/>
  <c r="AQ28" i="72"/>
  <c r="AT29" i="72"/>
  <c r="AU29" i="72" s="1"/>
  <c r="AN13" i="72"/>
  <c r="G13" i="72"/>
  <c r="AR23" i="72"/>
  <c r="AQ23" i="72"/>
  <c r="AQ27" i="72"/>
  <c r="AR27" i="72"/>
  <c r="AO19" i="72"/>
  <c r="AO23" i="72"/>
  <c r="AS23" i="72" s="1"/>
  <c r="AP19" i="72"/>
  <c r="W10" i="72"/>
  <c r="AP20" i="72"/>
  <c r="AQ24" i="72"/>
  <c r="N4" i="72"/>
  <c r="AN6" i="72"/>
  <c r="AN22" i="72"/>
  <c r="AQ18" i="72"/>
  <c r="AR18" i="72"/>
  <c r="AO18" i="72"/>
  <c r="AP18" i="72" s="1"/>
  <c r="AR11" i="72"/>
  <c r="AO27" i="72"/>
  <c r="AP27" i="72" s="1"/>
  <c r="AQ19" i="72"/>
  <c r="AR19" i="72"/>
  <c r="AO24" i="72"/>
  <c r="AP24" i="72" s="1"/>
  <c r="AQ12" i="72"/>
  <c r="AO12" i="72"/>
  <c r="AP12" i="72" s="1"/>
  <c r="AN5" i="72"/>
  <c r="G5" i="72"/>
  <c r="H5" i="72" s="1"/>
  <c r="G10" i="72"/>
  <c r="H10" i="72" s="1"/>
  <c r="G12" i="72"/>
  <c r="H12" i="72" s="1"/>
  <c r="AO31" i="72"/>
  <c r="AR31" i="72"/>
  <c r="AQ31" i="72"/>
  <c r="AO17" i="72"/>
  <c r="AS17" i="72" s="1"/>
  <c r="AO21" i="72"/>
  <c r="AS21" i="72" s="1"/>
  <c r="AP17" i="72"/>
  <c r="AP21" i="72"/>
  <c r="AQ26" i="72"/>
  <c r="AO30" i="72"/>
  <c r="AS30" i="72" s="1"/>
  <c r="AO26" i="72"/>
  <c r="AQ17" i="72"/>
  <c r="AQ21" i="72"/>
  <c r="AR26" i="72"/>
  <c r="G4" i="72" l="1"/>
  <c r="H4" i="72" s="1"/>
  <c r="AN4" i="72"/>
  <c r="AF74" i="66"/>
  <c r="R74" i="66"/>
  <c r="AT74" i="66"/>
  <c r="AS20" i="72"/>
  <c r="AS25" i="72"/>
  <c r="AT25" i="72" s="1"/>
  <c r="AU25" i="72" s="1"/>
  <c r="AS26" i="72"/>
  <c r="AS16" i="72"/>
  <c r="AS19" i="72"/>
  <c r="AT19" i="72" s="1"/>
  <c r="AU19" i="72" s="1"/>
  <c r="AO10" i="72"/>
  <c r="AP10" i="72" s="1"/>
  <c r="G11" i="72"/>
  <c r="H11" i="72" s="1"/>
  <c r="AI9" i="72"/>
  <c r="AF9" i="72" s="1"/>
  <c r="AQ10" i="72"/>
  <c r="Z9" i="72"/>
  <c r="W9" i="72" s="1"/>
  <c r="AI7" i="72"/>
  <c r="AF7" i="72" s="1"/>
  <c r="AO11" i="72"/>
  <c r="AP11" i="72" s="1"/>
  <c r="AN7" i="72"/>
  <c r="AN8" i="72"/>
  <c r="AR8" i="72" s="1"/>
  <c r="G9" i="72"/>
  <c r="H9" i="72" s="1"/>
  <c r="H13" i="72"/>
  <c r="AN9" i="72"/>
  <c r="AR9" i="72" s="1"/>
  <c r="AT16" i="72"/>
  <c r="AU16" i="72"/>
  <c r="AT20" i="72"/>
  <c r="AU20" i="72"/>
  <c r="AS28" i="72"/>
  <c r="AS31" i="72"/>
  <c r="AT31" i="72" s="1"/>
  <c r="AU31" i="72" s="1"/>
  <c r="AP31" i="72"/>
  <c r="AQ8" i="72"/>
  <c r="AS27" i="72"/>
  <c r="AT27" i="72" s="1"/>
  <c r="AU27" i="72" s="1"/>
  <c r="AS12" i="72"/>
  <c r="AT12" i="72" s="1"/>
  <c r="AU12" i="72" s="1"/>
  <c r="AS10" i="72"/>
  <c r="AT10" i="72" s="1"/>
  <c r="AU10" i="72" s="1"/>
  <c r="AT23" i="72"/>
  <c r="AU23" i="72" s="1"/>
  <c r="AT26" i="72"/>
  <c r="AU26" i="72" s="1"/>
  <c r="AT28" i="72"/>
  <c r="AU28" i="72" s="1"/>
  <c r="AO13" i="72"/>
  <c r="AP13" i="72" s="1"/>
  <c r="AQ13" i="72"/>
  <c r="AR13" i="72"/>
  <c r="N7" i="72"/>
  <c r="AP26" i="72"/>
  <c r="AS24" i="72"/>
  <c r="AT21" i="72"/>
  <c r="AU21" i="72" s="1"/>
  <c r="AS18" i="72"/>
  <c r="AP30" i="72"/>
  <c r="AP28" i="72"/>
  <c r="AT30" i="72"/>
  <c r="AU30" i="72" s="1"/>
  <c r="AT17" i="72"/>
  <c r="AU17" i="72" s="1"/>
  <c r="AS11" i="72"/>
  <c r="AO22" i="72"/>
  <c r="AP22" i="72" s="1"/>
  <c r="AR22" i="72"/>
  <c r="AQ22" i="72"/>
  <c r="AO5" i="72"/>
  <c r="AP5" i="72" s="1"/>
  <c r="AR5" i="72"/>
  <c r="AQ5" i="72"/>
  <c r="N13" i="72"/>
  <c r="AI13" i="72"/>
  <c r="AF13" i="72" s="1"/>
  <c r="Z13" i="72"/>
  <c r="W13" i="72" s="1"/>
  <c r="AP23" i="72"/>
  <c r="AQ6" i="72"/>
  <c r="AO6" i="72"/>
  <c r="AR6" i="72"/>
  <c r="AR4" i="72" l="1"/>
  <c r="AO4" i="72"/>
  <c r="AP4" i="72" s="1"/>
  <c r="AQ4" i="72"/>
  <c r="AS4" i="72" s="1"/>
  <c r="AT4" i="72" s="1"/>
  <c r="AU4" i="72" s="1"/>
  <c r="Z7" i="72"/>
  <c r="W7" i="72" s="1"/>
  <c r="AO8" i="72"/>
  <c r="AP8" i="72" s="1"/>
  <c r="AO7" i="72"/>
  <c r="AR7" i="72"/>
  <c r="AQ7" i="72"/>
  <c r="AO9" i="72"/>
  <c r="AP9" i="72" s="1"/>
  <c r="AQ9" i="72"/>
  <c r="AS5" i="72"/>
  <c r="AT5" i="72" s="1"/>
  <c r="AU5" i="72" s="1"/>
  <c r="AS13" i="72"/>
  <c r="AT13" i="72" s="1"/>
  <c r="AU13" i="72" s="1"/>
  <c r="AS9" i="72"/>
  <c r="AT9" i="72" s="1"/>
  <c r="AS6" i="72"/>
  <c r="AT6" i="72" s="1"/>
  <c r="AU6" i="72" s="1"/>
  <c r="AS22" i="72"/>
  <c r="AT11" i="72"/>
  <c r="AU11" i="72" s="1"/>
  <c r="AP6" i="72"/>
  <c r="AT24" i="72"/>
  <c r="AU24" i="72" s="1"/>
  <c r="AT18" i="72"/>
  <c r="AU18" i="72" s="1"/>
  <c r="AS8" i="72" l="1"/>
  <c r="AT8" i="72" s="1"/>
  <c r="AU8" i="72" s="1"/>
  <c r="AP7" i="72"/>
  <c r="AS7" i="72"/>
  <c r="AT7" i="72" s="1"/>
  <c r="AU7" i="72" s="1"/>
  <c r="AU9" i="72"/>
  <c r="AT22" i="72"/>
  <c r="AU22" i="72"/>
  <c r="G85" i="66" l="1"/>
  <c r="F85" i="66"/>
  <c r="B5" i="71"/>
  <c r="B6" i="71"/>
  <c r="B7" i="71"/>
  <c r="B8" i="71"/>
  <c r="B9" i="71"/>
  <c r="B10" i="71"/>
  <c r="B11" i="71"/>
  <c r="B12" i="71"/>
  <c r="B13" i="71"/>
  <c r="B4" i="71"/>
  <c r="W31" i="71"/>
  <c r="W30" i="71"/>
  <c r="AA30" i="71" s="1"/>
  <c r="W29" i="71"/>
  <c r="X29" i="71" s="1"/>
  <c r="W28" i="71"/>
  <c r="W27" i="71"/>
  <c r="W26" i="71"/>
  <c r="AA26" i="71" s="1"/>
  <c r="W25" i="71"/>
  <c r="X25" i="71" s="1"/>
  <c r="W24" i="71"/>
  <c r="W23" i="71"/>
  <c r="W22" i="71"/>
  <c r="W21" i="71"/>
  <c r="Y21" i="71" s="1"/>
  <c r="W20" i="71"/>
  <c r="W19" i="71"/>
  <c r="AB19" i="71" s="1"/>
  <c r="W18" i="71"/>
  <c r="AB18" i="71" s="1"/>
  <c r="W17" i="71"/>
  <c r="W16" i="71"/>
  <c r="G15" i="71"/>
  <c r="F15" i="71"/>
  <c r="AC13" i="71"/>
  <c r="AD13" i="71" s="1"/>
  <c r="F13" i="71"/>
  <c r="AC12" i="71"/>
  <c r="AD12" i="71" s="1"/>
  <c r="F12" i="71"/>
  <c r="AC11" i="71"/>
  <c r="AD11" i="71" s="1"/>
  <c r="F11" i="71"/>
  <c r="AC10" i="71"/>
  <c r="AD10" i="71" s="1"/>
  <c r="F10" i="71"/>
  <c r="AC9" i="71"/>
  <c r="AD9" i="71" s="1"/>
  <c r="F9" i="71"/>
  <c r="AC8" i="71"/>
  <c r="AD8" i="71" s="1"/>
  <c r="F8" i="71"/>
  <c r="AC7" i="71"/>
  <c r="AD7" i="71" s="1"/>
  <c r="F7" i="71"/>
  <c r="AC6" i="71"/>
  <c r="AD6" i="71" s="1"/>
  <c r="F6" i="71"/>
  <c r="AC5" i="71"/>
  <c r="AD5" i="71" s="1"/>
  <c r="F5" i="71"/>
  <c r="AC4" i="71"/>
  <c r="AD4" i="71" s="1"/>
  <c r="L4" i="71"/>
  <c r="F4" i="71" s="1"/>
  <c r="Y17" i="71" l="1"/>
  <c r="Z17" i="71"/>
  <c r="W13" i="71"/>
  <c r="H13" i="71"/>
  <c r="W12" i="71"/>
  <c r="H12" i="71"/>
  <c r="W11" i="71"/>
  <c r="H11" i="71"/>
  <c r="W10" i="71"/>
  <c r="H10" i="71"/>
  <c r="W9" i="71"/>
  <c r="H9" i="71"/>
  <c r="W8" i="71"/>
  <c r="H8" i="71"/>
  <c r="W7" i="71"/>
  <c r="H7" i="71"/>
  <c r="W6" i="71"/>
  <c r="H6" i="71"/>
  <c r="W5" i="71"/>
  <c r="H5" i="71"/>
  <c r="W4" i="71"/>
  <c r="H4" i="71"/>
  <c r="AC26" i="71"/>
  <c r="AC17" i="71"/>
  <c r="AB17" i="71"/>
  <c r="AA17" i="71"/>
  <c r="Y29" i="71"/>
  <c r="AC18" i="71"/>
  <c r="Y25" i="71"/>
  <c r="Z29" i="71"/>
  <c r="Z25" i="71"/>
  <c r="AA29" i="71"/>
  <c r="AA25" i="71"/>
  <c r="AB29" i="71"/>
  <c r="AB25" i="71"/>
  <c r="AC29" i="71"/>
  <c r="Z21" i="71"/>
  <c r="AC25" i="71"/>
  <c r="AA21" i="71"/>
  <c r="AB30" i="71"/>
  <c r="AB21" i="71"/>
  <c r="AB26" i="71"/>
  <c r="AC30" i="71"/>
  <c r="AC21" i="71"/>
  <c r="AC20" i="71"/>
  <c r="Y20" i="71"/>
  <c r="AB20" i="71"/>
  <c r="AA20" i="71"/>
  <c r="Z20" i="71"/>
  <c r="AC24" i="71"/>
  <c r="AB24" i="71"/>
  <c r="AA24" i="71"/>
  <c r="Z24" i="71"/>
  <c r="Y24" i="71"/>
  <c r="X24" i="71"/>
  <c r="G24" i="71" s="1"/>
  <c r="AB28" i="71"/>
  <c r="Z28" i="71"/>
  <c r="Y28" i="71"/>
  <c r="AC28" i="71"/>
  <c r="AA28" i="71"/>
  <c r="X28" i="71"/>
  <c r="Y16" i="71"/>
  <c r="AC16" i="71"/>
  <c r="AB16" i="71"/>
  <c r="AA16" i="71"/>
  <c r="Z16" i="71"/>
  <c r="X20" i="71"/>
  <c r="X16" i="71"/>
  <c r="AA22" i="71"/>
  <c r="X22" i="71"/>
  <c r="Z22" i="71"/>
  <c r="Y22" i="71"/>
  <c r="AB22" i="71"/>
  <c r="AC22" i="71"/>
  <c r="X19" i="71"/>
  <c r="X23" i="71"/>
  <c r="X27" i="71"/>
  <c r="X31" i="71"/>
  <c r="Y27" i="71"/>
  <c r="Y31" i="71"/>
  <c r="AA19" i="71"/>
  <c r="Z23" i="71"/>
  <c r="Z27" i="71"/>
  <c r="Z31" i="71"/>
  <c r="AA23" i="71"/>
  <c r="AA27" i="71"/>
  <c r="AC19" i="71"/>
  <c r="AB23" i="71"/>
  <c r="Y26" i="71"/>
  <c r="AB31" i="71"/>
  <c r="X17" i="71"/>
  <c r="AA18" i="71"/>
  <c r="G19" i="71"/>
  <c r="X21" i="71"/>
  <c r="G21" i="71" s="1"/>
  <c r="AC23" i="71"/>
  <c r="Z26" i="71"/>
  <c r="AC27" i="71"/>
  <c r="Z30" i="71"/>
  <c r="AC31" i="71"/>
  <c r="Y19" i="71"/>
  <c r="Z19" i="71"/>
  <c r="Y23" i="71"/>
  <c r="X18" i="71"/>
  <c r="Y18" i="71"/>
  <c r="X26" i="71"/>
  <c r="G26" i="71" s="1"/>
  <c r="X30" i="71"/>
  <c r="AA31" i="71"/>
  <c r="Z18" i="71"/>
  <c r="AB27" i="71"/>
  <c r="Y30" i="71"/>
  <c r="G17" i="71" l="1"/>
  <c r="Z13" i="71"/>
  <c r="AA13" i="71"/>
  <c r="Y13" i="71"/>
  <c r="AB13" i="71"/>
  <c r="X13" i="71"/>
  <c r="G13" i="71" s="1"/>
  <c r="Y12" i="71"/>
  <c r="AB12" i="71"/>
  <c r="X12" i="71"/>
  <c r="Z12" i="71"/>
  <c r="AA12" i="71"/>
  <c r="G12" i="71" s="1"/>
  <c r="AA11" i="71"/>
  <c r="Y11" i="71"/>
  <c r="Z11" i="71"/>
  <c r="X11" i="71"/>
  <c r="AB11" i="71"/>
  <c r="X10" i="71"/>
  <c r="Z10" i="71"/>
  <c r="AB10" i="71"/>
  <c r="Y10" i="71"/>
  <c r="AA10" i="71"/>
  <c r="AB9" i="71"/>
  <c r="X9" i="71"/>
  <c r="Y9" i="71"/>
  <c r="AA9" i="71"/>
  <c r="Z9" i="71"/>
  <c r="AB8" i="71"/>
  <c r="X8" i="71"/>
  <c r="Y8" i="71"/>
  <c r="AA8" i="71"/>
  <c r="Z8" i="71"/>
  <c r="Z7" i="71"/>
  <c r="Y7" i="71"/>
  <c r="AB7" i="71"/>
  <c r="AA7" i="71"/>
  <c r="X7" i="71"/>
  <c r="Z6" i="71"/>
  <c r="Y6" i="71"/>
  <c r="AB6" i="71"/>
  <c r="X6" i="71"/>
  <c r="AA6" i="71"/>
  <c r="G10" i="71"/>
  <c r="AB5" i="71"/>
  <c r="X5" i="71"/>
  <c r="AA5" i="71"/>
  <c r="Y5" i="71"/>
  <c r="Z5" i="71"/>
  <c r="X4" i="71"/>
  <c r="Y4" i="71"/>
  <c r="Z4" i="71"/>
  <c r="AA4" i="71"/>
  <c r="AB4" i="71"/>
  <c r="AR73" i="66"/>
  <c r="AD73" i="66"/>
  <c r="P73" i="66"/>
  <c r="W73" i="66"/>
  <c r="I73" i="66"/>
  <c r="AK73" i="66"/>
  <c r="G25" i="71"/>
  <c r="AP73" i="66"/>
  <c r="AB73" i="66"/>
  <c r="N73" i="66"/>
  <c r="G29" i="71"/>
  <c r="Y73" i="66"/>
  <c r="AM73" i="66"/>
  <c r="K73" i="66"/>
  <c r="G31" i="71"/>
  <c r="G27" i="71"/>
  <c r="G23" i="71"/>
  <c r="G16" i="71"/>
  <c r="G22" i="71"/>
  <c r="G20" i="71"/>
  <c r="G28" i="71"/>
  <c r="G18" i="71"/>
  <c r="G30" i="71"/>
  <c r="G9" i="71" l="1"/>
  <c r="G6" i="71"/>
  <c r="G5" i="71"/>
  <c r="U73" i="66"/>
  <c r="G73" i="66"/>
  <c r="AI73" i="66"/>
  <c r="G11" i="71"/>
  <c r="G8" i="71"/>
  <c r="G7" i="71"/>
  <c r="G4" i="71"/>
  <c r="AJ73" i="66"/>
  <c r="V73" i="66"/>
  <c r="H73" i="66"/>
  <c r="M73" i="66"/>
  <c r="AO73" i="66"/>
  <c r="AA73" i="66"/>
  <c r="Z73" i="66"/>
  <c r="L73" i="66"/>
  <c r="AN73" i="66"/>
  <c r="AH73" i="66"/>
  <c r="T73" i="66"/>
  <c r="F73" i="66"/>
  <c r="AS73" i="66"/>
  <c r="AE73" i="66"/>
  <c r="Q73" i="66"/>
  <c r="AT73" i="66"/>
  <c r="AF73" i="66"/>
  <c r="R73" i="66"/>
  <c r="J73" i="66"/>
  <c r="AL73" i="66"/>
  <c r="X73" i="66"/>
  <c r="AQ73" i="66"/>
  <c r="AC73" i="66"/>
  <c r="O73" i="66"/>
  <c r="G84" i="66"/>
  <c r="F84" i="66"/>
  <c r="B5" i="70"/>
  <c r="B6" i="70"/>
  <c r="B7" i="70"/>
  <c r="B8" i="70"/>
  <c r="B9" i="70"/>
  <c r="B10" i="70"/>
  <c r="B11" i="70"/>
  <c r="B12" i="70"/>
  <c r="B13" i="70"/>
  <c r="B4" i="70"/>
  <c r="D38" i="9"/>
  <c r="D37" i="9"/>
  <c r="H50" i="70"/>
  <c r="I48" i="70"/>
  <c r="J48" i="70" s="1"/>
  <c r="E48" i="70"/>
  <c r="G45" i="70"/>
  <c r="I45" i="70" s="1"/>
  <c r="J45" i="70" s="1"/>
  <c r="I44" i="70"/>
  <c r="J44" i="70" s="1"/>
  <c r="F44" i="70"/>
  <c r="G43" i="70"/>
  <c r="I43" i="70" s="1"/>
  <c r="J43" i="70" s="1"/>
  <c r="K42" i="70"/>
  <c r="I42" i="70"/>
  <c r="J42" i="70" s="1"/>
  <c r="F42" i="70"/>
  <c r="K41" i="70"/>
  <c r="I41" i="70"/>
  <c r="J41" i="70" s="1"/>
  <c r="I39" i="70"/>
  <c r="J39" i="70" s="1"/>
  <c r="I38" i="70"/>
  <c r="J38" i="70" s="1"/>
  <c r="Y37" i="70"/>
  <c r="Y5" i="70" s="1"/>
  <c r="W31" i="70"/>
  <c r="W30" i="70"/>
  <c r="X30" i="70" s="1"/>
  <c r="W29" i="70"/>
  <c r="X29" i="70" s="1"/>
  <c r="W28" i="70"/>
  <c r="W27" i="70"/>
  <c r="X27" i="70" s="1"/>
  <c r="W26" i="70"/>
  <c r="W25" i="70"/>
  <c r="W24" i="70"/>
  <c r="W23" i="70"/>
  <c r="W22" i="70"/>
  <c r="X22" i="70" s="1"/>
  <c r="W21" i="70"/>
  <c r="W20" i="70"/>
  <c r="W19" i="70"/>
  <c r="X19" i="70" s="1"/>
  <c r="W18" i="70"/>
  <c r="W17" i="70"/>
  <c r="W16" i="70"/>
  <c r="G15" i="70"/>
  <c r="F15" i="70"/>
  <c r="U13" i="70"/>
  <c r="R13" i="70"/>
  <c r="F13" i="70"/>
  <c r="W13" i="70" s="1"/>
  <c r="U12" i="70"/>
  <c r="R12" i="70"/>
  <c r="N12" i="70"/>
  <c r="F12" i="70"/>
  <c r="W12" i="70" s="1"/>
  <c r="U11" i="70"/>
  <c r="R11" i="70"/>
  <c r="N11" i="70"/>
  <c r="F11" i="70"/>
  <c r="W11" i="70" s="1"/>
  <c r="U10" i="70"/>
  <c r="R10" i="70"/>
  <c r="N10" i="70"/>
  <c r="F10" i="70"/>
  <c r="W10" i="70" s="1"/>
  <c r="U9" i="70"/>
  <c r="R9" i="70"/>
  <c r="F9" i="70"/>
  <c r="W9" i="70" s="1"/>
  <c r="U8" i="70"/>
  <c r="N8" i="70" s="1"/>
  <c r="R8" i="70"/>
  <c r="F8" i="70"/>
  <c r="W8" i="70" s="1"/>
  <c r="U7" i="70"/>
  <c r="R7" i="70"/>
  <c r="N7" i="70"/>
  <c r="F7" i="70"/>
  <c r="W7" i="70" s="1"/>
  <c r="U6" i="70"/>
  <c r="N6" i="70" s="1"/>
  <c r="R6" i="70"/>
  <c r="F6" i="70"/>
  <c r="W6" i="70" s="1"/>
  <c r="U5" i="70"/>
  <c r="R5" i="70"/>
  <c r="N5" i="70"/>
  <c r="F5" i="70"/>
  <c r="W5" i="70" s="1"/>
  <c r="U4" i="70"/>
  <c r="R4" i="70"/>
  <c r="F4" i="70"/>
  <c r="W4" i="70" s="1"/>
  <c r="AB31" i="70"/>
  <c r="AA7" i="70"/>
  <c r="AA4" i="70" l="1"/>
  <c r="AB25" i="70"/>
  <c r="AA5" i="70"/>
  <c r="AB5" i="70"/>
  <c r="AB6" i="70"/>
  <c r="AA12" i="70"/>
  <c r="AB22" i="70"/>
  <c r="AB7" i="70"/>
  <c r="AB19" i="70"/>
  <c r="AA6" i="70"/>
  <c r="N4" i="70"/>
  <c r="N9" i="70"/>
  <c r="G46" i="70"/>
  <c r="I46" i="70" s="1"/>
  <c r="J46" i="70" s="1"/>
  <c r="N13" i="70"/>
  <c r="AA13" i="70"/>
  <c r="F43" i="70"/>
  <c r="G47" i="70" s="1"/>
  <c r="I47" i="70" s="1"/>
  <c r="J47" i="70" s="1"/>
  <c r="F47" i="70" s="1"/>
  <c r="Y4" i="70"/>
  <c r="Y16" i="70"/>
  <c r="Z16" i="70" s="1"/>
  <c r="AC16" i="70" s="1"/>
  <c r="Y19" i="70"/>
  <c r="Z19" i="70" s="1"/>
  <c r="AC19" i="70" s="1"/>
  <c r="Z4" i="70"/>
  <c r="AA11" i="70"/>
  <c r="Y22" i="70"/>
  <c r="Z22" i="70" s="1"/>
  <c r="AC22" i="70" s="1"/>
  <c r="G22" i="70" s="1"/>
  <c r="F39" i="70"/>
  <c r="Z5" i="70"/>
  <c r="Z7" i="70"/>
  <c r="F46" i="70"/>
  <c r="Y27" i="70"/>
  <c r="Z27" i="70" s="1"/>
  <c r="AC27" i="70" s="1"/>
  <c r="Y13" i="70"/>
  <c r="Z13" i="70" s="1"/>
  <c r="AB16" i="70"/>
  <c r="X18" i="70"/>
  <c r="X21" i="70"/>
  <c r="Y24" i="70"/>
  <c r="Z24" i="70" s="1"/>
  <c r="AC24" i="70" s="1"/>
  <c r="AB27" i="70"/>
  <c r="AB30" i="70"/>
  <c r="Y12" i="70"/>
  <c r="Z12" i="70" s="1"/>
  <c r="Y18" i="70"/>
  <c r="Z18" i="70" s="1"/>
  <c r="AC18" i="70" s="1"/>
  <c r="Y21" i="70"/>
  <c r="Z21" i="70" s="1"/>
  <c r="AC21" i="70" s="1"/>
  <c r="AB4" i="70"/>
  <c r="AB18" i="70"/>
  <c r="AB21" i="70"/>
  <c r="X20" i="70"/>
  <c r="X23" i="70"/>
  <c r="AB26" i="70"/>
  <c r="AB29" i="70"/>
  <c r="Y8" i="70"/>
  <c r="Z8" i="70" s="1"/>
  <c r="AA10" i="70"/>
  <c r="AB11" i="70"/>
  <c r="Y17" i="70"/>
  <c r="Z17" i="70" s="1"/>
  <c r="AC17" i="70" s="1"/>
  <c r="Y20" i="70"/>
  <c r="Z20" i="70" s="1"/>
  <c r="AC20" i="70" s="1"/>
  <c r="Y23" i="70"/>
  <c r="Z23" i="70" s="1"/>
  <c r="AC23" i="70" s="1"/>
  <c r="X28" i="70"/>
  <c r="X31" i="70"/>
  <c r="Y26" i="70"/>
  <c r="Z26" i="70" s="1"/>
  <c r="AC26" i="70" s="1"/>
  <c r="Y29" i="70"/>
  <c r="Z29" i="70" s="1"/>
  <c r="AB12" i="70"/>
  <c r="Y7" i="70"/>
  <c r="AA9" i="70"/>
  <c r="AB10" i="70"/>
  <c r="Y28" i="70"/>
  <c r="Z28" i="70" s="1"/>
  <c r="AC28" i="70" s="1"/>
  <c r="Y31" i="70"/>
  <c r="Z31" i="70" s="1"/>
  <c r="Y30" i="70"/>
  <c r="Z30" i="70" s="1"/>
  <c r="Y11" i="70"/>
  <c r="Z11" i="70" s="1"/>
  <c r="Y9" i="70"/>
  <c r="Z9" i="70" s="1"/>
  <c r="AB17" i="70"/>
  <c r="AB20" i="70"/>
  <c r="AB23" i="70"/>
  <c r="Y25" i="70"/>
  <c r="Z25" i="70" s="1"/>
  <c r="AC25" i="70" s="1"/>
  <c r="AB24" i="70"/>
  <c r="Y10" i="70"/>
  <c r="Z10" i="70" s="1"/>
  <c r="AB13" i="70"/>
  <c r="Y6" i="70"/>
  <c r="Z6" i="70" s="1"/>
  <c r="AA8" i="70"/>
  <c r="AB9" i="70"/>
  <c r="AB8" i="70"/>
  <c r="AB28" i="70"/>
  <c r="G25" i="70" l="1"/>
  <c r="H25" i="70" s="1"/>
  <c r="G6" i="70"/>
  <c r="G5" i="70"/>
  <c r="G19" i="70"/>
  <c r="H19" i="70" s="1"/>
  <c r="G9" i="70"/>
  <c r="G16" i="70"/>
  <c r="F72" i="66" s="1"/>
  <c r="G13" i="70"/>
  <c r="G27" i="70"/>
  <c r="H27" i="70" s="1"/>
  <c r="G30" i="70"/>
  <c r="H30" i="70" s="1"/>
  <c r="G7" i="70"/>
  <c r="AH72" i="66"/>
  <c r="G23" i="70"/>
  <c r="G12" i="70"/>
  <c r="H22" i="70"/>
  <c r="Z72" i="66"/>
  <c r="L72" i="66"/>
  <c r="AN72" i="66"/>
  <c r="G11" i="70"/>
  <c r="G4" i="70"/>
  <c r="G20" i="70"/>
  <c r="G21" i="70"/>
  <c r="G17" i="70"/>
  <c r="G18" i="70"/>
  <c r="G28" i="70"/>
  <c r="G10" i="70"/>
  <c r="G8" i="70"/>
  <c r="G24" i="70"/>
  <c r="G29" i="70"/>
  <c r="H29" i="70" s="1"/>
  <c r="G31" i="70"/>
  <c r="H31" i="70" s="1"/>
  <c r="G26" i="70"/>
  <c r="H16" i="70" l="1"/>
  <c r="AC72" i="66"/>
  <c r="W72" i="66"/>
  <c r="T72" i="66"/>
  <c r="AQ72" i="66"/>
  <c r="O72" i="66"/>
  <c r="I72" i="66"/>
  <c r="AS72" i="66"/>
  <c r="AK72" i="66"/>
  <c r="Q72" i="66"/>
  <c r="AE72" i="66"/>
  <c r="H26" i="70"/>
  <c r="P72" i="66"/>
  <c r="AR72" i="66"/>
  <c r="AD72" i="66"/>
  <c r="H18" i="70"/>
  <c r="H72" i="66"/>
  <c r="AJ72" i="66"/>
  <c r="V72" i="66"/>
  <c r="H24" i="70"/>
  <c r="N72" i="66"/>
  <c r="AP72" i="66"/>
  <c r="AB72" i="66"/>
  <c r="H28" i="70"/>
  <c r="R72" i="66"/>
  <c r="AF72" i="66"/>
  <c r="AT72" i="66"/>
  <c r="H17" i="70"/>
  <c r="U72" i="66"/>
  <c r="AI72" i="66"/>
  <c r="G72" i="66"/>
  <c r="H21" i="70"/>
  <c r="K72" i="66"/>
  <c r="Y72" i="66"/>
  <c r="AM72" i="66"/>
  <c r="H20" i="70"/>
  <c r="X72" i="66"/>
  <c r="J72" i="66"/>
  <c r="AL72" i="66"/>
  <c r="H23" i="70"/>
  <c r="AA72" i="66"/>
  <c r="AO72" i="66"/>
  <c r="M72" i="66"/>
  <c r="G80" i="66"/>
  <c r="F80" i="66"/>
  <c r="AR68" i="66"/>
  <c r="AQ68" i="66"/>
  <c r="AP68" i="66"/>
  <c r="AO68" i="66"/>
  <c r="AJ68" i="66"/>
  <c r="AI68" i="66"/>
  <c r="AH68" i="66"/>
  <c r="AC68" i="66"/>
  <c r="AB68" i="66"/>
  <c r="AA68" i="66"/>
  <c r="U68" i="66"/>
  <c r="T68" i="66"/>
  <c r="C5" i="69"/>
  <c r="C6" i="69"/>
  <c r="C7" i="69"/>
  <c r="C8" i="69"/>
  <c r="C9" i="69"/>
  <c r="C10" i="69"/>
  <c r="C11" i="69"/>
  <c r="C12" i="69"/>
  <c r="C13" i="69"/>
  <c r="C14" i="69"/>
  <c r="C15" i="69"/>
  <c r="C4" i="69"/>
  <c r="AJ118" i="69"/>
  <c r="AH118" i="69"/>
  <c r="Z118" i="69"/>
  <c r="AJ117" i="69"/>
  <c r="AH117" i="69"/>
  <c r="Z117" i="69"/>
  <c r="AE117" i="69" s="1"/>
  <c r="AJ116" i="69"/>
  <c r="AH116" i="69"/>
  <c r="Z116" i="69"/>
  <c r="AJ115" i="69"/>
  <c r="AH115" i="69"/>
  <c r="AJ114" i="69"/>
  <c r="AH114" i="69"/>
  <c r="AJ113" i="69"/>
  <c r="AH113" i="69"/>
  <c r="AJ112" i="69"/>
  <c r="AH112" i="69"/>
  <c r="AJ111" i="69"/>
  <c r="AH111" i="69"/>
  <c r="AJ110" i="69"/>
  <c r="AH110" i="69"/>
  <c r="AJ109" i="69"/>
  <c r="AH109" i="69"/>
  <c r="AJ108" i="69"/>
  <c r="AH108" i="69"/>
  <c r="AJ107" i="69"/>
  <c r="AH107" i="69"/>
  <c r="AJ106" i="69"/>
  <c r="AH106" i="69"/>
  <c r="AJ105" i="69"/>
  <c r="AH105" i="69"/>
  <c r="AJ104" i="69"/>
  <c r="AH104" i="69"/>
  <c r="AJ103" i="69"/>
  <c r="AH103" i="69"/>
  <c r="AJ101" i="69"/>
  <c r="AH101" i="69"/>
  <c r="Z101" i="69"/>
  <c r="AJ100" i="69"/>
  <c r="AH100" i="69"/>
  <c r="Z100" i="69"/>
  <c r="AJ99" i="69"/>
  <c r="AK99" i="69" s="1"/>
  <c r="AH99" i="69"/>
  <c r="Z99" i="69"/>
  <c r="AB99" i="69" s="1"/>
  <c r="AJ98" i="69"/>
  <c r="AH98" i="69"/>
  <c r="AJ97" i="69"/>
  <c r="AH97" i="69"/>
  <c r="AJ96" i="69"/>
  <c r="AH96" i="69"/>
  <c r="AE96" i="69"/>
  <c r="Z96" i="69"/>
  <c r="AJ95" i="69"/>
  <c r="AH95" i="69"/>
  <c r="AJ94" i="69"/>
  <c r="AH94" i="69"/>
  <c r="AJ93" i="69"/>
  <c r="AH93" i="69"/>
  <c r="Z93" i="69"/>
  <c r="AJ92" i="69"/>
  <c r="AH92" i="69"/>
  <c r="AJ91" i="69"/>
  <c r="AH91" i="69"/>
  <c r="AJ90" i="69"/>
  <c r="AH90" i="69"/>
  <c r="AJ89" i="69"/>
  <c r="AH89" i="69"/>
  <c r="AJ88" i="69"/>
  <c r="AH88" i="69"/>
  <c r="Z88" i="69"/>
  <c r="AE88" i="69" s="1"/>
  <c r="AJ87" i="69"/>
  <c r="AH87" i="69"/>
  <c r="Z87" i="69"/>
  <c r="AJ86" i="69"/>
  <c r="AH86" i="69"/>
  <c r="Z86" i="69"/>
  <c r="AJ84" i="69"/>
  <c r="AH84" i="69"/>
  <c r="Z84" i="69"/>
  <c r="AJ83" i="69"/>
  <c r="AH83" i="69"/>
  <c r="Z83" i="69"/>
  <c r="AE83" i="69" s="1"/>
  <c r="AJ82" i="69"/>
  <c r="AK82" i="69" s="1"/>
  <c r="AH82" i="69"/>
  <c r="Z82" i="69"/>
  <c r="AE82" i="69" s="1"/>
  <c r="AJ81" i="69"/>
  <c r="AH81" i="69"/>
  <c r="AJ80" i="69"/>
  <c r="AH80" i="69"/>
  <c r="AJ79" i="69"/>
  <c r="AH79" i="69"/>
  <c r="AJ78" i="69"/>
  <c r="AH78" i="69"/>
  <c r="AJ77" i="69"/>
  <c r="AH77" i="69"/>
  <c r="AJ76" i="69"/>
  <c r="AH76" i="69"/>
  <c r="AJ75" i="69"/>
  <c r="AH75" i="69"/>
  <c r="AJ74" i="69"/>
  <c r="AH74" i="69"/>
  <c r="AJ73" i="69"/>
  <c r="AH73" i="69"/>
  <c r="AJ72" i="69"/>
  <c r="AH72" i="69"/>
  <c r="AJ71" i="69"/>
  <c r="AH71" i="69"/>
  <c r="AJ70" i="69"/>
  <c r="AH70" i="69"/>
  <c r="Z70" i="69"/>
  <c r="AB70" i="69" s="1"/>
  <c r="AJ69" i="69"/>
  <c r="AH69" i="69"/>
  <c r="Z69" i="69"/>
  <c r="Y68" i="69"/>
  <c r="AJ67" i="69"/>
  <c r="AH67" i="69"/>
  <c r="Z67" i="69"/>
  <c r="AE67" i="69" s="1"/>
  <c r="AJ66" i="69"/>
  <c r="AH66" i="69"/>
  <c r="Z66" i="69"/>
  <c r="AB66" i="69" s="1"/>
  <c r="AC66" i="69" s="1"/>
  <c r="AJ65" i="69"/>
  <c r="AH65" i="69"/>
  <c r="Z65" i="69"/>
  <c r="AE65" i="69" s="1"/>
  <c r="AJ64" i="69"/>
  <c r="AH64" i="69"/>
  <c r="AJ63" i="69"/>
  <c r="AH63" i="69"/>
  <c r="AJ62" i="69"/>
  <c r="AH62" i="69"/>
  <c r="Y62" i="69"/>
  <c r="AJ61" i="69"/>
  <c r="AH61" i="69"/>
  <c r="AJ60" i="69"/>
  <c r="AH60" i="69"/>
  <c r="AJ59" i="69"/>
  <c r="AH59" i="69"/>
  <c r="AJ58" i="69"/>
  <c r="AH58" i="69"/>
  <c r="AJ57" i="69"/>
  <c r="AH57" i="69"/>
  <c r="AJ56" i="69"/>
  <c r="AH56" i="69"/>
  <c r="AJ55" i="69"/>
  <c r="AH55" i="69"/>
  <c r="AJ54" i="69"/>
  <c r="AH54" i="69"/>
  <c r="AJ53" i="69"/>
  <c r="AH53" i="69"/>
  <c r="AJ52" i="69"/>
  <c r="AK52" i="69" s="1"/>
  <c r="AH52" i="69"/>
  <c r="Z52" i="69"/>
  <c r="AE52" i="69" s="1"/>
  <c r="AJ50" i="69"/>
  <c r="AH50" i="69"/>
  <c r="Z50" i="69"/>
  <c r="AE50" i="69" s="1"/>
  <c r="AJ49" i="69"/>
  <c r="AH49" i="69"/>
  <c r="Z49" i="69"/>
  <c r="AB49" i="69" s="1"/>
  <c r="AJ48" i="69"/>
  <c r="AK48" i="69" s="1"/>
  <c r="AH48" i="69"/>
  <c r="Z48" i="69"/>
  <c r="AE48" i="69" s="1"/>
  <c r="AJ47" i="69"/>
  <c r="AH47" i="69"/>
  <c r="AJ46" i="69"/>
  <c r="AH46" i="69"/>
  <c r="AJ45" i="69"/>
  <c r="AH45" i="69"/>
  <c r="AJ44" i="69"/>
  <c r="AH44" i="69"/>
  <c r="AJ43" i="69"/>
  <c r="AH43" i="69"/>
  <c r="AJ42" i="69"/>
  <c r="AH42" i="69"/>
  <c r="AJ41" i="69"/>
  <c r="AH41" i="69"/>
  <c r="AJ40" i="69"/>
  <c r="AH40" i="69"/>
  <c r="AJ39" i="69"/>
  <c r="AH39" i="69"/>
  <c r="AJ38" i="69"/>
  <c r="AH38" i="69"/>
  <c r="AJ37" i="69"/>
  <c r="AH37" i="69"/>
  <c r="AJ36" i="69"/>
  <c r="AH36" i="69"/>
  <c r="AJ35" i="69"/>
  <c r="AH35" i="69"/>
  <c r="Y35" i="69"/>
  <c r="AJ33" i="69"/>
  <c r="AK33" i="69" s="1"/>
  <c r="AN33" i="69" s="1"/>
  <c r="AH33" i="69"/>
  <c r="AE33" i="69"/>
  <c r="AB33" i="69"/>
  <c r="AC33" i="69" s="1"/>
  <c r="Y33" i="69"/>
  <c r="Y101" i="69" s="1"/>
  <c r="AJ32" i="69"/>
  <c r="AK32" i="69" s="1"/>
  <c r="AH32" i="69"/>
  <c r="AE32" i="69"/>
  <c r="AB32" i="69"/>
  <c r="AC32" i="69" s="1"/>
  <c r="Y32" i="69"/>
  <c r="Y100" i="69" s="1"/>
  <c r="AJ31" i="69"/>
  <c r="AK31" i="69" s="1"/>
  <c r="AH31" i="69"/>
  <c r="AE31" i="69"/>
  <c r="AB31" i="69"/>
  <c r="AC31" i="69" s="1"/>
  <c r="Y31" i="69"/>
  <c r="Y82" i="69" s="1"/>
  <c r="AJ30" i="69"/>
  <c r="AH30" i="69"/>
  <c r="Y30" i="69"/>
  <c r="AJ29" i="69"/>
  <c r="AH29" i="69"/>
  <c r="Y29" i="69"/>
  <c r="Y114" i="69" s="1"/>
  <c r="AJ28" i="69"/>
  <c r="AH28" i="69"/>
  <c r="Z28" i="69"/>
  <c r="Y28" i="69"/>
  <c r="Y113" i="69" s="1"/>
  <c r="N28" i="69"/>
  <c r="Z113" i="69" s="1"/>
  <c r="AB113" i="69" s="1"/>
  <c r="J28" i="69"/>
  <c r="Z45" i="69" s="1"/>
  <c r="AB45" i="69" s="1"/>
  <c r="AJ27" i="69"/>
  <c r="AH27" i="69"/>
  <c r="Z27" i="69"/>
  <c r="Y27" i="69"/>
  <c r="M27" i="69"/>
  <c r="L27" i="69"/>
  <c r="Z78" i="69" s="1"/>
  <c r="K27" i="69"/>
  <c r="Z61" i="69" s="1"/>
  <c r="AE61" i="69" s="1"/>
  <c r="AJ26" i="69"/>
  <c r="AH26" i="69"/>
  <c r="Z26" i="69"/>
  <c r="AB26" i="69" s="1"/>
  <c r="AC26" i="69" s="1"/>
  <c r="Y26" i="69"/>
  <c r="Y94" i="69" s="1"/>
  <c r="M26" i="69"/>
  <c r="N26" i="69" s="1"/>
  <c r="Z111" i="69" s="1"/>
  <c r="AE111" i="69" s="1"/>
  <c r="L26" i="69"/>
  <c r="Z77" i="69" s="1"/>
  <c r="K26" i="69"/>
  <c r="Z60" i="69" s="1"/>
  <c r="AJ25" i="69"/>
  <c r="AH25" i="69"/>
  <c r="Y25" i="69"/>
  <c r="N25" i="69"/>
  <c r="Z110" i="69" s="1"/>
  <c r="L25" i="69"/>
  <c r="Z76" i="69" s="1"/>
  <c r="K25" i="69"/>
  <c r="Z59" i="69" s="1"/>
  <c r="Z25" i="69"/>
  <c r="AJ24" i="69"/>
  <c r="AH24" i="69"/>
  <c r="Z24" i="69"/>
  <c r="Y24" i="69"/>
  <c r="Y41" i="69" s="1"/>
  <c r="L24" i="69"/>
  <c r="Z75" i="69" s="1"/>
  <c r="J24" i="69"/>
  <c r="Z41" i="69" s="1"/>
  <c r="AE41" i="69" s="1"/>
  <c r="AJ23" i="69"/>
  <c r="AH23" i="69"/>
  <c r="Z23" i="69"/>
  <c r="Y23" i="69"/>
  <c r="Y91" i="69" s="1"/>
  <c r="L23" i="69"/>
  <c r="Z74" i="69" s="1"/>
  <c r="J23" i="69"/>
  <c r="K23" i="69" s="1"/>
  <c r="Z57" i="69" s="1"/>
  <c r="AJ22" i="69"/>
  <c r="AH22" i="69"/>
  <c r="Z22" i="69"/>
  <c r="Y22" i="69"/>
  <c r="L22" i="69"/>
  <c r="Z73" i="69" s="1"/>
  <c r="J22" i="69"/>
  <c r="K22" i="69" s="1"/>
  <c r="Z56" i="69" s="1"/>
  <c r="AJ21" i="69"/>
  <c r="AH21" i="69"/>
  <c r="Z21" i="69"/>
  <c r="Y21" i="69"/>
  <c r="Y106" i="69" s="1"/>
  <c r="L21" i="69"/>
  <c r="M21" i="69" s="1"/>
  <c r="J21" i="69"/>
  <c r="Z38" i="69" s="1"/>
  <c r="AE38" i="69" s="1"/>
  <c r="AJ20" i="69"/>
  <c r="AH20" i="69"/>
  <c r="Z20" i="69"/>
  <c r="AE20" i="69" s="1"/>
  <c r="Y20" i="69"/>
  <c r="Y71" i="69" s="1"/>
  <c r="N20" i="69"/>
  <c r="Z105" i="69" s="1"/>
  <c r="AE105" i="69" s="1"/>
  <c r="L20" i="69"/>
  <c r="Z71" i="69" s="1"/>
  <c r="AE71" i="69" s="1"/>
  <c r="J20" i="69"/>
  <c r="Z37" i="69" s="1"/>
  <c r="AJ19" i="69"/>
  <c r="AH19" i="69"/>
  <c r="Z19" i="69"/>
  <c r="Y19" i="69"/>
  <c r="Y104" i="69" s="1"/>
  <c r="N19" i="69"/>
  <c r="Z104" i="69" s="1"/>
  <c r="AE104" i="69" s="1"/>
  <c r="J19" i="69"/>
  <c r="Z36" i="69" s="1"/>
  <c r="AJ18" i="69"/>
  <c r="AH18" i="69"/>
  <c r="Z18" i="69"/>
  <c r="AE18" i="69" s="1"/>
  <c r="Y18" i="69"/>
  <c r="Y86" i="69" s="1"/>
  <c r="Q18" i="69"/>
  <c r="N18" i="69"/>
  <c r="Z103" i="69" s="1"/>
  <c r="J18" i="69"/>
  <c r="Z35" i="69" s="1"/>
  <c r="AK35" i="69" s="1"/>
  <c r="N17" i="69"/>
  <c r="Y102" i="69" s="1"/>
  <c r="M17" i="69"/>
  <c r="Y85" i="69" s="1"/>
  <c r="K17" i="69"/>
  <c r="Y51" i="69" s="1"/>
  <c r="J17" i="69"/>
  <c r="Y34" i="69" s="1"/>
  <c r="AY15" i="69"/>
  <c r="AX15" i="69"/>
  <c r="AQ15" i="69"/>
  <c r="AJ15" i="69"/>
  <c r="AH15" i="69"/>
  <c r="P15" i="69"/>
  <c r="AY14" i="69"/>
  <c r="AX14" i="69"/>
  <c r="AQ14" i="69"/>
  <c r="AJ14" i="69"/>
  <c r="AH14" i="69"/>
  <c r="P14" i="69"/>
  <c r="AY13" i="69"/>
  <c r="AX13" i="69"/>
  <c r="AJ13" i="69"/>
  <c r="AH13" i="69"/>
  <c r="P13" i="69"/>
  <c r="AY12" i="69"/>
  <c r="AX12" i="69"/>
  <c r="AQ12" i="69"/>
  <c r="AJ12" i="69"/>
  <c r="AH12" i="69"/>
  <c r="P12" i="69"/>
  <c r="AY11" i="69"/>
  <c r="AX11" i="69"/>
  <c r="AQ11" i="69"/>
  <c r="AJ11" i="69"/>
  <c r="AH11" i="69"/>
  <c r="P11" i="69"/>
  <c r="AY10" i="69"/>
  <c r="AX10" i="69"/>
  <c r="AJ10" i="69"/>
  <c r="AH10" i="69"/>
  <c r="P10" i="69"/>
  <c r="AY9" i="69"/>
  <c r="AX9" i="69"/>
  <c r="AJ9" i="69"/>
  <c r="AH9" i="69"/>
  <c r="P9" i="69"/>
  <c r="AY8" i="69"/>
  <c r="AX8" i="69"/>
  <c r="AJ8" i="69"/>
  <c r="AH8" i="69"/>
  <c r="P8" i="69"/>
  <c r="AY7" i="69"/>
  <c r="AX7" i="69"/>
  <c r="AJ7" i="69"/>
  <c r="AH7" i="69"/>
  <c r="P7" i="69"/>
  <c r="AY6" i="69"/>
  <c r="AX6" i="69"/>
  <c r="AJ6" i="69"/>
  <c r="AH6" i="69"/>
  <c r="P6" i="69"/>
  <c r="AY5" i="69"/>
  <c r="AX5" i="69"/>
  <c r="AQ5" i="69"/>
  <c r="AJ5" i="69"/>
  <c r="AH5" i="69"/>
  <c r="P5" i="69"/>
  <c r="AY4" i="69"/>
  <c r="AX4" i="69"/>
  <c r="AQ4" i="69"/>
  <c r="AJ4" i="69"/>
  <c r="AH4" i="69"/>
  <c r="P4" i="69"/>
  <c r="Z39" i="69" l="1"/>
  <c r="AB39" i="69" s="1"/>
  <c r="AK18" i="69"/>
  <c r="AK74" i="69"/>
  <c r="AE26" i="69"/>
  <c r="L15" i="69"/>
  <c r="M15" i="69" s="1"/>
  <c r="J15" i="69"/>
  <c r="K15" i="69"/>
  <c r="J14" i="69"/>
  <c r="K14" i="69"/>
  <c r="K12" i="69"/>
  <c r="J12" i="69"/>
  <c r="J11" i="69"/>
  <c r="K11" i="69"/>
  <c r="K5" i="69"/>
  <c r="J5" i="69"/>
  <c r="K4" i="69"/>
  <c r="J4" i="69"/>
  <c r="AK41" i="69"/>
  <c r="Y60" i="69"/>
  <c r="AK57" i="69"/>
  <c r="Y38" i="69"/>
  <c r="Y52" i="69"/>
  <c r="AK87" i="69"/>
  <c r="AK19" i="69"/>
  <c r="Y43" i="69"/>
  <c r="Y48" i="69"/>
  <c r="Y57" i="69"/>
  <c r="Y111" i="69"/>
  <c r="AB57" i="69"/>
  <c r="AC57" i="69" s="1"/>
  <c r="M22" i="69"/>
  <c r="N22" i="69" s="1"/>
  <c r="Z107" i="69" s="1"/>
  <c r="AK107" i="69" s="1"/>
  <c r="M24" i="69"/>
  <c r="N24" i="69" s="1"/>
  <c r="Z109" i="69" s="1"/>
  <c r="Y55" i="69"/>
  <c r="AK69" i="69"/>
  <c r="AK83" i="69"/>
  <c r="AL83" i="69" s="1"/>
  <c r="AN83" i="69" s="1"/>
  <c r="AB36" i="69"/>
  <c r="AC36" i="69" s="1"/>
  <c r="AE36" i="69"/>
  <c r="N21" i="69"/>
  <c r="Z106" i="69" s="1"/>
  <c r="AB106" i="69" s="1"/>
  <c r="Z89" i="69"/>
  <c r="AB89" i="69" s="1"/>
  <c r="AK86" i="69"/>
  <c r="AQ9" i="69"/>
  <c r="AB69" i="69"/>
  <c r="AE66" i="69"/>
  <c r="AK26" i="69"/>
  <c r="AN31" i="69"/>
  <c r="Z40" i="69"/>
  <c r="AK40" i="69" s="1"/>
  <c r="Y72" i="69"/>
  <c r="AB83" i="69"/>
  <c r="AC83" i="69" s="1"/>
  <c r="Z90" i="69"/>
  <c r="AK90" i="69" s="1"/>
  <c r="AK96" i="69"/>
  <c r="AB104" i="69"/>
  <c r="AC104" i="69" s="1"/>
  <c r="AK111" i="69"/>
  <c r="L14" i="69"/>
  <c r="M14" i="69" s="1"/>
  <c r="K19" i="69"/>
  <c r="Z53" i="69" s="1"/>
  <c r="AE53" i="69" s="1"/>
  <c r="AE69" i="69"/>
  <c r="Y75" i="69"/>
  <c r="Y37" i="69"/>
  <c r="AK66" i="69"/>
  <c r="AL66" i="69" s="1"/>
  <c r="Z72" i="69"/>
  <c r="AK72" i="69" s="1"/>
  <c r="Z94" i="69"/>
  <c r="AE94" i="69" s="1"/>
  <c r="AE19" i="69"/>
  <c r="AB67" i="69"/>
  <c r="Y88" i="69"/>
  <c r="Y65" i="69"/>
  <c r="AB105" i="69"/>
  <c r="AC105" i="69" s="1"/>
  <c r="AB38" i="69"/>
  <c r="AC38" i="69" s="1"/>
  <c r="AE57" i="69"/>
  <c r="AE70" i="69"/>
  <c r="Y77" i="69"/>
  <c r="AB82" i="69"/>
  <c r="AC82" i="69" s="1"/>
  <c r="AM32" i="69"/>
  <c r="G32" i="69" s="1"/>
  <c r="AK53" i="69"/>
  <c r="AK67" i="69"/>
  <c r="Y103" i="69"/>
  <c r="AK70" i="69"/>
  <c r="AK88" i="69"/>
  <c r="AB96" i="69"/>
  <c r="AC96" i="69" s="1"/>
  <c r="AC70" i="69"/>
  <c r="AK65" i="69"/>
  <c r="Y69" i="69"/>
  <c r="Y89" i="69"/>
  <c r="AK76" i="69"/>
  <c r="AB76" i="69"/>
  <c r="AC76" i="69" s="1"/>
  <c r="AE76" i="69"/>
  <c r="Y110" i="69"/>
  <c r="Y42" i="69"/>
  <c r="Y59" i="69"/>
  <c r="K28" i="69"/>
  <c r="AE113" i="69"/>
  <c r="AL113" i="69" s="1"/>
  <c r="AC113" i="69"/>
  <c r="AK113" i="69"/>
  <c r="AM33" i="69"/>
  <c r="G33" i="69" s="1"/>
  <c r="Y76" i="69"/>
  <c r="Y56" i="69"/>
  <c r="Y107" i="69"/>
  <c r="Y39" i="69"/>
  <c r="Y90" i="69"/>
  <c r="Y73" i="69"/>
  <c r="AK103" i="69"/>
  <c r="AE103" i="69"/>
  <c r="AK22" i="69"/>
  <c r="AB22" i="69"/>
  <c r="AC22" i="69" s="1"/>
  <c r="AE22" i="69"/>
  <c r="AB110" i="69"/>
  <c r="AC110" i="69" s="1"/>
  <c r="AK110" i="69"/>
  <c r="AE110" i="69"/>
  <c r="AC45" i="69"/>
  <c r="AK45" i="69"/>
  <c r="AE45" i="69"/>
  <c r="AL45" i="69" s="1"/>
  <c r="AB103" i="69"/>
  <c r="J30" i="69"/>
  <c r="Z30" i="69"/>
  <c r="AK37" i="69"/>
  <c r="AE37" i="69"/>
  <c r="AB37" i="69"/>
  <c r="AE60" i="69"/>
  <c r="AK60" i="69"/>
  <c r="AB60" i="69"/>
  <c r="AL60" i="69" s="1"/>
  <c r="AB21" i="69"/>
  <c r="AC21" i="69" s="1"/>
  <c r="AE21" i="69"/>
  <c r="AK21" i="69"/>
  <c r="AK24" i="69"/>
  <c r="AE24" i="69"/>
  <c r="L30" i="69"/>
  <c r="AQ13" i="69"/>
  <c r="AB24" i="69"/>
  <c r="AC24" i="69" s="1"/>
  <c r="AE78" i="69"/>
  <c r="AK78" i="69"/>
  <c r="AB78" i="69"/>
  <c r="AC78" i="69" s="1"/>
  <c r="Y81" i="69"/>
  <c r="Y47" i="69"/>
  <c r="Y98" i="69"/>
  <c r="Y64" i="69"/>
  <c r="AC69" i="69"/>
  <c r="Y93" i="69"/>
  <c r="AK77" i="69"/>
  <c r="AB77" i="69"/>
  <c r="AC77" i="69" s="1"/>
  <c r="Z95" i="69"/>
  <c r="N27" i="69"/>
  <c r="Z112" i="69" s="1"/>
  <c r="AE93" i="69"/>
  <c r="AC93" i="69"/>
  <c r="AK93" i="69"/>
  <c r="L4" i="69"/>
  <c r="M4" i="69" s="1"/>
  <c r="AB93" i="69"/>
  <c r="Y115" i="69"/>
  <c r="AQ6" i="69"/>
  <c r="AE23" i="69"/>
  <c r="AB23" i="69"/>
  <c r="AC23" i="69" s="1"/>
  <c r="AK23" i="69"/>
  <c r="J29" i="69"/>
  <c r="Z29" i="69"/>
  <c r="L29" i="69"/>
  <c r="AE77" i="69"/>
  <c r="L11" i="69"/>
  <c r="M11" i="69" s="1"/>
  <c r="AE25" i="69"/>
  <c r="AB25" i="69"/>
  <c r="AC25" i="69" s="1"/>
  <c r="Y96" i="69"/>
  <c r="Y45" i="69"/>
  <c r="AK27" i="69"/>
  <c r="AE28" i="69"/>
  <c r="AB28" i="69"/>
  <c r="AK28" i="69"/>
  <c r="Y46" i="69"/>
  <c r="Y97" i="69"/>
  <c r="J27" i="69"/>
  <c r="Z44" i="69" s="1"/>
  <c r="J26" i="69"/>
  <c r="Z43" i="69" s="1"/>
  <c r="K20" i="69"/>
  <c r="Z54" i="69" s="1"/>
  <c r="AB27" i="69"/>
  <c r="AC27" i="69" s="1"/>
  <c r="AB73" i="69"/>
  <c r="AK118" i="69"/>
  <c r="AQ7" i="69"/>
  <c r="AB71" i="69"/>
  <c r="AC71" i="69" s="1"/>
  <c r="AE35" i="69"/>
  <c r="AK71" i="69"/>
  <c r="AK75" i="69"/>
  <c r="AE75" i="69"/>
  <c r="AK116" i="69"/>
  <c r="AK105" i="69"/>
  <c r="AL105" i="69" s="1"/>
  <c r="AB56" i="69"/>
  <c r="AC56" i="69" s="1"/>
  <c r="AK56" i="69"/>
  <c r="AB116" i="69"/>
  <c r="K24" i="69"/>
  <c r="Z58" i="69" s="1"/>
  <c r="AB94" i="69"/>
  <c r="AC94" i="69" s="1"/>
  <c r="AE116" i="69"/>
  <c r="AQ10" i="69"/>
  <c r="AB18" i="69"/>
  <c r="AK20" i="69"/>
  <c r="AE74" i="69"/>
  <c r="AB74" i="69"/>
  <c r="AK50" i="69"/>
  <c r="AE56" i="69"/>
  <c r="AE100" i="69"/>
  <c r="AB100" i="69"/>
  <c r="AK100" i="69"/>
  <c r="Y95" i="69"/>
  <c r="Y112" i="69"/>
  <c r="Y78" i="69"/>
  <c r="Y61" i="69"/>
  <c r="Y80" i="69"/>
  <c r="Y63" i="69"/>
  <c r="L5" i="69"/>
  <c r="M5" i="69" s="1"/>
  <c r="AB35" i="69"/>
  <c r="AC35" i="69" s="1"/>
  <c r="Y44" i="69"/>
  <c r="AE59" i="69"/>
  <c r="AE73" i="69"/>
  <c r="Y118" i="69"/>
  <c r="Y50" i="69"/>
  <c r="AB59" i="69"/>
  <c r="AC59" i="69" s="1"/>
  <c r="AK25" i="69"/>
  <c r="AK61" i="69"/>
  <c r="AB118" i="69"/>
  <c r="K21" i="69"/>
  <c r="Z55" i="69" s="1"/>
  <c r="AE27" i="69"/>
  <c r="AK38" i="69"/>
  <c r="AB52" i="69"/>
  <c r="AL52" i="69" s="1"/>
  <c r="AB61" i="69"/>
  <c r="AB75" i="69"/>
  <c r="Y66" i="69"/>
  <c r="Y117" i="69"/>
  <c r="Y83" i="69"/>
  <c r="Y49" i="69"/>
  <c r="AK59" i="69"/>
  <c r="AC61" i="69"/>
  <c r="AK73" i="69"/>
  <c r="Y79" i="69"/>
  <c r="Y84" i="69"/>
  <c r="AE118" i="69"/>
  <c r="AQ8" i="69"/>
  <c r="AB19" i="69"/>
  <c r="AC19" i="69" s="1"/>
  <c r="AB20" i="69"/>
  <c r="AC20" i="69" s="1"/>
  <c r="M23" i="69"/>
  <c r="J25" i="69"/>
  <c r="Z42" i="69" s="1"/>
  <c r="AB41" i="69"/>
  <c r="AC41" i="69" s="1"/>
  <c r="AB50" i="69"/>
  <c r="AC50" i="69" s="1"/>
  <c r="AB65" i="69"/>
  <c r="Y67" i="69"/>
  <c r="Y70" i="69"/>
  <c r="Y87" i="69"/>
  <c r="Y53" i="69"/>
  <c r="Y54" i="69"/>
  <c r="Y105" i="69"/>
  <c r="AE86" i="69"/>
  <c r="AB86" i="69"/>
  <c r="AL86" i="69" s="1"/>
  <c r="AK104" i="69"/>
  <c r="Y36" i="69"/>
  <c r="AE84" i="69"/>
  <c r="AB84" i="69"/>
  <c r="AC84" i="69" s="1"/>
  <c r="AK84" i="69"/>
  <c r="AL84" i="69" s="1"/>
  <c r="AE87" i="69"/>
  <c r="AK101" i="69"/>
  <c r="AE101" i="69"/>
  <c r="L12" i="69"/>
  <c r="Y108" i="69"/>
  <c r="Y40" i="69"/>
  <c r="Y109" i="69"/>
  <c r="Y58" i="69"/>
  <c r="Y92" i="69"/>
  <c r="AK36" i="69"/>
  <c r="AK49" i="69"/>
  <c r="AE49" i="69"/>
  <c r="AC49" i="69"/>
  <c r="Y74" i="69"/>
  <c r="AB87" i="69"/>
  <c r="AC87" i="69" s="1"/>
  <c r="AB101" i="69"/>
  <c r="AK117" i="69"/>
  <c r="AB111" i="69"/>
  <c r="AL48" i="69"/>
  <c r="AB88" i="69"/>
  <c r="AL88" i="69" s="1"/>
  <c r="Y99" i="69"/>
  <c r="AB117" i="69"/>
  <c r="AB48" i="69"/>
  <c r="AC48" i="69" s="1"/>
  <c r="AE99" i="69"/>
  <c r="AL99" i="69" s="1"/>
  <c r="AC99" i="69"/>
  <c r="Y116" i="69"/>
  <c r="AB53" i="69" l="1"/>
  <c r="AC53" i="69" s="1"/>
  <c r="AC39" i="69"/>
  <c r="AE39" i="69"/>
  <c r="AB40" i="69"/>
  <c r="AL75" i="69"/>
  <c r="AK39" i="69"/>
  <c r="AC28" i="69"/>
  <c r="Z92" i="69"/>
  <c r="AK92" i="69" s="1"/>
  <c r="AE106" i="69"/>
  <c r="AE89" i="69"/>
  <c r="AK89" i="69"/>
  <c r="I15" i="69"/>
  <c r="Z15" i="69" s="1"/>
  <c r="I14" i="69"/>
  <c r="Z14" i="69" s="1"/>
  <c r="I11" i="69"/>
  <c r="Z11" i="69" s="1"/>
  <c r="J9" i="69"/>
  <c r="K9" i="69"/>
  <c r="J13" i="69"/>
  <c r="K13" i="69"/>
  <c r="L6" i="69"/>
  <c r="M6" i="69" s="1"/>
  <c r="J6" i="69"/>
  <c r="K6" i="69"/>
  <c r="J7" i="69"/>
  <c r="K7" i="69"/>
  <c r="J10" i="69"/>
  <c r="K10" i="69"/>
  <c r="L8" i="69"/>
  <c r="M8" i="69" s="1"/>
  <c r="J8" i="69"/>
  <c r="K8" i="69"/>
  <c r="I5" i="69"/>
  <c r="Z5" i="69" s="1"/>
  <c r="I4" i="69"/>
  <c r="Z4" i="69" s="1"/>
  <c r="L7" i="69"/>
  <c r="M7" i="69" s="1"/>
  <c r="AM27" i="69"/>
  <c r="G27" i="69" s="1"/>
  <c r="O68" i="66" s="1"/>
  <c r="AM31" i="69"/>
  <c r="G31" i="69" s="1"/>
  <c r="AL36" i="69"/>
  <c r="AM36" i="69" s="1"/>
  <c r="AE72" i="69"/>
  <c r="AC52" i="69"/>
  <c r="AL93" i="69"/>
  <c r="AN93" i="69" s="1"/>
  <c r="AM22" i="69"/>
  <c r="G22" i="69" s="1"/>
  <c r="J68" i="66" s="1"/>
  <c r="AE40" i="69"/>
  <c r="AB72" i="69"/>
  <c r="AC72" i="69" s="1"/>
  <c r="AL67" i="69"/>
  <c r="AN67" i="69" s="1"/>
  <c r="AL82" i="69"/>
  <c r="AC18" i="69"/>
  <c r="AL61" i="69"/>
  <c r="AL116" i="69"/>
  <c r="AL41" i="69"/>
  <c r="AM41" i="69" s="1"/>
  <c r="L10" i="69"/>
  <c r="M10" i="69" s="1"/>
  <c r="AL57" i="69"/>
  <c r="AN57" i="69" s="1"/>
  <c r="AL118" i="69"/>
  <c r="AL69" i="69"/>
  <c r="AN69" i="69" s="1"/>
  <c r="AE107" i="69"/>
  <c r="AB107" i="69"/>
  <c r="AC107" i="69" s="1"/>
  <c r="AC89" i="69"/>
  <c r="AM83" i="69"/>
  <c r="AL111" i="69"/>
  <c r="AN111" i="69" s="1"/>
  <c r="AM19" i="69"/>
  <c r="G19" i="69" s="1"/>
  <c r="G68" i="66" s="1"/>
  <c r="AM69" i="69"/>
  <c r="AL37" i="69"/>
  <c r="AM37" i="69" s="1"/>
  <c r="L9" i="69"/>
  <c r="M9" i="69" s="1"/>
  <c r="AL104" i="69"/>
  <c r="AC118" i="69"/>
  <c r="AL96" i="69"/>
  <c r="AE90" i="69"/>
  <c r="AB90" i="69"/>
  <c r="AC90" i="69" s="1"/>
  <c r="AL59" i="69"/>
  <c r="AN59" i="69" s="1"/>
  <c r="AC67" i="69"/>
  <c r="AN25" i="69"/>
  <c r="AC75" i="69"/>
  <c r="AL78" i="69"/>
  <c r="AM24" i="69"/>
  <c r="G24" i="69" s="1"/>
  <c r="L68" i="66" s="1"/>
  <c r="AL103" i="69"/>
  <c r="AL110" i="69"/>
  <c r="AM110" i="69" s="1"/>
  <c r="AK106" i="69"/>
  <c r="AL40" i="69"/>
  <c r="AN40" i="69" s="1"/>
  <c r="AL73" i="69"/>
  <c r="AN73" i="69" s="1"/>
  <c r="AN32" i="69"/>
  <c r="AL77" i="69"/>
  <c r="AN77" i="69" s="1"/>
  <c r="AN21" i="69"/>
  <c r="AL70" i="69"/>
  <c r="AL117" i="69"/>
  <c r="AM117" i="69" s="1"/>
  <c r="AL49" i="69"/>
  <c r="AM49" i="69" s="1"/>
  <c r="AL38" i="69"/>
  <c r="AM38" i="69" s="1"/>
  <c r="AL53" i="69"/>
  <c r="AM53" i="69" s="1"/>
  <c r="AL35" i="69"/>
  <c r="AM35" i="69" s="1"/>
  <c r="AL56" i="69"/>
  <c r="AM56" i="69" s="1"/>
  <c r="AL76" i="69"/>
  <c r="AL71" i="69"/>
  <c r="AM71" i="69" s="1"/>
  <c r="V68" i="66" s="1"/>
  <c r="AN23" i="69"/>
  <c r="AK94" i="69"/>
  <c r="AL94" i="69" s="1"/>
  <c r="AN84" i="69"/>
  <c r="AM84" i="69"/>
  <c r="AN60" i="69"/>
  <c r="AM60" i="69"/>
  <c r="AN118" i="69"/>
  <c r="AM118" i="69"/>
  <c r="AN116" i="69"/>
  <c r="AM116" i="69"/>
  <c r="AN104" i="69"/>
  <c r="AM104" i="69"/>
  <c r="AM45" i="69"/>
  <c r="AN45" i="69"/>
  <c r="AM105" i="69"/>
  <c r="AN105" i="69"/>
  <c r="AN75" i="69"/>
  <c r="AM75" i="69"/>
  <c r="Z68" i="66" s="1"/>
  <c r="AN78" i="69"/>
  <c r="AM78" i="69"/>
  <c r="AM103" i="69"/>
  <c r="AN103" i="69"/>
  <c r="AN110" i="69"/>
  <c r="AN76" i="69"/>
  <c r="AM76" i="69"/>
  <c r="AN28" i="69"/>
  <c r="AM28" i="69"/>
  <c r="G28" i="69" s="1"/>
  <c r="P68" i="66" s="1"/>
  <c r="AN66" i="69"/>
  <c r="AM66" i="69"/>
  <c r="AN86" i="69"/>
  <c r="AM86" i="69"/>
  <c r="AL100" i="69"/>
  <c r="AN113" i="69"/>
  <c r="AM113" i="69"/>
  <c r="M29" i="69"/>
  <c r="Z80" i="69"/>
  <c r="L13" i="69"/>
  <c r="M13" i="69" s="1"/>
  <c r="AC106" i="69"/>
  <c r="AL74" i="69"/>
  <c r="AC74" i="69"/>
  <c r="AN52" i="69"/>
  <c r="AM52" i="69"/>
  <c r="AC73" i="69"/>
  <c r="AB29" i="69"/>
  <c r="AK29" i="69"/>
  <c r="AE29" i="69"/>
  <c r="AB95" i="69"/>
  <c r="AC95" i="69" s="1"/>
  <c r="AE95" i="69"/>
  <c r="AK95" i="69"/>
  <c r="AC103" i="69"/>
  <c r="M12" i="69"/>
  <c r="I12" i="69" s="1"/>
  <c r="Z12" i="69" s="1"/>
  <c r="AN19" i="69"/>
  <c r="AE58" i="69"/>
  <c r="AB58" i="69"/>
  <c r="AC58" i="69"/>
  <c r="AK58" i="69"/>
  <c r="AC60" i="69"/>
  <c r="AN88" i="69"/>
  <c r="AM88" i="69"/>
  <c r="AN18" i="69"/>
  <c r="AM18" i="69"/>
  <c r="G18" i="69" s="1"/>
  <c r="F68" i="66" s="1"/>
  <c r="Z81" i="69"/>
  <c r="M30" i="69"/>
  <c r="AN48" i="69"/>
  <c r="AM48" i="69"/>
  <c r="AC86" i="69"/>
  <c r="AL65" i="69"/>
  <c r="AC65" i="69"/>
  <c r="AC100" i="69"/>
  <c r="AM26" i="69"/>
  <c r="G26" i="69" s="1"/>
  <c r="N68" i="66" s="1"/>
  <c r="AN26" i="69"/>
  <c r="AB54" i="69"/>
  <c r="AC54" i="69" s="1"/>
  <c r="AK54" i="69"/>
  <c r="AE54" i="69"/>
  <c r="AM99" i="69"/>
  <c r="AN99" i="69"/>
  <c r="AC40" i="69"/>
  <c r="AC111" i="69"/>
  <c r="AE55" i="69"/>
  <c r="AK55" i="69"/>
  <c r="AB55" i="69"/>
  <c r="AE43" i="69"/>
  <c r="AB43" i="69"/>
  <c r="AK43" i="69"/>
  <c r="AC37" i="69"/>
  <c r="AC117" i="69"/>
  <c r="AB42" i="69"/>
  <c r="AC42" i="69" s="1"/>
  <c r="AK42" i="69"/>
  <c r="AE42" i="69"/>
  <c r="AE44" i="69"/>
  <c r="AB44" i="69"/>
  <c r="AK44" i="69"/>
  <c r="AC44" i="69"/>
  <c r="AM61" i="69"/>
  <c r="AN61" i="69"/>
  <c r="AL50" i="69"/>
  <c r="AL101" i="69"/>
  <c r="AC101" i="69"/>
  <c r="AE109" i="69"/>
  <c r="AB109" i="69"/>
  <c r="AC109" i="69" s="1"/>
  <c r="AK109" i="69"/>
  <c r="AE30" i="69"/>
  <c r="AB30" i="69"/>
  <c r="AK30" i="69"/>
  <c r="AC30" i="69"/>
  <c r="Z91" i="69"/>
  <c r="N23" i="69"/>
  <c r="Z108" i="69" s="1"/>
  <c r="AC116" i="69"/>
  <c r="AE112" i="69"/>
  <c r="AB112" i="69"/>
  <c r="AC112" i="69" s="1"/>
  <c r="AK112" i="69"/>
  <c r="Z47" i="69"/>
  <c r="K30" i="69"/>
  <c r="Z64" i="69" s="1"/>
  <c r="AC88" i="69"/>
  <c r="AL87" i="69"/>
  <c r="K29" i="69"/>
  <c r="Z63" i="69" s="1"/>
  <c r="Z46" i="69"/>
  <c r="L28" i="69"/>
  <c r="Z79" i="69" s="1"/>
  <c r="Z62" i="69"/>
  <c r="AE14" i="69" l="1"/>
  <c r="AK11" i="69"/>
  <c r="AL11" i="69"/>
  <c r="AL89" i="69"/>
  <c r="AM89" i="69" s="1"/>
  <c r="AK68" i="66" s="1"/>
  <c r="AE92" i="69"/>
  <c r="AN41" i="69"/>
  <c r="AB92" i="69"/>
  <c r="AC92" i="69" s="1"/>
  <c r="AL39" i="69"/>
  <c r="AM30" i="69"/>
  <c r="G30" i="69" s="1"/>
  <c r="R68" i="66" s="1"/>
  <c r="AN53" i="69"/>
  <c r="AM57" i="69"/>
  <c r="AL106" i="69"/>
  <c r="AN106" i="69" s="1"/>
  <c r="AM40" i="69"/>
  <c r="AN71" i="69"/>
  <c r="AN36" i="69"/>
  <c r="I13" i="69"/>
  <c r="Z13" i="69" s="1"/>
  <c r="I9" i="69"/>
  <c r="Z9" i="69" s="1"/>
  <c r="I6" i="69"/>
  <c r="Z6" i="69" s="1"/>
  <c r="I7" i="69"/>
  <c r="Z7" i="69" s="1"/>
  <c r="I8" i="69"/>
  <c r="Z8" i="69" s="1"/>
  <c r="I10" i="69"/>
  <c r="Z10" i="69" s="1"/>
  <c r="AK15" i="69"/>
  <c r="AB15" i="69"/>
  <c r="AL15" i="69" s="1"/>
  <c r="AE15" i="69"/>
  <c r="AE11" i="69"/>
  <c r="AB11" i="69"/>
  <c r="AC11" i="69" s="1"/>
  <c r="AN38" i="69"/>
  <c r="AL107" i="69"/>
  <c r="AN49" i="69"/>
  <c r="AL55" i="69"/>
  <c r="AN55" i="69" s="1"/>
  <c r="AM23" i="69"/>
  <c r="G23" i="69" s="1"/>
  <c r="K68" i="66" s="1"/>
  <c r="AL112" i="69"/>
  <c r="AM112" i="69" s="1"/>
  <c r="AM67" i="69"/>
  <c r="AL44" i="69"/>
  <c r="AN44" i="69" s="1"/>
  <c r="AM111" i="69"/>
  <c r="AB14" i="69"/>
  <c r="AM82" i="69"/>
  <c r="AN82" i="69"/>
  <c r="AM93" i="69"/>
  <c r="AL90" i="69"/>
  <c r="AM90" i="69" s="1"/>
  <c r="AL68" i="66" s="1"/>
  <c r="AK14" i="69"/>
  <c r="AL14" i="69" s="1"/>
  <c r="AN27" i="69"/>
  <c r="AM73" i="69"/>
  <c r="X68" i="66" s="1"/>
  <c r="AN22" i="69"/>
  <c r="AN24" i="69"/>
  <c r="AL95" i="69"/>
  <c r="AM21" i="69"/>
  <c r="G21" i="69" s="1"/>
  <c r="I68" i="66" s="1"/>
  <c r="AL72" i="69"/>
  <c r="AM72" i="69" s="1"/>
  <c r="W68" i="66" s="1"/>
  <c r="AN94" i="69"/>
  <c r="AM94" i="69"/>
  <c r="AN117" i="69"/>
  <c r="AM77" i="69"/>
  <c r="AL42" i="69"/>
  <c r="AM42" i="69" s="1"/>
  <c r="AN29" i="69"/>
  <c r="AM25" i="69"/>
  <c r="G25" i="69" s="1"/>
  <c r="M68" i="66" s="1"/>
  <c r="AL43" i="69"/>
  <c r="AM43" i="69" s="1"/>
  <c r="AL109" i="69"/>
  <c r="AN109" i="69" s="1"/>
  <c r="AN56" i="69"/>
  <c r="AN96" i="69"/>
  <c r="AM96" i="69"/>
  <c r="AM59" i="69"/>
  <c r="AL92" i="69"/>
  <c r="AM92" i="69" s="1"/>
  <c r="AN68" i="66" s="1"/>
  <c r="AN35" i="69"/>
  <c r="AN37" i="69"/>
  <c r="AL54" i="69"/>
  <c r="AN54" i="69" s="1"/>
  <c r="AL58" i="69"/>
  <c r="AN58" i="69" s="1"/>
  <c r="AN70" i="69"/>
  <c r="AM70" i="69"/>
  <c r="AN112" i="69"/>
  <c r="AN95" i="69"/>
  <c r="AM95" i="69"/>
  <c r="AK4" i="69"/>
  <c r="AB4" i="69"/>
  <c r="AE4" i="69"/>
  <c r="AN87" i="69"/>
  <c r="AM87" i="69"/>
  <c r="AB5" i="69"/>
  <c r="AK5" i="69"/>
  <c r="AE5" i="69"/>
  <c r="AK108" i="69"/>
  <c r="AE108" i="69"/>
  <c r="AB108" i="69"/>
  <c r="AC108" i="69" s="1"/>
  <c r="AC29" i="69"/>
  <c r="AK91" i="69"/>
  <c r="AE91" i="69"/>
  <c r="AB91" i="69"/>
  <c r="AC91" i="69" s="1"/>
  <c r="AN101" i="69"/>
  <c r="AM101" i="69"/>
  <c r="AM65" i="69"/>
  <c r="AN65" i="69"/>
  <c r="AB64" i="69"/>
  <c r="AK64" i="69"/>
  <c r="AE64" i="69"/>
  <c r="AC43" i="69"/>
  <c r="AK47" i="69"/>
  <c r="AB47" i="69"/>
  <c r="AE47" i="69"/>
  <c r="AN30" i="69"/>
  <c r="AC55" i="69"/>
  <c r="AE62" i="69"/>
  <c r="AK62" i="69"/>
  <c r="AB62" i="69"/>
  <c r="AC62" i="69" s="1"/>
  <c r="AE79" i="69"/>
  <c r="AB79" i="69"/>
  <c r="AC79" i="69" s="1"/>
  <c r="AK79" i="69"/>
  <c r="AL79" i="69" s="1"/>
  <c r="AM74" i="69"/>
  <c r="Y68" i="66" s="1"/>
  <c r="AN74" i="69"/>
  <c r="AE46" i="69"/>
  <c r="AB46" i="69"/>
  <c r="AK46" i="69"/>
  <c r="N30" i="69"/>
  <c r="Z115" i="69" s="1"/>
  <c r="Z98" i="69"/>
  <c r="AK63" i="69"/>
  <c r="AB63" i="69"/>
  <c r="AC63" i="69" s="1"/>
  <c r="AE63" i="69"/>
  <c r="AE81" i="69"/>
  <c r="AB81" i="69"/>
  <c r="AC81" i="69" s="1"/>
  <c r="AK81" i="69"/>
  <c r="AN20" i="69"/>
  <c r="AM20" i="69"/>
  <c r="G20" i="69" s="1"/>
  <c r="H68" i="66" s="1"/>
  <c r="AN50" i="69"/>
  <c r="AM50" i="69"/>
  <c r="AK12" i="69"/>
  <c r="AB12" i="69"/>
  <c r="AE12" i="69"/>
  <c r="AK80" i="69"/>
  <c r="AB80" i="69"/>
  <c r="AC80" i="69" s="1"/>
  <c r="AE80" i="69"/>
  <c r="AN100" i="69"/>
  <c r="AM100" i="69"/>
  <c r="Z97" i="69"/>
  <c r="N29" i="69"/>
  <c r="Z114" i="69" s="1"/>
  <c r="AE13" i="69" l="1"/>
  <c r="AE7" i="69"/>
  <c r="AB8" i="69"/>
  <c r="AC8" i="69" s="1"/>
  <c r="AC4" i="69"/>
  <c r="AL4" i="69"/>
  <c r="AM4" i="69" s="1"/>
  <c r="G4" i="69" s="1"/>
  <c r="AC5" i="69"/>
  <c r="AL5" i="69"/>
  <c r="AC12" i="69"/>
  <c r="AL12" i="69"/>
  <c r="AL108" i="69"/>
  <c r="AN89" i="69"/>
  <c r="AM106" i="69"/>
  <c r="AM39" i="69"/>
  <c r="AN39" i="69"/>
  <c r="AN42" i="69"/>
  <c r="AM55" i="69"/>
  <c r="AM44" i="69"/>
  <c r="AN90" i="69"/>
  <c r="AC15" i="69"/>
  <c r="AB10" i="69"/>
  <c r="AK10" i="69"/>
  <c r="AE10" i="69"/>
  <c r="AK7" i="69"/>
  <c r="AB6" i="69"/>
  <c r="AK6" i="69"/>
  <c r="AC14" i="69"/>
  <c r="AE6" i="69"/>
  <c r="AB7" i="69"/>
  <c r="AL7" i="69" s="1"/>
  <c r="AE8" i="69"/>
  <c r="AK8" i="69"/>
  <c r="AM54" i="69"/>
  <c r="AB13" i="69"/>
  <c r="AN43" i="69"/>
  <c r="AN72" i="69"/>
  <c r="AL47" i="69"/>
  <c r="AN47" i="69" s="1"/>
  <c r="AL81" i="69"/>
  <c r="AN81" i="69" s="1"/>
  <c r="AN92" i="69"/>
  <c r="AN107" i="69"/>
  <c r="AM107" i="69"/>
  <c r="AK13" i="69"/>
  <c r="AL64" i="69"/>
  <c r="AN64" i="69" s="1"/>
  <c r="AL91" i="69"/>
  <c r="AM91" i="69" s="1"/>
  <c r="AM68" i="66" s="1"/>
  <c r="AL80" i="69"/>
  <c r="AN80" i="69" s="1"/>
  <c r="AL46" i="69"/>
  <c r="AM46" i="69" s="1"/>
  <c r="AM109" i="69"/>
  <c r="AC46" i="69"/>
  <c r="AL62" i="69"/>
  <c r="AN62" i="69" s="1"/>
  <c r="AC47" i="69"/>
  <c r="AM58" i="69"/>
  <c r="AM29" i="69"/>
  <c r="G29" i="69" s="1"/>
  <c r="Q68" i="66" s="1"/>
  <c r="AE9" i="69"/>
  <c r="AB9" i="69"/>
  <c r="AK9" i="69"/>
  <c r="AN79" i="69"/>
  <c r="AM79" i="69"/>
  <c r="AD68" i="66" s="1"/>
  <c r="AB97" i="69"/>
  <c r="AC97" i="69" s="1"/>
  <c r="AK97" i="69"/>
  <c r="AE97" i="69"/>
  <c r="AE98" i="69"/>
  <c r="AB98" i="69"/>
  <c r="AC98" i="69" s="1"/>
  <c r="AK98" i="69"/>
  <c r="AL98" i="69" s="1"/>
  <c r="AC64" i="69"/>
  <c r="AE114" i="69"/>
  <c r="AK114" i="69"/>
  <c r="AB114" i="69"/>
  <c r="AK115" i="69"/>
  <c r="AE115" i="69"/>
  <c r="AB115" i="69"/>
  <c r="AN108" i="69"/>
  <c r="AM108" i="69"/>
  <c r="AL63" i="69"/>
  <c r="AL8" i="69" l="1"/>
  <c r="AL9" i="69"/>
  <c r="AN9" i="69" s="1"/>
  <c r="AL10" i="69"/>
  <c r="AC13" i="69"/>
  <c r="AL13" i="69"/>
  <c r="AN13" i="69" s="1"/>
  <c r="AC6" i="69"/>
  <c r="AL6" i="69"/>
  <c r="AL97" i="69"/>
  <c r="AN97" i="69" s="1"/>
  <c r="AM8" i="69"/>
  <c r="G8" i="69" s="1"/>
  <c r="AN15" i="69"/>
  <c r="AM15" i="69"/>
  <c r="G15" i="69" s="1"/>
  <c r="AN11" i="69"/>
  <c r="AM11" i="69"/>
  <c r="G11" i="69" s="1"/>
  <c r="AC10" i="69"/>
  <c r="AM5" i="69"/>
  <c r="G5" i="69" s="1"/>
  <c r="AN5" i="69"/>
  <c r="AC7" i="69"/>
  <c r="AN14" i="69"/>
  <c r="AM14" i="69"/>
  <c r="G14" i="69" s="1"/>
  <c r="AM81" i="69"/>
  <c r="AF68" i="66" s="1"/>
  <c r="AM62" i="69"/>
  <c r="AM47" i="69"/>
  <c r="AN4" i="69"/>
  <c r="AN46" i="69"/>
  <c r="AM80" i="69"/>
  <c r="AE68" i="66" s="1"/>
  <c r="AL115" i="69"/>
  <c r="AN115" i="69" s="1"/>
  <c r="AN91" i="69"/>
  <c r="AM64" i="69"/>
  <c r="AC9" i="69"/>
  <c r="AL114" i="69"/>
  <c r="AN114" i="69" s="1"/>
  <c r="AN98" i="69"/>
  <c r="AM98" i="69"/>
  <c r="AT68" i="66" s="1"/>
  <c r="AC115" i="69"/>
  <c r="AM63" i="69"/>
  <c r="AN63" i="69"/>
  <c r="AC114" i="69"/>
  <c r="AM12" i="69"/>
  <c r="G12" i="69" s="1"/>
  <c r="AN12" i="69"/>
  <c r="AM97" i="69" l="1"/>
  <c r="AS68" i="66" s="1"/>
  <c r="AM115" i="69"/>
  <c r="AN8" i="69"/>
  <c r="AN10" i="69"/>
  <c r="AM10" i="69"/>
  <c r="G10" i="69" s="1"/>
  <c r="AN7" i="69"/>
  <c r="AM7" i="69"/>
  <c r="G7" i="69" s="1"/>
  <c r="AM13" i="69"/>
  <c r="G13" i="69" s="1"/>
  <c r="AM6" i="69"/>
  <c r="G6" i="69" s="1"/>
  <c r="AN6" i="69"/>
  <c r="AM9" i="69"/>
  <c r="G9" i="69" s="1"/>
  <c r="AM114" i="69"/>
  <c r="G81" i="66" l="1"/>
  <c r="F81" i="66"/>
  <c r="D2" i="67"/>
  <c r="C2" i="67"/>
  <c r="D5" i="67"/>
  <c r="D6" i="67"/>
  <c r="D7" i="67"/>
  <c r="D8" i="67"/>
  <c r="D9" i="67"/>
  <c r="D10" i="67"/>
  <c r="D11" i="67"/>
  <c r="D12" i="67"/>
  <c r="D13" i="67"/>
  <c r="D4" i="67"/>
  <c r="D67" i="66"/>
  <c r="C67" i="66"/>
  <c r="AC50" i="67"/>
  <c r="Z50" i="67"/>
  <c r="AC49" i="67"/>
  <c r="Z49" i="67"/>
  <c r="AC48" i="67"/>
  <c r="Z48" i="67"/>
  <c r="AD47" i="67"/>
  <c r="AC47" i="67"/>
  <c r="Z47" i="67"/>
  <c r="AD46" i="67"/>
  <c r="AC46" i="67"/>
  <c r="AD45" i="67"/>
  <c r="AC45" i="67"/>
  <c r="AD44" i="67"/>
  <c r="AC44" i="67"/>
  <c r="AD43" i="67"/>
  <c r="AC43" i="67"/>
  <c r="AD42" i="67"/>
  <c r="AC42" i="67"/>
  <c r="AD41" i="67"/>
  <c r="AC41" i="67"/>
  <c r="AD40" i="67"/>
  <c r="AC40" i="67"/>
  <c r="AD39" i="67"/>
  <c r="AC39" i="67"/>
  <c r="AD38" i="67"/>
  <c r="AC38" i="67"/>
  <c r="AD37" i="67"/>
  <c r="AC37" i="67"/>
  <c r="AD36" i="67"/>
  <c r="AC36" i="67"/>
  <c r="AD35" i="67"/>
  <c r="AC35" i="67"/>
  <c r="AC31" i="67"/>
  <c r="Z31" i="67"/>
  <c r="AC30" i="67"/>
  <c r="Z30" i="67"/>
  <c r="AA30" i="67" s="1"/>
  <c r="AC29" i="67"/>
  <c r="Z29" i="67"/>
  <c r="AA29" i="67" s="1"/>
  <c r="AD28" i="67"/>
  <c r="AC28" i="67"/>
  <c r="Z28" i="67"/>
  <c r="AM28" i="67" s="1"/>
  <c r="AD27" i="67"/>
  <c r="AC27" i="67"/>
  <c r="AD26" i="67"/>
  <c r="AC26" i="67"/>
  <c r="AD25" i="67"/>
  <c r="AC25" i="67"/>
  <c r="Z25" i="67"/>
  <c r="AD24" i="67"/>
  <c r="AC24" i="67"/>
  <c r="Z24" i="67"/>
  <c r="AN24" i="67" s="1"/>
  <c r="AD23" i="67"/>
  <c r="AC23" i="67"/>
  <c r="Z23" i="67"/>
  <c r="AD22" i="67"/>
  <c r="AC22" i="67"/>
  <c r="AD21" i="67"/>
  <c r="AC21" i="67"/>
  <c r="AD20" i="67"/>
  <c r="AC20" i="67"/>
  <c r="AD19" i="67"/>
  <c r="AC19" i="67"/>
  <c r="AD18" i="67"/>
  <c r="AC18" i="67"/>
  <c r="AD17" i="67"/>
  <c r="AC17" i="67"/>
  <c r="Z17" i="67"/>
  <c r="AD16" i="67"/>
  <c r="AC16" i="67"/>
  <c r="Z16" i="67"/>
  <c r="AD13" i="67"/>
  <c r="AC13" i="67"/>
  <c r="W13" i="67"/>
  <c r="P13" i="67"/>
  <c r="N13" i="67"/>
  <c r="H13" i="67" s="1"/>
  <c r="H35" i="67" s="1"/>
  <c r="H36" i="67" s="1"/>
  <c r="Z36" i="67" s="1"/>
  <c r="AD12" i="67"/>
  <c r="AC12" i="67"/>
  <c r="W12" i="67"/>
  <c r="P12" i="67" s="1"/>
  <c r="N12" i="67"/>
  <c r="AD11" i="67"/>
  <c r="AC11" i="67"/>
  <c r="W11" i="67"/>
  <c r="P11" i="67" s="1"/>
  <c r="N11" i="67"/>
  <c r="AD10" i="67"/>
  <c r="AC10" i="67"/>
  <c r="W10" i="67"/>
  <c r="P10" i="67"/>
  <c r="N10" i="67"/>
  <c r="AD9" i="67"/>
  <c r="AC9" i="67"/>
  <c r="W9" i="67"/>
  <c r="P9" i="67"/>
  <c r="N9" i="67"/>
  <c r="AD8" i="67"/>
  <c r="AC8" i="67"/>
  <c r="W8" i="67"/>
  <c r="P8" i="67" s="1"/>
  <c r="N8" i="67"/>
  <c r="AD7" i="67"/>
  <c r="AC7" i="67"/>
  <c r="W7" i="67"/>
  <c r="P7" i="67"/>
  <c r="N7" i="67"/>
  <c r="AD6" i="67"/>
  <c r="AC6" i="67"/>
  <c r="W6" i="67"/>
  <c r="P6" i="67" s="1"/>
  <c r="N6" i="67"/>
  <c r="AD5" i="67"/>
  <c r="AC5" i="67"/>
  <c r="W5" i="67"/>
  <c r="P5" i="67"/>
  <c r="N5" i="67"/>
  <c r="AD4" i="67"/>
  <c r="AC4" i="67"/>
  <c r="W4" i="67"/>
  <c r="P4" i="67" s="1"/>
  <c r="N4" i="67"/>
  <c r="H1" i="67"/>
  <c r="O49" i="66" l="1"/>
  <c r="G24" i="9"/>
  <c r="B80" i="66"/>
  <c r="B86" i="66"/>
  <c r="B87" i="66"/>
  <c r="B81" i="66"/>
  <c r="B82" i="66"/>
  <c r="B83" i="66"/>
  <c r="B88" i="66"/>
  <c r="B85" i="66"/>
  <c r="B84" i="66"/>
  <c r="B69" i="66"/>
  <c r="B76" i="66"/>
  <c r="B73" i="66"/>
  <c r="B72" i="66"/>
  <c r="B71" i="66"/>
  <c r="B68" i="66"/>
  <c r="B74" i="66"/>
  <c r="B70" i="66"/>
  <c r="B75" i="66"/>
  <c r="H5" i="67"/>
  <c r="Z5" i="67" s="1"/>
  <c r="H7" i="67"/>
  <c r="Z7" i="67" s="1"/>
  <c r="AF25" i="67"/>
  <c r="AM25" i="67"/>
  <c r="AN25" i="67"/>
  <c r="AL25" i="67"/>
  <c r="AI25" i="67"/>
  <c r="H9" i="67"/>
  <c r="Z9" i="67" s="1"/>
  <c r="H12" i="67"/>
  <c r="Z12" i="67" s="1"/>
  <c r="H4" i="67"/>
  <c r="Z4" i="67" s="1"/>
  <c r="AA4" i="67" s="1"/>
  <c r="H10" i="67"/>
  <c r="Z10" i="67" s="1"/>
  <c r="AI10" i="67" s="1"/>
  <c r="AI28" i="67"/>
  <c r="AE28" i="67" s="1"/>
  <c r="AL28" i="67"/>
  <c r="AA28" i="67"/>
  <c r="H8" i="67"/>
  <c r="Z8" i="67" s="1"/>
  <c r="AL8" i="67" s="1"/>
  <c r="AN28" i="67"/>
  <c r="AN17" i="67"/>
  <c r="AL17" i="67"/>
  <c r="AM17" i="67"/>
  <c r="AI17" i="67"/>
  <c r="AE17" i="67"/>
  <c r="AF17" i="67"/>
  <c r="AA17" i="67"/>
  <c r="AM36" i="67"/>
  <c r="AL36" i="67"/>
  <c r="AI36" i="67"/>
  <c r="AE36" i="67" s="1"/>
  <c r="AF36" i="67"/>
  <c r="AA36" i="67"/>
  <c r="AN36" i="67"/>
  <c r="AN23" i="67"/>
  <c r="AL23" i="67"/>
  <c r="AM23" i="67"/>
  <c r="AI23" i="67"/>
  <c r="AE23" i="67"/>
  <c r="AF23" i="67"/>
  <c r="AA23" i="67"/>
  <c r="AN48" i="67"/>
  <c r="AF48" i="67"/>
  <c r="AM48" i="67"/>
  <c r="AI48" i="67"/>
  <c r="AE48" i="67" s="1"/>
  <c r="AL48" i="67"/>
  <c r="AN30" i="67"/>
  <c r="AL30" i="67"/>
  <c r="AI30" i="67"/>
  <c r="AM30" i="67"/>
  <c r="AF30" i="67"/>
  <c r="AE30" i="67"/>
  <c r="AO30" i="67" s="1"/>
  <c r="AA48" i="67"/>
  <c r="AI29" i="67"/>
  <c r="AE29" i="67" s="1"/>
  <c r="AN29" i="67"/>
  <c r="AL29" i="67"/>
  <c r="AM29" i="67"/>
  <c r="AF29" i="67"/>
  <c r="H44" i="67"/>
  <c r="Z44" i="67" s="1"/>
  <c r="H43" i="67"/>
  <c r="Z43" i="67" s="1"/>
  <c r="AN16" i="67"/>
  <c r="AF16" i="67"/>
  <c r="AM16" i="67"/>
  <c r="AL16" i="67"/>
  <c r="AI16" i="67"/>
  <c r="AE16" i="67"/>
  <c r="AA5" i="67"/>
  <c r="AN5" i="67"/>
  <c r="AN31" i="67"/>
  <c r="AL31" i="67"/>
  <c r="AI31" i="67"/>
  <c r="AM31" i="67"/>
  <c r="AF31" i="67"/>
  <c r="AE31" i="67"/>
  <c r="AN49" i="67"/>
  <c r="AM49" i="67"/>
  <c r="AL49" i="67"/>
  <c r="AI49" i="67"/>
  <c r="AF49" i="67"/>
  <c r="AE49" i="67"/>
  <c r="AA49" i="67"/>
  <c r="AL24" i="67"/>
  <c r="AI24" i="67"/>
  <c r="AE24" i="67" s="1"/>
  <c r="AF24" i="67"/>
  <c r="AA24" i="67"/>
  <c r="AA31" i="67"/>
  <c r="H42" i="67"/>
  <c r="Z42" i="67" s="1"/>
  <c r="AN47" i="67"/>
  <c r="AM47" i="67"/>
  <c r="AI47" i="67"/>
  <c r="AE47" i="67" s="1"/>
  <c r="AF47" i="67"/>
  <c r="AL47" i="67"/>
  <c r="AN50" i="67"/>
  <c r="AM50" i="67"/>
  <c r="AI50" i="67"/>
  <c r="AE50" i="67" s="1"/>
  <c r="AF50" i="67"/>
  <c r="AL50" i="67"/>
  <c r="AA50" i="67"/>
  <c r="AA16" i="67"/>
  <c r="AN4" i="67"/>
  <c r="AM8" i="67"/>
  <c r="AN8" i="67"/>
  <c r="AM24" i="67"/>
  <c r="Z35" i="67"/>
  <c r="AA47" i="67"/>
  <c r="AF28" i="67"/>
  <c r="H6" i="67"/>
  <c r="Z6" i="67" s="1"/>
  <c r="AA25" i="67"/>
  <c r="H11" i="67"/>
  <c r="Z11" i="67" s="1"/>
  <c r="AE25" i="67"/>
  <c r="Z13" i="67"/>
  <c r="N111" i="9" l="1"/>
  <c r="G111" i="9"/>
  <c r="I65" i="7" s="1"/>
  <c r="AO25" i="67"/>
  <c r="AP25" i="67" s="1"/>
  <c r="AO23" i="67"/>
  <c r="Y49" i="66"/>
  <c r="N24" i="9"/>
  <c r="P49" i="66"/>
  <c r="Z49" i="66" s="1"/>
  <c r="AJ49" i="66" s="1"/>
  <c r="AT49" i="66" s="1"/>
  <c r="AF5" i="67"/>
  <c r="AL5" i="67"/>
  <c r="AN7" i="67"/>
  <c r="AI7" i="67"/>
  <c r="AE7" i="67" s="1"/>
  <c r="AM9" i="67"/>
  <c r="AI9" i="67"/>
  <c r="AE9" i="67" s="1"/>
  <c r="C106" i="9"/>
  <c r="C115" i="9"/>
  <c r="G105" i="9"/>
  <c r="G112" i="9"/>
  <c r="I66" i="7" s="1"/>
  <c r="G103" i="9"/>
  <c r="D80" i="66"/>
  <c r="W80" i="66" s="1"/>
  <c r="X80" i="66" s="1"/>
  <c r="C86" i="9"/>
  <c r="C84" i="9"/>
  <c r="S69" i="66"/>
  <c r="AG69" i="66" s="1"/>
  <c r="D73" i="66"/>
  <c r="S73" i="66"/>
  <c r="AG73" i="66" s="1"/>
  <c r="D76" i="66"/>
  <c r="S76" i="66"/>
  <c r="AG76" i="66" s="1"/>
  <c r="D75" i="66"/>
  <c r="S75" i="66"/>
  <c r="AG75" i="66" s="1"/>
  <c r="D70" i="66"/>
  <c r="S70" i="66"/>
  <c r="AG70" i="66" s="1"/>
  <c r="D74" i="66"/>
  <c r="S74" i="66"/>
  <c r="AG74" i="66" s="1"/>
  <c r="D68" i="66"/>
  <c r="S68" i="66"/>
  <c r="D71" i="66"/>
  <c r="S71" i="66"/>
  <c r="AG71" i="66" s="1"/>
  <c r="D72" i="66"/>
  <c r="S72" i="66"/>
  <c r="AG72" i="66" s="1"/>
  <c r="E83" i="66"/>
  <c r="D83" i="66"/>
  <c r="W83" i="66" s="1"/>
  <c r="X83" i="66" s="1"/>
  <c r="E87" i="66"/>
  <c r="D87" i="66"/>
  <c r="W87" i="66" s="1"/>
  <c r="X87" i="66" s="1"/>
  <c r="D88" i="66"/>
  <c r="W88" i="66" s="1"/>
  <c r="X88" i="66" s="1"/>
  <c r="E88" i="66"/>
  <c r="E82" i="66"/>
  <c r="D82" i="66"/>
  <c r="W82" i="66" s="1"/>
  <c r="X82" i="66" s="1"/>
  <c r="E86" i="66"/>
  <c r="D86" i="66"/>
  <c r="E85" i="66"/>
  <c r="D85" i="66"/>
  <c r="W85" i="66" s="1"/>
  <c r="X85" i="66" s="1"/>
  <c r="D84" i="66"/>
  <c r="W84" i="66" s="1"/>
  <c r="X84" i="66" s="1"/>
  <c r="E84" i="66"/>
  <c r="E80" i="66"/>
  <c r="E81" i="66"/>
  <c r="D81" i="66"/>
  <c r="W81" i="66" s="1"/>
  <c r="X81" i="66" s="1"/>
  <c r="AO29" i="67"/>
  <c r="I29" i="67" s="1"/>
  <c r="AI5" i="67"/>
  <c r="AE5" i="67" s="1"/>
  <c r="AO50" i="67"/>
  <c r="AM5" i="67"/>
  <c r="AN9" i="67"/>
  <c r="AO49" i="67"/>
  <c r="AE10" i="67"/>
  <c r="AL7" i="67"/>
  <c r="AA9" i="67"/>
  <c r="AA7" i="67"/>
  <c r="AF9" i="67"/>
  <c r="AA8" i="67"/>
  <c r="AL9" i="67"/>
  <c r="AF7" i="67"/>
  <c r="AM7" i="67"/>
  <c r="AO17" i="67"/>
  <c r="AP17" i="67" s="1"/>
  <c r="AO47" i="67"/>
  <c r="AP47" i="67" s="1"/>
  <c r="AM10" i="67"/>
  <c r="AA10" i="67"/>
  <c r="AF8" i="67"/>
  <c r="AI8" i="67"/>
  <c r="AE8" i="67" s="1"/>
  <c r="AF10" i="67"/>
  <c r="AO28" i="67"/>
  <c r="AP28" i="67" s="1"/>
  <c r="AO36" i="67"/>
  <c r="AP36" i="67" s="1"/>
  <c r="AO8" i="67"/>
  <c r="AP8" i="67" s="1"/>
  <c r="AM12" i="67"/>
  <c r="AL12" i="67"/>
  <c r="AI12" i="67"/>
  <c r="AE12" i="67" s="1"/>
  <c r="AN10" i="67"/>
  <c r="AO16" i="67"/>
  <c r="I16" i="67" s="1"/>
  <c r="F69" i="66" s="1"/>
  <c r="AF4" i="67"/>
  <c r="AN12" i="67"/>
  <c r="H37" i="67"/>
  <c r="Z37" i="67" s="1"/>
  <c r="AI37" i="67" s="1"/>
  <c r="AA12" i="67"/>
  <c r="Z18" i="67"/>
  <c r="AA18" i="67" s="1"/>
  <c r="AL4" i="67"/>
  <c r="AO24" i="67"/>
  <c r="AP24" i="67" s="1"/>
  <c r="AO9" i="67"/>
  <c r="I9" i="67" s="1"/>
  <c r="AO31" i="67"/>
  <c r="I31" i="67" s="1"/>
  <c r="AI4" i="67"/>
  <c r="AE4" i="67" s="1"/>
  <c r="AM4" i="67"/>
  <c r="AL10" i="67"/>
  <c r="AF12" i="67"/>
  <c r="AO48" i="67"/>
  <c r="I30" i="67"/>
  <c r="AP30" i="67"/>
  <c r="AP49" i="67"/>
  <c r="I49" i="67"/>
  <c r="AA44" i="67"/>
  <c r="AN44" i="67"/>
  <c r="AM44" i="67"/>
  <c r="AI44" i="67"/>
  <c r="AE44" i="67" s="1"/>
  <c r="AF44" i="67"/>
  <c r="AL44" i="67"/>
  <c r="AM11" i="67"/>
  <c r="AN11" i="67"/>
  <c r="AL11" i="67"/>
  <c r="AI11" i="67"/>
  <c r="AE11" i="67" s="1"/>
  <c r="AF11" i="67"/>
  <c r="AA11" i="67"/>
  <c r="Z26" i="67"/>
  <c r="AM42" i="67"/>
  <c r="AI42" i="67"/>
  <c r="AL42" i="67"/>
  <c r="AF42" i="67"/>
  <c r="AE42" i="67"/>
  <c r="AA42" i="67"/>
  <c r="AN42" i="67"/>
  <c r="AI18" i="67"/>
  <c r="AE18" i="67" s="1"/>
  <c r="AF18" i="67"/>
  <c r="AM35" i="67"/>
  <c r="AN35" i="67"/>
  <c r="AL35" i="67"/>
  <c r="AI35" i="67"/>
  <c r="AE35" i="67" s="1"/>
  <c r="AF35" i="67"/>
  <c r="AA35" i="67"/>
  <c r="AN13" i="67"/>
  <c r="AL13" i="67"/>
  <c r="AM13" i="67"/>
  <c r="AF13" i="67"/>
  <c r="AI13" i="67"/>
  <c r="AE13" i="67" s="1"/>
  <c r="AO13" i="67" s="1"/>
  <c r="AA13" i="67"/>
  <c r="AP23" i="67"/>
  <c r="I23" i="67"/>
  <c r="M69" i="66" s="1"/>
  <c r="H45" i="67"/>
  <c r="Z45" i="67" s="1"/>
  <c r="H38" i="67"/>
  <c r="Z27" i="67"/>
  <c r="Z19" i="67"/>
  <c r="AN6" i="67"/>
  <c r="AM6" i="67"/>
  <c r="AI6" i="67"/>
  <c r="AE6" i="67" s="1"/>
  <c r="AL6" i="67"/>
  <c r="AF6" i="67"/>
  <c r="AA6" i="67"/>
  <c r="AI43" i="67"/>
  <c r="AE43" i="67" s="1"/>
  <c r="AF43" i="67"/>
  <c r="AA43" i="67"/>
  <c r="AL43" i="67"/>
  <c r="AN43" i="67"/>
  <c r="AM43" i="67"/>
  <c r="I48" i="67" l="1"/>
  <c r="AP48" i="67"/>
  <c r="AO7" i="67"/>
  <c r="AP50" i="67"/>
  <c r="I50" i="67"/>
  <c r="N106" i="9"/>
  <c r="G106" i="9"/>
  <c r="I63" i="7" s="1"/>
  <c r="N104" i="9"/>
  <c r="I61" i="7"/>
  <c r="G104" i="9"/>
  <c r="I25" i="67"/>
  <c r="O69" i="66" s="1"/>
  <c r="I17" i="67"/>
  <c r="G69" i="66" s="1"/>
  <c r="AP16" i="67"/>
  <c r="Q49" i="66"/>
  <c r="AA49" i="66" s="1"/>
  <c r="AK49" i="66" s="1"/>
  <c r="AU49" i="66" s="1"/>
  <c r="AI49" i="66"/>
  <c r="T24" i="9"/>
  <c r="C87" i="9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AO5" i="67"/>
  <c r="AP5" i="67" s="1"/>
  <c r="AG68" i="66"/>
  <c r="K104" i="9"/>
  <c r="I5" i="67"/>
  <c r="AO42" i="67"/>
  <c r="AP9" i="67"/>
  <c r="I28" i="67"/>
  <c r="R69" i="66" s="1"/>
  <c r="I36" i="67"/>
  <c r="AO35" i="67"/>
  <c r="AO44" i="67"/>
  <c r="AP29" i="67"/>
  <c r="AO4" i="67"/>
  <c r="AN18" i="67"/>
  <c r="I47" i="67"/>
  <c r="AL18" i="67"/>
  <c r="AO11" i="67"/>
  <c r="I11" i="67" s="1"/>
  <c r="AO10" i="67"/>
  <c r="AO12" i="67"/>
  <c r="AM37" i="67"/>
  <c r="AL37" i="67"/>
  <c r="AN37" i="67"/>
  <c r="AO6" i="67"/>
  <c r="I6" i="67" s="1"/>
  <c r="AA37" i="67"/>
  <c r="AF37" i="67"/>
  <c r="AP31" i="67"/>
  <c r="AE37" i="67"/>
  <c r="AM18" i="67"/>
  <c r="I24" i="67"/>
  <c r="N69" i="66" s="1"/>
  <c r="I8" i="67"/>
  <c r="AO43" i="67"/>
  <c r="AP43" i="67" s="1"/>
  <c r="AP13" i="67"/>
  <c r="I13" i="67"/>
  <c r="Z20" i="67"/>
  <c r="H39" i="67"/>
  <c r="Z39" i="67" s="1"/>
  <c r="AF19" i="67"/>
  <c r="AA19" i="67"/>
  <c r="AN19" i="67"/>
  <c r="AM19" i="67"/>
  <c r="AL19" i="67"/>
  <c r="AI19" i="67"/>
  <c r="AE19" i="67" s="1"/>
  <c r="AA27" i="67"/>
  <c r="AN27" i="67"/>
  <c r="AM27" i="67"/>
  <c r="AL27" i="67"/>
  <c r="AI27" i="67"/>
  <c r="AE27" i="67" s="1"/>
  <c r="AF27" i="67"/>
  <c r="AA26" i="67"/>
  <c r="AN26" i="67"/>
  <c r="AM26" i="67"/>
  <c r="AL26" i="67"/>
  <c r="AF26" i="67"/>
  <c r="AI26" i="67"/>
  <c r="AE26" i="67" s="1"/>
  <c r="H46" i="67"/>
  <c r="Z46" i="67" s="1"/>
  <c r="Z38" i="67"/>
  <c r="AA45" i="67"/>
  <c r="AN45" i="67"/>
  <c r="AM45" i="67"/>
  <c r="AL45" i="67"/>
  <c r="AI45" i="67"/>
  <c r="AE45" i="67"/>
  <c r="AF45" i="67"/>
  <c r="AP10" i="67" l="1"/>
  <c r="I10" i="67"/>
  <c r="I12" i="67"/>
  <c r="AP12" i="67"/>
  <c r="AP7" i="67"/>
  <c r="I7" i="67"/>
  <c r="AT69" i="66"/>
  <c r="AF69" i="66"/>
  <c r="AO18" i="67"/>
  <c r="AP18" i="67" s="1"/>
  <c r="AS49" i="66"/>
  <c r="AR24" i="9" s="1"/>
  <c r="AF24" i="9"/>
  <c r="R49" i="66"/>
  <c r="AB49" i="66" s="1"/>
  <c r="AL49" i="66" s="1"/>
  <c r="AV49" i="66" s="1"/>
  <c r="I42" i="67"/>
  <c r="AP42" i="67"/>
  <c r="AI69" i="66"/>
  <c r="U69" i="66"/>
  <c r="I35" i="67"/>
  <c r="AP35" i="67"/>
  <c r="AP44" i="67"/>
  <c r="I44" i="67"/>
  <c r="I4" i="67"/>
  <c r="D69" i="66" s="1"/>
  <c r="G67" i="9" s="1"/>
  <c r="B67" i="9" s="1"/>
  <c r="AP4" i="67"/>
  <c r="AO27" i="67"/>
  <c r="AP27" i="67" s="1"/>
  <c r="AP6" i="67"/>
  <c r="AP11" i="67"/>
  <c r="AO19" i="67"/>
  <c r="AP19" i="67" s="1"/>
  <c r="AO45" i="67"/>
  <c r="I43" i="67"/>
  <c r="I18" i="67"/>
  <c r="H69" i="66" s="1"/>
  <c r="AO26" i="67"/>
  <c r="AP26" i="67" s="1"/>
  <c r="AO37" i="67"/>
  <c r="AP45" i="67"/>
  <c r="I45" i="67"/>
  <c r="AA38" i="67"/>
  <c r="AN38" i="67"/>
  <c r="AM38" i="67"/>
  <c r="AL38" i="67"/>
  <c r="AI38" i="67"/>
  <c r="AE38" i="67" s="1"/>
  <c r="AF38" i="67"/>
  <c r="AN46" i="67"/>
  <c r="AL46" i="67"/>
  <c r="AI46" i="67"/>
  <c r="AE46" i="67" s="1"/>
  <c r="AM46" i="67"/>
  <c r="AF46" i="67"/>
  <c r="AA46" i="67"/>
  <c r="AA39" i="67"/>
  <c r="AN39" i="67"/>
  <c r="AM39" i="67"/>
  <c r="AL39" i="67"/>
  <c r="AI39" i="67"/>
  <c r="AE39" i="67"/>
  <c r="AF39" i="67"/>
  <c r="AA20" i="67"/>
  <c r="AN20" i="67"/>
  <c r="AM20" i="67"/>
  <c r="AL20" i="67"/>
  <c r="AI20" i="67"/>
  <c r="AE20" i="67" s="1"/>
  <c r="AF20" i="67"/>
  <c r="H40" i="67"/>
  <c r="Z40" i="67" s="1"/>
  <c r="Z21" i="67"/>
  <c r="S49" i="66" l="1"/>
  <c r="AC49" i="66" s="1"/>
  <c r="AM49" i="66" s="1"/>
  <c r="AW49" i="66" s="1"/>
  <c r="AA69" i="66"/>
  <c r="AO69" i="66"/>
  <c r="T69" i="66"/>
  <c r="AH69" i="66"/>
  <c r="AC69" i="66"/>
  <c r="AQ69" i="66"/>
  <c r="AP69" i="66"/>
  <c r="AB69" i="66"/>
  <c r="AR69" i="66"/>
  <c r="AD69" i="66"/>
  <c r="I19" i="67"/>
  <c r="I69" i="66" s="1"/>
  <c r="I27" i="67"/>
  <c r="Q69" i="66" s="1"/>
  <c r="AO46" i="67"/>
  <c r="AP46" i="67" s="1"/>
  <c r="AO39" i="67"/>
  <c r="AP39" i="67" s="1"/>
  <c r="AO38" i="67"/>
  <c r="AP37" i="67"/>
  <c r="I37" i="67"/>
  <c r="I26" i="67"/>
  <c r="P69" i="66" s="1"/>
  <c r="AO20" i="67"/>
  <c r="H41" i="67"/>
  <c r="Z41" i="67" s="1"/>
  <c r="Z22" i="67"/>
  <c r="AN40" i="67"/>
  <c r="AL40" i="67"/>
  <c r="AM40" i="67"/>
  <c r="AI40" i="67"/>
  <c r="AF40" i="67"/>
  <c r="AE40" i="67"/>
  <c r="AA40" i="67"/>
  <c r="AA21" i="67"/>
  <c r="AM21" i="67"/>
  <c r="AL21" i="67"/>
  <c r="AN21" i="67"/>
  <c r="AI21" i="67"/>
  <c r="AE21" i="67" s="1"/>
  <c r="AF21" i="67"/>
  <c r="I38" i="67" l="1"/>
  <c r="AP38" i="67"/>
  <c r="I20" i="67"/>
  <c r="J69" i="66" s="1"/>
  <c r="AP20" i="67"/>
  <c r="AJ69" i="66"/>
  <c r="V69" i="66"/>
  <c r="I39" i="67"/>
  <c r="T49" i="66"/>
  <c r="AD49" i="66" s="1"/>
  <c r="AN49" i="66" s="1"/>
  <c r="AX49" i="66" s="1"/>
  <c r="I46" i="67"/>
  <c r="AO40" i="67"/>
  <c r="I40" i="67" s="1"/>
  <c r="AO21" i="67"/>
  <c r="AP21" i="67" s="1"/>
  <c r="AN22" i="67"/>
  <c r="AM22" i="67"/>
  <c r="AL22" i="67"/>
  <c r="AI22" i="67"/>
  <c r="AF22" i="67"/>
  <c r="AE22" i="67"/>
  <c r="AA22" i="67"/>
  <c r="AN41" i="67"/>
  <c r="AM41" i="67"/>
  <c r="AL41" i="67"/>
  <c r="AF41" i="67"/>
  <c r="AI41" i="67"/>
  <c r="AE41" i="67" s="1"/>
  <c r="AA41" i="67"/>
  <c r="AK69" i="66" l="1"/>
  <c r="W69" i="66"/>
  <c r="AM69" i="66"/>
  <c r="Y69" i="66"/>
  <c r="AP40" i="67"/>
  <c r="AS69" i="66"/>
  <c r="AE69" i="66"/>
  <c r="AO22" i="67"/>
  <c r="AP22" i="67" s="1"/>
  <c r="AL69" i="66"/>
  <c r="X69" i="66"/>
  <c r="U49" i="66"/>
  <c r="AE49" i="66" s="1"/>
  <c r="AO49" i="66" s="1"/>
  <c r="AY49" i="66" s="1"/>
  <c r="V49" i="66"/>
  <c r="AF49" i="66" s="1"/>
  <c r="AP49" i="66" s="1"/>
  <c r="AZ49" i="66" s="1"/>
  <c r="I21" i="67"/>
  <c r="K69" i="66" s="1"/>
  <c r="AO41" i="67"/>
  <c r="AP41" i="67" s="1"/>
  <c r="I22" i="67" l="1"/>
  <c r="L69" i="66" s="1"/>
  <c r="I41" i="67"/>
  <c r="AN69" i="66" l="1"/>
  <c r="Z69" i="66"/>
  <c r="E3" i="66"/>
  <c r="I11" i="9" l="1"/>
  <c r="I10" i="9"/>
  <c r="F3" i="66"/>
  <c r="H19" i="9"/>
  <c r="D97" i="33"/>
  <c r="D96" i="33"/>
  <c r="D92" i="33"/>
  <c r="D60" i="33"/>
  <c r="D88" i="33"/>
  <c r="J11" i="9" l="1"/>
  <c r="J10" i="9"/>
  <c r="G3" i="66"/>
  <c r="I19" i="9"/>
  <c r="D89" i="33"/>
  <c r="D90" i="33"/>
  <c r="D87" i="33"/>
  <c r="D86" i="33"/>
  <c r="D85" i="33"/>
  <c r="I83" i="33"/>
  <c r="J83" i="33" s="1"/>
  <c r="I86" i="33"/>
  <c r="I93" i="33" s="1"/>
  <c r="J86" i="33"/>
  <c r="I90" i="33"/>
  <c r="J90" i="33"/>
  <c r="K11" i="9" l="1"/>
  <c r="K10" i="9"/>
  <c r="H3" i="66"/>
  <c r="J19" i="9"/>
  <c r="J91" i="33"/>
  <c r="J93" i="33"/>
  <c r="I92" i="33"/>
  <c r="I94" i="33" s="1"/>
  <c r="I91" i="33"/>
  <c r="D93" i="33"/>
  <c r="J92" i="33"/>
  <c r="E91" i="33"/>
  <c r="D91" i="33"/>
  <c r="D95" i="33"/>
  <c r="L10" i="9" l="1"/>
  <c r="L11" i="9"/>
  <c r="I3" i="66"/>
  <c r="K19" i="9"/>
  <c r="J94" i="33"/>
  <c r="M11" i="9" l="1"/>
  <c r="M10" i="9"/>
  <c r="J3" i="66"/>
  <c r="L19" i="9"/>
  <c r="N7" i="33"/>
  <c r="N10" i="9" l="1"/>
  <c r="N11" i="9"/>
  <c r="K3" i="66"/>
  <c r="M19" i="9"/>
  <c r="L7" i="33"/>
  <c r="L6" i="33" s="1"/>
  <c r="O11" i="9" l="1"/>
  <c r="O10" i="9"/>
  <c r="L3" i="66"/>
  <c r="N19" i="9"/>
  <c r="C32" i="9"/>
  <c r="P11" i="9" l="1"/>
  <c r="P10" i="9"/>
  <c r="M3" i="66"/>
  <c r="O19" i="9"/>
  <c r="Q10" i="9" l="1"/>
  <c r="Q11" i="9"/>
  <c r="N3" i="66"/>
  <c r="P19" i="9"/>
  <c r="D6" i="9"/>
  <c r="H20" i="9"/>
  <c r="I20" i="9" s="1"/>
  <c r="J20" i="9" s="1"/>
  <c r="K20" i="9" s="1"/>
  <c r="L20" i="9" s="1"/>
  <c r="M20" i="9" s="1"/>
  <c r="N20" i="9" s="1"/>
  <c r="O20" i="9" s="1"/>
  <c r="P20" i="9" s="1"/>
  <c r="Q20" i="9" s="1"/>
  <c r="R20" i="9" s="1"/>
  <c r="S20" i="9" s="1"/>
  <c r="T20" i="9" s="1"/>
  <c r="U20" i="9" s="1"/>
  <c r="V20" i="9" s="1"/>
  <c r="W20" i="9" s="1"/>
  <c r="X20" i="9" s="1"/>
  <c r="Y20" i="9" s="1"/>
  <c r="Z20" i="9" s="1"/>
  <c r="AA20" i="9" s="1"/>
  <c r="AB20" i="9" s="1"/>
  <c r="AC20" i="9" s="1"/>
  <c r="AD20" i="9" s="1"/>
  <c r="AE20" i="9" s="1"/>
  <c r="AF20" i="9" s="1"/>
  <c r="AG20" i="9" s="1"/>
  <c r="AH20" i="9" s="1"/>
  <c r="AI20" i="9" s="1"/>
  <c r="AJ20" i="9" s="1"/>
  <c r="AK20" i="9" s="1"/>
  <c r="AL20" i="9" s="1"/>
  <c r="AM20" i="9" s="1"/>
  <c r="AN20" i="9" s="1"/>
  <c r="AO20" i="9" s="1"/>
  <c r="AP20" i="9" s="1"/>
  <c r="AQ20" i="9" s="1"/>
  <c r="AR20" i="9" s="1"/>
  <c r="AS20" i="9" s="1"/>
  <c r="AT20" i="9" s="1"/>
  <c r="AU20" i="9" s="1"/>
  <c r="AV20" i="9" s="1"/>
  <c r="AW20" i="9" s="1"/>
  <c r="AX20" i="9" s="1"/>
  <c r="AY20" i="9" s="1"/>
  <c r="AZ20" i="9" s="1"/>
  <c r="BA20" i="9" s="1"/>
  <c r="BB20" i="9" s="1"/>
  <c r="BC20" i="9" s="1"/>
  <c r="BD20" i="9" s="1"/>
  <c r="BE20" i="9" s="1"/>
  <c r="BF20" i="9" s="1"/>
  <c r="BG20" i="9" s="1"/>
  <c r="BH20" i="9" s="1"/>
  <c r="BI20" i="9" s="1"/>
  <c r="BJ20" i="9" s="1"/>
  <c r="BK20" i="9" s="1"/>
  <c r="BL20" i="9" s="1"/>
  <c r="BM20" i="9" s="1"/>
  <c r="BN20" i="9" s="1"/>
  <c r="BO20" i="9" s="1"/>
  <c r="BP20" i="9" s="1"/>
  <c r="BQ20" i="9" s="1"/>
  <c r="BR20" i="9" s="1"/>
  <c r="BS20" i="9" s="1"/>
  <c r="BT20" i="9" s="1"/>
  <c r="BU20" i="9" s="1"/>
  <c r="BV20" i="9" s="1"/>
  <c r="BW20" i="9" s="1"/>
  <c r="BX20" i="9" s="1"/>
  <c r="BY20" i="9" s="1"/>
  <c r="BZ20" i="9" s="1"/>
  <c r="CA20" i="9" s="1"/>
  <c r="CB20" i="9" s="1"/>
  <c r="CC20" i="9" s="1"/>
  <c r="CD20" i="9" s="1"/>
  <c r="CE20" i="9" s="1"/>
  <c r="CF20" i="9" s="1"/>
  <c r="CG20" i="9" s="1"/>
  <c r="CH20" i="9" s="1"/>
  <c r="CI20" i="9" s="1"/>
  <c r="CJ20" i="9" s="1"/>
  <c r="CK20" i="9" s="1"/>
  <c r="CL20" i="9" s="1"/>
  <c r="CM20" i="9" s="1"/>
  <c r="CN20" i="9" s="1"/>
  <c r="CO20" i="9" s="1"/>
  <c r="CP20" i="9" s="1"/>
  <c r="CQ20" i="9" s="1"/>
  <c r="CR20" i="9" s="1"/>
  <c r="CS20" i="9" s="1"/>
  <c r="CT20" i="9" s="1"/>
  <c r="CU20" i="9" s="1"/>
  <c r="CV20" i="9" s="1"/>
  <c r="CW20" i="9" s="1"/>
  <c r="CX20" i="9" s="1"/>
  <c r="CY20" i="9" s="1"/>
  <c r="CZ20" i="9" s="1"/>
  <c r="DA20" i="9" s="1"/>
  <c r="DB20" i="9" s="1"/>
  <c r="DC20" i="9" s="1"/>
  <c r="DD20" i="9" s="1"/>
  <c r="DE20" i="9" s="1"/>
  <c r="DF20" i="9" s="1"/>
  <c r="DG20" i="9" s="1"/>
  <c r="DH20" i="9" s="1"/>
  <c r="DI20" i="9" s="1"/>
  <c r="DJ20" i="9" s="1"/>
  <c r="DK20" i="9" s="1"/>
  <c r="DL20" i="9" s="1"/>
  <c r="DM20" i="9" s="1"/>
  <c r="DN20" i="9" s="1"/>
  <c r="DO20" i="9" s="1"/>
  <c r="DP20" i="9" s="1"/>
  <c r="DQ20" i="9" s="1"/>
  <c r="DR20" i="9" s="1"/>
  <c r="DS20" i="9" s="1"/>
  <c r="DT20" i="9" s="1"/>
  <c r="DU20" i="9" s="1"/>
  <c r="DV20" i="9" s="1"/>
  <c r="DW20" i="9" s="1"/>
  <c r="DX20" i="9" s="1"/>
  <c r="DY20" i="9" s="1"/>
  <c r="DZ20" i="9" s="1"/>
  <c r="EA20" i="9" s="1"/>
  <c r="EB20" i="9" s="1"/>
  <c r="R10" i="9" l="1"/>
  <c r="R11" i="9"/>
  <c r="O3" i="66"/>
  <c r="Q19" i="9"/>
  <c r="S10" i="9" l="1"/>
  <c r="S11" i="9"/>
  <c r="P3" i="66"/>
  <c r="R19" i="9"/>
  <c r="B2" i="8"/>
  <c r="B7" i="8" s="1"/>
  <c r="U2" i="47" s="1"/>
  <c r="T11" i="9" l="1"/>
  <c r="T10" i="9"/>
  <c r="Q3" i="66"/>
  <c r="S19" i="9"/>
  <c r="U5" i="47"/>
  <c r="U4" i="47"/>
  <c r="U3" i="47"/>
  <c r="U10" i="9" l="1"/>
  <c r="U11" i="9"/>
  <c r="R3" i="66"/>
  <c r="T19" i="9"/>
  <c r="R2" i="47"/>
  <c r="V10" i="9" l="1"/>
  <c r="V11" i="9"/>
  <c r="S3" i="66"/>
  <c r="U19" i="9"/>
  <c r="I19" i="33"/>
  <c r="G8" i="9"/>
  <c r="R10" i="47"/>
  <c r="A51" i="7"/>
  <c r="AC8" i="47"/>
  <c r="W10" i="9" l="1"/>
  <c r="W11" i="9"/>
  <c r="T3" i="66"/>
  <c r="V19" i="9"/>
  <c r="G133" i="9"/>
  <c r="C133" i="9"/>
  <c r="H31" i="9"/>
  <c r="I31" i="9" s="1"/>
  <c r="J31" i="9" s="1"/>
  <c r="K31" i="9" s="1"/>
  <c r="L31" i="9" s="1"/>
  <c r="M31" i="9" s="1"/>
  <c r="O31" i="9" s="1"/>
  <c r="P31" i="9" s="1"/>
  <c r="Q31" i="9" s="1"/>
  <c r="R31" i="9" s="1"/>
  <c r="S31" i="9" s="1"/>
  <c r="U31" i="9" s="1"/>
  <c r="V31" i="9" s="1"/>
  <c r="W31" i="9" s="1"/>
  <c r="X31" i="9" s="1"/>
  <c r="Y31" i="9" s="1"/>
  <c r="Z31" i="9" s="1"/>
  <c r="AA31" i="9" s="1"/>
  <c r="AB31" i="9" s="1"/>
  <c r="AC31" i="9" s="1"/>
  <c r="AD31" i="9" s="1"/>
  <c r="AE31" i="9" s="1"/>
  <c r="AG31" i="9" s="1"/>
  <c r="AH31" i="9" s="1"/>
  <c r="AI31" i="9" s="1"/>
  <c r="AJ31" i="9" s="1"/>
  <c r="AK31" i="9" s="1"/>
  <c r="AL31" i="9" s="1"/>
  <c r="AM31" i="9" s="1"/>
  <c r="AN31" i="9" s="1"/>
  <c r="AO31" i="9" s="1"/>
  <c r="AP31" i="9" s="1"/>
  <c r="AQ31" i="9" s="1"/>
  <c r="AS31" i="9" s="1"/>
  <c r="AT31" i="9" s="1"/>
  <c r="AU31" i="9" s="1"/>
  <c r="AV31" i="9" s="1"/>
  <c r="AW31" i="9" s="1"/>
  <c r="AX31" i="9" s="1"/>
  <c r="AY31" i="9" s="1"/>
  <c r="AZ31" i="9" s="1"/>
  <c r="BA31" i="9" s="1"/>
  <c r="BB31" i="9" s="1"/>
  <c r="BC31" i="9" s="1"/>
  <c r="BD31" i="9" s="1"/>
  <c r="BE31" i="9" s="1"/>
  <c r="BF31" i="9" s="1"/>
  <c r="BG31" i="9" s="1"/>
  <c r="BH31" i="9" s="1"/>
  <c r="BI31" i="9" s="1"/>
  <c r="BJ31" i="9" s="1"/>
  <c r="BK31" i="9" s="1"/>
  <c r="BL31" i="9" s="1"/>
  <c r="BM31" i="9" s="1"/>
  <c r="BN31" i="9" s="1"/>
  <c r="BO31" i="9" s="1"/>
  <c r="BP31" i="9" s="1"/>
  <c r="BQ31" i="9" s="1"/>
  <c r="BR31" i="9" s="1"/>
  <c r="BS31" i="9" s="1"/>
  <c r="BT31" i="9" s="1"/>
  <c r="BU31" i="9" s="1"/>
  <c r="BV31" i="9" s="1"/>
  <c r="BW31" i="9" s="1"/>
  <c r="BX31" i="9" s="1"/>
  <c r="BY31" i="9" s="1"/>
  <c r="BZ31" i="9" s="1"/>
  <c r="CA31" i="9" s="1"/>
  <c r="CB31" i="9" s="1"/>
  <c r="CC31" i="9" s="1"/>
  <c r="CD31" i="9" s="1"/>
  <c r="CE31" i="9" s="1"/>
  <c r="CF31" i="9" s="1"/>
  <c r="CG31" i="9" s="1"/>
  <c r="CH31" i="9" s="1"/>
  <c r="CI31" i="9" s="1"/>
  <c r="CJ31" i="9" s="1"/>
  <c r="CK31" i="9" s="1"/>
  <c r="CL31" i="9" s="1"/>
  <c r="CM31" i="9" s="1"/>
  <c r="CN31" i="9" s="1"/>
  <c r="CO31" i="9" s="1"/>
  <c r="CP31" i="9" s="1"/>
  <c r="CQ31" i="9" s="1"/>
  <c r="CR31" i="9" s="1"/>
  <c r="CS31" i="9" s="1"/>
  <c r="CT31" i="9" s="1"/>
  <c r="CU31" i="9" s="1"/>
  <c r="CV31" i="9" s="1"/>
  <c r="CW31" i="9" s="1"/>
  <c r="CX31" i="9" s="1"/>
  <c r="CY31" i="9" s="1"/>
  <c r="CZ31" i="9" s="1"/>
  <c r="DA31" i="9" s="1"/>
  <c r="DB31" i="9" s="1"/>
  <c r="DC31" i="9" s="1"/>
  <c r="DD31" i="9" s="1"/>
  <c r="DE31" i="9" s="1"/>
  <c r="DF31" i="9" s="1"/>
  <c r="DG31" i="9" s="1"/>
  <c r="DH31" i="9" s="1"/>
  <c r="DI31" i="9" s="1"/>
  <c r="DJ31" i="9" s="1"/>
  <c r="DK31" i="9" s="1"/>
  <c r="DL31" i="9" s="1"/>
  <c r="DM31" i="9" s="1"/>
  <c r="DN31" i="9" s="1"/>
  <c r="DO31" i="9" s="1"/>
  <c r="DP31" i="9" s="1"/>
  <c r="DQ31" i="9" s="1"/>
  <c r="DR31" i="9" s="1"/>
  <c r="DS31" i="9" s="1"/>
  <c r="DT31" i="9" s="1"/>
  <c r="DU31" i="9" s="1"/>
  <c r="DV31" i="9" s="1"/>
  <c r="DW31" i="9" s="1"/>
  <c r="X11" i="9" l="1"/>
  <c r="X10" i="9"/>
  <c r="U3" i="66"/>
  <c r="W19" i="9"/>
  <c r="I133" i="9"/>
  <c r="J133" i="9"/>
  <c r="H133" i="9"/>
  <c r="I24" i="33"/>
  <c r="Y10" i="9" l="1"/>
  <c r="Y11" i="9"/>
  <c r="V3" i="66"/>
  <c r="X19" i="9"/>
  <c r="D74" i="33"/>
  <c r="D73" i="33"/>
  <c r="D72" i="33"/>
  <c r="D71" i="33"/>
  <c r="D70" i="33"/>
  <c r="D69" i="33"/>
  <c r="D58" i="33"/>
  <c r="D57" i="33"/>
  <c r="D56" i="33"/>
  <c r="D55" i="33"/>
  <c r="D54" i="33"/>
  <c r="D53" i="33"/>
  <c r="D42" i="33"/>
  <c r="D41" i="33"/>
  <c r="D40" i="33"/>
  <c r="D39" i="33"/>
  <c r="D38" i="33"/>
  <c r="D37" i="33"/>
  <c r="D25" i="33"/>
  <c r="D24" i="33"/>
  <c r="D23" i="33"/>
  <c r="D22" i="33"/>
  <c r="D21" i="33"/>
  <c r="D20" i="33"/>
  <c r="Z10" i="9" l="1"/>
  <c r="Z11" i="9"/>
  <c r="W3" i="66"/>
  <c r="Y19" i="9"/>
  <c r="D32" i="33"/>
  <c r="D48" i="33"/>
  <c r="D33" i="33"/>
  <c r="D31" i="33"/>
  <c r="D79" i="33"/>
  <c r="D81" i="33"/>
  <c r="D80" i="33"/>
  <c r="D65" i="33"/>
  <c r="D63" i="33"/>
  <c r="D64" i="33"/>
  <c r="D49" i="33"/>
  <c r="D47" i="33"/>
  <c r="E59" i="33"/>
  <c r="D75" i="33"/>
  <c r="D76" i="33" s="1"/>
  <c r="E75" i="33"/>
  <c r="D77" i="33"/>
  <c r="D59" i="33"/>
  <c r="D61" i="33"/>
  <c r="D43" i="33"/>
  <c r="D44" i="33" s="1"/>
  <c r="E43" i="33"/>
  <c r="D45" i="33"/>
  <c r="D26" i="33"/>
  <c r="E26" i="33"/>
  <c r="D29" i="33"/>
  <c r="D9" i="33"/>
  <c r="D8" i="33"/>
  <c r="D7" i="33"/>
  <c r="D6" i="33"/>
  <c r="D5" i="33"/>
  <c r="D4" i="33"/>
  <c r="D3" i="33"/>
  <c r="AA10" i="9" l="1"/>
  <c r="AA11" i="9"/>
  <c r="X3" i="66"/>
  <c r="Z19" i="9"/>
  <c r="D27" i="33"/>
  <c r="D15" i="33"/>
  <c r="D14" i="33"/>
  <c r="D16" i="33"/>
  <c r="D10" i="33"/>
  <c r="E10" i="33"/>
  <c r="D12" i="33"/>
  <c r="AB11" i="9" l="1"/>
  <c r="AB10" i="9"/>
  <c r="Y3" i="66"/>
  <c r="AA19" i="9"/>
  <c r="D28" i="33"/>
  <c r="I22" i="33"/>
  <c r="D11" i="33"/>
  <c r="AC10" i="9" l="1"/>
  <c r="AC11" i="9"/>
  <c r="Z3" i="66"/>
  <c r="AB19" i="9"/>
  <c r="A73" i="7"/>
  <c r="I20" i="33"/>
  <c r="I21" i="33" s="1"/>
  <c r="I23" i="33" s="1"/>
  <c r="AD11" i="9" l="1"/>
  <c r="AD10" i="9"/>
  <c r="AA3" i="66"/>
  <c r="AC19" i="9"/>
  <c r="I25" i="33"/>
  <c r="G139" i="9"/>
  <c r="AE10" i="9" l="1"/>
  <c r="AE11" i="9"/>
  <c r="AB3" i="66"/>
  <c r="AD19" i="9"/>
  <c r="AF10" i="9" l="1"/>
  <c r="AF11" i="9"/>
  <c r="AC3" i="66"/>
  <c r="AE19" i="9"/>
  <c r="M58" i="33"/>
  <c r="L58" i="33"/>
  <c r="K58" i="33"/>
  <c r="J58" i="33"/>
  <c r="I58" i="33"/>
  <c r="M54" i="33"/>
  <c r="L54" i="33"/>
  <c r="K54" i="33"/>
  <c r="J54" i="33"/>
  <c r="I54" i="33"/>
  <c r="O8" i="33"/>
  <c r="M7" i="33"/>
  <c r="M6" i="33" s="1"/>
  <c r="K7" i="33"/>
  <c r="K8" i="33" s="1"/>
  <c r="AG11" i="9" l="1"/>
  <c r="AG10" i="9"/>
  <c r="AD3" i="66"/>
  <c r="AF19" i="9"/>
  <c r="I59" i="33"/>
  <c r="J60" i="33"/>
  <c r="M59" i="33"/>
  <c r="I60" i="33"/>
  <c r="J59" i="33"/>
  <c r="M60" i="33"/>
  <c r="K59" i="33"/>
  <c r="L59" i="33"/>
  <c r="K60" i="33"/>
  <c r="L60" i="33"/>
  <c r="AH11" i="9" l="1"/>
  <c r="AH10" i="9"/>
  <c r="AE3" i="66"/>
  <c r="AG19" i="9"/>
  <c r="M62" i="33"/>
  <c r="O7" i="33"/>
  <c r="O6" i="33" s="1"/>
  <c r="I62" i="33"/>
  <c r="J62" i="33"/>
  <c r="L62" i="33"/>
  <c r="K62" i="33"/>
  <c r="AI10" i="9" l="1"/>
  <c r="AI11" i="9"/>
  <c r="AF3" i="66"/>
  <c r="AH19" i="9"/>
  <c r="H38" i="9"/>
  <c r="I38" i="9" s="1"/>
  <c r="J38" i="9" s="1"/>
  <c r="K38" i="9" s="1"/>
  <c r="L38" i="9" s="1"/>
  <c r="M38" i="9" s="1"/>
  <c r="O38" i="9" s="1"/>
  <c r="P38" i="9" s="1"/>
  <c r="Q38" i="9" s="1"/>
  <c r="R38" i="9" s="1"/>
  <c r="S38" i="9" s="1"/>
  <c r="U38" i="9" s="1"/>
  <c r="V38" i="9" s="1"/>
  <c r="W38" i="9" s="1"/>
  <c r="X38" i="9" s="1"/>
  <c r="Y38" i="9" s="1"/>
  <c r="Z38" i="9" s="1"/>
  <c r="AA38" i="9" s="1"/>
  <c r="AB38" i="9" s="1"/>
  <c r="AC38" i="9" s="1"/>
  <c r="AD38" i="9" s="1"/>
  <c r="AE38" i="9" s="1"/>
  <c r="AG38" i="9" s="1"/>
  <c r="AH38" i="9" s="1"/>
  <c r="AI38" i="9" s="1"/>
  <c r="AJ38" i="9" s="1"/>
  <c r="AK38" i="9" s="1"/>
  <c r="AL38" i="9" s="1"/>
  <c r="AM38" i="9" s="1"/>
  <c r="AN38" i="9" s="1"/>
  <c r="AO38" i="9" s="1"/>
  <c r="AP38" i="9" s="1"/>
  <c r="AQ38" i="9" s="1"/>
  <c r="AS38" i="9" s="1"/>
  <c r="AT38" i="9" s="1"/>
  <c r="AU38" i="9" s="1"/>
  <c r="AV38" i="9" s="1"/>
  <c r="AW38" i="9" s="1"/>
  <c r="AX38" i="9" s="1"/>
  <c r="AY38" i="9" s="1"/>
  <c r="AZ38" i="9" s="1"/>
  <c r="BA38" i="9" s="1"/>
  <c r="BB38" i="9" s="1"/>
  <c r="BC38" i="9" s="1"/>
  <c r="BD38" i="9" s="1"/>
  <c r="BE38" i="9" s="1"/>
  <c r="BF38" i="9" s="1"/>
  <c r="BG38" i="9" s="1"/>
  <c r="BH38" i="9" s="1"/>
  <c r="BI38" i="9" s="1"/>
  <c r="BJ38" i="9" s="1"/>
  <c r="BK38" i="9" s="1"/>
  <c r="BL38" i="9" s="1"/>
  <c r="BM38" i="9" s="1"/>
  <c r="BN38" i="9" s="1"/>
  <c r="BO38" i="9" s="1"/>
  <c r="BP38" i="9" s="1"/>
  <c r="BQ38" i="9" s="1"/>
  <c r="BR38" i="9" s="1"/>
  <c r="BS38" i="9" s="1"/>
  <c r="BT38" i="9" s="1"/>
  <c r="BU38" i="9" s="1"/>
  <c r="BV38" i="9" s="1"/>
  <c r="BW38" i="9" s="1"/>
  <c r="BX38" i="9" s="1"/>
  <c r="BY38" i="9" s="1"/>
  <c r="BZ38" i="9" s="1"/>
  <c r="CA38" i="9" s="1"/>
  <c r="CB38" i="9" s="1"/>
  <c r="CC38" i="9" s="1"/>
  <c r="CD38" i="9" s="1"/>
  <c r="CE38" i="9" s="1"/>
  <c r="CF38" i="9" s="1"/>
  <c r="CG38" i="9" s="1"/>
  <c r="CH38" i="9" s="1"/>
  <c r="CI38" i="9" s="1"/>
  <c r="CJ38" i="9" s="1"/>
  <c r="CK38" i="9" s="1"/>
  <c r="CL38" i="9" s="1"/>
  <c r="CM38" i="9" s="1"/>
  <c r="CN38" i="9" s="1"/>
  <c r="CO38" i="9" s="1"/>
  <c r="CP38" i="9" s="1"/>
  <c r="CQ38" i="9" s="1"/>
  <c r="CR38" i="9" s="1"/>
  <c r="CS38" i="9" s="1"/>
  <c r="CT38" i="9" s="1"/>
  <c r="CU38" i="9" s="1"/>
  <c r="CV38" i="9" s="1"/>
  <c r="CW38" i="9" s="1"/>
  <c r="CX38" i="9" s="1"/>
  <c r="CY38" i="9" s="1"/>
  <c r="CZ38" i="9" s="1"/>
  <c r="DA38" i="9" s="1"/>
  <c r="DB38" i="9" s="1"/>
  <c r="DC38" i="9" s="1"/>
  <c r="DD38" i="9" s="1"/>
  <c r="DE38" i="9" s="1"/>
  <c r="DF38" i="9" s="1"/>
  <c r="DG38" i="9" s="1"/>
  <c r="DH38" i="9" s="1"/>
  <c r="DI38" i="9" s="1"/>
  <c r="DJ38" i="9" s="1"/>
  <c r="DK38" i="9" s="1"/>
  <c r="DL38" i="9" s="1"/>
  <c r="DM38" i="9" s="1"/>
  <c r="DN38" i="9" s="1"/>
  <c r="DO38" i="9" s="1"/>
  <c r="DP38" i="9" s="1"/>
  <c r="DQ38" i="9" s="1"/>
  <c r="DR38" i="9" s="1"/>
  <c r="DS38" i="9" s="1"/>
  <c r="DT38" i="9" s="1"/>
  <c r="DU38" i="9" s="1"/>
  <c r="DV38" i="9" s="1"/>
  <c r="DW38" i="9" s="1"/>
  <c r="H37" i="9"/>
  <c r="I37" i="9" s="1"/>
  <c r="J37" i="9" s="1"/>
  <c r="K37" i="9" s="1"/>
  <c r="L37" i="9" s="1"/>
  <c r="M37" i="9" s="1"/>
  <c r="O37" i="9" s="1"/>
  <c r="P37" i="9" s="1"/>
  <c r="Q37" i="9" s="1"/>
  <c r="R37" i="9" s="1"/>
  <c r="S37" i="9" s="1"/>
  <c r="U37" i="9" s="1"/>
  <c r="V37" i="9" s="1"/>
  <c r="W37" i="9" s="1"/>
  <c r="X37" i="9" s="1"/>
  <c r="Y37" i="9" s="1"/>
  <c r="Z37" i="9" s="1"/>
  <c r="AA37" i="9" s="1"/>
  <c r="AB37" i="9" s="1"/>
  <c r="AC37" i="9" s="1"/>
  <c r="AD37" i="9" s="1"/>
  <c r="AE37" i="9" s="1"/>
  <c r="AG37" i="9" s="1"/>
  <c r="AH37" i="9" s="1"/>
  <c r="AI37" i="9" s="1"/>
  <c r="AJ37" i="9" s="1"/>
  <c r="AK37" i="9" s="1"/>
  <c r="AL37" i="9" s="1"/>
  <c r="AM37" i="9" s="1"/>
  <c r="AN37" i="9" s="1"/>
  <c r="AO37" i="9" s="1"/>
  <c r="AP37" i="9" s="1"/>
  <c r="AQ37" i="9" s="1"/>
  <c r="AS37" i="9" s="1"/>
  <c r="AT37" i="9" s="1"/>
  <c r="AU37" i="9" s="1"/>
  <c r="AV37" i="9" s="1"/>
  <c r="AW37" i="9" s="1"/>
  <c r="AX37" i="9" s="1"/>
  <c r="AY37" i="9" s="1"/>
  <c r="AZ37" i="9" s="1"/>
  <c r="BA37" i="9" s="1"/>
  <c r="BB37" i="9" s="1"/>
  <c r="BC37" i="9" s="1"/>
  <c r="BD37" i="9" s="1"/>
  <c r="BE37" i="9" s="1"/>
  <c r="BF37" i="9" s="1"/>
  <c r="BG37" i="9" s="1"/>
  <c r="BH37" i="9" s="1"/>
  <c r="BI37" i="9" s="1"/>
  <c r="BJ37" i="9" s="1"/>
  <c r="BK37" i="9" s="1"/>
  <c r="BL37" i="9" s="1"/>
  <c r="BM37" i="9" s="1"/>
  <c r="BN37" i="9" s="1"/>
  <c r="BO37" i="9" s="1"/>
  <c r="BP37" i="9" s="1"/>
  <c r="BQ37" i="9" s="1"/>
  <c r="BR37" i="9" s="1"/>
  <c r="BS37" i="9" s="1"/>
  <c r="BT37" i="9" s="1"/>
  <c r="BU37" i="9" s="1"/>
  <c r="BV37" i="9" s="1"/>
  <c r="BW37" i="9" s="1"/>
  <c r="BX37" i="9" s="1"/>
  <c r="BY37" i="9" s="1"/>
  <c r="BZ37" i="9" s="1"/>
  <c r="CA37" i="9" s="1"/>
  <c r="CB37" i="9" s="1"/>
  <c r="CC37" i="9" s="1"/>
  <c r="CD37" i="9" s="1"/>
  <c r="CE37" i="9" s="1"/>
  <c r="CF37" i="9" s="1"/>
  <c r="CG37" i="9" s="1"/>
  <c r="CH37" i="9" s="1"/>
  <c r="CI37" i="9" s="1"/>
  <c r="CJ37" i="9" s="1"/>
  <c r="CK37" i="9" s="1"/>
  <c r="CL37" i="9" s="1"/>
  <c r="CM37" i="9" s="1"/>
  <c r="CN37" i="9" s="1"/>
  <c r="CO37" i="9" s="1"/>
  <c r="CP37" i="9" s="1"/>
  <c r="CQ37" i="9" s="1"/>
  <c r="CR37" i="9" s="1"/>
  <c r="CS37" i="9" s="1"/>
  <c r="CT37" i="9" s="1"/>
  <c r="CU37" i="9" s="1"/>
  <c r="CV37" i="9" s="1"/>
  <c r="CW37" i="9" s="1"/>
  <c r="CX37" i="9" s="1"/>
  <c r="CY37" i="9" s="1"/>
  <c r="CZ37" i="9" s="1"/>
  <c r="DA37" i="9" s="1"/>
  <c r="DB37" i="9" s="1"/>
  <c r="DC37" i="9" s="1"/>
  <c r="DD37" i="9" s="1"/>
  <c r="DE37" i="9" s="1"/>
  <c r="DF37" i="9" s="1"/>
  <c r="DG37" i="9" s="1"/>
  <c r="DH37" i="9" s="1"/>
  <c r="DI37" i="9" s="1"/>
  <c r="DJ37" i="9" s="1"/>
  <c r="DK37" i="9" s="1"/>
  <c r="DL37" i="9" s="1"/>
  <c r="DM37" i="9" s="1"/>
  <c r="DN37" i="9" s="1"/>
  <c r="DO37" i="9" s="1"/>
  <c r="DP37" i="9" s="1"/>
  <c r="DQ37" i="9" s="1"/>
  <c r="DR37" i="9" s="1"/>
  <c r="DS37" i="9" s="1"/>
  <c r="DT37" i="9" s="1"/>
  <c r="DU37" i="9" s="1"/>
  <c r="DV37" i="9" s="1"/>
  <c r="DW37" i="9" s="1"/>
  <c r="H36" i="9"/>
  <c r="I36" i="9" s="1"/>
  <c r="J36" i="9" s="1"/>
  <c r="K36" i="9" s="1"/>
  <c r="L36" i="9" s="1"/>
  <c r="M36" i="9" s="1"/>
  <c r="O36" i="9" s="1"/>
  <c r="P36" i="9" s="1"/>
  <c r="Q36" i="9" s="1"/>
  <c r="R36" i="9" s="1"/>
  <c r="S36" i="9" s="1"/>
  <c r="U36" i="9" s="1"/>
  <c r="V36" i="9" s="1"/>
  <c r="W36" i="9" s="1"/>
  <c r="X36" i="9" s="1"/>
  <c r="Y36" i="9" s="1"/>
  <c r="Z36" i="9" s="1"/>
  <c r="AA36" i="9" s="1"/>
  <c r="AB36" i="9" s="1"/>
  <c r="AC36" i="9" s="1"/>
  <c r="AD36" i="9" s="1"/>
  <c r="AE36" i="9" s="1"/>
  <c r="AG36" i="9" s="1"/>
  <c r="AH36" i="9" s="1"/>
  <c r="AI36" i="9" s="1"/>
  <c r="AJ36" i="9" s="1"/>
  <c r="AK36" i="9" s="1"/>
  <c r="AL36" i="9" s="1"/>
  <c r="AM36" i="9" s="1"/>
  <c r="AN36" i="9" s="1"/>
  <c r="AO36" i="9" s="1"/>
  <c r="AP36" i="9" s="1"/>
  <c r="AQ36" i="9" s="1"/>
  <c r="AS36" i="9" s="1"/>
  <c r="AT36" i="9" s="1"/>
  <c r="AU36" i="9" s="1"/>
  <c r="AV36" i="9" s="1"/>
  <c r="AW36" i="9" s="1"/>
  <c r="AX36" i="9" s="1"/>
  <c r="AY36" i="9" s="1"/>
  <c r="AZ36" i="9" s="1"/>
  <c r="BA36" i="9" s="1"/>
  <c r="BB36" i="9" s="1"/>
  <c r="BC36" i="9" s="1"/>
  <c r="BD36" i="9" s="1"/>
  <c r="BE36" i="9" s="1"/>
  <c r="BF36" i="9" s="1"/>
  <c r="BG36" i="9" s="1"/>
  <c r="BH36" i="9" s="1"/>
  <c r="BI36" i="9" s="1"/>
  <c r="BJ36" i="9" s="1"/>
  <c r="BK36" i="9" s="1"/>
  <c r="BL36" i="9" s="1"/>
  <c r="BM36" i="9" s="1"/>
  <c r="BN36" i="9" s="1"/>
  <c r="BO36" i="9" s="1"/>
  <c r="BP36" i="9" s="1"/>
  <c r="BQ36" i="9" s="1"/>
  <c r="BR36" i="9" s="1"/>
  <c r="BS36" i="9" s="1"/>
  <c r="BT36" i="9" s="1"/>
  <c r="BU36" i="9" s="1"/>
  <c r="BV36" i="9" s="1"/>
  <c r="BW36" i="9" s="1"/>
  <c r="BX36" i="9" s="1"/>
  <c r="BY36" i="9" s="1"/>
  <c r="BZ36" i="9" s="1"/>
  <c r="CA36" i="9" s="1"/>
  <c r="CB36" i="9" s="1"/>
  <c r="CC36" i="9" s="1"/>
  <c r="CD36" i="9" s="1"/>
  <c r="CE36" i="9" s="1"/>
  <c r="CF36" i="9" s="1"/>
  <c r="CG36" i="9" s="1"/>
  <c r="CH36" i="9" s="1"/>
  <c r="CI36" i="9" s="1"/>
  <c r="CJ36" i="9" s="1"/>
  <c r="CK36" i="9" s="1"/>
  <c r="CL36" i="9" s="1"/>
  <c r="CM36" i="9" s="1"/>
  <c r="CN36" i="9" s="1"/>
  <c r="CO36" i="9" s="1"/>
  <c r="CP36" i="9" s="1"/>
  <c r="CQ36" i="9" s="1"/>
  <c r="CR36" i="9" s="1"/>
  <c r="CS36" i="9" s="1"/>
  <c r="CT36" i="9" s="1"/>
  <c r="CU36" i="9" s="1"/>
  <c r="CV36" i="9" s="1"/>
  <c r="CW36" i="9" s="1"/>
  <c r="CX36" i="9" s="1"/>
  <c r="CY36" i="9" s="1"/>
  <c r="CZ36" i="9" s="1"/>
  <c r="DA36" i="9" s="1"/>
  <c r="DB36" i="9" s="1"/>
  <c r="DC36" i="9" s="1"/>
  <c r="DD36" i="9" s="1"/>
  <c r="DE36" i="9" s="1"/>
  <c r="DF36" i="9" s="1"/>
  <c r="DG36" i="9" s="1"/>
  <c r="DH36" i="9" s="1"/>
  <c r="DI36" i="9" s="1"/>
  <c r="DJ36" i="9" s="1"/>
  <c r="DK36" i="9" s="1"/>
  <c r="DL36" i="9" s="1"/>
  <c r="DM36" i="9" s="1"/>
  <c r="DN36" i="9" s="1"/>
  <c r="DO36" i="9" s="1"/>
  <c r="DP36" i="9" s="1"/>
  <c r="DQ36" i="9" s="1"/>
  <c r="DR36" i="9" s="1"/>
  <c r="DS36" i="9" s="1"/>
  <c r="DT36" i="9" s="1"/>
  <c r="DU36" i="9" s="1"/>
  <c r="DV36" i="9" s="1"/>
  <c r="DW36" i="9" s="1"/>
  <c r="H35" i="9"/>
  <c r="I35" i="9" s="1"/>
  <c r="J35" i="9" s="1"/>
  <c r="K35" i="9" s="1"/>
  <c r="L35" i="9" s="1"/>
  <c r="O35" i="9" s="1"/>
  <c r="P35" i="9" s="1"/>
  <c r="Q35" i="9" s="1"/>
  <c r="R35" i="9" s="1"/>
  <c r="S35" i="9" s="1"/>
  <c r="H34" i="9"/>
  <c r="I34" i="9" s="1"/>
  <c r="J34" i="9" s="1"/>
  <c r="K34" i="9" s="1"/>
  <c r="L34" i="9" s="1"/>
  <c r="M34" i="9" s="1"/>
  <c r="O34" i="9" s="1"/>
  <c r="P34" i="9" s="1"/>
  <c r="Q34" i="9" s="1"/>
  <c r="R34" i="9" s="1"/>
  <c r="S34" i="9" s="1"/>
  <c r="U34" i="9" s="1"/>
  <c r="V34" i="9" s="1"/>
  <c r="W34" i="9" s="1"/>
  <c r="X34" i="9" s="1"/>
  <c r="Y34" i="9" s="1"/>
  <c r="Z34" i="9" s="1"/>
  <c r="AA34" i="9" s="1"/>
  <c r="AB34" i="9" s="1"/>
  <c r="AC34" i="9" s="1"/>
  <c r="AD34" i="9" s="1"/>
  <c r="AE34" i="9" s="1"/>
  <c r="AG34" i="9" s="1"/>
  <c r="AH34" i="9" s="1"/>
  <c r="AI34" i="9" s="1"/>
  <c r="AJ34" i="9" s="1"/>
  <c r="AK34" i="9" s="1"/>
  <c r="AL34" i="9" s="1"/>
  <c r="AM34" i="9" s="1"/>
  <c r="AN34" i="9" s="1"/>
  <c r="AO34" i="9" s="1"/>
  <c r="AP34" i="9" s="1"/>
  <c r="AQ34" i="9" s="1"/>
  <c r="AS34" i="9" s="1"/>
  <c r="AT34" i="9" s="1"/>
  <c r="AU34" i="9" s="1"/>
  <c r="AV34" i="9" s="1"/>
  <c r="AW34" i="9" s="1"/>
  <c r="AX34" i="9" s="1"/>
  <c r="AY34" i="9" s="1"/>
  <c r="AZ34" i="9" s="1"/>
  <c r="BA34" i="9" s="1"/>
  <c r="BB34" i="9" s="1"/>
  <c r="BC34" i="9" s="1"/>
  <c r="BD34" i="9" s="1"/>
  <c r="BE34" i="9" s="1"/>
  <c r="BF34" i="9" s="1"/>
  <c r="BG34" i="9" s="1"/>
  <c r="BH34" i="9" s="1"/>
  <c r="BI34" i="9" s="1"/>
  <c r="BJ34" i="9" s="1"/>
  <c r="BK34" i="9" s="1"/>
  <c r="BL34" i="9" s="1"/>
  <c r="BM34" i="9" s="1"/>
  <c r="BN34" i="9" s="1"/>
  <c r="BO34" i="9" s="1"/>
  <c r="BP34" i="9" s="1"/>
  <c r="BQ34" i="9" s="1"/>
  <c r="BR34" i="9" s="1"/>
  <c r="BS34" i="9" s="1"/>
  <c r="BT34" i="9" s="1"/>
  <c r="BU34" i="9" s="1"/>
  <c r="BV34" i="9" s="1"/>
  <c r="BW34" i="9" s="1"/>
  <c r="BX34" i="9" s="1"/>
  <c r="BY34" i="9" s="1"/>
  <c r="BZ34" i="9" s="1"/>
  <c r="CA34" i="9" s="1"/>
  <c r="CB34" i="9" s="1"/>
  <c r="CC34" i="9" s="1"/>
  <c r="CD34" i="9" s="1"/>
  <c r="CE34" i="9" s="1"/>
  <c r="CF34" i="9" s="1"/>
  <c r="CG34" i="9" s="1"/>
  <c r="CH34" i="9" s="1"/>
  <c r="CI34" i="9" s="1"/>
  <c r="CJ34" i="9" s="1"/>
  <c r="CK34" i="9" s="1"/>
  <c r="CL34" i="9" s="1"/>
  <c r="CM34" i="9" s="1"/>
  <c r="CN34" i="9" s="1"/>
  <c r="CO34" i="9" s="1"/>
  <c r="CP34" i="9" s="1"/>
  <c r="CQ34" i="9" s="1"/>
  <c r="CR34" i="9" s="1"/>
  <c r="CS34" i="9" s="1"/>
  <c r="CT34" i="9" s="1"/>
  <c r="CU34" i="9" s="1"/>
  <c r="CV34" i="9" s="1"/>
  <c r="CW34" i="9" s="1"/>
  <c r="CX34" i="9" s="1"/>
  <c r="CY34" i="9" s="1"/>
  <c r="CZ34" i="9" s="1"/>
  <c r="DA34" i="9" s="1"/>
  <c r="DB34" i="9" s="1"/>
  <c r="DC34" i="9" s="1"/>
  <c r="DD34" i="9" s="1"/>
  <c r="DE34" i="9" s="1"/>
  <c r="DF34" i="9" s="1"/>
  <c r="DG34" i="9" s="1"/>
  <c r="DH34" i="9" s="1"/>
  <c r="DI34" i="9" s="1"/>
  <c r="DJ34" i="9" s="1"/>
  <c r="DK34" i="9" s="1"/>
  <c r="DL34" i="9" s="1"/>
  <c r="DM34" i="9" s="1"/>
  <c r="DN34" i="9" s="1"/>
  <c r="DO34" i="9" s="1"/>
  <c r="DP34" i="9" s="1"/>
  <c r="DQ34" i="9" s="1"/>
  <c r="DR34" i="9" s="1"/>
  <c r="DS34" i="9" s="1"/>
  <c r="DT34" i="9" s="1"/>
  <c r="DU34" i="9" s="1"/>
  <c r="DV34" i="9" s="1"/>
  <c r="DW34" i="9" s="1"/>
  <c r="H33" i="9"/>
  <c r="I33" i="9" s="1"/>
  <c r="J33" i="9" s="1"/>
  <c r="K33" i="9" s="1"/>
  <c r="L33" i="9" s="1"/>
  <c r="M33" i="9" s="1"/>
  <c r="O33" i="9" s="1"/>
  <c r="P33" i="9" s="1"/>
  <c r="Q33" i="9" s="1"/>
  <c r="R33" i="9" s="1"/>
  <c r="S33" i="9" s="1"/>
  <c r="U33" i="9" s="1"/>
  <c r="V33" i="9" s="1"/>
  <c r="W33" i="9" s="1"/>
  <c r="X33" i="9" s="1"/>
  <c r="Y33" i="9" s="1"/>
  <c r="Z33" i="9" s="1"/>
  <c r="AA33" i="9" s="1"/>
  <c r="AB33" i="9" s="1"/>
  <c r="AC33" i="9" s="1"/>
  <c r="AD33" i="9" s="1"/>
  <c r="AE33" i="9" s="1"/>
  <c r="AG33" i="9" s="1"/>
  <c r="AH33" i="9" s="1"/>
  <c r="AI33" i="9" s="1"/>
  <c r="AJ33" i="9" s="1"/>
  <c r="AK33" i="9" s="1"/>
  <c r="AL33" i="9" s="1"/>
  <c r="AM33" i="9" s="1"/>
  <c r="AN33" i="9" s="1"/>
  <c r="AO33" i="9" s="1"/>
  <c r="AP33" i="9" s="1"/>
  <c r="AQ33" i="9" s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BE33" i="9" s="1"/>
  <c r="BF33" i="9" s="1"/>
  <c r="BG33" i="9" s="1"/>
  <c r="BH33" i="9" s="1"/>
  <c r="BI33" i="9" s="1"/>
  <c r="BJ33" i="9" s="1"/>
  <c r="BK33" i="9" s="1"/>
  <c r="BL33" i="9" s="1"/>
  <c r="BM33" i="9" s="1"/>
  <c r="BN33" i="9" s="1"/>
  <c r="BO33" i="9" s="1"/>
  <c r="BP33" i="9" s="1"/>
  <c r="BQ33" i="9" s="1"/>
  <c r="BR33" i="9" s="1"/>
  <c r="BS33" i="9" s="1"/>
  <c r="BT33" i="9" s="1"/>
  <c r="BU33" i="9" s="1"/>
  <c r="BV33" i="9" s="1"/>
  <c r="BW33" i="9" s="1"/>
  <c r="BX33" i="9" s="1"/>
  <c r="BY33" i="9" s="1"/>
  <c r="BZ33" i="9" s="1"/>
  <c r="CA33" i="9" s="1"/>
  <c r="CB33" i="9" s="1"/>
  <c r="CC33" i="9" s="1"/>
  <c r="CD33" i="9" s="1"/>
  <c r="CE33" i="9" s="1"/>
  <c r="CF33" i="9" s="1"/>
  <c r="CG33" i="9" s="1"/>
  <c r="CH33" i="9" s="1"/>
  <c r="CI33" i="9" s="1"/>
  <c r="CJ33" i="9" s="1"/>
  <c r="CK33" i="9" s="1"/>
  <c r="CL33" i="9" s="1"/>
  <c r="CM33" i="9" s="1"/>
  <c r="CN33" i="9" s="1"/>
  <c r="CO33" i="9" s="1"/>
  <c r="CP33" i="9" s="1"/>
  <c r="CQ33" i="9" s="1"/>
  <c r="CR33" i="9" s="1"/>
  <c r="CS33" i="9" s="1"/>
  <c r="CT33" i="9" s="1"/>
  <c r="CU33" i="9" s="1"/>
  <c r="CV33" i="9" s="1"/>
  <c r="CW33" i="9" s="1"/>
  <c r="CX33" i="9" s="1"/>
  <c r="CY33" i="9" s="1"/>
  <c r="CZ33" i="9" s="1"/>
  <c r="DA33" i="9" s="1"/>
  <c r="DB33" i="9" s="1"/>
  <c r="DC33" i="9" s="1"/>
  <c r="DD33" i="9" s="1"/>
  <c r="DE33" i="9" s="1"/>
  <c r="DF33" i="9" s="1"/>
  <c r="DG33" i="9" s="1"/>
  <c r="DH33" i="9" s="1"/>
  <c r="DI33" i="9" s="1"/>
  <c r="DJ33" i="9" s="1"/>
  <c r="DK33" i="9" s="1"/>
  <c r="DL33" i="9" s="1"/>
  <c r="DM33" i="9" s="1"/>
  <c r="DN33" i="9" s="1"/>
  <c r="DO33" i="9" s="1"/>
  <c r="DP33" i="9" s="1"/>
  <c r="DQ33" i="9" s="1"/>
  <c r="DR33" i="9" s="1"/>
  <c r="DS33" i="9" s="1"/>
  <c r="DT33" i="9" s="1"/>
  <c r="DU33" i="9" s="1"/>
  <c r="DV33" i="9" s="1"/>
  <c r="DW33" i="9" s="1"/>
  <c r="H32" i="9"/>
  <c r="I32" i="9" s="1"/>
  <c r="J32" i="9" s="1"/>
  <c r="K32" i="9" s="1"/>
  <c r="L32" i="9" s="1"/>
  <c r="H30" i="9"/>
  <c r="I30" i="9" s="1"/>
  <c r="J30" i="9" s="1"/>
  <c r="K30" i="9" s="1"/>
  <c r="L30" i="9" s="1"/>
  <c r="M30" i="9" s="1"/>
  <c r="O30" i="9" s="1"/>
  <c r="P30" i="9" s="1"/>
  <c r="Q30" i="9" s="1"/>
  <c r="R30" i="9" s="1"/>
  <c r="S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G30" i="9" s="1"/>
  <c r="AH30" i="9" s="1"/>
  <c r="AI30" i="9" s="1"/>
  <c r="AJ30" i="9" s="1"/>
  <c r="AK30" i="9" s="1"/>
  <c r="AL30" i="9" s="1"/>
  <c r="AM30" i="9" s="1"/>
  <c r="AN30" i="9" s="1"/>
  <c r="AO30" i="9" s="1"/>
  <c r="AP30" i="9" s="1"/>
  <c r="AQ30" i="9" s="1"/>
  <c r="AS30" i="9" s="1"/>
  <c r="AT30" i="9" s="1"/>
  <c r="AU30" i="9" s="1"/>
  <c r="AV30" i="9" s="1"/>
  <c r="AW30" i="9" s="1"/>
  <c r="AX30" i="9" s="1"/>
  <c r="AY30" i="9" s="1"/>
  <c r="AZ30" i="9" s="1"/>
  <c r="BA30" i="9" s="1"/>
  <c r="BB30" i="9" s="1"/>
  <c r="BC30" i="9" s="1"/>
  <c r="BD30" i="9" s="1"/>
  <c r="BE30" i="9" s="1"/>
  <c r="BF30" i="9" s="1"/>
  <c r="BG30" i="9" s="1"/>
  <c r="BH30" i="9" s="1"/>
  <c r="BI30" i="9" s="1"/>
  <c r="BJ30" i="9" s="1"/>
  <c r="BK30" i="9" s="1"/>
  <c r="BL30" i="9" s="1"/>
  <c r="BM30" i="9" s="1"/>
  <c r="BN30" i="9" s="1"/>
  <c r="BO30" i="9" s="1"/>
  <c r="BP30" i="9" s="1"/>
  <c r="BQ30" i="9" s="1"/>
  <c r="BR30" i="9" s="1"/>
  <c r="BS30" i="9" s="1"/>
  <c r="BT30" i="9" s="1"/>
  <c r="BU30" i="9" s="1"/>
  <c r="BV30" i="9" s="1"/>
  <c r="BW30" i="9" s="1"/>
  <c r="BX30" i="9" s="1"/>
  <c r="BY30" i="9" s="1"/>
  <c r="BZ30" i="9" s="1"/>
  <c r="CA30" i="9" s="1"/>
  <c r="CB30" i="9" s="1"/>
  <c r="CC30" i="9" s="1"/>
  <c r="CD30" i="9" s="1"/>
  <c r="CE30" i="9" s="1"/>
  <c r="CF30" i="9" s="1"/>
  <c r="CG30" i="9" s="1"/>
  <c r="CH30" i="9" s="1"/>
  <c r="CI30" i="9" s="1"/>
  <c r="CJ30" i="9" s="1"/>
  <c r="CK30" i="9" s="1"/>
  <c r="CL30" i="9" s="1"/>
  <c r="CM30" i="9" s="1"/>
  <c r="CN30" i="9" s="1"/>
  <c r="CO30" i="9" s="1"/>
  <c r="CP30" i="9" s="1"/>
  <c r="CQ30" i="9" s="1"/>
  <c r="CR30" i="9" s="1"/>
  <c r="CS30" i="9" s="1"/>
  <c r="CT30" i="9" s="1"/>
  <c r="CU30" i="9" s="1"/>
  <c r="CV30" i="9" s="1"/>
  <c r="CW30" i="9" s="1"/>
  <c r="CX30" i="9" s="1"/>
  <c r="CY30" i="9" s="1"/>
  <c r="CZ30" i="9" s="1"/>
  <c r="DA30" i="9" s="1"/>
  <c r="DB30" i="9" s="1"/>
  <c r="DC30" i="9" s="1"/>
  <c r="DD30" i="9" s="1"/>
  <c r="DE30" i="9" s="1"/>
  <c r="DF30" i="9" s="1"/>
  <c r="DG30" i="9" s="1"/>
  <c r="DH30" i="9" s="1"/>
  <c r="DI30" i="9" s="1"/>
  <c r="DJ30" i="9" s="1"/>
  <c r="DK30" i="9" s="1"/>
  <c r="DL30" i="9" s="1"/>
  <c r="DM30" i="9" s="1"/>
  <c r="DN30" i="9" s="1"/>
  <c r="DO30" i="9" s="1"/>
  <c r="DP30" i="9" s="1"/>
  <c r="DQ30" i="9" s="1"/>
  <c r="DR30" i="9" s="1"/>
  <c r="DS30" i="9" s="1"/>
  <c r="DT30" i="9" s="1"/>
  <c r="DU30" i="9" s="1"/>
  <c r="DV30" i="9" s="1"/>
  <c r="DW30" i="9" s="1"/>
  <c r="H29" i="9"/>
  <c r="I29" i="9" s="1"/>
  <c r="J29" i="9" s="1"/>
  <c r="K29" i="9" s="1"/>
  <c r="L29" i="9" s="1"/>
  <c r="M29" i="9" s="1"/>
  <c r="O29" i="9" s="1"/>
  <c r="P29" i="9" s="1"/>
  <c r="Q29" i="9" s="1"/>
  <c r="R29" i="9" s="1"/>
  <c r="S29" i="9" s="1"/>
  <c r="U29" i="9" s="1"/>
  <c r="V29" i="9" s="1"/>
  <c r="W29" i="9" s="1"/>
  <c r="X29" i="9" s="1"/>
  <c r="Y29" i="9" s="1"/>
  <c r="Z29" i="9" s="1"/>
  <c r="AA29" i="9" s="1"/>
  <c r="AB29" i="9" s="1"/>
  <c r="AC29" i="9" s="1"/>
  <c r="AD29" i="9" s="1"/>
  <c r="AE29" i="9" s="1"/>
  <c r="AG29" i="9" s="1"/>
  <c r="AH29" i="9" s="1"/>
  <c r="AI29" i="9" s="1"/>
  <c r="AJ29" i="9" s="1"/>
  <c r="AK29" i="9" s="1"/>
  <c r="AL29" i="9" s="1"/>
  <c r="AM29" i="9" s="1"/>
  <c r="AN29" i="9" s="1"/>
  <c r="AO29" i="9" s="1"/>
  <c r="AP29" i="9" s="1"/>
  <c r="AQ29" i="9" s="1"/>
  <c r="AS29" i="9" s="1"/>
  <c r="AT29" i="9" s="1"/>
  <c r="AU29" i="9" s="1"/>
  <c r="AV29" i="9" s="1"/>
  <c r="AW29" i="9" s="1"/>
  <c r="AX29" i="9" s="1"/>
  <c r="AY29" i="9" s="1"/>
  <c r="AZ29" i="9" s="1"/>
  <c r="BA29" i="9" s="1"/>
  <c r="BB29" i="9" s="1"/>
  <c r="BC29" i="9" s="1"/>
  <c r="BD29" i="9" s="1"/>
  <c r="BE29" i="9" s="1"/>
  <c r="BF29" i="9" s="1"/>
  <c r="BG29" i="9" s="1"/>
  <c r="BH29" i="9" s="1"/>
  <c r="BI29" i="9" s="1"/>
  <c r="BJ29" i="9" s="1"/>
  <c r="BK29" i="9" s="1"/>
  <c r="BL29" i="9" s="1"/>
  <c r="BM29" i="9" s="1"/>
  <c r="BN29" i="9" s="1"/>
  <c r="BO29" i="9" s="1"/>
  <c r="BP29" i="9" s="1"/>
  <c r="BQ29" i="9" s="1"/>
  <c r="BR29" i="9" s="1"/>
  <c r="BS29" i="9" s="1"/>
  <c r="BT29" i="9" s="1"/>
  <c r="BU29" i="9" s="1"/>
  <c r="BV29" i="9" s="1"/>
  <c r="BW29" i="9" s="1"/>
  <c r="BX29" i="9" s="1"/>
  <c r="BY29" i="9" s="1"/>
  <c r="BZ29" i="9" s="1"/>
  <c r="CA29" i="9" s="1"/>
  <c r="CB29" i="9" s="1"/>
  <c r="CC29" i="9" s="1"/>
  <c r="CD29" i="9" s="1"/>
  <c r="CE29" i="9" s="1"/>
  <c r="CF29" i="9" s="1"/>
  <c r="CG29" i="9" s="1"/>
  <c r="CH29" i="9" s="1"/>
  <c r="CI29" i="9" s="1"/>
  <c r="CJ29" i="9" s="1"/>
  <c r="CK29" i="9" s="1"/>
  <c r="CL29" i="9" s="1"/>
  <c r="CM29" i="9" s="1"/>
  <c r="CN29" i="9" s="1"/>
  <c r="CO29" i="9" s="1"/>
  <c r="CP29" i="9" s="1"/>
  <c r="CQ29" i="9" s="1"/>
  <c r="CR29" i="9" s="1"/>
  <c r="CS29" i="9" s="1"/>
  <c r="CT29" i="9" s="1"/>
  <c r="CU29" i="9" s="1"/>
  <c r="CV29" i="9" s="1"/>
  <c r="CW29" i="9" s="1"/>
  <c r="CX29" i="9" s="1"/>
  <c r="CY29" i="9" s="1"/>
  <c r="CZ29" i="9" s="1"/>
  <c r="DA29" i="9" s="1"/>
  <c r="DB29" i="9" s="1"/>
  <c r="DC29" i="9" s="1"/>
  <c r="DD29" i="9" s="1"/>
  <c r="DE29" i="9" s="1"/>
  <c r="DF29" i="9" s="1"/>
  <c r="DG29" i="9" s="1"/>
  <c r="DH29" i="9" s="1"/>
  <c r="DI29" i="9" s="1"/>
  <c r="DJ29" i="9" s="1"/>
  <c r="DK29" i="9" s="1"/>
  <c r="DL29" i="9" s="1"/>
  <c r="DM29" i="9" s="1"/>
  <c r="DN29" i="9" s="1"/>
  <c r="DO29" i="9" s="1"/>
  <c r="DP29" i="9" s="1"/>
  <c r="DQ29" i="9" s="1"/>
  <c r="DR29" i="9" s="1"/>
  <c r="DS29" i="9" s="1"/>
  <c r="DT29" i="9" s="1"/>
  <c r="DU29" i="9" s="1"/>
  <c r="DV29" i="9" s="1"/>
  <c r="DW29" i="9" s="1"/>
  <c r="H28" i="9"/>
  <c r="I28" i="9" s="1"/>
  <c r="J28" i="9" s="1"/>
  <c r="K28" i="9" s="1"/>
  <c r="L28" i="9" s="1"/>
  <c r="M28" i="9" s="1"/>
  <c r="O28" i="9" s="1"/>
  <c r="P28" i="9" s="1"/>
  <c r="Q28" i="9" s="1"/>
  <c r="R28" i="9" s="1"/>
  <c r="S28" i="9" s="1"/>
  <c r="U28" i="9" s="1"/>
  <c r="V28" i="9" s="1"/>
  <c r="W28" i="9" s="1"/>
  <c r="X28" i="9" s="1"/>
  <c r="Y28" i="9" s="1"/>
  <c r="Z28" i="9" s="1"/>
  <c r="AA28" i="9" s="1"/>
  <c r="AB28" i="9" s="1"/>
  <c r="AC28" i="9" s="1"/>
  <c r="AD28" i="9" s="1"/>
  <c r="AE28" i="9" s="1"/>
  <c r="AG28" i="9" s="1"/>
  <c r="AH28" i="9" s="1"/>
  <c r="AI28" i="9" s="1"/>
  <c r="AJ28" i="9" s="1"/>
  <c r="AK28" i="9" s="1"/>
  <c r="AL28" i="9" s="1"/>
  <c r="AM28" i="9" s="1"/>
  <c r="AN28" i="9" s="1"/>
  <c r="AO28" i="9" s="1"/>
  <c r="AP28" i="9" s="1"/>
  <c r="AQ28" i="9" s="1"/>
  <c r="AS28" i="9" s="1"/>
  <c r="AT28" i="9" s="1"/>
  <c r="AU28" i="9" s="1"/>
  <c r="AV28" i="9" s="1"/>
  <c r="AW28" i="9" s="1"/>
  <c r="AX28" i="9" s="1"/>
  <c r="AY28" i="9" s="1"/>
  <c r="AZ28" i="9" s="1"/>
  <c r="BA28" i="9" s="1"/>
  <c r="BB28" i="9" s="1"/>
  <c r="BC28" i="9" s="1"/>
  <c r="BD28" i="9" s="1"/>
  <c r="BE28" i="9" s="1"/>
  <c r="BF28" i="9" s="1"/>
  <c r="BG28" i="9" s="1"/>
  <c r="BH28" i="9" s="1"/>
  <c r="BI28" i="9" s="1"/>
  <c r="BJ28" i="9" s="1"/>
  <c r="BK28" i="9" s="1"/>
  <c r="BL28" i="9" s="1"/>
  <c r="BM28" i="9" s="1"/>
  <c r="BN28" i="9" s="1"/>
  <c r="BO28" i="9" s="1"/>
  <c r="BP28" i="9" s="1"/>
  <c r="BQ28" i="9" s="1"/>
  <c r="BR28" i="9" s="1"/>
  <c r="BS28" i="9" s="1"/>
  <c r="BT28" i="9" s="1"/>
  <c r="BU28" i="9" s="1"/>
  <c r="BV28" i="9" s="1"/>
  <c r="BW28" i="9" s="1"/>
  <c r="BX28" i="9" s="1"/>
  <c r="BY28" i="9" s="1"/>
  <c r="BZ28" i="9" s="1"/>
  <c r="CA28" i="9" s="1"/>
  <c r="CB28" i="9" s="1"/>
  <c r="CC28" i="9" s="1"/>
  <c r="CD28" i="9" s="1"/>
  <c r="CE28" i="9" s="1"/>
  <c r="CF28" i="9" s="1"/>
  <c r="CG28" i="9" s="1"/>
  <c r="CH28" i="9" s="1"/>
  <c r="CI28" i="9" s="1"/>
  <c r="CJ28" i="9" s="1"/>
  <c r="CK28" i="9" s="1"/>
  <c r="CL28" i="9" s="1"/>
  <c r="CM28" i="9" s="1"/>
  <c r="CN28" i="9" s="1"/>
  <c r="CO28" i="9" s="1"/>
  <c r="CP28" i="9" s="1"/>
  <c r="CQ28" i="9" s="1"/>
  <c r="CR28" i="9" s="1"/>
  <c r="CS28" i="9" s="1"/>
  <c r="CT28" i="9" s="1"/>
  <c r="CU28" i="9" s="1"/>
  <c r="CV28" i="9" s="1"/>
  <c r="CW28" i="9" s="1"/>
  <c r="CX28" i="9" s="1"/>
  <c r="CY28" i="9" s="1"/>
  <c r="CZ28" i="9" s="1"/>
  <c r="DA28" i="9" s="1"/>
  <c r="DB28" i="9" s="1"/>
  <c r="DC28" i="9" s="1"/>
  <c r="DD28" i="9" s="1"/>
  <c r="DE28" i="9" s="1"/>
  <c r="DF28" i="9" s="1"/>
  <c r="DG28" i="9" s="1"/>
  <c r="DH28" i="9" s="1"/>
  <c r="DI28" i="9" s="1"/>
  <c r="DJ28" i="9" s="1"/>
  <c r="DK28" i="9" s="1"/>
  <c r="DL28" i="9" s="1"/>
  <c r="DM28" i="9" s="1"/>
  <c r="DN28" i="9" s="1"/>
  <c r="DO28" i="9" s="1"/>
  <c r="DP28" i="9" s="1"/>
  <c r="DQ28" i="9" s="1"/>
  <c r="DR28" i="9" s="1"/>
  <c r="DS28" i="9" s="1"/>
  <c r="DT28" i="9" s="1"/>
  <c r="DU28" i="9" s="1"/>
  <c r="DV28" i="9" s="1"/>
  <c r="DW28" i="9" s="1"/>
  <c r="H27" i="9"/>
  <c r="I27" i="9" s="1"/>
  <c r="J27" i="9" s="1"/>
  <c r="K27" i="9" s="1"/>
  <c r="L27" i="9" s="1"/>
  <c r="M27" i="9" s="1"/>
  <c r="O27" i="9" s="1"/>
  <c r="P27" i="9" s="1"/>
  <c r="Q27" i="9" s="1"/>
  <c r="R27" i="9" s="1"/>
  <c r="S27" i="9" s="1"/>
  <c r="U27" i="9" s="1"/>
  <c r="V27" i="9" s="1"/>
  <c r="W27" i="9" s="1"/>
  <c r="X27" i="9" s="1"/>
  <c r="Y27" i="9" s="1"/>
  <c r="Z27" i="9" s="1"/>
  <c r="AA27" i="9" s="1"/>
  <c r="AB27" i="9" s="1"/>
  <c r="AC27" i="9" s="1"/>
  <c r="AD27" i="9" s="1"/>
  <c r="AE27" i="9" s="1"/>
  <c r="AG27" i="9" s="1"/>
  <c r="AH27" i="9" s="1"/>
  <c r="AI27" i="9" s="1"/>
  <c r="AJ27" i="9" s="1"/>
  <c r="AK27" i="9" s="1"/>
  <c r="AL27" i="9" s="1"/>
  <c r="AM27" i="9" s="1"/>
  <c r="AN27" i="9" s="1"/>
  <c r="AO27" i="9" s="1"/>
  <c r="AP27" i="9" s="1"/>
  <c r="AQ27" i="9" s="1"/>
  <c r="AS27" i="9" s="1"/>
  <c r="AT27" i="9" s="1"/>
  <c r="AU27" i="9" s="1"/>
  <c r="AV27" i="9" s="1"/>
  <c r="AW27" i="9" s="1"/>
  <c r="AX27" i="9" s="1"/>
  <c r="AY27" i="9" s="1"/>
  <c r="AZ27" i="9" s="1"/>
  <c r="BA27" i="9" s="1"/>
  <c r="BB27" i="9" s="1"/>
  <c r="BC27" i="9" s="1"/>
  <c r="BD27" i="9" s="1"/>
  <c r="BE27" i="9" s="1"/>
  <c r="BF27" i="9" s="1"/>
  <c r="BG27" i="9" s="1"/>
  <c r="BH27" i="9" s="1"/>
  <c r="BI27" i="9" s="1"/>
  <c r="BJ27" i="9" s="1"/>
  <c r="BK27" i="9" s="1"/>
  <c r="BL27" i="9" s="1"/>
  <c r="BM27" i="9" s="1"/>
  <c r="BN27" i="9" s="1"/>
  <c r="BO27" i="9" s="1"/>
  <c r="BP27" i="9" s="1"/>
  <c r="BQ27" i="9" s="1"/>
  <c r="BR27" i="9" s="1"/>
  <c r="BS27" i="9" s="1"/>
  <c r="BT27" i="9" s="1"/>
  <c r="BU27" i="9" s="1"/>
  <c r="BV27" i="9" s="1"/>
  <c r="BW27" i="9" s="1"/>
  <c r="BX27" i="9" s="1"/>
  <c r="BY27" i="9" s="1"/>
  <c r="BZ27" i="9" s="1"/>
  <c r="CA27" i="9" s="1"/>
  <c r="CB27" i="9" s="1"/>
  <c r="CC27" i="9" s="1"/>
  <c r="CD27" i="9" s="1"/>
  <c r="CE27" i="9" s="1"/>
  <c r="CF27" i="9" s="1"/>
  <c r="CG27" i="9" s="1"/>
  <c r="CH27" i="9" s="1"/>
  <c r="CI27" i="9" s="1"/>
  <c r="CJ27" i="9" s="1"/>
  <c r="CK27" i="9" s="1"/>
  <c r="CL27" i="9" s="1"/>
  <c r="CM27" i="9" s="1"/>
  <c r="CN27" i="9" s="1"/>
  <c r="CO27" i="9" s="1"/>
  <c r="CP27" i="9" s="1"/>
  <c r="CQ27" i="9" s="1"/>
  <c r="CR27" i="9" s="1"/>
  <c r="CS27" i="9" s="1"/>
  <c r="CT27" i="9" s="1"/>
  <c r="CU27" i="9" s="1"/>
  <c r="CV27" i="9" s="1"/>
  <c r="CW27" i="9" s="1"/>
  <c r="CX27" i="9" s="1"/>
  <c r="CY27" i="9" s="1"/>
  <c r="CZ27" i="9" s="1"/>
  <c r="DA27" i="9" s="1"/>
  <c r="DB27" i="9" s="1"/>
  <c r="DC27" i="9" s="1"/>
  <c r="DD27" i="9" s="1"/>
  <c r="DE27" i="9" s="1"/>
  <c r="DF27" i="9" s="1"/>
  <c r="DG27" i="9" s="1"/>
  <c r="DH27" i="9" s="1"/>
  <c r="DI27" i="9" s="1"/>
  <c r="DJ27" i="9" s="1"/>
  <c r="DK27" i="9" s="1"/>
  <c r="DL27" i="9" s="1"/>
  <c r="DM27" i="9" s="1"/>
  <c r="DN27" i="9" s="1"/>
  <c r="DO27" i="9" s="1"/>
  <c r="DP27" i="9" s="1"/>
  <c r="DQ27" i="9" s="1"/>
  <c r="DR27" i="9" s="1"/>
  <c r="DS27" i="9" s="1"/>
  <c r="DT27" i="9" s="1"/>
  <c r="DU27" i="9" s="1"/>
  <c r="DV27" i="9" s="1"/>
  <c r="DW27" i="9" s="1"/>
  <c r="H26" i="9"/>
  <c r="I26" i="9" s="1"/>
  <c r="J26" i="9" s="1"/>
  <c r="K26" i="9" s="1"/>
  <c r="L26" i="9" s="1"/>
  <c r="M26" i="9" s="1"/>
  <c r="O26" i="9" s="1"/>
  <c r="P26" i="9" s="1"/>
  <c r="Q26" i="9" s="1"/>
  <c r="R26" i="9" s="1"/>
  <c r="S26" i="9" s="1"/>
  <c r="U26" i="9" s="1"/>
  <c r="V26" i="9" s="1"/>
  <c r="W26" i="9" s="1"/>
  <c r="X26" i="9" s="1"/>
  <c r="Y26" i="9" s="1"/>
  <c r="Z26" i="9" s="1"/>
  <c r="AA26" i="9" s="1"/>
  <c r="AB26" i="9" s="1"/>
  <c r="AC26" i="9" s="1"/>
  <c r="AD26" i="9" s="1"/>
  <c r="AE26" i="9" s="1"/>
  <c r="AG26" i="9" s="1"/>
  <c r="AH26" i="9" s="1"/>
  <c r="AI26" i="9" s="1"/>
  <c r="AJ26" i="9" s="1"/>
  <c r="AK26" i="9" s="1"/>
  <c r="AL26" i="9" s="1"/>
  <c r="AM26" i="9" s="1"/>
  <c r="AN26" i="9" s="1"/>
  <c r="AO26" i="9" s="1"/>
  <c r="AP26" i="9" s="1"/>
  <c r="AQ26" i="9" s="1"/>
  <c r="AS26" i="9" s="1"/>
  <c r="AT26" i="9" s="1"/>
  <c r="AU26" i="9" s="1"/>
  <c r="AV26" i="9" s="1"/>
  <c r="AW26" i="9" s="1"/>
  <c r="AX26" i="9" s="1"/>
  <c r="AY26" i="9" s="1"/>
  <c r="AZ26" i="9" s="1"/>
  <c r="BA26" i="9" s="1"/>
  <c r="BB26" i="9" s="1"/>
  <c r="BC26" i="9" s="1"/>
  <c r="BD26" i="9" s="1"/>
  <c r="BE26" i="9" s="1"/>
  <c r="BF26" i="9" s="1"/>
  <c r="BG26" i="9" s="1"/>
  <c r="BH26" i="9" s="1"/>
  <c r="BI26" i="9" s="1"/>
  <c r="BJ26" i="9" s="1"/>
  <c r="BK26" i="9" s="1"/>
  <c r="BL26" i="9" s="1"/>
  <c r="BM26" i="9" s="1"/>
  <c r="BN26" i="9" s="1"/>
  <c r="BO26" i="9" s="1"/>
  <c r="BP26" i="9" s="1"/>
  <c r="BQ26" i="9" s="1"/>
  <c r="BR26" i="9" s="1"/>
  <c r="BS26" i="9" s="1"/>
  <c r="BT26" i="9" s="1"/>
  <c r="BU26" i="9" s="1"/>
  <c r="BV26" i="9" s="1"/>
  <c r="BW26" i="9" s="1"/>
  <c r="BX26" i="9" s="1"/>
  <c r="BY26" i="9" s="1"/>
  <c r="BZ26" i="9" s="1"/>
  <c r="CA26" i="9" s="1"/>
  <c r="CB26" i="9" s="1"/>
  <c r="CC26" i="9" s="1"/>
  <c r="CD26" i="9" s="1"/>
  <c r="CE26" i="9" s="1"/>
  <c r="CF26" i="9" s="1"/>
  <c r="CG26" i="9" s="1"/>
  <c r="CH26" i="9" s="1"/>
  <c r="CI26" i="9" s="1"/>
  <c r="CJ26" i="9" s="1"/>
  <c r="CK26" i="9" s="1"/>
  <c r="CL26" i="9" s="1"/>
  <c r="CM26" i="9" s="1"/>
  <c r="CN26" i="9" s="1"/>
  <c r="CO26" i="9" s="1"/>
  <c r="CP26" i="9" s="1"/>
  <c r="CQ26" i="9" s="1"/>
  <c r="CR26" i="9" s="1"/>
  <c r="CS26" i="9" s="1"/>
  <c r="CT26" i="9" s="1"/>
  <c r="CU26" i="9" s="1"/>
  <c r="CV26" i="9" s="1"/>
  <c r="CW26" i="9" s="1"/>
  <c r="CX26" i="9" s="1"/>
  <c r="CY26" i="9" s="1"/>
  <c r="CZ26" i="9" s="1"/>
  <c r="DA26" i="9" s="1"/>
  <c r="DB26" i="9" s="1"/>
  <c r="DC26" i="9" s="1"/>
  <c r="DD26" i="9" s="1"/>
  <c r="DE26" i="9" s="1"/>
  <c r="DF26" i="9" s="1"/>
  <c r="DG26" i="9" s="1"/>
  <c r="DH26" i="9" s="1"/>
  <c r="DI26" i="9" s="1"/>
  <c r="DJ26" i="9" s="1"/>
  <c r="DK26" i="9" s="1"/>
  <c r="DL26" i="9" s="1"/>
  <c r="DM26" i="9" s="1"/>
  <c r="DN26" i="9" s="1"/>
  <c r="DO26" i="9" s="1"/>
  <c r="DP26" i="9" s="1"/>
  <c r="DQ26" i="9" s="1"/>
  <c r="DR26" i="9" s="1"/>
  <c r="DS26" i="9" s="1"/>
  <c r="DT26" i="9" s="1"/>
  <c r="DU26" i="9" s="1"/>
  <c r="DV26" i="9" s="1"/>
  <c r="DW26" i="9" s="1"/>
  <c r="H25" i="9"/>
  <c r="I25" i="9" s="1"/>
  <c r="J25" i="9" s="1"/>
  <c r="K25" i="9" s="1"/>
  <c r="L25" i="9" s="1"/>
  <c r="M25" i="9" s="1"/>
  <c r="O25" i="9" s="1"/>
  <c r="P25" i="9" s="1"/>
  <c r="Q25" i="9" s="1"/>
  <c r="R25" i="9" s="1"/>
  <c r="S25" i="9" s="1"/>
  <c r="U25" i="9" s="1"/>
  <c r="V25" i="9" s="1"/>
  <c r="W25" i="9" s="1"/>
  <c r="X25" i="9" s="1"/>
  <c r="Y25" i="9" s="1"/>
  <c r="Z25" i="9" s="1"/>
  <c r="AA25" i="9" s="1"/>
  <c r="AB25" i="9" s="1"/>
  <c r="AC25" i="9" s="1"/>
  <c r="AD25" i="9" s="1"/>
  <c r="AE25" i="9" s="1"/>
  <c r="AG25" i="9" s="1"/>
  <c r="AH25" i="9" s="1"/>
  <c r="AI25" i="9" s="1"/>
  <c r="AJ25" i="9" s="1"/>
  <c r="AK25" i="9" s="1"/>
  <c r="AL25" i="9" s="1"/>
  <c r="AM25" i="9" s="1"/>
  <c r="AN25" i="9" s="1"/>
  <c r="AO25" i="9" s="1"/>
  <c r="AP25" i="9" s="1"/>
  <c r="AQ25" i="9" s="1"/>
  <c r="AS25" i="9" s="1"/>
  <c r="AT25" i="9" s="1"/>
  <c r="AU25" i="9" s="1"/>
  <c r="AV25" i="9" s="1"/>
  <c r="AW25" i="9" s="1"/>
  <c r="AX25" i="9" s="1"/>
  <c r="AY25" i="9" s="1"/>
  <c r="AZ25" i="9" s="1"/>
  <c r="BA25" i="9" s="1"/>
  <c r="BB25" i="9" s="1"/>
  <c r="BC25" i="9" s="1"/>
  <c r="BD25" i="9" s="1"/>
  <c r="BE25" i="9" s="1"/>
  <c r="BF25" i="9" s="1"/>
  <c r="BG25" i="9" s="1"/>
  <c r="BH25" i="9" s="1"/>
  <c r="BI25" i="9" s="1"/>
  <c r="BJ25" i="9" s="1"/>
  <c r="BK25" i="9" s="1"/>
  <c r="BL25" i="9" s="1"/>
  <c r="BM25" i="9" s="1"/>
  <c r="BN25" i="9" s="1"/>
  <c r="BO25" i="9" s="1"/>
  <c r="BP25" i="9" s="1"/>
  <c r="BQ25" i="9" s="1"/>
  <c r="BR25" i="9" s="1"/>
  <c r="BS25" i="9" s="1"/>
  <c r="BT25" i="9" s="1"/>
  <c r="BU25" i="9" s="1"/>
  <c r="BV25" i="9" s="1"/>
  <c r="BW25" i="9" s="1"/>
  <c r="BX25" i="9" s="1"/>
  <c r="BY25" i="9" s="1"/>
  <c r="BZ25" i="9" s="1"/>
  <c r="CA25" i="9" s="1"/>
  <c r="CB25" i="9" s="1"/>
  <c r="CC25" i="9" s="1"/>
  <c r="CD25" i="9" s="1"/>
  <c r="CE25" i="9" s="1"/>
  <c r="CF25" i="9" s="1"/>
  <c r="CG25" i="9" s="1"/>
  <c r="CH25" i="9" s="1"/>
  <c r="CI25" i="9" s="1"/>
  <c r="CJ25" i="9" s="1"/>
  <c r="CK25" i="9" s="1"/>
  <c r="CL25" i="9" s="1"/>
  <c r="CM25" i="9" s="1"/>
  <c r="CN25" i="9" s="1"/>
  <c r="CO25" i="9" s="1"/>
  <c r="CP25" i="9" s="1"/>
  <c r="CQ25" i="9" s="1"/>
  <c r="CR25" i="9" s="1"/>
  <c r="CS25" i="9" s="1"/>
  <c r="CT25" i="9" s="1"/>
  <c r="CU25" i="9" s="1"/>
  <c r="CV25" i="9" s="1"/>
  <c r="CW25" i="9" s="1"/>
  <c r="CX25" i="9" s="1"/>
  <c r="CY25" i="9" s="1"/>
  <c r="CZ25" i="9" s="1"/>
  <c r="DA25" i="9" s="1"/>
  <c r="DB25" i="9" s="1"/>
  <c r="DC25" i="9" s="1"/>
  <c r="DD25" i="9" s="1"/>
  <c r="DE25" i="9" s="1"/>
  <c r="DF25" i="9" s="1"/>
  <c r="DG25" i="9" s="1"/>
  <c r="DH25" i="9" s="1"/>
  <c r="DI25" i="9" s="1"/>
  <c r="DJ25" i="9" s="1"/>
  <c r="DK25" i="9" s="1"/>
  <c r="DL25" i="9" s="1"/>
  <c r="DM25" i="9" s="1"/>
  <c r="DN25" i="9" s="1"/>
  <c r="DO25" i="9" s="1"/>
  <c r="DP25" i="9" s="1"/>
  <c r="DQ25" i="9" s="1"/>
  <c r="DR25" i="9" s="1"/>
  <c r="DS25" i="9" s="1"/>
  <c r="DT25" i="9" s="1"/>
  <c r="DU25" i="9" s="1"/>
  <c r="DV25" i="9" s="1"/>
  <c r="DW25" i="9" s="1"/>
  <c r="H24" i="9"/>
  <c r="I24" i="9" s="1"/>
  <c r="J24" i="9" s="1"/>
  <c r="K24" i="9" s="1"/>
  <c r="L24" i="9" s="1"/>
  <c r="M24" i="9" s="1"/>
  <c r="O24" i="9" s="1"/>
  <c r="P24" i="9" s="1"/>
  <c r="Q24" i="9" s="1"/>
  <c r="R24" i="9" s="1"/>
  <c r="S24" i="9" s="1"/>
  <c r="U24" i="9" s="1"/>
  <c r="V24" i="9" s="1"/>
  <c r="W24" i="9" s="1"/>
  <c r="X24" i="9" s="1"/>
  <c r="Y24" i="9" s="1"/>
  <c r="Z24" i="9" s="1"/>
  <c r="AA24" i="9" s="1"/>
  <c r="AB24" i="9" s="1"/>
  <c r="AC24" i="9" s="1"/>
  <c r="AD24" i="9" s="1"/>
  <c r="AE24" i="9" s="1"/>
  <c r="AG24" i="9" s="1"/>
  <c r="AH24" i="9" s="1"/>
  <c r="AI24" i="9" s="1"/>
  <c r="AJ24" i="9" s="1"/>
  <c r="AK24" i="9" s="1"/>
  <c r="AL24" i="9" s="1"/>
  <c r="AM24" i="9" s="1"/>
  <c r="AN24" i="9" s="1"/>
  <c r="AO24" i="9" s="1"/>
  <c r="AP24" i="9" s="1"/>
  <c r="AQ24" i="9" s="1"/>
  <c r="AS24" i="9" s="1"/>
  <c r="AT24" i="9" s="1"/>
  <c r="AU24" i="9" s="1"/>
  <c r="AV24" i="9" s="1"/>
  <c r="AW24" i="9" s="1"/>
  <c r="AX24" i="9" s="1"/>
  <c r="AY24" i="9" s="1"/>
  <c r="AZ24" i="9" s="1"/>
  <c r="BA24" i="9" s="1"/>
  <c r="BB24" i="9" s="1"/>
  <c r="BC24" i="9" s="1"/>
  <c r="BD24" i="9" s="1"/>
  <c r="BE24" i="9" s="1"/>
  <c r="BF24" i="9" s="1"/>
  <c r="BG24" i="9" s="1"/>
  <c r="BH24" i="9" s="1"/>
  <c r="BI24" i="9" s="1"/>
  <c r="BJ24" i="9" s="1"/>
  <c r="BK24" i="9" s="1"/>
  <c r="BL24" i="9" s="1"/>
  <c r="BM24" i="9" s="1"/>
  <c r="BN24" i="9" s="1"/>
  <c r="BO24" i="9" s="1"/>
  <c r="BP24" i="9" s="1"/>
  <c r="BQ24" i="9" s="1"/>
  <c r="BR24" i="9" s="1"/>
  <c r="BS24" i="9" s="1"/>
  <c r="BT24" i="9" s="1"/>
  <c r="BU24" i="9" s="1"/>
  <c r="BV24" i="9" s="1"/>
  <c r="BW24" i="9" s="1"/>
  <c r="BX24" i="9" s="1"/>
  <c r="BY24" i="9" s="1"/>
  <c r="BZ24" i="9" s="1"/>
  <c r="CA24" i="9" s="1"/>
  <c r="CB24" i="9" s="1"/>
  <c r="CC24" i="9" s="1"/>
  <c r="CD24" i="9" s="1"/>
  <c r="CE24" i="9" s="1"/>
  <c r="CF24" i="9" s="1"/>
  <c r="CG24" i="9" s="1"/>
  <c r="CH24" i="9" s="1"/>
  <c r="CI24" i="9" s="1"/>
  <c r="CJ24" i="9" s="1"/>
  <c r="CK24" i="9" s="1"/>
  <c r="CL24" i="9" s="1"/>
  <c r="CM24" i="9" s="1"/>
  <c r="CN24" i="9" s="1"/>
  <c r="CO24" i="9" s="1"/>
  <c r="CP24" i="9" s="1"/>
  <c r="CQ24" i="9" s="1"/>
  <c r="CR24" i="9" s="1"/>
  <c r="CS24" i="9" s="1"/>
  <c r="CT24" i="9" s="1"/>
  <c r="CU24" i="9" s="1"/>
  <c r="CV24" i="9" s="1"/>
  <c r="CW24" i="9" s="1"/>
  <c r="CX24" i="9" s="1"/>
  <c r="CY24" i="9" s="1"/>
  <c r="CZ24" i="9" s="1"/>
  <c r="DA24" i="9" s="1"/>
  <c r="DB24" i="9" s="1"/>
  <c r="DC24" i="9" s="1"/>
  <c r="DD24" i="9" s="1"/>
  <c r="DE24" i="9" s="1"/>
  <c r="DF24" i="9" s="1"/>
  <c r="DG24" i="9" s="1"/>
  <c r="DH24" i="9" s="1"/>
  <c r="DI24" i="9" s="1"/>
  <c r="DJ24" i="9" s="1"/>
  <c r="DK24" i="9" s="1"/>
  <c r="DL24" i="9" s="1"/>
  <c r="DM24" i="9" s="1"/>
  <c r="DN24" i="9" s="1"/>
  <c r="DO24" i="9" s="1"/>
  <c r="DP24" i="9" s="1"/>
  <c r="DQ24" i="9" s="1"/>
  <c r="DR24" i="9" s="1"/>
  <c r="DS24" i="9" s="1"/>
  <c r="DT24" i="9" s="1"/>
  <c r="DU24" i="9" s="1"/>
  <c r="DV24" i="9" s="1"/>
  <c r="DW24" i="9" s="1"/>
  <c r="H8" i="9"/>
  <c r="I8" i="9" l="1"/>
  <c r="AJ10" i="9"/>
  <c r="AJ11" i="9"/>
  <c r="T35" i="9"/>
  <c r="U35" i="9" s="1"/>
  <c r="V35" i="9" s="1"/>
  <c r="W35" i="9" s="1"/>
  <c r="X35" i="9" s="1"/>
  <c r="Y35" i="9" s="1"/>
  <c r="Z35" i="9" s="1"/>
  <c r="AA35" i="9" s="1"/>
  <c r="AB35" i="9" s="1"/>
  <c r="AC35" i="9" s="1"/>
  <c r="AD35" i="9" s="1"/>
  <c r="AE35" i="9" s="1"/>
  <c r="AG3" i="66"/>
  <c r="AI19" i="9"/>
  <c r="M32" i="9"/>
  <c r="G17" i="9"/>
  <c r="J8" i="9" l="1"/>
  <c r="AK11" i="9"/>
  <c r="AK10" i="9"/>
  <c r="AF35" i="9"/>
  <c r="AG35" i="9" s="1"/>
  <c r="AH35" i="9" s="1"/>
  <c r="AI35" i="9" s="1"/>
  <c r="AJ35" i="9" s="1"/>
  <c r="AK35" i="9" s="1"/>
  <c r="AL35" i="9" s="1"/>
  <c r="AM35" i="9" s="1"/>
  <c r="AN35" i="9" s="1"/>
  <c r="AO35" i="9" s="1"/>
  <c r="AP35" i="9" s="1"/>
  <c r="AQ35" i="9" s="1"/>
  <c r="N32" i="9"/>
  <c r="O32" i="9" s="1"/>
  <c r="P32" i="9" s="1"/>
  <c r="Q32" i="9" s="1"/>
  <c r="R32" i="9" s="1"/>
  <c r="S32" i="9" s="1"/>
  <c r="AH3" i="66"/>
  <c r="AJ19" i="9"/>
  <c r="K8" i="9" l="1"/>
  <c r="AL11" i="9"/>
  <c r="AL10" i="9"/>
  <c r="AR35" i="9"/>
  <c r="AS35" i="9" s="1"/>
  <c r="AT35" i="9" s="1"/>
  <c r="AU35" i="9" s="1"/>
  <c r="AV35" i="9" s="1"/>
  <c r="AW35" i="9" s="1"/>
  <c r="AX35" i="9" s="1"/>
  <c r="AY35" i="9" s="1"/>
  <c r="AZ35" i="9" s="1"/>
  <c r="BA35" i="9" s="1"/>
  <c r="BB35" i="9" s="1"/>
  <c r="BC35" i="9" s="1"/>
  <c r="BD35" i="9" s="1"/>
  <c r="BE35" i="9" s="1"/>
  <c r="BF35" i="9" s="1"/>
  <c r="BG35" i="9" s="1"/>
  <c r="BH35" i="9" s="1"/>
  <c r="BI35" i="9" s="1"/>
  <c r="BJ35" i="9" s="1"/>
  <c r="BK35" i="9" s="1"/>
  <c r="BL35" i="9" s="1"/>
  <c r="BM35" i="9" s="1"/>
  <c r="BN35" i="9" s="1"/>
  <c r="BO35" i="9" s="1"/>
  <c r="BP35" i="9" s="1"/>
  <c r="BQ35" i="9" s="1"/>
  <c r="BR35" i="9" s="1"/>
  <c r="BS35" i="9" s="1"/>
  <c r="BT35" i="9" s="1"/>
  <c r="BU35" i="9" s="1"/>
  <c r="BV35" i="9" s="1"/>
  <c r="BW35" i="9" s="1"/>
  <c r="BX35" i="9" s="1"/>
  <c r="BY35" i="9" s="1"/>
  <c r="BZ35" i="9" s="1"/>
  <c r="CA35" i="9" s="1"/>
  <c r="CB35" i="9" s="1"/>
  <c r="CC35" i="9" s="1"/>
  <c r="CD35" i="9" s="1"/>
  <c r="CE35" i="9" s="1"/>
  <c r="CF35" i="9" s="1"/>
  <c r="CG35" i="9" s="1"/>
  <c r="CH35" i="9" s="1"/>
  <c r="CI35" i="9" s="1"/>
  <c r="CJ35" i="9" s="1"/>
  <c r="CK35" i="9" s="1"/>
  <c r="CL35" i="9" s="1"/>
  <c r="CM35" i="9" s="1"/>
  <c r="CN35" i="9" s="1"/>
  <c r="CO35" i="9" s="1"/>
  <c r="CP35" i="9" s="1"/>
  <c r="CQ35" i="9" s="1"/>
  <c r="CR35" i="9" s="1"/>
  <c r="CS35" i="9" s="1"/>
  <c r="CT35" i="9" s="1"/>
  <c r="CU35" i="9" s="1"/>
  <c r="CV35" i="9" s="1"/>
  <c r="CW35" i="9" s="1"/>
  <c r="CX35" i="9" s="1"/>
  <c r="CY35" i="9" s="1"/>
  <c r="CZ35" i="9" s="1"/>
  <c r="DA35" i="9" s="1"/>
  <c r="DB35" i="9" s="1"/>
  <c r="DC35" i="9" s="1"/>
  <c r="DD35" i="9" s="1"/>
  <c r="DE35" i="9" s="1"/>
  <c r="DF35" i="9" s="1"/>
  <c r="DG35" i="9" s="1"/>
  <c r="DH35" i="9" s="1"/>
  <c r="DI35" i="9" s="1"/>
  <c r="DJ35" i="9" s="1"/>
  <c r="DK35" i="9" s="1"/>
  <c r="DL35" i="9" s="1"/>
  <c r="DM35" i="9" s="1"/>
  <c r="DN35" i="9" s="1"/>
  <c r="DO35" i="9" s="1"/>
  <c r="DP35" i="9" s="1"/>
  <c r="DQ35" i="9" s="1"/>
  <c r="DR35" i="9" s="1"/>
  <c r="DS35" i="9" s="1"/>
  <c r="DT35" i="9" s="1"/>
  <c r="DU35" i="9" s="1"/>
  <c r="DV35" i="9" s="1"/>
  <c r="DW35" i="9" s="1"/>
  <c r="T32" i="9"/>
  <c r="U32" i="9" s="1"/>
  <c r="V32" i="9" s="1"/>
  <c r="W32" i="9" s="1"/>
  <c r="X32" i="9" s="1"/>
  <c r="Y32" i="9" s="1"/>
  <c r="Z32" i="9" s="1"/>
  <c r="AA32" i="9" s="1"/>
  <c r="AB32" i="9" s="1"/>
  <c r="AC32" i="9" s="1"/>
  <c r="AD32" i="9" s="1"/>
  <c r="AE32" i="9" s="1"/>
  <c r="AI3" i="66"/>
  <c r="AK19" i="9"/>
  <c r="EK13" i="7"/>
  <c r="EL13" i="7"/>
  <c r="EM13" i="7"/>
  <c r="EN13" i="7"/>
  <c r="EO13" i="7"/>
  <c r="EK14" i="7"/>
  <c r="EL14" i="7"/>
  <c r="EM14" i="7"/>
  <c r="EN14" i="7"/>
  <c r="EO14" i="7"/>
  <c r="EK21" i="7"/>
  <c r="EL21" i="7"/>
  <c r="EM21" i="7"/>
  <c r="EN21" i="7"/>
  <c r="EO21" i="7"/>
  <c r="EK22" i="7"/>
  <c r="EL22" i="7"/>
  <c r="EM22" i="7"/>
  <c r="EN22" i="7"/>
  <c r="EO22" i="7"/>
  <c r="EK49" i="7"/>
  <c r="EL49" i="7"/>
  <c r="EM49" i="7"/>
  <c r="EN49" i="7"/>
  <c r="EO49" i="7"/>
  <c r="EK50" i="7"/>
  <c r="EL50" i="7"/>
  <c r="EM50" i="7"/>
  <c r="EN50" i="7"/>
  <c r="EO50" i="7"/>
  <c r="L8" i="9" l="1"/>
  <c r="AM10" i="9"/>
  <c r="AM11" i="9"/>
  <c r="AF32" i="9"/>
  <c r="AG32" i="9" s="1"/>
  <c r="AH32" i="9" s="1"/>
  <c r="AI32" i="9" s="1"/>
  <c r="AJ32" i="9" s="1"/>
  <c r="AK32" i="9" s="1"/>
  <c r="AL32" i="9" s="1"/>
  <c r="AM32" i="9" s="1"/>
  <c r="AN32" i="9" s="1"/>
  <c r="AO32" i="9" s="1"/>
  <c r="AP32" i="9" s="1"/>
  <c r="AQ32" i="9" s="1"/>
  <c r="AJ3" i="66"/>
  <c r="AL19" i="9"/>
  <c r="BO54" i="7"/>
  <c r="BN20" i="8" s="1"/>
  <c r="BP54" i="7"/>
  <c r="BO20" i="8" s="1"/>
  <c r="BQ54" i="7"/>
  <c r="BP20" i="8" s="1"/>
  <c r="BR54" i="7"/>
  <c r="BQ20" i="8" s="1"/>
  <c r="BS54" i="7"/>
  <c r="BR20" i="8" s="1"/>
  <c r="BT54" i="7"/>
  <c r="BS20" i="8" s="1"/>
  <c r="BU54" i="7"/>
  <c r="BT20" i="8" s="1"/>
  <c r="BV54" i="7"/>
  <c r="BU20" i="8" s="1"/>
  <c r="BW54" i="7"/>
  <c r="BV20" i="8" s="1"/>
  <c r="BX54" i="7"/>
  <c r="BW20" i="8" s="1"/>
  <c r="BY54" i="7"/>
  <c r="BX20" i="8" s="1"/>
  <c r="BZ54" i="7"/>
  <c r="BY20" i="8" s="1"/>
  <c r="CA54" i="7"/>
  <c r="BZ20" i="8" s="1"/>
  <c r="CB54" i="7"/>
  <c r="CA20" i="8" s="1"/>
  <c r="CC54" i="7"/>
  <c r="CB20" i="8" s="1"/>
  <c r="CD54" i="7"/>
  <c r="CC20" i="8" s="1"/>
  <c r="CE54" i="7"/>
  <c r="CD20" i="8" s="1"/>
  <c r="CF54" i="7"/>
  <c r="CE20" i="8" s="1"/>
  <c r="CG54" i="7"/>
  <c r="CF20" i="8" s="1"/>
  <c r="CH54" i="7"/>
  <c r="CG20" i="8" s="1"/>
  <c r="CI54" i="7"/>
  <c r="CH20" i="8" s="1"/>
  <c r="CJ54" i="7"/>
  <c r="CI20" i="8" s="1"/>
  <c r="CK54" i="7"/>
  <c r="CJ20" i="8" s="1"/>
  <c r="CL54" i="7"/>
  <c r="CK20" i="8" s="1"/>
  <c r="CM54" i="7"/>
  <c r="CL20" i="8" s="1"/>
  <c r="CN54" i="7"/>
  <c r="CM20" i="8" s="1"/>
  <c r="CO54" i="7"/>
  <c r="CN20" i="8" s="1"/>
  <c r="CP54" i="7"/>
  <c r="CO20" i="8" s="1"/>
  <c r="CQ54" i="7"/>
  <c r="CP20" i="8" s="1"/>
  <c r="CR54" i="7"/>
  <c r="CQ20" i="8" s="1"/>
  <c r="CS54" i="7"/>
  <c r="CR20" i="8" s="1"/>
  <c r="CT54" i="7"/>
  <c r="CS20" i="8" s="1"/>
  <c r="CU54" i="7"/>
  <c r="CT20" i="8" s="1"/>
  <c r="CV54" i="7"/>
  <c r="CU20" i="8" s="1"/>
  <c r="CW54" i="7"/>
  <c r="CV20" i="8" s="1"/>
  <c r="CX54" i="7"/>
  <c r="CW20" i="8" s="1"/>
  <c r="CY54" i="7"/>
  <c r="CX20" i="8" s="1"/>
  <c r="CZ54" i="7"/>
  <c r="CY20" i="8" s="1"/>
  <c r="DA54" i="7"/>
  <c r="CZ20" i="8" s="1"/>
  <c r="DB54" i="7"/>
  <c r="DA20" i="8" s="1"/>
  <c r="DC54" i="7"/>
  <c r="DB20" i="8" s="1"/>
  <c r="DD54" i="7"/>
  <c r="DC20" i="8" s="1"/>
  <c r="DE54" i="7"/>
  <c r="DD20" i="8" s="1"/>
  <c r="DF54" i="7"/>
  <c r="DE20" i="8" s="1"/>
  <c r="DG54" i="7"/>
  <c r="DF20" i="8" s="1"/>
  <c r="DH54" i="7"/>
  <c r="DG20" i="8" s="1"/>
  <c r="DI54" i="7"/>
  <c r="DH20" i="8" s="1"/>
  <c r="DJ54" i="7"/>
  <c r="DI20" i="8" s="1"/>
  <c r="DK54" i="7"/>
  <c r="DJ20" i="8" s="1"/>
  <c r="DL54" i="7"/>
  <c r="DK20" i="8" s="1"/>
  <c r="DM54" i="7"/>
  <c r="DL20" i="8" s="1"/>
  <c r="DN54" i="7"/>
  <c r="DM20" i="8" s="1"/>
  <c r="DO54" i="7"/>
  <c r="DN20" i="8" s="1"/>
  <c r="DP54" i="7"/>
  <c r="DO20" i="8" s="1"/>
  <c r="DQ54" i="7"/>
  <c r="DP20" i="8" s="1"/>
  <c r="DR54" i="7"/>
  <c r="DQ20" i="8" s="1"/>
  <c r="DS54" i="7"/>
  <c r="DR20" i="8" s="1"/>
  <c r="DT54" i="7"/>
  <c r="DS20" i="8" s="1"/>
  <c r="DU54" i="7"/>
  <c r="DT20" i="8" s="1"/>
  <c r="DV54" i="7"/>
  <c r="DU20" i="8" s="1"/>
  <c r="BO55" i="7"/>
  <c r="BN21" i="8" s="1"/>
  <c r="BP55" i="7"/>
  <c r="BO21" i="8" s="1"/>
  <c r="BQ55" i="7"/>
  <c r="BP21" i="8" s="1"/>
  <c r="BR55" i="7"/>
  <c r="BQ21" i="8" s="1"/>
  <c r="BS55" i="7"/>
  <c r="BR21" i="8" s="1"/>
  <c r="BT55" i="7"/>
  <c r="BS21" i="8" s="1"/>
  <c r="BU55" i="7"/>
  <c r="BT21" i="8" s="1"/>
  <c r="BV55" i="7"/>
  <c r="BU21" i="8" s="1"/>
  <c r="BW55" i="7"/>
  <c r="BV21" i="8" s="1"/>
  <c r="BX55" i="7"/>
  <c r="BW21" i="8" s="1"/>
  <c r="BY55" i="7"/>
  <c r="BX21" i="8" s="1"/>
  <c r="BZ55" i="7"/>
  <c r="BY21" i="8" s="1"/>
  <c r="CA55" i="7"/>
  <c r="BZ21" i="8" s="1"/>
  <c r="CB55" i="7"/>
  <c r="CA21" i="8" s="1"/>
  <c r="CC55" i="7"/>
  <c r="CB21" i="8" s="1"/>
  <c r="CD55" i="7"/>
  <c r="CC21" i="8" s="1"/>
  <c r="CE55" i="7"/>
  <c r="CD21" i="8" s="1"/>
  <c r="CF55" i="7"/>
  <c r="CE21" i="8" s="1"/>
  <c r="CG55" i="7"/>
  <c r="CF21" i="8" s="1"/>
  <c r="CH55" i="7"/>
  <c r="CG21" i="8" s="1"/>
  <c r="CI55" i="7"/>
  <c r="CH21" i="8" s="1"/>
  <c r="CJ55" i="7"/>
  <c r="CI21" i="8" s="1"/>
  <c r="CK55" i="7"/>
  <c r="CJ21" i="8" s="1"/>
  <c r="CL55" i="7"/>
  <c r="CK21" i="8" s="1"/>
  <c r="CM55" i="7"/>
  <c r="CL21" i="8" s="1"/>
  <c r="CN55" i="7"/>
  <c r="CM21" i="8" s="1"/>
  <c r="CO55" i="7"/>
  <c r="CN21" i="8" s="1"/>
  <c r="CP55" i="7"/>
  <c r="CO21" i="8" s="1"/>
  <c r="CQ55" i="7"/>
  <c r="CP21" i="8" s="1"/>
  <c r="CR55" i="7"/>
  <c r="CQ21" i="8" s="1"/>
  <c r="CS55" i="7"/>
  <c r="CR21" i="8" s="1"/>
  <c r="CT55" i="7"/>
  <c r="CS21" i="8" s="1"/>
  <c r="CU55" i="7"/>
  <c r="CT21" i="8" s="1"/>
  <c r="CV55" i="7"/>
  <c r="CU21" i="8" s="1"/>
  <c r="CW55" i="7"/>
  <c r="CV21" i="8" s="1"/>
  <c r="CX55" i="7"/>
  <c r="CW21" i="8" s="1"/>
  <c r="CY55" i="7"/>
  <c r="CX21" i="8" s="1"/>
  <c r="CZ55" i="7"/>
  <c r="CY21" i="8" s="1"/>
  <c r="DA55" i="7"/>
  <c r="CZ21" i="8" s="1"/>
  <c r="DB55" i="7"/>
  <c r="DA21" i="8" s="1"/>
  <c r="DC55" i="7"/>
  <c r="DB21" i="8" s="1"/>
  <c r="DD55" i="7"/>
  <c r="DC21" i="8" s="1"/>
  <c r="DE55" i="7"/>
  <c r="DD21" i="8" s="1"/>
  <c r="DF55" i="7"/>
  <c r="DE21" i="8" s="1"/>
  <c r="DG55" i="7"/>
  <c r="DF21" i="8" s="1"/>
  <c r="DH55" i="7"/>
  <c r="DG21" i="8" s="1"/>
  <c r="DI55" i="7"/>
  <c r="DH21" i="8" s="1"/>
  <c r="DJ55" i="7"/>
  <c r="DI21" i="8" s="1"/>
  <c r="DK55" i="7"/>
  <c r="DJ21" i="8" s="1"/>
  <c r="DL55" i="7"/>
  <c r="DK21" i="8" s="1"/>
  <c r="DM55" i="7"/>
  <c r="DL21" i="8" s="1"/>
  <c r="DN55" i="7"/>
  <c r="DM21" i="8" s="1"/>
  <c r="DO55" i="7"/>
  <c r="DN21" i="8" s="1"/>
  <c r="DP55" i="7"/>
  <c r="DO21" i="8" s="1"/>
  <c r="DQ55" i="7"/>
  <c r="DP21" i="8" s="1"/>
  <c r="DR55" i="7"/>
  <c r="DQ21" i="8" s="1"/>
  <c r="DS55" i="7"/>
  <c r="DR21" i="8" s="1"/>
  <c r="DT55" i="7"/>
  <c r="DS21" i="8" s="1"/>
  <c r="DU55" i="7"/>
  <c r="DT21" i="8" s="1"/>
  <c r="DV55" i="7"/>
  <c r="DU21" i="8" s="1"/>
  <c r="P7" i="8"/>
  <c r="Q7" i="8"/>
  <c r="R7" i="8"/>
  <c r="S7" i="8"/>
  <c r="T7" i="8"/>
  <c r="O7" i="8"/>
  <c r="EQ38" i="8"/>
  <c r="EQ31" i="8"/>
  <c r="EN59" i="8"/>
  <c r="EM59" i="8"/>
  <c r="EL59" i="8"/>
  <c r="EK59" i="8"/>
  <c r="EJ59" i="8"/>
  <c r="EN57" i="8"/>
  <c r="EM57" i="8"/>
  <c r="EL57" i="8"/>
  <c r="EK57" i="8"/>
  <c r="EJ57" i="8"/>
  <c r="EN54" i="8"/>
  <c r="EM54" i="8"/>
  <c r="EL54" i="8"/>
  <c r="EK54" i="8"/>
  <c r="EJ54" i="8"/>
  <c r="EN50" i="8"/>
  <c r="EM50" i="8"/>
  <c r="EL50" i="8"/>
  <c r="EK50" i="8"/>
  <c r="EJ50" i="8"/>
  <c r="M8" i="9" l="1"/>
  <c r="AN11" i="9"/>
  <c r="AN10" i="9"/>
  <c r="AR32" i="9"/>
  <c r="AS32" i="9" s="1"/>
  <c r="AT32" i="9" s="1"/>
  <c r="AU32" i="9" s="1"/>
  <c r="AV32" i="9" s="1"/>
  <c r="AW32" i="9" s="1"/>
  <c r="AX32" i="9" s="1"/>
  <c r="AY32" i="9" s="1"/>
  <c r="AZ32" i="9" s="1"/>
  <c r="BA32" i="9" s="1"/>
  <c r="BB32" i="9" s="1"/>
  <c r="BC32" i="9" s="1"/>
  <c r="BD32" i="9" s="1"/>
  <c r="BE32" i="9" s="1"/>
  <c r="BF32" i="9" s="1"/>
  <c r="BG32" i="9" s="1"/>
  <c r="BH32" i="9" s="1"/>
  <c r="BI32" i="9" s="1"/>
  <c r="BJ32" i="9" s="1"/>
  <c r="BK32" i="9" s="1"/>
  <c r="BL32" i="9" s="1"/>
  <c r="BM32" i="9" s="1"/>
  <c r="BN32" i="9" s="1"/>
  <c r="BO32" i="9" s="1"/>
  <c r="BP32" i="9" s="1"/>
  <c r="BQ32" i="9" s="1"/>
  <c r="BR32" i="9" s="1"/>
  <c r="BS32" i="9" s="1"/>
  <c r="BT32" i="9" s="1"/>
  <c r="BU32" i="9" s="1"/>
  <c r="BV32" i="9" s="1"/>
  <c r="BW32" i="9" s="1"/>
  <c r="BX32" i="9" s="1"/>
  <c r="BY32" i="9" s="1"/>
  <c r="BZ32" i="9" s="1"/>
  <c r="CA32" i="9" s="1"/>
  <c r="CB32" i="9" s="1"/>
  <c r="CC32" i="9" s="1"/>
  <c r="CD32" i="9" s="1"/>
  <c r="CE32" i="9" s="1"/>
  <c r="CF32" i="9" s="1"/>
  <c r="CG32" i="9" s="1"/>
  <c r="CH32" i="9" s="1"/>
  <c r="CI32" i="9" s="1"/>
  <c r="CJ32" i="9" s="1"/>
  <c r="CK32" i="9" s="1"/>
  <c r="CL32" i="9" s="1"/>
  <c r="CM32" i="9" s="1"/>
  <c r="CN32" i="9" s="1"/>
  <c r="CO32" i="9" s="1"/>
  <c r="CP32" i="9" s="1"/>
  <c r="CQ32" i="9" s="1"/>
  <c r="CR32" i="9" s="1"/>
  <c r="CS32" i="9" s="1"/>
  <c r="CT32" i="9" s="1"/>
  <c r="CU32" i="9" s="1"/>
  <c r="CV32" i="9" s="1"/>
  <c r="CW32" i="9" s="1"/>
  <c r="CX32" i="9" s="1"/>
  <c r="CY32" i="9" s="1"/>
  <c r="CZ32" i="9" s="1"/>
  <c r="DA32" i="9" s="1"/>
  <c r="DB32" i="9" s="1"/>
  <c r="DC32" i="9" s="1"/>
  <c r="DD32" i="9" s="1"/>
  <c r="DE32" i="9" s="1"/>
  <c r="DF32" i="9" s="1"/>
  <c r="DG32" i="9" s="1"/>
  <c r="DH32" i="9" s="1"/>
  <c r="DI32" i="9" s="1"/>
  <c r="DJ32" i="9" s="1"/>
  <c r="DK32" i="9" s="1"/>
  <c r="DL32" i="9" s="1"/>
  <c r="DM32" i="9" s="1"/>
  <c r="DN32" i="9" s="1"/>
  <c r="DO32" i="9" s="1"/>
  <c r="DP32" i="9" s="1"/>
  <c r="DQ32" i="9" s="1"/>
  <c r="DR32" i="9" s="1"/>
  <c r="DS32" i="9" s="1"/>
  <c r="DT32" i="9" s="1"/>
  <c r="DU32" i="9" s="1"/>
  <c r="DV32" i="9" s="1"/>
  <c r="DW32" i="9" s="1"/>
  <c r="AK3" i="66"/>
  <c r="AM19" i="9"/>
  <c r="EO54" i="8"/>
  <c r="EQ54" i="8" s="1"/>
  <c r="EO59" i="8"/>
  <c r="EQ59" i="8" s="1"/>
  <c r="EO50" i="8"/>
  <c r="EQ50" i="8" s="1"/>
  <c r="EO57" i="8"/>
  <c r="EQ57" i="8" s="1"/>
  <c r="EO55" i="7"/>
  <c r="EM55" i="7"/>
  <c r="EK55" i="7"/>
  <c r="EN54" i="7"/>
  <c r="EL54" i="7"/>
  <c r="EN55" i="7"/>
  <c r="EL55" i="7"/>
  <c r="EO54" i="7"/>
  <c r="EM54" i="7"/>
  <c r="EK54" i="7"/>
  <c r="EM20" i="8"/>
  <c r="EM21" i="8"/>
  <c r="EN20" i="8"/>
  <c r="EN21" i="8"/>
  <c r="EL21" i="8"/>
  <c r="EL20" i="8"/>
  <c r="N8" i="9" l="1"/>
  <c r="AO11" i="9"/>
  <c r="AO10" i="9"/>
  <c r="AL3" i="66"/>
  <c r="AN19" i="9"/>
  <c r="C144" i="9"/>
  <c r="C145" i="9"/>
  <c r="O8" i="9" l="1"/>
  <c r="AP10" i="9"/>
  <c r="AP11" i="9"/>
  <c r="AM3" i="66"/>
  <c r="AO19" i="9"/>
  <c r="A171" i="8"/>
  <c r="A172" i="8"/>
  <c r="A173" i="8"/>
  <c r="P8" i="9" l="1"/>
  <c r="AQ10" i="9"/>
  <c r="AQ11" i="9"/>
  <c r="AN3" i="66"/>
  <c r="AP19" i="9"/>
  <c r="D172" i="8"/>
  <c r="C172" i="8"/>
  <c r="D171" i="8"/>
  <c r="C171" i="8"/>
  <c r="F145" i="9"/>
  <c r="E145" i="9"/>
  <c r="F144" i="9"/>
  <c r="E144" i="9"/>
  <c r="Q8" i="9" l="1"/>
  <c r="AR10" i="9"/>
  <c r="AR11" i="9"/>
  <c r="AO3" i="66"/>
  <c r="AQ19" i="9"/>
  <c r="F146" i="9"/>
  <c r="D173" i="8"/>
  <c r="C173" i="8"/>
  <c r="E146" i="9"/>
  <c r="R8" i="9" l="1"/>
  <c r="AS10" i="9"/>
  <c r="AS11" i="9"/>
  <c r="AP3" i="66"/>
  <c r="AR19" i="9"/>
  <c r="H63" i="7"/>
  <c r="G63" i="7"/>
  <c r="F63" i="7"/>
  <c r="E63" i="7"/>
  <c r="D63" i="7"/>
  <c r="C63" i="7"/>
  <c r="S8" i="9" l="1"/>
  <c r="AT11" i="9"/>
  <c r="AT10" i="9"/>
  <c r="AQ3" i="66"/>
  <c r="AS19" i="9"/>
  <c r="T8" i="9" l="1"/>
  <c r="AU10" i="9"/>
  <c r="AU11" i="9"/>
  <c r="AR3" i="66"/>
  <c r="AT19" i="9"/>
  <c r="U8" i="9" l="1"/>
  <c r="AV11" i="9"/>
  <c r="AV10" i="9"/>
  <c r="AS3" i="66"/>
  <c r="AU19" i="9"/>
  <c r="V8" i="9" l="1"/>
  <c r="AW11" i="9"/>
  <c r="AW10" i="9"/>
  <c r="AT3" i="66"/>
  <c r="AV19" i="9"/>
  <c r="W8" i="9" l="1"/>
  <c r="AX11" i="9"/>
  <c r="AX10" i="9"/>
  <c r="AU3" i="66"/>
  <c r="AW19" i="9"/>
  <c r="X8" i="9" l="1"/>
  <c r="AY11" i="9"/>
  <c r="AY10" i="9"/>
  <c r="AV3" i="66"/>
  <c r="AX19" i="9"/>
  <c r="Y8" i="9" l="1"/>
  <c r="AZ10" i="9"/>
  <c r="AZ11" i="9"/>
  <c r="AW3" i="66"/>
  <c r="AY19" i="9"/>
  <c r="Z8" i="9" l="1"/>
  <c r="BA11" i="9"/>
  <c r="BA10" i="9"/>
  <c r="AX3" i="66"/>
  <c r="AZ19" i="9"/>
  <c r="AA8" i="9" l="1"/>
  <c r="BB11" i="9"/>
  <c r="BB10" i="9"/>
  <c r="AY3" i="66"/>
  <c r="BA19" i="9"/>
  <c r="AB8" i="9" l="1"/>
  <c r="BC10" i="9"/>
  <c r="BC11" i="9"/>
  <c r="AZ3" i="66"/>
  <c r="BB19" i="9"/>
  <c r="AC8" i="9" l="1"/>
  <c r="BD11" i="9"/>
  <c r="BD10" i="9"/>
  <c r="BA3" i="66"/>
  <c r="BC19" i="9"/>
  <c r="AD8" i="9" l="1"/>
  <c r="BE11" i="9"/>
  <c r="BE10" i="9"/>
  <c r="BB3" i="66"/>
  <c r="BD19" i="9"/>
  <c r="H139" i="9"/>
  <c r="I139" i="9" s="1"/>
  <c r="J139" i="9" s="1"/>
  <c r="K139" i="9" s="1"/>
  <c r="L139" i="9" s="1"/>
  <c r="M139" i="9" s="1"/>
  <c r="N139" i="9" s="1"/>
  <c r="O139" i="9" s="1"/>
  <c r="P139" i="9" s="1"/>
  <c r="Q139" i="9" s="1"/>
  <c r="R139" i="9" s="1"/>
  <c r="S139" i="9" s="1"/>
  <c r="T139" i="9" s="1"/>
  <c r="U139" i="9" s="1"/>
  <c r="V139" i="9" s="1"/>
  <c r="W139" i="9" s="1"/>
  <c r="X139" i="9" s="1"/>
  <c r="Y139" i="9" s="1"/>
  <c r="Z139" i="9" s="1"/>
  <c r="AA139" i="9" s="1"/>
  <c r="AB139" i="9" s="1"/>
  <c r="AC139" i="9" s="1"/>
  <c r="AD139" i="9" s="1"/>
  <c r="AE139" i="9" s="1"/>
  <c r="AF139" i="9" s="1"/>
  <c r="AG139" i="9" s="1"/>
  <c r="AH139" i="9" s="1"/>
  <c r="AI139" i="9" s="1"/>
  <c r="AJ139" i="9" s="1"/>
  <c r="AK139" i="9" s="1"/>
  <c r="AL139" i="9" s="1"/>
  <c r="AM139" i="9" s="1"/>
  <c r="AN139" i="9" s="1"/>
  <c r="AO139" i="9" s="1"/>
  <c r="AP139" i="9" s="1"/>
  <c r="AQ139" i="9" s="1"/>
  <c r="AR139" i="9" s="1"/>
  <c r="AS139" i="9" s="1"/>
  <c r="AT139" i="9" s="1"/>
  <c r="AU139" i="9" s="1"/>
  <c r="AV139" i="9" s="1"/>
  <c r="AW139" i="9" s="1"/>
  <c r="AX139" i="9" s="1"/>
  <c r="AY139" i="9" s="1"/>
  <c r="AZ139" i="9" s="1"/>
  <c r="BA139" i="9" s="1"/>
  <c r="BB139" i="9" s="1"/>
  <c r="BC139" i="9" s="1"/>
  <c r="BD139" i="9" s="1"/>
  <c r="BE139" i="9" s="1"/>
  <c r="BF139" i="9" s="1"/>
  <c r="BG139" i="9" s="1"/>
  <c r="BH139" i="9" s="1"/>
  <c r="BI139" i="9" s="1"/>
  <c r="BJ139" i="9" s="1"/>
  <c r="BK139" i="9" s="1"/>
  <c r="BL139" i="9" s="1"/>
  <c r="BM139" i="9" s="1"/>
  <c r="BN139" i="9" s="1"/>
  <c r="BO139" i="9" s="1"/>
  <c r="BP139" i="9" s="1"/>
  <c r="BQ139" i="9" s="1"/>
  <c r="BR139" i="9" s="1"/>
  <c r="BS139" i="9" s="1"/>
  <c r="BT139" i="9" s="1"/>
  <c r="BU139" i="9" s="1"/>
  <c r="BV139" i="9" s="1"/>
  <c r="BW139" i="9" s="1"/>
  <c r="BX139" i="9" s="1"/>
  <c r="BY139" i="9" s="1"/>
  <c r="BZ139" i="9" s="1"/>
  <c r="CA139" i="9" s="1"/>
  <c r="CB139" i="9" s="1"/>
  <c r="CC139" i="9" s="1"/>
  <c r="CD139" i="9" s="1"/>
  <c r="CE139" i="9" s="1"/>
  <c r="CF139" i="9" s="1"/>
  <c r="CG139" i="9" s="1"/>
  <c r="CH139" i="9" s="1"/>
  <c r="CI139" i="9" s="1"/>
  <c r="CJ139" i="9" s="1"/>
  <c r="CK139" i="9" s="1"/>
  <c r="CL139" i="9" s="1"/>
  <c r="CM139" i="9" s="1"/>
  <c r="CN139" i="9" s="1"/>
  <c r="CO139" i="9" s="1"/>
  <c r="CP139" i="9" s="1"/>
  <c r="CQ139" i="9" s="1"/>
  <c r="CR139" i="9" s="1"/>
  <c r="CS139" i="9" s="1"/>
  <c r="CT139" i="9" s="1"/>
  <c r="CU139" i="9" s="1"/>
  <c r="CV139" i="9" s="1"/>
  <c r="CW139" i="9" s="1"/>
  <c r="CX139" i="9" s="1"/>
  <c r="CY139" i="9" s="1"/>
  <c r="CZ139" i="9" s="1"/>
  <c r="DA139" i="9" s="1"/>
  <c r="DB139" i="9" s="1"/>
  <c r="DC139" i="9" s="1"/>
  <c r="DD139" i="9" s="1"/>
  <c r="DE139" i="9" s="1"/>
  <c r="DF139" i="9" s="1"/>
  <c r="DG139" i="9" s="1"/>
  <c r="DH139" i="9" s="1"/>
  <c r="DI139" i="9" s="1"/>
  <c r="DJ139" i="9" s="1"/>
  <c r="DK139" i="9" s="1"/>
  <c r="DL139" i="9" s="1"/>
  <c r="DM139" i="9" s="1"/>
  <c r="DN139" i="9" s="1"/>
  <c r="DO139" i="9" s="1"/>
  <c r="DP139" i="9" s="1"/>
  <c r="DQ139" i="9" s="1"/>
  <c r="DR139" i="9" s="1"/>
  <c r="DS139" i="9" s="1"/>
  <c r="DT139" i="9" s="1"/>
  <c r="DU139" i="9" s="1"/>
  <c r="DV139" i="9" s="1"/>
  <c r="DW139" i="9" s="1"/>
  <c r="AE8" i="9" l="1"/>
  <c r="BF11" i="9"/>
  <c r="BF10" i="9"/>
  <c r="BC3" i="66"/>
  <c r="BE19" i="9"/>
  <c r="AF8" i="9" l="1"/>
  <c r="BG11" i="9"/>
  <c r="BG10" i="9"/>
  <c r="BD3" i="66"/>
  <c r="BF19" i="9"/>
  <c r="K133" i="9"/>
  <c r="AG8" i="9" l="1"/>
  <c r="BH10" i="9"/>
  <c r="BH11" i="9"/>
  <c r="BE3" i="66"/>
  <c r="BG19" i="9"/>
  <c r="L133" i="9"/>
  <c r="M132" i="9"/>
  <c r="AH8" i="9" l="1"/>
  <c r="BI11" i="9"/>
  <c r="BI10" i="9"/>
  <c r="BF3" i="66"/>
  <c r="BH19" i="9"/>
  <c r="N133" i="9"/>
  <c r="M133" i="9"/>
  <c r="AI8" i="9" l="1"/>
  <c r="BJ10" i="9"/>
  <c r="BJ11" i="9"/>
  <c r="O132" i="9"/>
  <c r="O133" i="9" s="1"/>
  <c r="BG3" i="66"/>
  <c r="BI19" i="9"/>
  <c r="AJ8" i="9" l="1"/>
  <c r="BK11" i="9"/>
  <c r="BK10" i="9"/>
  <c r="P132" i="9"/>
  <c r="P133" i="9" s="1"/>
  <c r="BH3" i="66"/>
  <c r="BJ19" i="9"/>
  <c r="AK8" i="9" l="1"/>
  <c r="BL11" i="9"/>
  <c r="BL10" i="9"/>
  <c r="Q132" i="9"/>
  <c r="Q133" i="9" s="1"/>
  <c r="BI3" i="66"/>
  <c r="BK19" i="9"/>
  <c r="AL8" i="9" l="1"/>
  <c r="BM11" i="9"/>
  <c r="BM10" i="9"/>
  <c r="R132" i="9"/>
  <c r="S132" i="9" s="1"/>
  <c r="BJ3" i="66"/>
  <c r="BL19" i="9"/>
  <c r="AM8" i="9" l="1"/>
  <c r="BN11" i="9"/>
  <c r="BN10" i="9"/>
  <c r="R133" i="9"/>
  <c r="BK3" i="66"/>
  <c r="BM19" i="9"/>
  <c r="S133" i="9"/>
  <c r="AN8" i="9" l="1"/>
  <c r="BO11" i="9"/>
  <c r="BO10" i="9"/>
  <c r="BL3" i="66"/>
  <c r="BN19" i="9"/>
  <c r="T133" i="9"/>
  <c r="U132" i="9"/>
  <c r="AO8" i="9" l="1"/>
  <c r="BP11" i="9"/>
  <c r="BP10" i="9"/>
  <c r="BM3" i="66"/>
  <c r="BO19" i="9"/>
  <c r="V132" i="9"/>
  <c r="U133" i="9"/>
  <c r="AP8" i="9" l="1"/>
  <c r="BQ11" i="9"/>
  <c r="BQ10" i="9"/>
  <c r="BN3" i="66"/>
  <c r="BP19" i="9"/>
  <c r="W132" i="9"/>
  <c r="V133" i="9"/>
  <c r="AQ8" i="9" l="1"/>
  <c r="BR11" i="9"/>
  <c r="BR10" i="9"/>
  <c r="BO3" i="66"/>
  <c r="BQ19" i="9"/>
  <c r="W133" i="9"/>
  <c r="X132" i="9"/>
  <c r="AR8" i="9" l="1"/>
  <c r="BS10" i="9"/>
  <c r="BS11" i="9"/>
  <c r="BP3" i="66"/>
  <c r="BR19" i="9"/>
  <c r="X133" i="9"/>
  <c r="Y132" i="9"/>
  <c r="AS8" i="9" l="1"/>
  <c r="BT10" i="9"/>
  <c r="BT11" i="9"/>
  <c r="BQ3" i="66"/>
  <c r="BS19" i="9"/>
  <c r="Y133" i="9"/>
  <c r="Z132" i="9"/>
  <c r="AT8" i="9" l="1"/>
  <c r="BU10" i="9"/>
  <c r="BU11" i="9"/>
  <c r="BR3" i="66"/>
  <c r="BT19" i="9"/>
  <c r="Z133" i="9"/>
  <c r="AA132" i="9"/>
  <c r="AU8" i="9" l="1"/>
  <c r="BV11" i="9"/>
  <c r="BV10" i="9"/>
  <c r="BS3" i="66"/>
  <c r="BU19" i="9"/>
  <c r="AB132" i="9"/>
  <c r="AA133" i="9"/>
  <c r="AV8" i="9" l="1"/>
  <c r="BW11" i="9"/>
  <c r="BW10" i="9"/>
  <c r="BT3" i="66"/>
  <c r="BV19" i="9"/>
  <c r="AB133" i="9"/>
  <c r="AC132" i="9"/>
  <c r="AW8" i="9" l="1"/>
  <c r="BX10" i="9"/>
  <c r="BX11" i="9"/>
  <c r="BU3" i="66"/>
  <c r="BW19" i="9"/>
  <c r="AD132" i="9"/>
  <c r="AC133" i="9"/>
  <c r="AX8" i="9" l="1"/>
  <c r="BY10" i="9"/>
  <c r="BY11" i="9"/>
  <c r="BV3" i="66"/>
  <c r="BX19" i="9"/>
  <c r="AD133" i="9"/>
  <c r="AE132" i="9"/>
  <c r="AY8" i="9" l="1"/>
  <c r="BZ11" i="9"/>
  <c r="BZ10" i="9"/>
  <c r="BW3" i="66"/>
  <c r="BY19" i="9"/>
  <c r="AF132" i="9"/>
  <c r="AE133" i="9"/>
  <c r="AZ8" i="9" l="1"/>
  <c r="CA11" i="9"/>
  <c r="CA10" i="9"/>
  <c r="BX3" i="66"/>
  <c r="BZ19" i="9"/>
  <c r="AG132" i="9"/>
  <c r="AF133" i="9"/>
  <c r="BA8" i="9" l="1"/>
  <c r="CB10" i="9"/>
  <c r="CB11" i="9"/>
  <c r="BY3" i="66"/>
  <c r="CA19" i="9"/>
  <c r="AG133" i="9"/>
  <c r="AH132" i="9"/>
  <c r="BB8" i="9" l="1"/>
  <c r="CC11" i="9"/>
  <c r="CC10" i="9"/>
  <c r="BZ3" i="66"/>
  <c r="CB19" i="9"/>
  <c r="AH133" i="9"/>
  <c r="AI132" i="9"/>
  <c r="BC8" i="9" l="1"/>
  <c r="CD11" i="9"/>
  <c r="CD10" i="9"/>
  <c r="CA3" i="66"/>
  <c r="CC19" i="9"/>
  <c r="AI133" i="9"/>
  <c r="AJ132" i="9"/>
  <c r="BD8" i="9" l="1"/>
  <c r="CE10" i="9"/>
  <c r="CE11" i="9"/>
  <c r="CB3" i="66"/>
  <c r="CD19" i="9"/>
  <c r="AK132" i="9"/>
  <c r="AJ133" i="9"/>
  <c r="BE8" i="9" l="1"/>
  <c r="CF11" i="9"/>
  <c r="CF10" i="9"/>
  <c r="CC3" i="66"/>
  <c r="CE19" i="9"/>
  <c r="AL132" i="9"/>
  <c r="AK133" i="9"/>
  <c r="BF8" i="9" l="1"/>
  <c r="CG11" i="9"/>
  <c r="CG10" i="9"/>
  <c r="CD3" i="66"/>
  <c r="CF19" i="9"/>
  <c r="AL133" i="9"/>
  <c r="AM132" i="9"/>
  <c r="BG8" i="9" l="1"/>
  <c r="CH10" i="9"/>
  <c r="CH11" i="9"/>
  <c r="CE3" i="66"/>
  <c r="CG19" i="9"/>
  <c r="AM133" i="9"/>
  <c r="AN132" i="9"/>
  <c r="BH8" i="9" l="1"/>
  <c r="CI11" i="9"/>
  <c r="CI10" i="9"/>
  <c r="CF3" i="66"/>
  <c r="CH19" i="9"/>
  <c r="AO132" i="9"/>
  <c r="AN133" i="9"/>
  <c r="BI8" i="9" l="1"/>
  <c r="CJ10" i="9"/>
  <c r="CJ11" i="9"/>
  <c r="CG3" i="66"/>
  <c r="CI19" i="9"/>
  <c r="AO133" i="9"/>
  <c r="AP132" i="9"/>
  <c r="BJ8" i="9" l="1"/>
  <c r="CK10" i="9"/>
  <c r="CK11" i="9"/>
  <c r="CH3" i="66"/>
  <c r="CJ19" i="9"/>
  <c r="AP133" i="9"/>
  <c r="AQ132" i="9"/>
  <c r="BK8" i="9" l="1"/>
  <c r="CL10" i="9"/>
  <c r="CL11" i="9"/>
  <c r="CI3" i="66"/>
  <c r="CK19" i="9"/>
  <c r="AQ133" i="9"/>
  <c r="AR132" i="9"/>
  <c r="BL8" i="9" l="1"/>
  <c r="CM10" i="9"/>
  <c r="CM11" i="9"/>
  <c r="CJ3" i="66"/>
  <c r="CL19" i="9"/>
  <c r="AR133" i="9"/>
  <c r="AS132" i="9"/>
  <c r="BM8" i="9" l="1"/>
  <c r="CN11" i="9"/>
  <c r="CN10" i="9"/>
  <c r="CK3" i="66"/>
  <c r="CM19" i="9"/>
  <c r="AT132" i="9"/>
  <c r="AS133" i="9"/>
  <c r="BN8" i="9" l="1"/>
  <c r="CO11" i="9"/>
  <c r="CO10" i="9"/>
  <c r="CL3" i="66"/>
  <c r="CN19" i="9"/>
  <c r="AU132" i="9"/>
  <c r="AT133" i="9"/>
  <c r="BO8" i="9" l="1"/>
  <c r="CP10" i="9"/>
  <c r="CP11" i="9"/>
  <c r="CM3" i="66"/>
  <c r="CO19" i="9"/>
  <c r="AV132" i="9"/>
  <c r="AU133" i="9"/>
  <c r="BP8" i="9" l="1"/>
  <c r="CQ11" i="9"/>
  <c r="CQ10" i="9"/>
  <c r="CN3" i="66"/>
  <c r="CP19" i="9"/>
  <c r="AV133" i="9"/>
  <c r="AW132" i="9"/>
  <c r="BQ8" i="9" l="1"/>
  <c r="CR10" i="9"/>
  <c r="CR11" i="9"/>
  <c r="CO3" i="66"/>
  <c r="CQ19" i="9"/>
  <c r="AW133" i="9"/>
  <c r="AX132" i="9"/>
  <c r="BR8" i="9" l="1"/>
  <c r="CS10" i="9"/>
  <c r="CS11" i="9"/>
  <c r="CP3" i="66"/>
  <c r="CR19" i="9"/>
  <c r="AX133" i="9"/>
  <c r="AY132" i="9"/>
  <c r="BS8" i="9" l="1"/>
  <c r="CT10" i="9"/>
  <c r="CT11" i="9"/>
  <c r="CQ3" i="66"/>
  <c r="CS19" i="9"/>
  <c r="AY133" i="9"/>
  <c r="AZ132" i="9"/>
  <c r="BT8" i="9" l="1"/>
  <c r="CU11" i="9"/>
  <c r="CU10" i="9"/>
  <c r="CR3" i="66"/>
  <c r="CT19" i="9"/>
  <c r="BA132" i="9"/>
  <c r="AZ133" i="9"/>
  <c r="BU8" i="9" l="1"/>
  <c r="CV10" i="9"/>
  <c r="CV11" i="9"/>
  <c r="CS3" i="66"/>
  <c r="CU19" i="9"/>
  <c r="BB132" i="9"/>
  <c r="BA133" i="9"/>
  <c r="BV8" i="9" l="1"/>
  <c r="CW11" i="9"/>
  <c r="CW10" i="9"/>
  <c r="CT3" i="66"/>
  <c r="CV19" i="9"/>
  <c r="BC132" i="9"/>
  <c r="BB133" i="9"/>
  <c r="BW8" i="9" l="1"/>
  <c r="CX11" i="9"/>
  <c r="CX10" i="9"/>
  <c r="CU3" i="66"/>
  <c r="CW19" i="9"/>
  <c r="BD132" i="9"/>
  <c r="BC133" i="9"/>
  <c r="BX8" i="9" l="1"/>
  <c r="CY10" i="9"/>
  <c r="CY11" i="9"/>
  <c r="CV3" i="66"/>
  <c r="CX19" i="9"/>
  <c r="BD133" i="9"/>
  <c r="BE132" i="9"/>
  <c r="BY8" i="9" l="1"/>
  <c r="CZ10" i="9"/>
  <c r="CZ11" i="9"/>
  <c r="CW3" i="66"/>
  <c r="CY19" i="9"/>
  <c r="BE133" i="9"/>
  <c r="BF132" i="9"/>
  <c r="BZ8" i="9" l="1"/>
  <c r="DA11" i="9"/>
  <c r="DA10" i="9"/>
  <c r="CX3" i="66"/>
  <c r="CZ19" i="9"/>
  <c r="BG132" i="9"/>
  <c r="BF133" i="9"/>
  <c r="CA8" i="9" l="1"/>
  <c r="DB10" i="9"/>
  <c r="DB11" i="9"/>
  <c r="CY3" i="66"/>
  <c r="DA19" i="9"/>
  <c r="BG133" i="9"/>
  <c r="BH132" i="9"/>
  <c r="CB8" i="9" l="1"/>
  <c r="DC11" i="9"/>
  <c r="DC10" i="9"/>
  <c r="CZ3" i="66"/>
  <c r="DB19" i="9"/>
  <c r="BH133" i="9"/>
  <c r="BI132" i="9"/>
  <c r="CC8" i="9" l="1"/>
  <c r="DD10" i="9"/>
  <c r="DD11" i="9"/>
  <c r="DA3" i="66"/>
  <c r="DC19" i="9"/>
  <c r="BJ132" i="9"/>
  <c r="BI133" i="9"/>
  <c r="CD8" i="9" l="1"/>
  <c r="DE11" i="9"/>
  <c r="DE10" i="9"/>
  <c r="DB3" i="66"/>
  <c r="DD19" i="9"/>
  <c r="BJ133" i="9"/>
  <c r="BK132" i="9"/>
  <c r="CE8" i="9" l="1"/>
  <c r="DF10" i="9"/>
  <c r="DF11" i="9"/>
  <c r="DC3" i="66"/>
  <c r="DE19" i="9"/>
  <c r="BL132" i="9"/>
  <c r="BK133" i="9"/>
  <c r="CF8" i="9" l="1"/>
  <c r="DG10" i="9"/>
  <c r="DG11" i="9"/>
  <c r="DD3" i="66"/>
  <c r="DF19" i="9"/>
  <c r="BM132" i="9"/>
  <c r="BL133" i="9"/>
  <c r="CG8" i="9" l="1"/>
  <c r="DH11" i="9"/>
  <c r="DH10" i="9"/>
  <c r="DE3" i="66"/>
  <c r="DG19" i="9"/>
  <c r="BM133" i="9"/>
  <c r="BN132" i="9"/>
  <c r="CH8" i="9" l="1"/>
  <c r="DI11" i="9"/>
  <c r="DI10" i="9"/>
  <c r="DF3" i="66"/>
  <c r="DH19" i="9"/>
  <c r="BN133" i="9"/>
  <c r="BO132" i="9"/>
  <c r="CI8" i="9" l="1"/>
  <c r="DJ11" i="9"/>
  <c r="DJ10" i="9"/>
  <c r="DG3" i="66"/>
  <c r="DI19" i="9"/>
  <c r="BP132" i="9"/>
  <c r="BQ132" i="9" s="1"/>
  <c r="BO133" i="9"/>
  <c r="CJ8" i="9" l="1"/>
  <c r="DK10" i="9"/>
  <c r="DK11" i="9"/>
  <c r="BP133" i="9"/>
  <c r="DH3" i="66"/>
  <c r="DJ19" i="9"/>
  <c r="BR132" i="9"/>
  <c r="BQ133" i="9"/>
  <c r="B110" i="8"/>
  <c r="C110" i="8"/>
  <c r="D110" i="8"/>
  <c r="CK8" i="9" l="1"/>
  <c r="DL11" i="9"/>
  <c r="DL10" i="9"/>
  <c r="DI3" i="66"/>
  <c r="DK19" i="9"/>
  <c r="BR133" i="9"/>
  <c r="BS132" i="9"/>
  <c r="CL8" i="9" l="1"/>
  <c r="DM11" i="9"/>
  <c r="DM10" i="9"/>
  <c r="DJ3" i="66"/>
  <c r="DL19" i="9"/>
  <c r="BT132" i="9"/>
  <c r="BS133" i="9"/>
  <c r="CM8" i="9" l="1"/>
  <c r="DN11" i="9"/>
  <c r="DN10" i="9"/>
  <c r="DK3" i="66"/>
  <c r="DM19" i="9"/>
  <c r="BT133" i="9"/>
  <c r="BU132" i="9"/>
  <c r="CN8" i="9" l="1"/>
  <c r="DO11" i="9"/>
  <c r="DO10" i="9"/>
  <c r="DL3" i="66"/>
  <c r="DN19" i="9"/>
  <c r="BV132" i="9"/>
  <c r="BU133" i="9"/>
  <c r="CO8" i="9" l="1"/>
  <c r="DP10" i="9"/>
  <c r="DP11" i="9"/>
  <c r="DM3" i="66"/>
  <c r="DO19" i="9"/>
  <c r="BV133" i="9"/>
  <c r="BW132" i="9"/>
  <c r="CP8" i="9" l="1"/>
  <c r="DQ10" i="9"/>
  <c r="DQ11" i="9"/>
  <c r="DN3" i="66"/>
  <c r="DP19" i="9"/>
  <c r="BX132" i="9"/>
  <c r="BW133" i="9"/>
  <c r="CQ8" i="9" l="1"/>
  <c r="DR11" i="9"/>
  <c r="DR10" i="9"/>
  <c r="DO3" i="66"/>
  <c r="DQ19" i="9"/>
  <c r="BY132" i="9"/>
  <c r="BX133" i="9"/>
  <c r="G4" i="2"/>
  <c r="F39" i="2" s="1"/>
  <c r="CR8" i="9" l="1"/>
  <c r="DS10" i="9"/>
  <c r="DS11" i="9"/>
  <c r="DP3" i="66"/>
  <c r="DR19" i="9"/>
  <c r="BY133" i="9"/>
  <c r="BZ132" i="9"/>
  <c r="CS8" i="9" l="1"/>
  <c r="DT11" i="9"/>
  <c r="DT10" i="9"/>
  <c r="DQ3" i="66"/>
  <c r="DS19" i="9"/>
  <c r="CA132" i="9"/>
  <c r="BZ133" i="9"/>
  <c r="CT8" i="9" l="1"/>
  <c r="DU10" i="9"/>
  <c r="DU11" i="9"/>
  <c r="DR3" i="66"/>
  <c r="DT19" i="9"/>
  <c r="CA133" i="9"/>
  <c r="CB132" i="9"/>
  <c r="CU8" i="9" l="1"/>
  <c r="DV10" i="9"/>
  <c r="DV11" i="9"/>
  <c r="DS3" i="66"/>
  <c r="DU19" i="9"/>
  <c r="CC132" i="9"/>
  <c r="CB133" i="9"/>
  <c r="CV8" i="9" l="1"/>
  <c r="DW11" i="9"/>
  <c r="DX11" i="9" s="1"/>
  <c r="DY11" i="9" s="1"/>
  <c r="DZ11" i="9" s="1"/>
  <c r="EA11" i="9" s="1"/>
  <c r="EB11" i="9" s="1"/>
  <c r="DW10" i="9"/>
  <c r="DX10" i="9" s="1"/>
  <c r="DY10" i="9" s="1"/>
  <c r="DZ10" i="9" s="1"/>
  <c r="EA10" i="9" s="1"/>
  <c r="EB10" i="9" s="1"/>
  <c r="DT3" i="66"/>
  <c r="DX21" i="9" s="1"/>
  <c r="DY21" i="9" s="1"/>
  <c r="DZ21" i="9" s="1"/>
  <c r="EA21" i="9" s="1"/>
  <c r="EB21" i="9" s="1"/>
  <c r="DV19" i="9"/>
  <c r="CD132" i="9"/>
  <c r="CC133" i="9"/>
  <c r="CW8" i="9" l="1"/>
  <c r="DW19" i="9"/>
  <c r="DX19" i="9" s="1"/>
  <c r="DY19" i="9" s="1"/>
  <c r="DZ19" i="9" s="1"/>
  <c r="EA19" i="9" s="1"/>
  <c r="EB19" i="9" s="1"/>
  <c r="CD133" i="9"/>
  <c r="CE132" i="9"/>
  <c r="H15" i="9"/>
  <c r="I15" i="9" s="1"/>
  <c r="J15" i="9" s="1"/>
  <c r="K15" i="9" s="1"/>
  <c r="H16" i="9"/>
  <c r="I16" i="9" s="1"/>
  <c r="J16" i="9" s="1"/>
  <c r="K16" i="9" s="1"/>
  <c r="L16" i="9" s="1"/>
  <c r="M16" i="9" s="1"/>
  <c r="N16" i="9" s="1"/>
  <c r="O16" i="9" s="1"/>
  <c r="P16" i="9" s="1"/>
  <c r="Q16" i="9" s="1"/>
  <c r="R16" i="9" s="1"/>
  <c r="S16" i="9" s="1"/>
  <c r="T16" i="9" s="1"/>
  <c r="U16" i="9" s="1"/>
  <c r="V16" i="9" s="1"/>
  <c r="W16" i="9" s="1"/>
  <c r="X16" i="9" s="1"/>
  <c r="Y16" i="9" s="1"/>
  <c r="Z16" i="9" s="1"/>
  <c r="AA16" i="9" s="1"/>
  <c r="AB16" i="9" s="1"/>
  <c r="AC16" i="9" s="1"/>
  <c r="AD16" i="9" s="1"/>
  <c r="AE16" i="9" s="1"/>
  <c r="AF16" i="9" s="1"/>
  <c r="CX8" i="9" l="1"/>
  <c r="AG16" i="9"/>
  <c r="AH16" i="9" s="1"/>
  <c r="AI16" i="9" s="1"/>
  <c r="AJ16" i="9" s="1"/>
  <c r="AK16" i="9" s="1"/>
  <c r="AL16" i="9" s="1"/>
  <c r="AM16" i="9" s="1"/>
  <c r="AN16" i="9" s="1"/>
  <c r="AO16" i="9" s="1"/>
  <c r="AP16" i="9" s="1"/>
  <c r="AQ16" i="9" s="1"/>
  <c r="AR16" i="9" s="1"/>
  <c r="AS16" i="9" s="1"/>
  <c r="AT16" i="9" s="1"/>
  <c r="AU16" i="9" s="1"/>
  <c r="AV16" i="9" s="1"/>
  <c r="AW16" i="9" s="1"/>
  <c r="AX16" i="9" s="1"/>
  <c r="AY16" i="9" s="1"/>
  <c r="AZ16" i="9" s="1"/>
  <c r="BA16" i="9" s="1"/>
  <c r="BB16" i="9" s="1"/>
  <c r="BC16" i="9" s="1"/>
  <c r="BD16" i="9" s="1"/>
  <c r="BE16" i="9" s="1"/>
  <c r="BF16" i="9" s="1"/>
  <c r="BG16" i="9" s="1"/>
  <c r="BH16" i="9" s="1"/>
  <c r="BI16" i="9" s="1"/>
  <c r="BJ16" i="9" s="1"/>
  <c r="BK16" i="9" s="1"/>
  <c r="BL16" i="9" s="1"/>
  <c r="BM16" i="9" s="1"/>
  <c r="BN16" i="9" s="1"/>
  <c r="BO16" i="9" s="1"/>
  <c r="BP16" i="9" s="1"/>
  <c r="L15" i="9"/>
  <c r="M15" i="9" s="1"/>
  <c r="N15" i="9" s="1"/>
  <c r="O15" i="9" s="1"/>
  <c r="P15" i="9" s="1"/>
  <c r="Q15" i="9" s="1"/>
  <c r="R15" i="9" s="1"/>
  <c r="S15" i="9" s="1"/>
  <c r="T15" i="9" s="1"/>
  <c r="U15" i="9" s="1"/>
  <c r="V15" i="9" s="1"/>
  <c r="W15" i="9" s="1"/>
  <c r="X15" i="9" s="1"/>
  <c r="Y15" i="9" s="1"/>
  <c r="Z15" i="9" s="1"/>
  <c r="AA15" i="9" s="1"/>
  <c r="AB15" i="9" s="1"/>
  <c r="AC15" i="9" s="1"/>
  <c r="AD15" i="9" s="1"/>
  <c r="AE15" i="9" s="1"/>
  <c r="AF15" i="9" s="1"/>
  <c r="AG15" i="9" s="1"/>
  <c r="CF132" i="9"/>
  <c r="CE133" i="9"/>
  <c r="CY8" i="9" l="1"/>
  <c r="BN76" i="8"/>
  <c r="BN78" i="8"/>
  <c r="BQ16" i="9"/>
  <c r="BR16" i="9" s="1"/>
  <c r="AH15" i="9"/>
  <c r="AG13" i="9"/>
  <c r="CG132" i="9"/>
  <c r="CF133" i="9"/>
  <c r="D120" i="9"/>
  <c r="D119" i="9"/>
  <c r="D118" i="9"/>
  <c r="CZ8" i="9" l="1"/>
  <c r="BO78" i="8"/>
  <c r="BO76" i="8"/>
  <c r="AI15" i="9"/>
  <c r="AH13" i="9"/>
  <c r="BS16" i="9"/>
  <c r="BP78" i="8"/>
  <c r="BP76" i="8"/>
  <c r="CG133" i="9"/>
  <c r="CH132" i="9"/>
  <c r="DA8" i="9" l="1"/>
  <c r="AJ15" i="9"/>
  <c r="AI13" i="9"/>
  <c r="BT16" i="9"/>
  <c r="BQ78" i="8"/>
  <c r="BQ76" i="8"/>
  <c r="CI132" i="9"/>
  <c r="CH133" i="9"/>
  <c r="DB8" i="9" l="1"/>
  <c r="AK15" i="9"/>
  <c r="AJ13" i="9"/>
  <c r="BR76" i="8"/>
  <c r="BR78" i="8"/>
  <c r="BU16" i="9"/>
  <c r="CJ132" i="9"/>
  <c r="CI133" i="9"/>
  <c r="DC8" i="9" l="1"/>
  <c r="AK13" i="9"/>
  <c r="AL15" i="9"/>
  <c r="BV16" i="9"/>
  <c r="BS78" i="8"/>
  <c r="BS76" i="8"/>
  <c r="CK132" i="9"/>
  <c r="CJ133" i="9"/>
  <c r="DD8" i="9" l="1"/>
  <c r="AM15" i="9"/>
  <c r="AL13" i="9"/>
  <c r="BT76" i="8"/>
  <c r="BW16" i="9"/>
  <c r="BT78" i="8"/>
  <c r="CL132" i="9"/>
  <c r="CK133" i="9"/>
  <c r="DE8" i="9" l="1"/>
  <c r="AN15" i="9"/>
  <c r="AM13" i="9"/>
  <c r="BU76" i="8"/>
  <c r="BX16" i="9"/>
  <c r="BU78" i="8"/>
  <c r="CL133" i="9"/>
  <c r="CM132" i="9"/>
  <c r="DF8" i="9" l="1"/>
  <c r="AO15" i="9"/>
  <c r="AN13" i="9"/>
  <c r="BY16" i="9"/>
  <c r="BV78" i="8"/>
  <c r="BV76" i="8"/>
  <c r="CN132" i="9"/>
  <c r="CM133" i="9"/>
  <c r="DG8" i="9" l="1"/>
  <c r="AO13" i="9"/>
  <c r="AP15" i="9"/>
  <c r="BZ16" i="9"/>
  <c r="BW78" i="8"/>
  <c r="BW76" i="8"/>
  <c r="CN133" i="9"/>
  <c r="CO132" i="9"/>
  <c r="DH8" i="9" l="1"/>
  <c r="AQ15" i="9"/>
  <c r="AP13" i="9"/>
  <c r="BX76" i="8"/>
  <c r="CA16" i="9"/>
  <c r="BX78" i="8"/>
  <c r="CP132" i="9"/>
  <c r="CO133" i="9"/>
  <c r="DI8" i="9" l="1"/>
  <c r="AQ13" i="9"/>
  <c r="AR15" i="9"/>
  <c r="AR13" i="9" s="1"/>
  <c r="CB16" i="9"/>
  <c r="BY78" i="8"/>
  <c r="BY76" i="8"/>
  <c r="CP133" i="9"/>
  <c r="CQ132" i="9"/>
  <c r="DJ8" i="9" l="1"/>
  <c r="CC16" i="9"/>
  <c r="BZ78" i="8"/>
  <c r="BZ76" i="8"/>
  <c r="CQ133" i="9"/>
  <c r="CR132" i="9"/>
  <c r="F121" i="9"/>
  <c r="E121" i="9"/>
  <c r="DK8" i="9" l="1"/>
  <c r="AS15" i="9"/>
  <c r="AT15" i="9" s="1"/>
  <c r="AU15" i="9" s="1"/>
  <c r="AV15" i="9" s="1"/>
  <c r="AW15" i="9" s="1"/>
  <c r="AX15" i="9" s="1"/>
  <c r="AY15" i="9" s="1"/>
  <c r="AZ15" i="9" s="1"/>
  <c r="BA15" i="9" s="1"/>
  <c r="BB15" i="9" s="1"/>
  <c r="BC15" i="9" s="1"/>
  <c r="BD15" i="9" s="1"/>
  <c r="BE15" i="9" s="1"/>
  <c r="BF15" i="9" s="1"/>
  <c r="BG15" i="9" s="1"/>
  <c r="BH15" i="9" s="1"/>
  <c r="BI15" i="9" s="1"/>
  <c r="BJ15" i="9" s="1"/>
  <c r="BK15" i="9" s="1"/>
  <c r="BL15" i="9" s="1"/>
  <c r="BM15" i="9" s="1"/>
  <c r="BN15" i="9" s="1"/>
  <c r="BO15" i="9" s="1"/>
  <c r="BP15" i="9" s="1"/>
  <c r="CD16" i="9"/>
  <c r="CA78" i="8"/>
  <c r="CA76" i="8"/>
  <c r="CS132" i="9"/>
  <c r="CR133" i="9"/>
  <c r="DL8" i="9" l="1"/>
  <c r="BN77" i="8"/>
  <c r="BP13" i="9"/>
  <c r="BQ15" i="9"/>
  <c r="CB76" i="8"/>
  <c r="CE16" i="9"/>
  <c r="CB78" i="8"/>
  <c r="CT132" i="9"/>
  <c r="CS133" i="9"/>
  <c r="DM8" i="9" l="1"/>
  <c r="BN75" i="8"/>
  <c r="BR15" i="9"/>
  <c r="BO77" i="8"/>
  <c r="BQ13" i="9"/>
  <c r="CF16" i="9"/>
  <c r="CC78" i="8"/>
  <c r="CC76" i="8"/>
  <c r="CT133" i="9"/>
  <c r="CU132" i="9"/>
  <c r="DN8" i="9" l="1"/>
  <c r="BN178" i="8"/>
  <c r="BN177" i="8" s="1"/>
  <c r="BN176" i="8" s="1"/>
  <c r="BO75" i="8"/>
  <c r="BS15" i="9"/>
  <c r="BP77" i="8"/>
  <c r="BR13" i="9"/>
  <c r="CG16" i="9"/>
  <c r="CD78" i="8"/>
  <c r="CD76" i="8"/>
  <c r="CU133" i="9"/>
  <c r="CV132" i="9"/>
  <c r="DO8" i="9" l="1"/>
  <c r="BO178" i="8"/>
  <c r="BO177" i="8" s="1"/>
  <c r="BO176" i="8" s="1"/>
  <c r="BP75" i="8"/>
  <c r="BQ77" i="8"/>
  <c r="BT15" i="9"/>
  <c r="BS13" i="9"/>
  <c r="CE76" i="8"/>
  <c r="CH16" i="9"/>
  <c r="CE78" i="8"/>
  <c r="CV133" i="9"/>
  <c r="CW132" i="9"/>
  <c r="DP8" i="9" l="1"/>
  <c r="BP178" i="8"/>
  <c r="BP177" i="8" s="1"/>
  <c r="BP176" i="8" s="1"/>
  <c r="BQ75" i="8"/>
  <c r="BU15" i="9"/>
  <c r="BR77" i="8"/>
  <c r="BT13" i="9"/>
  <c r="CF76" i="8"/>
  <c r="CI16" i="9"/>
  <c r="CF78" i="8"/>
  <c r="CW133" i="9"/>
  <c r="CX132" i="9"/>
  <c r="DQ8" i="9" l="1"/>
  <c r="BQ178" i="8"/>
  <c r="BQ177" i="8" s="1"/>
  <c r="BQ176" i="8" s="1"/>
  <c r="BR75" i="8"/>
  <c r="BV15" i="9"/>
  <c r="BU13" i="9"/>
  <c r="BS77" i="8"/>
  <c r="CG76" i="8"/>
  <c r="CJ16" i="9"/>
  <c r="CG78" i="8"/>
  <c r="CY132" i="9"/>
  <c r="CX133" i="9"/>
  <c r="DR8" i="9" l="1"/>
  <c r="BR178" i="8"/>
  <c r="BR177" i="8" s="1"/>
  <c r="BR176" i="8" s="1"/>
  <c r="BS75" i="8"/>
  <c r="BV13" i="9"/>
  <c r="BW15" i="9"/>
  <c r="BT77" i="8"/>
  <c r="CK16" i="9"/>
  <c r="CH78" i="8"/>
  <c r="CH76" i="8"/>
  <c r="CZ132" i="9"/>
  <c r="CY133" i="9"/>
  <c r="D52" i="9"/>
  <c r="D75" i="9" s="1"/>
  <c r="G75" i="9" s="1"/>
  <c r="I60" i="7" s="1"/>
  <c r="DS8" i="9" l="1"/>
  <c r="BS178" i="8"/>
  <c r="BS177" i="8" s="1"/>
  <c r="BS176" i="8" s="1"/>
  <c r="BT75" i="8"/>
  <c r="BX15" i="9"/>
  <c r="BW13" i="9"/>
  <c r="BU77" i="8"/>
  <c r="CI76" i="8"/>
  <c r="CL16" i="9"/>
  <c r="CI78" i="8"/>
  <c r="DA132" i="9"/>
  <c r="CZ133" i="9"/>
  <c r="DT8" i="9" l="1"/>
  <c r="BT178" i="8"/>
  <c r="BT177" i="8" s="1"/>
  <c r="BT176" i="8" s="1"/>
  <c r="BU75" i="8"/>
  <c r="BY15" i="9"/>
  <c r="BV77" i="8"/>
  <c r="BX13" i="9"/>
  <c r="CM16" i="9"/>
  <c r="CJ78" i="8"/>
  <c r="CJ76" i="8"/>
  <c r="DB132" i="9"/>
  <c r="DA133" i="9"/>
  <c r="DU8" i="9" l="1"/>
  <c r="BU178" i="8"/>
  <c r="BU177" i="8" s="1"/>
  <c r="BU176" i="8" s="1"/>
  <c r="BV75" i="8"/>
  <c r="BY13" i="9"/>
  <c r="BZ15" i="9"/>
  <c r="BW77" i="8"/>
  <c r="CN16" i="9"/>
  <c r="CK78" i="8"/>
  <c r="CK76" i="8"/>
  <c r="DB133" i="9"/>
  <c r="DC132" i="9"/>
  <c r="EC50" i="7"/>
  <c r="EC49" i="7"/>
  <c r="EC22" i="7"/>
  <c r="EC21" i="7"/>
  <c r="EC14" i="7"/>
  <c r="EC13" i="7"/>
  <c r="DX50" i="7"/>
  <c r="DX49" i="7"/>
  <c r="DX22" i="7"/>
  <c r="DX21" i="7"/>
  <c r="DX14" i="7"/>
  <c r="DX13" i="7"/>
  <c r="E5" i="7"/>
  <c r="D5" i="7"/>
  <c r="DV8" i="9" l="1"/>
  <c r="BV178" i="8"/>
  <c r="BV177" i="8" s="1"/>
  <c r="BV176" i="8" s="1"/>
  <c r="BW75" i="8"/>
  <c r="CA15" i="9"/>
  <c r="BZ13" i="9"/>
  <c r="BX77" i="8"/>
  <c r="CL76" i="8"/>
  <c r="CO16" i="9"/>
  <c r="CL78" i="8"/>
  <c r="DD132" i="9"/>
  <c r="DC133" i="9"/>
  <c r="DW8" i="9" l="1"/>
  <c r="BW178" i="8"/>
  <c r="BW177" i="8" s="1"/>
  <c r="BW176" i="8" s="1"/>
  <c r="BX75" i="8"/>
  <c r="CB15" i="9"/>
  <c r="BY77" i="8"/>
  <c r="CA13" i="9"/>
  <c r="CM76" i="8"/>
  <c r="CP16" i="9"/>
  <c r="CM78" i="8"/>
  <c r="DE132" i="9"/>
  <c r="DD133" i="9"/>
  <c r="BM78" i="8"/>
  <c r="BL78" i="8"/>
  <c r="BK78" i="8"/>
  <c r="BJ78" i="8"/>
  <c r="BI78" i="8"/>
  <c r="BH78" i="8"/>
  <c r="BG78" i="8"/>
  <c r="BF78" i="8"/>
  <c r="BE78" i="8"/>
  <c r="BD78" i="8"/>
  <c r="BC78" i="8"/>
  <c r="BB78" i="8"/>
  <c r="BA78" i="8"/>
  <c r="AZ78" i="8"/>
  <c r="AY78" i="8"/>
  <c r="AX78" i="8"/>
  <c r="AW78" i="8"/>
  <c r="AV78" i="8"/>
  <c r="AU78" i="8"/>
  <c r="AT78" i="8"/>
  <c r="AS78" i="8"/>
  <c r="AR78" i="8"/>
  <c r="AQ78" i="8"/>
  <c r="AP78" i="8"/>
  <c r="AO78" i="8"/>
  <c r="AN78" i="8"/>
  <c r="AM78" i="8"/>
  <c r="AL78" i="8"/>
  <c r="AK78" i="8"/>
  <c r="AJ78" i="8"/>
  <c r="AI78" i="8"/>
  <c r="AH78" i="8"/>
  <c r="AG78" i="8"/>
  <c r="AF78" i="8"/>
  <c r="AE78" i="8"/>
  <c r="AD78" i="8"/>
  <c r="AC78" i="8"/>
  <c r="AB78" i="8"/>
  <c r="AA78" i="8"/>
  <c r="Z78" i="8"/>
  <c r="Y78" i="8"/>
  <c r="X78" i="8"/>
  <c r="W78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B78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B77" i="8"/>
  <c r="BM76" i="8"/>
  <c r="BL76" i="8"/>
  <c r="BK76" i="8"/>
  <c r="BJ76" i="8"/>
  <c r="BI76" i="8"/>
  <c r="BH76" i="8"/>
  <c r="BG76" i="8"/>
  <c r="BF76" i="8"/>
  <c r="BE76" i="8"/>
  <c r="BD76" i="8"/>
  <c r="BC76" i="8"/>
  <c r="BB76" i="8"/>
  <c r="BA76" i="8"/>
  <c r="AZ76" i="8"/>
  <c r="AY76" i="8"/>
  <c r="AX76" i="8"/>
  <c r="AW76" i="8"/>
  <c r="AV76" i="8"/>
  <c r="AU76" i="8"/>
  <c r="AT76" i="8"/>
  <c r="AS76" i="8"/>
  <c r="AR76" i="8"/>
  <c r="AQ76" i="8"/>
  <c r="AP76" i="8"/>
  <c r="AO76" i="8"/>
  <c r="AN76" i="8"/>
  <c r="AM76" i="8"/>
  <c r="AL76" i="8"/>
  <c r="AK76" i="8"/>
  <c r="AJ76" i="8"/>
  <c r="AI76" i="8"/>
  <c r="AH76" i="8"/>
  <c r="AG76" i="8"/>
  <c r="AF76" i="8"/>
  <c r="AE76" i="8"/>
  <c r="AD76" i="8"/>
  <c r="AC76" i="8"/>
  <c r="AB76" i="8"/>
  <c r="AA76" i="8"/>
  <c r="Z76" i="8"/>
  <c r="Y76" i="8"/>
  <c r="X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B76" i="8"/>
  <c r="E80" i="8"/>
  <c r="B80" i="8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J13" i="9"/>
  <c r="I13" i="9"/>
  <c r="H13" i="9"/>
  <c r="DX8" i="9" l="1"/>
  <c r="DY8" i="9" s="1"/>
  <c r="DZ8" i="9" s="1"/>
  <c r="EA8" i="9" s="1"/>
  <c r="EB8" i="9" s="1"/>
  <c r="B10" i="9"/>
  <c r="K13" i="9"/>
  <c r="A16" i="7"/>
  <c r="BX178" i="8"/>
  <c r="BX177" i="8" s="1"/>
  <c r="BX176" i="8" s="1"/>
  <c r="G42" i="9"/>
  <c r="BY75" i="8"/>
  <c r="CC15" i="9"/>
  <c r="CB13" i="9"/>
  <c r="BZ77" i="8"/>
  <c r="CQ16" i="9"/>
  <c r="CN78" i="8"/>
  <c r="CN76" i="8"/>
  <c r="DE133" i="9"/>
  <c r="DF132" i="9"/>
  <c r="C71" i="7"/>
  <c r="F71" i="7"/>
  <c r="D71" i="7"/>
  <c r="E71" i="7"/>
  <c r="G71" i="7"/>
  <c r="H71" i="7"/>
  <c r="G9" i="9"/>
  <c r="G12" i="9" s="1"/>
  <c r="E159" i="8"/>
  <c r="B169" i="8"/>
  <c r="B167" i="8"/>
  <c r="B166" i="8"/>
  <c r="B164" i="8"/>
  <c r="B163" i="8"/>
  <c r="B162" i="8"/>
  <c r="B161" i="8"/>
  <c r="B160" i="8"/>
  <c r="B159" i="8"/>
  <c r="B158" i="8"/>
  <c r="B157" i="8"/>
  <c r="B156" i="8"/>
  <c r="B155" i="8"/>
  <c r="B137" i="8"/>
  <c r="B136" i="8"/>
  <c r="BY178" i="8" l="1"/>
  <c r="BY177" i="8" s="1"/>
  <c r="BY176" i="8" s="1"/>
  <c r="BZ75" i="8"/>
  <c r="CD15" i="9"/>
  <c r="CA77" i="8"/>
  <c r="CC13" i="9"/>
  <c r="R7" i="47"/>
  <c r="G138" i="9" s="1"/>
  <c r="H138" i="9" s="1"/>
  <c r="CO76" i="8"/>
  <c r="CR16" i="9"/>
  <c r="CO78" i="8"/>
  <c r="DG132" i="9"/>
  <c r="DF133" i="9"/>
  <c r="I9" i="9"/>
  <c r="I12" i="9" s="1"/>
  <c r="J9" i="9"/>
  <c r="J12" i="9" s="1"/>
  <c r="H9" i="9"/>
  <c r="H12" i="9" s="1"/>
  <c r="BZ178" i="8" l="1"/>
  <c r="BZ177" i="8" s="1"/>
  <c r="BZ176" i="8" s="1"/>
  <c r="CA75" i="8"/>
  <c r="CD13" i="9"/>
  <c r="CE15" i="9"/>
  <c r="CB77" i="8"/>
  <c r="BN73" i="8"/>
  <c r="I138" i="9"/>
  <c r="G61" i="7"/>
  <c r="F61" i="7"/>
  <c r="E61" i="7"/>
  <c r="H61" i="7"/>
  <c r="D61" i="7"/>
  <c r="C61" i="7"/>
  <c r="CS16" i="9"/>
  <c r="CP78" i="8"/>
  <c r="CP76" i="8"/>
  <c r="DG133" i="9"/>
  <c r="DH132" i="9"/>
  <c r="K9" i="9"/>
  <c r="K12" i="9" s="1"/>
  <c r="E155" i="8"/>
  <c r="B113" i="8"/>
  <c r="E157" i="8"/>
  <c r="CA178" i="8" l="1"/>
  <c r="CA177" i="8" s="1"/>
  <c r="CA176" i="8" s="1"/>
  <c r="CB75" i="8"/>
  <c r="CF15" i="9"/>
  <c r="CC77" i="8"/>
  <c r="CE13" i="9"/>
  <c r="BO73" i="8"/>
  <c r="J138" i="9"/>
  <c r="CQ76" i="8"/>
  <c r="CT16" i="9"/>
  <c r="CQ78" i="8"/>
  <c r="DH133" i="9"/>
  <c r="DI132" i="9"/>
  <c r="L9" i="9"/>
  <c r="L12" i="9" s="1"/>
  <c r="CB178" i="8" l="1"/>
  <c r="CB177" i="8" s="1"/>
  <c r="CB176" i="8" s="1"/>
  <c r="CC75" i="8"/>
  <c r="BP73" i="8"/>
  <c r="CG15" i="9"/>
  <c r="CD77" i="8"/>
  <c r="CF13" i="9"/>
  <c r="K138" i="9"/>
  <c r="BQ73" i="8"/>
  <c r="CU16" i="9"/>
  <c r="CR78" i="8"/>
  <c r="CR76" i="8"/>
  <c r="DJ132" i="9"/>
  <c r="DI133" i="9"/>
  <c r="M9" i="9"/>
  <c r="M12" i="9" s="1"/>
  <c r="CC178" i="8" l="1"/>
  <c r="CC177" i="8" s="1"/>
  <c r="CC176" i="8" s="1"/>
  <c r="CD75" i="8"/>
  <c r="CE77" i="8"/>
  <c r="CG13" i="9"/>
  <c r="CH15" i="9"/>
  <c r="L138" i="9"/>
  <c r="CV16" i="9"/>
  <c r="CS78" i="8"/>
  <c r="BR73" i="8"/>
  <c r="CS76" i="8"/>
  <c r="DJ133" i="9"/>
  <c r="DK132" i="9"/>
  <c r="N9" i="9"/>
  <c r="N12" i="9" s="1"/>
  <c r="D45" i="9"/>
  <c r="D46" i="9"/>
  <c r="D47" i="9"/>
  <c r="D48" i="9"/>
  <c r="D49" i="9"/>
  <c r="D50" i="9"/>
  <c r="D51" i="9"/>
  <c r="D53" i="9"/>
  <c r="D54" i="9"/>
  <c r="D55" i="9"/>
  <c r="D56" i="9"/>
  <c r="D57" i="9"/>
  <c r="D58" i="9"/>
  <c r="D59" i="9"/>
  <c r="CD178" i="8" l="1"/>
  <c r="CD177" i="8" s="1"/>
  <c r="CD176" i="8" s="1"/>
  <c r="CE75" i="8"/>
  <c r="CI15" i="9"/>
  <c r="CF77" i="8"/>
  <c r="CH13" i="9"/>
  <c r="M138" i="9"/>
  <c r="CW16" i="9"/>
  <c r="CT78" i="8"/>
  <c r="CT76" i="8"/>
  <c r="BS73" i="8"/>
  <c r="DK133" i="9"/>
  <c r="DL132" i="9"/>
  <c r="O9" i="9"/>
  <c r="O12" i="9" s="1"/>
  <c r="D79" i="9"/>
  <c r="G79" i="9" s="1"/>
  <c r="B102" i="8"/>
  <c r="D77" i="9"/>
  <c r="G77" i="9" s="1"/>
  <c r="G60" i="7" s="1"/>
  <c r="B100" i="8"/>
  <c r="D82" i="9"/>
  <c r="B105" i="8"/>
  <c r="D81" i="9"/>
  <c r="B104" i="8"/>
  <c r="D80" i="9"/>
  <c r="G80" i="9" s="1"/>
  <c r="B103" i="8"/>
  <c r="D78" i="9"/>
  <c r="G78" i="9" s="1"/>
  <c r="H60" i="7" s="1"/>
  <c r="B101" i="8"/>
  <c r="CE178" i="8" l="1"/>
  <c r="CE177" i="8" s="1"/>
  <c r="CE176" i="8" s="1"/>
  <c r="CF75" i="8"/>
  <c r="CG77" i="8"/>
  <c r="CJ15" i="9"/>
  <c r="CI13" i="9"/>
  <c r="B126" i="8"/>
  <c r="B127" i="8"/>
  <c r="G81" i="9"/>
  <c r="B125" i="8"/>
  <c r="B124" i="8"/>
  <c r="B128" i="8"/>
  <c r="G82" i="9"/>
  <c r="B123" i="8"/>
  <c r="N138" i="9"/>
  <c r="CU76" i="8"/>
  <c r="CX16" i="9"/>
  <c r="CU78" i="8"/>
  <c r="BT73" i="8"/>
  <c r="DL133" i="9"/>
  <c r="DM132" i="9"/>
  <c r="P9" i="9"/>
  <c r="P12" i="9" s="1"/>
  <c r="D100" i="9"/>
  <c r="B152" i="8" s="1"/>
  <c r="D96" i="9"/>
  <c r="B148" i="8" s="1"/>
  <c r="D95" i="9"/>
  <c r="B147" i="8" s="1"/>
  <c r="D97" i="9"/>
  <c r="B149" i="8" s="1"/>
  <c r="D98" i="9"/>
  <c r="B150" i="8" s="1"/>
  <c r="D99" i="9"/>
  <c r="B151" i="8" s="1"/>
  <c r="CF178" i="8" l="1"/>
  <c r="CF177" i="8" s="1"/>
  <c r="CF176" i="8" s="1"/>
  <c r="CG75" i="8"/>
  <c r="CH77" i="8"/>
  <c r="CJ13" i="9"/>
  <c r="CK15" i="9"/>
  <c r="E127" i="8"/>
  <c r="E126" i="8"/>
  <c r="O138" i="9"/>
  <c r="CV76" i="8"/>
  <c r="CY16" i="9"/>
  <c r="CV78" i="8"/>
  <c r="BU73" i="8"/>
  <c r="DM133" i="9"/>
  <c r="DN132" i="9"/>
  <c r="Q9" i="9"/>
  <c r="Q12" i="9" s="1"/>
  <c r="E128" i="8"/>
  <c r="CG178" i="8" l="1"/>
  <c r="CG177" i="8" s="1"/>
  <c r="CG176" i="8" s="1"/>
  <c r="CH75" i="8"/>
  <c r="CI77" i="8"/>
  <c r="CK13" i="9"/>
  <c r="CL15" i="9"/>
  <c r="P138" i="9"/>
  <c r="BV73" i="8"/>
  <c r="CW76" i="8"/>
  <c r="CZ16" i="9"/>
  <c r="CW78" i="8"/>
  <c r="DO132" i="9"/>
  <c r="DN133" i="9"/>
  <c r="R9" i="9"/>
  <c r="R12" i="9" s="1"/>
  <c r="CH178" i="8" l="1"/>
  <c r="CH177" i="8" s="1"/>
  <c r="CH176" i="8" s="1"/>
  <c r="CI75" i="8"/>
  <c r="CM15" i="9"/>
  <c r="CL13" i="9"/>
  <c r="CJ77" i="8"/>
  <c r="Q138" i="9"/>
  <c r="CX76" i="8"/>
  <c r="DA16" i="9"/>
  <c r="CX78" i="8"/>
  <c r="BW73" i="8"/>
  <c r="DO133" i="9"/>
  <c r="DP132" i="9"/>
  <c r="S9" i="9"/>
  <c r="S12" i="9" s="1"/>
  <c r="CI178" i="8" l="1"/>
  <c r="CI177" i="8" s="1"/>
  <c r="CI176" i="8" s="1"/>
  <c r="CJ75" i="8"/>
  <c r="CN15" i="9"/>
  <c r="CM13" i="9"/>
  <c r="CK77" i="8"/>
  <c r="H3" i="47"/>
  <c r="R138" i="9"/>
  <c r="CY76" i="8"/>
  <c r="DB16" i="9"/>
  <c r="CY78" i="8"/>
  <c r="BX73" i="8"/>
  <c r="DQ132" i="9"/>
  <c r="DP133" i="9"/>
  <c r="T9" i="9"/>
  <c r="T12" i="9" s="1"/>
  <c r="CJ178" i="8" l="1"/>
  <c r="CJ177" i="8" s="1"/>
  <c r="CJ176" i="8" s="1"/>
  <c r="CK75" i="8"/>
  <c r="CO15" i="9"/>
  <c r="CL77" i="8"/>
  <c r="CN13" i="9"/>
  <c r="S138" i="9"/>
  <c r="BY73" i="8"/>
  <c r="CZ76" i="8"/>
  <c r="DC16" i="9"/>
  <c r="CZ78" i="8"/>
  <c r="DR132" i="9"/>
  <c r="DQ133" i="9"/>
  <c r="U9" i="9"/>
  <c r="U12" i="9" s="1"/>
  <c r="CK178" i="8" l="1"/>
  <c r="CK177" i="8" s="1"/>
  <c r="CK176" i="8" s="1"/>
  <c r="CL75" i="8"/>
  <c r="CM77" i="8"/>
  <c r="CP15" i="9"/>
  <c r="CO13" i="9"/>
  <c r="T138" i="9"/>
  <c r="BZ73" i="8"/>
  <c r="DD16" i="9"/>
  <c r="DA78" i="8"/>
  <c r="DA76" i="8"/>
  <c r="DS132" i="9"/>
  <c r="DR133" i="9"/>
  <c r="V9" i="9"/>
  <c r="V12" i="9" s="1"/>
  <c r="CL178" i="8" l="1"/>
  <c r="CL177" i="8" s="1"/>
  <c r="CL176" i="8" s="1"/>
  <c r="CM75" i="8"/>
  <c r="CQ15" i="9"/>
  <c r="CP13" i="9"/>
  <c r="CN77" i="8"/>
  <c r="U138" i="9"/>
  <c r="DB76" i="8"/>
  <c r="CA73" i="8"/>
  <c r="DE16" i="9"/>
  <c r="DB78" i="8"/>
  <c r="DT132" i="9"/>
  <c r="DS133" i="9"/>
  <c r="W9" i="9"/>
  <c r="W12" i="9" s="1"/>
  <c r="CM178" i="8" l="1"/>
  <c r="CM177" i="8" s="1"/>
  <c r="CM176" i="8" s="1"/>
  <c r="CN75" i="8"/>
  <c r="CR15" i="9"/>
  <c r="CQ13" i="9"/>
  <c r="CO77" i="8"/>
  <c r="V138" i="9"/>
  <c r="DF16" i="9"/>
  <c r="DC78" i="8"/>
  <c r="CB73" i="8"/>
  <c r="DC76" i="8"/>
  <c r="DT133" i="9"/>
  <c r="DU132" i="9"/>
  <c r="X9" i="9"/>
  <c r="X12" i="9" s="1"/>
  <c r="CN178" i="8" l="1"/>
  <c r="CN177" i="8" s="1"/>
  <c r="CN176" i="8" s="1"/>
  <c r="CO75" i="8"/>
  <c r="CR13" i="9"/>
  <c r="CP77" i="8"/>
  <c r="CS15" i="9"/>
  <c r="W138" i="9"/>
  <c r="CC73" i="8"/>
  <c r="DD76" i="8"/>
  <c r="DG16" i="9"/>
  <c r="DD78" i="8"/>
  <c r="DU133" i="9"/>
  <c r="DV132" i="9"/>
  <c r="Y9" i="9"/>
  <c r="Y12" i="9" s="1"/>
  <c r="CO178" i="8" l="1"/>
  <c r="CO177" i="8" s="1"/>
  <c r="CO176" i="8" s="1"/>
  <c r="CP75" i="8"/>
  <c r="CQ77" i="8"/>
  <c r="CS13" i="9"/>
  <c r="CT15" i="9"/>
  <c r="X138" i="9"/>
  <c r="CD73" i="8"/>
  <c r="DH16" i="9"/>
  <c r="DE78" i="8"/>
  <c r="DE76" i="8"/>
  <c r="DW132" i="9"/>
  <c r="DV133" i="9"/>
  <c r="Z9" i="9"/>
  <c r="Z12" i="9" s="1"/>
  <c r="CP178" i="8" l="1"/>
  <c r="CP177" i="8" s="1"/>
  <c r="CP176" i="8" s="1"/>
  <c r="CQ75" i="8"/>
  <c r="CT13" i="9"/>
  <c r="CU15" i="9"/>
  <c r="CR77" i="8"/>
  <c r="Y138" i="9"/>
  <c r="CE73" i="8"/>
  <c r="DF76" i="8"/>
  <c r="DI16" i="9"/>
  <c r="DF78" i="8"/>
  <c r="DW133" i="9"/>
  <c r="AA9" i="9"/>
  <c r="AA12" i="9" s="1"/>
  <c r="CQ178" i="8" l="1"/>
  <c r="CQ177" i="8" s="1"/>
  <c r="CQ176" i="8" s="1"/>
  <c r="CR75" i="8"/>
  <c r="CS77" i="8"/>
  <c r="CU13" i="9"/>
  <c r="CV15" i="9"/>
  <c r="Z138" i="9"/>
  <c r="DJ16" i="9"/>
  <c r="DG78" i="8"/>
  <c r="CF73" i="8"/>
  <c r="DG76" i="8"/>
  <c r="AB9" i="9"/>
  <c r="AB12" i="9" s="1"/>
  <c r="CR178" i="8" l="1"/>
  <c r="CR177" i="8" s="1"/>
  <c r="CR176" i="8" s="1"/>
  <c r="CS75" i="8"/>
  <c r="CT77" i="8"/>
  <c r="CW15" i="9"/>
  <c r="CV13" i="9"/>
  <c r="AA138" i="9"/>
  <c r="CG73" i="8"/>
  <c r="DK16" i="9"/>
  <c r="DH78" i="8"/>
  <c r="DH76" i="8"/>
  <c r="AC9" i="9"/>
  <c r="AC12" i="9" s="1"/>
  <c r="CS178" i="8" l="1"/>
  <c r="CS177" i="8" s="1"/>
  <c r="CS176" i="8" s="1"/>
  <c r="CT75" i="8"/>
  <c r="CX15" i="9"/>
  <c r="CW13" i="9"/>
  <c r="CU77" i="8"/>
  <c r="AB138" i="9"/>
  <c r="CH73" i="8"/>
  <c r="DI76" i="8"/>
  <c r="DL16" i="9"/>
  <c r="DI78" i="8"/>
  <c r="AD9" i="9"/>
  <c r="AD12" i="9" s="1"/>
  <c r="CT178" i="8" l="1"/>
  <c r="CT177" i="8" s="1"/>
  <c r="CT176" i="8" s="1"/>
  <c r="CU75" i="8"/>
  <c r="CV77" i="8"/>
  <c r="CY15" i="9"/>
  <c r="CX13" i="9"/>
  <c r="AC138" i="9"/>
  <c r="DJ76" i="8"/>
  <c r="CI73" i="8"/>
  <c r="DM16" i="9"/>
  <c r="DJ78" i="8"/>
  <c r="AE9" i="9"/>
  <c r="AE12" i="9" s="1"/>
  <c r="CU178" i="8" l="1"/>
  <c r="CU177" i="8" s="1"/>
  <c r="CU176" i="8" s="1"/>
  <c r="CV75" i="8"/>
  <c r="CZ15" i="9"/>
  <c r="CY13" i="9"/>
  <c r="CW77" i="8"/>
  <c r="AD138" i="9"/>
  <c r="CJ73" i="8"/>
  <c r="DN16" i="9"/>
  <c r="DK78" i="8"/>
  <c r="DK76" i="8"/>
  <c r="AF9" i="9"/>
  <c r="AF12" i="9" s="1"/>
  <c r="CV178" i="8" l="1"/>
  <c r="CV177" i="8" s="1"/>
  <c r="CV176" i="8" s="1"/>
  <c r="CW75" i="8"/>
  <c r="CX77" i="8"/>
  <c r="DA15" i="9"/>
  <c r="CZ13" i="9"/>
  <c r="AE138" i="9"/>
  <c r="DO16" i="9"/>
  <c r="DL78" i="8"/>
  <c r="CK73" i="8"/>
  <c r="DL76" i="8"/>
  <c r="AG9" i="9"/>
  <c r="AG12" i="9" s="1"/>
  <c r="CW178" i="8" l="1"/>
  <c r="CW177" i="8" s="1"/>
  <c r="CW176" i="8" s="1"/>
  <c r="CX75" i="8"/>
  <c r="CY77" i="8"/>
  <c r="DA13" i="9"/>
  <c r="DB15" i="9"/>
  <c r="AF138" i="9"/>
  <c r="DM76" i="8"/>
  <c r="CL73" i="8"/>
  <c r="DP16" i="9"/>
  <c r="DM78" i="8"/>
  <c r="AH9" i="9"/>
  <c r="AH12" i="9" s="1"/>
  <c r="CX178" i="8" l="1"/>
  <c r="CX177" i="8" s="1"/>
  <c r="CX176" i="8" s="1"/>
  <c r="CY75" i="8"/>
  <c r="CZ77" i="8"/>
  <c r="DC15" i="9"/>
  <c r="DB13" i="9"/>
  <c r="AG138" i="9"/>
  <c r="DQ16" i="9"/>
  <c r="DN78" i="8"/>
  <c r="CM73" i="8"/>
  <c r="DN76" i="8"/>
  <c r="AI9" i="9"/>
  <c r="AI12" i="9" s="1"/>
  <c r="CY178" i="8" l="1"/>
  <c r="CY177" i="8" s="1"/>
  <c r="CY176" i="8" s="1"/>
  <c r="CZ75" i="8"/>
  <c r="DC13" i="9"/>
  <c r="DD15" i="9"/>
  <c r="DA77" i="8"/>
  <c r="AH138" i="9"/>
  <c r="DR16" i="9"/>
  <c r="DO78" i="8"/>
  <c r="DO76" i="8"/>
  <c r="CN73" i="8"/>
  <c r="AJ9" i="9"/>
  <c r="AJ12" i="9" s="1"/>
  <c r="CZ178" i="8" l="1"/>
  <c r="CZ177" i="8" s="1"/>
  <c r="CZ176" i="8" s="1"/>
  <c r="DA75" i="8"/>
  <c r="DD13" i="9"/>
  <c r="DE15" i="9"/>
  <c r="DB77" i="8"/>
  <c r="AI138" i="9"/>
  <c r="CO73" i="8"/>
  <c r="DS16" i="9"/>
  <c r="DP78" i="8"/>
  <c r="DP76" i="8"/>
  <c r="AK9" i="9"/>
  <c r="AK12" i="9" s="1"/>
  <c r="DA178" i="8" l="1"/>
  <c r="DA177" i="8" s="1"/>
  <c r="DA176" i="8" s="1"/>
  <c r="DB75" i="8"/>
  <c r="DE13" i="9"/>
  <c r="DC77" i="8"/>
  <c r="DF15" i="9"/>
  <c r="AJ138" i="9"/>
  <c r="DT16" i="9"/>
  <c r="DQ78" i="8"/>
  <c r="DQ76" i="8"/>
  <c r="CP73" i="8"/>
  <c r="AL9" i="9"/>
  <c r="AL12" i="9" s="1"/>
  <c r="DB178" i="8" l="1"/>
  <c r="DB177" i="8" s="1"/>
  <c r="DB176" i="8" s="1"/>
  <c r="DC75" i="8"/>
  <c r="DG15" i="9"/>
  <c r="DD77" i="8"/>
  <c r="DF13" i="9"/>
  <c r="AK138" i="9"/>
  <c r="CQ73" i="8"/>
  <c r="DR76" i="8"/>
  <c r="DU16" i="9"/>
  <c r="DR78" i="8"/>
  <c r="AM9" i="9"/>
  <c r="AM12" i="9" s="1"/>
  <c r="DC178" i="8" l="1"/>
  <c r="DC177" i="8" s="1"/>
  <c r="DC176" i="8" s="1"/>
  <c r="DD75" i="8"/>
  <c r="DG13" i="9"/>
  <c r="DH15" i="9"/>
  <c r="DE77" i="8"/>
  <c r="AL138" i="9"/>
  <c r="DV16" i="9"/>
  <c r="DS78" i="8"/>
  <c r="DS76" i="8"/>
  <c r="CR73" i="8"/>
  <c r="AN9" i="9"/>
  <c r="AN12" i="9" s="1"/>
  <c r="DD178" i="8" l="1"/>
  <c r="DD177" i="8" s="1"/>
  <c r="DD176" i="8" s="1"/>
  <c r="DE75" i="8"/>
  <c r="DF77" i="8"/>
  <c r="DH13" i="9"/>
  <c r="DI15" i="9"/>
  <c r="AM138" i="9"/>
  <c r="DT76" i="8"/>
  <c r="CS73" i="8"/>
  <c r="DW16" i="9"/>
  <c r="DT78" i="8"/>
  <c r="AO9" i="9"/>
  <c r="AO12" i="9" s="1"/>
  <c r="DU78" i="8" l="1"/>
  <c r="DX16" i="9"/>
  <c r="DY16" i="9" s="1"/>
  <c r="DZ16" i="9" s="1"/>
  <c r="EA16" i="9" s="1"/>
  <c r="EB16" i="9" s="1"/>
  <c r="DE178" i="8"/>
  <c r="DE177" i="8" s="1"/>
  <c r="DE176" i="8" s="1"/>
  <c r="DF75" i="8"/>
  <c r="DG77" i="8"/>
  <c r="DJ15" i="9"/>
  <c r="DI13" i="9"/>
  <c r="AN138" i="9"/>
  <c r="CT73" i="8"/>
  <c r="DU76" i="8"/>
  <c r="AP9" i="9"/>
  <c r="AP12" i="9" s="1"/>
  <c r="DF178" i="8" l="1"/>
  <c r="DF177" i="8" s="1"/>
  <c r="DF176" i="8" s="1"/>
  <c r="DG75" i="8"/>
  <c r="DJ13" i="9"/>
  <c r="DH77" i="8"/>
  <c r="DK15" i="9"/>
  <c r="AO138" i="9"/>
  <c r="CU73" i="8"/>
  <c r="AQ9" i="9"/>
  <c r="AQ12" i="9" s="1"/>
  <c r="DG178" i="8" l="1"/>
  <c r="DG177" i="8" s="1"/>
  <c r="DG176" i="8" s="1"/>
  <c r="DH75" i="8"/>
  <c r="DL15" i="9"/>
  <c r="DK13" i="9"/>
  <c r="DI77" i="8"/>
  <c r="AP138" i="9"/>
  <c r="CV73" i="8"/>
  <c r="AR9" i="9"/>
  <c r="AR12" i="9" s="1"/>
  <c r="DH178" i="8" l="1"/>
  <c r="DH177" i="8" s="1"/>
  <c r="DH176" i="8" s="1"/>
  <c r="DI75" i="8"/>
  <c r="DL13" i="9"/>
  <c r="DM15" i="9"/>
  <c r="DJ77" i="8"/>
  <c r="AQ138" i="9"/>
  <c r="CW73" i="8"/>
  <c r="AS9" i="9"/>
  <c r="AS12" i="9" s="1"/>
  <c r="DI178" i="8" l="1"/>
  <c r="DI177" i="8" s="1"/>
  <c r="DI176" i="8" s="1"/>
  <c r="DJ75" i="8"/>
  <c r="DM13" i="9"/>
  <c r="DK77" i="8"/>
  <c r="DN15" i="9"/>
  <c r="AR138" i="9"/>
  <c r="CX73" i="8"/>
  <c r="AT9" i="9"/>
  <c r="AT12" i="9" s="1"/>
  <c r="DJ178" i="8" l="1"/>
  <c r="DJ177" i="8" s="1"/>
  <c r="DJ176" i="8" s="1"/>
  <c r="DK75" i="8"/>
  <c r="DN13" i="9"/>
  <c r="DL77" i="8"/>
  <c r="DO15" i="9"/>
  <c r="AS138" i="9"/>
  <c r="CY73" i="8"/>
  <c r="AU9" i="9"/>
  <c r="AU12" i="9" s="1"/>
  <c r="DK178" i="8" l="1"/>
  <c r="DK177" i="8" s="1"/>
  <c r="DK176" i="8" s="1"/>
  <c r="DL75" i="8"/>
  <c r="DO13" i="9"/>
  <c r="DP15" i="9"/>
  <c r="DM77" i="8"/>
  <c r="AT138" i="9"/>
  <c r="CZ73" i="8"/>
  <c r="AV9" i="9"/>
  <c r="AV12" i="9" s="1"/>
  <c r="DL178" i="8" l="1"/>
  <c r="DL177" i="8" s="1"/>
  <c r="DL176" i="8" s="1"/>
  <c r="DM75" i="8"/>
  <c r="DP13" i="9"/>
  <c r="DQ15" i="9"/>
  <c r="DN77" i="8"/>
  <c r="AU138" i="9"/>
  <c r="DA73" i="8"/>
  <c r="AW9" i="9"/>
  <c r="AW12" i="9" s="1"/>
  <c r="DM178" i="8" l="1"/>
  <c r="DM177" i="8" s="1"/>
  <c r="DM176" i="8" s="1"/>
  <c r="DN75" i="8"/>
  <c r="DO77" i="8"/>
  <c r="DQ13" i="9"/>
  <c r="DR15" i="9"/>
  <c r="AV138" i="9"/>
  <c r="DB73" i="8"/>
  <c r="AX9" i="9"/>
  <c r="AX12" i="9" s="1"/>
  <c r="DN178" i="8" l="1"/>
  <c r="DN177" i="8" s="1"/>
  <c r="DN176" i="8" s="1"/>
  <c r="DO75" i="8"/>
  <c r="DR13" i="9"/>
  <c r="DS15" i="9"/>
  <c r="DP77" i="8"/>
  <c r="AW138" i="9"/>
  <c r="DC73" i="8"/>
  <c r="AY9" i="9"/>
  <c r="AY12" i="9" s="1"/>
  <c r="DO178" i="8" l="1"/>
  <c r="DO177" i="8" s="1"/>
  <c r="DO176" i="8" s="1"/>
  <c r="DP75" i="8"/>
  <c r="DT15" i="9"/>
  <c r="DQ77" i="8"/>
  <c r="DS13" i="9"/>
  <c r="AX138" i="9"/>
  <c r="DD73" i="8"/>
  <c r="AZ9" i="9"/>
  <c r="AZ12" i="9" s="1"/>
  <c r="DP178" i="8" l="1"/>
  <c r="DP177" i="8" s="1"/>
  <c r="DP176" i="8" s="1"/>
  <c r="DQ75" i="8"/>
  <c r="DU15" i="9"/>
  <c r="DT13" i="9"/>
  <c r="DR77" i="8"/>
  <c r="AY138" i="9"/>
  <c r="DE73" i="8"/>
  <c r="BA9" i="9"/>
  <c r="BA12" i="9" s="1"/>
  <c r="DQ178" i="8" l="1"/>
  <c r="DQ177" i="8" s="1"/>
  <c r="DQ176" i="8" s="1"/>
  <c r="DR75" i="8"/>
  <c r="DS77" i="8"/>
  <c r="DU13" i="9"/>
  <c r="DV15" i="9"/>
  <c r="AZ138" i="9"/>
  <c r="DF73" i="8"/>
  <c r="BB9" i="9"/>
  <c r="BB12" i="9" s="1"/>
  <c r="DR178" i="8" l="1"/>
  <c r="DR177" i="8" s="1"/>
  <c r="DR176" i="8" s="1"/>
  <c r="DS75" i="8"/>
  <c r="DT77" i="8"/>
  <c r="DV13" i="9"/>
  <c r="DW15" i="9"/>
  <c r="DX15" i="9" s="1"/>
  <c r="DY15" i="9" s="1"/>
  <c r="DZ15" i="9" s="1"/>
  <c r="EA15" i="9" s="1"/>
  <c r="EB15" i="9" s="1"/>
  <c r="BA138" i="9"/>
  <c r="DG73" i="8"/>
  <c r="BC9" i="9"/>
  <c r="BC12" i="9" s="1"/>
  <c r="DS178" i="8" l="1"/>
  <c r="DS177" i="8" s="1"/>
  <c r="DS176" i="8" s="1"/>
  <c r="DT75" i="8"/>
  <c r="DU77" i="8"/>
  <c r="DW13" i="9"/>
  <c r="DX13" i="9" s="1"/>
  <c r="DY13" i="9" s="1"/>
  <c r="DZ13" i="9" s="1"/>
  <c r="EA13" i="9" s="1"/>
  <c r="EB13" i="9" s="1"/>
  <c r="BB138" i="9"/>
  <c r="DH73" i="8"/>
  <c r="BD9" i="9"/>
  <c r="BD12" i="9" s="1"/>
  <c r="DT178" i="8" l="1"/>
  <c r="DT177" i="8" s="1"/>
  <c r="DT176" i="8" s="1"/>
  <c r="DU75" i="8"/>
  <c r="BC138" i="9"/>
  <c r="DI73" i="8"/>
  <c r="BE9" i="9"/>
  <c r="BE12" i="9" s="1"/>
  <c r="DU178" i="8" l="1"/>
  <c r="DU177" i="8" s="1"/>
  <c r="DU176" i="8" s="1"/>
  <c r="BD138" i="9"/>
  <c r="DJ73" i="8"/>
  <c r="BF9" i="9"/>
  <c r="BF12" i="9" s="1"/>
  <c r="BE138" i="9" l="1"/>
  <c r="DK73" i="8"/>
  <c r="BG9" i="9"/>
  <c r="BG12" i="9" s="1"/>
  <c r="BF138" i="9" l="1"/>
  <c r="DL73" i="8"/>
  <c r="BH9" i="9"/>
  <c r="BH12" i="9" s="1"/>
  <c r="BG138" i="9" l="1"/>
  <c r="DM73" i="8"/>
  <c r="BI9" i="9"/>
  <c r="BI12" i="9" s="1"/>
  <c r="BH138" i="9" l="1"/>
  <c r="DN73" i="8"/>
  <c r="BJ9" i="9"/>
  <c r="BJ12" i="9" s="1"/>
  <c r="BI138" i="9" l="1"/>
  <c r="DO73" i="8"/>
  <c r="BK9" i="9"/>
  <c r="BK12" i="9" s="1"/>
  <c r="BJ138" i="9" l="1"/>
  <c r="DP73" i="8"/>
  <c r="BL9" i="9"/>
  <c r="BL12" i="9" s="1"/>
  <c r="BK138" i="9" l="1"/>
  <c r="DQ73" i="8"/>
  <c r="BM9" i="9"/>
  <c r="BM12" i="9" s="1"/>
  <c r="BL138" i="9" l="1"/>
  <c r="DR73" i="8"/>
  <c r="BN9" i="9"/>
  <c r="BN12" i="9" s="1"/>
  <c r="BM138" i="9" l="1"/>
  <c r="BO9" i="9"/>
  <c r="BO12" i="9" s="1"/>
  <c r="DS73" i="8"/>
  <c r="BN138" i="9" l="1"/>
  <c r="BP9" i="9"/>
  <c r="BP12" i="9" s="1"/>
  <c r="BN72" i="8"/>
  <c r="DU73" i="8"/>
  <c r="DT73" i="8"/>
  <c r="BO138" i="9" l="1"/>
  <c r="BN71" i="8"/>
  <c r="BO72" i="8"/>
  <c r="BQ9" i="9"/>
  <c r="BQ12" i="9" s="1"/>
  <c r="BP138" i="9" l="1"/>
  <c r="BO71" i="8"/>
  <c r="BR9" i="9"/>
  <c r="BR12" i="9" s="1"/>
  <c r="BP72" i="8"/>
  <c r="BQ138" i="9" l="1"/>
  <c r="BP71" i="8"/>
  <c r="BQ72" i="8"/>
  <c r="BS9" i="9"/>
  <c r="BS12" i="9" s="1"/>
  <c r="BR138" i="9" l="1"/>
  <c r="BQ71" i="8"/>
  <c r="BT9" i="9"/>
  <c r="BT12" i="9" s="1"/>
  <c r="BR72" i="8"/>
  <c r="BS138" i="9" l="1"/>
  <c r="BR71" i="8"/>
  <c r="BS72" i="8"/>
  <c r="BU9" i="9"/>
  <c r="BU12" i="9" s="1"/>
  <c r="BT138" i="9" l="1"/>
  <c r="BS71" i="8"/>
  <c r="BT72" i="8"/>
  <c r="BV9" i="9"/>
  <c r="BV12" i="9" s="1"/>
  <c r="BU138" i="9" l="1"/>
  <c r="BT71" i="8"/>
  <c r="BW9" i="9"/>
  <c r="BW12" i="9" s="1"/>
  <c r="BU72" i="8"/>
  <c r="BV138" i="9" l="1"/>
  <c r="BU71" i="8"/>
  <c r="BX9" i="9"/>
  <c r="BX12" i="9" s="1"/>
  <c r="BV72" i="8"/>
  <c r="BW138" i="9" l="1"/>
  <c r="BV71" i="8"/>
  <c r="BY9" i="9"/>
  <c r="BY12" i="9" s="1"/>
  <c r="BW72" i="8"/>
  <c r="BX138" i="9" l="1"/>
  <c r="BW71" i="8"/>
  <c r="BZ9" i="9"/>
  <c r="BZ12" i="9" s="1"/>
  <c r="BX72" i="8"/>
  <c r="BY138" i="9" l="1"/>
  <c r="BX71" i="8"/>
  <c r="CA9" i="9"/>
  <c r="CA12" i="9" s="1"/>
  <c r="BY72" i="8"/>
  <c r="BZ138" i="9" l="1"/>
  <c r="BY71" i="8"/>
  <c r="CB9" i="9"/>
  <c r="CB12" i="9" s="1"/>
  <c r="BZ72" i="8"/>
  <c r="CA138" i="9" l="1"/>
  <c r="BZ71" i="8"/>
  <c r="CC9" i="9"/>
  <c r="CC12" i="9" s="1"/>
  <c r="CA72" i="8"/>
  <c r="CB138" i="9" l="1"/>
  <c r="CA71" i="8"/>
  <c r="CD9" i="9"/>
  <c r="CD12" i="9" s="1"/>
  <c r="CB72" i="8"/>
  <c r="CC138" i="9" l="1"/>
  <c r="CB71" i="8"/>
  <c r="CC72" i="8"/>
  <c r="CE9" i="9"/>
  <c r="CE12" i="9" s="1"/>
  <c r="CD138" i="9" l="1"/>
  <c r="CC71" i="8"/>
  <c r="CD72" i="8"/>
  <c r="CF9" i="9"/>
  <c r="CF12" i="9" s="1"/>
  <c r="CE138" i="9" l="1"/>
  <c r="CD71" i="8"/>
  <c r="CG9" i="9"/>
  <c r="CG12" i="9" s="1"/>
  <c r="CE72" i="8"/>
  <c r="B73" i="8"/>
  <c r="B72" i="8"/>
  <c r="CF138" i="9" l="1"/>
  <c r="CE71" i="8"/>
  <c r="CF72" i="8"/>
  <c r="CH9" i="9"/>
  <c r="CH12" i="9" s="1"/>
  <c r="CG138" i="9" l="1"/>
  <c r="CF71" i="8"/>
  <c r="CI9" i="9"/>
  <c r="CI12" i="9" s="1"/>
  <c r="CG72" i="8"/>
  <c r="H5" i="9"/>
  <c r="CH138" i="9" l="1"/>
  <c r="CG71" i="8"/>
  <c r="CJ9" i="9"/>
  <c r="CJ12" i="9" s="1"/>
  <c r="CH72" i="8"/>
  <c r="AD72" i="8"/>
  <c r="BB72" i="8"/>
  <c r="R72" i="8"/>
  <c r="CI138" i="9" l="1"/>
  <c r="CH71" i="8"/>
  <c r="CK9" i="9"/>
  <c r="CK12" i="9" s="1"/>
  <c r="CI72" i="8"/>
  <c r="S72" i="8"/>
  <c r="AP72" i="8"/>
  <c r="BC72" i="8"/>
  <c r="AE72" i="8"/>
  <c r="CJ138" i="9" l="1"/>
  <c r="CI71" i="8"/>
  <c r="CL9" i="9"/>
  <c r="CL12" i="9" s="1"/>
  <c r="CJ72" i="8"/>
  <c r="E158" i="8"/>
  <c r="BD72" i="8"/>
  <c r="AQ72" i="8"/>
  <c r="T72" i="8"/>
  <c r="AF72" i="8"/>
  <c r="H66" i="7" l="1"/>
  <c r="CK138" i="9"/>
  <c r="CJ71" i="8"/>
  <c r="CM9" i="9"/>
  <c r="CM12" i="9" s="1"/>
  <c r="CK72" i="8"/>
  <c r="E161" i="8"/>
  <c r="U72" i="8"/>
  <c r="AR72" i="8"/>
  <c r="AG72" i="8"/>
  <c r="BE72" i="8"/>
  <c r="C66" i="7" l="1"/>
  <c r="F66" i="7"/>
  <c r="D66" i="7"/>
  <c r="E66" i="7"/>
  <c r="E164" i="8"/>
  <c r="G66" i="7"/>
  <c r="CL138" i="9"/>
  <c r="CK71" i="8"/>
  <c r="CL72" i="8"/>
  <c r="CN9" i="9"/>
  <c r="CN12" i="9" s="1"/>
  <c r="E160" i="8"/>
  <c r="G110" i="9"/>
  <c r="I64" i="7" s="1"/>
  <c r="AS72" i="8"/>
  <c r="AH72" i="8"/>
  <c r="V72" i="8"/>
  <c r="BF72" i="8"/>
  <c r="A17" i="7"/>
  <c r="H64" i="7" l="1"/>
  <c r="G64" i="7"/>
  <c r="E64" i="7"/>
  <c r="D64" i="7"/>
  <c r="F64" i="7"/>
  <c r="C64" i="7"/>
  <c r="CM138" i="9"/>
  <c r="CL71" i="8"/>
  <c r="CO9" i="9"/>
  <c r="CO12" i="9" s="1"/>
  <c r="CM72" i="8"/>
  <c r="A22" i="7"/>
  <c r="E162" i="8"/>
  <c r="AT72" i="8"/>
  <c r="W72" i="8"/>
  <c r="AI72" i="8"/>
  <c r="BG72" i="8"/>
  <c r="CN138" i="9" l="1"/>
  <c r="CM71" i="8"/>
  <c r="CP9" i="9"/>
  <c r="CP12" i="9" s="1"/>
  <c r="CN72" i="8"/>
  <c r="AU72" i="8"/>
  <c r="BH72" i="8"/>
  <c r="AJ72" i="8"/>
  <c r="X72" i="8"/>
  <c r="CO138" i="9" l="1"/>
  <c r="CN71" i="8"/>
  <c r="CQ9" i="9"/>
  <c r="CQ12" i="9" s="1"/>
  <c r="CO72" i="8"/>
  <c r="AK72" i="8"/>
  <c r="Y72" i="8"/>
  <c r="BI72" i="8"/>
  <c r="AV72" i="8"/>
  <c r="CP138" i="9" l="1"/>
  <c r="CO71" i="8"/>
  <c r="CP72" i="8"/>
  <c r="CR9" i="9"/>
  <c r="CR12" i="9" s="1"/>
  <c r="T7" i="9"/>
  <c r="Z72" i="8"/>
  <c r="BJ72" i="8"/>
  <c r="AW72" i="8"/>
  <c r="AL72" i="8"/>
  <c r="CQ138" i="9" l="1"/>
  <c r="CP71" i="8"/>
  <c r="CS9" i="9"/>
  <c r="CS12" i="9" s="1"/>
  <c r="CQ72" i="8"/>
  <c r="U7" i="9"/>
  <c r="E73" i="8"/>
  <c r="AM72" i="8"/>
  <c r="E72" i="8"/>
  <c r="AA72" i="8"/>
  <c r="AX72" i="8"/>
  <c r="BK72" i="8"/>
  <c r="CR138" i="9" l="1"/>
  <c r="CQ71" i="8"/>
  <c r="CR72" i="8"/>
  <c r="CT9" i="9"/>
  <c r="CT12" i="9" s="1"/>
  <c r="A10" i="7"/>
  <c r="V7" i="9"/>
  <c r="F73" i="8"/>
  <c r="BM72" i="8"/>
  <c r="BL72" i="8"/>
  <c r="AO72" i="8"/>
  <c r="AN72" i="8"/>
  <c r="AY72" i="8"/>
  <c r="F72" i="8"/>
  <c r="AC72" i="8"/>
  <c r="AB72" i="8"/>
  <c r="CS138" i="9" l="1"/>
  <c r="CR71" i="8"/>
  <c r="CU9" i="9"/>
  <c r="CU12" i="9" s="1"/>
  <c r="CS72" i="8"/>
  <c r="F11" i="7"/>
  <c r="W7" i="9"/>
  <c r="G73" i="8"/>
  <c r="BB73" i="8"/>
  <c r="R73" i="8"/>
  <c r="AD73" i="8"/>
  <c r="AP73" i="8"/>
  <c r="G72" i="8"/>
  <c r="BA72" i="8"/>
  <c r="AZ72" i="8"/>
  <c r="CT138" i="9" l="1"/>
  <c r="CS71" i="8"/>
  <c r="CV9" i="9"/>
  <c r="CV12" i="9" s="1"/>
  <c r="CT72" i="8"/>
  <c r="X7" i="9"/>
  <c r="H73" i="8"/>
  <c r="AE73" i="8"/>
  <c r="S73" i="8"/>
  <c r="BC73" i="8"/>
  <c r="AQ73" i="8"/>
  <c r="H72" i="8"/>
  <c r="CU138" i="9" l="1"/>
  <c r="CT71" i="8"/>
  <c r="CU72" i="8"/>
  <c r="CW9" i="9"/>
  <c r="CW12" i="9" s="1"/>
  <c r="Y7" i="9"/>
  <c r="AF73" i="8"/>
  <c r="BD73" i="8"/>
  <c r="AR73" i="8"/>
  <c r="T73" i="8"/>
  <c r="I72" i="8"/>
  <c r="CV138" i="9" l="1"/>
  <c r="CU71" i="8"/>
  <c r="CV72" i="8"/>
  <c r="CX9" i="9"/>
  <c r="CX12" i="9" s="1"/>
  <c r="Z7" i="9"/>
  <c r="I73" i="8"/>
  <c r="U73" i="8"/>
  <c r="BE73" i="8"/>
  <c r="AG73" i="8"/>
  <c r="AS73" i="8"/>
  <c r="J73" i="8"/>
  <c r="J72" i="8"/>
  <c r="CW138" i="9" l="1"/>
  <c r="CV71" i="8"/>
  <c r="CW72" i="8"/>
  <c r="CY9" i="9"/>
  <c r="CY12" i="9" s="1"/>
  <c r="AA7" i="9"/>
  <c r="BF73" i="8"/>
  <c r="AH73" i="8"/>
  <c r="AT73" i="8"/>
  <c r="V73" i="8"/>
  <c r="K73" i="8"/>
  <c r="K72" i="8"/>
  <c r="CX138" i="9" l="1"/>
  <c r="CW71" i="8"/>
  <c r="CZ9" i="9"/>
  <c r="CZ12" i="9" s="1"/>
  <c r="CX72" i="8"/>
  <c r="AB7" i="9"/>
  <c r="W73" i="8"/>
  <c r="AI73" i="8"/>
  <c r="AU73" i="8"/>
  <c r="BG73" i="8"/>
  <c r="L73" i="8"/>
  <c r="L72" i="8"/>
  <c r="CY138" i="9" l="1"/>
  <c r="CX71" i="8"/>
  <c r="CY72" i="8"/>
  <c r="DA9" i="9"/>
  <c r="DA12" i="9" s="1"/>
  <c r="AC7" i="9"/>
  <c r="BH73" i="8"/>
  <c r="AV73" i="8"/>
  <c r="X73" i="8"/>
  <c r="AJ73" i="8"/>
  <c r="M72" i="8"/>
  <c r="M73" i="8"/>
  <c r="CZ138" i="9" l="1"/>
  <c r="CY71" i="8"/>
  <c r="CZ72" i="8"/>
  <c r="DB9" i="9"/>
  <c r="DB12" i="9" s="1"/>
  <c r="AD7" i="9"/>
  <c r="BI73" i="8"/>
  <c r="Y73" i="8"/>
  <c r="AW73" i="8"/>
  <c r="AK73" i="8"/>
  <c r="N72" i="8"/>
  <c r="N73" i="8"/>
  <c r="DA138" i="9" l="1"/>
  <c r="CZ71" i="8"/>
  <c r="DC9" i="9"/>
  <c r="DC12" i="9" s="1"/>
  <c r="DA72" i="8"/>
  <c r="AE7" i="9"/>
  <c r="AL73" i="8"/>
  <c r="AX73" i="8"/>
  <c r="Z73" i="8"/>
  <c r="BJ73" i="8"/>
  <c r="O72" i="8"/>
  <c r="O73" i="8"/>
  <c r="DB138" i="9" l="1"/>
  <c r="DA71" i="8"/>
  <c r="DB72" i="8"/>
  <c r="DD9" i="9"/>
  <c r="DD12" i="9" s="1"/>
  <c r="AF7" i="9"/>
  <c r="AY73" i="8"/>
  <c r="BK73" i="8"/>
  <c r="AM73" i="8"/>
  <c r="AA73" i="8"/>
  <c r="Q73" i="8"/>
  <c r="P73" i="8"/>
  <c r="Q72" i="8"/>
  <c r="P72" i="8"/>
  <c r="DC138" i="9" l="1"/>
  <c r="DB71" i="8"/>
  <c r="DE9" i="9"/>
  <c r="DE12" i="9" s="1"/>
  <c r="DC72" i="8"/>
  <c r="AG7" i="9"/>
  <c r="AO73" i="8"/>
  <c r="AN73" i="8"/>
  <c r="BL73" i="8"/>
  <c r="BM73" i="8"/>
  <c r="BA73" i="8"/>
  <c r="AZ73" i="8"/>
  <c r="AC73" i="8"/>
  <c r="AB73" i="8"/>
  <c r="DD138" i="9" l="1"/>
  <c r="DC71" i="8"/>
  <c r="DF9" i="9"/>
  <c r="DF12" i="9" s="1"/>
  <c r="DD72" i="8"/>
  <c r="AH7" i="9"/>
  <c r="DE138" i="9" l="1"/>
  <c r="DD71" i="8"/>
  <c r="DE72" i="8"/>
  <c r="DG9" i="9"/>
  <c r="DG12" i="9" s="1"/>
  <c r="AI7" i="9"/>
  <c r="DF138" i="9" l="1"/>
  <c r="DE71" i="8"/>
  <c r="DH9" i="9"/>
  <c r="DH12" i="9" s="1"/>
  <c r="DF72" i="8"/>
  <c r="AJ7" i="9"/>
  <c r="DG138" i="9" l="1"/>
  <c r="DF71" i="8"/>
  <c r="DI9" i="9"/>
  <c r="DI12" i="9" s="1"/>
  <c r="DG72" i="8"/>
  <c r="AK7" i="9"/>
  <c r="DH138" i="9" l="1"/>
  <c r="DG71" i="8"/>
  <c r="DJ9" i="9"/>
  <c r="DJ12" i="9" s="1"/>
  <c r="DH72" i="8"/>
  <c r="AL7" i="9"/>
  <c r="DI138" i="9" l="1"/>
  <c r="DH71" i="8"/>
  <c r="DK9" i="9"/>
  <c r="DK12" i="9" s="1"/>
  <c r="DI72" i="8"/>
  <c r="AM7" i="9"/>
  <c r="DJ138" i="9" l="1"/>
  <c r="DI71" i="8"/>
  <c r="DL9" i="9"/>
  <c r="DL12" i="9" s="1"/>
  <c r="DJ72" i="8"/>
  <c r="AN7" i="9"/>
  <c r="DK138" i="9" l="1"/>
  <c r="DJ71" i="8"/>
  <c r="DM9" i="9"/>
  <c r="DM12" i="9" s="1"/>
  <c r="DK72" i="8"/>
  <c r="AO7" i="9"/>
  <c r="EH50" i="7"/>
  <c r="EG50" i="7"/>
  <c r="EH49" i="7"/>
  <c r="EG49" i="7"/>
  <c r="EH22" i="7"/>
  <c r="EG22" i="7"/>
  <c r="EH21" i="7"/>
  <c r="EG21" i="7"/>
  <c r="EH14" i="7"/>
  <c r="EG14" i="7"/>
  <c r="EH13" i="7"/>
  <c r="EG13" i="7"/>
  <c r="BN55" i="7"/>
  <c r="BM21" i="8" s="1"/>
  <c r="BM55" i="7"/>
  <c r="BL21" i="8" s="1"/>
  <c r="BL55" i="7"/>
  <c r="BK21" i="8" s="1"/>
  <c r="BK55" i="7"/>
  <c r="BJ21" i="8" s="1"/>
  <c r="BJ55" i="7"/>
  <c r="BI21" i="8" s="1"/>
  <c r="BI55" i="7"/>
  <c r="BH21" i="8" s="1"/>
  <c r="BH55" i="7"/>
  <c r="BG21" i="8" s="1"/>
  <c r="BG55" i="7"/>
  <c r="BF21" i="8" s="1"/>
  <c r="BF55" i="7"/>
  <c r="BE21" i="8" s="1"/>
  <c r="BE55" i="7"/>
  <c r="BD21" i="8" s="1"/>
  <c r="BD55" i="7"/>
  <c r="BC21" i="8" s="1"/>
  <c r="BC55" i="7"/>
  <c r="BB21" i="8" s="1"/>
  <c r="BB55" i="7"/>
  <c r="BA21" i="8" s="1"/>
  <c r="BA55" i="7"/>
  <c r="AZ21" i="8" s="1"/>
  <c r="AZ55" i="7"/>
  <c r="AY21" i="8" s="1"/>
  <c r="AY55" i="7"/>
  <c r="AX21" i="8" s="1"/>
  <c r="AX55" i="7"/>
  <c r="AW21" i="8" s="1"/>
  <c r="AW55" i="7"/>
  <c r="AV21" i="8" s="1"/>
  <c r="AV55" i="7"/>
  <c r="AU21" i="8" s="1"/>
  <c r="AU55" i="7"/>
  <c r="AT21" i="8" s="1"/>
  <c r="AT55" i="7"/>
  <c r="AS21" i="8" s="1"/>
  <c r="AS55" i="7"/>
  <c r="AR21" i="8" s="1"/>
  <c r="AR55" i="7"/>
  <c r="AQ21" i="8" s="1"/>
  <c r="AQ55" i="7"/>
  <c r="AP21" i="8" s="1"/>
  <c r="BN54" i="7"/>
  <c r="BM20" i="8" s="1"/>
  <c r="BM54" i="7"/>
  <c r="BL20" i="8" s="1"/>
  <c r="BL54" i="7"/>
  <c r="BK20" i="8" s="1"/>
  <c r="BK54" i="7"/>
  <c r="BJ20" i="8" s="1"/>
  <c r="BJ54" i="7"/>
  <c r="BI20" i="8" s="1"/>
  <c r="BI54" i="7"/>
  <c r="BH20" i="8" s="1"/>
  <c r="BH54" i="7"/>
  <c r="BG20" i="8" s="1"/>
  <c r="BG54" i="7"/>
  <c r="BF20" i="8" s="1"/>
  <c r="BF54" i="7"/>
  <c r="BE20" i="8" s="1"/>
  <c r="BE54" i="7"/>
  <c r="BD20" i="8" s="1"/>
  <c r="BD54" i="7"/>
  <c r="BC20" i="8" s="1"/>
  <c r="BC54" i="7"/>
  <c r="BB20" i="8" s="1"/>
  <c r="BB54" i="7"/>
  <c r="BA20" i="8" s="1"/>
  <c r="BA54" i="7"/>
  <c r="AZ20" i="8" s="1"/>
  <c r="AZ54" i="7"/>
  <c r="AY20" i="8" s="1"/>
  <c r="AY54" i="7"/>
  <c r="AX20" i="8" s="1"/>
  <c r="AX54" i="7"/>
  <c r="AW20" i="8" s="1"/>
  <c r="AW54" i="7"/>
  <c r="AV20" i="8" s="1"/>
  <c r="AV54" i="7"/>
  <c r="AU20" i="8" s="1"/>
  <c r="AU54" i="7"/>
  <c r="AT20" i="8" s="1"/>
  <c r="AT54" i="7"/>
  <c r="AS20" i="8" s="1"/>
  <c r="AS54" i="7"/>
  <c r="AR20" i="8" s="1"/>
  <c r="AR54" i="7"/>
  <c r="AQ20" i="8" s="1"/>
  <c r="AQ54" i="7"/>
  <c r="AP20" i="8" s="1"/>
  <c r="AP55" i="7"/>
  <c r="AP54" i="7"/>
  <c r="DL138" i="9" l="1"/>
  <c r="DK71" i="8"/>
  <c r="DN9" i="9"/>
  <c r="DN12" i="9" s="1"/>
  <c r="DL72" i="8"/>
  <c r="AP7" i="9"/>
  <c r="EG20" i="8"/>
  <c r="EF20" i="8"/>
  <c r="EF21" i="8"/>
  <c r="EG21" i="8"/>
  <c r="N7" i="8"/>
  <c r="M7" i="8"/>
  <c r="L7" i="8"/>
  <c r="EH55" i="7"/>
  <c r="EG55" i="7"/>
  <c r="EH54" i="7"/>
  <c r="EG54" i="7"/>
  <c r="DM138" i="9" l="1"/>
  <c r="DL71" i="8"/>
  <c r="DO9" i="9"/>
  <c r="DO12" i="9" s="1"/>
  <c r="DM72" i="8"/>
  <c r="AQ7" i="9"/>
  <c r="DN138" i="9" l="1"/>
  <c r="DM71" i="8"/>
  <c r="DP9" i="9"/>
  <c r="DP12" i="9" s="1"/>
  <c r="DN72" i="8"/>
  <c r="AR7" i="9"/>
  <c r="B16" i="8"/>
  <c r="DO138" i="9" l="1"/>
  <c r="DN71" i="8"/>
  <c r="DO72" i="8"/>
  <c r="DQ9" i="9"/>
  <c r="DQ12" i="9" s="1"/>
  <c r="AS7" i="9"/>
  <c r="DP138" i="9" l="1"/>
  <c r="DO71" i="8"/>
  <c r="DR9" i="9"/>
  <c r="DR12" i="9" s="1"/>
  <c r="DP72" i="8"/>
  <c r="AT7" i="9"/>
  <c r="DQ138" i="9" l="1"/>
  <c r="DP71" i="8"/>
  <c r="DS9" i="9"/>
  <c r="DS12" i="9" s="1"/>
  <c r="DQ72" i="8"/>
  <c r="AU7" i="9"/>
  <c r="F7" i="8"/>
  <c r="E7" i="8"/>
  <c r="D7" i="8"/>
  <c r="DR138" i="9" l="1"/>
  <c r="DQ71" i="8"/>
  <c r="DT9" i="9"/>
  <c r="DT12" i="9" s="1"/>
  <c r="DR72" i="8"/>
  <c r="AV7" i="9"/>
  <c r="F17" i="8"/>
  <c r="G17" i="8" s="1"/>
  <c r="H17" i="8" s="1"/>
  <c r="I17" i="8" s="1"/>
  <c r="J17" i="8" s="1"/>
  <c r="K17" i="8" s="1"/>
  <c r="L17" i="8" s="1"/>
  <c r="M17" i="8" s="1"/>
  <c r="N17" i="8" s="1"/>
  <c r="O17" i="8" s="1"/>
  <c r="P17" i="8" s="1"/>
  <c r="Q17" i="8" s="1"/>
  <c r="R17" i="8" s="1"/>
  <c r="S17" i="8" s="1"/>
  <c r="T17" i="8" s="1"/>
  <c r="U17" i="8" s="1"/>
  <c r="V17" i="8" s="1"/>
  <c r="W17" i="8" s="1"/>
  <c r="X17" i="8" s="1"/>
  <c r="Y17" i="8" s="1"/>
  <c r="Z17" i="8" s="1"/>
  <c r="AA17" i="8" s="1"/>
  <c r="AB17" i="8" s="1"/>
  <c r="AC17" i="8" s="1"/>
  <c r="AD17" i="8" s="1"/>
  <c r="DS138" i="9" l="1"/>
  <c r="DR71" i="8"/>
  <c r="DU9" i="9"/>
  <c r="DU12" i="9" s="1"/>
  <c r="DS72" i="8"/>
  <c r="AW7" i="9"/>
  <c r="AE17" i="8"/>
  <c r="H6" i="9"/>
  <c r="DT138" i="9" l="1"/>
  <c r="DS71" i="8"/>
  <c r="DT72" i="8"/>
  <c r="DV9" i="9"/>
  <c r="DV12" i="9" s="1"/>
  <c r="AX7" i="9"/>
  <c r="AF17" i="8"/>
  <c r="G5" i="7"/>
  <c r="G54" i="7"/>
  <c r="F20" i="8" s="1"/>
  <c r="H54" i="7"/>
  <c r="G20" i="8" s="1"/>
  <c r="I54" i="7"/>
  <c r="H20" i="8" s="1"/>
  <c r="J54" i="7"/>
  <c r="I20" i="8" s="1"/>
  <c r="K54" i="7"/>
  <c r="J20" i="8" s="1"/>
  <c r="L54" i="7"/>
  <c r="K20" i="8" s="1"/>
  <c r="M54" i="7"/>
  <c r="L20" i="8" s="1"/>
  <c r="N54" i="7"/>
  <c r="M20" i="8" s="1"/>
  <c r="O54" i="7"/>
  <c r="N20" i="8" s="1"/>
  <c r="P54" i="7"/>
  <c r="O20" i="8" s="1"/>
  <c r="Q54" i="7"/>
  <c r="P20" i="8" s="1"/>
  <c r="R54" i="7"/>
  <c r="Q20" i="8" s="1"/>
  <c r="S54" i="7"/>
  <c r="R20" i="8" s="1"/>
  <c r="T54" i="7"/>
  <c r="S20" i="8" s="1"/>
  <c r="U54" i="7"/>
  <c r="T20" i="8" s="1"/>
  <c r="V54" i="7"/>
  <c r="U20" i="8" s="1"/>
  <c r="W54" i="7"/>
  <c r="V20" i="8" s="1"/>
  <c r="X54" i="7"/>
  <c r="W20" i="8" s="1"/>
  <c r="Y54" i="7"/>
  <c r="X20" i="8" s="1"/>
  <c r="Z54" i="7"/>
  <c r="Y20" i="8" s="1"/>
  <c r="AA54" i="7"/>
  <c r="Z20" i="8" s="1"/>
  <c r="AB54" i="7"/>
  <c r="AA20" i="8" s="1"/>
  <c r="AC54" i="7"/>
  <c r="AB20" i="8" s="1"/>
  <c r="AD54" i="7"/>
  <c r="AC20" i="8" s="1"/>
  <c r="AE54" i="7"/>
  <c r="AD20" i="8" s="1"/>
  <c r="AF54" i="7"/>
  <c r="AE20" i="8" s="1"/>
  <c r="AG54" i="7"/>
  <c r="AF20" i="8" s="1"/>
  <c r="AH54" i="7"/>
  <c r="AG20" i="8" s="1"/>
  <c r="AI54" i="7"/>
  <c r="AH20" i="8" s="1"/>
  <c r="AJ54" i="7"/>
  <c r="AI20" i="8" s="1"/>
  <c r="AK54" i="7"/>
  <c r="AJ20" i="8" s="1"/>
  <c r="AL54" i="7"/>
  <c r="AK20" i="8" s="1"/>
  <c r="AM54" i="7"/>
  <c r="AL20" i="8" s="1"/>
  <c r="AN54" i="7"/>
  <c r="AM20" i="8" s="1"/>
  <c r="AO54" i="7"/>
  <c r="AN20" i="8" s="1"/>
  <c r="G55" i="7"/>
  <c r="F21" i="8" s="1"/>
  <c r="H55" i="7"/>
  <c r="G21" i="8" s="1"/>
  <c r="I55" i="7"/>
  <c r="H21" i="8" s="1"/>
  <c r="J55" i="7"/>
  <c r="I21" i="8" s="1"/>
  <c r="K55" i="7"/>
  <c r="J21" i="8" s="1"/>
  <c r="L55" i="7"/>
  <c r="K21" i="8" s="1"/>
  <c r="M55" i="7"/>
  <c r="L21" i="8" s="1"/>
  <c r="N55" i="7"/>
  <c r="M21" i="8" s="1"/>
  <c r="O55" i="7"/>
  <c r="N21" i="8" s="1"/>
  <c r="P55" i="7"/>
  <c r="O21" i="8" s="1"/>
  <c r="Q55" i="7"/>
  <c r="P21" i="8" s="1"/>
  <c r="R55" i="7"/>
  <c r="Q21" i="8" s="1"/>
  <c r="S55" i="7"/>
  <c r="R21" i="8" s="1"/>
  <c r="T55" i="7"/>
  <c r="S21" i="8" s="1"/>
  <c r="U55" i="7"/>
  <c r="T21" i="8" s="1"/>
  <c r="V55" i="7"/>
  <c r="U21" i="8" s="1"/>
  <c r="W55" i="7"/>
  <c r="V21" i="8" s="1"/>
  <c r="X55" i="7"/>
  <c r="W21" i="8" s="1"/>
  <c r="Y55" i="7"/>
  <c r="X21" i="8" s="1"/>
  <c r="Z55" i="7"/>
  <c r="Y21" i="8" s="1"/>
  <c r="AA55" i="7"/>
  <c r="Z21" i="8" s="1"/>
  <c r="AB55" i="7"/>
  <c r="AA21" i="8" s="1"/>
  <c r="AC55" i="7"/>
  <c r="AB21" i="8" s="1"/>
  <c r="AD55" i="7"/>
  <c r="AC21" i="8" s="1"/>
  <c r="AE55" i="7"/>
  <c r="AD21" i="8" s="1"/>
  <c r="AF55" i="7"/>
  <c r="AE21" i="8" s="1"/>
  <c r="AG55" i="7"/>
  <c r="AF21" i="8" s="1"/>
  <c r="AH55" i="7"/>
  <c r="AG21" i="8" s="1"/>
  <c r="AI55" i="7"/>
  <c r="AH21" i="8" s="1"/>
  <c r="AJ55" i="7"/>
  <c r="AI21" i="8" s="1"/>
  <c r="AK55" i="7"/>
  <c r="AJ21" i="8" s="1"/>
  <c r="AL55" i="7"/>
  <c r="AK21" i="8" s="1"/>
  <c r="AM55" i="7"/>
  <c r="AL21" i="8" s="1"/>
  <c r="AN55" i="7"/>
  <c r="AM21" i="8" s="1"/>
  <c r="AO55" i="7"/>
  <c r="AN21" i="8" s="1"/>
  <c r="E3" i="8"/>
  <c r="G2" i="9" s="1"/>
  <c r="K7" i="8"/>
  <c r="Y2" i="47" s="1"/>
  <c r="J7" i="8"/>
  <c r="X2" i="47" s="1"/>
  <c r="I7" i="8"/>
  <c r="W2" i="47" s="1"/>
  <c r="H7" i="8"/>
  <c r="V2" i="47" s="1"/>
  <c r="G7" i="8"/>
  <c r="EE50" i="7"/>
  <c r="EE55" i="7" s="1"/>
  <c r="ED50" i="7"/>
  <c r="EC55" i="7"/>
  <c r="EE49" i="7"/>
  <c r="EE54" i="7" s="1"/>
  <c r="ED49" i="7"/>
  <c r="EE22" i="7"/>
  <c r="ED22" i="7"/>
  <c r="EE21" i="7"/>
  <c r="ED21" i="7"/>
  <c r="EE13" i="7"/>
  <c r="ED13" i="7"/>
  <c r="EB50" i="7"/>
  <c r="EB55" i="7" s="1"/>
  <c r="EA50" i="7"/>
  <c r="EA55" i="7" s="1"/>
  <c r="DZ50" i="7"/>
  <c r="DZ55" i="7" s="1"/>
  <c r="DY50" i="7"/>
  <c r="DY55" i="7" s="1"/>
  <c r="EB49" i="7"/>
  <c r="EB54" i="7" s="1"/>
  <c r="EA49" i="7"/>
  <c r="EA54" i="7" s="1"/>
  <c r="DZ49" i="7"/>
  <c r="DZ54" i="7" s="1"/>
  <c r="DY49" i="7"/>
  <c r="DY54" i="7" s="1"/>
  <c r="EB22" i="7"/>
  <c r="EA22" i="7"/>
  <c r="DZ22" i="7"/>
  <c r="DY22" i="7"/>
  <c r="EB21" i="7"/>
  <c r="EA21" i="7"/>
  <c r="DZ21" i="7"/>
  <c r="DY21" i="7"/>
  <c r="EB13" i="7"/>
  <c r="EC54" i="7"/>
  <c r="AO21" i="8"/>
  <c r="AO20" i="8"/>
  <c r="B109" i="8"/>
  <c r="B108" i="8"/>
  <c r="B107" i="8"/>
  <c r="B106" i="8"/>
  <c r="B90" i="8"/>
  <c r="B89" i="8"/>
  <c r="B133" i="8" s="1"/>
  <c r="B88" i="8"/>
  <c r="B132" i="8" s="1"/>
  <c r="B86" i="8"/>
  <c r="B83" i="8"/>
  <c r="B82" i="8"/>
  <c r="B81" i="8"/>
  <c r="B79" i="8"/>
  <c r="B75" i="8"/>
  <c r="B74" i="8"/>
  <c r="B71" i="8"/>
  <c r="B70" i="8"/>
  <c r="B69" i="8"/>
  <c r="G5" i="9"/>
  <c r="H18" i="9"/>
  <c r="DX18" i="7"/>
  <c r="DX23" i="7" s="1"/>
  <c r="DY18" i="7"/>
  <c r="DY23" i="7" s="1"/>
  <c r="DZ18" i="7"/>
  <c r="DZ23" i="7" s="1"/>
  <c r="EA18" i="7"/>
  <c r="EA23" i="7" s="1"/>
  <c r="F5" i="7"/>
  <c r="G16" i="8"/>
  <c r="E88" i="8"/>
  <c r="E86" i="8"/>
  <c r="G6" i="9"/>
  <c r="F6" i="7"/>
  <c r="N151" i="9" s="1"/>
  <c r="E68" i="8"/>
  <c r="F55" i="7"/>
  <c r="E21" i="8" s="1"/>
  <c r="F54" i="7"/>
  <c r="E20" i="8" s="1"/>
  <c r="C12" i="7"/>
  <c r="C18" i="7" s="1"/>
  <c r="B121" i="8"/>
  <c r="D76" i="9"/>
  <c r="G76" i="9" s="1"/>
  <c r="F60" i="7" s="1"/>
  <c r="I6" i="9"/>
  <c r="F68" i="8"/>
  <c r="DX55" i="7"/>
  <c r="DX54" i="7"/>
  <c r="E70" i="8"/>
  <c r="G7" i="9"/>
  <c r="DY13" i="7"/>
  <c r="ED14" i="7"/>
  <c r="DZ13" i="7"/>
  <c r="EA13" i="7"/>
  <c r="EE14" i="7"/>
  <c r="DY14" i="7"/>
  <c r="DZ14" i="7"/>
  <c r="EA14" i="7"/>
  <c r="EB14" i="7"/>
  <c r="B122" i="8" l="1"/>
  <c r="DU138" i="9"/>
  <c r="E156" i="8"/>
  <c r="DT71" i="8"/>
  <c r="EP22" i="7"/>
  <c r="EP21" i="7"/>
  <c r="EP49" i="7"/>
  <c r="G128" i="9"/>
  <c r="G129" i="9"/>
  <c r="G130" i="9"/>
  <c r="DW9" i="9"/>
  <c r="DW12" i="9" s="1"/>
  <c r="DU72" i="8"/>
  <c r="EP50" i="7"/>
  <c r="EP14" i="7"/>
  <c r="EF49" i="7"/>
  <c r="EI49" i="7" s="1"/>
  <c r="EF21" i="7"/>
  <c r="EI21" i="7" s="1"/>
  <c r="EJ21" i="7" s="1"/>
  <c r="EF50" i="7"/>
  <c r="EI50" i="7" s="1"/>
  <c r="EF13" i="7"/>
  <c r="DW21" i="8"/>
  <c r="EB21" i="8"/>
  <c r="DW20" i="8"/>
  <c r="EB20" i="8"/>
  <c r="I18" i="9"/>
  <c r="F80" i="8"/>
  <c r="EF22" i="7"/>
  <c r="EI22" i="7" s="1"/>
  <c r="EJ22" i="7" s="1"/>
  <c r="AY7" i="9"/>
  <c r="D94" i="9"/>
  <c r="B146" i="8" s="1"/>
  <c r="D93" i="9"/>
  <c r="B145" i="8" s="1"/>
  <c r="B96" i="8"/>
  <c r="D73" i="9"/>
  <c r="G73" i="9" s="1"/>
  <c r="B99" i="8"/>
  <c r="B98" i="8"/>
  <c r="B92" i="8"/>
  <c r="D69" i="9"/>
  <c r="G69" i="9" s="1"/>
  <c r="B94" i="8"/>
  <c r="D71" i="9"/>
  <c r="G71" i="9" s="1"/>
  <c r="B95" i="8"/>
  <c r="D72" i="9"/>
  <c r="G72" i="9" s="1"/>
  <c r="H5" i="7"/>
  <c r="I5" i="9"/>
  <c r="ED55" i="7"/>
  <c r="EP55" i="7" s="1"/>
  <c r="ED54" i="7"/>
  <c r="EP54" i="7" s="1"/>
  <c r="EF14" i="7"/>
  <c r="EI14" i="7" s="1"/>
  <c r="EJ14" i="7" s="1"/>
  <c r="C19" i="7"/>
  <c r="C24" i="7" s="1"/>
  <c r="AG17" i="8"/>
  <c r="AN71" i="8"/>
  <c r="H16" i="8"/>
  <c r="DY21" i="8"/>
  <c r="DY20" i="8"/>
  <c r="AL75" i="8"/>
  <c r="E79" i="8"/>
  <c r="E81" i="8"/>
  <c r="E82" i="8"/>
  <c r="E83" i="8"/>
  <c r="E69" i="8"/>
  <c r="F8" i="7" s="1"/>
  <c r="P75" i="8"/>
  <c r="AH75" i="8"/>
  <c r="F75" i="8"/>
  <c r="H75" i="8"/>
  <c r="Q75" i="8"/>
  <c r="AE75" i="8"/>
  <c r="AC75" i="8"/>
  <c r="Y75" i="8"/>
  <c r="V75" i="8"/>
  <c r="U75" i="8"/>
  <c r="M75" i="8"/>
  <c r="K75" i="8"/>
  <c r="J75" i="8"/>
  <c r="I75" i="8"/>
  <c r="AM75" i="8"/>
  <c r="AG75" i="8"/>
  <c r="AA75" i="8"/>
  <c r="O75" i="8"/>
  <c r="AI75" i="8"/>
  <c r="AF75" i="8"/>
  <c r="AD75" i="8"/>
  <c r="Z75" i="8"/>
  <c r="R75" i="8"/>
  <c r="N75" i="8"/>
  <c r="G75" i="8"/>
  <c r="AK75" i="8"/>
  <c r="AJ75" i="8"/>
  <c r="AB75" i="8"/>
  <c r="X75" i="8"/>
  <c r="W75" i="8"/>
  <c r="T75" i="8"/>
  <c r="S75" i="8"/>
  <c r="L75" i="8"/>
  <c r="E75" i="8"/>
  <c r="F1" i="7"/>
  <c r="G3" i="8"/>
  <c r="I2" i="9" s="1"/>
  <c r="J6" i="9"/>
  <c r="F3" i="8"/>
  <c r="H2" i="9" s="1"/>
  <c r="G6" i="7"/>
  <c r="EA21" i="8"/>
  <c r="DZ21" i="8"/>
  <c r="EA20" i="8"/>
  <c r="DZ20" i="8"/>
  <c r="ED21" i="8"/>
  <c r="EC21" i="8"/>
  <c r="DX21" i="8"/>
  <c r="ED20" i="8"/>
  <c r="EC20" i="8"/>
  <c r="DX20" i="8"/>
  <c r="H7" i="9"/>
  <c r="F69" i="8" s="1"/>
  <c r="G8" i="7" s="1"/>
  <c r="F70" i="8"/>
  <c r="I6" i="7"/>
  <c r="G68" i="8"/>
  <c r="H6" i="7"/>
  <c r="H68" i="8"/>
  <c r="H3" i="8"/>
  <c r="J2" i="9" s="1"/>
  <c r="G178" i="8" l="1"/>
  <c r="G177" i="8" s="1"/>
  <c r="G176" i="8" s="1"/>
  <c r="N178" i="8"/>
  <c r="N177" i="8" s="1"/>
  <c r="N176" i="8" s="1"/>
  <c r="R178" i="8"/>
  <c r="R177" i="8" s="1"/>
  <c r="R176" i="8" s="1"/>
  <c r="M178" i="8"/>
  <c r="M177" i="8" s="1"/>
  <c r="M176" i="8" s="1"/>
  <c r="E178" i="8"/>
  <c r="E177" i="8" s="1"/>
  <c r="E176" i="8" s="1"/>
  <c r="Z178" i="8"/>
  <c r="Z177" i="8" s="1"/>
  <c r="Z176" i="8" s="1"/>
  <c r="U178" i="8"/>
  <c r="U177" i="8" s="1"/>
  <c r="U176" i="8" s="1"/>
  <c r="P178" i="8"/>
  <c r="P177" i="8" s="1"/>
  <c r="P176" i="8" s="1"/>
  <c r="L178" i="8"/>
  <c r="L177" i="8" s="1"/>
  <c r="L176" i="8" s="1"/>
  <c r="S178" i="8"/>
  <c r="S177" i="8" s="1"/>
  <c r="S176" i="8" s="1"/>
  <c r="AF178" i="8"/>
  <c r="AF177" i="8" s="1"/>
  <c r="AF176" i="8" s="1"/>
  <c r="T178" i="8"/>
  <c r="T177" i="8" s="1"/>
  <c r="T176" i="8" s="1"/>
  <c r="AI178" i="8"/>
  <c r="AI177" i="8" s="1"/>
  <c r="AI176" i="8" s="1"/>
  <c r="AC178" i="8"/>
  <c r="AC177" i="8" s="1"/>
  <c r="AC176" i="8" s="1"/>
  <c r="AL178" i="8"/>
  <c r="AL177" i="8" s="1"/>
  <c r="AL176" i="8" s="1"/>
  <c r="W178" i="8"/>
  <c r="W177" i="8" s="1"/>
  <c r="W176" i="8" s="1"/>
  <c r="AE178" i="8"/>
  <c r="AE177" i="8" s="1"/>
  <c r="AE176" i="8" s="1"/>
  <c r="X178" i="8"/>
  <c r="X177" i="8" s="1"/>
  <c r="X176" i="8" s="1"/>
  <c r="AA178" i="8"/>
  <c r="AA177" i="8" s="1"/>
  <c r="AA176" i="8" s="1"/>
  <c r="Q178" i="8"/>
  <c r="Q177" i="8" s="1"/>
  <c r="Q176" i="8" s="1"/>
  <c r="J178" i="8"/>
  <c r="J177" i="8" s="1"/>
  <c r="J176" i="8" s="1"/>
  <c r="K178" i="8"/>
  <c r="K177" i="8" s="1"/>
  <c r="K176" i="8" s="1"/>
  <c r="AD178" i="8"/>
  <c r="AD177" i="8" s="1"/>
  <c r="AD176" i="8" s="1"/>
  <c r="V178" i="8"/>
  <c r="V177" i="8" s="1"/>
  <c r="V176" i="8" s="1"/>
  <c r="Y178" i="8"/>
  <c r="Y177" i="8" s="1"/>
  <c r="Y176" i="8" s="1"/>
  <c r="O178" i="8"/>
  <c r="O177" i="8" s="1"/>
  <c r="O176" i="8" s="1"/>
  <c r="AB178" i="8"/>
  <c r="AB177" i="8" s="1"/>
  <c r="AB176" i="8" s="1"/>
  <c r="AG178" i="8"/>
  <c r="AG177" i="8" s="1"/>
  <c r="AG176" i="8" s="1"/>
  <c r="H178" i="8"/>
  <c r="H177" i="8" s="1"/>
  <c r="H176" i="8" s="1"/>
  <c r="AJ178" i="8"/>
  <c r="AJ177" i="8" s="1"/>
  <c r="AJ176" i="8" s="1"/>
  <c r="AM178" i="8"/>
  <c r="AM177" i="8" s="1"/>
  <c r="AM176" i="8" s="1"/>
  <c r="F178" i="8"/>
  <c r="F177" i="8" s="1"/>
  <c r="F176" i="8" s="1"/>
  <c r="AK178" i="8"/>
  <c r="AK177" i="8" s="1"/>
  <c r="AK176" i="8" s="1"/>
  <c r="I178" i="8"/>
  <c r="I177" i="8" s="1"/>
  <c r="I176" i="8" s="1"/>
  <c r="AH178" i="8"/>
  <c r="AH177" i="8" s="1"/>
  <c r="AH176" i="8" s="1"/>
  <c r="DX12" i="9"/>
  <c r="DY12" i="9" s="1"/>
  <c r="DZ12" i="9" s="1"/>
  <c r="EA12" i="9" s="1"/>
  <c r="EB12" i="9" s="1"/>
  <c r="DX9" i="9"/>
  <c r="DY9" i="9" s="1"/>
  <c r="DZ9" i="9" s="1"/>
  <c r="EA9" i="9" s="1"/>
  <c r="EB9" i="9" s="1"/>
  <c r="B115" i="8"/>
  <c r="B118" i="8"/>
  <c r="B119" i="8"/>
  <c r="B117" i="8"/>
  <c r="DV138" i="9"/>
  <c r="DU71" i="8"/>
  <c r="H17" i="9"/>
  <c r="C23" i="7"/>
  <c r="C49" i="7"/>
  <c r="C50" i="7" s="1"/>
  <c r="C51" i="7" s="1"/>
  <c r="EF55" i="7"/>
  <c r="EF54" i="7"/>
  <c r="J18" i="9"/>
  <c r="G80" i="8"/>
  <c r="DX8" i="7"/>
  <c r="AZ7" i="9"/>
  <c r="D87" i="9"/>
  <c r="B139" i="8" s="1"/>
  <c r="D90" i="9"/>
  <c r="B142" i="8" s="1"/>
  <c r="D91" i="9"/>
  <c r="B143" i="8" s="1"/>
  <c r="D89" i="9"/>
  <c r="B141" i="8" s="1"/>
  <c r="B91" i="8"/>
  <c r="D68" i="9"/>
  <c r="G68" i="9" s="1"/>
  <c r="B93" i="8"/>
  <c r="D70" i="9"/>
  <c r="G70" i="9" s="1"/>
  <c r="B97" i="8"/>
  <c r="D74" i="9"/>
  <c r="G74" i="9" s="1"/>
  <c r="I5" i="7"/>
  <c r="J5" i="9"/>
  <c r="T74" i="8"/>
  <c r="K71" i="8"/>
  <c r="I71" i="8"/>
  <c r="AG71" i="8"/>
  <c r="AC74" i="8"/>
  <c r="X71" i="8"/>
  <c r="AP70" i="8"/>
  <c r="AP69" i="8"/>
  <c r="AQ8" i="7" s="1"/>
  <c r="AH17" i="8"/>
  <c r="Q71" i="8"/>
  <c r="Z74" i="8"/>
  <c r="T71" i="8"/>
  <c r="AG74" i="8"/>
  <c r="W74" i="8"/>
  <c r="P71" i="8"/>
  <c r="R74" i="8"/>
  <c r="AJ74" i="8"/>
  <c r="U71" i="8"/>
  <c r="AB74" i="8"/>
  <c r="AD71" i="8"/>
  <c r="M71" i="8"/>
  <c r="AD74" i="8"/>
  <c r="N71" i="8"/>
  <c r="AK71" i="8"/>
  <c r="W71" i="8"/>
  <c r="G71" i="8"/>
  <c r="Y74" i="8"/>
  <c r="Y71" i="8"/>
  <c r="V74" i="8"/>
  <c r="J71" i="8"/>
  <c r="V71" i="8"/>
  <c r="Z71" i="8"/>
  <c r="O71" i="8"/>
  <c r="AI74" i="8"/>
  <c r="AF74" i="8"/>
  <c r="AF71" i="8"/>
  <c r="S71" i="8"/>
  <c r="S74" i="8"/>
  <c r="AL71" i="8"/>
  <c r="H71" i="8"/>
  <c r="AH71" i="8"/>
  <c r="AI71" i="8"/>
  <c r="AB71" i="8"/>
  <c r="AH74" i="8"/>
  <c r="AM74" i="8"/>
  <c r="AM71" i="8"/>
  <c r="AA71" i="8"/>
  <c r="U74" i="8"/>
  <c r="X74" i="8"/>
  <c r="R71" i="8"/>
  <c r="AE74" i="8"/>
  <c r="AE71" i="8"/>
  <c r="E71" i="8"/>
  <c r="F9" i="7" s="1"/>
  <c r="F71" i="8"/>
  <c r="AA74" i="8"/>
  <c r="L71" i="8"/>
  <c r="AK74" i="8"/>
  <c r="AJ71" i="8"/>
  <c r="AC71" i="8"/>
  <c r="AL74" i="8"/>
  <c r="AN75" i="8"/>
  <c r="AN74" i="8"/>
  <c r="AP75" i="8"/>
  <c r="AO75" i="8"/>
  <c r="I16" i="8"/>
  <c r="EE21" i="8"/>
  <c r="EH21" i="8" s="1"/>
  <c r="EE20" i="8"/>
  <c r="EH20" i="8" s="1"/>
  <c r="F82" i="8"/>
  <c r="F81" i="8"/>
  <c r="F83" i="8"/>
  <c r="G4" i="8"/>
  <c r="H2" i="7" s="1"/>
  <c r="H80" i="7" s="1"/>
  <c r="H1" i="7"/>
  <c r="G1" i="7"/>
  <c r="K6" i="9"/>
  <c r="F4" i="8"/>
  <c r="G2" i="7" s="1"/>
  <c r="G80" i="7" s="1"/>
  <c r="I7" i="9"/>
  <c r="G69" i="8" s="1"/>
  <c r="H8" i="7" s="1"/>
  <c r="G70" i="8"/>
  <c r="I1" i="7"/>
  <c r="H4" i="8"/>
  <c r="I2" i="7" s="1"/>
  <c r="I80" i="7" s="1"/>
  <c r="AO178" i="8" l="1"/>
  <c r="AO177" i="8" s="1"/>
  <c r="AO176" i="8" s="1"/>
  <c r="AP178" i="8"/>
  <c r="AP177" i="8" s="1"/>
  <c r="AP176" i="8" s="1"/>
  <c r="AN178" i="8"/>
  <c r="AN177" i="8" s="1"/>
  <c r="AN176" i="8" s="1"/>
  <c r="B116" i="8"/>
  <c r="B120" i="8"/>
  <c r="B114" i="8"/>
  <c r="DW138" i="9"/>
  <c r="I17" i="9"/>
  <c r="G79" i="8" s="1"/>
  <c r="J3" i="9"/>
  <c r="I3" i="9"/>
  <c r="H3" i="9"/>
  <c r="EI54" i="7"/>
  <c r="EI55" i="7"/>
  <c r="G74" i="8"/>
  <c r="I74" i="8"/>
  <c r="Q74" i="8"/>
  <c r="P74" i="8"/>
  <c r="K74" i="8"/>
  <c r="L74" i="8"/>
  <c r="J74" i="8"/>
  <c r="O74" i="8"/>
  <c r="E74" i="8"/>
  <c r="F74" i="8"/>
  <c r="N74" i="8"/>
  <c r="M74" i="8"/>
  <c r="H74" i="8"/>
  <c r="K18" i="9"/>
  <c r="H80" i="8"/>
  <c r="DX9" i="7"/>
  <c r="BA7" i="9"/>
  <c r="D92" i="9"/>
  <c r="B144" i="8" s="1"/>
  <c r="D88" i="9"/>
  <c r="B140" i="8" s="1"/>
  <c r="D86" i="9"/>
  <c r="B138" i="8" s="1"/>
  <c r="J5" i="7"/>
  <c r="K5" i="9"/>
  <c r="AQ70" i="8"/>
  <c r="AQ69" i="8"/>
  <c r="AR8" i="7" s="1"/>
  <c r="AI17" i="8"/>
  <c r="AQ75" i="8"/>
  <c r="AO74" i="8"/>
  <c r="AO71" i="8"/>
  <c r="J16" i="8"/>
  <c r="K16" i="8" s="1"/>
  <c r="M5" i="9" s="1"/>
  <c r="F79" i="8"/>
  <c r="G81" i="8"/>
  <c r="G82" i="8"/>
  <c r="G83" i="8"/>
  <c r="J6" i="7"/>
  <c r="I3" i="8"/>
  <c r="K2" i="9" s="1"/>
  <c r="I68" i="8"/>
  <c r="L6" i="9"/>
  <c r="J7" i="9"/>
  <c r="H69" i="8" s="1"/>
  <c r="I8" i="7" s="1"/>
  <c r="H70" i="8"/>
  <c r="AQ178" i="8" l="1"/>
  <c r="AQ177" i="8" s="1"/>
  <c r="AQ176" i="8" s="1"/>
  <c r="J17" i="9"/>
  <c r="H79" i="8" s="1"/>
  <c r="EJ54" i="7"/>
  <c r="EK20" i="8" s="1"/>
  <c r="EJ20" i="8"/>
  <c r="EJ55" i="7"/>
  <c r="EK21" i="8" s="1"/>
  <c r="EJ21" i="8"/>
  <c r="L18" i="9"/>
  <c r="I80" i="8"/>
  <c r="BB7" i="9"/>
  <c r="K5" i="7"/>
  <c r="L5" i="9"/>
  <c r="AR70" i="8"/>
  <c r="AR69" i="8"/>
  <c r="AS8" i="7" s="1"/>
  <c r="AJ17" i="8"/>
  <c r="AR75" i="8"/>
  <c r="AP71" i="8"/>
  <c r="AP74" i="8"/>
  <c r="H82" i="8"/>
  <c r="H81" i="8"/>
  <c r="H83" i="8"/>
  <c r="K6" i="7"/>
  <c r="J68" i="8"/>
  <c r="M6" i="9"/>
  <c r="J3" i="8"/>
  <c r="L2" i="9" s="1"/>
  <c r="I4" i="8"/>
  <c r="J2" i="7" s="1"/>
  <c r="J80" i="7" s="1"/>
  <c r="J1" i="7"/>
  <c r="L5" i="7"/>
  <c r="L16" i="8"/>
  <c r="N5" i="9" s="1"/>
  <c r="K7" i="9"/>
  <c r="I69" i="8" s="1"/>
  <c r="J8" i="7" s="1"/>
  <c r="I70" i="8"/>
  <c r="DY8" i="7"/>
  <c r="AR178" i="8" l="1"/>
  <c r="AR177" i="8" s="1"/>
  <c r="AR176" i="8" s="1"/>
  <c r="K17" i="9"/>
  <c r="I79" i="8" s="1"/>
  <c r="K3" i="9"/>
  <c r="EO20" i="8"/>
  <c r="EQ20" i="8" s="1"/>
  <c r="EO21" i="8"/>
  <c r="EQ21" i="8" s="1"/>
  <c r="M18" i="9"/>
  <c r="J80" i="8"/>
  <c r="BC7" i="9"/>
  <c r="AS70" i="8"/>
  <c r="AS69" i="8"/>
  <c r="AT8" i="7" s="1"/>
  <c r="AK17" i="8"/>
  <c r="AS75" i="8"/>
  <c r="AQ71" i="8"/>
  <c r="AQ74" i="8"/>
  <c r="I81" i="8"/>
  <c r="I82" i="8"/>
  <c r="I83" i="8"/>
  <c r="K1" i="7"/>
  <c r="J4" i="8"/>
  <c r="K2" i="7" s="1"/>
  <c r="K80" i="7" s="1"/>
  <c r="N6" i="9"/>
  <c r="K68" i="8"/>
  <c r="K3" i="8"/>
  <c r="M2" i="9" s="1"/>
  <c r="L6" i="7"/>
  <c r="M16" i="8"/>
  <c r="O5" i="9" s="1"/>
  <c r="M5" i="7"/>
  <c r="L7" i="9"/>
  <c r="J69" i="8" s="1"/>
  <c r="K8" i="7" s="1"/>
  <c r="J70" i="8"/>
  <c r="AS178" i="8" l="1"/>
  <c r="AS177" i="8" s="1"/>
  <c r="AS176" i="8" s="1"/>
  <c r="E113" i="8"/>
  <c r="E122" i="8"/>
  <c r="H62" i="7"/>
  <c r="L17" i="9"/>
  <c r="J79" i="8" s="1"/>
  <c r="L3" i="9"/>
  <c r="N18" i="9"/>
  <c r="K80" i="8"/>
  <c r="BD7" i="9"/>
  <c r="AT70" i="8"/>
  <c r="AT69" i="8"/>
  <c r="AU8" i="7" s="1"/>
  <c r="AL17" i="8"/>
  <c r="AT75" i="8"/>
  <c r="AR71" i="8"/>
  <c r="AR74" i="8"/>
  <c r="J82" i="8"/>
  <c r="J81" i="8"/>
  <c r="J83" i="8"/>
  <c r="N16" i="8"/>
  <c r="P5" i="9" s="1"/>
  <c r="N5" i="7"/>
  <c r="M6" i="7"/>
  <c r="O6" i="9"/>
  <c r="L3" i="8"/>
  <c r="N2" i="9" s="1"/>
  <c r="L68" i="8"/>
  <c r="K4" i="8"/>
  <c r="L2" i="7" s="1"/>
  <c r="L80" i="7" s="1"/>
  <c r="L1" i="7"/>
  <c r="M7" i="9"/>
  <c r="K69" i="8" s="1"/>
  <c r="L8" i="7" s="1"/>
  <c r="DZ8" i="7" s="1"/>
  <c r="K70" i="8"/>
  <c r="E129" i="8" l="1"/>
  <c r="E131" i="8"/>
  <c r="E132" i="8"/>
  <c r="AT178" i="8"/>
  <c r="AT177" i="8" s="1"/>
  <c r="AT176" i="8" s="1"/>
  <c r="G62" i="7"/>
  <c r="E121" i="8"/>
  <c r="M17" i="9"/>
  <c r="K79" i="8" s="1"/>
  <c r="M3" i="9"/>
  <c r="O18" i="9"/>
  <c r="L80" i="8"/>
  <c r="BE7" i="9"/>
  <c r="AU70" i="8"/>
  <c r="AU69" i="8"/>
  <c r="AV8" i="7" s="1"/>
  <c r="AM17" i="8"/>
  <c r="AS71" i="8"/>
  <c r="AS74" i="8"/>
  <c r="AU75" i="8"/>
  <c r="K81" i="8"/>
  <c r="K82" i="8"/>
  <c r="K83" i="8"/>
  <c r="M1" i="7"/>
  <c r="L4" i="8"/>
  <c r="M2" i="7" s="1"/>
  <c r="M80" i="7" s="1"/>
  <c r="M3" i="8"/>
  <c r="O2" i="9" s="1"/>
  <c r="M68" i="8"/>
  <c r="N6" i="7"/>
  <c r="P6" i="9"/>
  <c r="O16" i="8"/>
  <c r="Q5" i="9" s="1"/>
  <c r="O5" i="7"/>
  <c r="N7" i="9"/>
  <c r="L69" i="8" s="1"/>
  <c r="M8" i="7" s="1"/>
  <c r="L70" i="8"/>
  <c r="AU178" i="8" l="1"/>
  <c r="AU177" i="8" s="1"/>
  <c r="AU176" i="8" s="1"/>
  <c r="D60" i="7"/>
  <c r="D62" i="7" s="1"/>
  <c r="E125" i="8"/>
  <c r="E115" i="8"/>
  <c r="F62" i="7"/>
  <c r="E120" i="8"/>
  <c r="E116" i="8"/>
  <c r="E60" i="7"/>
  <c r="E62" i="7" s="1"/>
  <c r="E117" i="8"/>
  <c r="N17" i="9"/>
  <c r="L79" i="8" s="1"/>
  <c r="N3" i="9"/>
  <c r="P18" i="9"/>
  <c r="M80" i="8"/>
  <c r="BF7" i="9"/>
  <c r="AV70" i="8"/>
  <c r="AV69" i="8"/>
  <c r="AW8" i="7" s="1"/>
  <c r="AN17" i="8"/>
  <c r="AV75" i="8"/>
  <c r="AT71" i="8"/>
  <c r="AT74" i="8"/>
  <c r="L82" i="8"/>
  <c r="L81" i="8"/>
  <c r="L83" i="8"/>
  <c r="M4" i="8"/>
  <c r="N2" i="7" s="1"/>
  <c r="N80" i="7" s="1"/>
  <c r="N1" i="7"/>
  <c r="O6" i="7"/>
  <c r="N68" i="8"/>
  <c r="N3" i="8"/>
  <c r="P2" i="9" s="1"/>
  <c r="Q6" i="9"/>
  <c r="P5" i="7"/>
  <c r="P16" i="8"/>
  <c r="R5" i="9" s="1"/>
  <c r="O7" i="9"/>
  <c r="M69" i="8" s="1"/>
  <c r="N8" i="7" s="1"/>
  <c r="M70" i="8"/>
  <c r="AV178" i="8" l="1"/>
  <c r="AV177" i="8" s="1"/>
  <c r="AV176" i="8" s="1"/>
  <c r="O17" i="9"/>
  <c r="M79" i="8" s="1"/>
  <c r="O3" i="9"/>
  <c r="Q18" i="9"/>
  <c r="N80" i="8"/>
  <c r="BG7" i="9"/>
  <c r="AW70" i="8"/>
  <c r="AW69" i="8"/>
  <c r="AX8" i="7" s="1"/>
  <c r="AO17" i="8"/>
  <c r="AP6" i="9"/>
  <c r="AU71" i="8"/>
  <c r="AU74" i="8"/>
  <c r="AW75" i="8"/>
  <c r="M81" i="8"/>
  <c r="M82" i="8"/>
  <c r="M83" i="8"/>
  <c r="Q5" i="7"/>
  <c r="Q16" i="8"/>
  <c r="S5" i="9" s="1"/>
  <c r="P6" i="7"/>
  <c r="O68" i="8"/>
  <c r="R6" i="9"/>
  <c r="O3" i="8"/>
  <c r="Q2" i="9" s="1"/>
  <c r="O1" i="7"/>
  <c r="N4" i="8"/>
  <c r="O2" i="7" s="1"/>
  <c r="O80" i="7" s="1"/>
  <c r="P7" i="9"/>
  <c r="N69" i="8" s="1"/>
  <c r="O8" i="7" s="1"/>
  <c r="EA8" i="7" s="1"/>
  <c r="N70" i="8"/>
  <c r="AW178" i="8" l="1"/>
  <c r="AW177" i="8" s="1"/>
  <c r="AW176" i="8" s="1"/>
  <c r="E118" i="8"/>
  <c r="E119" i="8"/>
  <c r="P17" i="9"/>
  <c r="N79" i="8" s="1"/>
  <c r="P3" i="9"/>
  <c r="R18" i="9"/>
  <c r="O80" i="8"/>
  <c r="BH7" i="9"/>
  <c r="AX70" i="8"/>
  <c r="AX69" i="8"/>
  <c r="AY8" i="7" s="1"/>
  <c r="AP17" i="8"/>
  <c r="AQ6" i="9"/>
  <c r="AP6" i="7"/>
  <c r="AX75" i="8"/>
  <c r="AV71" i="8"/>
  <c r="AV74" i="8"/>
  <c r="N82" i="8"/>
  <c r="N81" i="8"/>
  <c r="N83" i="8"/>
  <c r="P3" i="8"/>
  <c r="R2" i="9" s="1"/>
  <c r="S6" i="9"/>
  <c r="P68" i="8"/>
  <c r="Q6" i="7"/>
  <c r="P1" i="7"/>
  <c r="O4" i="8"/>
  <c r="P2" i="7" s="1"/>
  <c r="P80" i="7" s="1"/>
  <c r="R5" i="7"/>
  <c r="R16" i="8"/>
  <c r="T5" i="9" s="1"/>
  <c r="Q7" i="9"/>
  <c r="O69" i="8" s="1"/>
  <c r="P8" i="7" s="1"/>
  <c r="O70" i="8"/>
  <c r="AX178" i="8" l="1"/>
  <c r="AX177" i="8" s="1"/>
  <c r="AX176" i="8" s="1"/>
  <c r="Q17" i="9"/>
  <c r="O79" i="8" s="1"/>
  <c r="Q3" i="9"/>
  <c r="S18" i="9"/>
  <c r="P80" i="8"/>
  <c r="BI7" i="9"/>
  <c r="AY70" i="8"/>
  <c r="AY69" i="8"/>
  <c r="AZ8" i="7" s="1"/>
  <c r="AQ17" i="8"/>
  <c r="AP3" i="8"/>
  <c r="AP68" i="8"/>
  <c r="AR6" i="9"/>
  <c r="AQ6" i="7"/>
  <c r="N154" i="9" s="1"/>
  <c r="F154" i="9" s="1"/>
  <c r="J154" i="9" s="1"/>
  <c r="AY75" i="8"/>
  <c r="AW71" i="8"/>
  <c r="AW74" i="8"/>
  <c r="O81" i="8"/>
  <c r="O82" i="8"/>
  <c r="O83" i="8"/>
  <c r="S16" i="8"/>
  <c r="U5" i="9" s="1"/>
  <c r="S5" i="7"/>
  <c r="Q68" i="8"/>
  <c r="Q3" i="8"/>
  <c r="S2" i="9" s="1"/>
  <c r="T6" i="9"/>
  <c r="R6" i="7"/>
  <c r="Q1" i="7"/>
  <c r="P4" i="8"/>
  <c r="Q2" i="7" s="1"/>
  <c r="Q80" i="7" s="1"/>
  <c r="R7" i="9"/>
  <c r="P69" i="8" s="1"/>
  <c r="Q8" i="7" s="1"/>
  <c r="P70" i="8"/>
  <c r="AY178" i="8" l="1"/>
  <c r="AY177" i="8" s="1"/>
  <c r="AY176" i="8" s="1"/>
  <c r="E123" i="8"/>
  <c r="E124" i="8"/>
  <c r="R17" i="9"/>
  <c r="P79" i="8" s="1"/>
  <c r="R3" i="9"/>
  <c r="Q80" i="8"/>
  <c r="T18" i="9"/>
  <c r="BJ7" i="9"/>
  <c r="AZ70" i="8"/>
  <c r="AZ69" i="8"/>
  <c r="BA8" i="7" s="1"/>
  <c r="AP4" i="8"/>
  <c r="AQ2" i="7" s="1"/>
  <c r="AQ80" i="7" s="1"/>
  <c r="AR2" i="9"/>
  <c r="AQ1" i="7"/>
  <c r="AQ3" i="8"/>
  <c r="AQ68" i="8"/>
  <c r="AS6" i="9"/>
  <c r="AR17" i="8"/>
  <c r="AR6" i="7"/>
  <c r="AX71" i="8"/>
  <c r="AX74" i="8"/>
  <c r="AZ75" i="8"/>
  <c r="P82" i="8"/>
  <c r="P81" i="8"/>
  <c r="P83" i="8"/>
  <c r="U6" i="9"/>
  <c r="R3" i="8"/>
  <c r="T2" i="9" s="1"/>
  <c r="S6" i="7"/>
  <c r="N152" i="9" s="1"/>
  <c r="F152" i="9" s="1"/>
  <c r="J152" i="9" s="1"/>
  <c r="R68" i="8"/>
  <c r="Q4" i="8"/>
  <c r="R2" i="7" s="1"/>
  <c r="R80" i="7" s="1"/>
  <c r="R1" i="7"/>
  <c r="T5" i="7"/>
  <c r="T16" i="8"/>
  <c r="V5" i="9" s="1"/>
  <c r="S7" i="9"/>
  <c r="Q69" i="8" s="1"/>
  <c r="R8" i="7" s="1"/>
  <c r="EC8" i="7" s="1"/>
  <c r="Q70" i="8"/>
  <c r="AZ178" i="8" l="1"/>
  <c r="AZ177" i="8" s="1"/>
  <c r="AZ176" i="8" s="1"/>
  <c r="T130" i="9"/>
  <c r="T17" i="9"/>
  <c r="S17" i="9"/>
  <c r="Q79" i="8" s="1"/>
  <c r="S3" i="9"/>
  <c r="BN82" i="8"/>
  <c r="U18" i="9"/>
  <c r="R80" i="8"/>
  <c r="BK7" i="9"/>
  <c r="BA70" i="8"/>
  <c r="BA69" i="8"/>
  <c r="BB8" i="7" s="1"/>
  <c r="EG8" i="7" s="1"/>
  <c r="AQ4" i="8"/>
  <c r="AR2" i="7" s="1"/>
  <c r="AR80" i="7" s="1"/>
  <c r="AS2" i="9"/>
  <c r="AR1" i="7"/>
  <c r="AR68" i="8"/>
  <c r="AR3" i="8"/>
  <c r="AS17" i="8"/>
  <c r="AT6" i="9"/>
  <c r="AS6" i="7"/>
  <c r="AR3" i="9"/>
  <c r="AY71" i="8"/>
  <c r="AY74" i="8"/>
  <c r="BA75" i="8"/>
  <c r="Q81" i="8"/>
  <c r="Q82" i="8"/>
  <c r="Q83" i="8"/>
  <c r="U16" i="8"/>
  <c r="W5" i="9" s="1"/>
  <c r="U5" i="7"/>
  <c r="R4" i="8"/>
  <c r="S2" i="7" s="1"/>
  <c r="S80" i="7" s="1"/>
  <c r="S1" i="7"/>
  <c r="S68" i="8"/>
  <c r="S3" i="8"/>
  <c r="U2" i="9" s="1"/>
  <c r="T6" i="7"/>
  <c r="V6" i="9"/>
  <c r="R69" i="8"/>
  <c r="S8" i="7" s="1"/>
  <c r="R70" i="8"/>
  <c r="EB8" i="7"/>
  <c r="BA178" i="8" l="1"/>
  <c r="BA177" i="8" s="1"/>
  <c r="BA176" i="8" s="1"/>
  <c r="T128" i="9"/>
  <c r="AD6" i="47"/>
  <c r="AD7" i="47"/>
  <c r="AD8" i="47"/>
  <c r="BN83" i="8"/>
  <c r="U17" i="9"/>
  <c r="BO83" i="8"/>
  <c r="T3" i="9"/>
  <c r="BO82" i="8"/>
  <c r="V18" i="9"/>
  <c r="S80" i="8"/>
  <c r="BL7" i="9"/>
  <c r="BB70" i="8"/>
  <c r="BB69" i="8"/>
  <c r="BC8" i="7" s="1"/>
  <c r="AS68" i="8"/>
  <c r="AS3" i="8"/>
  <c r="AT17" i="8"/>
  <c r="AU6" i="9"/>
  <c r="AT6" i="7"/>
  <c r="AR4" i="8"/>
  <c r="AS2" i="7" s="1"/>
  <c r="AS80" i="7" s="1"/>
  <c r="AT2" i="9"/>
  <c r="AS1" i="7"/>
  <c r="AS3" i="9"/>
  <c r="AZ71" i="8"/>
  <c r="AZ74" i="8"/>
  <c r="BB75" i="8"/>
  <c r="R82" i="8"/>
  <c r="R79" i="8"/>
  <c r="R81" i="8"/>
  <c r="R83" i="8"/>
  <c r="T68" i="8"/>
  <c r="W6" i="9"/>
  <c r="T3" i="8"/>
  <c r="V2" i="9" s="1"/>
  <c r="U6" i="7"/>
  <c r="T1" i="7"/>
  <c r="S4" i="8"/>
  <c r="T2" i="7" s="1"/>
  <c r="T80" i="7" s="1"/>
  <c r="V16" i="8"/>
  <c r="X5" i="9" s="1"/>
  <c r="V5" i="7"/>
  <c r="S69" i="8"/>
  <c r="T8" i="7" s="1"/>
  <c r="S70" i="8"/>
  <c r="BB178" i="8" l="1"/>
  <c r="BB177" i="8" s="1"/>
  <c r="BB176" i="8" s="1"/>
  <c r="T129" i="9"/>
  <c r="T106" i="9" s="1"/>
  <c r="V17" i="9"/>
  <c r="BP82" i="8"/>
  <c r="U3" i="9"/>
  <c r="BP83" i="8"/>
  <c r="W18" i="9"/>
  <c r="T80" i="8"/>
  <c r="S11" i="7"/>
  <c r="BM7" i="9"/>
  <c r="BC70" i="8"/>
  <c r="BC69" i="8"/>
  <c r="BD8" i="7" s="1"/>
  <c r="AT3" i="9"/>
  <c r="AS4" i="8"/>
  <c r="AT2" i="7" s="1"/>
  <c r="AT80" i="7" s="1"/>
  <c r="AU2" i="9"/>
  <c r="AT1" i="7"/>
  <c r="AT68" i="8"/>
  <c r="AT3" i="8"/>
  <c r="AU17" i="8"/>
  <c r="AV6" i="9"/>
  <c r="AU6" i="7"/>
  <c r="BA71" i="8"/>
  <c r="BA74" i="8"/>
  <c r="BC75" i="8"/>
  <c r="S79" i="8"/>
  <c r="S81" i="8"/>
  <c r="S82" i="8"/>
  <c r="S83" i="8"/>
  <c r="T4" i="8"/>
  <c r="U2" i="7" s="1"/>
  <c r="U80" i="7" s="1"/>
  <c r="U1" i="7"/>
  <c r="W5" i="7"/>
  <c r="W16" i="8"/>
  <c r="Y5" i="9" s="1"/>
  <c r="V6" i="7"/>
  <c r="U68" i="8"/>
  <c r="U3" i="8"/>
  <c r="W2" i="9" s="1"/>
  <c r="X6" i="9"/>
  <c r="T69" i="8"/>
  <c r="U8" i="7" s="1"/>
  <c r="T70" i="8"/>
  <c r="T111" i="9" l="1"/>
  <c r="T104" i="9"/>
  <c r="BC178" i="8"/>
  <c r="BC177" i="8" s="1"/>
  <c r="BC176" i="8" s="1"/>
  <c r="W17" i="9"/>
  <c r="BQ82" i="8"/>
  <c r="V3" i="9"/>
  <c r="BQ83" i="8"/>
  <c r="X18" i="9"/>
  <c r="U80" i="8"/>
  <c r="BN7" i="9"/>
  <c r="BD70" i="8"/>
  <c r="BD69" i="8"/>
  <c r="BE8" i="7" s="1"/>
  <c r="AU3" i="8"/>
  <c r="AU68" i="8"/>
  <c r="AV17" i="8"/>
  <c r="AW6" i="9"/>
  <c r="AV6" i="7"/>
  <c r="AT4" i="8"/>
  <c r="AU2" i="7" s="1"/>
  <c r="AU80" i="7" s="1"/>
  <c r="AV2" i="9"/>
  <c r="AU1" i="7"/>
  <c r="AU3" i="9"/>
  <c r="BB71" i="8"/>
  <c r="BB74" i="8"/>
  <c r="BD75" i="8"/>
  <c r="T82" i="8"/>
  <c r="T79" i="8"/>
  <c r="T81" i="8"/>
  <c r="T83" i="8"/>
  <c r="V3" i="8"/>
  <c r="X2" i="9" s="1"/>
  <c r="V68" i="8"/>
  <c r="W6" i="7"/>
  <c r="Y6" i="9"/>
  <c r="U4" i="8"/>
  <c r="V2" i="7" s="1"/>
  <c r="V80" i="7" s="1"/>
  <c r="V1" i="7"/>
  <c r="X5" i="7"/>
  <c r="X16" i="8"/>
  <c r="Z5" i="9" s="1"/>
  <c r="U69" i="8"/>
  <c r="V8" i="7" s="1"/>
  <c r="U70" i="8"/>
  <c r="BD178" i="8" l="1"/>
  <c r="BD177" i="8" s="1"/>
  <c r="BD176" i="8" s="1"/>
  <c r="X17" i="9"/>
  <c r="BP7" i="9"/>
  <c r="BN69" i="8" s="1"/>
  <c r="BO8" i="7" s="1"/>
  <c r="BN70" i="8"/>
  <c r="BN74" i="8"/>
  <c r="BR83" i="8"/>
  <c r="W3" i="9"/>
  <c r="BR82" i="8"/>
  <c r="Y18" i="9"/>
  <c r="V80" i="8"/>
  <c r="BO7" i="9"/>
  <c r="BE70" i="8"/>
  <c r="BE69" i="8"/>
  <c r="BF8" i="7" s="1"/>
  <c r="AV3" i="8"/>
  <c r="AV68" i="8"/>
  <c r="AW17" i="8"/>
  <c r="AW6" i="7"/>
  <c r="AX6" i="9"/>
  <c r="AU4" i="8"/>
  <c r="AV2" i="7" s="1"/>
  <c r="AV80" i="7" s="1"/>
  <c r="AW2" i="9"/>
  <c r="AV1" i="7"/>
  <c r="AV3" i="9"/>
  <c r="BC71" i="8"/>
  <c r="BC74" i="8"/>
  <c r="BE75" i="8"/>
  <c r="U79" i="8"/>
  <c r="U81" i="8"/>
  <c r="U82" i="8"/>
  <c r="U83" i="8"/>
  <c r="Y5" i="7"/>
  <c r="Y16" i="8"/>
  <c r="AA5" i="9" s="1"/>
  <c r="V4" i="8"/>
  <c r="W2" i="7" s="1"/>
  <c r="W80" i="7" s="1"/>
  <c r="W1" i="7"/>
  <c r="W68" i="8"/>
  <c r="W3" i="8"/>
  <c r="Y2" i="9" s="1"/>
  <c r="Z6" i="9"/>
  <c r="X6" i="7"/>
  <c r="V69" i="8"/>
  <c r="W8" i="7" s="1"/>
  <c r="V70" i="8"/>
  <c r="BE178" i="8" l="1"/>
  <c r="BE177" i="8" s="1"/>
  <c r="BE176" i="8" s="1"/>
  <c r="Y17" i="9"/>
  <c r="BQ7" i="9"/>
  <c r="BO69" i="8" s="1"/>
  <c r="BP8" i="7" s="1"/>
  <c r="BO70" i="8"/>
  <c r="BO74" i="8"/>
  <c r="X3" i="9"/>
  <c r="BS83" i="8"/>
  <c r="BS82" i="8"/>
  <c r="Z18" i="9"/>
  <c r="W80" i="8"/>
  <c r="BF70" i="8"/>
  <c r="BF69" i="8"/>
  <c r="BG8" i="7" s="1"/>
  <c r="AW3" i="9"/>
  <c r="AW3" i="8"/>
  <c r="AW68" i="8"/>
  <c r="AX17" i="8"/>
  <c r="AY6" i="9"/>
  <c r="AX6" i="7"/>
  <c r="AV4" i="8"/>
  <c r="AW2" i="7" s="1"/>
  <c r="AW80" i="7" s="1"/>
  <c r="AX2" i="9"/>
  <c r="AW1" i="7"/>
  <c r="BF75" i="8"/>
  <c r="BD71" i="8"/>
  <c r="BD74" i="8"/>
  <c r="V82" i="8"/>
  <c r="V81" i="8"/>
  <c r="V79" i="8"/>
  <c r="V83" i="8"/>
  <c r="Z16" i="8"/>
  <c r="AB5" i="9" s="1"/>
  <c r="Z5" i="7"/>
  <c r="X68" i="8"/>
  <c r="AA6" i="9"/>
  <c r="X3" i="8"/>
  <c r="Z2" i="9" s="1"/>
  <c r="Y6" i="7"/>
  <c r="X1" i="7"/>
  <c r="W4" i="8"/>
  <c r="X2" i="7" s="1"/>
  <c r="X80" i="7" s="1"/>
  <c r="W69" i="8"/>
  <c r="X8" i="7" s="1"/>
  <c r="W70" i="8"/>
  <c r="BF178" i="8" l="1"/>
  <c r="BF177" i="8" s="1"/>
  <c r="BF176" i="8" s="1"/>
  <c r="Z17" i="9"/>
  <c r="BP70" i="8"/>
  <c r="BR7" i="9"/>
  <c r="BP69" i="8" s="1"/>
  <c r="BQ8" i="7" s="1"/>
  <c r="BP74" i="8"/>
  <c r="Y3" i="9"/>
  <c r="BT83" i="8"/>
  <c r="BT82" i="8"/>
  <c r="AA18" i="9"/>
  <c r="X80" i="8"/>
  <c r="BG70" i="8"/>
  <c r="BG69" i="8"/>
  <c r="BH8" i="7" s="1"/>
  <c r="AX3" i="8"/>
  <c r="AX68" i="8"/>
  <c r="AY17" i="8"/>
  <c r="AZ6" i="9"/>
  <c r="AY6" i="7"/>
  <c r="AX3" i="9"/>
  <c r="AW4" i="8"/>
  <c r="AX2" i="7" s="1"/>
  <c r="AX80" i="7" s="1"/>
  <c r="AY2" i="9"/>
  <c r="AX1" i="7"/>
  <c r="BE71" i="8"/>
  <c r="BE74" i="8"/>
  <c r="BG75" i="8"/>
  <c r="W79" i="8"/>
  <c r="W81" i="8"/>
  <c r="W82" i="8"/>
  <c r="W83" i="8"/>
  <c r="X4" i="8"/>
  <c r="Y2" i="7" s="1"/>
  <c r="Y80" i="7" s="1"/>
  <c r="Y1" i="7"/>
  <c r="AA16" i="8"/>
  <c r="AC5" i="9" s="1"/>
  <c r="AA5" i="7"/>
  <c r="Z6" i="7"/>
  <c r="AB6" i="9"/>
  <c r="Y3" i="8"/>
  <c r="AA2" i="9" s="1"/>
  <c r="Y68" i="8"/>
  <c r="X69" i="8"/>
  <c r="Y8" i="7" s="1"/>
  <c r="X70" i="8"/>
  <c r="BG178" i="8" l="1"/>
  <c r="BG177" i="8" s="1"/>
  <c r="BG176" i="8" s="1"/>
  <c r="AA17" i="9"/>
  <c r="BU82" i="8"/>
  <c r="BU83" i="8"/>
  <c r="BS7" i="9"/>
  <c r="BQ69" i="8" s="1"/>
  <c r="BR8" i="7" s="1"/>
  <c r="BQ70" i="8"/>
  <c r="BQ74" i="8"/>
  <c r="Z3" i="9"/>
  <c r="AB18" i="9"/>
  <c r="Y80" i="8"/>
  <c r="BH70" i="8"/>
  <c r="BH69" i="8"/>
  <c r="BI8" i="7" s="1"/>
  <c r="AY3" i="8"/>
  <c r="AY68" i="8"/>
  <c r="BA6" i="9"/>
  <c r="AZ6" i="7"/>
  <c r="AZ17" i="8"/>
  <c r="AY3" i="9"/>
  <c r="AX4" i="8"/>
  <c r="AY2" i="7" s="1"/>
  <c r="AY80" i="7" s="1"/>
  <c r="AZ2" i="9"/>
  <c r="AY1" i="7"/>
  <c r="BH75" i="8"/>
  <c r="BF71" i="8"/>
  <c r="BF74" i="8"/>
  <c r="X82" i="8"/>
  <c r="X81" i="8"/>
  <c r="X79" i="8"/>
  <c r="X83" i="8"/>
  <c r="Y4" i="8"/>
  <c r="Z2" i="7" s="1"/>
  <c r="Z80" i="7" s="1"/>
  <c r="Z1" i="7"/>
  <c r="Z68" i="8"/>
  <c r="AA6" i="7"/>
  <c r="AC6" i="9"/>
  <c r="Z3" i="8"/>
  <c r="AB2" i="9" s="1"/>
  <c r="AB5" i="7"/>
  <c r="AB16" i="8"/>
  <c r="AD5" i="9" s="1"/>
  <c r="Y69" i="8"/>
  <c r="Z8" i="7" s="1"/>
  <c r="Y70" i="8"/>
  <c r="BH178" i="8" l="1"/>
  <c r="BH177" i="8" s="1"/>
  <c r="BH176" i="8" s="1"/>
  <c r="AB17" i="9"/>
  <c r="AA3" i="9"/>
  <c r="BV82" i="8"/>
  <c r="BR70" i="8"/>
  <c r="BT7" i="9"/>
  <c r="BR69" i="8" s="1"/>
  <c r="BS8" i="7" s="1"/>
  <c r="BR74" i="8"/>
  <c r="BV83" i="8"/>
  <c r="AC18" i="9"/>
  <c r="Z80" i="8"/>
  <c r="BI70" i="8"/>
  <c r="BI69" i="8"/>
  <c r="BJ8" i="7" s="1"/>
  <c r="AZ68" i="8"/>
  <c r="AZ3" i="8"/>
  <c r="BA17" i="8"/>
  <c r="BB6" i="9"/>
  <c r="BA6" i="7"/>
  <c r="AZ3" i="9"/>
  <c r="AY4" i="8"/>
  <c r="AZ2" i="7" s="1"/>
  <c r="AZ80" i="7" s="1"/>
  <c r="BA2" i="9"/>
  <c r="AZ1" i="7"/>
  <c r="BI75" i="8"/>
  <c r="BG71" i="8"/>
  <c r="BG74" i="8"/>
  <c r="Y79" i="8"/>
  <c r="Y81" i="8"/>
  <c r="Y82" i="8"/>
  <c r="Y83" i="8"/>
  <c r="AC5" i="7"/>
  <c r="AC16" i="8"/>
  <c r="AE5" i="9" s="1"/>
  <c r="AA1" i="7"/>
  <c r="Z4" i="8"/>
  <c r="AA2" i="7" s="1"/>
  <c r="AA80" i="7" s="1"/>
  <c r="AD6" i="9"/>
  <c r="AA68" i="8"/>
  <c r="AB6" i="7"/>
  <c r="AA3" i="8"/>
  <c r="AC2" i="9" s="1"/>
  <c r="Z69" i="8"/>
  <c r="AA8" i="7" s="1"/>
  <c r="Z70" i="8"/>
  <c r="BI178" i="8" l="1"/>
  <c r="BI177" i="8" s="1"/>
  <c r="BI176" i="8" s="1"/>
  <c r="AC17" i="9"/>
  <c r="BU7" i="9"/>
  <c r="BS69" i="8" s="1"/>
  <c r="BT8" i="7" s="1"/>
  <c r="BS70" i="8"/>
  <c r="BS74" i="8"/>
  <c r="BW83" i="8"/>
  <c r="AB3" i="9"/>
  <c r="BW82" i="8"/>
  <c r="AD18" i="9"/>
  <c r="AD17" i="9" s="1"/>
  <c r="AA80" i="8"/>
  <c r="BJ70" i="8"/>
  <c r="BJ69" i="8"/>
  <c r="BK8" i="7" s="1"/>
  <c r="BA68" i="8"/>
  <c r="BA3" i="8"/>
  <c r="BB17" i="8"/>
  <c r="BB6" i="7"/>
  <c r="BC6" i="9"/>
  <c r="BA3" i="9"/>
  <c r="AZ4" i="8"/>
  <c r="BA2" i="7" s="1"/>
  <c r="BA80" i="7" s="1"/>
  <c r="BB2" i="9"/>
  <c r="BA1" i="7"/>
  <c r="BH71" i="8"/>
  <c r="BH74" i="8"/>
  <c r="BJ75" i="8"/>
  <c r="Z82" i="8"/>
  <c r="Z79" i="8"/>
  <c r="Z81" i="8"/>
  <c r="Z83" i="8"/>
  <c r="AA4" i="8"/>
  <c r="AB2" i="7" s="1"/>
  <c r="AB80" i="7" s="1"/>
  <c r="AB1" i="7"/>
  <c r="AE6" i="9"/>
  <c r="AB3" i="8"/>
  <c r="AD2" i="9" s="1"/>
  <c r="AB68" i="8"/>
  <c r="AC6" i="7"/>
  <c r="AD16" i="8"/>
  <c r="AF5" i="9" s="1"/>
  <c r="AD5" i="7"/>
  <c r="AA69" i="8"/>
  <c r="AB8" i="7" s="1"/>
  <c r="AA70" i="8"/>
  <c r="BJ178" i="8" l="1"/>
  <c r="BJ177" i="8" s="1"/>
  <c r="BJ176" i="8" s="1"/>
  <c r="BV7" i="9"/>
  <c r="BT69" i="8" s="1"/>
  <c r="BU8" i="7" s="1"/>
  <c r="BT70" i="8"/>
  <c r="BT74" i="8"/>
  <c r="BX82" i="8"/>
  <c r="BX83" i="8"/>
  <c r="AC3" i="9"/>
  <c r="AE18" i="9"/>
  <c r="AB80" i="8"/>
  <c r="BK70" i="8"/>
  <c r="BK69" i="8"/>
  <c r="BL8" i="7" s="1"/>
  <c r="BB3" i="8"/>
  <c r="BB68" i="8"/>
  <c r="BD6" i="9"/>
  <c r="BC6" i="7"/>
  <c r="N155" i="9" s="1"/>
  <c r="F155" i="9" s="1"/>
  <c r="J155" i="9" s="1"/>
  <c r="BC17" i="8"/>
  <c r="BB3" i="9"/>
  <c r="BA4" i="8"/>
  <c r="BB2" i="7" s="1"/>
  <c r="BB80" i="7" s="1"/>
  <c r="BC2" i="9"/>
  <c r="BB1" i="7"/>
  <c r="BI71" i="8"/>
  <c r="BI74" i="8"/>
  <c r="BK75" i="8"/>
  <c r="AA79" i="8"/>
  <c r="AA81" i="8"/>
  <c r="AA82" i="8"/>
  <c r="AA83" i="8"/>
  <c r="AB4" i="8"/>
  <c r="AC2" i="7" s="1"/>
  <c r="AC80" i="7" s="1"/>
  <c r="AC1" i="7"/>
  <c r="AE16" i="8"/>
  <c r="AG5" i="9" s="1"/>
  <c r="AE5" i="7"/>
  <c r="AF6" i="9"/>
  <c r="AC3" i="8"/>
  <c r="AE2" i="9" s="1"/>
  <c r="AC68" i="8"/>
  <c r="AD6" i="7"/>
  <c r="AB69" i="8"/>
  <c r="AC8" i="7" s="1"/>
  <c r="AB70" i="8"/>
  <c r="BK178" i="8" l="1"/>
  <c r="BK177" i="8" s="1"/>
  <c r="BK176" i="8" s="1"/>
  <c r="AE17" i="9"/>
  <c r="AD3" i="9"/>
  <c r="BY83" i="8"/>
  <c r="BY82" i="8"/>
  <c r="BU70" i="8"/>
  <c r="BW7" i="9"/>
  <c r="BU69" i="8" s="1"/>
  <c r="BV8" i="7" s="1"/>
  <c r="BU74" i="8"/>
  <c r="AF18" i="9"/>
  <c r="AC80" i="8"/>
  <c r="BL70" i="8"/>
  <c r="BL69" i="8"/>
  <c r="BM8" i="7" s="1"/>
  <c r="BC3" i="8"/>
  <c r="BC68" i="8"/>
  <c r="BD17" i="8"/>
  <c r="BE6" i="9"/>
  <c r="BD6" i="7"/>
  <c r="BB4" i="8"/>
  <c r="BC2" i="7" s="1"/>
  <c r="BC80" i="7" s="1"/>
  <c r="BC1" i="7"/>
  <c r="BD2" i="9"/>
  <c r="BC3" i="9"/>
  <c r="BJ71" i="8"/>
  <c r="BJ74" i="8"/>
  <c r="BM75" i="8"/>
  <c r="BL75" i="8"/>
  <c r="AB82" i="8"/>
  <c r="AB79" i="8"/>
  <c r="AB81" i="8"/>
  <c r="AB83" i="8"/>
  <c r="AD1" i="7"/>
  <c r="AC4" i="8"/>
  <c r="AD2" i="7" s="1"/>
  <c r="AD80" i="7" s="1"/>
  <c r="AF5" i="7"/>
  <c r="AF16" i="8"/>
  <c r="AH5" i="9" s="1"/>
  <c r="AE6" i="7"/>
  <c r="N153" i="9" s="1"/>
  <c r="F153" i="9" s="1"/>
  <c r="J153" i="9" s="1"/>
  <c r="AD68" i="8"/>
  <c r="AD3" i="8"/>
  <c r="AF2" i="9" s="1"/>
  <c r="AG6" i="9"/>
  <c r="AC69" i="8"/>
  <c r="AD8" i="7" s="1"/>
  <c r="ED8" i="7" s="1"/>
  <c r="AC70" i="8"/>
  <c r="BL178" i="8" l="1"/>
  <c r="BL177" i="8" s="1"/>
  <c r="BL176" i="8" s="1"/>
  <c r="BM178" i="8"/>
  <c r="BM177" i="8" s="1"/>
  <c r="BM176" i="8" s="1"/>
  <c r="AF130" i="9"/>
  <c r="AF17" i="9"/>
  <c r="BD130" i="9"/>
  <c r="BZ83" i="8"/>
  <c r="BX7" i="9"/>
  <c r="BV69" i="8" s="1"/>
  <c r="BW8" i="7" s="1"/>
  <c r="BV70" i="8"/>
  <c r="BV74" i="8"/>
  <c r="BZ82" i="8"/>
  <c r="AE3" i="9"/>
  <c r="AR130" i="9"/>
  <c r="AG18" i="9"/>
  <c r="AD80" i="8"/>
  <c r="BM70" i="8"/>
  <c r="BM69" i="8"/>
  <c r="BN8" i="7" s="1"/>
  <c r="EH8" i="7" s="1"/>
  <c r="BD3" i="9"/>
  <c r="BD3" i="8"/>
  <c r="BD68" i="8"/>
  <c r="BE17" i="8"/>
  <c r="BF6" i="9"/>
  <c r="BE6" i="7"/>
  <c r="BC4" i="8"/>
  <c r="BD2" i="7" s="1"/>
  <c r="BD80" i="7" s="1"/>
  <c r="BE2" i="9"/>
  <c r="BD1" i="7"/>
  <c r="BK71" i="8"/>
  <c r="BK74" i="8"/>
  <c r="AC81" i="8"/>
  <c r="AC79" i="8"/>
  <c r="AC82" i="8"/>
  <c r="AC83" i="8"/>
  <c r="AE3" i="8"/>
  <c r="AG2" i="9" s="1"/>
  <c r="AF6" i="7"/>
  <c r="AH6" i="9"/>
  <c r="AE68" i="8"/>
  <c r="AD4" i="8"/>
  <c r="AE2" i="7" s="1"/>
  <c r="AE80" i="7" s="1"/>
  <c r="AE1" i="7"/>
  <c r="AG5" i="7"/>
  <c r="AG16" i="8"/>
  <c r="AI5" i="9" s="1"/>
  <c r="AD69" i="8"/>
  <c r="AE8" i="7" s="1"/>
  <c r="AD70" i="8"/>
  <c r="AR128" i="9" l="1"/>
  <c r="AF128" i="9"/>
  <c r="BD128" i="9"/>
  <c r="AE6" i="47"/>
  <c r="AF6" i="47" s="1"/>
  <c r="AG6" i="47" s="1"/>
  <c r="AE7" i="47"/>
  <c r="AF7" i="47" s="1"/>
  <c r="AG7" i="47" s="1"/>
  <c r="AE8" i="47"/>
  <c r="AF8" i="47" s="1"/>
  <c r="AG8" i="47" s="1"/>
  <c r="AG17" i="9"/>
  <c r="AF3" i="9"/>
  <c r="CA82" i="8"/>
  <c r="CA83" i="8"/>
  <c r="BW70" i="8"/>
  <c r="BY7" i="9"/>
  <c r="BW69" i="8" s="1"/>
  <c r="BX8" i="7" s="1"/>
  <c r="BW74" i="8"/>
  <c r="AH18" i="9"/>
  <c r="AE80" i="8"/>
  <c r="BE68" i="8"/>
  <c r="BE3" i="8"/>
  <c r="BG6" i="9"/>
  <c r="BF17" i="8"/>
  <c r="BF6" i="7"/>
  <c r="BD4" i="8"/>
  <c r="BE2" i="7" s="1"/>
  <c r="BE80" i="7" s="1"/>
  <c r="BF2" i="9"/>
  <c r="BE1" i="7"/>
  <c r="BE3" i="9"/>
  <c r="BL71" i="8"/>
  <c r="BL74" i="8"/>
  <c r="AD82" i="8"/>
  <c r="AD79" i="8"/>
  <c r="AD81" i="8"/>
  <c r="AD83" i="8"/>
  <c r="AH16" i="8"/>
  <c r="AJ5" i="9" s="1"/>
  <c r="AH5" i="7"/>
  <c r="AG6" i="7"/>
  <c r="AI6" i="9"/>
  <c r="AF68" i="8"/>
  <c r="AF3" i="8"/>
  <c r="AH2" i="9" s="1"/>
  <c r="AE4" i="8"/>
  <c r="AF2" i="7" s="1"/>
  <c r="AF80" i="7" s="1"/>
  <c r="AF1" i="7"/>
  <c r="AE69" i="8"/>
  <c r="AF8" i="7" s="1"/>
  <c r="AE70" i="8"/>
  <c r="AR129" i="9" l="1"/>
  <c r="BD129" i="9"/>
  <c r="AF129" i="9"/>
  <c r="AH17" i="9"/>
  <c r="AE11" i="7"/>
  <c r="BZ7" i="9"/>
  <c r="BX69" i="8" s="1"/>
  <c r="BY8" i="7" s="1"/>
  <c r="BX70" i="8"/>
  <c r="BX74" i="8"/>
  <c r="CB82" i="8"/>
  <c r="CB83" i="8"/>
  <c r="AG3" i="9"/>
  <c r="AI18" i="9"/>
  <c r="AF80" i="8"/>
  <c r="AQ11" i="7"/>
  <c r="BF3" i="9"/>
  <c r="BF3" i="8"/>
  <c r="BF68" i="8"/>
  <c r="BG17" i="8"/>
  <c r="BH6" i="9"/>
  <c r="BG6" i="7"/>
  <c r="BE4" i="8"/>
  <c r="BF2" i="7" s="1"/>
  <c r="BF80" i="7" s="1"/>
  <c r="BG2" i="9"/>
  <c r="BF1" i="7"/>
  <c r="BM71" i="8"/>
  <c r="BM74" i="8"/>
  <c r="AE79" i="8"/>
  <c r="AE81" i="8"/>
  <c r="AE82" i="8"/>
  <c r="AE83" i="8"/>
  <c r="AG3" i="8"/>
  <c r="AI2" i="9" s="1"/>
  <c r="AG68" i="8"/>
  <c r="AJ6" i="9"/>
  <c r="AH6" i="7"/>
  <c r="AF4" i="8"/>
  <c r="AG2" i="7" s="1"/>
  <c r="AG80" i="7" s="1"/>
  <c r="AG1" i="7"/>
  <c r="AI5" i="7"/>
  <c r="AI16" i="8"/>
  <c r="AK5" i="9" s="1"/>
  <c r="AF69" i="8"/>
  <c r="AG8" i="7" s="1"/>
  <c r="AF70" i="8"/>
  <c r="AI17" i="9" l="1"/>
  <c r="AH3" i="9"/>
  <c r="BY70" i="8"/>
  <c r="CA7" i="9"/>
  <c r="BY69" i="8" s="1"/>
  <c r="BZ8" i="7" s="1"/>
  <c r="EK8" i="7" s="1"/>
  <c r="BY74" i="8"/>
  <c r="CC82" i="8"/>
  <c r="CC83" i="8"/>
  <c r="BC11" i="7"/>
  <c r="AJ18" i="9"/>
  <c r="AG80" i="8"/>
  <c r="BG3" i="8"/>
  <c r="BG68" i="8"/>
  <c r="BH17" i="8"/>
  <c r="BI6" i="9"/>
  <c r="BH6" i="7"/>
  <c r="BF4" i="8"/>
  <c r="BG2" i="7" s="1"/>
  <c r="BG80" i="7" s="1"/>
  <c r="BH2" i="9"/>
  <c r="BG1" i="7"/>
  <c r="BG3" i="9"/>
  <c r="AF82" i="8"/>
  <c r="AF81" i="8"/>
  <c r="AF79" i="8"/>
  <c r="AF83" i="8"/>
  <c r="AH1" i="7"/>
  <c r="AG4" i="8"/>
  <c r="AH2" i="7" s="1"/>
  <c r="AH80" i="7" s="1"/>
  <c r="AJ5" i="7"/>
  <c r="AJ16" i="8"/>
  <c r="AL5" i="9" s="1"/>
  <c r="AK6" i="9"/>
  <c r="AH3" i="8"/>
  <c r="AJ2" i="9" s="1"/>
  <c r="AH68" i="8"/>
  <c r="AI6" i="7"/>
  <c r="AG69" i="8"/>
  <c r="AH8" i="7" s="1"/>
  <c r="AG70" i="8"/>
  <c r="AJ17" i="9" l="1"/>
  <c r="CB7" i="9"/>
  <c r="BZ69" i="8" s="1"/>
  <c r="CA8" i="7" s="1"/>
  <c r="BZ70" i="8"/>
  <c r="BZ74" i="8"/>
  <c r="AI3" i="9"/>
  <c r="CD83" i="8"/>
  <c r="CD82" i="8"/>
  <c r="AK18" i="9"/>
  <c r="AH80" i="8"/>
  <c r="BH3" i="9"/>
  <c r="BH68" i="8"/>
  <c r="BH3" i="8"/>
  <c r="BJ6" i="9"/>
  <c r="BI6" i="7"/>
  <c r="BI17" i="8"/>
  <c r="BG4" i="8"/>
  <c r="BH2" i="7" s="1"/>
  <c r="BH80" i="7" s="1"/>
  <c r="BI2" i="9"/>
  <c r="BH1" i="7"/>
  <c r="AG79" i="8"/>
  <c r="AG81" i="8"/>
  <c r="AG82" i="8"/>
  <c r="AG83" i="8"/>
  <c r="AI3" i="8"/>
  <c r="AK2" i="9" s="1"/>
  <c r="AI68" i="8"/>
  <c r="AJ6" i="7"/>
  <c r="AL6" i="9"/>
  <c r="AH4" i="8"/>
  <c r="AI2" i="7" s="1"/>
  <c r="AI80" i="7" s="1"/>
  <c r="AI1" i="7"/>
  <c r="AK5" i="7"/>
  <c r="AK16" i="8"/>
  <c r="AM5" i="9" s="1"/>
  <c r="AH69" i="8"/>
  <c r="AI8" i="7" s="1"/>
  <c r="AH70" i="8"/>
  <c r="AK17" i="9" l="1"/>
  <c r="CE83" i="8"/>
  <c r="CA70" i="8"/>
  <c r="CC7" i="9"/>
  <c r="CA69" i="8" s="1"/>
  <c r="CB8" i="7" s="1"/>
  <c r="CA74" i="8"/>
  <c r="AJ3" i="9"/>
  <c r="CE82" i="8"/>
  <c r="AL18" i="9"/>
  <c r="AI80" i="8"/>
  <c r="BH4" i="8"/>
  <c r="BI2" i="7" s="1"/>
  <c r="BI80" i="7" s="1"/>
  <c r="BJ2" i="9"/>
  <c r="BI1" i="7"/>
  <c r="BI3" i="9"/>
  <c r="BI68" i="8"/>
  <c r="BI3" i="8"/>
  <c r="BJ17" i="8"/>
  <c r="BJ6" i="7"/>
  <c r="BK6" i="9"/>
  <c r="AH82" i="8"/>
  <c r="AH79" i="8"/>
  <c r="AH81" i="8"/>
  <c r="AH83" i="8"/>
  <c r="AJ3" i="8"/>
  <c r="AL2" i="9" s="1"/>
  <c r="AK6" i="7"/>
  <c r="AM6" i="9"/>
  <c r="AJ68" i="8"/>
  <c r="AI4" i="8"/>
  <c r="AJ2" i="7" s="1"/>
  <c r="AJ80" i="7" s="1"/>
  <c r="AJ1" i="7"/>
  <c r="AL16" i="8"/>
  <c r="AN5" i="9" s="1"/>
  <c r="AL5" i="7"/>
  <c r="AI69" i="8"/>
  <c r="AJ8" i="7" s="1"/>
  <c r="AI70" i="8"/>
  <c r="AL17" i="9" l="1"/>
  <c r="CF83" i="8"/>
  <c r="CF82" i="8"/>
  <c r="CD7" i="9"/>
  <c r="CB69" i="8" s="1"/>
  <c r="CC8" i="7" s="1"/>
  <c r="CB70" i="8"/>
  <c r="CB74" i="8"/>
  <c r="AK3" i="9"/>
  <c r="AM18" i="9"/>
  <c r="AJ80" i="8"/>
  <c r="BI4" i="8"/>
  <c r="BJ2" i="7" s="1"/>
  <c r="BJ80" i="7" s="1"/>
  <c r="BJ1" i="7"/>
  <c r="BK2" i="9"/>
  <c r="BJ3" i="9"/>
  <c r="BJ68" i="8"/>
  <c r="BJ3" i="8"/>
  <c r="BK17" i="8"/>
  <c r="BL6" i="9"/>
  <c r="BK6" i="7"/>
  <c r="AI79" i="8"/>
  <c r="AI81" i="8"/>
  <c r="AI82" i="8"/>
  <c r="AI83" i="8"/>
  <c r="AK1" i="7"/>
  <c r="AJ4" i="8"/>
  <c r="AK2" i="7" s="1"/>
  <c r="AK80" i="7" s="1"/>
  <c r="AK68" i="8"/>
  <c r="AN6" i="9"/>
  <c r="AK3" i="8"/>
  <c r="AM2" i="9" s="1"/>
  <c r="AL6" i="7"/>
  <c r="AM16" i="8"/>
  <c r="AO5" i="9" s="1"/>
  <c r="AM5" i="7"/>
  <c r="AJ69" i="8"/>
  <c r="AK8" i="7" s="1"/>
  <c r="AJ70" i="8"/>
  <c r="AM17" i="9" l="1"/>
  <c r="CE7" i="9"/>
  <c r="CC69" i="8" s="1"/>
  <c r="CD8" i="7" s="1"/>
  <c r="CC70" i="8"/>
  <c r="CC74" i="8"/>
  <c r="CG82" i="8"/>
  <c r="CG83" i="8"/>
  <c r="AL3" i="9"/>
  <c r="AN18" i="9"/>
  <c r="AK80" i="8"/>
  <c r="BJ4" i="8"/>
  <c r="BK2" i="7" s="1"/>
  <c r="BK80" i="7" s="1"/>
  <c r="BL2" i="9"/>
  <c r="BK1" i="7"/>
  <c r="BK3" i="8"/>
  <c r="BK68" i="8"/>
  <c r="BL17" i="8"/>
  <c r="BM6" i="9"/>
  <c r="BL6" i="7"/>
  <c r="BK3" i="9"/>
  <c r="AJ82" i="8"/>
  <c r="AJ79" i="8"/>
  <c r="AJ81" i="8"/>
  <c r="AJ83" i="8"/>
  <c r="AN5" i="7"/>
  <c r="AN16" i="8"/>
  <c r="AP5" i="9" s="1"/>
  <c r="AL1" i="7"/>
  <c r="AK4" i="8"/>
  <c r="AL2" i="7" s="1"/>
  <c r="AL80" i="7" s="1"/>
  <c r="AL68" i="8"/>
  <c r="AM6" i="7"/>
  <c r="AL3" i="8"/>
  <c r="AN2" i="9" s="1"/>
  <c r="AO6" i="9"/>
  <c r="AK69" i="8"/>
  <c r="AL8" i="7" s="1"/>
  <c r="AK70" i="8"/>
  <c r="AN17" i="9" l="1"/>
  <c r="CH83" i="8"/>
  <c r="CH82" i="8"/>
  <c r="CD70" i="8"/>
  <c r="CF7" i="9"/>
  <c r="CD69" i="8" s="1"/>
  <c r="CE8" i="7" s="1"/>
  <c r="CD74" i="8"/>
  <c r="AM3" i="9"/>
  <c r="AO18" i="9"/>
  <c r="AL80" i="8"/>
  <c r="BL3" i="8"/>
  <c r="BL68" i="8"/>
  <c r="BM17" i="8"/>
  <c r="BN17" i="8" s="1"/>
  <c r="BN6" i="9"/>
  <c r="BM6" i="7"/>
  <c r="BK4" i="8"/>
  <c r="BL2" i="7" s="1"/>
  <c r="BL80" i="7" s="1"/>
  <c r="BM2" i="9"/>
  <c r="BL1" i="7"/>
  <c r="BL3" i="9"/>
  <c r="AK79" i="8"/>
  <c r="AK81" i="8"/>
  <c r="AK82" i="8"/>
  <c r="AK83" i="8"/>
  <c r="AM68" i="8"/>
  <c r="AN6" i="7"/>
  <c r="AM3" i="8"/>
  <c r="AO2" i="9" s="1"/>
  <c r="AO5" i="7"/>
  <c r="AO16" i="8"/>
  <c r="AQ5" i="9" s="1"/>
  <c r="AL4" i="8"/>
  <c r="AM2" i="7" s="1"/>
  <c r="AM80" i="7" s="1"/>
  <c r="AM1" i="7"/>
  <c r="AL69" i="8"/>
  <c r="AM8" i="7" s="1"/>
  <c r="AL70" i="8"/>
  <c r="AO17" i="9" l="1"/>
  <c r="AN3" i="9"/>
  <c r="CI83" i="8"/>
  <c r="CG7" i="9"/>
  <c r="CE69" i="8" s="1"/>
  <c r="CF8" i="7" s="1"/>
  <c r="CE70" i="8"/>
  <c r="CE74" i="8"/>
  <c r="CI82" i="8"/>
  <c r="BO6" i="7"/>
  <c r="N156" i="9" s="1"/>
  <c r="F156" i="9" s="1"/>
  <c r="J156" i="9" s="1"/>
  <c r="BP6" i="9"/>
  <c r="BN3" i="8"/>
  <c r="BN68" i="8"/>
  <c r="BO17" i="8"/>
  <c r="AP18" i="9"/>
  <c r="AP17" i="9" s="1"/>
  <c r="AM80" i="8"/>
  <c r="AP16" i="8"/>
  <c r="AR5" i="9" s="1"/>
  <c r="AP5" i="7"/>
  <c r="BM3" i="9"/>
  <c r="BM3" i="8"/>
  <c r="BM68" i="8"/>
  <c r="BO6" i="9"/>
  <c r="BN6" i="7"/>
  <c r="BL4" i="8"/>
  <c r="BM2" i="7" s="1"/>
  <c r="BM80" i="7" s="1"/>
  <c r="BN2" i="9"/>
  <c r="BM1" i="7"/>
  <c r="AL82" i="8"/>
  <c r="AL79" i="8"/>
  <c r="AL81" i="8"/>
  <c r="AL83" i="8"/>
  <c r="AN1" i="7"/>
  <c r="AM4" i="8"/>
  <c r="AN2" i="7" s="1"/>
  <c r="AN80" i="7" s="1"/>
  <c r="AN68" i="8"/>
  <c r="AO6" i="7"/>
  <c r="AN3" i="8"/>
  <c r="AP2" i="9" s="1"/>
  <c r="AM70" i="8"/>
  <c r="AO3" i="9" l="1"/>
  <c r="CJ82" i="8"/>
  <c r="CF70" i="8"/>
  <c r="CH7" i="9"/>
  <c r="CF69" i="8" s="1"/>
  <c r="CG8" i="7" s="1"/>
  <c r="CF74" i="8"/>
  <c r="BN4" i="8"/>
  <c r="BO2" i="7" s="1"/>
  <c r="BO80" i="7" s="1"/>
  <c r="BO1" i="7"/>
  <c r="BP2" i="9"/>
  <c r="CJ83" i="8"/>
  <c r="BP129" i="9"/>
  <c r="BP130" i="9"/>
  <c r="BP128" i="9"/>
  <c r="BP6" i="7"/>
  <c r="BQ6" i="9"/>
  <c r="BP17" i="8"/>
  <c r="BO3" i="8"/>
  <c r="BO68" i="8"/>
  <c r="AQ18" i="9"/>
  <c r="AN80" i="8"/>
  <c r="AQ16" i="8"/>
  <c r="AS5" i="9" s="1"/>
  <c r="AQ5" i="7"/>
  <c r="AM69" i="8"/>
  <c r="AN8" i="7" s="1"/>
  <c r="BN3" i="9"/>
  <c r="BM4" i="8"/>
  <c r="BN2" i="7" s="1"/>
  <c r="BN80" i="7" s="1"/>
  <c r="BO2" i="9"/>
  <c r="BN1" i="7"/>
  <c r="AP83" i="8"/>
  <c r="AP82" i="8"/>
  <c r="AM79" i="8"/>
  <c r="AM81" i="8"/>
  <c r="AM82" i="8"/>
  <c r="AM83" i="8"/>
  <c r="AO1" i="7"/>
  <c r="AN4" i="8"/>
  <c r="AO2" i="7" s="1"/>
  <c r="AO80" i="7" s="1"/>
  <c r="AO3" i="8"/>
  <c r="AO68" i="8"/>
  <c r="AN69" i="8"/>
  <c r="AO8" i="7" s="1"/>
  <c r="AN70" i="8"/>
  <c r="AH8" i="47" l="1"/>
  <c r="AH7" i="47"/>
  <c r="AH6" i="47"/>
  <c r="AQ17" i="9"/>
  <c r="BO4" i="8"/>
  <c r="BP2" i="7" s="1"/>
  <c r="BP80" i="7" s="1"/>
  <c r="BP1" i="7"/>
  <c r="BQ2" i="9"/>
  <c r="CK82" i="8"/>
  <c r="BQ6" i="7"/>
  <c r="BR6" i="9"/>
  <c r="CK83" i="8"/>
  <c r="AP3" i="9"/>
  <c r="BP3" i="9"/>
  <c r="CI7" i="9"/>
  <c r="CG69" i="8" s="1"/>
  <c r="CH8" i="7" s="1"/>
  <c r="CG70" i="8"/>
  <c r="CG74" i="8"/>
  <c r="BP68" i="8"/>
  <c r="BP3" i="8"/>
  <c r="BQ17" i="8"/>
  <c r="AR18" i="9"/>
  <c r="AO80" i="8"/>
  <c r="AR16" i="8"/>
  <c r="AT5" i="9" s="1"/>
  <c r="AR5" i="7"/>
  <c r="AQ2" i="9"/>
  <c r="AP1" i="7"/>
  <c r="BO3" i="9"/>
  <c r="AQ83" i="8"/>
  <c r="AQ82" i="8"/>
  <c r="AO82" i="8"/>
  <c r="AN82" i="8"/>
  <c r="AN79" i="8"/>
  <c r="AN81" i="8"/>
  <c r="AO83" i="8"/>
  <c r="AN83" i="8"/>
  <c r="AO4" i="8"/>
  <c r="AP2" i="7" s="1"/>
  <c r="AP80" i="7" s="1"/>
  <c r="AO69" i="8"/>
  <c r="AO70" i="8"/>
  <c r="AR17" i="9" l="1"/>
  <c r="AP79" i="8" s="1"/>
  <c r="CL83" i="8"/>
  <c r="BR6" i="7"/>
  <c r="BS6" i="9"/>
  <c r="BO18" i="7"/>
  <c r="BP4" i="8"/>
  <c r="BQ2" i="7" s="1"/>
  <c r="BQ80" i="7" s="1"/>
  <c r="BQ1" i="7"/>
  <c r="BR2" i="9"/>
  <c r="CJ7" i="9"/>
  <c r="CH69" i="8" s="1"/>
  <c r="CI8" i="7" s="1"/>
  <c r="CH70" i="8"/>
  <c r="CH74" i="8"/>
  <c r="CL82" i="8"/>
  <c r="BQ3" i="9"/>
  <c r="BO11" i="7"/>
  <c r="BQ3" i="8"/>
  <c r="BQ68" i="8"/>
  <c r="BR17" i="8"/>
  <c r="AS18" i="9"/>
  <c r="AP80" i="8"/>
  <c r="AS16" i="8"/>
  <c r="AU5" i="9" s="1"/>
  <c r="AS5" i="7"/>
  <c r="AQ3" i="9"/>
  <c r="AP81" i="8"/>
  <c r="AR83" i="8"/>
  <c r="AR82" i="8"/>
  <c r="AP8" i="7"/>
  <c r="EE8" i="7" s="1"/>
  <c r="AO81" i="8"/>
  <c r="AO79" i="8"/>
  <c r="AS17" i="9" l="1"/>
  <c r="AQ79" i="8" s="1"/>
  <c r="CM82" i="8"/>
  <c r="BR3" i="9"/>
  <c r="BS6" i="7"/>
  <c r="BT6" i="9"/>
  <c r="BO23" i="7"/>
  <c r="BO24" i="7" s="1"/>
  <c r="BQ4" i="8"/>
  <c r="BR2" i="7" s="1"/>
  <c r="BR80" i="7" s="1"/>
  <c r="BR1" i="7"/>
  <c r="BS2" i="9"/>
  <c r="CK7" i="9"/>
  <c r="CI69" i="8" s="1"/>
  <c r="CJ8" i="7" s="1"/>
  <c r="CI70" i="8"/>
  <c r="CI74" i="8"/>
  <c r="CM83" i="8"/>
  <c r="EF8" i="7"/>
  <c r="EI8" i="7" s="1"/>
  <c r="EJ8" i="7" s="1"/>
  <c r="BS17" i="8"/>
  <c r="BR3" i="8"/>
  <c r="BR68" i="8"/>
  <c r="AT18" i="9"/>
  <c r="AQ80" i="8"/>
  <c r="AT16" i="8"/>
  <c r="AV5" i="9" s="1"/>
  <c r="AT5" i="7"/>
  <c r="AQ81" i="8"/>
  <c r="AS82" i="8"/>
  <c r="AS83" i="8"/>
  <c r="AT17" i="9" l="1"/>
  <c r="AR79" i="8" s="1"/>
  <c r="CN82" i="8"/>
  <c r="BR4" i="8"/>
  <c r="BS2" i="7" s="1"/>
  <c r="BS80" i="7" s="1"/>
  <c r="BS1" i="7"/>
  <c r="BT2" i="9"/>
  <c r="BT6" i="7"/>
  <c r="BU6" i="9"/>
  <c r="CL7" i="9"/>
  <c r="CJ69" i="8" s="1"/>
  <c r="CK8" i="7" s="1"/>
  <c r="CJ70" i="8"/>
  <c r="CJ74" i="8"/>
  <c r="BS3" i="9"/>
  <c r="CN83" i="8"/>
  <c r="BS3" i="8"/>
  <c r="BS68" i="8"/>
  <c r="BT17" i="8"/>
  <c r="AU18" i="9"/>
  <c r="AR80" i="8"/>
  <c r="AU16" i="8"/>
  <c r="AW5" i="9" s="1"/>
  <c r="AU5" i="7"/>
  <c r="AT83" i="8"/>
  <c r="AR81" i="8"/>
  <c r="AT82" i="8"/>
  <c r="AU17" i="9" l="1"/>
  <c r="AS79" i="8" s="1"/>
  <c r="CM7" i="9"/>
  <c r="CK69" i="8" s="1"/>
  <c r="CL8" i="7" s="1"/>
  <c r="EL8" i="7" s="1"/>
  <c r="CK70" i="8"/>
  <c r="CK74" i="8"/>
  <c r="BT3" i="9"/>
  <c r="CO82" i="8"/>
  <c r="BU6" i="7"/>
  <c r="BV6" i="9"/>
  <c r="BS4" i="8"/>
  <c r="BT2" i="7" s="1"/>
  <c r="BT80" i="7" s="1"/>
  <c r="BT1" i="7"/>
  <c r="BU2" i="9"/>
  <c r="CO83" i="8"/>
  <c r="BU17" i="8"/>
  <c r="BT3" i="8"/>
  <c r="BT68" i="8"/>
  <c r="AV18" i="9"/>
  <c r="AS80" i="8"/>
  <c r="AV16" i="8"/>
  <c r="AX5" i="9" s="1"/>
  <c r="AV5" i="7"/>
  <c r="AU83" i="8"/>
  <c r="AU82" i="8"/>
  <c r="AS81" i="8"/>
  <c r="AV17" i="9" l="1"/>
  <c r="AT79" i="8" s="1"/>
  <c r="BU3" i="9"/>
  <c r="CP83" i="8"/>
  <c r="CP82" i="8"/>
  <c r="BT4" i="8"/>
  <c r="BU2" i="7" s="1"/>
  <c r="BU80" i="7" s="1"/>
  <c r="BU1" i="7"/>
  <c r="BV2" i="9"/>
  <c r="BV6" i="7"/>
  <c r="BW6" i="9"/>
  <c r="CN7" i="9"/>
  <c r="CL69" i="8" s="1"/>
  <c r="CM8" i="7" s="1"/>
  <c r="CL70" i="8"/>
  <c r="CL74" i="8"/>
  <c r="BV17" i="8"/>
  <c r="BU3" i="8"/>
  <c r="BU68" i="8"/>
  <c r="AW18" i="9"/>
  <c r="AT80" i="8"/>
  <c r="AW16" i="8"/>
  <c r="AY5" i="9" s="1"/>
  <c r="AW5" i="7"/>
  <c r="AV82" i="8"/>
  <c r="AV83" i="8"/>
  <c r="AT81" i="8"/>
  <c r="AW17" i="9" l="1"/>
  <c r="AU79" i="8" s="1"/>
  <c r="CM70" i="8"/>
  <c r="CO7" i="9"/>
  <c r="CM69" i="8" s="1"/>
  <c r="CN8" i="7" s="1"/>
  <c r="CM74" i="8"/>
  <c r="BV3" i="9"/>
  <c r="CQ82" i="8"/>
  <c r="BU4" i="8"/>
  <c r="BV2" i="7" s="1"/>
  <c r="BV80" i="7" s="1"/>
  <c r="BV1" i="7"/>
  <c r="BW2" i="9"/>
  <c r="BW6" i="7"/>
  <c r="BX6" i="9"/>
  <c r="CQ83" i="8"/>
  <c r="BW17" i="8"/>
  <c r="BV3" i="8"/>
  <c r="BV68" i="8"/>
  <c r="AX18" i="9"/>
  <c r="AU80" i="8"/>
  <c r="AX16" i="8"/>
  <c r="AZ5" i="9" s="1"/>
  <c r="AX5" i="7"/>
  <c r="AW82" i="8"/>
  <c r="AW83" i="8"/>
  <c r="AU81" i="8"/>
  <c r="AX17" i="9" l="1"/>
  <c r="AV79" i="8" s="1"/>
  <c r="CR82" i="8"/>
  <c r="CN70" i="8"/>
  <c r="CP7" i="9"/>
  <c r="CN69" i="8" s="1"/>
  <c r="CO8" i="7" s="1"/>
  <c r="CN74" i="8"/>
  <c r="BV4" i="8"/>
  <c r="BW2" i="7" s="1"/>
  <c r="BW80" i="7" s="1"/>
  <c r="BW1" i="7"/>
  <c r="BX2" i="9"/>
  <c r="BX6" i="7"/>
  <c r="BY6" i="9"/>
  <c r="CR83" i="8"/>
  <c r="BW3" i="9"/>
  <c r="BX17" i="8"/>
  <c r="BW3" i="8"/>
  <c r="BW68" i="8"/>
  <c r="AY18" i="9"/>
  <c r="AV80" i="8"/>
  <c r="AY16" i="8"/>
  <c r="BA5" i="9" s="1"/>
  <c r="AY5" i="7"/>
  <c r="AV81" i="8"/>
  <c r="AX83" i="8"/>
  <c r="AX82" i="8"/>
  <c r="AY17" i="9" l="1"/>
  <c r="AW79" i="8" s="1"/>
  <c r="BW4" i="8"/>
  <c r="BX2" i="7" s="1"/>
  <c r="BX80" i="7" s="1"/>
  <c r="BX1" i="7"/>
  <c r="BY2" i="9"/>
  <c r="BY6" i="7"/>
  <c r="BZ6" i="9"/>
  <c r="BX3" i="9"/>
  <c r="CO70" i="8"/>
  <c r="CQ7" i="9"/>
  <c r="CO69" i="8" s="1"/>
  <c r="CP8" i="7" s="1"/>
  <c r="CO74" i="8"/>
  <c r="CS83" i="8"/>
  <c r="CS82" i="8"/>
  <c r="BY17" i="8"/>
  <c r="BX68" i="8"/>
  <c r="BX3" i="8"/>
  <c r="AZ18" i="9"/>
  <c r="AW80" i="8"/>
  <c r="AZ16" i="8"/>
  <c r="BB5" i="9" s="1"/>
  <c r="AZ5" i="7"/>
  <c r="AY83" i="8"/>
  <c r="AW81" i="8"/>
  <c r="AY82" i="8"/>
  <c r="AZ17" i="9" l="1"/>
  <c r="AX79" i="8" s="1"/>
  <c r="CR7" i="9"/>
  <c r="CP69" i="8" s="1"/>
  <c r="CQ8" i="7" s="1"/>
  <c r="CP70" i="8"/>
  <c r="CP74" i="8"/>
  <c r="BZ6" i="7"/>
  <c r="CA6" i="9"/>
  <c r="CT82" i="8"/>
  <c r="CT83" i="8"/>
  <c r="BY3" i="9"/>
  <c r="BX4" i="8"/>
  <c r="BY2" i="7" s="1"/>
  <c r="BY80" i="7" s="1"/>
  <c r="BY1" i="7"/>
  <c r="BZ2" i="9"/>
  <c r="BZ17" i="8"/>
  <c r="BY3" i="8"/>
  <c r="BY68" i="8"/>
  <c r="BA18" i="9"/>
  <c r="AX80" i="8"/>
  <c r="BA16" i="8"/>
  <c r="BC5" i="9" s="1"/>
  <c r="BA5" i="7"/>
  <c r="AZ82" i="8"/>
  <c r="AX81" i="8"/>
  <c r="AZ83" i="8"/>
  <c r="BA17" i="9" l="1"/>
  <c r="AY79" i="8" s="1"/>
  <c r="CU82" i="8"/>
  <c r="BY4" i="8"/>
  <c r="BZ2" i="7" s="1"/>
  <c r="BZ80" i="7" s="1"/>
  <c r="BZ1" i="7"/>
  <c r="CA2" i="9"/>
  <c r="BZ3" i="9"/>
  <c r="CA6" i="7"/>
  <c r="N157" i="9" s="1"/>
  <c r="F157" i="9" s="1"/>
  <c r="J157" i="9" s="1"/>
  <c r="CB6" i="9"/>
  <c r="CU83" i="8"/>
  <c r="CS7" i="9"/>
  <c r="CQ69" i="8" s="1"/>
  <c r="CR8" i="7" s="1"/>
  <c r="CQ70" i="8"/>
  <c r="CQ74" i="8"/>
  <c r="CA17" i="8"/>
  <c r="BZ3" i="8"/>
  <c r="BZ68" i="8"/>
  <c r="BB18" i="9"/>
  <c r="AY80" i="8"/>
  <c r="BB16" i="8"/>
  <c r="BD5" i="9" s="1"/>
  <c r="BB5" i="7"/>
  <c r="BA83" i="8"/>
  <c r="AY81" i="8"/>
  <c r="BA82" i="8"/>
  <c r="BB17" i="9" l="1"/>
  <c r="AZ79" i="8" s="1"/>
  <c r="BZ4" i="8"/>
  <c r="CA2" i="7" s="1"/>
  <c r="CA80" i="7" s="1"/>
  <c r="CA1" i="7"/>
  <c r="CB2" i="9"/>
  <c r="CB6" i="7"/>
  <c r="CC6" i="9"/>
  <c r="CV83" i="8"/>
  <c r="CB130" i="9"/>
  <c r="CB128" i="9"/>
  <c r="CB129" i="9"/>
  <c r="CR70" i="8"/>
  <c r="CT7" i="9"/>
  <c r="CR69" i="8" s="1"/>
  <c r="CS8" i="7" s="1"/>
  <c r="CR74" i="8"/>
  <c r="CV82" i="8"/>
  <c r="CA3" i="9"/>
  <c r="CB17" i="8"/>
  <c r="CA3" i="8"/>
  <c r="CA68" i="8"/>
  <c r="BC18" i="9"/>
  <c r="AZ80" i="8"/>
  <c r="BC16" i="8"/>
  <c r="BE5" i="9" s="1"/>
  <c r="BC5" i="7"/>
  <c r="BB82" i="8"/>
  <c r="AZ81" i="8"/>
  <c r="BB83" i="8"/>
  <c r="AI6" i="47" l="1"/>
  <c r="AI7" i="47"/>
  <c r="AI8" i="47"/>
  <c r="BC17" i="9"/>
  <c r="BA79" i="8" s="1"/>
  <c r="CA4" i="8"/>
  <c r="CB2" i="7" s="1"/>
  <c r="CB80" i="7" s="1"/>
  <c r="CB1" i="7"/>
  <c r="CC2" i="9"/>
  <c r="CW83" i="8"/>
  <c r="CC6" i="7"/>
  <c r="CD6" i="9"/>
  <c r="CU7" i="9"/>
  <c r="CS69" i="8" s="1"/>
  <c r="CT8" i="7" s="1"/>
  <c r="CS70" i="8"/>
  <c r="CS74" i="8"/>
  <c r="CB3" i="9"/>
  <c r="CW82" i="8"/>
  <c r="CC17" i="8"/>
  <c r="CB3" i="8"/>
  <c r="CB68" i="8"/>
  <c r="BD18" i="9"/>
  <c r="BA80" i="8"/>
  <c r="BD16" i="8"/>
  <c r="BF5" i="9" s="1"/>
  <c r="BD5" i="7"/>
  <c r="BC82" i="8"/>
  <c r="BA81" i="8"/>
  <c r="BC83" i="8"/>
  <c r="BD17" i="9" l="1"/>
  <c r="BB79" i="8" s="1"/>
  <c r="CX82" i="8"/>
  <c r="CB4" i="8"/>
  <c r="CC2" i="7" s="1"/>
  <c r="CC80" i="7" s="1"/>
  <c r="CC1" i="7"/>
  <c r="CD2" i="9"/>
  <c r="CA18" i="7"/>
  <c r="CD6" i="7"/>
  <c r="CE6" i="9"/>
  <c r="CX83" i="8"/>
  <c r="CA11" i="7"/>
  <c r="CT70" i="8"/>
  <c r="CV7" i="9"/>
  <c r="CT69" i="8" s="1"/>
  <c r="CU8" i="7" s="1"/>
  <c r="CT74" i="8"/>
  <c r="CC3" i="9"/>
  <c r="CD17" i="8"/>
  <c r="CC3" i="8"/>
  <c r="CC68" i="8"/>
  <c r="BE18" i="9"/>
  <c r="BB80" i="8"/>
  <c r="BE16" i="8"/>
  <c r="BG5" i="9" s="1"/>
  <c r="BE5" i="7"/>
  <c r="BD82" i="8"/>
  <c r="BD83" i="8"/>
  <c r="BB81" i="8"/>
  <c r="BE17" i="9" l="1"/>
  <c r="BC79" i="8" s="1"/>
  <c r="CC4" i="8"/>
  <c r="CD2" i="7" s="1"/>
  <c r="CD80" i="7" s="1"/>
  <c r="CD1" i="7"/>
  <c r="CE2" i="9"/>
  <c r="CE6" i="7"/>
  <c r="CF6" i="9"/>
  <c r="CU70" i="8"/>
  <c r="CW7" i="9"/>
  <c r="CU69" i="8" s="1"/>
  <c r="CV8" i="7" s="1"/>
  <c r="CU74" i="8"/>
  <c r="CD3" i="9"/>
  <c r="CY82" i="8"/>
  <c r="CY83" i="8"/>
  <c r="CE17" i="8"/>
  <c r="CD3" i="8"/>
  <c r="CD68" i="8"/>
  <c r="BF18" i="9"/>
  <c r="BC80" i="8"/>
  <c r="BF16" i="8"/>
  <c r="BH5" i="9" s="1"/>
  <c r="BF5" i="7"/>
  <c r="BC81" i="8"/>
  <c r="BE83" i="8"/>
  <c r="BE82" i="8"/>
  <c r="BF17" i="9" l="1"/>
  <c r="BD79" i="8" s="1"/>
  <c r="CZ82" i="8"/>
  <c r="CE3" i="9"/>
  <c r="CD4" i="8"/>
  <c r="CE2" i="7" s="1"/>
  <c r="CE80" i="7" s="1"/>
  <c r="CE1" i="7"/>
  <c r="CF2" i="9"/>
  <c r="CF6" i="7"/>
  <c r="CG6" i="9"/>
  <c r="CX7" i="9"/>
  <c r="CV69" i="8" s="1"/>
  <c r="CW8" i="7" s="1"/>
  <c r="CV70" i="8"/>
  <c r="CV74" i="8"/>
  <c r="CZ83" i="8"/>
  <c r="CF17" i="8"/>
  <c r="CE3" i="8"/>
  <c r="CE68" i="8"/>
  <c r="BG18" i="9"/>
  <c r="BD80" i="8"/>
  <c r="BG16" i="8"/>
  <c r="BI5" i="9" s="1"/>
  <c r="BG5" i="7"/>
  <c r="BF82" i="8"/>
  <c r="BF83" i="8"/>
  <c r="BD81" i="8"/>
  <c r="BG17" i="9" l="1"/>
  <c r="BE79" i="8" s="1"/>
  <c r="DA83" i="8"/>
  <c r="CE4" i="8"/>
  <c r="CF2" i="7" s="1"/>
  <c r="CF80" i="7" s="1"/>
  <c r="CF1" i="7"/>
  <c r="CG2" i="9"/>
  <c r="CG6" i="7"/>
  <c r="CH6" i="9"/>
  <c r="CF3" i="9"/>
  <c r="CY7" i="9"/>
  <c r="CW69" i="8" s="1"/>
  <c r="CX8" i="7" s="1"/>
  <c r="EM8" i="7" s="1"/>
  <c r="CW70" i="8"/>
  <c r="CW74" i="8"/>
  <c r="DA82" i="8"/>
  <c r="CG17" i="8"/>
  <c r="CF68" i="8"/>
  <c r="CF3" i="8"/>
  <c r="BH18" i="9"/>
  <c r="BE80" i="8"/>
  <c r="BH16" i="8"/>
  <c r="BJ5" i="9" s="1"/>
  <c r="BH5" i="7"/>
  <c r="BG83" i="8"/>
  <c r="BE81" i="8"/>
  <c r="BG82" i="8"/>
  <c r="BH17" i="9" l="1"/>
  <c r="BF79" i="8" s="1"/>
  <c r="CF4" i="8"/>
  <c r="CG2" i="7" s="1"/>
  <c r="CG80" i="7" s="1"/>
  <c r="CG1" i="7"/>
  <c r="CH2" i="9"/>
  <c r="DB82" i="8"/>
  <c r="CG3" i="9"/>
  <c r="CX70" i="8"/>
  <c r="CZ7" i="9"/>
  <c r="CX69" i="8" s="1"/>
  <c r="CY8" i="7" s="1"/>
  <c r="CX74" i="8"/>
  <c r="DB83" i="8"/>
  <c r="CH6" i="7"/>
  <c r="CI6" i="9"/>
  <c r="CH17" i="8"/>
  <c r="CG3" i="8"/>
  <c r="CG68" i="8"/>
  <c r="BI18" i="9"/>
  <c r="BF80" i="8"/>
  <c r="BI16" i="8"/>
  <c r="BK5" i="9" s="1"/>
  <c r="BI5" i="7"/>
  <c r="BH82" i="8"/>
  <c r="BF81" i="8"/>
  <c r="BH83" i="8"/>
  <c r="BI17" i="9" l="1"/>
  <c r="BG79" i="8" s="1"/>
  <c r="CI6" i="7"/>
  <c r="CJ6" i="9"/>
  <c r="DC82" i="8"/>
  <c r="DC83" i="8"/>
  <c r="CY70" i="8"/>
  <c r="DA7" i="9"/>
  <c r="CY69" i="8" s="1"/>
  <c r="CZ8" i="7" s="1"/>
  <c r="CY74" i="8"/>
  <c r="CH3" i="9"/>
  <c r="CG4" i="8"/>
  <c r="CH2" i="7" s="1"/>
  <c r="CH80" i="7" s="1"/>
  <c r="CH1" i="7"/>
  <c r="CI2" i="9"/>
  <c r="CI17" i="8"/>
  <c r="CH3" i="8"/>
  <c r="CH68" i="8"/>
  <c r="BJ18" i="9"/>
  <c r="BG80" i="8"/>
  <c r="BJ16" i="8"/>
  <c r="BL5" i="9" s="1"/>
  <c r="BJ5" i="7"/>
  <c r="BI83" i="8"/>
  <c r="BG81" i="8"/>
  <c r="BI82" i="8"/>
  <c r="BJ17" i="9" l="1"/>
  <c r="BH79" i="8" s="1"/>
  <c r="DD82" i="8"/>
  <c r="DD83" i="8"/>
  <c r="CH4" i="8"/>
  <c r="CI2" i="7" s="1"/>
  <c r="CI80" i="7" s="1"/>
  <c r="CI1" i="7"/>
  <c r="CJ2" i="9"/>
  <c r="CJ6" i="7"/>
  <c r="CK6" i="9"/>
  <c r="CI3" i="9"/>
  <c r="DB7" i="9"/>
  <c r="CZ69" i="8" s="1"/>
  <c r="DA8" i="7" s="1"/>
  <c r="CZ70" i="8"/>
  <c r="CZ74" i="8"/>
  <c r="CJ17" i="8"/>
  <c r="CI3" i="8"/>
  <c r="CI68" i="8"/>
  <c r="BK18" i="9"/>
  <c r="BH80" i="8"/>
  <c r="BK16" i="8"/>
  <c r="BM5" i="9" s="1"/>
  <c r="BK5" i="7"/>
  <c r="BH81" i="8"/>
  <c r="BJ82" i="8"/>
  <c r="BJ83" i="8"/>
  <c r="BK17" i="9" l="1"/>
  <c r="BI79" i="8" s="1"/>
  <c r="CJ3" i="9"/>
  <c r="DC7" i="9"/>
  <c r="DA69" i="8" s="1"/>
  <c r="DB8" i="7" s="1"/>
  <c r="DA70" i="8"/>
  <c r="DA74" i="8"/>
  <c r="DE83" i="8"/>
  <c r="CI4" i="8"/>
  <c r="CJ2" i="7" s="1"/>
  <c r="CJ80" i="7" s="1"/>
  <c r="CJ1" i="7"/>
  <c r="CK2" i="9"/>
  <c r="DE82" i="8"/>
  <c r="CK6" i="7"/>
  <c r="CL6" i="9"/>
  <c r="CK17" i="8"/>
  <c r="CJ3" i="8"/>
  <c r="CJ68" i="8"/>
  <c r="BL18" i="9"/>
  <c r="BI80" i="8"/>
  <c r="BL16" i="8"/>
  <c r="BN5" i="9" s="1"/>
  <c r="BL5" i="7"/>
  <c r="BK83" i="8"/>
  <c r="BK82" i="8"/>
  <c r="BI81" i="8"/>
  <c r="BL17" i="9" l="1"/>
  <c r="BJ79" i="8" s="1"/>
  <c r="DF82" i="8"/>
  <c r="DF83" i="8"/>
  <c r="CJ4" i="8"/>
  <c r="CK2" i="7" s="1"/>
  <c r="CK80" i="7" s="1"/>
  <c r="CK1" i="7"/>
  <c r="CL2" i="9"/>
  <c r="DD7" i="9"/>
  <c r="DB69" i="8" s="1"/>
  <c r="DC8" i="7" s="1"/>
  <c r="DB70" i="8"/>
  <c r="DB74" i="8"/>
  <c r="CL6" i="7"/>
  <c r="CM6" i="9"/>
  <c r="CK3" i="9"/>
  <c r="CL17" i="8"/>
  <c r="CK3" i="8"/>
  <c r="CK68" i="8"/>
  <c r="BM18" i="9"/>
  <c r="BJ80" i="8"/>
  <c r="BM16" i="8"/>
  <c r="BN16" i="8" s="1"/>
  <c r="BM5" i="7"/>
  <c r="BJ81" i="8"/>
  <c r="BM82" i="8"/>
  <c r="BL82" i="8"/>
  <c r="BM83" i="8"/>
  <c r="BL83" i="8"/>
  <c r="BM17" i="9" l="1"/>
  <c r="BK79" i="8" s="1"/>
  <c r="DG82" i="8"/>
  <c r="CK4" i="8"/>
  <c r="CL2" i="7" s="1"/>
  <c r="CL80" i="7" s="1"/>
  <c r="CL1" i="7"/>
  <c r="CM2" i="9"/>
  <c r="CM6" i="7"/>
  <c r="N158" i="9" s="1"/>
  <c r="F158" i="9" s="1"/>
  <c r="J158" i="9" s="1"/>
  <c r="CN6" i="9"/>
  <c r="CL3" i="9"/>
  <c r="DG83" i="8"/>
  <c r="BO16" i="8"/>
  <c r="BO5" i="7"/>
  <c r="BP5" i="9"/>
  <c r="DE7" i="9"/>
  <c r="DC69" i="8" s="1"/>
  <c r="DD8" i="7" s="1"/>
  <c r="DC70" i="8"/>
  <c r="DC74" i="8"/>
  <c r="CM17" i="8"/>
  <c r="CL3" i="8"/>
  <c r="CL68" i="8"/>
  <c r="BN18" i="9"/>
  <c r="BK80" i="8"/>
  <c r="BN5" i="7"/>
  <c r="BO5" i="9"/>
  <c r="BK81" i="8"/>
  <c r="BN17" i="9" l="1"/>
  <c r="BL79" i="8" s="1"/>
  <c r="CN129" i="9"/>
  <c r="CN130" i="9"/>
  <c r="CN128" i="9"/>
  <c r="DD70" i="8"/>
  <c r="DF7" i="9"/>
  <c r="DD69" i="8" s="1"/>
  <c r="DE8" i="7" s="1"/>
  <c r="DD74" i="8"/>
  <c r="DH83" i="8"/>
  <c r="DH82" i="8"/>
  <c r="BP16" i="8"/>
  <c r="BP5" i="7"/>
  <c r="BQ5" i="9"/>
  <c r="CL4" i="8"/>
  <c r="CM2" i="7" s="1"/>
  <c r="CM80" i="7" s="1"/>
  <c r="CM1" i="7"/>
  <c r="CN2" i="9"/>
  <c r="CM3" i="9"/>
  <c r="CN6" i="7"/>
  <c r="CO6" i="9"/>
  <c r="CN17" i="8"/>
  <c r="CM3" i="8"/>
  <c r="CM68" i="8"/>
  <c r="BO18" i="9"/>
  <c r="BL80" i="8"/>
  <c r="BL81" i="8"/>
  <c r="AJ8" i="47" l="1"/>
  <c r="AJ7" i="47"/>
  <c r="AJ6" i="47"/>
  <c r="BO17" i="9"/>
  <c r="BM79" i="8" s="1"/>
  <c r="CM4" i="8"/>
  <c r="CN2" i="7" s="1"/>
  <c r="CN80" i="7" s="1"/>
  <c r="CN1" i="7"/>
  <c r="CO2" i="9"/>
  <c r="CN3" i="9"/>
  <c r="CO6" i="7"/>
  <c r="CP6" i="9"/>
  <c r="DI82" i="8"/>
  <c r="DG7" i="9"/>
  <c r="DE69" i="8" s="1"/>
  <c r="DF8" i="7" s="1"/>
  <c r="DE70" i="8"/>
  <c r="DE74" i="8"/>
  <c r="BQ16" i="8"/>
  <c r="BQ5" i="7"/>
  <c r="BR5" i="9"/>
  <c r="DI83" i="8"/>
  <c r="BM80" i="8"/>
  <c r="BP18" i="9"/>
  <c r="CO17" i="8"/>
  <c r="CN68" i="8"/>
  <c r="CN3" i="8"/>
  <c r="BM81" i="8"/>
  <c r="BP17" i="9" l="1"/>
  <c r="BN79" i="8" s="1"/>
  <c r="BQ18" i="9"/>
  <c r="BN80" i="8"/>
  <c r="CN4" i="8"/>
  <c r="CO2" i="7" s="1"/>
  <c r="CO80" i="7" s="1"/>
  <c r="CO1" i="7"/>
  <c r="CP2" i="9"/>
  <c r="DJ82" i="8"/>
  <c r="CP6" i="7"/>
  <c r="CQ6" i="9"/>
  <c r="CM11" i="7"/>
  <c r="CO3" i="9"/>
  <c r="DF70" i="8"/>
  <c r="DH7" i="9"/>
  <c r="DF69" i="8" s="1"/>
  <c r="DG8" i="7" s="1"/>
  <c r="DF74" i="8"/>
  <c r="CM18" i="7"/>
  <c r="DJ83" i="8"/>
  <c r="BN81" i="8"/>
  <c r="BR16" i="8"/>
  <c r="BR5" i="7"/>
  <c r="BS5" i="9"/>
  <c r="CP17" i="8"/>
  <c r="CO3" i="8"/>
  <c r="CO68" i="8"/>
  <c r="BQ17" i="9" l="1"/>
  <c r="BO79" i="8" s="1"/>
  <c r="BS16" i="8"/>
  <c r="BS5" i="7"/>
  <c r="BT5" i="9"/>
  <c r="DK83" i="8"/>
  <c r="DI7" i="9"/>
  <c r="DG69" i="8" s="1"/>
  <c r="DH8" i="7" s="1"/>
  <c r="DG70" i="8"/>
  <c r="DG74" i="8"/>
  <c r="CP3" i="9"/>
  <c r="CO4" i="8"/>
  <c r="CP2" i="7" s="1"/>
  <c r="CP80" i="7" s="1"/>
  <c r="CP1" i="7"/>
  <c r="CQ2" i="9"/>
  <c r="CQ6" i="7"/>
  <c r="CR6" i="9"/>
  <c r="BR18" i="9"/>
  <c r="BO80" i="8"/>
  <c r="BO81" i="8"/>
  <c r="DK82" i="8"/>
  <c r="CQ17" i="8"/>
  <c r="CP3" i="8"/>
  <c r="CP68" i="8"/>
  <c r="BR17" i="9" l="1"/>
  <c r="BP79" i="8" s="1"/>
  <c r="CQ3" i="9"/>
  <c r="BS18" i="9"/>
  <c r="BP80" i="8"/>
  <c r="DL83" i="8"/>
  <c r="CP4" i="8"/>
  <c r="CQ2" i="7" s="1"/>
  <c r="CQ80" i="7" s="1"/>
  <c r="CQ1" i="7"/>
  <c r="CR2" i="9"/>
  <c r="DL82" i="8"/>
  <c r="CR6" i="7"/>
  <c r="CS6" i="9"/>
  <c r="BP81" i="8"/>
  <c r="BT16" i="8"/>
  <c r="BT5" i="7"/>
  <c r="BU5" i="9"/>
  <c r="DJ7" i="9"/>
  <c r="DH69" i="8" s="1"/>
  <c r="DI8" i="7" s="1"/>
  <c r="DH70" i="8"/>
  <c r="DH74" i="8"/>
  <c r="CR17" i="8"/>
  <c r="CQ3" i="8"/>
  <c r="CQ68" i="8"/>
  <c r="BS17" i="9" l="1"/>
  <c r="BQ79" i="8" s="1"/>
  <c r="DK7" i="9"/>
  <c r="DI69" i="8" s="1"/>
  <c r="DJ8" i="7" s="1"/>
  <c r="EN8" i="7" s="1"/>
  <c r="DI70" i="8"/>
  <c r="DI74" i="8"/>
  <c r="CQ4" i="8"/>
  <c r="CR2" i="7" s="1"/>
  <c r="CR80" i="7" s="1"/>
  <c r="CR1" i="7"/>
  <c r="CS2" i="9"/>
  <c r="CS6" i="7"/>
  <c r="CT6" i="9"/>
  <c r="DM83" i="8"/>
  <c r="DM82" i="8"/>
  <c r="BQ81" i="8"/>
  <c r="BU16" i="8"/>
  <c r="BU5" i="7"/>
  <c r="BV5" i="9"/>
  <c r="CR3" i="9"/>
  <c r="BT18" i="9"/>
  <c r="BQ80" i="8"/>
  <c r="CS17" i="8"/>
  <c r="CR3" i="8"/>
  <c r="CR68" i="8"/>
  <c r="BT17" i="9" l="1"/>
  <c r="BR79" i="8" s="1"/>
  <c r="CR4" i="8"/>
  <c r="CS2" i="7" s="1"/>
  <c r="CS80" i="7" s="1"/>
  <c r="CS1" i="7"/>
  <c r="CT2" i="9"/>
  <c r="CT6" i="7"/>
  <c r="CU6" i="9"/>
  <c r="BV16" i="8"/>
  <c r="BV5" i="7"/>
  <c r="BW5" i="9"/>
  <c r="BR81" i="8"/>
  <c r="DN83" i="8"/>
  <c r="CS3" i="9"/>
  <c r="DL7" i="9"/>
  <c r="DJ69" i="8" s="1"/>
  <c r="DK8" i="7" s="1"/>
  <c r="DJ70" i="8"/>
  <c r="DJ74" i="8"/>
  <c r="DN82" i="8"/>
  <c r="BU18" i="9"/>
  <c r="BR80" i="8"/>
  <c r="CT17" i="8"/>
  <c r="CS3" i="8"/>
  <c r="CS68" i="8"/>
  <c r="BU17" i="9" l="1"/>
  <c r="BS79" i="8" s="1"/>
  <c r="CS4" i="8"/>
  <c r="CT2" i="7" s="1"/>
  <c r="CT80" i="7" s="1"/>
  <c r="CT1" i="7"/>
  <c r="CU2" i="9"/>
  <c r="CU6" i="7"/>
  <c r="CV6" i="9"/>
  <c r="BV18" i="9"/>
  <c r="BS80" i="8"/>
  <c r="CT3" i="9"/>
  <c r="DM7" i="9"/>
  <c r="DK69" i="8" s="1"/>
  <c r="DL8" i="7" s="1"/>
  <c r="DK70" i="8"/>
  <c r="DK74" i="8"/>
  <c r="DO83" i="8"/>
  <c r="BW16" i="8"/>
  <c r="BW5" i="7"/>
  <c r="BX5" i="9"/>
  <c r="DO82" i="8"/>
  <c r="BS81" i="8"/>
  <c r="CU17" i="8"/>
  <c r="CT3" i="8"/>
  <c r="CT68" i="8"/>
  <c r="BV17" i="9" l="1"/>
  <c r="BT79" i="8" s="1"/>
  <c r="CT4" i="8"/>
  <c r="CU2" i="7" s="1"/>
  <c r="CU80" i="7" s="1"/>
  <c r="CU1" i="7"/>
  <c r="CV2" i="9"/>
  <c r="DP82" i="8"/>
  <c r="CV6" i="7"/>
  <c r="CW6" i="9"/>
  <c r="BW18" i="9"/>
  <c r="BW17" i="9" s="1"/>
  <c r="BT80" i="8"/>
  <c r="DP83" i="8"/>
  <c r="BX16" i="8"/>
  <c r="BX5" i="7"/>
  <c r="BY5" i="9"/>
  <c r="CU3" i="9"/>
  <c r="BT81" i="8"/>
  <c r="DL70" i="8"/>
  <c r="DN7" i="9"/>
  <c r="DL69" i="8" s="1"/>
  <c r="DM8" i="7" s="1"/>
  <c r="DL74" i="8"/>
  <c r="CV17" i="8"/>
  <c r="CU3" i="8"/>
  <c r="CU68" i="8"/>
  <c r="BU79" i="8" l="1"/>
  <c r="BU81" i="8"/>
  <c r="CV3" i="9"/>
  <c r="CU4" i="8"/>
  <c r="CV2" i="7" s="1"/>
  <c r="CV80" i="7" s="1"/>
  <c r="CV1" i="7"/>
  <c r="CW2" i="9"/>
  <c r="CW6" i="7"/>
  <c r="CX6" i="9"/>
  <c r="DO7" i="9"/>
  <c r="DM69" i="8" s="1"/>
  <c r="DN8" i="7" s="1"/>
  <c r="DM70" i="8"/>
  <c r="DM74" i="8"/>
  <c r="DQ82" i="8"/>
  <c r="BY16" i="8"/>
  <c r="BY5" i="7"/>
  <c r="BZ5" i="9"/>
  <c r="DQ83" i="8"/>
  <c r="BX18" i="9"/>
  <c r="BU80" i="8"/>
  <c r="CW17" i="8"/>
  <c r="CV68" i="8"/>
  <c r="CV3" i="8"/>
  <c r="BX17" i="9" l="1"/>
  <c r="BV79" i="8" s="1"/>
  <c r="DP7" i="9"/>
  <c r="DN69" i="8" s="1"/>
  <c r="DO8" i="7" s="1"/>
  <c r="DN70" i="8"/>
  <c r="DN74" i="8"/>
  <c r="BV81" i="8"/>
  <c r="CV4" i="8"/>
  <c r="CW2" i="7" s="1"/>
  <c r="CW80" i="7" s="1"/>
  <c r="CW1" i="7"/>
  <c r="CX2" i="9"/>
  <c r="BY18" i="9"/>
  <c r="BV80" i="8"/>
  <c r="DR82" i="8"/>
  <c r="BZ16" i="8"/>
  <c r="BZ5" i="7"/>
  <c r="CA5" i="9"/>
  <c r="CX6" i="7"/>
  <c r="CY6" i="9"/>
  <c r="DR83" i="8"/>
  <c r="CW3" i="9"/>
  <c r="CX17" i="8"/>
  <c r="CW3" i="8"/>
  <c r="CW68" i="8"/>
  <c r="BY17" i="9" l="1"/>
  <c r="BW79" i="8" s="1"/>
  <c r="CA16" i="8"/>
  <c r="CA5" i="7"/>
  <c r="CB5" i="9"/>
  <c r="BZ18" i="9"/>
  <c r="BW80" i="8"/>
  <c r="DS83" i="8"/>
  <c r="DS82" i="8"/>
  <c r="DO70" i="8"/>
  <c r="DQ7" i="9"/>
  <c r="DO69" i="8" s="1"/>
  <c r="DP8" i="7" s="1"/>
  <c r="DO74" i="8"/>
  <c r="BW81" i="8"/>
  <c r="CX3" i="9"/>
  <c r="CW4" i="8"/>
  <c r="CX2" i="7" s="1"/>
  <c r="CX80" i="7" s="1"/>
  <c r="CX1" i="7"/>
  <c r="CY2" i="9"/>
  <c r="CY6" i="7"/>
  <c r="N159" i="9" s="1"/>
  <c r="F159" i="9" s="1"/>
  <c r="J159" i="9" s="1"/>
  <c r="CZ6" i="9"/>
  <c r="CY17" i="8"/>
  <c r="CX3" i="8"/>
  <c r="CX68" i="8"/>
  <c r="BZ17" i="9" l="1"/>
  <c r="BX79" i="8" s="1"/>
  <c r="CX4" i="8"/>
  <c r="CY2" i="7" s="1"/>
  <c r="CY80" i="7" s="1"/>
  <c r="CY1" i="7"/>
  <c r="CZ2" i="9"/>
  <c r="CZ130" i="9"/>
  <c r="CZ128" i="9"/>
  <c r="CZ129" i="9"/>
  <c r="CZ6" i="7"/>
  <c r="DA6" i="9"/>
  <c r="CY3" i="9"/>
  <c r="DP70" i="8"/>
  <c r="DR7" i="9"/>
  <c r="DP69" i="8" s="1"/>
  <c r="DQ8" i="7" s="1"/>
  <c r="DP74" i="8"/>
  <c r="CA18" i="9"/>
  <c r="BX80" i="8"/>
  <c r="DU82" i="8"/>
  <c r="DT82" i="8"/>
  <c r="DU83" i="8"/>
  <c r="DT83" i="8"/>
  <c r="BX81" i="8"/>
  <c r="CB16" i="8"/>
  <c r="CB5" i="7"/>
  <c r="CC5" i="9"/>
  <c r="CZ17" i="8"/>
  <c r="CY3" i="8"/>
  <c r="CY68" i="8"/>
  <c r="AK6" i="47" l="1"/>
  <c r="AK7" i="47"/>
  <c r="AK8" i="47"/>
  <c r="CA17" i="9"/>
  <c r="BY79" i="8" s="1"/>
  <c r="CY4" i="8"/>
  <c r="CZ2" i="7" s="1"/>
  <c r="CZ80" i="7" s="1"/>
  <c r="CZ1" i="7"/>
  <c r="DA2" i="9"/>
  <c r="CB18" i="9"/>
  <c r="BY80" i="8"/>
  <c r="DA6" i="7"/>
  <c r="DB6" i="9"/>
  <c r="DS7" i="9"/>
  <c r="DQ69" i="8" s="1"/>
  <c r="DR8" i="7" s="1"/>
  <c r="DQ70" i="8"/>
  <c r="DQ74" i="8"/>
  <c r="BY81" i="8"/>
  <c r="CZ3" i="9"/>
  <c r="CC16" i="8"/>
  <c r="CC5" i="7"/>
  <c r="CD5" i="9"/>
  <c r="DA17" i="8"/>
  <c r="CZ3" i="8"/>
  <c r="CZ68" i="8"/>
  <c r="CB17" i="9" l="1"/>
  <c r="BZ79" i="8" s="1"/>
  <c r="CC18" i="9"/>
  <c r="BZ80" i="8"/>
  <c r="CD16" i="8"/>
  <c r="CD5" i="7"/>
  <c r="CE5" i="9"/>
  <c r="CY18" i="7"/>
  <c r="CZ4" i="8"/>
  <c r="DA2" i="7" s="1"/>
  <c r="DA80" i="7" s="1"/>
  <c r="DA1" i="7"/>
  <c r="DB2" i="9"/>
  <c r="BZ81" i="8"/>
  <c r="DB6" i="7"/>
  <c r="DC6" i="9"/>
  <c r="DA3" i="9"/>
  <c r="DT7" i="9"/>
  <c r="DR69" i="8" s="1"/>
  <c r="DS8" i="7" s="1"/>
  <c r="DR70" i="8"/>
  <c r="DR74" i="8"/>
  <c r="CY11" i="7"/>
  <c r="DB17" i="8"/>
  <c r="DA3" i="8"/>
  <c r="DA68" i="8"/>
  <c r="CC17" i="9" l="1"/>
  <c r="CA79" i="8" s="1"/>
  <c r="DC6" i="7"/>
  <c r="DD6" i="9"/>
  <c r="DS70" i="8"/>
  <c r="DU7" i="9"/>
  <c r="DS69" i="8" s="1"/>
  <c r="DT8" i="7" s="1"/>
  <c r="DS74" i="8"/>
  <c r="DB3" i="9"/>
  <c r="CD18" i="9"/>
  <c r="CA80" i="8"/>
  <c r="DA4" i="8"/>
  <c r="DB2" i="7" s="1"/>
  <c r="DB80" i="7" s="1"/>
  <c r="DB1" i="7"/>
  <c r="DC2" i="9"/>
  <c r="CE16" i="8"/>
  <c r="CE5" i="7"/>
  <c r="CF5" i="9"/>
  <c r="CA81" i="8"/>
  <c r="DC17" i="8"/>
  <c r="DB3" i="8"/>
  <c r="DB68" i="8"/>
  <c r="CD17" i="9" l="1"/>
  <c r="CB79" i="8" s="1"/>
  <c r="DD6" i="7"/>
  <c r="DE6" i="9"/>
  <c r="CE18" i="9"/>
  <c r="CB80" i="8"/>
  <c r="CB81" i="8"/>
  <c r="DV7" i="9"/>
  <c r="DT69" i="8" s="1"/>
  <c r="DU8" i="7" s="1"/>
  <c r="DT70" i="8"/>
  <c r="DT74" i="8"/>
  <c r="DC3" i="9"/>
  <c r="DB4" i="8"/>
  <c r="DC2" i="7" s="1"/>
  <c r="DC80" i="7" s="1"/>
  <c r="DC1" i="7"/>
  <c r="DD2" i="9"/>
  <c r="CF16" i="8"/>
  <c r="CF5" i="7"/>
  <c r="CG5" i="9"/>
  <c r="DD17" i="8"/>
  <c r="DC3" i="8"/>
  <c r="DC68" i="8"/>
  <c r="CE17" i="9" l="1"/>
  <c r="CC79" i="8" s="1"/>
  <c r="CF18" i="9"/>
  <c r="CC80" i="8"/>
  <c r="DD3" i="9"/>
  <c r="DC4" i="8"/>
  <c r="DD2" i="7" s="1"/>
  <c r="DD80" i="7" s="1"/>
  <c r="DD1" i="7"/>
  <c r="DE2" i="9"/>
  <c r="DE6" i="7"/>
  <c r="DF6" i="9"/>
  <c r="DW7" i="9"/>
  <c r="DU70" i="8"/>
  <c r="CC81" i="8"/>
  <c r="CG16" i="8"/>
  <c r="CG5" i="7"/>
  <c r="CH5" i="9"/>
  <c r="DE17" i="8"/>
  <c r="DD3" i="8"/>
  <c r="DD68" i="8"/>
  <c r="DU69" i="8" l="1"/>
  <c r="DV8" i="7" s="1"/>
  <c r="EO8" i="7" s="1"/>
  <c r="EP8" i="7" s="1"/>
  <c r="DX7" i="9"/>
  <c r="DY7" i="9" s="1"/>
  <c r="DZ7" i="9" s="1"/>
  <c r="EA7" i="9" s="1"/>
  <c r="EB7" i="9" s="1"/>
  <c r="CF17" i="9"/>
  <c r="CD79" i="8" s="1"/>
  <c r="DU74" i="8"/>
  <c r="DF6" i="7"/>
  <c r="DG6" i="9"/>
  <c r="CG18" i="9"/>
  <c r="CD80" i="8"/>
  <c r="CH16" i="8"/>
  <c r="CH5" i="7"/>
  <c r="CI5" i="9"/>
  <c r="CD81" i="8"/>
  <c r="DD4" i="8"/>
  <c r="DE2" i="7" s="1"/>
  <c r="DE80" i="7" s="1"/>
  <c r="DE1" i="7"/>
  <c r="DF2" i="9"/>
  <c r="DE3" i="9"/>
  <c r="DF17" i="8"/>
  <c r="DE3" i="8"/>
  <c r="DE68" i="8"/>
  <c r="CG17" i="9" l="1"/>
  <c r="CE79" i="8" s="1"/>
  <c r="CI16" i="8"/>
  <c r="CI5" i="7"/>
  <c r="CJ5" i="9"/>
  <c r="DE4" i="8"/>
  <c r="DF2" i="7" s="1"/>
  <c r="DF80" i="7" s="1"/>
  <c r="DF1" i="7"/>
  <c r="DG2" i="9"/>
  <c r="DG6" i="7"/>
  <c r="DH6" i="9"/>
  <c r="CH18" i="9"/>
  <c r="CE80" i="8"/>
  <c r="DF3" i="9"/>
  <c r="CE81" i="8"/>
  <c r="DG17" i="8"/>
  <c r="DF3" i="8"/>
  <c r="DF68" i="8"/>
  <c r="CH17" i="9" l="1"/>
  <c r="CF79" i="8" s="1"/>
  <c r="DG3" i="9"/>
  <c r="DF4" i="8"/>
  <c r="DG2" i="7" s="1"/>
  <c r="DG80" i="7" s="1"/>
  <c r="DG1" i="7"/>
  <c r="DH2" i="9"/>
  <c r="CF81" i="8"/>
  <c r="CI18" i="9"/>
  <c r="CF80" i="8"/>
  <c r="DH6" i="7"/>
  <c r="DI6" i="9"/>
  <c r="CJ16" i="8"/>
  <c r="CJ5" i="7"/>
  <c r="CK5" i="9"/>
  <c r="DH17" i="8"/>
  <c r="DG3" i="8"/>
  <c r="DG68" i="8"/>
  <c r="CI17" i="9" l="1"/>
  <c r="CG79" i="8" s="1"/>
  <c r="DG4" i="8"/>
  <c r="DH2" i="7" s="1"/>
  <c r="DH80" i="7" s="1"/>
  <c r="DH1" i="7"/>
  <c r="DI2" i="9"/>
  <c r="DH3" i="9"/>
  <c r="DI6" i="7"/>
  <c r="DJ6" i="9"/>
  <c r="CJ18" i="9"/>
  <c r="CG80" i="8"/>
  <c r="CK16" i="8"/>
  <c r="CK5" i="7"/>
  <c r="CL5" i="9"/>
  <c r="CG81" i="8"/>
  <c r="DI17" i="8"/>
  <c r="DH3" i="8"/>
  <c r="DH68" i="8"/>
  <c r="CJ17" i="9" l="1"/>
  <c r="CH79" i="8" s="1"/>
  <c r="DH4" i="8"/>
  <c r="DI2" i="7" s="1"/>
  <c r="DI80" i="7" s="1"/>
  <c r="DI1" i="7"/>
  <c r="DJ2" i="9"/>
  <c r="CL16" i="8"/>
  <c r="CL5" i="7"/>
  <c r="CM5" i="9"/>
  <c r="DJ6" i="7"/>
  <c r="DK6" i="9"/>
  <c r="CH81" i="8"/>
  <c r="CK18" i="9"/>
  <c r="CH80" i="8"/>
  <c r="DI3" i="9"/>
  <c r="DJ17" i="8"/>
  <c r="DI3" i="8"/>
  <c r="DI68" i="8"/>
  <c r="CK17" i="9" l="1"/>
  <c r="CI79" i="8" s="1"/>
  <c r="CI81" i="8"/>
  <c r="DI4" i="8"/>
  <c r="DJ2" i="7" s="1"/>
  <c r="DJ80" i="7" s="1"/>
  <c r="DJ1" i="7"/>
  <c r="DK2" i="9"/>
  <c r="DK6" i="7"/>
  <c r="N160" i="9" s="1"/>
  <c r="DL6" i="9"/>
  <c r="CL18" i="9"/>
  <c r="CI80" i="8"/>
  <c r="CM16" i="8"/>
  <c r="CM5" i="7"/>
  <c r="CN5" i="9"/>
  <c r="DJ3" i="9"/>
  <c r="DK17" i="8"/>
  <c r="DJ3" i="8"/>
  <c r="DJ68" i="8"/>
  <c r="N161" i="9" l="1"/>
  <c r="F161" i="9" s="1"/>
  <c r="J161" i="9" s="1"/>
  <c r="F160" i="9"/>
  <c r="J160" i="9" s="1"/>
  <c r="DL129" i="9" s="1"/>
  <c r="CL17" i="9"/>
  <c r="CJ79" i="8" s="1"/>
  <c r="CM18" i="9"/>
  <c r="CJ80" i="8"/>
  <c r="DK3" i="9"/>
  <c r="CJ81" i="8"/>
  <c r="DJ4" i="8"/>
  <c r="DK2" i="7" s="1"/>
  <c r="DK80" i="7" s="1"/>
  <c r="DK1" i="7"/>
  <c r="DL2" i="9"/>
  <c r="DL6" i="7"/>
  <c r="DM6" i="9"/>
  <c r="CN16" i="8"/>
  <c r="CN5" i="7"/>
  <c r="CO5" i="9"/>
  <c r="DL128" i="9"/>
  <c r="DL130" i="9"/>
  <c r="DL17" i="8"/>
  <c r="DK3" i="8"/>
  <c r="DK68" i="8"/>
  <c r="AP130" i="9" l="1"/>
  <c r="AL8" i="47"/>
  <c r="DK18" i="7" s="1"/>
  <c r="AL6" i="47"/>
  <c r="DK11" i="7" s="1"/>
  <c r="AL7" i="47"/>
  <c r="DI130" i="9"/>
  <c r="DJ130" i="9"/>
  <c r="CP130" i="9"/>
  <c r="CK130" i="9"/>
  <c r="AU130" i="9"/>
  <c r="CA130" i="9"/>
  <c r="AG130" i="9"/>
  <c r="BK130" i="9"/>
  <c r="BG130" i="9"/>
  <c r="CW130" i="9"/>
  <c r="W130" i="9"/>
  <c r="AI130" i="9"/>
  <c r="BL130" i="9"/>
  <c r="BU130" i="9"/>
  <c r="DK130" i="9"/>
  <c r="K130" i="9"/>
  <c r="AL130" i="9"/>
  <c r="BB130" i="9"/>
  <c r="CE130" i="9"/>
  <c r="BW130" i="9"/>
  <c r="AW130" i="9"/>
  <c r="CO130" i="9"/>
  <c r="BQ130" i="9"/>
  <c r="DC130" i="9"/>
  <c r="AK130" i="9"/>
  <c r="BE130" i="9"/>
  <c r="DB130" i="9"/>
  <c r="AO130" i="9"/>
  <c r="AE130" i="9"/>
  <c r="DA130" i="9"/>
  <c r="V130" i="9"/>
  <c r="I130" i="9"/>
  <c r="X130" i="9"/>
  <c r="Y130" i="9"/>
  <c r="AJ130" i="9"/>
  <c r="BV130" i="9"/>
  <c r="BY130" i="9"/>
  <c r="CR130" i="9"/>
  <c r="CI130" i="9"/>
  <c r="AM130" i="9"/>
  <c r="BM130" i="9"/>
  <c r="J130" i="9"/>
  <c r="BR130" i="9"/>
  <c r="CU130" i="9"/>
  <c r="AZ130" i="9"/>
  <c r="AN130" i="9"/>
  <c r="BC130" i="9"/>
  <c r="BF130" i="9"/>
  <c r="CJ130" i="9"/>
  <c r="CY130" i="9"/>
  <c r="DG130" i="9"/>
  <c r="N130" i="9"/>
  <c r="AD130" i="9"/>
  <c r="CX130" i="9"/>
  <c r="CH130" i="9"/>
  <c r="CD130" i="9"/>
  <c r="AV130" i="9"/>
  <c r="BN130" i="9"/>
  <c r="CS130" i="9"/>
  <c r="CF130" i="9"/>
  <c r="O130" i="9"/>
  <c r="CQ130" i="9"/>
  <c r="DF130" i="9"/>
  <c r="AY130" i="9"/>
  <c r="AA130" i="9"/>
  <c r="AS130" i="9"/>
  <c r="AH130" i="9"/>
  <c r="BT130" i="9"/>
  <c r="AC130" i="9"/>
  <c r="S130" i="9"/>
  <c r="P130" i="9"/>
  <c r="AQ130" i="9"/>
  <c r="AT130" i="9"/>
  <c r="BH130" i="9"/>
  <c r="DH130" i="9"/>
  <c r="DE130" i="9"/>
  <c r="Q130" i="9"/>
  <c r="CM130" i="9"/>
  <c r="AX130" i="9"/>
  <c r="CV130" i="9"/>
  <c r="H130" i="9"/>
  <c r="BI130" i="9"/>
  <c r="BZ130" i="9"/>
  <c r="CG130" i="9"/>
  <c r="CC130" i="9"/>
  <c r="L130" i="9"/>
  <c r="BX130" i="9"/>
  <c r="DD130" i="9"/>
  <c r="BS130" i="9"/>
  <c r="Z130" i="9"/>
  <c r="M130" i="9"/>
  <c r="CL130" i="9"/>
  <c r="BA130" i="9"/>
  <c r="BO130" i="9"/>
  <c r="CT130" i="9"/>
  <c r="U130" i="9"/>
  <c r="AB130" i="9"/>
  <c r="R130" i="9"/>
  <c r="BJ130" i="9"/>
  <c r="CM17" i="9"/>
  <c r="CK79" i="8" s="1"/>
  <c r="DM128" i="9"/>
  <c r="DM130" i="9"/>
  <c r="DL3" i="9"/>
  <c r="CN18" i="9"/>
  <c r="CK80" i="8"/>
  <c r="CK81" i="8"/>
  <c r="DK4" i="8"/>
  <c r="DL2" i="7" s="1"/>
  <c r="DL80" i="7" s="1"/>
  <c r="DL1" i="7"/>
  <c r="DM2" i="9"/>
  <c r="DM6" i="7"/>
  <c r="DN6" i="9"/>
  <c r="CO16" i="8"/>
  <c r="CO5" i="7"/>
  <c r="CP5" i="9"/>
  <c r="DM17" i="8"/>
  <c r="DL3" i="8"/>
  <c r="DL68" i="8"/>
  <c r="DK128" i="9" l="1"/>
  <c r="BS128" i="9"/>
  <c r="U128" i="9"/>
  <c r="R128" i="9"/>
  <c r="BL128" i="9"/>
  <c r="CJ128" i="9"/>
  <c r="BZ128" i="9"/>
  <c r="BR128" i="9"/>
  <c r="DG128" i="9"/>
  <c r="CY128" i="9"/>
  <c r="L128" i="9"/>
  <c r="BT128" i="9"/>
  <c r="BQ128" i="9"/>
  <c r="BU128" i="9"/>
  <c r="AW128" i="9"/>
  <c r="BG128" i="9"/>
  <c r="CK128" i="9"/>
  <c r="AO128" i="9"/>
  <c r="BO128" i="9"/>
  <c r="CR128" i="9"/>
  <c r="AP128" i="9"/>
  <c r="AQ128" i="9"/>
  <c r="AZ128" i="9"/>
  <c r="BY128" i="9"/>
  <c r="I128" i="9"/>
  <c r="CP128" i="9"/>
  <c r="AD128" i="9"/>
  <c r="AB128" i="9"/>
  <c r="DH128" i="9"/>
  <c r="AU128" i="9"/>
  <c r="DI128" i="9"/>
  <c r="CO128" i="9"/>
  <c r="AM128" i="9"/>
  <c r="AV128" i="9"/>
  <c r="AS128" i="9"/>
  <c r="CV128" i="9"/>
  <c r="CE128" i="9"/>
  <c r="Y128" i="9"/>
  <c r="BJ128" i="9"/>
  <c r="S128" i="9"/>
  <c r="CS128" i="9"/>
  <c r="AA128" i="9"/>
  <c r="BV128" i="9"/>
  <c r="BK128" i="9"/>
  <c r="M128" i="9"/>
  <c r="DJ128" i="9"/>
  <c r="O128" i="9"/>
  <c r="AT128" i="9"/>
  <c r="AK128" i="9"/>
  <c r="W128" i="9"/>
  <c r="BF128" i="9"/>
  <c r="CU128" i="9"/>
  <c r="AX128" i="9"/>
  <c r="BE128" i="9"/>
  <c r="CH128" i="9"/>
  <c r="BA128" i="9"/>
  <c r="H128" i="9"/>
  <c r="H67" i="9" s="1"/>
  <c r="CC128" i="9"/>
  <c r="Q128" i="9"/>
  <c r="BW128" i="9"/>
  <c r="AL128" i="9"/>
  <c r="K128" i="9"/>
  <c r="CQ128" i="9"/>
  <c r="DA128" i="9"/>
  <c r="CW128" i="9"/>
  <c r="CL128" i="9"/>
  <c r="DF128" i="9"/>
  <c r="N128" i="9"/>
  <c r="BN128" i="9"/>
  <c r="AI128" i="9"/>
  <c r="AN128" i="9"/>
  <c r="BM128" i="9"/>
  <c r="AC128" i="9"/>
  <c r="P128" i="9"/>
  <c r="DB128" i="9"/>
  <c r="J128" i="9"/>
  <c r="CX128" i="9"/>
  <c r="CT128" i="9"/>
  <c r="CA128" i="9"/>
  <c r="AJ128" i="9"/>
  <c r="X128" i="9"/>
  <c r="AE128" i="9"/>
  <c r="V128" i="9"/>
  <c r="CF128" i="9"/>
  <c r="DC128" i="9"/>
  <c r="BH128" i="9"/>
  <c r="BC128" i="9"/>
  <c r="CI128" i="9"/>
  <c r="Z128" i="9"/>
  <c r="AG128" i="9"/>
  <c r="BB128" i="9"/>
  <c r="BI128" i="9"/>
  <c r="CD128" i="9"/>
  <c r="DD128" i="9"/>
  <c r="AY128" i="9"/>
  <c r="DE128" i="9"/>
  <c r="AH128" i="9"/>
  <c r="CM128" i="9"/>
  <c r="CG128" i="9"/>
  <c r="BX128" i="9"/>
  <c r="CN17" i="9"/>
  <c r="CL79" i="8" s="1"/>
  <c r="DN128" i="9"/>
  <c r="DN130" i="9"/>
  <c r="DN129" i="9"/>
  <c r="CL81" i="8"/>
  <c r="CP16" i="8"/>
  <c r="CP5" i="7"/>
  <c r="CQ5" i="9"/>
  <c r="DL4" i="8"/>
  <c r="DM2" i="7" s="1"/>
  <c r="DM80" i="7" s="1"/>
  <c r="DM1" i="7"/>
  <c r="DN2" i="9"/>
  <c r="DN6" i="7"/>
  <c r="DO6" i="9"/>
  <c r="DM3" i="9"/>
  <c r="CO18" i="9"/>
  <c r="CL80" i="8"/>
  <c r="DN17" i="8"/>
  <c r="DM3" i="8"/>
  <c r="DM68" i="8"/>
  <c r="F113" i="8" l="1"/>
  <c r="F131" i="8" s="1"/>
  <c r="I67" i="9"/>
  <c r="AI129" i="9"/>
  <c r="BX129" i="9"/>
  <c r="AE129" i="9"/>
  <c r="CF129" i="9"/>
  <c r="R129" i="9"/>
  <c r="AX129" i="9"/>
  <c r="I129" i="9"/>
  <c r="DF129" i="9"/>
  <c r="BL129" i="9"/>
  <c r="J129" i="9"/>
  <c r="BB129" i="9"/>
  <c r="AC129" i="9"/>
  <c r="CI129" i="9"/>
  <c r="AQ129" i="9"/>
  <c r="CH129" i="9"/>
  <c r="AO129" i="9"/>
  <c r="DG129" i="9"/>
  <c r="V129" i="9"/>
  <c r="M129" i="9"/>
  <c r="BC129" i="9"/>
  <c r="AT129" i="9"/>
  <c r="CY129" i="9"/>
  <c r="CJ129" i="9"/>
  <c r="Y129" i="9"/>
  <c r="AZ129" i="9"/>
  <c r="BN129" i="9"/>
  <c r="DH129" i="9"/>
  <c r="DD129" i="9"/>
  <c r="BI129" i="9"/>
  <c r="AA129" i="9"/>
  <c r="AU129" i="9"/>
  <c r="CX129" i="9"/>
  <c r="AJ129" i="9"/>
  <c r="BU129" i="9"/>
  <c r="CD129" i="9"/>
  <c r="Z129" i="9"/>
  <c r="BK129" i="9"/>
  <c r="DI129" i="9"/>
  <c r="DM129" i="9"/>
  <c r="DE129" i="9"/>
  <c r="CC129" i="9"/>
  <c r="P129" i="9"/>
  <c r="Q129" i="9"/>
  <c r="AD129" i="9"/>
  <c r="BV129" i="9"/>
  <c r="CP129" i="9"/>
  <c r="S129" i="9"/>
  <c r="N129" i="9"/>
  <c r="DJ129" i="9"/>
  <c r="AH129" i="9"/>
  <c r="AS129" i="9"/>
  <c r="CO129" i="9"/>
  <c r="CA129" i="9"/>
  <c r="W129" i="9"/>
  <c r="AM129" i="9"/>
  <c r="AW129" i="9"/>
  <c r="CR129" i="9"/>
  <c r="K129" i="9"/>
  <c r="DK129" i="9"/>
  <c r="AY129" i="9"/>
  <c r="BF129" i="9"/>
  <c r="CW129" i="9"/>
  <c r="AL129" i="9"/>
  <c r="AG129" i="9"/>
  <c r="BS129" i="9"/>
  <c r="AP129" i="9"/>
  <c r="CS129" i="9"/>
  <c r="CT129" i="9"/>
  <c r="CL129" i="9"/>
  <c r="BO129" i="9"/>
  <c r="CU129" i="9"/>
  <c r="L129" i="9"/>
  <c r="O129" i="9"/>
  <c r="BT129" i="9"/>
  <c r="H129" i="9"/>
  <c r="AN129" i="9"/>
  <c r="CM129" i="9"/>
  <c r="BE129" i="9"/>
  <c r="BZ129" i="9"/>
  <c r="CE129" i="9"/>
  <c r="BM129" i="9"/>
  <c r="BR129" i="9"/>
  <c r="BH129" i="9"/>
  <c r="BW129" i="9"/>
  <c r="CQ129" i="9"/>
  <c r="CG129" i="9"/>
  <c r="DB129" i="9"/>
  <c r="CK129" i="9"/>
  <c r="BQ129" i="9"/>
  <c r="BA129" i="9"/>
  <c r="CV129" i="9"/>
  <c r="BJ129" i="9"/>
  <c r="AV129" i="9"/>
  <c r="AK129" i="9"/>
  <c r="U129" i="9"/>
  <c r="DA129" i="9"/>
  <c r="BG129" i="9"/>
  <c r="DC129" i="9"/>
  <c r="X129" i="9"/>
  <c r="BY129" i="9"/>
  <c r="AB129" i="9"/>
  <c r="CO17" i="9"/>
  <c r="CM79" i="8" s="1"/>
  <c r="DO128" i="9"/>
  <c r="DO130" i="9"/>
  <c r="DO129" i="9"/>
  <c r="DN3" i="9"/>
  <c r="DM4" i="8"/>
  <c r="DN2" i="7" s="1"/>
  <c r="DN80" i="7" s="1"/>
  <c r="DN1" i="7"/>
  <c r="DO2" i="9"/>
  <c r="CP18" i="9"/>
  <c r="CM80" i="8"/>
  <c r="CM81" i="8"/>
  <c r="DO6" i="7"/>
  <c r="DP6" i="9"/>
  <c r="CQ16" i="8"/>
  <c r="CQ5" i="7"/>
  <c r="CR5" i="9"/>
  <c r="DO17" i="8"/>
  <c r="DN3" i="8"/>
  <c r="DN68" i="8"/>
  <c r="H107" i="9" l="1"/>
  <c r="F159" i="8" s="1"/>
  <c r="H119" i="9"/>
  <c r="H82" i="9"/>
  <c r="H80" i="9"/>
  <c r="H81" i="9"/>
  <c r="H103" i="9"/>
  <c r="H106" i="9"/>
  <c r="H112" i="9"/>
  <c r="H109" i="9"/>
  <c r="H108" i="9"/>
  <c r="H104" i="9"/>
  <c r="H105" i="9"/>
  <c r="H76" i="9"/>
  <c r="H75" i="9"/>
  <c r="H70" i="9"/>
  <c r="H71" i="9"/>
  <c r="H74" i="9"/>
  <c r="H79" i="9"/>
  <c r="H69" i="9"/>
  <c r="H73" i="9"/>
  <c r="H72" i="9"/>
  <c r="H78" i="9"/>
  <c r="H77" i="9"/>
  <c r="J67" i="9"/>
  <c r="G113" i="8"/>
  <c r="CP17" i="9"/>
  <c r="CN79" i="8" s="1"/>
  <c r="DP130" i="9"/>
  <c r="DP128" i="9"/>
  <c r="DP129" i="9"/>
  <c r="DO3" i="9"/>
  <c r="CQ18" i="9"/>
  <c r="CN80" i="8"/>
  <c r="DN4" i="8"/>
  <c r="DO2" i="7" s="1"/>
  <c r="DO80" i="7" s="1"/>
  <c r="DO1" i="7"/>
  <c r="DP2" i="9"/>
  <c r="CN81" i="8"/>
  <c r="DP6" i="7"/>
  <c r="DQ6" i="9"/>
  <c r="CR16" i="8"/>
  <c r="CR5" i="7"/>
  <c r="CS5" i="9"/>
  <c r="DP17" i="8"/>
  <c r="DO3" i="8"/>
  <c r="DO68" i="8"/>
  <c r="I62" i="7" l="1"/>
  <c r="I67" i="7" s="1"/>
  <c r="K67" i="9"/>
  <c r="H113" i="8"/>
  <c r="F122" i="8"/>
  <c r="I76" i="9"/>
  <c r="I119" i="9"/>
  <c r="H121" i="9"/>
  <c r="F169" i="8" s="1"/>
  <c r="I105" i="9"/>
  <c r="F157" i="8"/>
  <c r="I107" i="9"/>
  <c r="F126" i="8"/>
  <c r="I80" i="9"/>
  <c r="F123" i="8"/>
  <c r="I77" i="9"/>
  <c r="F156" i="8"/>
  <c r="I104" i="9"/>
  <c r="F128" i="8"/>
  <c r="I82" i="9"/>
  <c r="F124" i="8"/>
  <c r="I78" i="9"/>
  <c r="I108" i="9"/>
  <c r="F160" i="8"/>
  <c r="H110" i="9"/>
  <c r="F162" i="8" s="1"/>
  <c r="I75" i="9"/>
  <c r="F121" i="8"/>
  <c r="I72" i="9"/>
  <c r="F118" i="8"/>
  <c r="F161" i="8"/>
  <c r="I109" i="9"/>
  <c r="I70" i="9"/>
  <c r="F116" i="8"/>
  <c r="I73" i="9"/>
  <c r="F119" i="8"/>
  <c r="F164" i="8"/>
  <c r="I112" i="9"/>
  <c r="F115" i="8"/>
  <c r="I69" i="9"/>
  <c r="F125" i="8"/>
  <c r="I79" i="9"/>
  <c r="I106" i="9"/>
  <c r="F158" i="8"/>
  <c r="I74" i="9"/>
  <c r="F120" i="8"/>
  <c r="I103" i="9"/>
  <c r="F155" i="8"/>
  <c r="I71" i="9"/>
  <c r="F117" i="8"/>
  <c r="F127" i="8"/>
  <c r="I81" i="9"/>
  <c r="CQ17" i="9"/>
  <c r="CO79" i="8" s="1"/>
  <c r="CS16" i="8"/>
  <c r="CS5" i="7"/>
  <c r="CT5" i="9"/>
  <c r="DQ129" i="9"/>
  <c r="DQ130" i="9"/>
  <c r="DQ128" i="9"/>
  <c r="DP3" i="9"/>
  <c r="CO81" i="8"/>
  <c r="DO4" i="8"/>
  <c r="DP2" i="7" s="1"/>
  <c r="DP80" i="7" s="1"/>
  <c r="DP1" i="7"/>
  <c r="DQ2" i="9"/>
  <c r="CR18" i="9"/>
  <c r="CO80" i="8"/>
  <c r="DQ6" i="7"/>
  <c r="DR6" i="9"/>
  <c r="DQ17" i="8"/>
  <c r="DP3" i="8"/>
  <c r="DP68" i="8"/>
  <c r="I68" i="7" l="1"/>
  <c r="I70" i="7" s="1"/>
  <c r="I72" i="7" s="1"/>
  <c r="I73" i="7" s="1"/>
  <c r="G160" i="8"/>
  <c r="I110" i="9"/>
  <c r="G162" i="8" s="1"/>
  <c r="J108" i="9"/>
  <c r="G124" i="8"/>
  <c r="J78" i="9"/>
  <c r="G159" i="8"/>
  <c r="J107" i="9"/>
  <c r="G158" i="8"/>
  <c r="J106" i="9"/>
  <c r="J79" i="9"/>
  <c r="G125" i="8"/>
  <c r="G116" i="8"/>
  <c r="J70" i="9"/>
  <c r="J82" i="9"/>
  <c r="G128" i="8"/>
  <c r="G157" i="8"/>
  <c r="J105" i="9"/>
  <c r="J81" i="9"/>
  <c r="G127" i="8"/>
  <c r="J109" i="9"/>
  <c r="G161" i="8"/>
  <c r="G120" i="8"/>
  <c r="J74" i="9"/>
  <c r="J104" i="9"/>
  <c r="G156" i="8"/>
  <c r="J119" i="9"/>
  <c r="I121" i="9"/>
  <c r="G169" i="8" s="1"/>
  <c r="J76" i="9"/>
  <c r="G122" i="8"/>
  <c r="G119" i="8"/>
  <c r="J73" i="9"/>
  <c r="J71" i="9"/>
  <c r="G117" i="8"/>
  <c r="J69" i="9"/>
  <c r="G115" i="8"/>
  <c r="J72" i="9"/>
  <c r="G118" i="8"/>
  <c r="G123" i="8"/>
  <c r="J77" i="9"/>
  <c r="J103" i="9"/>
  <c r="G155" i="8"/>
  <c r="J80" i="9"/>
  <c r="G126" i="8"/>
  <c r="J112" i="9"/>
  <c r="G164" i="8"/>
  <c r="G121" i="8"/>
  <c r="J75" i="9"/>
  <c r="I113" i="8"/>
  <c r="L67" i="9"/>
  <c r="CR17" i="9"/>
  <c r="CP79" i="8" s="1"/>
  <c r="CS18" i="9"/>
  <c r="CP80" i="8"/>
  <c r="DP4" i="8"/>
  <c r="DQ2" i="7" s="1"/>
  <c r="DQ80" i="7" s="1"/>
  <c r="DQ1" i="7"/>
  <c r="DR2" i="9"/>
  <c r="CP81" i="8"/>
  <c r="DR6" i="7"/>
  <c r="DS6" i="9"/>
  <c r="CT16" i="8"/>
  <c r="CT5" i="7"/>
  <c r="CU5" i="9"/>
  <c r="DR128" i="9"/>
  <c r="DR129" i="9"/>
  <c r="DR130" i="9"/>
  <c r="DQ3" i="9"/>
  <c r="DR17" i="8"/>
  <c r="DQ3" i="8"/>
  <c r="DQ68" i="8"/>
  <c r="H119" i="8" l="1"/>
  <c r="K73" i="9"/>
  <c r="K75" i="9"/>
  <c r="H121" i="8"/>
  <c r="K103" i="9"/>
  <c r="H155" i="8"/>
  <c r="H122" i="8"/>
  <c r="K76" i="9"/>
  <c r="H127" i="8"/>
  <c r="K81" i="9"/>
  <c r="H159" i="8"/>
  <c r="K107" i="9"/>
  <c r="K77" i="9"/>
  <c r="H123" i="8"/>
  <c r="K105" i="9"/>
  <c r="H157" i="8"/>
  <c r="H164" i="8"/>
  <c r="K112" i="9"/>
  <c r="K119" i="9"/>
  <c r="J121" i="9"/>
  <c r="H169" i="8" s="1"/>
  <c r="H124" i="8"/>
  <c r="K78" i="9"/>
  <c r="K72" i="9"/>
  <c r="H118" i="8"/>
  <c r="H156" i="8"/>
  <c r="K82" i="9"/>
  <c r="H128" i="8"/>
  <c r="K109" i="9"/>
  <c r="H161" i="8"/>
  <c r="K70" i="9"/>
  <c r="H116" i="8"/>
  <c r="H158" i="8"/>
  <c r="K106" i="9"/>
  <c r="K80" i="9"/>
  <c r="H126" i="8"/>
  <c r="H115" i="8"/>
  <c r="K69" i="9"/>
  <c r="K108" i="9"/>
  <c r="H160" i="8"/>
  <c r="J110" i="9"/>
  <c r="H162" i="8" s="1"/>
  <c r="J113" i="8"/>
  <c r="M67" i="9"/>
  <c r="K74" i="9"/>
  <c r="H120" i="8"/>
  <c r="K71" i="9"/>
  <c r="H117" i="8"/>
  <c r="H125" i="8"/>
  <c r="K79" i="9"/>
  <c r="CS17" i="9"/>
  <c r="CQ79" i="8" s="1"/>
  <c r="DS6" i="7"/>
  <c r="DT6" i="9"/>
  <c r="DS128" i="9"/>
  <c r="DS130" i="9"/>
  <c r="DS129" i="9"/>
  <c r="DR3" i="9"/>
  <c r="CU16" i="8"/>
  <c r="CU5" i="7"/>
  <c r="CV5" i="9"/>
  <c r="CT18" i="9"/>
  <c r="CQ80" i="8"/>
  <c r="CQ81" i="8"/>
  <c r="DQ4" i="8"/>
  <c r="DR2" i="7" s="1"/>
  <c r="DR80" i="7" s="1"/>
  <c r="DR1" i="7"/>
  <c r="DS2" i="9"/>
  <c r="DS17" i="8"/>
  <c r="DR3" i="8"/>
  <c r="DR68" i="8"/>
  <c r="I117" i="8" l="1"/>
  <c r="L71" i="9"/>
  <c r="L82" i="9"/>
  <c r="I128" i="8"/>
  <c r="I164" i="8"/>
  <c r="L112" i="9"/>
  <c r="L104" i="9"/>
  <c r="I156" i="8"/>
  <c r="L103" i="9"/>
  <c r="I155" i="8"/>
  <c r="L119" i="9"/>
  <c r="K121" i="9"/>
  <c r="I169" i="8" s="1"/>
  <c r="I158" i="8"/>
  <c r="L106" i="9"/>
  <c r="I125" i="8"/>
  <c r="L79" i="9"/>
  <c r="I122" i="8"/>
  <c r="L76" i="9"/>
  <c r="I126" i="8"/>
  <c r="L80" i="9"/>
  <c r="L105" i="9"/>
  <c r="I157" i="8"/>
  <c r="I121" i="8"/>
  <c r="L75" i="9"/>
  <c r="L109" i="9"/>
  <c r="I161" i="8"/>
  <c r="I115" i="8"/>
  <c r="L69" i="9"/>
  <c r="I120" i="8"/>
  <c r="L74" i="9"/>
  <c r="I118" i="8"/>
  <c r="L72" i="9"/>
  <c r="I119" i="8"/>
  <c r="L73" i="9"/>
  <c r="K113" i="8"/>
  <c r="N67" i="9"/>
  <c r="L70" i="9"/>
  <c r="I116" i="8"/>
  <c r="I123" i="8"/>
  <c r="L77" i="9"/>
  <c r="I159" i="8"/>
  <c r="L107" i="9"/>
  <c r="K110" i="9"/>
  <c r="I162" i="8" s="1"/>
  <c r="I160" i="8"/>
  <c r="L108" i="9"/>
  <c r="L78" i="9"/>
  <c r="I124" i="8"/>
  <c r="I127" i="8"/>
  <c r="L81" i="9"/>
  <c r="CT17" i="9"/>
  <c r="CR79" i="8" s="1"/>
  <c r="DR4" i="8"/>
  <c r="DS2" i="7" s="1"/>
  <c r="DS80" i="7" s="1"/>
  <c r="DS1" i="7"/>
  <c r="DT2" i="9"/>
  <c r="CU18" i="9"/>
  <c r="CR80" i="8"/>
  <c r="DT6" i="7"/>
  <c r="DU6" i="9"/>
  <c r="CR81" i="8"/>
  <c r="DT129" i="9"/>
  <c r="DT128" i="9"/>
  <c r="DT130" i="9"/>
  <c r="DS3" i="9"/>
  <c r="CV16" i="8"/>
  <c r="CV5" i="7"/>
  <c r="CW5" i="9"/>
  <c r="DT17" i="8"/>
  <c r="DS3" i="8"/>
  <c r="DS68" i="8"/>
  <c r="J127" i="8" l="1"/>
  <c r="M81" i="9"/>
  <c r="M103" i="9"/>
  <c r="J155" i="8"/>
  <c r="M77" i="9"/>
  <c r="J123" i="8"/>
  <c r="J120" i="8"/>
  <c r="M74" i="9"/>
  <c r="M76" i="9"/>
  <c r="J122" i="8"/>
  <c r="M104" i="9"/>
  <c r="J156" i="8"/>
  <c r="M119" i="9"/>
  <c r="L121" i="9"/>
  <c r="J169" i="8" s="1"/>
  <c r="M80" i="9"/>
  <c r="J126" i="8"/>
  <c r="J124" i="8"/>
  <c r="M78" i="9"/>
  <c r="J115" i="8"/>
  <c r="M69" i="9"/>
  <c r="J125" i="8"/>
  <c r="M79" i="9"/>
  <c r="J164" i="8"/>
  <c r="M112" i="9"/>
  <c r="M105" i="9"/>
  <c r="J157" i="8"/>
  <c r="M72" i="9"/>
  <c r="J118" i="8"/>
  <c r="M70" i="9"/>
  <c r="J116" i="8"/>
  <c r="L110" i="9"/>
  <c r="J162" i="8" s="1"/>
  <c r="J160" i="8"/>
  <c r="M108" i="9"/>
  <c r="L113" i="8"/>
  <c r="O67" i="9"/>
  <c r="J161" i="8"/>
  <c r="M109" i="9"/>
  <c r="J128" i="8"/>
  <c r="M82" i="9"/>
  <c r="M75" i="9"/>
  <c r="J121" i="8"/>
  <c r="M106" i="9"/>
  <c r="J158" i="8"/>
  <c r="M71" i="9"/>
  <c r="J117" i="8"/>
  <c r="J159" i="8"/>
  <c r="M107" i="9"/>
  <c r="J119" i="8"/>
  <c r="M73" i="9"/>
  <c r="CU17" i="9"/>
  <c r="CS79" i="8" s="1"/>
  <c r="DU6" i="7"/>
  <c r="DV6" i="9"/>
  <c r="DS4" i="8"/>
  <c r="DT2" i="7" s="1"/>
  <c r="DT80" i="7" s="1"/>
  <c r="DT1" i="7"/>
  <c r="DU2" i="9"/>
  <c r="CV18" i="9"/>
  <c r="CS80" i="8"/>
  <c r="CS81" i="8"/>
  <c r="DU128" i="9"/>
  <c r="DU129" i="9"/>
  <c r="DU130" i="9"/>
  <c r="CW16" i="8"/>
  <c r="CW5" i="7"/>
  <c r="CX5" i="9"/>
  <c r="DT3" i="9"/>
  <c r="DU17" i="8"/>
  <c r="DT68" i="8"/>
  <c r="DT3" i="8"/>
  <c r="N69" i="9" l="1"/>
  <c r="K115" i="8"/>
  <c r="K120" i="8"/>
  <c r="N74" i="9"/>
  <c r="N109" i="9"/>
  <c r="K161" i="8"/>
  <c r="N72" i="9"/>
  <c r="K118" i="8"/>
  <c r="K124" i="8"/>
  <c r="N78" i="9"/>
  <c r="K159" i="8"/>
  <c r="N107" i="9"/>
  <c r="P67" i="9"/>
  <c r="M113" i="8"/>
  <c r="N77" i="9"/>
  <c r="K123" i="8"/>
  <c r="K117" i="8"/>
  <c r="N71" i="9"/>
  <c r="N80" i="9"/>
  <c r="K126" i="8"/>
  <c r="K128" i="8"/>
  <c r="N82" i="9"/>
  <c r="K122" i="8"/>
  <c r="N76" i="9"/>
  <c r="M110" i="9"/>
  <c r="K162" i="8" s="1"/>
  <c r="K160" i="8"/>
  <c r="N108" i="9"/>
  <c r="N105" i="9"/>
  <c r="K157" i="8"/>
  <c r="N103" i="9"/>
  <c r="K155" i="8"/>
  <c r="K158" i="8"/>
  <c r="K164" i="8"/>
  <c r="N112" i="9"/>
  <c r="N119" i="9"/>
  <c r="M121" i="9"/>
  <c r="K169" i="8" s="1"/>
  <c r="K127" i="8"/>
  <c r="N81" i="9"/>
  <c r="N75" i="9"/>
  <c r="K121" i="8"/>
  <c r="K125" i="8"/>
  <c r="N79" i="9"/>
  <c r="K156" i="8"/>
  <c r="K119" i="8"/>
  <c r="N73" i="9"/>
  <c r="K116" i="8"/>
  <c r="N70" i="9"/>
  <c r="CV17" i="9"/>
  <c r="CT79" i="8" s="1"/>
  <c r="DV6" i="7"/>
  <c r="DW6" i="9"/>
  <c r="CX16" i="8"/>
  <c r="CX5" i="7"/>
  <c r="CY5" i="9"/>
  <c r="CW18" i="9"/>
  <c r="CT80" i="8"/>
  <c r="DV129" i="9"/>
  <c r="DV128" i="9"/>
  <c r="DV130" i="9"/>
  <c r="CT81" i="8"/>
  <c r="DU3" i="9"/>
  <c r="DT4" i="8"/>
  <c r="DU2" i="7" s="1"/>
  <c r="DU80" i="7" s="1"/>
  <c r="DU1" i="7"/>
  <c r="DV2" i="9"/>
  <c r="DU3" i="8"/>
  <c r="DU68" i="8"/>
  <c r="O80" i="9" l="1"/>
  <c r="L126" i="8"/>
  <c r="L121" i="8"/>
  <c r="O75" i="9"/>
  <c r="O105" i="9"/>
  <c r="L157" i="8"/>
  <c r="L117" i="8"/>
  <c r="O71" i="9"/>
  <c r="O78" i="9"/>
  <c r="L124" i="8"/>
  <c r="L160" i="8"/>
  <c r="N110" i="9"/>
  <c r="L162" i="8" s="1"/>
  <c r="O108" i="9"/>
  <c r="L118" i="8"/>
  <c r="O72" i="9"/>
  <c r="O103" i="9"/>
  <c r="L155" i="8"/>
  <c r="O70" i="9"/>
  <c r="L116" i="8"/>
  <c r="O81" i="9"/>
  <c r="L127" i="8"/>
  <c r="L123" i="8"/>
  <c r="O77" i="9"/>
  <c r="L125" i="8"/>
  <c r="O79" i="9"/>
  <c r="O119" i="9"/>
  <c r="N121" i="9"/>
  <c r="L169" i="8" s="1"/>
  <c r="L120" i="8"/>
  <c r="O74" i="9"/>
  <c r="L119" i="8"/>
  <c r="O73" i="9"/>
  <c r="O112" i="9"/>
  <c r="L164" i="8"/>
  <c r="O76" i="9"/>
  <c r="L122" i="8"/>
  <c r="O104" i="9"/>
  <c r="L156" i="8"/>
  <c r="O106" i="9"/>
  <c r="L158" i="8"/>
  <c r="Q67" i="9"/>
  <c r="N113" i="8"/>
  <c r="L115" i="8"/>
  <c r="O69" i="9"/>
  <c r="O109" i="9"/>
  <c r="L161" i="8"/>
  <c r="O82" i="9"/>
  <c r="L128" i="8"/>
  <c r="L159" i="8"/>
  <c r="O107" i="9"/>
  <c r="CW17" i="9"/>
  <c r="CU79" i="8" s="1"/>
  <c r="CX18" i="9"/>
  <c r="CU80" i="8"/>
  <c r="CU81" i="8"/>
  <c r="CY16" i="8"/>
  <c r="CY5" i="7"/>
  <c r="CZ5" i="9"/>
  <c r="DV3" i="9"/>
  <c r="DW129" i="9"/>
  <c r="DW128" i="9"/>
  <c r="DW130" i="9"/>
  <c r="DU4" i="8"/>
  <c r="DV2" i="7" s="1"/>
  <c r="DV80" i="7" s="1"/>
  <c r="DV1" i="7"/>
  <c r="DW2" i="9"/>
  <c r="M123" i="8" l="1"/>
  <c r="P77" i="9"/>
  <c r="P81" i="9"/>
  <c r="M127" i="8"/>
  <c r="M124" i="8"/>
  <c r="P78" i="9"/>
  <c r="M119" i="8"/>
  <c r="P73" i="9"/>
  <c r="O113" i="8"/>
  <c r="R67" i="9"/>
  <c r="M117" i="8"/>
  <c r="P71" i="9"/>
  <c r="M159" i="8"/>
  <c r="P107" i="9"/>
  <c r="M128" i="8"/>
  <c r="P82" i="9"/>
  <c r="M156" i="8"/>
  <c r="P104" i="9"/>
  <c r="P74" i="9"/>
  <c r="M120" i="8"/>
  <c r="P70" i="9"/>
  <c r="M116" i="8"/>
  <c r="P105" i="9"/>
  <c r="M157" i="8"/>
  <c r="P106" i="9"/>
  <c r="M158" i="8"/>
  <c r="M155" i="8"/>
  <c r="P103" i="9"/>
  <c r="P75" i="9"/>
  <c r="M121" i="8"/>
  <c r="P119" i="9"/>
  <c r="O121" i="9"/>
  <c r="M169" i="8" s="1"/>
  <c r="M115" i="8"/>
  <c r="P69" i="9"/>
  <c r="M161" i="8"/>
  <c r="P109" i="9"/>
  <c r="M122" i="8"/>
  <c r="P76" i="9"/>
  <c r="P72" i="9"/>
  <c r="M118" i="8"/>
  <c r="M125" i="8"/>
  <c r="P79" i="9"/>
  <c r="P112" i="9"/>
  <c r="M164" i="8"/>
  <c r="M160" i="8"/>
  <c r="O110" i="9"/>
  <c r="M162" i="8" s="1"/>
  <c r="P108" i="9"/>
  <c r="M126" i="8"/>
  <c r="P80" i="9"/>
  <c r="CX17" i="9"/>
  <c r="CV79" i="8" s="1"/>
  <c r="CV81" i="8"/>
  <c r="DW3" i="9"/>
  <c r="CZ16" i="8"/>
  <c r="CZ5" i="7"/>
  <c r="DA5" i="9"/>
  <c r="CY18" i="9"/>
  <c r="CV80" i="8"/>
  <c r="Q108" i="9" l="1"/>
  <c r="P110" i="9"/>
  <c r="N162" i="8" s="1"/>
  <c r="N160" i="8"/>
  <c r="Q109" i="9"/>
  <c r="N161" i="8"/>
  <c r="Q74" i="9"/>
  <c r="N120" i="8"/>
  <c r="N121" i="8"/>
  <c r="Q75" i="9"/>
  <c r="N156" i="8"/>
  <c r="Q104" i="9"/>
  <c r="Q73" i="9"/>
  <c r="N119" i="8"/>
  <c r="Q103" i="9"/>
  <c r="N155" i="8"/>
  <c r="Q72" i="9"/>
  <c r="N118" i="8"/>
  <c r="N115" i="8"/>
  <c r="Q69" i="9"/>
  <c r="Q82" i="9"/>
  <c r="N128" i="8"/>
  <c r="N124" i="8"/>
  <c r="Q78" i="9"/>
  <c r="N164" i="8"/>
  <c r="Q112" i="9"/>
  <c r="P113" i="8"/>
  <c r="S67" i="9"/>
  <c r="N125" i="8"/>
  <c r="Q79" i="9"/>
  <c r="Q106" i="9"/>
  <c r="N158" i="8"/>
  <c r="N159" i="8"/>
  <c r="Q107" i="9"/>
  <c r="N126" i="8"/>
  <c r="Q80" i="9"/>
  <c r="Q70" i="9"/>
  <c r="N116" i="8"/>
  <c r="Q119" i="9"/>
  <c r="P121" i="9"/>
  <c r="N169" i="8" s="1"/>
  <c r="Q81" i="9"/>
  <c r="N127" i="8"/>
  <c r="N122" i="8"/>
  <c r="Q76" i="9"/>
  <c r="Q105" i="9"/>
  <c r="N157" i="8"/>
  <c r="N117" i="8"/>
  <c r="Q71" i="9"/>
  <c r="Q77" i="9"/>
  <c r="N123" i="8"/>
  <c r="CY17" i="9"/>
  <c r="CW79" i="8" s="1"/>
  <c r="DA16" i="8"/>
  <c r="DA5" i="7"/>
  <c r="DB5" i="9"/>
  <c r="CZ18" i="9"/>
  <c r="CW80" i="8"/>
  <c r="CW81" i="8"/>
  <c r="O158" i="8" l="1"/>
  <c r="R106" i="9"/>
  <c r="T67" i="9"/>
  <c r="Q113" i="8"/>
  <c r="O123" i="8"/>
  <c r="R77" i="9"/>
  <c r="R119" i="9"/>
  <c r="Q121" i="9"/>
  <c r="O169" i="8" s="1"/>
  <c r="O117" i="8"/>
  <c r="R71" i="9"/>
  <c r="R112" i="9"/>
  <c r="O164" i="8"/>
  <c r="R72" i="9"/>
  <c r="O118" i="8"/>
  <c r="R74" i="9"/>
  <c r="O120" i="8"/>
  <c r="R70" i="9"/>
  <c r="O116" i="8"/>
  <c r="R79" i="9"/>
  <c r="O125" i="8"/>
  <c r="O126" i="8"/>
  <c r="R80" i="9"/>
  <c r="R78" i="9"/>
  <c r="O124" i="8"/>
  <c r="O155" i="8"/>
  <c r="R103" i="9"/>
  <c r="R109" i="9"/>
  <c r="O161" i="8"/>
  <c r="R105" i="9"/>
  <c r="O157" i="8"/>
  <c r="O159" i="8"/>
  <c r="R107" i="9"/>
  <c r="O119" i="8"/>
  <c r="R73" i="9"/>
  <c r="R81" i="9"/>
  <c r="O127" i="8"/>
  <c r="R82" i="9"/>
  <c r="O128" i="8"/>
  <c r="O156" i="8"/>
  <c r="R104" i="9"/>
  <c r="O160" i="8"/>
  <c r="R108" i="9"/>
  <c r="Q110" i="9"/>
  <c r="O162" i="8" s="1"/>
  <c r="R75" i="9"/>
  <c r="O121" i="8"/>
  <c r="R76" i="9"/>
  <c r="O122" i="8"/>
  <c r="O115" i="8"/>
  <c r="R69" i="9"/>
  <c r="CZ17" i="9"/>
  <c r="CX79" i="8" s="1"/>
  <c r="DA18" i="9"/>
  <c r="CX80" i="8"/>
  <c r="CX81" i="8"/>
  <c r="DB16" i="8"/>
  <c r="DB5" i="7"/>
  <c r="DC5" i="9"/>
  <c r="S104" i="9" l="1"/>
  <c r="P156" i="8"/>
  <c r="P157" i="8"/>
  <c r="S105" i="9"/>
  <c r="S70" i="9"/>
  <c r="P116" i="8"/>
  <c r="S119" i="9"/>
  <c r="R121" i="9"/>
  <c r="P169" i="8" s="1"/>
  <c r="S109" i="9"/>
  <c r="P161" i="8"/>
  <c r="P120" i="8"/>
  <c r="S74" i="9"/>
  <c r="S82" i="9"/>
  <c r="P128" i="8"/>
  <c r="R113" i="8"/>
  <c r="U67" i="9"/>
  <c r="S79" i="9"/>
  <c r="P125" i="8"/>
  <c r="S69" i="9"/>
  <c r="P115" i="8"/>
  <c r="S81" i="9"/>
  <c r="P127" i="8"/>
  <c r="S106" i="9"/>
  <c r="P158" i="8"/>
  <c r="P160" i="8"/>
  <c r="S108" i="9"/>
  <c r="R110" i="9"/>
  <c r="P162" i="8" s="1"/>
  <c r="P122" i="8"/>
  <c r="S76" i="9"/>
  <c r="P119" i="8"/>
  <c r="S73" i="9"/>
  <c r="P124" i="8"/>
  <c r="S78" i="9"/>
  <c r="S112" i="9"/>
  <c r="P164" i="8"/>
  <c r="S103" i="9"/>
  <c r="P155" i="8"/>
  <c r="S72" i="9"/>
  <c r="P118" i="8"/>
  <c r="P126" i="8"/>
  <c r="S80" i="9"/>
  <c r="P117" i="8"/>
  <c r="S71" i="9"/>
  <c r="P123" i="8"/>
  <c r="S77" i="9"/>
  <c r="S75" i="9"/>
  <c r="P121" i="8"/>
  <c r="P159" i="8"/>
  <c r="S107" i="9"/>
  <c r="DA17" i="9"/>
  <c r="CY79" i="8" s="1"/>
  <c r="DC16" i="8"/>
  <c r="DC5" i="7"/>
  <c r="DD5" i="9"/>
  <c r="CY81" i="8"/>
  <c r="DB18" i="9"/>
  <c r="CY80" i="8"/>
  <c r="Q120" i="8" l="1"/>
  <c r="T74" i="9"/>
  <c r="T76" i="9"/>
  <c r="Q122" i="8"/>
  <c r="T73" i="9"/>
  <c r="Q119" i="8"/>
  <c r="Q159" i="8"/>
  <c r="T107" i="9"/>
  <c r="T109" i="9"/>
  <c r="Q161" i="8"/>
  <c r="Q160" i="8"/>
  <c r="S110" i="9"/>
  <c r="Q162" i="8" s="1"/>
  <c r="T108" i="9"/>
  <c r="T119" i="9"/>
  <c r="S121" i="9"/>
  <c r="Q169" i="8" s="1"/>
  <c r="Q118" i="8"/>
  <c r="T72" i="9"/>
  <c r="Q121" i="8"/>
  <c r="T75" i="9"/>
  <c r="Q155" i="8"/>
  <c r="T103" i="9"/>
  <c r="T79" i="9"/>
  <c r="Q125" i="8"/>
  <c r="T70" i="9"/>
  <c r="Q116" i="8"/>
  <c r="Q126" i="8"/>
  <c r="T80" i="9"/>
  <c r="Q158" i="8"/>
  <c r="S113" i="8"/>
  <c r="V67" i="9"/>
  <c r="Q157" i="8"/>
  <c r="T105" i="9"/>
  <c r="T77" i="9"/>
  <c r="Q123" i="8"/>
  <c r="T112" i="9"/>
  <c r="Q164" i="8"/>
  <c r="Q127" i="8"/>
  <c r="T81" i="9"/>
  <c r="Q115" i="8"/>
  <c r="T69" i="9"/>
  <c r="Q124" i="8"/>
  <c r="T78" i="9"/>
  <c r="Q117" i="8"/>
  <c r="T71" i="9"/>
  <c r="T82" i="9"/>
  <c r="Q128" i="8"/>
  <c r="Q156" i="8"/>
  <c r="DB17" i="9"/>
  <c r="CZ79" i="8" s="1"/>
  <c r="CZ81" i="8"/>
  <c r="DC18" i="9"/>
  <c r="CZ80" i="8"/>
  <c r="DD16" i="8"/>
  <c r="DE5" i="9"/>
  <c r="DD5" i="7"/>
  <c r="R155" i="8" l="1"/>
  <c r="U103" i="9"/>
  <c r="U69" i="9"/>
  <c r="R115" i="8"/>
  <c r="R161" i="8"/>
  <c r="U109" i="9"/>
  <c r="U79" i="9"/>
  <c r="R125" i="8"/>
  <c r="W67" i="9"/>
  <c r="T113" i="8"/>
  <c r="U75" i="9"/>
  <c r="R121" i="8"/>
  <c r="R159" i="8"/>
  <c r="U107" i="9"/>
  <c r="U104" i="9"/>
  <c r="R156" i="8"/>
  <c r="R127" i="8"/>
  <c r="U81" i="9"/>
  <c r="U105" i="9"/>
  <c r="R157" i="8"/>
  <c r="U72" i="9"/>
  <c r="R118" i="8"/>
  <c r="R119" i="8"/>
  <c r="U73" i="9"/>
  <c r="R117" i="8"/>
  <c r="U71" i="9"/>
  <c r="U80" i="9"/>
  <c r="R126" i="8"/>
  <c r="R123" i="8"/>
  <c r="U77" i="9"/>
  <c r="U82" i="9"/>
  <c r="R128" i="8"/>
  <c r="U119" i="9"/>
  <c r="T121" i="9"/>
  <c r="R169" i="8" s="1"/>
  <c r="R122" i="8"/>
  <c r="U76" i="9"/>
  <c r="R120" i="8"/>
  <c r="U74" i="9"/>
  <c r="R164" i="8"/>
  <c r="U112" i="9"/>
  <c r="R158" i="8"/>
  <c r="U106" i="9"/>
  <c r="R124" i="8"/>
  <c r="U78" i="9"/>
  <c r="R160" i="8"/>
  <c r="U108" i="9"/>
  <c r="T110" i="9"/>
  <c r="R162" i="8" s="1"/>
  <c r="U70" i="9"/>
  <c r="R116" i="8"/>
  <c r="DC17" i="9"/>
  <c r="DA79" i="8" s="1"/>
  <c r="DD18" i="9"/>
  <c r="DA80" i="8"/>
  <c r="DA81" i="8"/>
  <c r="DE16" i="8"/>
  <c r="DF5" i="9"/>
  <c r="DE5" i="7"/>
  <c r="V79" i="9" l="1"/>
  <c r="S125" i="8"/>
  <c r="V73" i="9"/>
  <c r="S119" i="8"/>
  <c r="S127" i="8"/>
  <c r="V81" i="9"/>
  <c r="S161" i="8"/>
  <c r="V109" i="9"/>
  <c r="V119" i="9"/>
  <c r="U121" i="9"/>
  <c r="S169" i="8" s="1"/>
  <c r="S124" i="8"/>
  <c r="V78" i="9"/>
  <c r="S116" i="8"/>
  <c r="V70" i="9"/>
  <c r="S118" i="8"/>
  <c r="V72" i="9"/>
  <c r="V104" i="9"/>
  <c r="S156" i="8"/>
  <c r="S117" i="8"/>
  <c r="V71" i="9"/>
  <c r="V106" i="9"/>
  <c r="S158" i="8"/>
  <c r="V82" i="9"/>
  <c r="S128" i="8"/>
  <c r="S159" i="8"/>
  <c r="V107" i="9"/>
  <c r="U110" i="9"/>
  <c r="S162" i="8" s="1"/>
  <c r="V108" i="9"/>
  <c r="S160" i="8"/>
  <c r="V77" i="9"/>
  <c r="S123" i="8"/>
  <c r="V80" i="9"/>
  <c r="S126" i="8"/>
  <c r="S122" i="8"/>
  <c r="V76" i="9"/>
  <c r="V112" i="9"/>
  <c r="S164" i="8"/>
  <c r="X67" i="9"/>
  <c r="U113" i="8"/>
  <c r="V105" i="9"/>
  <c r="S157" i="8"/>
  <c r="V75" i="9"/>
  <c r="S121" i="8"/>
  <c r="S115" i="8"/>
  <c r="V69" i="9"/>
  <c r="S120" i="8"/>
  <c r="V74" i="9"/>
  <c r="V103" i="9"/>
  <c r="S155" i="8"/>
  <c r="DD17" i="9"/>
  <c r="DB79" i="8" s="1"/>
  <c r="DB81" i="8"/>
  <c r="DF16" i="8"/>
  <c r="DF5" i="7"/>
  <c r="DG5" i="9"/>
  <c r="DE18" i="9"/>
  <c r="DB80" i="8"/>
  <c r="T164" i="8" l="1"/>
  <c r="W112" i="9"/>
  <c r="T161" i="8"/>
  <c r="W109" i="9"/>
  <c r="W106" i="9"/>
  <c r="T158" i="8"/>
  <c r="W74" i="9"/>
  <c r="T120" i="8"/>
  <c r="T122" i="8"/>
  <c r="W76" i="9"/>
  <c r="W104" i="9"/>
  <c r="T156" i="8"/>
  <c r="W72" i="9"/>
  <c r="T118" i="8"/>
  <c r="W81" i="9"/>
  <c r="T127" i="8"/>
  <c r="Y67" i="9"/>
  <c r="V113" i="8"/>
  <c r="W71" i="9"/>
  <c r="T117" i="8"/>
  <c r="T160" i="8"/>
  <c r="W108" i="9"/>
  <c r="V110" i="9"/>
  <c r="T162" i="8" s="1"/>
  <c r="T126" i="8"/>
  <c r="W80" i="9"/>
  <c r="T159" i="8"/>
  <c r="W107" i="9"/>
  <c r="T116" i="8"/>
  <c r="W70" i="9"/>
  <c r="W103" i="9"/>
  <c r="T155" i="8"/>
  <c r="T119" i="8"/>
  <c r="W73" i="9"/>
  <c r="T115" i="8"/>
  <c r="W69" i="9"/>
  <c r="W82" i="9"/>
  <c r="T128" i="8"/>
  <c r="W79" i="9"/>
  <c r="T125" i="8"/>
  <c r="W119" i="9"/>
  <c r="V121" i="9"/>
  <c r="T169" i="8" s="1"/>
  <c r="W75" i="9"/>
  <c r="T121" i="8"/>
  <c r="T157" i="8"/>
  <c r="W105" i="9"/>
  <c r="T123" i="8"/>
  <c r="W77" i="9"/>
  <c r="T124" i="8"/>
  <c r="W78" i="9"/>
  <c r="DE17" i="9"/>
  <c r="DC79" i="8" s="1"/>
  <c r="DF18" i="9"/>
  <c r="DC80" i="8"/>
  <c r="DC81" i="8"/>
  <c r="DG16" i="8"/>
  <c r="DG5" i="7"/>
  <c r="DH5" i="9"/>
  <c r="U160" i="8" l="1"/>
  <c r="W110" i="9"/>
  <c r="U162" i="8" s="1"/>
  <c r="X108" i="9"/>
  <c r="U122" i="8"/>
  <c r="X76" i="9"/>
  <c r="U121" i="8"/>
  <c r="X75" i="9"/>
  <c r="X119" i="9"/>
  <c r="W121" i="9"/>
  <c r="U169" i="8" s="1"/>
  <c r="X73" i="9"/>
  <c r="U119" i="8"/>
  <c r="X104" i="9"/>
  <c r="U156" i="8"/>
  <c r="U117" i="8"/>
  <c r="X71" i="9"/>
  <c r="X74" i="9"/>
  <c r="U120" i="8"/>
  <c r="X78" i="9"/>
  <c r="U124" i="8"/>
  <c r="U155" i="8"/>
  <c r="X103" i="9"/>
  <c r="X70" i="9"/>
  <c r="U116" i="8"/>
  <c r="W113" i="8"/>
  <c r="Z67" i="9"/>
  <c r="U158" i="8"/>
  <c r="X106" i="9"/>
  <c r="U123" i="8"/>
  <c r="X77" i="9"/>
  <c r="X109" i="9"/>
  <c r="U161" i="8"/>
  <c r="U159" i="8"/>
  <c r="X107" i="9"/>
  <c r="X81" i="9"/>
  <c r="U127" i="8"/>
  <c r="X69" i="9"/>
  <c r="U115" i="8"/>
  <c r="U164" i="8"/>
  <c r="X112" i="9"/>
  <c r="U125" i="8"/>
  <c r="X79" i="9"/>
  <c r="U128" i="8"/>
  <c r="X82" i="9"/>
  <c r="X105" i="9"/>
  <c r="U157" i="8"/>
  <c r="U126" i="8"/>
  <c r="X80" i="9"/>
  <c r="X72" i="9"/>
  <c r="U118" i="8"/>
  <c r="DF17" i="9"/>
  <c r="DD79" i="8" s="1"/>
  <c r="DD81" i="8"/>
  <c r="DH16" i="8"/>
  <c r="DH5" i="7"/>
  <c r="DI5" i="9"/>
  <c r="DG18" i="9"/>
  <c r="DD80" i="8"/>
  <c r="Y79" i="9" l="1"/>
  <c r="V125" i="8"/>
  <c r="Y77" i="9"/>
  <c r="V123" i="8"/>
  <c r="Y73" i="9"/>
  <c r="V119" i="8"/>
  <c r="Y109" i="9"/>
  <c r="V161" i="8"/>
  <c r="Y112" i="9"/>
  <c r="V164" i="8"/>
  <c r="V158" i="8"/>
  <c r="Y106" i="9"/>
  <c r="Y119" i="9"/>
  <c r="X121" i="9"/>
  <c r="V169" i="8" s="1"/>
  <c r="Y75" i="9"/>
  <c r="V121" i="8"/>
  <c r="AA67" i="9"/>
  <c r="X113" i="8"/>
  <c r="Y78" i="9"/>
  <c r="V124" i="8"/>
  <c r="V118" i="8"/>
  <c r="Y72" i="9"/>
  <c r="V115" i="8"/>
  <c r="Y69" i="9"/>
  <c r="Y76" i="9"/>
  <c r="V122" i="8"/>
  <c r="Y74" i="9"/>
  <c r="V120" i="8"/>
  <c r="Y81" i="9"/>
  <c r="V127" i="8"/>
  <c r="Y70" i="9"/>
  <c r="V116" i="8"/>
  <c r="Y71" i="9"/>
  <c r="V117" i="8"/>
  <c r="Y108" i="9"/>
  <c r="V160" i="8"/>
  <c r="X110" i="9"/>
  <c r="V162" i="8" s="1"/>
  <c r="Y80" i="9"/>
  <c r="V126" i="8"/>
  <c r="V159" i="8"/>
  <c r="Y107" i="9"/>
  <c r="V155" i="8"/>
  <c r="Y103" i="9"/>
  <c r="V157" i="8"/>
  <c r="Y105" i="9"/>
  <c r="Y82" i="9"/>
  <c r="V128" i="8"/>
  <c r="Y104" i="9"/>
  <c r="V156" i="8"/>
  <c r="DG17" i="9"/>
  <c r="DE79" i="8" s="1"/>
  <c r="DH18" i="9"/>
  <c r="DE80" i="8"/>
  <c r="DI16" i="8"/>
  <c r="DI5" i="7"/>
  <c r="DJ5" i="9"/>
  <c r="DE81" i="8"/>
  <c r="Z70" i="9" l="1"/>
  <c r="W116" i="8"/>
  <c r="W159" i="8"/>
  <c r="Z107" i="9"/>
  <c r="W127" i="8"/>
  <c r="Z81" i="9"/>
  <c r="Z78" i="9"/>
  <c r="W124" i="8"/>
  <c r="Z112" i="9"/>
  <c r="W164" i="8"/>
  <c r="W120" i="8"/>
  <c r="Z74" i="9"/>
  <c r="AB67" i="9"/>
  <c r="Y113" i="8"/>
  <c r="W161" i="8"/>
  <c r="Z109" i="9"/>
  <c r="Z80" i="9"/>
  <c r="W126" i="8"/>
  <c r="Z104" i="9"/>
  <c r="W156" i="8"/>
  <c r="W122" i="8"/>
  <c r="Z76" i="9"/>
  <c r="Z75" i="9"/>
  <c r="W121" i="8"/>
  <c r="Z73" i="9"/>
  <c r="W119" i="8"/>
  <c r="Z103" i="9"/>
  <c r="W155" i="8"/>
  <c r="W128" i="8"/>
  <c r="Z82" i="9"/>
  <c r="W160" i="8"/>
  <c r="Z108" i="9"/>
  <c r="Y110" i="9"/>
  <c r="W162" i="8" s="1"/>
  <c r="Z119" i="9"/>
  <c r="Y121" i="9"/>
  <c r="W169" i="8" s="1"/>
  <c r="W123" i="8"/>
  <c r="Z77" i="9"/>
  <c r="W157" i="8"/>
  <c r="Z105" i="9"/>
  <c r="W115" i="8"/>
  <c r="Z69" i="9"/>
  <c r="W117" i="8"/>
  <c r="Z71" i="9"/>
  <c r="W125" i="8"/>
  <c r="Z79" i="9"/>
  <c r="Z72" i="9"/>
  <c r="W118" i="8"/>
  <c r="Z106" i="9"/>
  <c r="W158" i="8"/>
  <c r="DH17" i="9"/>
  <c r="DF79" i="8" s="1"/>
  <c r="DF81" i="8"/>
  <c r="DI18" i="9"/>
  <c r="DF80" i="8"/>
  <c r="DJ16" i="8"/>
  <c r="DJ5" i="7"/>
  <c r="DK5" i="9"/>
  <c r="AA108" i="9" l="1"/>
  <c r="X160" i="8"/>
  <c r="Z110" i="9"/>
  <c r="X162" i="8" s="1"/>
  <c r="AA71" i="9"/>
  <c r="X117" i="8"/>
  <c r="AA104" i="9"/>
  <c r="X156" i="8"/>
  <c r="AA82" i="9"/>
  <c r="X128" i="8"/>
  <c r="AA112" i="9"/>
  <c r="X164" i="8"/>
  <c r="AA80" i="9"/>
  <c r="X126" i="8"/>
  <c r="X124" i="8"/>
  <c r="AA78" i="9"/>
  <c r="X157" i="8"/>
  <c r="AA105" i="9"/>
  <c r="AA103" i="9"/>
  <c r="X155" i="8"/>
  <c r="AA109" i="9"/>
  <c r="X161" i="8"/>
  <c r="X127" i="8"/>
  <c r="AA81" i="9"/>
  <c r="X158" i="8"/>
  <c r="AA106" i="9"/>
  <c r="AA73" i="9"/>
  <c r="X119" i="8"/>
  <c r="X159" i="8"/>
  <c r="AA107" i="9"/>
  <c r="Z113" i="8"/>
  <c r="AC67" i="9"/>
  <c r="AA69" i="9"/>
  <c r="X115" i="8"/>
  <c r="AA77" i="9"/>
  <c r="X123" i="8"/>
  <c r="X118" i="8"/>
  <c r="AA72" i="9"/>
  <c r="AA79" i="9"/>
  <c r="X125" i="8"/>
  <c r="AA75" i="9"/>
  <c r="X121" i="8"/>
  <c r="AA74" i="9"/>
  <c r="X120" i="8"/>
  <c r="AA119" i="9"/>
  <c r="Z121" i="9"/>
  <c r="X169" i="8" s="1"/>
  <c r="X122" i="8"/>
  <c r="AA76" i="9"/>
  <c r="X116" i="8"/>
  <c r="AA70" i="9"/>
  <c r="DI17" i="9"/>
  <c r="DG79" i="8" s="1"/>
  <c r="DJ18" i="9"/>
  <c r="DG80" i="8"/>
  <c r="DK16" i="8"/>
  <c r="DK5" i="7"/>
  <c r="DL5" i="9"/>
  <c r="DG81" i="8"/>
  <c r="AB112" i="9" l="1"/>
  <c r="Y164" i="8"/>
  <c r="AB74" i="9"/>
  <c r="Y120" i="8"/>
  <c r="Y159" i="8"/>
  <c r="AB107" i="9"/>
  <c r="AB109" i="9"/>
  <c r="Y161" i="8"/>
  <c r="AB82" i="9"/>
  <c r="Y128" i="8"/>
  <c r="Y121" i="8"/>
  <c r="AB75" i="9"/>
  <c r="AB103" i="9"/>
  <c r="Y155" i="8"/>
  <c r="Y156" i="8"/>
  <c r="AB104" i="9"/>
  <c r="AB79" i="9"/>
  <c r="Y125" i="8"/>
  <c r="AB105" i="9"/>
  <c r="Y157" i="8"/>
  <c r="AB70" i="9"/>
  <c r="Y116" i="8"/>
  <c r="AB72" i="9"/>
  <c r="Y118" i="8"/>
  <c r="AB71" i="9"/>
  <c r="Y117" i="8"/>
  <c r="AA113" i="8"/>
  <c r="AD67" i="9"/>
  <c r="AB73" i="9"/>
  <c r="Y119" i="8"/>
  <c r="Y124" i="8"/>
  <c r="AB78" i="9"/>
  <c r="AB76" i="9"/>
  <c r="Y122" i="8"/>
  <c r="AB106" i="9"/>
  <c r="Y158" i="8"/>
  <c r="AA110" i="9"/>
  <c r="Y162" i="8" s="1"/>
  <c r="AB108" i="9"/>
  <c r="Y160" i="8"/>
  <c r="AB77" i="9"/>
  <c r="Y123" i="8"/>
  <c r="Y126" i="8"/>
  <c r="AB80" i="9"/>
  <c r="AB119" i="9"/>
  <c r="AA121" i="9"/>
  <c r="Y169" i="8" s="1"/>
  <c r="Y115" i="8"/>
  <c r="AB69" i="9"/>
  <c r="Y127" i="8"/>
  <c r="AB81" i="9"/>
  <c r="DJ17" i="9"/>
  <c r="DH79" i="8" s="1"/>
  <c r="DL16" i="8"/>
  <c r="DL5" i="7"/>
  <c r="DM5" i="9"/>
  <c r="DH81" i="8"/>
  <c r="DK18" i="9"/>
  <c r="DH80" i="8"/>
  <c r="AC76" i="9" l="1"/>
  <c r="Z122" i="8"/>
  <c r="Z116" i="8"/>
  <c r="AC70" i="9"/>
  <c r="Z128" i="8"/>
  <c r="AC82" i="9"/>
  <c r="AC119" i="9"/>
  <c r="AB121" i="9"/>
  <c r="Z169" i="8" s="1"/>
  <c r="AC78" i="9"/>
  <c r="Z124" i="8"/>
  <c r="AC80" i="9"/>
  <c r="Z126" i="8"/>
  <c r="AC105" i="9"/>
  <c r="Z157" i="8"/>
  <c r="AC109" i="9"/>
  <c r="Z161" i="8"/>
  <c r="Z159" i="8"/>
  <c r="AC107" i="9"/>
  <c r="Z125" i="8"/>
  <c r="AC79" i="9"/>
  <c r="Z123" i="8"/>
  <c r="AC77" i="9"/>
  <c r="AE67" i="9"/>
  <c r="AB113" i="8"/>
  <c r="AC104" i="9"/>
  <c r="Z156" i="8"/>
  <c r="Z160" i="8"/>
  <c r="AC108" i="9"/>
  <c r="AB110" i="9"/>
  <c r="Z162" i="8" s="1"/>
  <c r="AC73" i="9"/>
  <c r="Z119" i="8"/>
  <c r="Z127" i="8"/>
  <c r="AC81" i="9"/>
  <c r="AC74" i="9"/>
  <c r="Z120" i="8"/>
  <c r="Z117" i="8"/>
  <c r="AC71" i="9"/>
  <c r="AC103" i="9"/>
  <c r="Z155" i="8"/>
  <c r="AC75" i="9"/>
  <c r="Z121" i="8"/>
  <c r="AC69" i="9"/>
  <c r="Z115" i="8"/>
  <c r="Z158" i="8"/>
  <c r="AC106" i="9"/>
  <c r="AC72" i="9"/>
  <c r="Z118" i="8"/>
  <c r="AC112" i="9"/>
  <c r="Z164" i="8"/>
  <c r="DK17" i="9"/>
  <c r="DI79" i="8" s="1"/>
  <c r="DL18" i="9"/>
  <c r="DI80" i="8"/>
  <c r="DM16" i="8"/>
  <c r="DM5" i="7"/>
  <c r="DN5" i="9"/>
  <c r="DI81" i="8"/>
  <c r="AD69" i="9" l="1"/>
  <c r="AA115" i="8"/>
  <c r="AA119" i="8"/>
  <c r="AD73" i="9"/>
  <c r="AA123" i="8"/>
  <c r="AD77" i="9"/>
  <c r="AA121" i="8"/>
  <c r="AD75" i="9"/>
  <c r="AC110" i="9"/>
  <c r="AA162" i="8" s="1"/>
  <c r="AD108" i="9"/>
  <c r="AA160" i="8"/>
  <c r="AD79" i="9"/>
  <c r="AA125" i="8"/>
  <c r="AD78" i="9"/>
  <c r="AA124" i="8"/>
  <c r="AD103" i="9"/>
  <c r="AA155" i="8"/>
  <c r="AA159" i="8"/>
  <c r="AD107" i="9"/>
  <c r="AD119" i="9"/>
  <c r="AC121" i="9"/>
  <c r="AA169" i="8" s="1"/>
  <c r="AA117" i="8"/>
  <c r="AD71" i="9"/>
  <c r="AD82" i="9"/>
  <c r="AA128" i="8"/>
  <c r="AD80" i="9"/>
  <c r="AA126" i="8"/>
  <c r="AD70" i="9"/>
  <c r="AA116" i="8"/>
  <c r="AF67" i="9"/>
  <c r="AC113" i="8"/>
  <c r="AA164" i="8"/>
  <c r="AD112" i="9"/>
  <c r="AD109" i="9"/>
  <c r="AA161" i="8"/>
  <c r="AA118" i="8"/>
  <c r="AD72" i="9"/>
  <c r="AD74" i="9"/>
  <c r="AA120" i="8"/>
  <c r="AD106" i="9"/>
  <c r="AA158" i="8"/>
  <c r="AD81" i="9"/>
  <c r="AA127" i="8"/>
  <c r="AD104" i="9"/>
  <c r="AA156" i="8"/>
  <c r="AD105" i="9"/>
  <c r="AA157" i="8"/>
  <c r="AD76" i="9"/>
  <c r="AA122" i="8"/>
  <c r="DL17" i="9"/>
  <c r="DJ79" i="8" s="1"/>
  <c r="DN16" i="8"/>
  <c r="DN5" i="7"/>
  <c r="DO5" i="9"/>
  <c r="DJ81" i="8"/>
  <c r="DM18" i="9"/>
  <c r="DJ80" i="8"/>
  <c r="AE108" i="9" l="1"/>
  <c r="AB160" i="8"/>
  <c r="AD110" i="9"/>
  <c r="AB162" i="8" s="1"/>
  <c r="AE112" i="9"/>
  <c r="AB164" i="8"/>
  <c r="AB127" i="8"/>
  <c r="AE81" i="9"/>
  <c r="AB158" i="8"/>
  <c r="AE106" i="9"/>
  <c r="AG67" i="9"/>
  <c r="AD113" i="8"/>
  <c r="AE119" i="9"/>
  <c r="AD121" i="9"/>
  <c r="AB169" i="8" s="1"/>
  <c r="AE75" i="9"/>
  <c r="AB121" i="8"/>
  <c r="AB159" i="8"/>
  <c r="AE107" i="9"/>
  <c r="AE79" i="9"/>
  <c r="AB125" i="8"/>
  <c r="AB116" i="8"/>
  <c r="AE70" i="9"/>
  <c r="AB123" i="8"/>
  <c r="AE77" i="9"/>
  <c r="AE71" i="9"/>
  <c r="AB117" i="8"/>
  <c r="AB118" i="8"/>
  <c r="AE72" i="9"/>
  <c r="AB122" i="8"/>
  <c r="AE76" i="9"/>
  <c r="AE80" i="9"/>
  <c r="AB126" i="8"/>
  <c r="AE103" i="9"/>
  <c r="AB155" i="8"/>
  <c r="AB119" i="8"/>
  <c r="AE73" i="9"/>
  <c r="AB120" i="8"/>
  <c r="AE74" i="9"/>
  <c r="AE104" i="9"/>
  <c r="AB156" i="8"/>
  <c r="AB124" i="8"/>
  <c r="AE78" i="9"/>
  <c r="AE105" i="9"/>
  <c r="AB157" i="8"/>
  <c r="AB161" i="8"/>
  <c r="AE109" i="9"/>
  <c r="AB128" i="8"/>
  <c r="AE82" i="9"/>
  <c r="AE69" i="9"/>
  <c r="AB115" i="8"/>
  <c r="DM17" i="9"/>
  <c r="DK79" i="8" s="1"/>
  <c r="DN18" i="9"/>
  <c r="DK80" i="8"/>
  <c r="DO16" i="8"/>
  <c r="DO5" i="7"/>
  <c r="DP5" i="9"/>
  <c r="DK81" i="8"/>
  <c r="AC127" i="8" l="1"/>
  <c r="AF81" i="9"/>
  <c r="AF78" i="9"/>
  <c r="AC124" i="8"/>
  <c r="AF80" i="9"/>
  <c r="AC126" i="8"/>
  <c r="AC125" i="8"/>
  <c r="AF79" i="9"/>
  <c r="AF76" i="9"/>
  <c r="AC122" i="8"/>
  <c r="AC159" i="8"/>
  <c r="AF107" i="9"/>
  <c r="AC157" i="8"/>
  <c r="AF105" i="9"/>
  <c r="AF112" i="9"/>
  <c r="AC164" i="8"/>
  <c r="AC118" i="8"/>
  <c r="AF72" i="9"/>
  <c r="AC155" i="8"/>
  <c r="AF103" i="9"/>
  <c r="AF104" i="9"/>
  <c r="AC156" i="8"/>
  <c r="AF75" i="9"/>
  <c r="AC121" i="8"/>
  <c r="AC120" i="8"/>
  <c r="AF74" i="9"/>
  <c r="AF82" i="9"/>
  <c r="AC128" i="8"/>
  <c r="AF71" i="9"/>
  <c r="AC117" i="8"/>
  <c r="AF119" i="9"/>
  <c r="AE121" i="9"/>
  <c r="AC169" i="8" s="1"/>
  <c r="AC115" i="8"/>
  <c r="AF69" i="9"/>
  <c r="AF73" i="9"/>
  <c r="AC119" i="8"/>
  <c r="AC123" i="8"/>
  <c r="AF77" i="9"/>
  <c r="AC161" i="8"/>
  <c r="AF109" i="9"/>
  <c r="AE113" i="8"/>
  <c r="AH67" i="9"/>
  <c r="AF70" i="9"/>
  <c r="AC116" i="8"/>
  <c r="AC158" i="8"/>
  <c r="AF106" i="9"/>
  <c r="AF108" i="9"/>
  <c r="AE110" i="9"/>
  <c r="AC162" i="8" s="1"/>
  <c r="AC160" i="8"/>
  <c r="DN17" i="9"/>
  <c r="DL79" i="8" s="1"/>
  <c r="DP16" i="8"/>
  <c r="DP5" i="7"/>
  <c r="DQ5" i="9"/>
  <c r="DO18" i="9"/>
  <c r="DL80" i="8"/>
  <c r="DL81" i="8"/>
  <c r="AF113" i="8" l="1"/>
  <c r="AI67" i="9"/>
  <c r="AD159" i="8"/>
  <c r="AG107" i="9"/>
  <c r="AD161" i="8"/>
  <c r="AG109" i="9"/>
  <c r="AG119" i="9"/>
  <c r="AF121" i="9"/>
  <c r="AD169" i="8" s="1"/>
  <c r="AG104" i="9"/>
  <c r="AD156" i="8"/>
  <c r="AD155" i="8"/>
  <c r="AG103" i="9"/>
  <c r="AG76" i="9"/>
  <c r="AD122" i="8"/>
  <c r="AG71" i="9"/>
  <c r="AD117" i="8"/>
  <c r="AD125" i="8"/>
  <c r="AG79" i="9"/>
  <c r="AD118" i="8"/>
  <c r="AG72" i="9"/>
  <c r="AD126" i="8"/>
  <c r="AG80" i="9"/>
  <c r="AG75" i="9"/>
  <c r="AD121" i="8"/>
  <c r="AD123" i="8"/>
  <c r="AG77" i="9"/>
  <c r="AF110" i="9"/>
  <c r="AD162" i="8" s="1"/>
  <c r="AD160" i="8"/>
  <c r="AG108" i="9"/>
  <c r="AG74" i="9"/>
  <c r="AD120" i="8"/>
  <c r="AD158" i="8"/>
  <c r="AG106" i="9"/>
  <c r="AD157" i="8"/>
  <c r="AG105" i="9"/>
  <c r="AG78" i="9"/>
  <c r="AD124" i="8"/>
  <c r="AG82" i="9"/>
  <c r="AD128" i="8"/>
  <c r="AD164" i="8"/>
  <c r="AG112" i="9"/>
  <c r="AG81" i="9"/>
  <c r="AD127" i="8"/>
  <c r="AD119" i="8"/>
  <c r="AG73" i="9"/>
  <c r="AG69" i="9"/>
  <c r="AD115" i="8"/>
  <c r="AG70" i="9"/>
  <c r="AD116" i="8"/>
  <c r="DO17" i="9"/>
  <c r="DM79" i="8" s="1"/>
  <c r="DM81" i="8"/>
  <c r="DQ16" i="8"/>
  <c r="DQ5" i="7"/>
  <c r="DR5" i="9"/>
  <c r="DP18" i="9"/>
  <c r="DM80" i="8"/>
  <c r="AE118" i="8" l="1"/>
  <c r="AH72" i="9"/>
  <c r="AE156" i="8"/>
  <c r="AH104" i="9"/>
  <c r="AH81" i="9"/>
  <c r="AE127" i="8"/>
  <c r="AE120" i="8"/>
  <c r="AH74" i="9"/>
  <c r="AH79" i="9"/>
  <c r="AE125" i="8"/>
  <c r="AH119" i="9"/>
  <c r="AG121" i="9"/>
  <c r="AE169" i="8" s="1"/>
  <c r="AH77" i="9"/>
  <c r="AE123" i="8"/>
  <c r="AE164" i="8"/>
  <c r="AH112" i="9"/>
  <c r="AE160" i="8"/>
  <c r="AH108" i="9"/>
  <c r="AG110" i="9"/>
  <c r="AE162" i="8" s="1"/>
  <c r="AE161" i="8"/>
  <c r="AH109" i="9"/>
  <c r="AH70" i="9"/>
  <c r="AE116" i="8"/>
  <c r="AH82" i="9"/>
  <c r="AE128" i="8"/>
  <c r="AE159" i="8"/>
  <c r="AH107" i="9"/>
  <c r="AE117" i="8"/>
  <c r="AH71" i="9"/>
  <c r="AH103" i="9"/>
  <c r="AE155" i="8"/>
  <c r="AH80" i="9"/>
  <c r="AE126" i="8"/>
  <c r="AE124" i="8"/>
  <c r="AH78" i="9"/>
  <c r="AE122" i="8"/>
  <c r="AH76" i="9"/>
  <c r="AH69" i="9"/>
  <c r="AE115" i="8"/>
  <c r="AH105" i="9"/>
  <c r="AE157" i="8"/>
  <c r="AH75" i="9"/>
  <c r="AE121" i="8"/>
  <c r="AE119" i="8"/>
  <c r="AH73" i="9"/>
  <c r="AJ67" i="9"/>
  <c r="AG113" i="8"/>
  <c r="AE158" i="8"/>
  <c r="AH106" i="9"/>
  <c r="DP17" i="9"/>
  <c r="DN79" i="8" s="1"/>
  <c r="DQ18" i="9"/>
  <c r="DN80" i="8"/>
  <c r="DN81" i="8"/>
  <c r="DR16" i="8"/>
  <c r="DR5" i="7"/>
  <c r="DS5" i="9"/>
  <c r="AI74" i="9" l="1"/>
  <c r="AF120" i="8"/>
  <c r="AF121" i="8"/>
  <c r="AI75" i="9"/>
  <c r="AI103" i="9"/>
  <c r="AF155" i="8"/>
  <c r="AI71" i="9"/>
  <c r="AF117" i="8"/>
  <c r="AI108" i="9"/>
  <c r="AF160" i="8"/>
  <c r="AH110" i="9"/>
  <c r="AF162" i="8" s="1"/>
  <c r="AI105" i="9"/>
  <c r="AF157" i="8"/>
  <c r="AF127" i="8"/>
  <c r="AI81" i="9"/>
  <c r="AF159" i="8"/>
  <c r="AI107" i="9"/>
  <c r="AI112" i="9"/>
  <c r="AF164" i="8"/>
  <c r="AI104" i="9"/>
  <c r="AF156" i="8"/>
  <c r="AI79" i="9"/>
  <c r="AF125" i="8"/>
  <c r="AI106" i="9"/>
  <c r="AF158" i="8"/>
  <c r="AI69" i="9"/>
  <c r="AF115" i="8"/>
  <c r="AF122" i="8"/>
  <c r="AI76" i="9"/>
  <c r="AF118" i="8"/>
  <c r="AI72" i="9"/>
  <c r="AI77" i="9"/>
  <c r="AF123" i="8"/>
  <c r="AF126" i="8"/>
  <c r="AI80" i="9"/>
  <c r="AI109" i="9"/>
  <c r="AF161" i="8"/>
  <c r="AI82" i="9"/>
  <c r="AF128" i="8"/>
  <c r="AK67" i="9"/>
  <c r="AH113" i="8"/>
  <c r="AI78" i="9"/>
  <c r="AF124" i="8"/>
  <c r="AI70" i="9"/>
  <c r="AF116" i="8"/>
  <c r="AI119" i="9"/>
  <c r="AH121" i="9"/>
  <c r="AF169" i="8" s="1"/>
  <c r="AF119" i="8"/>
  <c r="AI73" i="9"/>
  <c r="DQ17" i="9"/>
  <c r="DO79" i="8" s="1"/>
  <c r="DO81" i="8"/>
  <c r="DS16" i="8"/>
  <c r="DS5" i="7"/>
  <c r="DT5" i="9"/>
  <c r="DR18" i="9"/>
  <c r="DO80" i="8"/>
  <c r="AJ75" i="9" l="1"/>
  <c r="AG121" i="8"/>
  <c r="AJ79" i="9"/>
  <c r="AG125" i="8"/>
  <c r="AG124" i="8"/>
  <c r="AJ78" i="9"/>
  <c r="AJ108" i="9"/>
  <c r="AI110" i="9"/>
  <c r="AG162" i="8" s="1"/>
  <c r="AG160" i="8"/>
  <c r="AG123" i="8"/>
  <c r="AJ77" i="9"/>
  <c r="AJ104" i="9"/>
  <c r="AG156" i="8"/>
  <c r="AI113" i="8"/>
  <c r="AL67" i="9"/>
  <c r="AG118" i="8"/>
  <c r="AJ72" i="9"/>
  <c r="AG117" i="8"/>
  <c r="AJ71" i="9"/>
  <c r="AJ73" i="9"/>
  <c r="AG119" i="8"/>
  <c r="AJ112" i="9"/>
  <c r="AG164" i="8"/>
  <c r="AJ82" i="9"/>
  <c r="AG128" i="8"/>
  <c r="AJ76" i="9"/>
  <c r="AG122" i="8"/>
  <c r="AG159" i="8"/>
  <c r="AJ107" i="9"/>
  <c r="AJ103" i="9"/>
  <c r="AG155" i="8"/>
  <c r="AJ81" i="9"/>
  <c r="AG127" i="8"/>
  <c r="AG115" i="8"/>
  <c r="AJ69" i="9"/>
  <c r="AJ119" i="9"/>
  <c r="AI121" i="9"/>
  <c r="AG169" i="8" s="1"/>
  <c r="AJ74" i="9"/>
  <c r="AG120" i="8"/>
  <c r="AJ109" i="9"/>
  <c r="AG161" i="8"/>
  <c r="AJ106" i="9"/>
  <c r="AG158" i="8"/>
  <c r="AJ105" i="9"/>
  <c r="AG157" i="8"/>
  <c r="AJ70" i="9"/>
  <c r="AG116" i="8"/>
  <c r="AG126" i="8"/>
  <c r="AJ80" i="9"/>
  <c r="DR17" i="9"/>
  <c r="DP79" i="8" s="1"/>
  <c r="DT16" i="8"/>
  <c r="DT5" i="7"/>
  <c r="DU5" i="9"/>
  <c r="DS18" i="9"/>
  <c r="DP80" i="8"/>
  <c r="DP81" i="8"/>
  <c r="AK71" i="9" l="1"/>
  <c r="AH117" i="8"/>
  <c r="AH161" i="8"/>
  <c r="AK109" i="9"/>
  <c r="AK103" i="9"/>
  <c r="AH155" i="8"/>
  <c r="AH159" i="8"/>
  <c r="AK107" i="9"/>
  <c r="AH118" i="8"/>
  <c r="AK72" i="9"/>
  <c r="AK108" i="9"/>
  <c r="AJ110" i="9"/>
  <c r="AH162" i="8" s="1"/>
  <c r="AH160" i="8"/>
  <c r="AK73" i="9"/>
  <c r="AH119" i="8"/>
  <c r="AH126" i="8"/>
  <c r="AK80" i="9"/>
  <c r="AH120" i="8"/>
  <c r="AK74" i="9"/>
  <c r="AH124" i="8"/>
  <c r="AK78" i="9"/>
  <c r="AJ113" i="8"/>
  <c r="AM67" i="9"/>
  <c r="AK106" i="9"/>
  <c r="AH158" i="8"/>
  <c r="AK119" i="9"/>
  <c r="AJ121" i="9"/>
  <c r="AH169" i="8" s="1"/>
  <c r="AK76" i="9"/>
  <c r="AH122" i="8"/>
  <c r="AK79" i="9"/>
  <c r="AH125" i="8"/>
  <c r="AK82" i="9"/>
  <c r="AH128" i="8"/>
  <c r="AK104" i="9"/>
  <c r="AH156" i="8"/>
  <c r="AK75" i="9"/>
  <c r="AH121" i="8"/>
  <c r="AK70" i="9"/>
  <c r="AH116" i="8"/>
  <c r="AH115" i="8"/>
  <c r="AK69" i="9"/>
  <c r="AK77" i="9"/>
  <c r="AH123" i="8"/>
  <c r="AH157" i="8"/>
  <c r="AK105" i="9"/>
  <c r="AK81" i="9"/>
  <c r="AH127" i="8"/>
  <c r="AK112" i="9"/>
  <c r="AH164" i="8"/>
  <c r="DS17" i="9"/>
  <c r="DQ79" i="8" s="1"/>
  <c r="DT18" i="9"/>
  <c r="DT17" i="9" s="1"/>
  <c r="DQ80" i="8"/>
  <c r="DQ81" i="8"/>
  <c r="DU16" i="8"/>
  <c r="DU5" i="7"/>
  <c r="DV5" i="9"/>
  <c r="AL105" i="9" l="1"/>
  <c r="AI157" i="8"/>
  <c r="AN67" i="9"/>
  <c r="AK113" i="8"/>
  <c r="AL78" i="9"/>
  <c r="AI124" i="8"/>
  <c r="AI118" i="8"/>
  <c r="AL72" i="9"/>
  <c r="AL69" i="9"/>
  <c r="AI115" i="8"/>
  <c r="AI120" i="8"/>
  <c r="AL74" i="9"/>
  <c r="AI159" i="8"/>
  <c r="AL107" i="9"/>
  <c r="AK110" i="9"/>
  <c r="AI162" i="8" s="1"/>
  <c r="AI160" i="8"/>
  <c r="AL108" i="9"/>
  <c r="AL79" i="9"/>
  <c r="AI125" i="8"/>
  <c r="AL80" i="9"/>
  <c r="AI126" i="8"/>
  <c r="AL82" i="9"/>
  <c r="AI128" i="8"/>
  <c r="AL76" i="9"/>
  <c r="AI122" i="8"/>
  <c r="AL103" i="9"/>
  <c r="AI155" i="8"/>
  <c r="AI161" i="8"/>
  <c r="AL109" i="9"/>
  <c r="AI123" i="8"/>
  <c r="AL77" i="9"/>
  <c r="AI116" i="8"/>
  <c r="AL70" i="9"/>
  <c r="AL112" i="9"/>
  <c r="AI164" i="8"/>
  <c r="AI121" i="8"/>
  <c r="AL75" i="9"/>
  <c r="AL119" i="9"/>
  <c r="AK121" i="9"/>
  <c r="AI169" i="8" s="1"/>
  <c r="AI119" i="8"/>
  <c r="AL73" i="9"/>
  <c r="AI127" i="8"/>
  <c r="AL81" i="9"/>
  <c r="AI156" i="8"/>
  <c r="AL104" i="9"/>
  <c r="AI158" i="8"/>
  <c r="AL106" i="9"/>
  <c r="AI117" i="8"/>
  <c r="AL71" i="9"/>
  <c r="DR79" i="8"/>
  <c r="DR81" i="8"/>
  <c r="DV5" i="7"/>
  <c r="DW5" i="9"/>
  <c r="DU18" i="9"/>
  <c r="DR80" i="8"/>
  <c r="AJ115" i="8" l="1"/>
  <c r="AM69" i="9"/>
  <c r="AM79" i="9"/>
  <c r="AJ125" i="8"/>
  <c r="AM72" i="9"/>
  <c r="AJ118" i="8"/>
  <c r="AM108" i="9"/>
  <c r="AL110" i="9"/>
  <c r="AJ162" i="8" s="1"/>
  <c r="AJ160" i="8"/>
  <c r="AM80" i="9"/>
  <c r="AJ126" i="8"/>
  <c r="AM119" i="9"/>
  <c r="AL121" i="9"/>
  <c r="AJ169" i="8" s="1"/>
  <c r="AJ122" i="8"/>
  <c r="AM76" i="9"/>
  <c r="AM81" i="9"/>
  <c r="AJ127" i="8"/>
  <c r="AM103" i="9"/>
  <c r="AJ155" i="8"/>
  <c r="AM77" i="9"/>
  <c r="AJ123" i="8"/>
  <c r="AJ121" i="8"/>
  <c r="AM75" i="9"/>
  <c r="AM78" i="9"/>
  <c r="AJ124" i="8"/>
  <c r="AJ159" i="8"/>
  <c r="AM107" i="9"/>
  <c r="AM74" i="9"/>
  <c r="AJ120" i="8"/>
  <c r="AJ119" i="8"/>
  <c r="AM73" i="9"/>
  <c r="AJ161" i="8"/>
  <c r="AM109" i="9"/>
  <c r="AM71" i="9"/>
  <c r="AJ117" i="8"/>
  <c r="AM106" i="9"/>
  <c r="AJ158" i="8"/>
  <c r="AO67" i="9"/>
  <c r="AL113" i="8"/>
  <c r="AM104" i="9"/>
  <c r="AJ156" i="8"/>
  <c r="AM112" i="9"/>
  <c r="AJ164" i="8"/>
  <c r="AM82" i="9"/>
  <c r="AJ128" i="8"/>
  <c r="AM70" i="9"/>
  <c r="AJ116" i="8"/>
  <c r="AM105" i="9"/>
  <c r="AJ157" i="8"/>
  <c r="DU17" i="9"/>
  <c r="DS79" i="8" s="1"/>
  <c r="DV18" i="9"/>
  <c r="DS80" i="8"/>
  <c r="DS81" i="8"/>
  <c r="AN77" i="9" l="1"/>
  <c r="AK123" i="8"/>
  <c r="AN80" i="9"/>
  <c r="AK126" i="8"/>
  <c r="AN73" i="9"/>
  <c r="AK119" i="8"/>
  <c r="AN103" i="9"/>
  <c r="AK155" i="8"/>
  <c r="AN82" i="9"/>
  <c r="AK128" i="8"/>
  <c r="AN108" i="9"/>
  <c r="AK160" i="8"/>
  <c r="AM110" i="9"/>
  <c r="AK162" i="8" s="1"/>
  <c r="AN119" i="9"/>
  <c r="AM121" i="9"/>
  <c r="AK169" i="8" s="1"/>
  <c r="AN72" i="9"/>
  <c r="AK118" i="8"/>
  <c r="AN112" i="9"/>
  <c r="AK164" i="8"/>
  <c r="AN104" i="9"/>
  <c r="AK156" i="8"/>
  <c r="AP67" i="9"/>
  <c r="AM113" i="8"/>
  <c r="AK120" i="8"/>
  <c r="AN74" i="9"/>
  <c r="AK127" i="8"/>
  <c r="AN81" i="9"/>
  <c r="AK159" i="8"/>
  <c r="AN107" i="9"/>
  <c r="AN105" i="9"/>
  <c r="AK157" i="8"/>
  <c r="AN106" i="9"/>
  <c r="AK158" i="8"/>
  <c r="AN76" i="9"/>
  <c r="AK122" i="8"/>
  <c r="AN79" i="9"/>
  <c r="AK125" i="8"/>
  <c r="AN70" i="9"/>
  <c r="AK116" i="8"/>
  <c r="AK117" i="8"/>
  <c r="AN71" i="9"/>
  <c r="AK124" i="8"/>
  <c r="AN78" i="9"/>
  <c r="AN69" i="9"/>
  <c r="AK115" i="8"/>
  <c r="AK161" i="8"/>
  <c r="AN109" i="9"/>
  <c r="AK121" i="8"/>
  <c r="AN75" i="9"/>
  <c r="DV17" i="9"/>
  <c r="DT79" i="8" s="1"/>
  <c r="DT81" i="8"/>
  <c r="DW18" i="9"/>
  <c r="DT80" i="8"/>
  <c r="DU80" i="8" l="1"/>
  <c r="DX18" i="9"/>
  <c r="DY18" i="9" s="1"/>
  <c r="DZ18" i="9" s="1"/>
  <c r="EA18" i="9" s="1"/>
  <c r="EB18" i="9" s="1"/>
  <c r="AL117" i="8"/>
  <c r="AO71" i="9"/>
  <c r="AL157" i="8"/>
  <c r="AO105" i="9"/>
  <c r="AL164" i="8"/>
  <c r="AO112" i="9"/>
  <c r="AL159" i="8"/>
  <c r="AO107" i="9"/>
  <c r="AL128" i="8"/>
  <c r="AO82" i="9"/>
  <c r="AL127" i="8"/>
  <c r="AO81" i="9"/>
  <c r="AO103" i="9"/>
  <c r="AL155" i="8"/>
  <c r="AL121" i="8"/>
  <c r="AO75" i="9"/>
  <c r="AL116" i="8"/>
  <c r="AO70" i="9"/>
  <c r="AO74" i="9"/>
  <c r="AL120" i="8"/>
  <c r="AO109" i="9"/>
  <c r="AL161" i="8"/>
  <c r="AO79" i="9"/>
  <c r="AL125" i="8"/>
  <c r="AO72" i="9"/>
  <c r="AL118" i="8"/>
  <c r="AO73" i="9"/>
  <c r="AL119" i="8"/>
  <c r="AN110" i="9"/>
  <c r="AL162" i="8" s="1"/>
  <c r="AL160" i="8"/>
  <c r="AO108" i="9"/>
  <c r="AL122" i="8"/>
  <c r="AO76" i="9"/>
  <c r="AQ67" i="9"/>
  <c r="AN113" i="8"/>
  <c r="AO119" i="9"/>
  <c r="AN121" i="9"/>
  <c r="AL169" i="8" s="1"/>
  <c r="AO80" i="9"/>
  <c r="AL126" i="8"/>
  <c r="AL115" i="8"/>
  <c r="AO69" i="9"/>
  <c r="AO78" i="9"/>
  <c r="AL124" i="8"/>
  <c r="AO106" i="9"/>
  <c r="AL158" i="8"/>
  <c r="AL156" i="8"/>
  <c r="AO104" i="9"/>
  <c r="AO77" i="9"/>
  <c r="AL123" i="8"/>
  <c r="DW17" i="9"/>
  <c r="DU81" i="8"/>
  <c r="DU79" i="8" l="1"/>
  <c r="DX17" i="9"/>
  <c r="DY17" i="9" s="1"/>
  <c r="DZ17" i="9" s="1"/>
  <c r="EA17" i="9" s="1"/>
  <c r="EB17" i="9" s="1"/>
  <c r="AP70" i="9"/>
  <c r="AM116" i="8"/>
  <c r="AP107" i="9"/>
  <c r="AM159" i="8"/>
  <c r="AM126" i="8"/>
  <c r="AP80" i="9"/>
  <c r="AO110" i="9"/>
  <c r="AM162" i="8" s="1"/>
  <c r="AP108" i="9"/>
  <c r="AM160" i="8"/>
  <c r="AP73" i="9"/>
  <c r="AM119" i="8"/>
  <c r="AM164" i="8"/>
  <c r="AP112" i="9"/>
  <c r="AP77" i="9"/>
  <c r="AM123" i="8"/>
  <c r="AP119" i="9"/>
  <c r="AO121" i="9"/>
  <c r="AM169" i="8" s="1"/>
  <c r="AP75" i="9"/>
  <c r="AM121" i="8"/>
  <c r="AP82" i="9"/>
  <c r="AM128" i="8"/>
  <c r="AP105" i="9"/>
  <c r="AM157" i="8"/>
  <c r="AP69" i="9"/>
  <c r="AM115" i="8"/>
  <c r="AR67" i="9"/>
  <c r="AO113" i="8"/>
  <c r="AP76" i="9"/>
  <c r="AM122" i="8"/>
  <c r="AM125" i="8"/>
  <c r="AP79" i="9"/>
  <c r="AP71" i="9"/>
  <c r="AM117" i="8"/>
  <c r="AP74" i="9"/>
  <c r="AM120" i="8"/>
  <c r="AP104" i="9"/>
  <c r="AM156" i="8"/>
  <c r="AM118" i="8"/>
  <c r="AP72" i="9"/>
  <c r="AM158" i="8"/>
  <c r="AP106" i="9"/>
  <c r="AP103" i="9"/>
  <c r="AM155" i="8"/>
  <c r="AM161" i="8"/>
  <c r="AP109" i="9"/>
  <c r="AM127" i="8"/>
  <c r="AP81" i="9"/>
  <c r="AM124" i="8"/>
  <c r="AP78" i="9"/>
  <c r="AN128" i="8" l="1"/>
  <c r="AQ82" i="9"/>
  <c r="AQ73" i="9"/>
  <c r="AN119" i="8"/>
  <c r="AQ72" i="9"/>
  <c r="AN118" i="8"/>
  <c r="AN122" i="8"/>
  <c r="AQ76" i="9"/>
  <c r="AN121" i="8"/>
  <c r="AQ75" i="9"/>
  <c r="AN160" i="8"/>
  <c r="AQ108" i="9"/>
  <c r="AP110" i="9"/>
  <c r="AN162" i="8" s="1"/>
  <c r="AN125" i="8"/>
  <c r="AQ79" i="9"/>
  <c r="AN124" i="8"/>
  <c r="AQ78" i="9"/>
  <c r="AQ104" i="9"/>
  <c r="AN156" i="8"/>
  <c r="AQ119" i="9"/>
  <c r="AP121" i="9"/>
  <c r="AN169" i="8" s="1"/>
  <c r="AQ80" i="9"/>
  <c r="AN126" i="8"/>
  <c r="AQ77" i="9"/>
  <c r="AN123" i="8"/>
  <c r="AN115" i="8"/>
  <c r="AQ69" i="9"/>
  <c r="AN164" i="8"/>
  <c r="AQ112" i="9"/>
  <c r="AQ107" i="9"/>
  <c r="AN159" i="8"/>
  <c r="AQ81" i="9"/>
  <c r="AN127" i="8"/>
  <c r="AN120" i="8"/>
  <c r="AQ74" i="9"/>
  <c r="AP113" i="8"/>
  <c r="AS67" i="9"/>
  <c r="AN116" i="8"/>
  <c r="AQ70" i="9"/>
  <c r="AN158" i="8"/>
  <c r="AQ106" i="9"/>
  <c r="AQ109" i="9"/>
  <c r="AN161" i="8"/>
  <c r="AQ105" i="9"/>
  <c r="AN157" i="8"/>
  <c r="AQ103" i="9"/>
  <c r="AN155" i="8"/>
  <c r="AN117" i="8"/>
  <c r="AQ71" i="9"/>
  <c r="AR106" i="9" l="1"/>
  <c r="AO158" i="8"/>
  <c r="AR119" i="9"/>
  <c r="AQ121" i="9"/>
  <c r="AO169" i="8" s="1"/>
  <c r="AO122" i="8"/>
  <c r="AR76" i="9"/>
  <c r="AR70" i="9"/>
  <c r="AO116" i="8"/>
  <c r="AR112" i="9"/>
  <c r="AO164" i="8"/>
  <c r="AO161" i="8"/>
  <c r="AR109" i="9"/>
  <c r="AO121" i="8"/>
  <c r="AR75" i="9"/>
  <c r="AR104" i="9"/>
  <c r="AO156" i="8"/>
  <c r="AR71" i="9"/>
  <c r="AO117" i="8"/>
  <c r="AR78" i="9"/>
  <c r="AO124" i="8"/>
  <c r="AR81" i="9"/>
  <c r="AO127" i="8"/>
  <c r="AR107" i="9"/>
  <c r="AO159" i="8"/>
  <c r="AR72" i="9"/>
  <c r="AO118" i="8"/>
  <c r="AR69" i="9"/>
  <c r="AO115" i="8"/>
  <c r="AT67" i="9"/>
  <c r="AQ113" i="8"/>
  <c r="AR79" i="9"/>
  <c r="AO125" i="8"/>
  <c r="AO155" i="8"/>
  <c r="AR103" i="9"/>
  <c r="AO123" i="8"/>
  <c r="AR77" i="9"/>
  <c r="AR73" i="9"/>
  <c r="AO119" i="8"/>
  <c r="AR74" i="9"/>
  <c r="AO120" i="8"/>
  <c r="AO128" i="8"/>
  <c r="AR82" i="9"/>
  <c r="AR105" i="9"/>
  <c r="AO157" i="8"/>
  <c r="AO126" i="8"/>
  <c r="AR80" i="9"/>
  <c r="AR108" i="9"/>
  <c r="AO160" i="8"/>
  <c r="AQ110" i="9"/>
  <c r="AO162" i="8" s="1"/>
  <c r="AS79" i="9" l="1"/>
  <c r="AP125" i="8"/>
  <c r="AP127" i="8"/>
  <c r="AS81" i="9"/>
  <c r="AP164" i="8"/>
  <c r="AS112" i="9"/>
  <c r="AS74" i="9"/>
  <c r="AP120" i="8"/>
  <c r="AS107" i="9"/>
  <c r="AP159" i="8"/>
  <c r="AR113" i="8"/>
  <c r="AU67" i="9"/>
  <c r="AP124" i="8"/>
  <c r="AS78" i="9"/>
  <c r="AS70" i="9"/>
  <c r="AP116" i="8"/>
  <c r="AS76" i="9"/>
  <c r="AP122" i="8"/>
  <c r="AP119" i="8"/>
  <c r="AS73" i="9"/>
  <c r="AP123" i="8"/>
  <c r="AS77" i="9"/>
  <c r="AS71" i="9"/>
  <c r="AP117" i="8"/>
  <c r="AP126" i="8"/>
  <c r="AS80" i="9"/>
  <c r="AS69" i="9"/>
  <c r="AP115" i="8"/>
  <c r="AP156" i="8"/>
  <c r="AS104" i="9"/>
  <c r="AS119" i="9"/>
  <c r="AR121" i="9"/>
  <c r="AP169" i="8" s="1"/>
  <c r="AS82" i="9"/>
  <c r="AP128" i="8"/>
  <c r="AR110" i="9"/>
  <c r="AP162" i="8" s="1"/>
  <c r="AP160" i="8"/>
  <c r="AS108" i="9"/>
  <c r="AP121" i="8"/>
  <c r="AS75" i="9"/>
  <c r="AP155" i="8"/>
  <c r="AS103" i="9"/>
  <c r="AS72" i="9"/>
  <c r="AP118" i="8"/>
  <c r="AS105" i="9"/>
  <c r="AP157" i="8"/>
  <c r="AS109" i="9"/>
  <c r="AP161" i="8"/>
  <c r="AP158" i="8"/>
  <c r="AS106" i="9"/>
  <c r="AQ156" i="8" l="1"/>
  <c r="AT104" i="9"/>
  <c r="AQ121" i="8"/>
  <c r="AT75" i="9"/>
  <c r="AQ115" i="8"/>
  <c r="AT69" i="9"/>
  <c r="AT107" i="9"/>
  <c r="AQ159" i="8"/>
  <c r="AT106" i="9"/>
  <c r="AQ158" i="8"/>
  <c r="AQ126" i="8"/>
  <c r="AT80" i="9"/>
  <c r="AT76" i="9"/>
  <c r="AQ122" i="8"/>
  <c r="AT74" i="9"/>
  <c r="AQ120" i="8"/>
  <c r="AQ160" i="8"/>
  <c r="AT108" i="9"/>
  <c r="AS110" i="9"/>
  <c r="AQ162" i="8" s="1"/>
  <c r="AQ164" i="8"/>
  <c r="AT112" i="9"/>
  <c r="AT73" i="9"/>
  <c r="AQ119" i="8"/>
  <c r="AT70" i="9"/>
  <c r="AQ116" i="8"/>
  <c r="AT119" i="9"/>
  <c r="AS121" i="9"/>
  <c r="AQ169" i="8" s="1"/>
  <c r="AT109" i="9"/>
  <c r="AQ161" i="8"/>
  <c r="AQ117" i="8"/>
  <c r="AT71" i="9"/>
  <c r="AT78" i="9"/>
  <c r="AQ124" i="8"/>
  <c r="AT81" i="9"/>
  <c r="AQ127" i="8"/>
  <c r="AT77" i="9"/>
  <c r="AQ123" i="8"/>
  <c r="AQ118" i="8"/>
  <c r="AT72" i="9"/>
  <c r="AT105" i="9"/>
  <c r="AQ157" i="8"/>
  <c r="AT82" i="9"/>
  <c r="AQ128" i="8"/>
  <c r="AS113" i="8"/>
  <c r="AV67" i="9"/>
  <c r="AT103" i="9"/>
  <c r="AQ155" i="8"/>
  <c r="AT79" i="9"/>
  <c r="AQ125" i="8"/>
  <c r="AR124" i="8" l="1"/>
  <c r="AU78" i="9"/>
  <c r="AU70" i="9"/>
  <c r="AR116" i="8"/>
  <c r="AR126" i="8"/>
  <c r="AU80" i="9"/>
  <c r="AU71" i="9"/>
  <c r="AR117" i="8"/>
  <c r="AR119" i="8"/>
  <c r="AU73" i="9"/>
  <c r="AU105" i="9"/>
  <c r="AR157" i="8"/>
  <c r="AU112" i="9"/>
  <c r="AR164" i="8"/>
  <c r="AU106" i="9"/>
  <c r="AR158" i="8"/>
  <c r="AR125" i="8"/>
  <c r="AU79" i="9"/>
  <c r="AU107" i="9"/>
  <c r="AR159" i="8"/>
  <c r="AU109" i="9"/>
  <c r="AR161" i="8"/>
  <c r="AT110" i="9"/>
  <c r="AR162" i="8" s="1"/>
  <c r="AR160" i="8"/>
  <c r="AU108" i="9"/>
  <c r="AU69" i="9"/>
  <c r="AR115" i="8"/>
  <c r="AU82" i="9"/>
  <c r="AR128" i="8"/>
  <c r="AU72" i="9"/>
  <c r="AR118" i="8"/>
  <c r="AR121" i="8"/>
  <c r="AU75" i="9"/>
  <c r="AU74" i="9"/>
  <c r="AR120" i="8"/>
  <c r="AU77" i="9"/>
  <c r="AR123" i="8"/>
  <c r="AR155" i="8"/>
  <c r="AU103" i="9"/>
  <c r="AT113" i="8"/>
  <c r="AW67" i="9"/>
  <c r="AU81" i="9"/>
  <c r="AR127" i="8"/>
  <c r="AU119" i="9"/>
  <c r="AT121" i="9"/>
  <c r="AR169" i="8" s="1"/>
  <c r="AU104" i="9"/>
  <c r="AR156" i="8"/>
  <c r="AR122" i="8"/>
  <c r="AU76" i="9"/>
  <c r="AS121" i="8" l="1"/>
  <c r="AV75" i="9"/>
  <c r="AS161" i="8"/>
  <c r="AV109" i="9"/>
  <c r="AV105" i="9"/>
  <c r="AS157" i="8"/>
  <c r="AV73" i="9"/>
  <c r="AS119" i="8"/>
  <c r="AV119" i="9"/>
  <c r="AU121" i="9"/>
  <c r="AS169" i="8" s="1"/>
  <c r="AU113" i="8"/>
  <c r="AX67" i="9"/>
  <c r="AV107" i="9"/>
  <c r="AS159" i="8"/>
  <c r="AV74" i="9"/>
  <c r="AS120" i="8"/>
  <c r="AV71" i="9"/>
  <c r="AS117" i="8"/>
  <c r="AS122" i="8"/>
  <c r="AV76" i="9"/>
  <c r="AV82" i="9"/>
  <c r="AS128" i="8"/>
  <c r="AS125" i="8"/>
  <c r="AV79" i="9"/>
  <c r="AV80" i="9"/>
  <c r="AS126" i="8"/>
  <c r="AS127" i="8"/>
  <c r="AV81" i="9"/>
  <c r="AS118" i="8"/>
  <c r="AV72" i="9"/>
  <c r="AV103" i="9"/>
  <c r="AS155" i="8"/>
  <c r="AS116" i="8"/>
  <c r="AV70" i="9"/>
  <c r="AV78" i="9"/>
  <c r="AS124" i="8"/>
  <c r="AV69" i="9"/>
  <c r="AS115" i="8"/>
  <c r="AS160" i="8"/>
  <c r="AV108" i="9"/>
  <c r="AU110" i="9"/>
  <c r="AS162" i="8" s="1"/>
  <c r="AV106" i="9"/>
  <c r="AS158" i="8"/>
  <c r="AV104" i="9"/>
  <c r="AS156" i="8"/>
  <c r="AS123" i="8"/>
  <c r="AV77" i="9"/>
  <c r="AS164" i="8"/>
  <c r="AV112" i="9"/>
  <c r="AY67" i="9" l="1"/>
  <c r="AV113" i="8"/>
  <c r="AW72" i="9"/>
  <c r="AT118" i="8"/>
  <c r="AT128" i="8"/>
  <c r="AW82" i="9"/>
  <c r="AW112" i="9"/>
  <c r="AT164" i="8"/>
  <c r="AW119" i="9"/>
  <c r="AV121" i="9"/>
  <c r="AT169" i="8" s="1"/>
  <c r="AT122" i="8"/>
  <c r="AW76" i="9"/>
  <c r="AT119" i="8"/>
  <c r="AW73" i="9"/>
  <c r="AT115" i="8"/>
  <c r="AW69" i="9"/>
  <c r="AW78" i="9"/>
  <c r="AT124" i="8"/>
  <c r="AT117" i="8"/>
  <c r="AW71" i="9"/>
  <c r="AW105" i="9"/>
  <c r="AT157" i="8"/>
  <c r="AT127" i="8"/>
  <c r="AW81" i="9"/>
  <c r="AT161" i="8"/>
  <c r="AW109" i="9"/>
  <c r="AW106" i="9"/>
  <c r="AT158" i="8"/>
  <c r="AT160" i="8"/>
  <c r="AW108" i="9"/>
  <c r="AV110" i="9"/>
  <c r="AT162" i="8" s="1"/>
  <c r="AW103" i="9"/>
  <c r="AT155" i="8"/>
  <c r="AT123" i="8"/>
  <c r="AW77" i="9"/>
  <c r="AW74" i="9"/>
  <c r="AT120" i="8"/>
  <c r="AW104" i="9"/>
  <c r="AT156" i="8"/>
  <c r="AW70" i="9"/>
  <c r="AT116" i="8"/>
  <c r="AW80" i="9"/>
  <c r="AT126" i="8"/>
  <c r="AW75" i="9"/>
  <c r="AT121" i="8"/>
  <c r="AT125" i="8"/>
  <c r="AW79" i="9"/>
  <c r="AW107" i="9"/>
  <c r="AT159" i="8"/>
  <c r="AX119" i="9" l="1"/>
  <c r="AW121" i="9"/>
  <c r="AU169" i="8" s="1"/>
  <c r="AU160" i="8"/>
  <c r="AW110" i="9"/>
  <c r="AU162" i="8" s="1"/>
  <c r="AX108" i="9"/>
  <c r="AU164" i="8"/>
  <c r="AX112" i="9"/>
  <c r="AX74" i="9"/>
  <c r="AU120" i="8"/>
  <c r="AU161" i="8"/>
  <c r="AX109" i="9"/>
  <c r="AU158" i="8"/>
  <c r="AX106" i="9"/>
  <c r="AU125" i="8"/>
  <c r="AX79" i="9"/>
  <c r="AX77" i="9"/>
  <c r="AU123" i="8"/>
  <c r="AX69" i="9"/>
  <c r="AU115" i="8"/>
  <c r="AX105" i="9"/>
  <c r="AU157" i="8"/>
  <c r="AX71" i="9"/>
  <c r="AU117" i="8"/>
  <c r="AU124" i="8"/>
  <c r="AX78" i="9"/>
  <c r="AX72" i="9"/>
  <c r="AU118" i="8"/>
  <c r="AX70" i="9"/>
  <c r="AU116" i="8"/>
  <c r="AX104" i="9"/>
  <c r="AU156" i="8"/>
  <c r="AX107" i="9"/>
  <c r="AU159" i="8"/>
  <c r="AU128" i="8"/>
  <c r="AX82" i="9"/>
  <c r="AX75" i="9"/>
  <c r="AU121" i="8"/>
  <c r="AU119" i="8"/>
  <c r="AX73" i="9"/>
  <c r="AU127" i="8"/>
  <c r="AX81" i="9"/>
  <c r="AU126" i="8"/>
  <c r="AX80" i="9"/>
  <c r="AX76" i="9"/>
  <c r="AU122" i="8"/>
  <c r="AX103" i="9"/>
  <c r="AU155" i="8"/>
  <c r="AZ67" i="9"/>
  <c r="AW113" i="8"/>
  <c r="AY81" i="9" l="1"/>
  <c r="AV127" i="8"/>
  <c r="AY109" i="9"/>
  <c r="AV161" i="8"/>
  <c r="AV119" i="8"/>
  <c r="AY73" i="9"/>
  <c r="AY104" i="9"/>
  <c r="AV156" i="8"/>
  <c r="AX113" i="8"/>
  <c r="BA67" i="9"/>
  <c r="AV115" i="8"/>
  <c r="AY69" i="9"/>
  <c r="AY74" i="9"/>
  <c r="AV120" i="8"/>
  <c r="AY112" i="9"/>
  <c r="AV164" i="8"/>
  <c r="AY79" i="9"/>
  <c r="AV125" i="8"/>
  <c r="AY108" i="9"/>
  <c r="AX110" i="9"/>
  <c r="AV162" i="8" s="1"/>
  <c r="AV160" i="8"/>
  <c r="AY72" i="9"/>
  <c r="AV118" i="8"/>
  <c r="AY107" i="9"/>
  <c r="AV159" i="8"/>
  <c r="AY105" i="9"/>
  <c r="AV157" i="8"/>
  <c r="AV117" i="8"/>
  <c r="AY71" i="9"/>
  <c r="AV121" i="8"/>
  <c r="AY75" i="9"/>
  <c r="AV155" i="8"/>
  <c r="AY103" i="9"/>
  <c r="AV116" i="8"/>
  <c r="AY70" i="9"/>
  <c r="AY77" i="9"/>
  <c r="AV123" i="8"/>
  <c r="AY82" i="9"/>
  <c r="AV128" i="8"/>
  <c r="AY78" i="9"/>
  <c r="AV124" i="8"/>
  <c r="AY106" i="9"/>
  <c r="AV158" i="8"/>
  <c r="AY76" i="9"/>
  <c r="AV122" i="8"/>
  <c r="AV126" i="8"/>
  <c r="AY80" i="9"/>
  <c r="AY119" i="9"/>
  <c r="AX121" i="9"/>
  <c r="AV169" i="8" s="1"/>
  <c r="AZ82" i="9" l="1"/>
  <c r="AW128" i="8"/>
  <c r="AZ108" i="9"/>
  <c r="AY110" i="9"/>
  <c r="AW162" i="8" s="1"/>
  <c r="AW160" i="8"/>
  <c r="AZ104" i="9"/>
  <c r="AW156" i="8"/>
  <c r="AW119" i="8"/>
  <c r="AZ73" i="9"/>
  <c r="AZ71" i="9"/>
  <c r="AW117" i="8"/>
  <c r="AZ79" i="9"/>
  <c r="AW125" i="8"/>
  <c r="AW124" i="8"/>
  <c r="AZ78" i="9"/>
  <c r="AZ80" i="9"/>
  <c r="AW126" i="8"/>
  <c r="BB67" i="9"/>
  <c r="AY113" i="8"/>
  <c r="AW116" i="8"/>
  <c r="AZ70" i="9"/>
  <c r="AZ112" i="9"/>
  <c r="AW164" i="8"/>
  <c r="AZ107" i="9"/>
  <c r="AW159" i="8"/>
  <c r="AZ77" i="9"/>
  <c r="AW123" i="8"/>
  <c r="AZ105" i="9"/>
  <c r="AW157" i="8"/>
  <c r="AZ119" i="9"/>
  <c r="AY121" i="9"/>
  <c r="AW169" i="8" s="1"/>
  <c r="AW155" i="8"/>
  <c r="AZ103" i="9"/>
  <c r="AZ76" i="9"/>
  <c r="AW122" i="8"/>
  <c r="AW120" i="8"/>
  <c r="AZ74" i="9"/>
  <c r="AZ109" i="9"/>
  <c r="AW161" i="8"/>
  <c r="AZ75" i="9"/>
  <c r="AW121" i="8"/>
  <c r="AW118" i="8"/>
  <c r="AZ72" i="9"/>
  <c r="AZ69" i="9"/>
  <c r="AW115" i="8"/>
  <c r="AZ106" i="9"/>
  <c r="AW158" i="8"/>
  <c r="AZ81" i="9"/>
  <c r="AW127" i="8"/>
  <c r="BA104" i="9" l="1"/>
  <c r="AX156" i="8"/>
  <c r="AX157" i="8"/>
  <c r="BA105" i="9"/>
  <c r="BC67" i="9"/>
  <c r="AZ113" i="8"/>
  <c r="BA80" i="9"/>
  <c r="AX126" i="8"/>
  <c r="AX161" i="8"/>
  <c r="BA109" i="9"/>
  <c r="AW51" i="8"/>
  <c r="AX127" i="8"/>
  <c r="BA81" i="9"/>
  <c r="AX158" i="8"/>
  <c r="BA106" i="9"/>
  <c r="AX122" i="8"/>
  <c r="BA76" i="9"/>
  <c r="BA107" i="9"/>
  <c r="AX159" i="8"/>
  <c r="AX124" i="8"/>
  <c r="BA78" i="9"/>
  <c r="AX160" i="8"/>
  <c r="BA108" i="9"/>
  <c r="AZ110" i="9"/>
  <c r="AX162" i="8" s="1"/>
  <c r="AX128" i="8"/>
  <c r="BA82" i="9"/>
  <c r="AX123" i="8"/>
  <c r="BA77" i="9"/>
  <c r="BA72" i="9"/>
  <c r="AX118" i="8"/>
  <c r="BA74" i="9"/>
  <c r="AX120" i="8"/>
  <c r="BA103" i="9"/>
  <c r="AX155" i="8"/>
  <c r="AX115" i="8"/>
  <c r="BA69" i="9"/>
  <c r="BA79" i="9"/>
  <c r="AX125" i="8"/>
  <c r="BA112" i="9"/>
  <c r="AX164" i="8"/>
  <c r="BA70" i="9"/>
  <c r="AX116" i="8"/>
  <c r="AX117" i="8"/>
  <c r="BA71" i="9"/>
  <c r="AX121" i="8"/>
  <c r="BA75" i="9"/>
  <c r="BA119" i="9"/>
  <c r="AZ121" i="9"/>
  <c r="AX169" i="8" s="1"/>
  <c r="BA73" i="9"/>
  <c r="AX119" i="8"/>
  <c r="AY126" i="8" l="1"/>
  <c r="BB80" i="9"/>
  <c r="AY122" i="8"/>
  <c r="BB76" i="9"/>
  <c r="AY128" i="8"/>
  <c r="BB82" i="9"/>
  <c r="BA113" i="8"/>
  <c r="BD67" i="9"/>
  <c r="AY125" i="8"/>
  <c r="BB79" i="9"/>
  <c r="AY158" i="8"/>
  <c r="BB106" i="9"/>
  <c r="AY157" i="8"/>
  <c r="BB105" i="9"/>
  <c r="BB72" i="9"/>
  <c r="AY118" i="8"/>
  <c r="BB77" i="9"/>
  <c r="AY123" i="8"/>
  <c r="BB75" i="9"/>
  <c r="AY121" i="8"/>
  <c r="BB81" i="9"/>
  <c r="AY127" i="8"/>
  <c r="AY119" i="8"/>
  <c r="BB73" i="9"/>
  <c r="BB112" i="9"/>
  <c r="AY164" i="8"/>
  <c r="BB119" i="9"/>
  <c r="BA121" i="9"/>
  <c r="AY169" i="8" s="1"/>
  <c r="AY115" i="8"/>
  <c r="BB69" i="9"/>
  <c r="BB71" i="9"/>
  <c r="AY117" i="8"/>
  <c r="BB103" i="9"/>
  <c r="AY155" i="8"/>
  <c r="BB104" i="9"/>
  <c r="AY156" i="8"/>
  <c r="AY160" i="8"/>
  <c r="BB108" i="9"/>
  <c r="BA110" i="9"/>
  <c r="AY162" i="8" s="1"/>
  <c r="BB107" i="9"/>
  <c r="AY159" i="8"/>
  <c r="AY116" i="8"/>
  <c r="BB70" i="9"/>
  <c r="BB74" i="9"/>
  <c r="AY120" i="8"/>
  <c r="BB78" i="9"/>
  <c r="AY124" i="8"/>
  <c r="AY161" i="8"/>
  <c r="BB109" i="9"/>
  <c r="AZ121" i="8" l="1"/>
  <c r="BC75" i="9"/>
  <c r="BC71" i="9"/>
  <c r="AZ117" i="8"/>
  <c r="BC109" i="9"/>
  <c r="AZ161" i="8"/>
  <c r="BC82" i="9"/>
  <c r="AZ128" i="8"/>
  <c r="BC69" i="9"/>
  <c r="AZ115" i="8"/>
  <c r="BC119" i="9"/>
  <c r="BB121" i="9"/>
  <c r="AZ169" i="8" s="1"/>
  <c r="AZ123" i="8"/>
  <c r="BC77" i="9"/>
  <c r="BC72" i="9"/>
  <c r="AZ118" i="8"/>
  <c r="BC105" i="9"/>
  <c r="AZ157" i="8"/>
  <c r="BC78" i="9"/>
  <c r="AZ124" i="8"/>
  <c r="BC74" i="9"/>
  <c r="AZ120" i="8"/>
  <c r="AZ160" i="8"/>
  <c r="BC108" i="9"/>
  <c r="BB110" i="9"/>
  <c r="AZ162" i="8" s="1"/>
  <c r="AZ156" i="8"/>
  <c r="BC104" i="9"/>
  <c r="AZ158" i="8"/>
  <c r="BC106" i="9"/>
  <c r="BE67" i="9"/>
  <c r="BB113" i="8"/>
  <c r="AZ116" i="8"/>
  <c r="BC70" i="9"/>
  <c r="AZ119" i="8"/>
  <c r="BC73" i="9"/>
  <c r="BC81" i="9"/>
  <c r="AZ127" i="8"/>
  <c r="BC112" i="9"/>
  <c r="AZ164" i="8"/>
  <c r="AZ122" i="8"/>
  <c r="BC76" i="9"/>
  <c r="AZ155" i="8"/>
  <c r="BC103" i="9"/>
  <c r="AZ126" i="8"/>
  <c r="BC80" i="9"/>
  <c r="BC107" i="9"/>
  <c r="AZ159" i="8"/>
  <c r="AZ125" i="8"/>
  <c r="BC79" i="9"/>
  <c r="BD76" i="9" l="1"/>
  <c r="BA122" i="8"/>
  <c r="BD104" i="9"/>
  <c r="BA156" i="8"/>
  <c r="BD112" i="9"/>
  <c r="BA164" i="8"/>
  <c r="BA118" i="8"/>
  <c r="BD72" i="9"/>
  <c r="BD82" i="9"/>
  <c r="BA128" i="8"/>
  <c r="BA160" i="8"/>
  <c r="BC110" i="9"/>
  <c r="BA162" i="8" s="1"/>
  <c r="BD108" i="9"/>
  <c r="BD109" i="9"/>
  <c r="BA161" i="8"/>
  <c r="BD105" i="9"/>
  <c r="BA157" i="8"/>
  <c r="BD106" i="9"/>
  <c r="BA158" i="8"/>
  <c r="BA115" i="8"/>
  <c r="BD69" i="9"/>
  <c r="BD79" i="9"/>
  <c r="BA125" i="8"/>
  <c r="BD73" i="9"/>
  <c r="BA119" i="8"/>
  <c r="BA126" i="8"/>
  <c r="BD80" i="9"/>
  <c r="BA127" i="8"/>
  <c r="BD81" i="9"/>
  <c r="BD107" i="9"/>
  <c r="BA159" i="8"/>
  <c r="BA121" i="8"/>
  <c r="BD75" i="9"/>
  <c r="AY51" i="8"/>
  <c r="BA117" i="8"/>
  <c r="BD71" i="9"/>
  <c r="BD70" i="9"/>
  <c r="BA116" i="8"/>
  <c r="BD74" i="9"/>
  <c r="BA120" i="8"/>
  <c r="BD77" i="9"/>
  <c r="BA123" i="8"/>
  <c r="BA155" i="8"/>
  <c r="BD103" i="9"/>
  <c r="BD78" i="9"/>
  <c r="BA124" i="8"/>
  <c r="BF67" i="9"/>
  <c r="BC113" i="8"/>
  <c r="BD119" i="9"/>
  <c r="BC121" i="9"/>
  <c r="BA169" i="8" s="1"/>
  <c r="BE82" i="9" l="1"/>
  <c r="BB128" i="8"/>
  <c r="BB120" i="8"/>
  <c r="BE74" i="9"/>
  <c r="BE105" i="9"/>
  <c r="BB157" i="8"/>
  <c r="BE72" i="9"/>
  <c r="BB118" i="8"/>
  <c r="BD113" i="8"/>
  <c r="BG67" i="9"/>
  <c r="BB126" i="8"/>
  <c r="BE80" i="9"/>
  <c r="BE70" i="9"/>
  <c r="BB116" i="8"/>
  <c r="BB161" i="8"/>
  <c r="BE109" i="9"/>
  <c r="BB124" i="8"/>
  <c r="BE78" i="9"/>
  <c r="BB117" i="8"/>
  <c r="BE71" i="9"/>
  <c r="BD110" i="9"/>
  <c r="BB162" i="8" s="1"/>
  <c r="BB160" i="8"/>
  <c r="BE108" i="9"/>
  <c r="BE112" i="9"/>
  <c r="BB164" i="8"/>
  <c r="BE77" i="9"/>
  <c r="BB123" i="8"/>
  <c r="BE107" i="9"/>
  <c r="BB159" i="8"/>
  <c r="BE119" i="9"/>
  <c r="BD121" i="9"/>
  <c r="BB169" i="8" s="1"/>
  <c r="BB119" i="8"/>
  <c r="BE73" i="9"/>
  <c r="BB156" i="8"/>
  <c r="BE104" i="9"/>
  <c r="BE81" i="9"/>
  <c r="BB127" i="8"/>
  <c r="BE103" i="9"/>
  <c r="BB155" i="8"/>
  <c r="BB158" i="8"/>
  <c r="BE106" i="9"/>
  <c r="BB125" i="8"/>
  <c r="BE79" i="9"/>
  <c r="BB121" i="8"/>
  <c r="BE75" i="9"/>
  <c r="BB115" i="8"/>
  <c r="BE69" i="9"/>
  <c r="BB122" i="8"/>
  <c r="BE76" i="9"/>
  <c r="AZ51" i="8"/>
  <c r="BF78" i="9" l="1"/>
  <c r="BC124" i="8"/>
  <c r="BF106" i="9"/>
  <c r="BC158" i="8"/>
  <c r="BC118" i="8"/>
  <c r="BF72" i="9"/>
  <c r="BC161" i="8"/>
  <c r="BF109" i="9"/>
  <c r="BF119" i="9"/>
  <c r="BE121" i="9"/>
  <c r="BC169" i="8" s="1"/>
  <c r="BF107" i="9"/>
  <c r="BC159" i="8"/>
  <c r="BF105" i="9"/>
  <c r="BC157" i="8"/>
  <c r="BC125" i="8"/>
  <c r="BF79" i="9"/>
  <c r="BC122" i="8"/>
  <c r="BF76" i="9"/>
  <c r="BC155" i="8"/>
  <c r="BF103" i="9"/>
  <c r="BF77" i="9"/>
  <c r="BC123" i="8"/>
  <c r="BF74" i="9"/>
  <c r="BC120" i="8"/>
  <c r="BF70" i="9"/>
  <c r="BC116" i="8"/>
  <c r="BF71" i="9"/>
  <c r="BC117" i="8"/>
  <c r="BC115" i="8"/>
  <c r="BF69" i="9"/>
  <c r="BF81" i="9"/>
  <c r="BC127" i="8"/>
  <c r="BC164" i="8"/>
  <c r="BF112" i="9"/>
  <c r="BC126" i="8"/>
  <c r="BF80" i="9"/>
  <c r="BC156" i="8"/>
  <c r="BF104" i="9"/>
  <c r="BC160" i="8"/>
  <c r="BF108" i="9"/>
  <c r="BE110" i="9"/>
  <c r="BC162" i="8" s="1"/>
  <c r="BF75" i="9"/>
  <c r="BC121" i="8"/>
  <c r="BH67" i="9"/>
  <c r="BE113" i="8"/>
  <c r="BF73" i="9"/>
  <c r="BC119" i="8"/>
  <c r="BF82" i="9"/>
  <c r="BC128" i="8"/>
  <c r="BG103" i="9" l="1"/>
  <c r="BD155" i="8"/>
  <c r="BD128" i="8"/>
  <c r="BG82" i="9"/>
  <c r="BD160" i="8"/>
  <c r="BG108" i="9"/>
  <c r="BF110" i="9"/>
  <c r="BD162" i="8" s="1"/>
  <c r="BG69" i="9"/>
  <c r="BD115" i="8"/>
  <c r="BD122" i="8"/>
  <c r="BG76" i="9"/>
  <c r="BD161" i="8"/>
  <c r="BG109" i="9"/>
  <c r="BG119" i="9"/>
  <c r="BF121" i="9"/>
  <c r="BD169" i="8" s="1"/>
  <c r="BD156" i="8"/>
  <c r="BG104" i="9"/>
  <c r="BG71" i="9"/>
  <c r="BD117" i="8"/>
  <c r="BG81" i="9"/>
  <c r="BD127" i="8"/>
  <c r="BD125" i="8"/>
  <c r="BG79" i="9"/>
  <c r="BD118" i="8"/>
  <c r="BG72" i="9"/>
  <c r="BG75" i="9"/>
  <c r="BD121" i="8"/>
  <c r="BD116" i="8"/>
  <c r="BG70" i="9"/>
  <c r="BG77" i="9"/>
  <c r="BD123" i="8"/>
  <c r="BG80" i="9"/>
  <c r="BD126" i="8"/>
  <c r="BG107" i="9"/>
  <c r="BD159" i="8"/>
  <c r="BD119" i="8"/>
  <c r="BG73" i="9"/>
  <c r="BG106" i="9"/>
  <c r="BD158" i="8"/>
  <c r="BG112" i="9"/>
  <c r="BD164" i="8"/>
  <c r="BD157" i="8"/>
  <c r="BG105" i="9"/>
  <c r="BI67" i="9"/>
  <c r="BF113" i="8"/>
  <c r="BG74" i="9"/>
  <c r="BD120" i="8"/>
  <c r="BD124" i="8"/>
  <c r="BG78" i="9"/>
  <c r="BE164" i="8" l="1"/>
  <c r="BH112" i="9"/>
  <c r="BH78" i="9"/>
  <c r="BE124" i="8"/>
  <c r="BH77" i="9"/>
  <c r="BE123" i="8"/>
  <c r="BH71" i="9"/>
  <c r="BE117" i="8"/>
  <c r="BH81" i="9"/>
  <c r="BE127" i="8"/>
  <c r="BE119" i="8"/>
  <c r="BH73" i="9"/>
  <c r="BH80" i="9"/>
  <c r="BE126" i="8"/>
  <c r="BH106" i="9"/>
  <c r="BE158" i="8"/>
  <c r="BE116" i="8"/>
  <c r="BH70" i="9"/>
  <c r="BH104" i="9"/>
  <c r="BE156" i="8"/>
  <c r="BH69" i="9"/>
  <c r="BE115" i="8"/>
  <c r="BH74" i="9"/>
  <c r="BE120" i="8"/>
  <c r="BE160" i="8"/>
  <c r="BG110" i="9"/>
  <c r="BE162" i="8" s="1"/>
  <c r="BH108" i="9"/>
  <c r="BH76" i="9"/>
  <c r="BE122" i="8"/>
  <c r="BH75" i="9"/>
  <c r="BE121" i="8"/>
  <c r="BE118" i="8"/>
  <c r="BH72" i="9"/>
  <c r="BE128" i="8"/>
  <c r="BH82" i="9"/>
  <c r="BG113" i="8"/>
  <c r="BJ67" i="9"/>
  <c r="BH119" i="9"/>
  <c r="BG121" i="9"/>
  <c r="BE169" i="8" s="1"/>
  <c r="BH105" i="9"/>
  <c r="BE157" i="8"/>
  <c r="BH107" i="9"/>
  <c r="BE159" i="8"/>
  <c r="BH79" i="9"/>
  <c r="BE125" i="8"/>
  <c r="BE161" i="8"/>
  <c r="BH109" i="9"/>
  <c r="BH103" i="9"/>
  <c r="BE155" i="8"/>
  <c r="BF115" i="8" l="1"/>
  <c r="BI69" i="9"/>
  <c r="BF155" i="8"/>
  <c r="BI103" i="9"/>
  <c r="BI119" i="9"/>
  <c r="BH121" i="9"/>
  <c r="BF169" i="8" s="1"/>
  <c r="BF156" i="8"/>
  <c r="BI104" i="9"/>
  <c r="BI105" i="9"/>
  <c r="BF157" i="8"/>
  <c r="BI81" i="9"/>
  <c r="BF127" i="8"/>
  <c r="BI76" i="9"/>
  <c r="BF122" i="8"/>
  <c r="BF117" i="8"/>
  <c r="BI71" i="9"/>
  <c r="BF116" i="8"/>
  <c r="BI70" i="9"/>
  <c r="BI106" i="9"/>
  <c r="BF158" i="8"/>
  <c r="BI77" i="9"/>
  <c r="BF123" i="8"/>
  <c r="BF161" i="8"/>
  <c r="BI109" i="9"/>
  <c r="BH110" i="9"/>
  <c r="BF162" i="8" s="1"/>
  <c r="BI108" i="9"/>
  <c r="BF160" i="8"/>
  <c r="BI80" i="9"/>
  <c r="BF126" i="8"/>
  <c r="BK67" i="9"/>
  <c r="BH113" i="8"/>
  <c r="BF128" i="8"/>
  <c r="BI82" i="9"/>
  <c r="BF118" i="8"/>
  <c r="BI72" i="9"/>
  <c r="BI112" i="9"/>
  <c r="BF164" i="8"/>
  <c r="BI79" i="9"/>
  <c r="BF125" i="8"/>
  <c r="BI74" i="9"/>
  <c r="BF120" i="8"/>
  <c r="BI78" i="9"/>
  <c r="BF124" i="8"/>
  <c r="BI107" i="9"/>
  <c r="BF159" i="8"/>
  <c r="BF121" i="8"/>
  <c r="BI75" i="9"/>
  <c r="BF119" i="8"/>
  <c r="BI73" i="9"/>
  <c r="BG120" i="8" l="1"/>
  <c r="BJ74" i="9"/>
  <c r="BJ106" i="9"/>
  <c r="BG158" i="8"/>
  <c r="BJ105" i="9"/>
  <c r="BG157" i="8"/>
  <c r="BL67" i="9"/>
  <c r="BI113" i="8"/>
  <c r="BJ79" i="9"/>
  <c r="BG125" i="8"/>
  <c r="BJ112" i="9"/>
  <c r="BG164" i="8"/>
  <c r="BG126" i="8"/>
  <c r="BJ80" i="9"/>
  <c r="BJ104" i="9"/>
  <c r="BG156" i="8"/>
  <c r="BI110" i="9"/>
  <c r="BG162" i="8" s="1"/>
  <c r="BJ108" i="9"/>
  <c r="BG160" i="8"/>
  <c r="BG116" i="8"/>
  <c r="BJ70" i="9"/>
  <c r="BJ119" i="9"/>
  <c r="BI121" i="9"/>
  <c r="BG169" i="8" s="1"/>
  <c r="BJ71" i="9"/>
  <c r="BG117" i="8"/>
  <c r="BJ69" i="9"/>
  <c r="BG115" i="8"/>
  <c r="BJ81" i="9"/>
  <c r="BG127" i="8"/>
  <c r="BJ73" i="9"/>
  <c r="BG119" i="8"/>
  <c r="BJ75" i="9"/>
  <c r="BG121" i="8"/>
  <c r="BJ72" i="9"/>
  <c r="BG118" i="8"/>
  <c r="BJ82" i="9"/>
  <c r="BG128" i="8"/>
  <c r="BJ107" i="9"/>
  <c r="BG159" i="8"/>
  <c r="BJ109" i="9"/>
  <c r="BG161" i="8"/>
  <c r="BJ103" i="9"/>
  <c r="BG155" i="8"/>
  <c r="BJ78" i="9"/>
  <c r="BG124" i="8"/>
  <c r="BJ77" i="9"/>
  <c r="BG123" i="8"/>
  <c r="BG122" i="8"/>
  <c r="BJ76" i="9"/>
  <c r="BH119" i="8" l="1"/>
  <c r="BK73" i="9"/>
  <c r="BH155" i="8"/>
  <c r="BK103" i="9"/>
  <c r="BH125" i="8"/>
  <c r="BK79" i="9"/>
  <c r="BK81" i="9"/>
  <c r="BH127" i="8"/>
  <c r="BM67" i="9"/>
  <c r="BJ113" i="8"/>
  <c r="BH164" i="8"/>
  <c r="BK112" i="9"/>
  <c r="BJ110" i="9"/>
  <c r="BH162" i="8" s="1"/>
  <c r="BK108" i="9"/>
  <c r="BH160" i="8"/>
  <c r="BH115" i="8"/>
  <c r="BK69" i="9"/>
  <c r="BK77" i="9"/>
  <c r="BH123" i="8"/>
  <c r="BH157" i="8"/>
  <c r="BK105" i="9"/>
  <c r="BK70" i="9"/>
  <c r="BH116" i="8"/>
  <c r="BK76" i="9"/>
  <c r="BH122" i="8"/>
  <c r="BK107" i="9"/>
  <c r="BH159" i="8"/>
  <c r="BK82" i="9"/>
  <c r="BH128" i="8"/>
  <c r="BH120" i="8"/>
  <c r="BK74" i="9"/>
  <c r="BK109" i="9"/>
  <c r="BH161" i="8"/>
  <c r="BH117" i="8"/>
  <c r="BK71" i="9"/>
  <c r="BH156" i="8"/>
  <c r="BK104" i="9"/>
  <c r="BH158" i="8"/>
  <c r="BK106" i="9"/>
  <c r="BH118" i="8"/>
  <c r="BK72" i="9"/>
  <c r="BK80" i="9"/>
  <c r="BH126" i="8"/>
  <c r="BH124" i="8"/>
  <c r="BK78" i="9"/>
  <c r="BH121" i="8"/>
  <c r="BK75" i="9"/>
  <c r="BK119" i="9"/>
  <c r="BJ121" i="9"/>
  <c r="BH169" i="8" s="1"/>
  <c r="BL119" i="9" l="1"/>
  <c r="BK121" i="9"/>
  <c r="BI169" i="8" s="1"/>
  <c r="BI123" i="8"/>
  <c r="BL77" i="9"/>
  <c r="BL74" i="9"/>
  <c r="BI120" i="8"/>
  <c r="BI127" i="8"/>
  <c r="BL81" i="9"/>
  <c r="BL106" i="9"/>
  <c r="BI158" i="8"/>
  <c r="BL107" i="9"/>
  <c r="BI159" i="8"/>
  <c r="BI125" i="8"/>
  <c r="BL79" i="9"/>
  <c r="BL69" i="9"/>
  <c r="BI115" i="8"/>
  <c r="BI124" i="8"/>
  <c r="BL78" i="9"/>
  <c r="BL104" i="9"/>
  <c r="BI156" i="8"/>
  <c r="BL103" i="9"/>
  <c r="BI155" i="8"/>
  <c r="BI122" i="8"/>
  <c r="BL76" i="9"/>
  <c r="BL82" i="9"/>
  <c r="BI128" i="8"/>
  <c r="BI117" i="8"/>
  <c r="BL71" i="9"/>
  <c r="BI160" i="8"/>
  <c r="BK110" i="9"/>
  <c r="BI162" i="8" s="1"/>
  <c r="BL108" i="9"/>
  <c r="BN67" i="9"/>
  <c r="BK113" i="8"/>
  <c r="BL75" i="9"/>
  <c r="BI121" i="8"/>
  <c r="BI157" i="8"/>
  <c r="BL105" i="9"/>
  <c r="BL70" i="9"/>
  <c r="BI116" i="8"/>
  <c r="BI164" i="8"/>
  <c r="BL112" i="9"/>
  <c r="BI119" i="8"/>
  <c r="BL73" i="9"/>
  <c r="BI126" i="8"/>
  <c r="BL80" i="9"/>
  <c r="BI161" i="8"/>
  <c r="BL109" i="9"/>
  <c r="BL72" i="9"/>
  <c r="BI118" i="8"/>
  <c r="BM81" i="9" l="1"/>
  <c r="BJ127" i="8"/>
  <c r="BM78" i="9"/>
  <c r="BJ124" i="8"/>
  <c r="BM70" i="9"/>
  <c r="BJ116" i="8"/>
  <c r="BM71" i="9"/>
  <c r="BJ117" i="8"/>
  <c r="BM74" i="9"/>
  <c r="BJ120" i="8"/>
  <c r="BJ118" i="8"/>
  <c r="BM72" i="9"/>
  <c r="BJ123" i="8"/>
  <c r="BM77" i="9"/>
  <c r="BM106" i="9"/>
  <c r="BJ158" i="8"/>
  <c r="BJ157" i="8"/>
  <c r="BM105" i="9"/>
  <c r="BJ115" i="8"/>
  <c r="BM69" i="9"/>
  <c r="BM82" i="9"/>
  <c r="BJ128" i="8"/>
  <c r="BM79" i="9"/>
  <c r="BJ125" i="8"/>
  <c r="BM76" i="9"/>
  <c r="BJ122" i="8"/>
  <c r="BM75" i="9"/>
  <c r="BJ121" i="8"/>
  <c r="BM112" i="9"/>
  <c r="BJ164" i="8"/>
  <c r="BM108" i="9"/>
  <c r="BL110" i="9"/>
  <c r="BJ162" i="8" s="1"/>
  <c r="BJ160" i="8"/>
  <c r="BM104" i="9"/>
  <c r="BJ156" i="8"/>
  <c r="BJ161" i="8"/>
  <c r="BM109" i="9"/>
  <c r="BM80" i="9"/>
  <c r="BJ126" i="8"/>
  <c r="BM73" i="9"/>
  <c r="BJ119" i="8"/>
  <c r="BM107" i="9"/>
  <c r="BJ159" i="8"/>
  <c r="BM119" i="9"/>
  <c r="BL121" i="9"/>
  <c r="BJ169" i="8" s="1"/>
  <c r="BL113" i="8"/>
  <c r="BO67" i="9"/>
  <c r="BM103" i="9"/>
  <c r="BJ155" i="8"/>
  <c r="BK125" i="8" l="1"/>
  <c r="BN79" i="9"/>
  <c r="BN73" i="9"/>
  <c r="BK119" i="8"/>
  <c r="BK121" i="8"/>
  <c r="BN75" i="9"/>
  <c r="BK128" i="8"/>
  <c r="BN82" i="9"/>
  <c r="BN74" i="9"/>
  <c r="BK120" i="8"/>
  <c r="BN112" i="9"/>
  <c r="BK164" i="8"/>
  <c r="BN71" i="9"/>
  <c r="BK117" i="8"/>
  <c r="BN103" i="9"/>
  <c r="BK155" i="8"/>
  <c r="BN105" i="9"/>
  <c r="BK157" i="8"/>
  <c r="BK118" i="8"/>
  <c r="BN72" i="9"/>
  <c r="BK116" i="8"/>
  <c r="BN70" i="9"/>
  <c r="BP67" i="9"/>
  <c r="BM113" i="8"/>
  <c r="BK161" i="8"/>
  <c r="BN109" i="9"/>
  <c r="BK122" i="8"/>
  <c r="BN76" i="9"/>
  <c r="BN69" i="9"/>
  <c r="BK115" i="8"/>
  <c r="BN80" i="9"/>
  <c r="BK126" i="8"/>
  <c r="BN104" i="9"/>
  <c r="BK156" i="8"/>
  <c r="BK159" i="8"/>
  <c r="BN107" i="9"/>
  <c r="BN119" i="9"/>
  <c r="BM121" i="9"/>
  <c r="BK169" i="8" s="1"/>
  <c r="BN106" i="9"/>
  <c r="BK158" i="8"/>
  <c r="BN78" i="9"/>
  <c r="BK124" i="8"/>
  <c r="BK123" i="8"/>
  <c r="BN77" i="9"/>
  <c r="BM110" i="9"/>
  <c r="BK162" i="8" s="1"/>
  <c r="BN108" i="9"/>
  <c r="BK160" i="8"/>
  <c r="BN81" i="9"/>
  <c r="BK127" i="8"/>
  <c r="BN113" i="8" l="1"/>
  <c r="BQ67" i="9"/>
  <c r="BL164" i="8"/>
  <c r="BO112" i="9"/>
  <c r="BO74" i="9"/>
  <c r="BL120" i="8"/>
  <c r="BL127" i="8"/>
  <c r="BO81" i="9"/>
  <c r="BO72" i="9"/>
  <c r="BL118" i="8"/>
  <c r="BL128" i="8"/>
  <c r="BO82" i="9"/>
  <c r="BO75" i="9"/>
  <c r="BL121" i="8"/>
  <c r="BL157" i="8"/>
  <c r="BO105" i="9"/>
  <c r="BO78" i="9"/>
  <c r="BL124" i="8"/>
  <c r="BL116" i="8"/>
  <c r="BO70" i="9"/>
  <c r="BL156" i="8"/>
  <c r="BO104" i="9"/>
  <c r="BL115" i="8"/>
  <c r="BO69" i="9"/>
  <c r="BO73" i="9"/>
  <c r="BL119" i="8"/>
  <c r="BO76" i="9"/>
  <c r="BL122" i="8"/>
  <c r="BO106" i="9"/>
  <c r="BL158" i="8"/>
  <c r="BO80" i="9"/>
  <c r="BL126" i="8"/>
  <c r="BO119" i="9"/>
  <c r="BN121" i="9"/>
  <c r="BL169" i="8" s="1"/>
  <c r="BO79" i="9"/>
  <c r="BL125" i="8"/>
  <c r="BN110" i="9"/>
  <c r="BL162" i="8" s="1"/>
  <c r="BL160" i="8"/>
  <c r="BO108" i="9"/>
  <c r="BO103" i="9"/>
  <c r="BL155" i="8"/>
  <c r="BL123" i="8"/>
  <c r="BO77" i="9"/>
  <c r="BL161" i="8"/>
  <c r="BO109" i="9"/>
  <c r="BO71" i="9"/>
  <c r="BL117" i="8"/>
  <c r="BL159" i="8"/>
  <c r="BO107" i="9"/>
  <c r="BP119" i="9" l="1"/>
  <c r="BO121" i="9"/>
  <c r="BM169" i="8" s="1"/>
  <c r="BP104" i="9"/>
  <c r="BM156" i="8"/>
  <c r="BM128" i="8"/>
  <c r="BP82" i="9"/>
  <c r="BM155" i="8"/>
  <c r="BP103" i="9"/>
  <c r="BM126" i="8"/>
  <c r="BP80" i="9"/>
  <c r="BP70" i="9"/>
  <c r="BM116" i="8"/>
  <c r="BP72" i="9"/>
  <c r="BM118" i="8"/>
  <c r="BM127" i="8"/>
  <c r="BP81" i="9"/>
  <c r="BP107" i="9"/>
  <c r="BM159" i="8"/>
  <c r="BP78" i="9"/>
  <c r="BM124" i="8"/>
  <c r="BM122" i="8"/>
  <c r="BP76" i="9"/>
  <c r="BM157" i="8"/>
  <c r="BP105" i="9"/>
  <c r="BM158" i="8"/>
  <c r="BP106" i="9"/>
  <c r="BP74" i="9"/>
  <c r="BM120" i="8"/>
  <c r="BM164" i="8"/>
  <c r="BP112" i="9"/>
  <c r="BM117" i="8"/>
  <c r="BP71" i="9"/>
  <c r="BP73" i="9"/>
  <c r="BM119" i="8"/>
  <c r="BO113" i="8"/>
  <c r="BR67" i="9"/>
  <c r="BP108" i="9"/>
  <c r="BM160" i="8"/>
  <c r="BO110" i="9"/>
  <c r="BM162" i="8" s="1"/>
  <c r="BP109" i="9"/>
  <c r="BM161" i="8"/>
  <c r="BM115" i="8"/>
  <c r="BP69" i="9"/>
  <c r="BM121" i="8"/>
  <c r="BP75" i="9"/>
  <c r="BP79" i="9"/>
  <c r="BM125" i="8"/>
  <c r="BP77" i="9"/>
  <c r="BM123" i="8"/>
  <c r="BQ69" i="9" l="1"/>
  <c r="BN115" i="8"/>
  <c r="BN119" i="8"/>
  <c r="BQ73" i="9"/>
  <c r="BN122" i="8"/>
  <c r="BQ76" i="9"/>
  <c r="BQ80" i="9"/>
  <c r="BN126" i="8"/>
  <c r="BN155" i="8"/>
  <c r="BQ103" i="9"/>
  <c r="BP110" i="9"/>
  <c r="BN162" i="8" s="1"/>
  <c r="BQ109" i="9"/>
  <c r="BN161" i="8"/>
  <c r="BN164" i="8"/>
  <c r="BQ112" i="9"/>
  <c r="BQ78" i="9"/>
  <c r="BN124" i="8"/>
  <c r="BQ82" i="9"/>
  <c r="BN128" i="8"/>
  <c r="BN159" i="8"/>
  <c r="BQ107" i="9"/>
  <c r="BN117" i="8"/>
  <c r="BQ71" i="9"/>
  <c r="BN127" i="8"/>
  <c r="BQ81" i="9"/>
  <c r="BN156" i="8"/>
  <c r="BQ104" i="9"/>
  <c r="BN123" i="8"/>
  <c r="BQ77" i="9"/>
  <c r="BN160" i="8"/>
  <c r="BQ108" i="9"/>
  <c r="BQ74" i="9"/>
  <c r="BN120" i="8"/>
  <c r="BQ79" i="9"/>
  <c r="BN125" i="8"/>
  <c r="BQ106" i="9"/>
  <c r="BN158" i="8"/>
  <c r="BS67" i="9"/>
  <c r="BP113" i="8"/>
  <c r="BN118" i="8"/>
  <c r="BQ72" i="9"/>
  <c r="BQ119" i="9"/>
  <c r="BP121" i="9"/>
  <c r="BN169" i="8" s="1"/>
  <c r="BQ75" i="9"/>
  <c r="BN121" i="8"/>
  <c r="BN157" i="8"/>
  <c r="BQ105" i="9"/>
  <c r="BQ70" i="9"/>
  <c r="BN116" i="8"/>
  <c r="BR71" i="9" l="1"/>
  <c r="BO117" i="8"/>
  <c r="BO121" i="8"/>
  <c r="BR75" i="9"/>
  <c r="BR119" i="9"/>
  <c r="BQ121" i="9"/>
  <c r="BO169" i="8" s="1"/>
  <c r="BO155" i="8"/>
  <c r="BR103" i="9"/>
  <c r="BR72" i="9"/>
  <c r="BO118" i="8"/>
  <c r="BR82" i="9"/>
  <c r="BO128" i="8"/>
  <c r="BO126" i="8"/>
  <c r="BR80" i="9"/>
  <c r="BO116" i="8"/>
  <c r="BR70" i="9"/>
  <c r="BQ113" i="8"/>
  <c r="BT67" i="9"/>
  <c r="BR78" i="9"/>
  <c r="BO124" i="8"/>
  <c r="BO122" i="8"/>
  <c r="BR76" i="9"/>
  <c r="BR105" i="9"/>
  <c r="BO157" i="8"/>
  <c r="BR104" i="9"/>
  <c r="BO156" i="8"/>
  <c r="BO164" i="8"/>
  <c r="BR112" i="9"/>
  <c r="BO120" i="8"/>
  <c r="BR74" i="9"/>
  <c r="BR108" i="9"/>
  <c r="BO160" i="8"/>
  <c r="BO123" i="8"/>
  <c r="BR77" i="9"/>
  <c r="BO158" i="8"/>
  <c r="BR106" i="9"/>
  <c r="BR73" i="9"/>
  <c r="BO119" i="8"/>
  <c r="BO159" i="8"/>
  <c r="BR107" i="9"/>
  <c r="BR81" i="9"/>
  <c r="BO127" i="8"/>
  <c r="BO125" i="8"/>
  <c r="BR79" i="9"/>
  <c r="BQ110" i="9"/>
  <c r="BO162" i="8" s="1"/>
  <c r="BO161" i="8"/>
  <c r="BR109" i="9"/>
  <c r="BR69" i="9"/>
  <c r="BO115" i="8"/>
  <c r="BP128" i="8" l="1"/>
  <c r="BS82" i="9"/>
  <c r="BS108" i="9"/>
  <c r="BP160" i="8"/>
  <c r="BP122" i="8"/>
  <c r="BS76" i="9"/>
  <c r="BS74" i="9"/>
  <c r="BP120" i="8"/>
  <c r="BP118" i="8"/>
  <c r="BS72" i="9"/>
  <c r="BS103" i="9"/>
  <c r="BP155" i="8"/>
  <c r="BP159" i="8"/>
  <c r="BS107" i="9"/>
  <c r="BP124" i="8"/>
  <c r="BS78" i="9"/>
  <c r="BR110" i="9"/>
  <c r="BP162" i="8" s="1"/>
  <c r="BS109" i="9"/>
  <c r="BP161" i="8"/>
  <c r="BP119" i="8"/>
  <c r="BS73" i="9"/>
  <c r="BP164" i="8"/>
  <c r="BS112" i="9"/>
  <c r="BS106" i="9"/>
  <c r="BP158" i="8"/>
  <c r="BP115" i="8"/>
  <c r="BS69" i="9"/>
  <c r="BR113" i="8"/>
  <c r="BU67" i="9"/>
  <c r="BS81" i="9"/>
  <c r="BP127" i="8"/>
  <c r="BS119" i="9"/>
  <c r="BR121" i="9"/>
  <c r="BP169" i="8" s="1"/>
  <c r="BP116" i="8"/>
  <c r="BS70" i="9"/>
  <c r="BS75" i="9"/>
  <c r="BP121" i="8"/>
  <c r="BP125" i="8"/>
  <c r="BS79" i="9"/>
  <c r="BS77" i="9"/>
  <c r="BP123" i="8"/>
  <c r="BS104" i="9"/>
  <c r="BP156" i="8"/>
  <c r="BP126" i="8"/>
  <c r="BS80" i="9"/>
  <c r="BP157" i="8"/>
  <c r="BS105" i="9"/>
  <c r="BS71" i="9"/>
  <c r="BP117" i="8"/>
  <c r="BT72" i="9" l="1"/>
  <c r="BQ118" i="8"/>
  <c r="BT104" i="9"/>
  <c r="BQ156" i="8"/>
  <c r="BT77" i="9"/>
  <c r="BQ123" i="8"/>
  <c r="BT81" i="9"/>
  <c r="BQ127" i="8"/>
  <c r="BS110" i="9"/>
  <c r="BQ162" i="8" s="1"/>
  <c r="BT109" i="9"/>
  <c r="BQ161" i="8"/>
  <c r="BQ125" i="8"/>
  <c r="BT79" i="9"/>
  <c r="BS113" i="8"/>
  <c r="BV67" i="9"/>
  <c r="BT74" i="9"/>
  <c r="BQ120" i="8"/>
  <c r="BT75" i="9"/>
  <c r="BQ121" i="8"/>
  <c r="BQ159" i="8"/>
  <c r="BT107" i="9"/>
  <c r="BT76" i="9"/>
  <c r="BQ122" i="8"/>
  <c r="BT105" i="9"/>
  <c r="BQ157" i="8"/>
  <c r="BT71" i="9"/>
  <c r="BQ117" i="8"/>
  <c r="BT106" i="9"/>
  <c r="BQ158" i="8"/>
  <c r="BT108" i="9"/>
  <c r="BQ160" i="8"/>
  <c r="BT78" i="9"/>
  <c r="BQ124" i="8"/>
  <c r="BQ115" i="8"/>
  <c r="BT69" i="9"/>
  <c r="BQ116" i="8"/>
  <c r="BT70" i="9"/>
  <c r="BT80" i="9"/>
  <c r="BQ126" i="8"/>
  <c r="BT112" i="9"/>
  <c r="BQ164" i="8"/>
  <c r="BT119" i="9"/>
  <c r="BS121" i="9"/>
  <c r="BQ169" i="8" s="1"/>
  <c r="BT82" i="9"/>
  <c r="BQ128" i="8"/>
  <c r="BQ119" i="8"/>
  <c r="BT73" i="9"/>
  <c r="BT103" i="9"/>
  <c r="BQ155" i="8"/>
  <c r="BN51" i="8"/>
  <c r="BO51" i="8"/>
  <c r="BP51" i="8"/>
  <c r="BQ51" i="8" l="1"/>
  <c r="BR160" i="8"/>
  <c r="BU108" i="9"/>
  <c r="BT110" i="9"/>
  <c r="BR162" i="8" s="1"/>
  <c r="BU109" i="9"/>
  <c r="BR161" i="8"/>
  <c r="BU78" i="9"/>
  <c r="BR124" i="8"/>
  <c r="BU80" i="9"/>
  <c r="BR126" i="8"/>
  <c r="BR121" i="8"/>
  <c r="BU75" i="9"/>
  <c r="BR159" i="8"/>
  <c r="BU107" i="9"/>
  <c r="BU103" i="9"/>
  <c r="BR155" i="8"/>
  <c r="BU70" i="9"/>
  <c r="BR116" i="8"/>
  <c r="BU81" i="9"/>
  <c r="BR127" i="8"/>
  <c r="BU73" i="9"/>
  <c r="BR119" i="8"/>
  <c r="BU71" i="9"/>
  <c r="BR117" i="8"/>
  <c r="BU69" i="9"/>
  <c r="BR115" i="8"/>
  <c r="BR120" i="8"/>
  <c r="BU74" i="9"/>
  <c r="BR123" i="8"/>
  <c r="BU77" i="9"/>
  <c r="BU112" i="9"/>
  <c r="BR164" i="8"/>
  <c r="BT113" i="8"/>
  <c r="BW67" i="9"/>
  <c r="BR157" i="8"/>
  <c r="BU105" i="9"/>
  <c r="BU104" i="9"/>
  <c r="BR156" i="8"/>
  <c r="BU106" i="9"/>
  <c r="BR158" i="8"/>
  <c r="BU82" i="9"/>
  <c r="BR128" i="8"/>
  <c r="BU79" i="9"/>
  <c r="BR125" i="8"/>
  <c r="BU119" i="9"/>
  <c r="BT121" i="9"/>
  <c r="BR169" i="8" s="1"/>
  <c r="BR122" i="8"/>
  <c r="BU76" i="9"/>
  <c r="BU72" i="9"/>
  <c r="BR118" i="8"/>
  <c r="BV112" i="9" l="1"/>
  <c r="BS164" i="8"/>
  <c r="BV77" i="9"/>
  <c r="BS123" i="8"/>
  <c r="BV81" i="9"/>
  <c r="BS127" i="8"/>
  <c r="BV80" i="9"/>
  <c r="BS126" i="8"/>
  <c r="BV82" i="9"/>
  <c r="BS128" i="8"/>
  <c r="BV73" i="9"/>
  <c r="BS119" i="8"/>
  <c r="BS120" i="8"/>
  <c r="BV74" i="9"/>
  <c r="BS124" i="8"/>
  <c r="BV78" i="9"/>
  <c r="BS118" i="8"/>
  <c r="BV72" i="9"/>
  <c r="BV106" i="9"/>
  <c r="BS158" i="8"/>
  <c r="BV79" i="9"/>
  <c r="BS125" i="8"/>
  <c r="BS122" i="8"/>
  <c r="BV76" i="9"/>
  <c r="BS116" i="8"/>
  <c r="BV70" i="9"/>
  <c r="BU110" i="9"/>
  <c r="BS162" i="8" s="1"/>
  <c r="BV109" i="9"/>
  <c r="BS161" i="8"/>
  <c r="BV104" i="9"/>
  <c r="BS156" i="8"/>
  <c r="BS115" i="8"/>
  <c r="BV69" i="9"/>
  <c r="BS155" i="8"/>
  <c r="BV103" i="9"/>
  <c r="BV108" i="9"/>
  <c r="BS160" i="8"/>
  <c r="BV119" i="9"/>
  <c r="BU121" i="9"/>
  <c r="BS169" i="8" s="1"/>
  <c r="BV71" i="9"/>
  <c r="BS117" i="8"/>
  <c r="BS159" i="8"/>
  <c r="BV107" i="9"/>
  <c r="BS121" i="8"/>
  <c r="BV75" i="9"/>
  <c r="BS157" i="8"/>
  <c r="BV105" i="9"/>
  <c r="BU113" i="8"/>
  <c r="BX67" i="9"/>
  <c r="BT121" i="8" l="1"/>
  <c r="BW75" i="9"/>
  <c r="BW76" i="9"/>
  <c r="BT122" i="8"/>
  <c r="BT159" i="8"/>
  <c r="BW107" i="9"/>
  <c r="BT117" i="8"/>
  <c r="BW71" i="9"/>
  <c r="BW106" i="9"/>
  <c r="BT158" i="8"/>
  <c r="BW108" i="9"/>
  <c r="BT160" i="8"/>
  <c r="BT118" i="8"/>
  <c r="BW72" i="9"/>
  <c r="BT128" i="8"/>
  <c r="BW82" i="9"/>
  <c r="BT156" i="8"/>
  <c r="BW104" i="9"/>
  <c r="BT125" i="8"/>
  <c r="BW79" i="9"/>
  <c r="BW119" i="9"/>
  <c r="BV121" i="9"/>
  <c r="BT169" i="8" s="1"/>
  <c r="BY67" i="9"/>
  <c r="BV113" i="8"/>
  <c r="BV110" i="9"/>
  <c r="BT162" i="8" s="1"/>
  <c r="BW109" i="9"/>
  <c r="BT161" i="8"/>
  <c r="BW105" i="9"/>
  <c r="BT157" i="8"/>
  <c r="BW103" i="9"/>
  <c r="BT155" i="8"/>
  <c r="BT116" i="8"/>
  <c r="BW70" i="9"/>
  <c r="BW78" i="9"/>
  <c r="BT124" i="8"/>
  <c r="BT126" i="8"/>
  <c r="BW80" i="9"/>
  <c r="BT120" i="8"/>
  <c r="BW74" i="9"/>
  <c r="BW81" i="9"/>
  <c r="BT127" i="8"/>
  <c r="BT115" i="8"/>
  <c r="BW69" i="9"/>
  <c r="BW77" i="9"/>
  <c r="BT123" i="8"/>
  <c r="BT119" i="8"/>
  <c r="BW73" i="9"/>
  <c r="BT164" i="8"/>
  <c r="BW112" i="9"/>
  <c r="BX73" i="9" l="1"/>
  <c r="BU119" i="8"/>
  <c r="BZ67" i="9"/>
  <c r="BW113" i="8"/>
  <c r="BU117" i="8"/>
  <c r="BX71" i="9"/>
  <c r="BW110" i="9"/>
  <c r="BU162" i="8" s="1"/>
  <c r="BX109" i="9"/>
  <c r="BU161" i="8"/>
  <c r="BX78" i="9"/>
  <c r="BU124" i="8"/>
  <c r="BX70" i="9"/>
  <c r="BU116" i="8"/>
  <c r="BU159" i="8"/>
  <c r="BX107" i="9"/>
  <c r="BX119" i="9"/>
  <c r="BW121" i="9"/>
  <c r="BU169" i="8" s="1"/>
  <c r="BU125" i="8"/>
  <c r="BX79" i="9"/>
  <c r="BX108" i="9"/>
  <c r="BU160" i="8"/>
  <c r="BX103" i="9"/>
  <c r="BU155" i="8"/>
  <c r="BU128" i="8"/>
  <c r="BX82" i="9"/>
  <c r="BX80" i="9"/>
  <c r="BU126" i="8"/>
  <c r="BU156" i="8"/>
  <c r="BX104" i="9"/>
  <c r="BU122" i="8"/>
  <c r="BX76" i="9"/>
  <c r="BU118" i="8"/>
  <c r="BX72" i="9"/>
  <c r="BU115" i="8"/>
  <c r="BX69" i="9"/>
  <c r="BX105" i="9"/>
  <c r="BU157" i="8"/>
  <c r="BX75" i="9"/>
  <c r="BU121" i="8"/>
  <c r="BX112" i="9"/>
  <c r="BU164" i="8"/>
  <c r="BU123" i="8"/>
  <c r="BX77" i="9"/>
  <c r="BX81" i="9"/>
  <c r="BU127" i="8"/>
  <c r="BX74" i="9"/>
  <c r="BU120" i="8"/>
  <c r="BU158" i="8"/>
  <c r="BX106" i="9"/>
  <c r="BY74" i="9" l="1"/>
  <c r="BV120" i="8"/>
  <c r="BY72" i="9"/>
  <c r="BV118" i="8"/>
  <c r="BY71" i="9"/>
  <c r="BV117" i="8"/>
  <c r="BY103" i="9"/>
  <c r="BV155" i="8"/>
  <c r="BV159" i="8"/>
  <c r="BY107" i="9"/>
  <c r="BV127" i="8"/>
  <c r="BY81" i="9"/>
  <c r="BV123" i="8"/>
  <c r="BY77" i="9"/>
  <c r="BY76" i="9"/>
  <c r="BV122" i="8"/>
  <c r="BV116" i="8"/>
  <c r="BY70" i="9"/>
  <c r="BY82" i="9"/>
  <c r="BV128" i="8"/>
  <c r="BY119" i="9"/>
  <c r="BX121" i="9"/>
  <c r="BV169" i="8" s="1"/>
  <c r="BY104" i="9"/>
  <c r="BV156" i="8"/>
  <c r="BY108" i="9"/>
  <c r="BV160" i="8"/>
  <c r="BV125" i="8"/>
  <c r="BY79" i="9"/>
  <c r="BY73" i="9"/>
  <c r="BV119" i="8"/>
  <c r="CA67" i="9"/>
  <c r="BX113" i="8"/>
  <c r="BY105" i="9"/>
  <c r="BV157" i="8"/>
  <c r="BY75" i="9"/>
  <c r="BV121" i="8"/>
  <c r="BV126" i="8"/>
  <c r="BY80" i="9"/>
  <c r="BY69" i="9"/>
  <c r="BV115" i="8"/>
  <c r="BX110" i="9"/>
  <c r="BV162" i="8" s="1"/>
  <c r="BY109" i="9"/>
  <c r="BV161" i="8"/>
  <c r="BV164" i="8"/>
  <c r="BY112" i="9"/>
  <c r="BY106" i="9"/>
  <c r="BV158" i="8"/>
  <c r="BV124" i="8"/>
  <c r="BY78" i="9"/>
  <c r="BZ80" i="9" l="1"/>
  <c r="BW126" i="8"/>
  <c r="BZ70" i="9"/>
  <c r="BW116" i="8"/>
  <c r="BZ71" i="9"/>
  <c r="BW117" i="8"/>
  <c r="BW155" i="8"/>
  <c r="BZ103" i="9"/>
  <c r="BZ78" i="9"/>
  <c r="BW124" i="8"/>
  <c r="BW158" i="8"/>
  <c r="BZ106" i="9"/>
  <c r="BW121" i="8"/>
  <c r="BZ75" i="9"/>
  <c r="BZ108" i="9"/>
  <c r="BW160" i="8"/>
  <c r="BW122" i="8"/>
  <c r="BZ76" i="9"/>
  <c r="BZ112" i="9"/>
  <c r="BW164" i="8"/>
  <c r="BZ77" i="9"/>
  <c r="BW123" i="8"/>
  <c r="BZ81" i="9"/>
  <c r="BW127" i="8"/>
  <c r="BZ104" i="9"/>
  <c r="BW156" i="8"/>
  <c r="BY110" i="9"/>
  <c r="BW162" i="8" s="1"/>
  <c r="BZ109" i="9"/>
  <c r="BW161" i="8"/>
  <c r="BY113" i="8"/>
  <c r="CB67" i="9"/>
  <c r="BZ119" i="9"/>
  <c r="BY121" i="9"/>
  <c r="BW169" i="8" s="1"/>
  <c r="BZ74" i="9"/>
  <c r="BW120" i="8"/>
  <c r="BZ105" i="9"/>
  <c r="BW157" i="8"/>
  <c r="BW159" i="8"/>
  <c r="BZ107" i="9"/>
  <c r="BZ73" i="9"/>
  <c r="BW119" i="8"/>
  <c r="BW128" i="8"/>
  <c r="BZ82" i="9"/>
  <c r="BZ72" i="9"/>
  <c r="BW118" i="8"/>
  <c r="BW115" i="8"/>
  <c r="BZ69" i="9"/>
  <c r="BZ79" i="9"/>
  <c r="BW125" i="8"/>
  <c r="CA74" i="9" l="1"/>
  <c r="BX120" i="8"/>
  <c r="CA73" i="9"/>
  <c r="BX119" i="8"/>
  <c r="BX159" i="8"/>
  <c r="CA107" i="9"/>
  <c r="CA112" i="9"/>
  <c r="BX164" i="8"/>
  <c r="BX155" i="8"/>
  <c r="CA103" i="9"/>
  <c r="BZ110" i="9"/>
  <c r="BX162" i="8" s="1"/>
  <c r="CA109" i="9"/>
  <c r="BX161" i="8"/>
  <c r="BX122" i="8"/>
  <c r="CA76" i="9"/>
  <c r="CA71" i="9"/>
  <c r="BX117" i="8"/>
  <c r="CC67" i="9"/>
  <c r="BZ113" i="8"/>
  <c r="BX124" i="8"/>
  <c r="CA78" i="9"/>
  <c r="BX125" i="8"/>
  <c r="CA79" i="9"/>
  <c r="BW51" i="8"/>
  <c r="BX115" i="8"/>
  <c r="CA69" i="9"/>
  <c r="CA105" i="9"/>
  <c r="BX157" i="8"/>
  <c r="CA104" i="9"/>
  <c r="BX156" i="8"/>
  <c r="BX160" i="8"/>
  <c r="CA108" i="9"/>
  <c r="CA75" i="9"/>
  <c r="BX121" i="8"/>
  <c r="BX116" i="8"/>
  <c r="CA70" i="9"/>
  <c r="BX123" i="8"/>
  <c r="CA77" i="9"/>
  <c r="CA72" i="9"/>
  <c r="BX118" i="8"/>
  <c r="BX127" i="8"/>
  <c r="CA81" i="9"/>
  <c r="CA106" i="9"/>
  <c r="BX158" i="8"/>
  <c r="CA82" i="9"/>
  <c r="BX128" i="8"/>
  <c r="CA119" i="9"/>
  <c r="BZ121" i="9"/>
  <c r="BX169" i="8" s="1"/>
  <c r="BX126" i="8"/>
  <c r="CA80" i="9"/>
  <c r="CB106" i="9" l="1"/>
  <c r="BY158" i="8"/>
  <c r="CB78" i="9"/>
  <c r="BY124" i="8"/>
  <c r="CB81" i="9"/>
  <c r="BY127" i="8"/>
  <c r="CB103" i="9"/>
  <c r="BY155" i="8"/>
  <c r="CB108" i="9"/>
  <c r="BY160" i="8"/>
  <c r="CA110" i="9"/>
  <c r="BY162" i="8" s="1"/>
  <c r="CB109" i="9"/>
  <c r="BY161" i="8"/>
  <c r="BY156" i="8"/>
  <c r="CB104" i="9"/>
  <c r="CB80" i="9"/>
  <c r="BY126" i="8"/>
  <c r="CB72" i="9"/>
  <c r="BY118" i="8"/>
  <c r="CB105" i="9"/>
  <c r="BY157" i="8"/>
  <c r="BY164" i="8"/>
  <c r="CB112" i="9"/>
  <c r="CB79" i="9"/>
  <c r="BY125" i="8"/>
  <c r="CB77" i="9"/>
  <c r="BY123" i="8"/>
  <c r="CB69" i="9"/>
  <c r="BY115" i="8"/>
  <c r="CB107" i="9"/>
  <c r="BY159" i="8"/>
  <c r="CB119" i="9"/>
  <c r="CA121" i="9"/>
  <c r="BY169" i="8" s="1"/>
  <c r="CB75" i="9"/>
  <c r="BY121" i="8"/>
  <c r="CD67" i="9"/>
  <c r="CA113" i="8"/>
  <c r="CB70" i="9"/>
  <c r="BY116" i="8"/>
  <c r="BY117" i="8"/>
  <c r="CB71" i="9"/>
  <c r="CB76" i="9"/>
  <c r="BY122" i="8"/>
  <c r="BY128" i="8"/>
  <c r="CB82" i="9"/>
  <c r="CB73" i="9"/>
  <c r="BY119" i="8"/>
  <c r="BY120" i="8"/>
  <c r="CB74" i="9"/>
  <c r="BZ115" i="8" l="1"/>
  <c r="CC69" i="9"/>
  <c r="CC72" i="9"/>
  <c r="BZ118" i="8"/>
  <c r="BZ155" i="8"/>
  <c r="CC103" i="9"/>
  <c r="BZ116" i="8"/>
  <c r="CC70" i="9"/>
  <c r="BZ127" i="8"/>
  <c r="CC81" i="9"/>
  <c r="CC74" i="9"/>
  <c r="BZ120" i="8"/>
  <c r="BZ123" i="8"/>
  <c r="CC77" i="9"/>
  <c r="BZ126" i="8"/>
  <c r="CC80" i="9"/>
  <c r="CC104" i="9"/>
  <c r="BZ156" i="8"/>
  <c r="CB113" i="8"/>
  <c r="CE67" i="9"/>
  <c r="BZ125" i="8"/>
  <c r="CC79" i="9"/>
  <c r="CC73" i="9"/>
  <c r="BZ119" i="8"/>
  <c r="BZ164" i="8"/>
  <c r="CC112" i="9"/>
  <c r="BZ121" i="8"/>
  <c r="CC75" i="9"/>
  <c r="CC78" i="9"/>
  <c r="BZ124" i="8"/>
  <c r="BZ161" i="8"/>
  <c r="CC109" i="9"/>
  <c r="CC119" i="9"/>
  <c r="CB121" i="9"/>
  <c r="BZ169" i="8" s="1"/>
  <c r="CC106" i="9"/>
  <c r="BZ158" i="8"/>
  <c r="CC82" i="9"/>
  <c r="BZ128" i="8"/>
  <c r="BZ122" i="8"/>
  <c r="CC76" i="9"/>
  <c r="CC71" i="9"/>
  <c r="BZ117" i="8"/>
  <c r="BZ159" i="8"/>
  <c r="CC107" i="9"/>
  <c r="CC105" i="9"/>
  <c r="BZ157" i="8"/>
  <c r="CC108" i="9"/>
  <c r="BZ160" i="8"/>
  <c r="CB110" i="9"/>
  <c r="BZ162" i="8" s="1"/>
  <c r="CA120" i="8" l="1"/>
  <c r="CD74" i="9"/>
  <c r="CD71" i="9"/>
  <c r="CA117" i="8"/>
  <c r="CD81" i="9"/>
  <c r="CA127" i="8"/>
  <c r="CD70" i="9"/>
  <c r="CA116" i="8"/>
  <c r="CD119" i="9"/>
  <c r="CC121" i="9"/>
  <c r="CA169" i="8" s="1"/>
  <c r="CA122" i="8"/>
  <c r="CD76" i="9"/>
  <c r="CD75" i="9"/>
  <c r="CA121" i="8"/>
  <c r="CA155" i="8"/>
  <c r="CD103" i="9"/>
  <c r="CA161" i="8"/>
  <c r="CD109" i="9"/>
  <c r="CA156" i="8"/>
  <c r="CD104" i="9"/>
  <c r="CA160" i="8"/>
  <c r="CD108" i="9"/>
  <c r="CC110" i="9"/>
  <c r="CA162" i="8" s="1"/>
  <c r="CA128" i="8"/>
  <c r="CD82" i="9"/>
  <c r="CA164" i="8"/>
  <c r="CD112" i="9"/>
  <c r="CA126" i="8"/>
  <c r="CD80" i="9"/>
  <c r="CF67" i="9"/>
  <c r="CC113" i="8"/>
  <c r="CD78" i="9"/>
  <c r="CA124" i="8"/>
  <c r="CD72" i="9"/>
  <c r="CA118" i="8"/>
  <c r="CD77" i="9"/>
  <c r="CA123" i="8"/>
  <c r="CD105" i="9"/>
  <c r="CA157" i="8"/>
  <c r="CD106" i="9"/>
  <c r="CA158" i="8"/>
  <c r="CA115" i="8"/>
  <c r="CD69" i="9"/>
  <c r="CA159" i="8"/>
  <c r="CD107" i="9"/>
  <c r="CA119" i="8"/>
  <c r="CD73" i="9"/>
  <c r="CD79" i="9"/>
  <c r="CA125" i="8"/>
  <c r="CD110" i="9" l="1"/>
  <c r="CB162" i="8" s="1"/>
  <c r="CE109" i="9"/>
  <c r="CB161" i="8"/>
  <c r="CB127" i="8"/>
  <c r="CE81" i="9"/>
  <c r="CG67" i="9"/>
  <c r="CD113" i="8"/>
  <c r="CB116" i="8"/>
  <c r="CE70" i="9"/>
  <c r="CE106" i="9"/>
  <c r="CB158" i="8"/>
  <c r="CE105" i="9"/>
  <c r="CB157" i="8"/>
  <c r="CB164" i="8"/>
  <c r="CE112" i="9"/>
  <c r="CB155" i="8"/>
  <c r="CE103" i="9"/>
  <c r="CB117" i="8"/>
  <c r="CE71" i="9"/>
  <c r="CE82" i="9"/>
  <c r="CB128" i="8"/>
  <c r="CE79" i="9"/>
  <c r="CB125" i="8"/>
  <c r="CB123" i="8"/>
  <c r="CE77" i="9"/>
  <c r="CB119" i="8"/>
  <c r="CE73" i="9"/>
  <c r="CB121" i="8"/>
  <c r="CE75" i="9"/>
  <c r="CE72" i="9"/>
  <c r="CB118" i="8"/>
  <c r="CB122" i="8"/>
  <c r="CE76" i="9"/>
  <c r="CE108" i="9"/>
  <c r="CB160" i="8"/>
  <c r="CE80" i="9"/>
  <c r="CB126" i="8"/>
  <c r="CB159" i="8"/>
  <c r="CE107" i="9"/>
  <c r="CE78" i="9"/>
  <c r="CB124" i="8"/>
  <c r="CB120" i="8"/>
  <c r="CE74" i="9"/>
  <c r="CB115" i="8"/>
  <c r="CE69" i="9"/>
  <c r="CB156" i="8"/>
  <c r="CE104" i="9"/>
  <c r="CE119" i="9"/>
  <c r="CD121" i="9"/>
  <c r="CB169" i="8" s="1"/>
  <c r="CC120" i="8" l="1"/>
  <c r="CF74" i="9"/>
  <c r="CC125" i="8"/>
  <c r="CF79" i="9"/>
  <c r="CF76" i="9"/>
  <c r="CC122" i="8"/>
  <c r="CC158" i="8"/>
  <c r="CF106" i="9"/>
  <c r="CC116" i="8"/>
  <c r="CF70" i="9"/>
  <c r="CF82" i="9"/>
  <c r="CC128" i="8"/>
  <c r="CF69" i="9"/>
  <c r="CC115" i="8"/>
  <c r="CF105" i="9"/>
  <c r="CC157" i="8"/>
  <c r="CF78" i="9"/>
  <c r="CC124" i="8"/>
  <c r="CC159" i="8"/>
  <c r="CF107" i="9"/>
  <c r="CF72" i="9"/>
  <c r="CC118" i="8"/>
  <c r="CC117" i="8"/>
  <c r="CF71" i="9"/>
  <c r="CF108" i="9"/>
  <c r="CC160" i="8"/>
  <c r="CE110" i="9"/>
  <c r="CC162" i="8" s="1"/>
  <c r="CF119" i="9"/>
  <c r="CE121" i="9"/>
  <c r="CC169" i="8" s="1"/>
  <c r="CC121" i="8"/>
  <c r="CF75" i="9"/>
  <c r="CE113" i="8"/>
  <c r="CH67" i="9"/>
  <c r="CC156" i="8"/>
  <c r="CF104" i="9"/>
  <c r="CC155" i="8"/>
  <c r="CF103" i="9"/>
  <c r="CC127" i="8"/>
  <c r="CF81" i="9"/>
  <c r="CC126" i="8"/>
  <c r="CF80" i="9"/>
  <c r="CF73" i="9"/>
  <c r="CC119" i="8"/>
  <c r="CF112" i="9"/>
  <c r="CC164" i="8"/>
  <c r="CF77" i="9"/>
  <c r="CC123" i="8"/>
  <c r="CF109" i="9"/>
  <c r="CC161" i="8"/>
  <c r="CG81" i="9" l="1"/>
  <c r="CD127" i="8"/>
  <c r="CD124" i="8"/>
  <c r="CG78" i="9"/>
  <c r="CG106" i="9"/>
  <c r="CD158" i="8"/>
  <c r="CG76" i="9"/>
  <c r="CD122" i="8"/>
  <c r="CG119" i="9"/>
  <c r="CF121" i="9"/>
  <c r="CD169" i="8" s="1"/>
  <c r="CG103" i="9"/>
  <c r="CD155" i="8"/>
  <c r="CG108" i="9"/>
  <c r="CD160" i="8"/>
  <c r="CF110" i="9"/>
  <c r="CD162" i="8" s="1"/>
  <c r="CG109" i="9"/>
  <c r="CD161" i="8"/>
  <c r="CG105" i="9"/>
  <c r="CD157" i="8"/>
  <c r="CD123" i="8"/>
  <c r="CG77" i="9"/>
  <c r="CD117" i="8"/>
  <c r="CG71" i="9"/>
  <c r="CG69" i="9"/>
  <c r="CD115" i="8"/>
  <c r="CD156" i="8"/>
  <c r="CG104" i="9"/>
  <c r="CI67" i="9"/>
  <c r="CF113" i="8"/>
  <c r="CG112" i="9"/>
  <c r="CD164" i="8"/>
  <c r="CG82" i="9"/>
  <c r="CD128" i="8"/>
  <c r="CD125" i="8"/>
  <c r="CG79" i="9"/>
  <c r="CD121" i="8"/>
  <c r="CG75" i="9"/>
  <c r="CD118" i="8"/>
  <c r="CG72" i="9"/>
  <c r="CD116" i="8"/>
  <c r="CG70" i="9"/>
  <c r="CG74" i="9"/>
  <c r="CD120" i="8"/>
  <c r="CD126" i="8"/>
  <c r="CG80" i="9"/>
  <c r="CG73" i="9"/>
  <c r="CD119" i="8"/>
  <c r="CD159" i="8"/>
  <c r="CG107" i="9"/>
  <c r="CH82" i="9" l="1"/>
  <c r="CE128" i="8"/>
  <c r="CH77" i="9"/>
  <c r="CE123" i="8"/>
  <c r="CH119" i="9"/>
  <c r="CG121" i="9"/>
  <c r="CE169" i="8" s="1"/>
  <c r="CH74" i="9"/>
  <c r="CE120" i="8"/>
  <c r="CH112" i="9"/>
  <c r="CE164" i="8"/>
  <c r="CH76" i="9"/>
  <c r="CE122" i="8"/>
  <c r="CE126" i="8"/>
  <c r="CH80" i="9"/>
  <c r="CH71" i="9"/>
  <c r="CE117" i="8"/>
  <c r="CE159" i="8"/>
  <c r="CH107" i="9"/>
  <c r="CJ67" i="9"/>
  <c r="CG113" i="8"/>
  <c r="CH109" i="9"/>
  <c r="CE161" i="8"/>
  <c r="CH106" i="9"/>
  <c r="CE158" i="8"/>
  <c r="CH72" i="9"/>
  <c r="CE118" i="8"/>
  <c r="CH75" i="9"/>
  <c r="CE121" i="8"/>
  <c r="CE156" i="8"/>
  <c r="CH104" i="9"/>
  <c r="CH78" i="9"/>
  <c r="CE124" i="8"/>
  <c r="CH103" i="9"/>
  <c r="CE155" i="8"/>
  <c r="CH70" i="9"/>
  <c r="CE116" i="8"/>
  <c r="CE157" i="8"/>
  <c r="CH105" i="9"/>
  <c r="CE125" i="8"/>
  <c r="CH79" i="9"/>
  <c r="CH108" i="9"/>
  <c r="CE160" i="8"/>
  <c r="CG110" i="9"/>
  <c r="CE162" i="8" s="1"/>
  <c r="CH73" i="9"/>
  <c r="CE119" i="8"/>
  <c r="CH69" i="9"/>
  <c r="CE115" i="8"/>
  <c r="CE127" i="8"/>
  <c r="CH81" i="9"/>
  <c r="CF124" i="8" l="1"/>
  <c r="CI78" i="9"/>
  <c r="CI108" i="9"/>
  <c r="CF160" i="8"/>
  <c r="CI104" i="9"/>
  <c r="CF156" i="8"/>
  <c r="CF159" i="8"/>
  <c r="CI107" i="9"/>
  <c r="CI73" i="9"/>
  <c r="CF119" i="8"/>
  <c r="CF155" i="8"/>
  <c r="CI103" i="9"/>
  <c r="CI112" i="9"/>
  <c r="CF164" i="8"/>
  <c r="CF117" i="8"/>
  <c r="CI71" i="9"/>
  <c r="CI105" i="9"/>
  <c r="CF157" i="8"/>
  <c r="CI80" i="9"/>
  <c r="CF126" i="8"/>
  <c r="CH110" i="9"/>
  <c r="CF162" i="8" s="1"/>
  <c r="CI109" i="9"/>
  <c r="CF161" i="8"/>
  <c r="CI81" i="9"/>
  <c r="CF127" i="8"/>
  <c r="CF121" i="8"/>
  <c r="CI75" i="9"/>
  <c r="CI119" i="9"/>
  <c r="CH121" i="9"/>
  <c r="CF169" i="8" s="1"/>
  <c r="CI72" i="9"/>
  <c r="CF118" i="8"/>
  <c r="CF123" i="8"/>
  <c r="CI77" i="9"/>
  <c r="CK67" i="9"/>
  <c r="CH113" i="8"/>
  <c r="CI79" i="9"/>
  <c r="CF125" i="8"/>
  <c r="CI69" i="9"/>
  <c r="CF115" i="8"/>
  <c r="CF120" i="8"/>
  <c r="CI74" i="9"/>
  <c r="CI70" i="9"/>
  <c r="CF116" i="8"/>
  <c r="CF158" i="8"/>
  <c r="CI106" i="9"/>
  <c r="CI76" i="9"/>
  <c r="CF122" i="8"/>
  <c r="CI82" i="9"/>
  <c r="CF128" i="8"/>
  <c r="CJ119" i="9" l="1"/>
  <c r="CI121" i="9"/>
  <c r="CG169" i="8" s="1"/>
  <c r="CJ105" i="9"/>
  <c r="CG157" i="8"/>
  <c r="CJ74" i="9"/>
  <c r="CG120" i="8"/>
  <c r="CG156" i="8"/>
  <c r="CJ104" i="9"/>
  <c r="CJ69" i="9"/>
  <c r="CG115" i="8"/>
  <c r="CG160" i="8"/>
  <c r="CJ108" i="9"/>
  <c r="CG119" i="8"/>
  <c r="CJ73" i="9"/>
  <c r="CJ70" i="9"/>
  <c r="CG116" i="8"/>
  <c r="CJ72" i="9"/>
  <c r="CG118" i="8"/>
  <c r="CG159" i="8"/>
  <c r="CJ107" i="9"/>
  <c r="CJ75" i="9"/>
  <c r="CG121" i="8"/>
  <c r="CG128" i="8"/>
  <c r="CJ82" i="9"/>
  <c r="CG125" i="8"/>
  <c r="CJ79" i="9"/>
  <c r="CG127" i="8"/>
  <c r="CJ81" i="9"/>
  <c r="CJ112" i="9"/>
  <c r="CG164" i="8"/>
  <c r="CG124" i="8"/>
  <c r="CJ78" i="9"/>
  <c r="CG126" i="8"/>
  <c r="CJ80" i="9"/>
  <c r="CJ71" i="9"/>
  <c r="CG117" i="8"/>
  <c r="CG155" i="8"/>
  <c r="CJ103" i="9"/>
  <c r="CJ76" i="9"/>
  <c r="CG122" i="8"/>
  <c r="CL67" i="9"/>
  <c r="CI113" i="8"/>
  <c r="CJ106" i="9"/>
  <c r="CG158" i="8"/>
  <c r="CG123" i="8"/>
  <c r="CJ77" i="9"/>
  <c r="CI110" i="9"/>
  <c r="CG162" i="8" s="1"/>
  <c r="CJ109" i="9"/>
  <c r="CG161" i="8"/>
  <c r="CH155" i="8" l="1"/>
  <c r="CK103" i="9"/>
  <c r="CK71" i="9"/>
  <c r="CH117" i="8"/>
  <c r="CK78" i="9"/>
  <c r="CH124" i="8"/>
  <c r="CH159" i="8"/>
  <c r="CK107" i="9"/>
  <c r="CK104" i="9"/>
  <c r="CH156" i="8"/>
  <c r="CH158" i="8"/>
  <c r="CK106" i="9"/>
  <c r="CK69" i="9"/>
  <c r="CH115" i="8"/>
  <c r="CK80" i="9"/>
  <c r="CH126" i="8"/>
  <c r="CK75" i="9"/>
  <c r="CH121" i="8"/>
  <c r="CJ113" i="8"/>
  <c r="CM67" i="9"/>
  <c r="CK112" i="9"/>
  <c r="CH164" i="8"/>
  <c r="CH118" i="8"/>
  <c r="CK72" i="9"/>
  <c r="CH120" i="8"/>
  <c r="CK74" i="9"/>
  <c r="CK109" i="9"/>
  <c r="CH161" i="8"/>
  <c r="CH127" i="8"/>
  <c r="CK81" i="9"/>
  <c r="CK76" i="9"/>
  <c r="CH122" i="8"/>
  <c r="CK70" i="9"/>
  <c r="CH116" i="8"/>
  <c r="CH157" i="8"/>
  <c r="CK105" i="9"/>
  <c r="CK73" i="9"/>
  <c r="CH119" i="8"/>
  <c r="CK119" i="9"/>
  <c r="CL119" i="9" s="1"/>
  <c r="CM119" i="9" s="1"/>
  <c r="CN119" i="9" s="1"/>
  <c r="CO119" i="9" s="1"/>
  <c r="CP119" i="9" s="1"/>
  <c r="CQ119" i="9" s="1"/>
  <c r="CR119" i="9" s="1"/>
  <c r="CS119" i="9" s="1"/>
  <c r="CT119" i="9" s="1"/>
  <c r="CU119" i="9" s="1"/>
  <c r="CV119" i="9" s="1"/>
  <c r="CW119" i="9" s="1"/>
  <c r="CX119" i="9" s="1"/>
  <c r="CY119" i="9" s="1"/>
  <c r="CZ119" i="9" s="1"/>
  <c r="DA119" i="9" s="1"/>
  <c r="DB119" i="9" s="1"/>
  <c r="DC119" i="9" s="1"/>
  <c r="DD119" i="9" s="1"/>
  <c r="DE119" i="9" s="1"/>
  <c r="DF119" i="9" s="1"/>
  <c r="DG119" i="9" s="1"/>
  <c r="DH119" i="9" s="1"/>
  <c r="DI119" i="9" s="1"/>
  <c r="DJ119" i="9" s="1"/>
  <c r="DK119" i="9" s="1"/>
  <c r="DL119" i="9" s="1"/>
  <c r="DM119" i="9" s="1"/>
  <c r="DN119" i="9" s="1"/>
  <c r="DO119" i="9" s="1"/>
  <c r="DP119" i="9" s="1"/>
  <c r="DQ119" i="9" s="1"/>
  <c r="DR119" i="9" s="1"/>
  <c r="DS119" i="9" s="1"/>
  <c r="DT119" i="9" s="1"/>
  <c r="DU119" i="9" s="1"/>
  <c r="DV119" i="9" s="1"/>
  <c r="DW119" i="9" s="1"/>
  <c r="CJ121" i="9"/>
  <c r="CH169" i="8" s="1"/>
  <c r="CK79" i="9"/>
  <c r="CH125" i="8"/>
  <c r="CK77" i="9"/>
  <c r="CH123" i="8"/>
  <c r="CH128" i="8"/>
  <c r="CK82" i="9"/>
  <c r="CK108" i="9"/>
  <c r="CH160" i="8"/>
  <c r="CJ110" i="9"/>
  <c r="CH162" i="8" s="1"/>
  <c r="CL77" i="9" l="1"/>
  <c r="CI123" i="8"/>
  <c r="CI122" i="8"/>
  <c r="CL76" i="9"/>
  <c r="CL81" i="9"/>
  <c r="CI127" i="8"/>
  <c r="CI121" i="8"/>
  <c r="CL75" i="9"/>
  <c r="CN67" i="9"/>
  <c r="CK113" i="8"/>
  <c r="CI156" i="8"/>
  <c r="CL104" i="9"/>
  <c r="CL79" i="9"/>
  <c r="CI125" i="8"/>
  <c r="CI159" i="8"/>
  <c r="CL107" i="9"/>
  <c r="CK110" i="9"/>
  <c r="CI162" i="8" s="1"/>
  <c r="CI161" i="8"/>
  <c r="CL109" i="9"/>
  <c r="CL78" i="9"/>
  <c r="CI124" i="8"/>
  <c r="CI119" i="8"/>
  <c r="CL73" i="9"/>
  <c r="CL74" i="9"/>
  <c r="CI120" i="8"/>
  <c r="CL80" i="9"/>
  <c r="CI126" i="8"/>
  <c r="CI118" i="8"/>
  <c r="CL72" i="9"/>
  <c r="CI157" i="8"/>
  <c r="CL105" i="9"/>
  <c r="CL108" i="9"/>
  <c r="CI160" i="8"/>
  <c r="CI128" i="8"/>
  <c r="CL82" i="9"/>
  <c r="CL69" i="9"/>
  <c r="CI115" i="8"/>
  <c r="CL71" i="9"/>
  <c r="CI117" i="8"/>
  <c r="CL70" i="9"/>
  <c r="CI116" i="8"/>
  <c r="CI158" i="8"/>
  <c r="CL106" i="9"/>
  <c r="CI155" i="8"/>
  <c r="CL103" i="9"/>
  <c r="CK121" i="9"/>
  <c r="CI169" i="8" s="1"/>
  <c r="CL112" i="9"/>
  <c r="CI164" i="8"/>
  <c r="CM105" i="9" l="1"/>
  <c r="CJ157" i="8"/>
  <c r="CM78" i="9"/>
  <c r="CJ124" i="8"/>
  <c r="CM75" i="9"/>
  <c r="CJ121" i="8"/>
  <c r="CJ158" i="8"/>
  <c r="CM106" i="9"/>
  <c r="CL110" i="9"/>
  <c r="CJ162" i="8" s="1"/>
  <c r="CJ161" i="8"/>
  <c r="CM109" i="9"/>
  <c r="CO67" i="9"/>
  <c r="CL113" i="8"/>
  <c r="CJ118" i="8"/>
  <c r="CM72" i="9"/>
  <c r="CM70" i="9"/>
  <c r="CJ116" i="8"/>
  <c r="CJ159" i="8"/>
  <c r="CM107" i="9"/>
  <c r="CJ127" i="8"/>
  <c r="CM81" i="9"/>
  <c r="CJ119" i="8"/>
  <c r="CM73" i="9"/>
  <c r="CM108" i="9"/>
  <c r="CJ160" i="8"/>
  <c r="CJ117" i="8"/>
  <c r="CM71" i="9"/>
  <c r="CM112" i="9"/>
  <c r="CJ164" i="8"/>
  <c r="CJ115" i="8"/>
  <c r="CM69" i="9"/>
  <c r="CM76" i="9"/>
  <c r="CJ122" i="8"/>
  <c r="CJ128" i="8"/>
  <c r="CM82" i="9"/>
  <c r="CM80" i="9"/>
  <c r="CJ126" i="8"/>
  <c r="CM103" i="9"/>
  <c r="CJ155" i="8"/>
  <c r="CM79" i="9"/>
  <c r="CJ125" i="8"/>
  <c r="CM74" i="9"/>
  <c r="CJ120" i="8"/>
  <c r="CJ156" i="8"/>
  <c r="CM104" i="9"/>
  <c r="CM77" i="9"/>
  <c r="CJ123" i="8"/>
  <c r="CL121" i="9"/>
  <c r="CJ169" i="8" s="1"/>
  <c r="G11" i="7"/>
  <c r="CM110" i="9" l="1"/>
  <c r="CK162" i="8" s="1"/>
  <c r="CK161" i="8"/>
  <c r="CN109" i="9"/>
  <c r="CN76" i="9"/>
  <c r="CK122" i="8"/>
  <c r="CK120" i="8"/>
  <c r="CN74" i="9"/>
  <c r="CK115" i="8"/>
  <c r="CN69" i="9"/>
  <c r="CN107" i="9"/>
  <c r="CK159" i="8"/>
  <c r="CK125" i="8"/>
  <c r="CN79" i="9"/>
  <c r="CK156" i="8"/>
  <c r="CN104" i="9"/>
  <c r="CK121" i="8"/>
  <c r="CN75" i="9"/>
  <c r="CN112" i="9"/>
  <c r="CK164" i="8"/>
  <c r="CK116" i="8"/>
  <c r="CN70" i="9"/>
  <c r="CN106" i="9"/>
  <c r="CK158" i="8"/>
  <c r="CN71" i="9"/>
  <c r="CK117" i="8"/>
  <c r="CN72" i="9"/>
  <c r="CK118" i="8"/>
  <c r="CN78" i="9"/>
  <c r="CK124" i="8"/>
  <c r="CN81" i="9"/>
  <c r="CK127" i="8"/>
  <c r="CN103" i="9"/>
  <c r="CK155" i="8"/>
  <c r="CK126" i="8"/>
  <c r="CN80" i="9"/>
  <c r="CK160" i="8"/>
  <c r="CN108" i="9"/>
  <c r="CP67" i="9"/>
  <c r="CM113" i="8"/>
  <c r="CN77" i="9"/>
  <c r="CK123" i="8"/>
  <c r="CN82" i="9"/>
  <c r="CK128" i="8"/>
  <c r="CN73" i="9"/>
  <c r="CK119" i="8"/>
  <c r="CN105" i="9"/>
  <c r="CK157" i="8"/>
  <c r="F18" i="7"/>
  <c r="H11" i="7"/>
  <c r="CL158" i="8" l="1"/>
  <c r="CO106" i="9"/>
  <c r="CL159" i="8"/>
  <c r="CO107" i="9"/>
  <c r="CO69" i="9"/>
  <c r="CL115" i="8"/>
  <c r="CO112" i="9"/>
  <c r="CL164" i="8"/>
  <c r="CL121" i="8"/>
  <c r="CO75" i="9"/>
  <c r="CO74" i="9"/>
  <c r="CL120" i="8"/>
  <c r="CL128" i="8"/>
  <c r="CO82" i="9"/>
  <c r="CN113" i="8"/>
  <c r="CQ67" i="9"/>
  <c r="CO72" i="9"/>
  <c r="CL118" i="8"/>
  <c r="CO76" i="9"/>
  <c r="CL122" i="8"/>
  <c r="CO78" i="9"/>
  <c r="CL124" i="8"/>
  <c r="CO108" i="9"/>
  <c r="CL160" i="8"/>
  <c r="CN110" i="9"/>
  <c r="CL162" i="8" s="1"/>
  <c r="CO104" i="9"/>
  <c r="CL156" i="8"/>
  <c r="CO109" i="9"/>
  <c r="CL161" i="8"/>
  <c r="CO70" i="9"/>
  <c r="CL116" i="8"/>
  <c r="CO73" i="9"/>
  <c r="CL119" i="8"/>
  <c r="CL155" i="8"/>
  <c r="CO103" i="9"/>
  <c r="CO77" i="9"/>
  <c r="CL123" i="8"/>
  <c r="CO71" i="9"/>
  <c r="CL117" i="8"/>
  <c r="CO105" i="9"/>
  <c r="CL157" i="8"/>
  <c r="CO81" i="9"/>
  <c r="CL127" i="8"/>
  <c r="CO80" i="9"/>
  <c r="CL126" i="8"/>
  <c r="CL125" i="8"/>
  <c r="CO79" i="9"/>
  <c r="CM121" i="9"/>
  <c r="CK169" i="8" s="1"/>
  <c r="I11" i="7"/>
  <c r="G18" i="7"/>
  <c r="F23" i="7"/>
  <c r="T11" i="7"/>
  <c r="CM124" i="8" l="1"/>
  <c r="CP78" i="9"/>
  <c r="CM121" i="8"/>
  <c r="CP75" i="9"/>
  <c r="CP81" i="9"/>
  <c r="CM127" i="8"/>
  <c r="CP70" i="9"/>
  <c r="CM116" i="8"/>
  <c r="CP74" i="9"/>
  <c r="CM120" i="8"/>
  <c r="CP76" i="9"/>
  <c r="CM122" i="8"/>
  <c r="CM126" i="8"/>
  <c r="CP80" i="9"/>
  <c r="CM157" i="8"/>
  <c r="CP105" i="9"/>
  <c r="CO110" i="9"/>
  <c r="CM162" i="8" s="1"/>
  <c r="CP109" i="9"/>
  <c r="CM161" i="8"/>
  <c r="CP112" i="9"/>
  <c r="CM164" i="8"/>
  <c r="CP72" i="9"/>
  <c r="CM118" i="8"/>
  <c r="CM117" i="8"/>
  <c r="CP71" i="9"/>
  <c r="CM156" i="8"/>
  <c r="CP104" i="9"/>
  <c r="CR67" i="9"/>
  <c r="CO113" i="8"/>
  <c r="CP69" i="9"/>
  <c r="CM115" i="8"/>
  <c r="CP107" i="9"/>
  <c r="CM159" i="8"/>
  <c r="CP73" i="9"/>
  <c r="CM119" i="8"/>
  <c r="CM123" i="8"/>
  <c r="CP77" i="9"/>
  <c r="CP79" i="9"/>
  <c r="CM125" i="8"/>
  <c r="CP103" i="9"/>
  <c r="CM155" i="8"/>
  <c r="CM160" i="8"/>
  <c r="CP108" i="9"/>
  <c r="CM128" i="8"/>
  <c r="CP82" i="9"/>
  <c r="CM158" i="8"/>
  <c r="CP106" i="9"/>
  <c r="S18" i="7"/>
  <c r="H18" i="7"/>
  <c r="J11" i="7"/>
  <c r="U11" i="7"/>
  <c r="G23" i="7"/>
  <c r="F24" i="7"/>
  <c r="AF11" i="7"/>
  <c r="AE18" i="7"/>
  <c r="CN158" i="8" l="1"/>
  <c r="CQ106" i="9"/>
  <c r="CQ76" i="9"/>
  <c r="CN122" i="8"/>
  <c r="CN119" i="8"/>
  <c r="CQ73" i="9"/>
  <c r="CQ72" i="9"/>
  <c r="CN118" i="8"/>
  <c r="CQ82" i="9"/>
  <c r="CN128" i="8"/>
  <c r="CN120" i="8"/>
  <c r="CQ74" i="9"/>
  <c r="CQ107" i="9"/>
  <c r="CN159" i="8"/>
  <c r="CQ112" i="9"/>
  <c r="CN164" i="8"/>
  <c r="CQ108" i="9"/>
  <c r="CN160" i="8"/>
  <c r="CQ70" i="9"/>
  <c r="CN116" i="8"/>
  <c r="CP110" i="9"/>
  <c r="CN162" i="8" s="1"/>
  <c r="CQ109" i="9"/>
  <c r="CN161" i="8"/>
  <c r="CQ81" i="9"/>
  <c r="CN127" i="8"/>
  <c r="CN115" i="8"/>
  <c r="CQ69" i="9"/>
  <c r="CQ103" i="9"/>
  <c r="CN155" i="8"/>
  <c r="CP113" i="8"/>
  <c r="CS67" i="9"/>
  <c r="CQ105" i="9"/>
  <c r="CN157" i="8"/>
  <c r="CN121" i="8"/>
  <c r="CQ75" i="9"/>
  <c r="CN156" i="8"/>
  <c r="CQ104" i="9"/>
  <c r="CN125" i="8"/>
  <c r="CQ79" i="9"/>
  <c r="CQ80" i="9"/>
  <c r="CN126" i="8"/>
  <c r="CQ78" i="9"/>
  <c r="CN124" i="8"/>
  <c r="CQ77" i="9"/>
  <c r="CN123" i="8"/>
  <c r="CQ71" i="9"/>
  <c r="CN117" i="8"/>
  <c r="CN121" i="9"/>
  <c r="CL169" i="8" s="1"/>
  <c r="S23" i="7"/>
  <c r="S24" i="7" s="1"/>
  <c r="DX24" i="7"/>
  <c r="T18" i="7"/>
  <c r="I18" i="7"/>
  <c r="V11" i="7"/>
  <c r="AG11" i="7"/>
  <c r="K11" i="7"/>
  <c r="H23" i="7"/>
  <c r="G24" i="7"/>
  <c r="AE23" i="7"/>
  <c r="AF18" i="7"/>
  <c r="AR11" i="7"/>
  <c r="BC18" i="7"/>
  <c r="AQ18" i="7"/>
  <c r="CO121" i="8" l="1"/>
  <c r="CR75" i="9"/>
  <c r="CO123" i="8"/>
  <c r="CR77" i="9"/>
  <c r="CQ110" i="9"/>
  <c r="CO162" i="8" s="1"/>
  <c r="CR109" i="9"/>
  <c r="CO161" i="8"/>
  <c r="CR81" i="9"/>
  <c r="CO127" i="8"/>
  <c r="CR82" i="9"/>
  <c r="CO128" i="8"/>
  <c r="CR105" i="9"/>
  <c r="CO157" i="8"/>
  <c r="CQ113" i="8"/>
  <c r="CT67" i="9"/>
  <c r="CR70" i="9"/>
  <c r="CO116" i="8"/>
  <c r="CO118" i="8"/>
  <c r="CR72" i="9"/>
  <c r="CR73" i="9"/>
  <c r="CO119" i="8"/>
  <c r="CR74" i="9"/>
  <c r="CO120" i="8"/>
  <c r="CO124" i="8"/>
  <c r="CR78" i="9"/>
  <c r="CO160" i="8"/>
  <c r="CR108" i="9"/>
  <c r="CO126" i="8"/>
  <c r="CR80" i="9"/>
  <c r="CO155" i="8"/>
  <c r="CR103" i="9"/>
  <c r="CR79" i="9"/>
  <c r="CO125" i="8"/>
  <c r="CO115" i="8"/>
  <c r="CR69" i="9"/>
  <c r="CR112" i="9"/>
  <c r="CO164" i="8"/>
  <c r="CO122" i="8"/>
  <c r="CR76" i="9"/>
  <c r="CO117" i="8"/>
  <c r="CR71" i="9"/>
  <c r="CO158" i="8"/>
  <c r="CR106" i="9"/>
  <c r="CR104" i="9"/>
  <c r="CO156" i="8"/>
  <c r="CR107" i="9"/>
  <c r="CO159" i="8"/>
  <c r="CC51" i="8"/>
  <c r="CJ51" i="8"/>
  <c r="BY51" i="8"/>
  <c r="CI51" i="8"/>
  <c r="CE51" i="8"/>
  <c r="CB51" i="8"/>
  <c r="CD51" i="8"/>
  <c r="CG51" i="8"/>
  <c r="CF51" i="8"/>
  <c r="CA51" i="8"/>
  <c r="CH51" i="8"/>
  <c r="BZ51" i="8"/>
  <c r="T23" i="7"/>
  <c r="U23" i="7" s="1"/>
  <c r="U18" i="7"/>
  <c r="W11" i="7"/>
  <c r="AH11" i="7"/>
  <c r="AS11" i="7"/>
  <c r="J18" i="7"/>
  <c r="I23" i="7"/>
  <c r="H24" i="7"/>
  <c r="BD11" i="7"/>
  <c r="AG18" i="7"/>
  <c r="AQ23" i="7"/>
  <c r="AR18" i="7"/>
  <c r="AE24" i="7"/>
  <c r="AF23" i="7"/>
  <c r="L11" i="7"/>
  <c r="BC23" i="7"/>
  <c r="BD18" i="7"/>
  <c r="CS106" i="9" l="1"/>
  <c r="CP158" i="8"/>
  <c r="CP155" i="8"/>
  <c r="CS103" i="9"/>
  <c r="CS72" i="9"/>
  <c r="CP118" i="8"/>
  <c r="CS81" i="9"/>
  <c r="CP127" i="8"/>
  <c r="CP117" i="8"/>
  <c r="CS71" i="9"/>
  <c r="CS80" i="9"/>
  <c r="CP126" i="8"/>
  <c r="CP116" i="8"/>
  <c r="CS70" i="9"/>
  <c r="CS109" i="9"/>
  <c r="CP161" i="8"/>
  <c r="CS73" i="9"/>
  <c r="CP119" i="8"/>
  <c r="CS76" i="9"/>
  <c r="CP122" i="8"/>
  <c r="CS77" i="9"/>
  <c r="CP123" i="8"/>
  <c r="CS107" i="9"/>
  <c r="CP159" i="8"/>
  <c r="CS82" i="9"/>
  <c r="CP128" i="8"/>
  <c r="CP160" i="8"/>
  <c r="CS108" i="9"/>
  <c r="CR110" i="9"/>
  <c r="CP162" i="8" s="1"/>
  <c r="CS78" i="9"/>
  <c r="CP124" i="8"/>
  <c r="CS74" i="9"/>
  <c r="CP120" i="8"/>
  <c r="CP156" i="8"/>
  <c r="CS104" i="9"/>
  <c r="CP164" i="8"/>
  <c r="CS112" i="9"/>
  <c r="CS105" i="9"/>
  <c r="CP157" i="8"/>
  <c r="CP121" i="8"/>
  <c r="CS75" i="9"/>
  <c r="CP125" i="8"/>
  <c r="CS79" i="9"/>
  <c r="CU67" i="9"/>
  <c r="CR113" i="8"/>
  <c r="CP115" i="8"/>
  <c r="CS69" i="9"/>
  <c r="CO121" i="9"/>
  <c r="CM169" i="8" s="1"/>
  <c r="T24" i="7"/>
  <c r="V18" i="7"/>
  <c r="W18" i="7" s="1"/>
  <c r="BE11" i="7"/>
  <c r="AH18" i="7"/>
  <c r="J23" i="7"/>
  <c r="I24" i="7"/>
  <c r="DY24" i="7" s="1"/>
  <c r="X11" i="7"/>
  <c r="AT11" i="7"/>
  <c r="AS18" i="7"/>
  <c r="M11" i="7"/>
  <c r="K18" i="7"/>
  <c r="AG23" i="7"/>
  <c r="AF24" i="7"/>
  <c r="BE18" i="7"/>
  <c r="BC24" i="7"/>
  <c r="BD23" i="7"/>
  <c r="AI11" i="7"/>
  <c r="AQ24" i="7"/>
  <c r="AR23" i="7"/>
  <c r="U24" i="7"/>
  <c r="V23" i="7"/>
  <c r="CQ125" i="8" l="1"/>
  <c r="CT79" i="9"/>
  <c r="CQ123" i="8"/>
  <c r="CT77" i="9"/>
  <c r="CT107" i="9"/>
  <c r="CQ159" i="8"/>
  <c r="CV67" i="9"/>
  <c r="CS113" i="8"/>
  <c r="CQ117" i="8"/>
  <c r="CT71" i="9"/>
  <c r="CT78" i="9"/>
  <c r="CQ124" i="8"/>
  <c r="CT75" i="9"/>
  <c r="CQ121" i="8"/>
  <c r="CT76" i="9"/>
  <c r="CQ122" i="8"/>
  <c r="CT81" i="9"/>
  <c r="CQ127" i="8"/>
  <c r="CT72" i="9"/>
  <c r="CQ118" i="8"/>
  <c r="CT80" i="9"/>
  <c r="CQ126" i="8"/>
  <c r="CQ160" i="8"/>
  <c r="CT108" i="9"/>
  <c r="CQ157" i="8"/>
  <c r="CT105" i="9"/>
  <c r="CQ155" i="8"/>
  <c r="CT103" i="9"/>
  <c r="CT112" i="9"/>
  <c r="CQ164" i="8"/>
  <c r="CS110" i="9"/>
  <c r="CQ162" i="8" s="1"/>
  <c r="CQ161" i="8"/>
  <c r="CT109" i="9"/>
  <c r="CQ119" i="8"/>
  <c r="CT73" i="9"/>
  <c r="CQ116" i="8"/>
  <c r="CT70" i="9"/>
  <c r="CQ120" i="8"/>
  <c r="CT74" i="9"/>
  <c r="CQ115" i="8"/>
  <c r="CT69" i="9"/>
  <c r="CQ156" i="8"/>
  <c r="CT104" i="9"/>
  <c r="CT82" i="9"/>
  <c r="CQ128" i="8"/>
  <c r="CT106" i="9"/>
  <c r="CQ158" i="8"/>
  <c r="L18" i="7"/>
  <c r="BF18" i="7"/>
  <c r="Y11" i="7"/>
  <c r="AI18" i="7"/>
  <c r="AS23" i="7"/>
  <c r="AR24" i="7"/>
  <c r="BF11" i="7"/>
  <c r="AH23" i="7"/>
  <c r="AG24" i="7"/>
  <c r="N11" i="7"/>
  <c r="AU11" i="7"/>
  <c r="AJ11" i="7"/>
  <c r="BE23" i="7"/>
  <c r="BD24" i="7"/>
  <c r="AT18" i="7"/>
  <c r="W23" i="7"/>
  <c r="V24" i="7"/>
  <c r="X18" i="7"/>
  <c r="K23" i="7"/>
  <c r="J24" i="7"/>
  <c r="CU78" i="9" l="1"/>
  <c r="CR124" i="8"/>
  <c r="CU82" i="9"/>
  <c r="CR128" i="8"/>
  <c r="CU71" i="9"/>
  <c r="CR117" i="8"/>
  <c r="CU104" i="9"/>
  <c r="CR156" i="8"/>
  <c r="CU80" i="9"/>
  <c r="CR126" i="8"/>
  <c r="CU108" i="9"/>
  <c r="CR160" i="8"/>
  <c r="CT110" i="9"/>
  <c r="CR162" i="8" s="1"/>
  <c r="CU106" i="9"/>
  <c r="CR158" i="8"/>
  <c r="CR115" i="8"/>
  <c r="CU69" i="9"/>
  <c r="CU72" i="9"/>
  <c r="CR118" i="8"/>
  <c r="CW67" i="9"/>
  <c r="CT113" i="8"/>
  <c r="CR120" i="8"/>
  <c r="CU74" i="9"/>
  <c r="CU112" i="9"/>
  <c r="CR164" i="8"/>
  <c r="CR127" i="8"/>
  <c r="CU81" i="9"/>
  <c r="CU107" i="9"/>
  <c r="CR159" i="8"/>
  <c r="CR161" i="8"/>
  <c r="CU109" i="9"/>
  <c r="CU103" i="9"/>
  <c r="CR155" i="8"/>
  <c r="CU77" i="9"/>
  <c r="CR123" i="8"/>
  <c r="CR116" i="8"/>
  <c r="CU70" i="9"/>
  <c r="CU76" i="9"/>
  <c r="CR122" i="8"/>
  <c r="CR157" i="8"/>
  <c r="CU105" i="9"/>
  <c r="CR125" i="8"/>
  <c r="CU79" i="9"/>
  <c r="CR119" i="8"/>
  <c r="CU73" i="9"/>
  <c r="CU75" i="9"/>
  <c r="CR121" i="8"/>
  <c r="CP121" i="9"/>
  <c r="CN169" i="8" s="1"/>
  <c r="AI23" i="7"/>
  <c r="AH24" i="7"/>
  <c r="K24" i="7"/>
  <c r="L23" i="7"/>
  <c r="AT23" i="7"/>
  <c r="AS24" i="7"/>
  <c r="Y18" i="7"/>
  <c r="BG11" i="7"/>
  <c r="BF23" i="7"/>
  <c r="BE24" i="7"/>
  <c r="AV11" i="7"/>
  <c r="AJ18" i="7"/>
  <c r="AU18" i="7"/>
  <c r="O11" i="7"/>
  <c r="BG18" i="7"/>
  <c r="M18" i="7"/>
  <c r="W24" i="7"/>
  <c r="X23" i="7"/>
  <c r="AK11" i="7"/>
  <c r="Z11" i="7"/>
  <c r="CV73" i="9" l="1"/>
  <c r="CS119" i="8"/>
  <c r="CV108" i="9"/>
  <c r="CS160" i="8"/>
  <c r="CV103" i="9"/>
  <c r="CS155" i="8"/>
  <c r="CU113" i="8"/>
  <c r="CX67" i="9"/>
  <c r="CS126" i="8"/>
  <c r="CV80" i="9"/>
  <c r="CV72" i="9"/>
  <c r="CS118" i="8"/>
  <c r="CV75" i="9"/>
  <c r="CS121" i="8"/>
  <c r="CV105" i="9"/>
  <c r="CS157" i="8"/>
  <c r="CS156" i="8"/>
  <c r="CV104" i="9"/>
  <c r="CS125" i="8"/>
  <c r="CV79" i="9"/>
  <c r="CV107" i="9"/>
  <c r="CS159" i="8"/>
  <c r="CV81" i="9"/>
  <c r="CS127" i="8"/>
  <c r="CV69" i="9"/>
  <c r="CS115" i="8"/>
  <c r="CV71" i="9"/>
  <c r="CS117" i="8"/>
  <c r="CV76" i="9"/>
  <c r="CS122" i="8"/>
  <c r="CV70" i="9"/>
  <c r="CS116" i="8"/>
  <c r="CV82" i="9"/>
  <c r="CS128" i="8"/>
  <c r="CV77" i="9"/>
  <c r="CS123" i="8"/>
  <c r="CU110" i="9"/>
  <c r="CS162" i="8" s="1"/>
  <c r="CS161" i="8"/>
  <c r="CV109" i="9"/>
  <c r="CV112" i="9"/>
  <c r="CS164" i="8"/>
  <c r="CV106" i="9"/>
  <c r="CS158" i="8"/>
  <c r="CS120" i="8"/>
  <c r="CV74" i="9"/>
  <c r="CV78" i="9"/>
  <c r="CS124" i="8"/>
  <c r="N18" i="7"/>
  <c r="AJ23" i="7"/>
  <c r="AI24" i="7"/>
  <c r="Y23" i="7"/>
  <c r="X24" i="7"/>
  <c r="AV18" i="7"/>
  <c r="BH11" i="7"/>
  <c r="Z18" i="7"/>
  <c r="AW11" i="7"/>
  <c r="BH18" i="7"/>
  <c r="AT24" i="7"/>
  <c r="AU23" i="7"/>
  <c r="M23" i="7"/>
  <c r="L24" i="7"/>
  <c r="AK18" i="7"/>
  <c r="P11" i="7"/>
  <c r="BG23" i="7"/>
  <c r="BF24" i="7"/>
  <c r="AA11" i="7"/>
  <c r="AL11" i="7"/>
  <c r="CT124" i="8" l="1"/>
  <c r="CW78" i="9"/>
  <c r="CW74" i="9"/>
  <c r="CT120" i="8"/>
  <c r="CW82" i="9"/>
  <c r="CT128" i="8"/>
  <c r="CT118" i="8"/>
  <c r="CW72" i="9"/>
  <c r="CT126" i="8"/>
  <c r="CW80" i="9"/>
  <c r="CW70" i="9"/>
  <c r="CT116" i="8"/>
  <c r="CW107" i="9"/>
  <c r="CT159" i="8"/>
  <c r="CW112" i="9"/>
  <c r="CT164" i="8"/>
  <c r="CW106" i="9"/>
  <c r="CT158" i="8"/>
  <c r="CT125" i="8"/>
  <c r="CW79" i="9"/>
  <c r="CY67" i="9"/>
  <c r="CV113" i="8"/>
  <c r="CT122" i="8"/>
  <c r="CW76" i="9"/>
  <c r="CT156" i="8"/>
  <c r="CW104" i="9"/>
  <c r="CW109" i="9"/>
  <c r="CT161" i="8"/>
  <c r="CT117" i="8"/>
  <c r="CW71" i="9"/>
  <c r="CT155" i="8"/>
  <c r="CW103" i="9"/>
  <c r="CT115" i="8"/>
  <c r="CW69" i="9"/>
  <c r="CW105" i="9"/>
  <c r="CT157" i="8"/>
  <c r="CT160" i="8"/>
  <c r="CW108" i="9"/>
  <c r="CV110" i="9"/>
  <c r="CT162" i="8" s="1"/>
  <c r="CW77" i="9"/>
  <c r="CT123" i="8"/>
  <c r="CW81" i="9"/>
  <c r="CT127" i="8"/>
  <c r="CW75" i="9"/>
  <c r="CT121" i="8"/>
  <c r="CT119" i="8"/>
  <c r="CW73" i="9"/>
  <c r="CQ121" i="9"/>
  <c r="CO169" i="8" s="1"/>
  <c r="AA18" i="7"/>
  <c r="AK23" i="7"/>
  <c r="AJ24" i="7"/>
  <c r="BH23" i="7"/>
  <c r="BG24" i="7"/>
  <c r="BI11" i="7"/>
  <c r="AM11" i="7"/>
  <c r="BI18" i="7"/>
  <c r="AB11" i="7"/>
  <c r="AL18" i="7"/>
  <c r="DZ24" i="7"/>
  <c r="Q11" i="7"/>
  <c r="M24" i="7"/>
  <c r="N23" i="7"/>
  <c r="AU24" i="7"/>
  <c r="AV23" i="7"/>
  <c r="O18" i="7"/>
  <c r="AX11" i="7"/>
  <c r="AW18" i="7"/>
  <c r="Z23" i="7"/>
  <c r="Y24" i="7"/>
  <c r="CW113" i="8" l="1"/>
  <c r="CZ67" i="9"/>
  <c r="CX75" i="9"/>
  <c r="CU121" i="8"/>
  <c r="CX103" i="9"/>
  <c r="CU155" i="8"/>
  <c r="CU125" i="8"/>
  <c r="CX79" i="9"/>
  <c r="CU118" i="8"/>
  <c r="CX72" i="9"/>
  <c r="CU127" i="8"/>
  <c r="CX81" i="9"/>
  <c r="CX71" i="9"/>
  <c r="CU117" i="8"/>
  <c r="CX106" i="9"/>
  <c r="CU158" i="8"/>
  <c r="CX77" i="9"/>
  <c r="CU123" i="8"/>
  <c r="CW110" i="9"/>
  <c r="CU162" i="8" s="1"/>
  <c r="CU161" i="8"/>
  <c r="CX109" i="9"/>
  <c r="CU164" i="8"/>
  <c r="CX112" i="9"/>
  <c r="CU128" i="8"/>
  <c r="CX82" i="9"/>
  <c r="CX108" i="9"/>
  <c r="CU160" i="8"/>
  <c r="CU156" i="8"/>
  <c r="CX104" i="9"/>
  <c r="CX80" i="9"/>
  <c r="CU126" i="8"/>
  <c r="CX107" i="9"/>
  <c r="CU159" i="8"/>
  <c r="CU120" i="8"/>
  <c r="CX74" i="9"/>
  <c r="CX69" i="9"/>
  <c r="CU115" i="8"/>
  <c r="CX76" i="9"/>
  <c r="CU122" i="8"/>
  <c r="CX78" i="9"/>
  <c r="CU124" i="8"/>
  <c r="CU119" i="8"/>
  <c r="CX73" i="9"/>
  <c r="CX105" i="9"/>
  <c r="CU157" i="8"/>
  <c r="CX70" i="9"/>
  <c r="CU116" i="8"/>
  <c r="AY11" i="7"/>
  <c r="AC11" i="7"/>
  <c r="BJ11" i="7"/>
  <c r="BI23" i="7"/>
  <c r="BH24" i="7"/>
  <c r="AW23" i="7"/>
  <c r="AV24" i="7"/>
  <c r="AN11" i="7"/>
  <c r="AL23" i="7"/>
  <c r="AK24" i="7"/>
  <c r="AA23" i="7"/>
  <c r="Z24" i="7"/>
  <c r="O23" i="7"/>
  <c r="N24" i="7"/>
  <c r="AM18" i="7"/>
  <c r="BJ18" i="7"/>
  <c r="R11" i="7"/>
  <c r="AB18" i="7"/>
  <c r="AX18" i="7"/>
  <c r="P18" i="7"/>
  <c r="CY109" i="9" l="1"/>
  <c r="CV161" i="8"/>
  <c r="CY103" i="9"/>
  <c r="CV155" i="8"/>
  <c r="CY81" i="9"/>
  <c r="CV127" i="8"/>
  <c r="CY72" i="9"/>
  <c r="CV118" i="8"/>
  <c r="CY80" i="9"/>
  <c r="CV126" i="8"/>
  <c r="CY107" i="9"/>
  <c r="CV159" i="8"/>
  <c r="CV156" i="8"/>
  <c r="CY104" i="9"/>
  <c r="CV121" i="8"/>
  <c r="CY75" i="9"/>
  <c r="CY70" i="9"/>
  <c r="CV116" i="8"/>
  <c r="CV157" i="8"/>
  <c r="CY105" i="9"/>
  <c r="CV119" i="8"/>
  <c r="CY73" i="9"/>
  <c r="CY79" i="9"/>
  <c r="CV125" i="8"/>
  <c r="CV158" i="8"/>
  <c r="CY106" i="9"/>
  <c r="CY76" i="9"/>
  <c r="CV122" i="8"/>
  <c r="CV115" i="8"/>
  <c r="CY69" i="9"/>
  <c r="DA67" i="9"/>
  <c r="CX113" i="8"/>
  <c r="CV123" i="8"/>
  <c r="CY77" i="9"/>
  <c r="CV124" i="8"/>
  <c r="CY78" i="9"/>
  <c r="CY108" i="9"/>
  <c r="CV160" i="8"/>
  <c r="CX110" i="9"/>
  <c r="CV162" i="8" s="1"/>
  <c r="CY82" i="9"/>
  <c r="CV128" i="8"/>
  <c r="CY74" i="9"/>
  <c r="CV120" i="8"/>
  <c r="CY112" i="9"/>
  <c r="CV164" i="8"/>
  <c r="CV117" i="8"/>
  <c r="CY71" i="9"/>
  <c r="CR121" i="9"/>
  <c r="CP169" i="8" s="1"/>
  <c r="BK18" i="7"/>
  <c r="AD11" i="7"/>
  <c r="AC18" i="7"/>
  <c r="O24" i="7"/>
  <c r="EA24" i="7" s="1"/>
  <c r="P23" i="7"/>
  <c r="AW24" i="7"/>
  <c r="AX23" i="7"/>
  <c r="AL24" i="7"/>
  <c r="AM23" i="7"/>
  <c r="BJ23" i="7"/>
  <c r="BI24" i="7"/>
  <c r="AN18" i="7"/>
  <c r="AO11" i="7"/>
  <c r="BK11" i="7"/>
  <c r="AZ11" i="7"/>
  <c r="AY18" i="7"/>
  <c r="Q18" i="7"/>
  <c r="AB23" i="7"/>
  <c r="AA24" i="7"/>
  <c r="CZ77" i="9" l="1"/>
  <c r="CW123" i="8"/>
  <c r="CW119" i="8"/>
  <c r="CZ73" i="9"/>
  <c r="CZ107" i="9"/>
  <c r="CW159" i="8"/>
  <c r="CW164" i="8"/>
  <c r="CZ112" i="9"/>
  <c r="CZ105" i="9"/>
  <c r="CW157" i="8"/>
  <c r="CZ80" i="9"/>
  <c r="CW126" i="8"/>
  <c r="DB67" i="9"/>
  <c r="CY113" i="8"/>
  <c r="CW120" i="8"/>
  <c r="CZ74" i="9"/>
  <c r="CZ69" i="9"/>
  <c r="CW115" i="8"/>
  <c r="CW116" i="8"/>
  <c r="CZ70" i="9"/>
  <c r="CW118" i="8"/>
  <c r="CZ72" i="9"/>
  <c r="CZ76" i="9"/>
  <c r="CW122" i="8"/>
  <c r="CZ81" i="9"/>
  <c r="CW127" i="8"/>
  <c r="CW121" i="8"/>
  <c r="CZ75" i="9"/>
  <c r="CZ106" i="9"/>
  <c r="CW158" i="8"/>
  <c r="CZ82" i="9"/>
  <c r="CW128" i="8"/>
  <c r="CW160" i="8"/>
  <c r="CZ108" i="9"/>
  <c r="CW155" i="8"/>
  <c r="CZ103" i="9"/>
  <c r="CZ78" i="9"/>
  <c r="CW124" i="8"/>
  <c r="CZ104" i="9"/>
  <c r="CW156" i="8"/>
  <c r="CZ71" i="9"/>
  <c r="CW117" i="8"/>
  <c r="CZ79" i="9"/>
  <c r="CW125" i="8"/>
  <c r="CY110" i="9"/>
  <c r="CW162" i="8" s="1"/>
  <c r="CZ109" i="9"/>
  <c r="CW161" i="8"/>
  <c r="BA11" i="7"/>
  <c r="BK23" i="7"/>
  <c r="BJ24" i="7"/>
  <c r="Q23" i="7"/>
  <c r="P24" i="7"/>
  <c r="AZ18" i="7"/>
  <c r="BL11" i="7"/>
  <c r="AX24" i="7"/>
  <c r="AY23" i="7"/>
  <c r="AP11" i="7"/>
  <c r="AO18" i="7"/>
  <c r="AD18" i="7"/>
  <c r="R18" i="7"/>
  <c r="AM24" i="7"/>
  <c r="AN23" i="7"/>
  <c r="AB24" i="7"/>
  <c r="AC23" i="7"/>
  <c r="BL18" i="7"/>
  <c r="CX161" i="8" l="1"/>
  <c r="DA109" i="9"/>
  <c r="CX118" i="8"/>
  <c r="DA72" i="9"/>
  <c r="DA76" i="9"/>
  <c r="CX122" i="8"/>
  <c r="DA80" i="9"/>
  <c r="CX126" i="8"/>
  <c r="CX125" i="8"/>
  <c r="DA79" i="9"/>
  <c r="CX128" i="8"/>
  <c r="DA82" i="9"/>
  <c r="CX157" i="8"/>
  <c r="DA105" i="9"/>
  <c r="DA70" i="9"/>
  <c r="CX116" i="8"/>
  <c r="DA112" i="9"/>
  <c r="CX164" i="8"/>
  <c r="DA71" i="9"/>
  <c r="CX117" i="8"/>
  <c r="DA104" i="9"/>
  <c r="CX156" i="8"/>
  <c r="DA106" i="9"/>
  <c r="CX158" i="8"/>
  <c r="DA69" i="9"/>
  <c r="CX115" i="8"/>
  <c r="DA107" i="9"/>
  <c r="CX159" i="8"/>
  <c r="CX160" i="8"/>
  <c r="DA108" i="9"/>
  <c r="CZ110" i="9"/>
  <c r="CX162" i="8" s="1"/>
  <c r="DA75" i="9"/>
  <c r="CX121" i="8"/>
  <c r="DA74" i="9"/>
  <c r="CX120" i="8"/>
  <c r="CX119" i="8"/>
  <c r="DA73" i="9"/>
  <c r="CX124" i="8"/>
  <c r="DA78" i="9"/>
  <c r="DA103" i="9"/>
  <c r="CX155" i="8"/>
  <c r="DA81" i="9"/>
  <c r="CX127" i="8"/>
  <c r="DC67" i="9"/>
  <c r="CZ113" i="8"/>
  <c r="DA77" i="9"/>
  <c r="CX123" i="8"/>
  <c r="CS121" i="9"/>
  <c r="CQ169" i="8" s="1"/>
  <c r="AO23" i="7"/>
  <c r="AN24" i="7"/>
  <c r="BK24" i="7"/>
  <c r="BL23" i="7"/>
  <c r="AY24" i="7"/>
  <c r="AZ23" i="7"/>
  <c r="BM11" i="7"/>
  <c r="AC24" i="7"/>
  <c r="AD23" i="7"/>
  <c r="AD24" i="7" s="1"/>
  <c r="AP18" i="7"/>
  <c r="BB11" i="7"/>
  <c r="BM18" i="7"/>
  <c r="BA18" i="7"/>
  <c r="R23" i="7"/>
  <c r="R24" i="7" s="1"/>
  <c r="Q24" i="7"/>
  <c r="CY156" i="8" l="1"/>
  <c r="DB104" i="9"/>
  <c r="DD67" i="9"/>
  <c r="DA113" i="8"/>
  <c r="DB75" i="9"/>
  <c r="CY121" i="8"/>
  <c r="CY125" i="8"/>
  <c r="DB79" i="9"/>
  <c r="DB74" i="9"/>
  <c r="CY120" i="8"/>
  <c r="DB81" i="9"/>
  <c r="CY127" i="8"/>
  <c r="DB108" i="9"/>
  <c r="CY160" i="8"/>
  <c r="CY117" i="8"/>
  <c r="DB71" i="9"/>
  <c r="CY126" i="8"/>
  <c r="DB80" i="9"/>
  <c r="CY124" i="8"/>
  <c r="DB78" i="9"/>
  <c r="DB107" i="9"/>
  <c r="CY159" i="8"/>
  <c r="DB112" i="9"/>
  <c r="CY164" i="8"/>
  <c r="DB76" i="9"/>
  <c r="CY122" i="8"/>
  <c r="CY118" i="8"/>
  <c r="DB72" i="9"/>
  <c r="DB77" i="9"/>
  <c r="CY123" i="8"/>
  <c r="CY128" i="8"/>
  <c r="DB82" i="9"/>
  <c r="CY119" i="8"/>
  <c r="DB73" i="9"/>
  <c r="CY115" i="8"/>
  <c r="DB69" i="9"/>
  <c r="DB70" i="9"/>
  <c r="CY116" i="8"/>
  <c r="CY155" i="8"/>
  <c r="DB103" i="9"/>
  <c r="CY157" i="8"/>
  <c r="DB105" i="9"/>
  <c r="DA110" i="9"/>
  <c r="CY162" i="8" s="1"/>
  <c r="CY161" i="8"/>
  <c r="DB109" i="9"/>
  <c r="DB106" i="9"/>
  <c r="CY158" i="8"/>
  <c r="EC24" i="7"/>
  <c r="ED24" i="7"/>
  <c r="BN11" i="7"/>
  <c r="BA23" i="7"/>
  <c r="AZ24" i="7"/>
  <c r="AP23" i="7"/>
  <c r="AP24" i="7" s="1"/>
  <c r="AO24" i="7"/>
  <c r="BM23" i="7"/>
  <c r="BL24" i="7"/>
  <c r="EB24" i="7"/>
  <c r="BB18" i="7"/>
  <c r="BN18" i="7"/>
  <c r="DC106" i="9" l="1"/>
  <c r="CZ158" i="8"/>
  <c r="DC73" i="9"/>
  <c r="CZ119" i="8"/>
  <c r="DC109" i="9"/>
  <c r="CZ161" i="8"/>
  <c r="DC107" i="9"/>
  <c r="CZ159" i="8"/>
  <c r="DC82" i="9"/>
  <c r="CZ128" i="8"/>
  <c r="DC78" i="9"/>
  <c r="CZ124" i="8"/>
  <c r="CZ120" i="8"/>
  <c r="DC74" i="9"/>
  <c r="CZ157" i="8"/>
  <c r="DC105" i="9"/>
  <c r="DC80" i="9"/>
  <c r="CZ126" i="8"/>
  <c r="DC79" i="9"/>
  <c r="CZ125" i="8"/>
  <c r="DC77" i="9"/>
  <c r="CZ123" i="8"/>
  <c r="DC72" i="9"/>
  <c r="CZ118" i="8"/>
  <c r="DC103" i="9"/>
  <c r="CZ155" i="8"/>
  <c r="CZ117" i="8"/>
  <c r="DC71" i="9"/>
  <c r="CZ121" i="8"/>
  <c r="DC75" i="9"/>
  <c r="DC70" i="9"/>
  <c r="CZ116" i="8"/>
  <c r="CZ122" i="8"/>
  <c r="DC76" i="9"/>
  <c r="DC108" i="9"/>
  <c r="CZ160" i="8"/>
  <c r="DB110" i="9"/>
  <c r="CZ162" i="8" s="1"/>
  <c r="DB113" i="8"/>
  <c r="DE67" i="9"/>
  <c r="CZ115" i="8"/>
  <c r="DC69" i="9"/>
  <c r="DC104" i="9"/>
  <c r="CZ156" i="8"/>
  <c r="DC112" i="9"/>
  <c r="CZ164" i="8"/>
  <c r="DC81" i="9"/>
  <c r="CZ127" i="8"/>
  <c r="CT121" i="9"/>
  <c r="CR169" i="8" s="1"/>
  <c r="BA24" i="7"/>
  <c r="BB23" i="7"/>
  <c r="BB24" i="7" s="1"/>
  <c r="BN23" i="7"/>
  <c r="BM24" i="7"/>
  <c r="EE24" i="7"/>
  <c r="EF24" i="7" s="1"/>
  <c r="DA123" i="8" l="1"/>
  <c r="DD77" i="9"/>
  <c r="DD82" i="9"/>
  <c r="DA128" i="8"/>
  <c r="DD112" i="9"/>
  <c r="DA164" i="8"/>
  <c r="DA116" i="8"/>
  <c r="DD70" i="9"/>
  <c r="DA125" i="8"/>
  <c r="DD79" i="9"/>
  <c r="DD107" i="9"/>
  <c r="DA159" i="8"/>
  <c r="DD81" i="9"/>
  <c r="DA127" i="8"/>
  <c r="DD104" i="9"/>
  <c r="DA156" i="8"/>
  <c r="DD75" i="9"/>
  <c r="DA121" i="8"/>
  <c r="DD69" i="9"/>
  <c r="DA115" i="8"/>
  <c r="DD80" i="9"/>
  <c r="DA126" i="8"/>
  <c r="DC110" i="9"/>
  <c r="DA162" i="8" s="1"/>
  <c r="DA161" i="8"/>
  <c r="DD109" i="9"/>
  <c r="DA122" i="8"/>
  <c r="DD76" i="9"/>
  <c r="DA117" i="8"/>
  <c r="DD71" i="9"/>
  <c r="DD105" i="9"/>
  <c r="DA157" i="8"/>
  <c r="DF67" i="9"/>
  <c r="DC113" i="8"/>
  <c r="DA119" i="8"/>
  <c r="DD73" i="9"/>
  <c r="DD74" i="9"/>
  <c r="DA120" i="8"/>
  <c r="DA155" i="8"/>
  <c r="DD103" i="9"/>
  <c r="DD106" i="9"/>
  <c r="DA158" i="8"/>
  <c r="DA160" i="8"/>
  <c r="DD108" i="9"/>
  <c r="DA118" i="8"/>
  <c r="DD72" i="9"/>
  <c r="DD78" i="9"/>
  <c r="DA124" i="8"/>
  <c r="BP18" i="7"/>
  <c r="BP11" i="7"/>
  <c r="BN24" i="7"/>
  <c r="EG24" i="7"/>
  <c r="DE74" i="9" l="1"/>
  <c r="DB120" i="8"/>
  <c r="DE73" i="9"/>
  <c r="DB119" i="8"/>
  <c r="DE107" i="9"/>
  <c r="DB159" i="8"/>
  <c r="DE79" i="9"/>
  <c r="DB125" i="8"/>
  <c r="DB126" i="8"/>
  <c r="DE80" i="9"/>
  <c r="DE78" i="9"/>
  <c r="DB124" i="8"/>
  <c r="DB116" i="8"/>
  <c r="DE70" i="9"/>
  <c r="DE72" i="9"/>
  <c r="DB118" i="8"/>
  <c r="DG67" i="9"/>
  <c r="DD113" i="8"/>
  <c r="DB160" i="8"/>
  <c r="DE108" i="9"/>
  <c r="DD110" i="9"/>
  <c r="DB162" i="8" s="1"/>
  <c r="DE69" i="9"/>
  <c r="DB115" i="8"/>
  <c r="DB157" i="8"/>
  <c r="DE105" i="9"/>
  <c r="DE71" i="9"/>
  <c r="DB117" i="8"/>
  <c r="DB121" i="8"/>
  <c r="DE75" i="9"/>
  <c r="DE112" i="9"/>
  <c r="DB164" i="8"/>
  <c r="DE106" i="9"/>
  <c r="DB158" i="8"/>
  <c r="DE103" i="9"/>
  <c r="DB155" i="8"/>
  <c r="DE76" i="9"/>
  <c r="DB122" i="8"/>
  <c r="DE104" i="9"/>
  <c r="DB156" i="8"/>
  <c r="DE82" i="9"/>
  <c r="DB128" i="8"/>
  <c r="DE77" i="9"/>
  <c r="DB123" i="8"/>
  <c r="DE109" i="9"/>
  <c r="DB161" i="8"/>
  <c r="DE81" i="9"/>
  <c r="DB127" i="8"/>
  <c r="CU121" i="9"/>
  <c r="CS169" i="8" s="1"/>
  <c r="BQ11" i="7"/>
  <c r="BP23" i="7"/>
  <c r="BQ18" i="7"/>
  <c r="EH24" i="7"/>
  <c r="DE110" i="9" l="1"/>
  <c r="DC162" i="8" s="1"/>
  <c r="DF109" i="9"/>
  <c r="DC161" i="8"/>
  <c r="DF106" i="9"/>
  <c r="DC158" i="8"/>
  <c r="DF108" i="9"/>
  <c r="DC160" i="8"/>
  <c r="DC125" i="8"/>
  <c r="DF79" i="9"/>
  <c r="DC155" i="8"/>
  <c r="DF103" i="9"/>
  <c r="DF77" i="9"/>
  <c r="DC123" i="8"/>
  <c r="DF112" i="9"/>
  <c r="DC164" i="8"/>
  <c r="DF81" i="9"/>
  <c r="DC127" i="8"/>
  <c r="DC126" i="8"/>
  <c r="DF80" i="9"/>
  <c r="DC121" i="8"/>
  <c r="DF75" i="9"/>
  <c r="DH67" i="9"/>
  <c r="DE113" i="8"/>
  <c r="DF107" i="9"/>
  <c r="DC159" i="8"/>
  <c r="DC128" i="8"/>
  <c r="DF82" i="9"/>
  <c r="DF72" i="9"/>
  <c r="DC118" i="8"/>
  <c r="DC119" i="8"/>
  <c r="DF73" i="9"/>
  <c r="DF70" i="9"/>
  <c r="DC116" i="8"/>
  <c r="DF105" i="9"/>
  <c r="DC157" i="8"/>
  <c r="DC120" i="8"/>
  <c r="DF74" i="9"/>
  <c r="DC115" i="8"/>
  <c r="DF69" i="9"/>
  <c r="DF104" i="9"/>
  <c r="DC156" i="8"/>
  <c r="DF71" i="9"/>
  <c r="DC117" i="8"/>
  <c r="DF76" i="9"/>
  <c r="DC122" i="8"/>
  <c r="DF78" i="9"/>
  <c r="DC124" i="8"/>
  <c r="EI24" i="7"/>
  <c r="BR18" i="7"/>
  <c r="BR11" i="7"/>
  <c r="BQ23" i="7"/>
  <c r="BP24" i="7"/>
  <c r="DG107" i="9" l="1"/>
  <c r="DD159" i="8"/>
  <c r="DG77" i="9"/>
  <c r="DD123" i="8"/>
  <c r="DG103" i="9"/>
  <c r="DD155" i="8"/>
  <c r="DF113" i="8"/>
  <c r="DI67" i="9"/>
  <c r="DG79" i="9"/>
  <c r="DD125" i="8"/>
  <c r="DG76" i="9"/>
  <c r="DD122" i="8"/>
  <c r="DG70" i="9"/>
  <c r="DD116" i="8"/>
  <c r="DD121" i="8"/>
  <c r="DG75" i="9"/>
  <c r="DG73" i="9"/>
  <c r="DD119" i="8"/>
  <c r="DG80" i="9"/>
  <c r="DD126" i="8"/>
  <c r="DD157" i="8"/>
  <c r="DG105" i="9"/>
  <c r="DD160" i="8"/>
  <c r="DG108" i="9"/>
  <c r="DF110" i="9"/>
  <c r="DD162" i="8" s="1"/>
  <c r="DG104" i="9"/>
  <c r="DD156" i="8"/>
  <c r="DD118" i="8"/>
  <c r="DG72" i="9"/>
  <c r="DD127" i="8"/>
  <c r="DG81" i="9"/>
  <c r="DD158" i="8"/>
  <c r="DG106" i="9"/>
  <c r="DG71" i="9"/>
  <c r="DD117" i="8"/>
  <c r="DG69" i="9"/>
  <c r="DD115" i="8"/>
  <c r="DD128" i="8"/>
  <c r="DG82" i="9"/>
  <c r="DG109" i="9"/>
  <c r="DD161" i="8"/>
  <c r="DD124" i="8"/>
  <c r="DG78" i="9"/>
  <c r="DG112" i="9"/>
  <c r="DD164" i="8"/>
  <c r="DG74" i="9"/>
  <c r="DD120" i="8"/>
  <c r="CV121" i="9"/>
  <c r="CT169" i="8" s="1"/>
  <c r="BS11" i="7"/>
  <c r="BR23" i="7"/>
  <c r="BQ24" i="7"/>
  <c r="BS18" i="7"/>
  <c r="DE160" i="8" l="1"/>
  <c r="DH108" i="9"/>
  <c r="DH76" i="9"/>
  <c r="DE122" i="8"/>
  <c r="DH71" i="9"/>
  <c r="DE117" i="8"/>
  <c r="DH105" i="9"/>
  <c r="DE157" i="8"/>
  <c r="DH106" i="9"/>
  <c r="DE158" i="8"/>
  <c r="DH79" i="9"/>
  <c r="DE125" i="8"/>
  <c r="DH80" i="9"/>
  <c r="DE126" i="8"/>
  <c r="DH74" i="9"/>
  <c r="DE120" i="8"/>
  <c r="DH69" i="9"/>
  <c r="DE115" i="8"/>
  <c r="DE164" i="8"/>
  <c r="DH112" i="9"/>
  <c r="DJ67" i="9"/>
  <c r="DG113" i="8"/>
  <c r="DE124" i="8"/>
  <c r="DH78" i="9"/>
  <c r="DH81" i="9"/>
  <c r="DE127" i="8"/>
  <c r="DH72" i="9"/>
  <c r="DE118" i="8"/>
  <c r="DE119" i="8"/>
  <c r="DH73" i="9"/>
  <c r="DH103" i="9"/>
  <c r="DE155" i="8"/>
  <c r="DG110" i="9"/>
  <c r="DE162" i="8" s="1"/>
  <c r="DH109" i="9"/>
  <c r="DE161" i="8"/>
  <c r="DH75" i="9"/>
  <c r="DE121" i="8"/>
  <c r="DE128" i="8"/>
  <c r="DH82" i="9"/>
  <c r="DH77" i="9"/>
  <c r="DE123" i="8"/>
  <c r="DH104" i="9"/>
  <c r="DE156" i="8"/>
  <c r="DE116" i="8"/>
  <c r="DH70" i="9"/>
  <c r="DH107" i="9"/>
  <c r="DE159" i="8"/>
  <c r="BS23" i="7"/>
  <c r="BR24" i="7"/>
  <c r="BT18" i="7"/>
  <c r="BT11" i="7"/>
  <c r="DI106" i="9" l="1"/>
  <c r="DF158" i="8"/>
  <c r="DI112" i="9"/>
  <c r="DF164" i="8"/>
  <c r="DF161" i="8"/>
  <c r="DI109" i="9"/>
  <c r="DF116" i="8"/>
  <c r="DI70" i="9"/>
  <c r="DF157" i="8"/>
  <c r="DI105" i="9"/>
  <c r="DF125" i="8"/>
  <c r="DI79" i="9"/>
  <c r="DI107" i="9"/>
  <c r="DF159" i="8"/>
  <c r="DH113" i="8"/>
  <c r="DK67" i="9"/>
  <c r="DF155" i="8"/>
  <c r="DI103" i="9"/>
  <c r="DF156" i="8"/>
  <c r="DI104" i="9"/>
  <c r="DI73" i="9"/>
  <c r="DF119" i="8"/>
  <c r="DI69" i="9"/>
  <c r="DF115" i="8"/>
  <c r="DF117" i="8"/>
  <c r="DI71" i="9"/>
  <c r="DI77" i="9"/>
  <c r="DF123" i="8"/>
  <c r="DF128" i="8"/>
  <c r="DI82" i="9"/>
  <c r="DF118" i="8"/>
  <c r="DI72" i="9"/>
  <c r="DI74" i="9"/>
  <c r="DF120" i="8"/>
  <c r="DF122" i="8"/>
  <c r="DI76" i="9"/>
  <c r="DF127" i="8"/>
  <c r="DI81" i="9"/>
  <c r="DI80" i="9"/>
  <c r="DF126" i="8"/>
  <c r="DI75" i="9"/>
  <c r="DF121" i="8"/>
  <c r="DI78" i="9"/>
  <c r="DF124" i="8"/>
  <c r="DF160" i="8"/>
  <c r="DI108" i="9"/>
  <c r="DH110" i="9"/>
  <c r="DF162" i="8" s="1"/>
  <c r="CW121" i="9"/>
  <c r="CU169" i="8" s="1"/>
  <c r="BU18" i="7"/>
  <c r="BU11" i="7"/>
  <c r="BS24" i="7"/>
  <c r="BT23" i="7"/>
  <c r="DG125" i="8" l="1"/>
  <c r="DJ79" i="9"/>
  <c r="DG118" i="8"/>
  <c r="DJ72" i="9"/>
  <c r="DJ105" i="9"/>
  <c r="DG157" i="8"/>
  <c r="DJ81" i="9"/>
  <c r="DG127" i="8"/>
  <c r="DJ78" i="9"/>
  <c r="DG124" i="8"/>
  <c r="DJ73" i="9"/>
  <c r="DG119" i="8"/>
  <c r="DJ103" i="9"/>
  <c r="DG155" i="8"/>
  <c r="DG160" i="8"/>
  <c r="DJ108" i="9"/>
  <c r="DJ69" i="9"/>
  <c r="DG115" i="8"/>
  <c r="DG128" i="8"/>
  <c r="DJ82" i="9"/>
  <c r="DG116" i="8"/>
  <c r="DJ70" i="9"/>
  <c r="DG120" i="8"/>
  <c r="DJ74" i="9"/>
  <c r="DG156" i="8"/>
  <c r="DJ104" i="9"/>
  <c r="DJ75" i="9"/>
  <c r="DG121" i="8"/>
  <c r="DI110" i="9"/>
  <c r="DG162" i="8" s="1"/>
  <c r="DJ109" i="9"/>
  <c r="DG161" i="8"/>
  <c r="DG126" i="8"/>
  <c r="DJ80" i="9"/>
  <c r="DL67" i="9"/>
  <c r="DI113" i="8"/>
  <c r="DG123" i="8"/>
  <c r="DJ77" i="9"/>
  <c r="DG164" i="8"/>
  <c r="DJ112" i="9"/>
  <c r="DJ76" i="9"/>
  <c r="DG122" i="8"/>
  <c r="DG117" i="8"/>
  <c r="DJ71" i="9"/>
  <c r="DJ107" i="9"/>
  <c r="DG159" i="8"/>
  <c r="DJ106" i="9"/>
  <c r="DG158" i="8"/>
  <c r="BV11" i="7"/>
  <c r="BV18" i="7"/>
  <c r="BT24" i="7"/>
  <c r="BU23" i="7"/>
  <c r="DK108" i="9" l="1"/>
  <c r="DH160" i="8"/>
  <c r="DJ110" i="9"/>
  <c r="DH162" i="8" s="1"/>
  <c r="DK106" i="9"/>
  <c r="DH158" i="8"/>
  <c r="DJ113" i="8"/>
  <c r="DM67" i="9"/>
  <c r="DH119" i="8"/>
  <c r="DK73" i="9"/>
  <c r="DK107" i="9"/>
  <c r="DH159" i="8"/>
  <c r="DK70" i="9"/>
  <c r="DH116" i="8"/>
  <c r="DK74" i="9"/>
  <c r="DH120" i="8"/>
  <c r="DH117" i="8"/>
  <c r="DK71" i="9"/>
  <c r="DK80" i="9"/>
  <c r="DH126" i="8"/>
  <c r="DH124" i="8"/>
  <c r="DK78" i="9"/>
  <c r="DH128" i="8"/>
  <c r="DK82" i="9"/>
  <c r="DH127" i="8"/>
  <c r="DK81" i="9"/>
  <c r="DH122" i="8"/>
  <c r="DK76" i="9"/>
  <c r="DK109" i="9"/>
  <c r="DH161" i="8"/>
  <c r="DK112" i="9"/>
  <c r="DH164" i="8"/>
  <c r="DK69" i="9"/>
  <c r="DH115" i="8"/>
  <c r="DH157" i="8"/>
  <c r="DK105" i="9"/>
  <c r="DK72" i="9"/>
  <c r="DH118" i="8"/>
  <c r="DH123" i="8"/>
  <c r="DK77" i="9"/>
  <c r="DH121" i="8"/>
  <c r="DK75" i="9"/>
  <c r="DH156" i="8"/>
  <c r="DK104" i="9"/>
  <c r="DH125" i="8"/>
  <c r="DK79" i="9"/>
  <c r="DK103" i="9"/>
  <c r="DH155" i="8"/>
  <c r="CX121" i="9"/>
  <c r="CV169" i="8" s="1"/>
  <c r="BW18" i="7"/>
  <c r="BU24" i="7"/>
  <c r="BV23" i="7"/>
  <c r="BW11" i="7"/>
  <c r="DK110" i="9" l="1"/>
  <c r="DI162" i="8" s="1"/>
  <c r="DI161" i="8"/>
  <c r="DL109" i="9"/>
  <c r="DL80" i="9"/>
  <c r="DI126" i="8"/>
  <c r="DL71" i="9"/>
  <c r="DI117" i="8"/>
  <c r="DI157" i="8"/>
  <c r="DL105" i="9"/>
  <c r="DI155" i="8"/>
  <c r="DL103" i="9"/>
  <c r="DL79" i="9"/>
  <c r="DI125" i="8"/>
  <c r="DI128" i="8"/>
  <c r="DL82" i="9"/>
  <c r="DL69" i="9"/>
  <c r="DI115" i="8"/>
  <c r="DI156" i="8"/>
  <c r="DL104" i="9"/>
  <c r="DL78" i="9"/>
  <c r="DI124" i="8"/>
  <c r="DI119" i="8"/>
  <c r="DL73" i="9"/>
  <c r="DI122" i="8"/>
  <c r="DL76" i="9"/>
  <c r="DL81" i="9"/>
  <c r="DI127" i="8"/>
  <c r="DI118" i="8"/>
  <c r="DL72" i="9"/>
  <c r="DL74" i="9"/>
  <c r="DI120" i="8"/>
  <c r="DL70" i="9"/>
  <c r="DI116" i="8"/>
  <c r="DL107" i="9"/>
  <c r="DI159" i="8"/>
  <c r="DL112" i="9"/>
  <c r="DI164" i="8"/>
  <c r="DL75" i="9"/>
  <c r="DI121" i="8"/>
  <c r="DN67" i="9"/>
  <c r="DK113" i="8"/>
  <c r="DL106" i="9"/>
  <c r="DI158" i="8"/>
  <c r="DL77" i="9"/>
  <c r="DI123" i="8"/>
  <c r="DL108" i="9"/>
  <c r="DI160" i="8"/>
  <c r="BX11" i="7"/>
  <c r="BV24" i="7"/>
  <c r="BW23" i="7"/>
  <c r="BX18" i="7"/>
  <c r="DM107" i="9" l="1"/>
  <c r="DJ159" i="8"/>
  <c r="DJ119" i="8"/>
  <c r="DM73" i="9"/>
  <c r="DM77" i="9"/>
  <c r="DJ123" i="8"/>
  <c r="DJ116" i="8"/>
  <c r="DM70" i="9"/>
  <c r="DJ157" i="8"/>
  <c r="DM105" i="9"/>
  <c r="DM106" i="9"/>
  <c r="DJ158" i="8"/>
  <c r="DJ124" i="8"/>
  <c r="DM78" i="9"/>
  <c r="DM104" i="9"/>
  <c r="DJ156" i="8"/>
  <c r="DJ160" i="8"/>
  <c r="DM108" i="9"/>
  <c r="DL110" i="9"/>
  <c r="DJ162" i="8" s="1"/>
  <c r="DM79" i="9"/>
  <c r="DJ125" i="8"/>
  <c r="DM72" i="9"/>
  <c r="DJ118" i="8"/>
  <c r="DJ120" i="8"/>
  <c r="DM74" i="9"/>
  <c r="DM75" i="9"/>
  <c r="DJ121" i="8"/>
  <c r="DM69" i="9"/>
  <c r="DJ115" i="8"/>
  <c r="DJ126" i="8"/>
  <c r="DM80" i="9"/>
  <c r="DJ161" i="8"/>
  <c r="DM109" i="9"/>
  <c r="DM112" i="9"/>
  <c r="DJ164" i="8"/>
  <c r="DJ127" i="8"/>
  <c r="DM81" i="9"/>
  <c r="DM103" i="9"/>
  <c r="DJ155" i="8"/>
  <c r="DO67" i="9"/>
  <c r="DL113" i="8"/>
  <c r="DM71" i="9"/>
  <c r="DJ117" i="8"/>
  <c r="DM82" i="9"/>
  <c r="DJ128" i="8"/>
  <c r="DM76" i="9"/>
  <c r="DJ122" i="8"/>
  <c r="CY121" i="9"/>
  <c r="CW169" i="8" s="1"/>
  <c r="C60" i="7"/>
  <c r="C62" i="7" s="1"/>
  <c r="BX23" i="7"/>
  <c r="BW24" i="7"/>
  <c r="BY11" i="7"/>
  <c r="BY18" i="7"/>
  <c r="E114" i="8"/>
  <c r="H68" i="9"/>
  <c r="DK122" i="8" l="1"/>
  <c r="DN76" i="9"/>
  <c r="DK128" i="8"/>
  <c r="DN82" i="9"/>
  <c r="DK125" i="8"/>
  <c r="DN79" i="9"/>
  <c r="DN105" i="9"/>
  <c r="DK157" i="8"/>
  <c r="DN80" i="9"/>
  <c r="DK126" i="8"/>
  <c r="DK118" i="8"/>
  <c r="DN72" i="9"/>
  <c r="DM110" i="9"/>
  <c r="DK162" i="8" s="1"/>
  <c r="DN109" i="9"/>
  <c r="DK161" i="8"/>
  <c r="DK158" i="8"/>
  <c r="DN106" i="9"/>
  <c r="DN71" i="9"/>
  <c r="DK117" i="8"/>
  <c r="DN108" i="9"/>
  <c r="DK160" i="8"/>
  <c r="DN70" i="9"/>
  <c r="DK116" i="8"/>
  <c r="DK164" i="8"/>
  <c r="DN112" i="9"/>
  <c r="DP67" i="9"/>
  <c r="DM113" i="8"/>
  <c r="DK115" i="8"/>
  <c r="DN69" i="9"/>
  <c r="DN104" i="9"/>
  <c r="DK156" i="8"/>
  <c r="DN77" i="9"/>
  <c r="DK123" i="8"/>
  <c r="DN103" i="9"/>
  <c r="DK155" i="8"/>
  <c r="DN75" i="9"/>
  <c r="DK121" i="8"/>
  <c r="DK124" i="8"/>
  <c r="DN78" i="9"/>
  <c r="DN73" i="9"/>
  <c r="DK119" i="8"/>
  <c r="DK127" i="8"/>
  <c r="DN81" i="9"/>
  <c r="DN74" i="9"/>
  <c r="DK120" i="8"/>
  <c r="DN107" i="9"/>
  <c r="DK159" i="8"/>
  <c r="BZ18" i="7"/>
  <c r="BZ11" i="7"/>
  <c r="BY23" i="7"/>
  <c r="BX24" i="7"/>
  <c r="F114" i="8"/>
  <c r="I68" i="9"/>
  <c r="DO107" i="9" l="1"/>
  <c r="DL159" i="8"/>
  <c r="DO75" i="9"/>
  <c r="DL121" i="8"/>
  <c r="DO72" i="9"/>
  <c r="DL118" i="8"/>
  <c r="DO103" i="9"/>
  <c r="DL155" i="8"/>
  <c r="DL116" i="8"/>
  <c r="DO70" i="9"/>
  <c r="DL126" i="8"/>
  <c r="DO80" i="9"/>
  <c r="DL120" i="8"/>
  <c r="DO74" i="9"/>
  <c r="DL123" i="8"/>
  <c r="DO77" i="9"/>
  <c r="DL160" i="8"/>
  <c r="DO108" i="9"/>
  <c r="DN110" i="9"/>
  <c r="DL162" i="8" s="1"/>
  <c r="DO81" i="9"/>
  <c r="DL127" i="8"/>
  <c r="DL157" i="8"/>
  <c r="DO105" i="9"/>
  <c r="DL156" i="8"/>
  <c r="DO104" i="9"/>
  <c r="DO71" i="9"/>
  <c r="DL117" i="8"/>
  <c r="DL125" i="8"/>
  <c r="DO79" i="9"/>
  <c r="DL115" i="8"/>
  <c r="DO69" i="9"/>
  <c r="DL158" i="8"/>
  <c r="DO106" i="9"/>
  <c r="DO73" i="9"/>
  <c r="DL119" i="8"/>
  <c r="DO82" i="9"/>
  <c r="DL128" i="8"/>
  <c r="DL124" i="8"/>
  <c r="DO78" i="9"/>
  <c r="DQ67" i="9"/>
  <c r="DN113" i="8"/>
  <c r="DO109" i="9"/>
  <c r="DL161" i="8"/>
  <c r="DO76" i="9"/>
  <c r="DL122" i="8"/>
  <c r="DO112" i="9"/>
  <c r="DL164" i="8"/>
  <c r="CZ121" i="9"/>
  <c r="CX169" i="8" s="1"/>
  <c r="BY24" i="7"/>
  <c r="EJ24" i="7" s="1"/>
  <c r="BZ23" i="7"/>
  <c r="CA23" i="7"/>
  <c r="CA24" i="7" s="1"/>
  <c r="G114" i="8"/>
  <c r="J68" i="9"/>
  <c r="DM116" i="8" l="1"/>
  <c r="DP70" i="9"/>
  <c r="DP106" i="9"/>
  <c r="DM158" i="8"/>
  <c r="DP76" i="9"/>
  <c r="DM122" i="8"/>
  <c r="DM127" i="8"/>
  <c r="DP81" i="9"/>
  <c r="DP73" i="9"/>
  <c r="DM119" i="8"/>
  <c r="DP69" i="9"/>
  <c r="DM115" i="8"/>
  <c r="DM155" i="8"/>
  <c r="DP103" i="9"/>
  <c r="DO110" i="9"/>
  <c r="DM162" i="8" s="1"/>
  <c r="DM161" i="8"/>
  <c r="DP109" i="9"/>
  <c r="DP108" i="9"/>
  <c r="DM160" i="8"/>
  <c r="DM125" i="8"/>
  <c r="DP79" i="9"/>
  <c r="DR67" i="9"/>
  <c r="DO113" i="8"/>
  <c r="DP77" i="9"/>
  <c r="DM123" i="8"/>
  <c r="DM124" i="8"/>
  <c r="DP78" i="9"/>
  <c r="DM118" i="8"/>
  <c r="DP72" i="9"/>
  <c r="DP71" i="9"/>
  <c r="DM117" i="8"/>
  <c r="DP74" i="9"/>
  <c r="DM120" i="8"/>
  <c r="DP104" i="9"/>
  <c r="DM156" i="8"/>
  <c r="DP75" i="9"/>
  <c r="DM121" i="8"/>
  <c r="DP82" i="9"/>
  <c r="DM128" i="8"/>
  <c r="DP80" i="9"/>
  <c r="DM126" i="8"/>
  <c r="DM164" i="8"/>
  <c r="DP112" i="9"/>
  <c r="DP105" i="9"/>
  <c r="DM157" i="8"/>
  <c r="DP107" i="9"/>
  <c r="DM159" i="8"/>
  <c r="CB18" i="7"/>
  <c r="BZ24" i="7"/>
  <c r="EK24" i="7" s="1"/>
  <c r="CB11" i="7"/>
  <c r="K68" i="9"/>
  <c r="H114" i="8"/>
  <c r="DQ69" i="9" l="1"/>
  <c r="DN115" i="8"/>
  <c r="DQ112" i="9"/>
  <c r="DN164" i="8"/>
  <c r="DQ73" i="9"/>
  <c r="DN119" i="8"/>
  <c r="DN158" i="8"/>
  <c r="DQ106" i="9"/>
  <c r="DQ72" i="9"/>
  <c r="DN118" i="8"/>
  <c r="DQ78" i="9"/>
  <c r="DN124" i="8"/>
  <c r="DN122" i="8"/>
  <c r="DQ76" i="9"/>
  <c r="DQ82" i="9"/>
  <c r="DN128" i="8"/>
  <c r="DQ75" i="9"/>
  <c r="DN121" i="8"/>
  <c r="DQ77" i="9"/>
  <c r="DN123" i="8"/>
  <c r="DQ103" i="9"/>
  <c r="DN155" i="8"/>
  <c r="DN116" i="8"/>
  <c r="DQ70" i="9"/>
  <c r="DQ107" i="9"/>
  <c r="DN159" i="8"/>
  <c r="DQ104" i="9"/>
  <c r="DN156" i="8"/>
  <c r="DS67" i="9"/>
  <c r="DP113" i="8"/>
  <c r="DQ79" i="9"/>
  <c r="DN125" i="8"/>
  <c r="DQ105" i="9"/>
  <c r="DN157" i="8"/>
  <c r="DN120" i="8"/>
  <c r="DQ74" i="9"/>
  <c r="DQ71" i="9"/>
  <c r="DN117" i="8"/>
  <c r="DQ81" i="9"/>
  <c r="DN127" i="8"/>
  <c r="DQ80" i="9"/>
  <c r="DN126" i="8"/>
  <c r="DQ108" i="9"/>
  <c r="DN160" i="8"/>
  <c r="DP110" i="9"/>
  <c r="DN162" i="8" s="1"/>
  <c r="DN161" i="8"/>
  <c r="DQ109" i="9"/>
  <c r="CV51" i="8"/>
  <c r="CN51" i="8"/>
  <c r="CM51" i="8"/>
  <c r="CL51" i="8"/>
  <c r="CQ51" i="8"/>
  <c r="CU51" i="8"/>
  <c r="CR51" i="8"/>
  <c r="CS51" i="8"/>
  <c r="CO51" i="8"/>
  <c r="CT51" i="8"/>
  <c r="DA121" i="9"/>
  <c r="CY169" i="8" s="1"/>
  <c r="CB23" i="7"/>
  <c r="CC11" i="7"/>
  <c r="CC18" i="7"/>
  <c r="I114" i="8"/>
  <c r="L68" i="9"/>
  <c r="DR108" i="9" l="1"/>
  <c r="DO160" i="8"/>
  <c r="DQ110" i="9"/>
  <c r="DO162" i="8" s="1"/>
  <c r="DR79" i="9"/>
  <c r="DO125" i="8"/>
  <c r="DO123" i="8"/>
  <c r="DR77" i="9"/>
  <c r="DO158" i="8"/>
  <c r="DR106" i="9"/>
  <c r="DO121" i="8"/>
  <c r="DR75" i="9"/>
  <c r="DR105" i="9"/>
  <c r="DO157" i="8"/>
  <c r="DT67" i="9"/>
  <c r="DQ113" i="8"/>
  <c r="DR81" i="9"/>
  <c r="DO127" i="8"/>
  <c r="DO156" i="8"/>
  <c r="DR104" i="9"/>
  <c r="DR82" i="9"/>
  <c r="DO128" i="8"/>
  <c r="DR73" i="9"/>
  <c r="DO119" i="8"/>
  <c r="DR76" i="9"/>
  <c r="DO122" i="8"/>
  <c r="DO118" i="8"/>
  <c r="DR72" i="9"/>
  <c r="DO117" i="8"/>
  <c r="DR71" i="9"/>
  <c r="DR107" i="9"/>
  <c r="DO159" i="8"/>
  <c r="DR112" i="9"/>
  <c r="DO164" i="8"/>
  <c r="DO155" i="8"/>
  <c r="DR103" i="9"/>
  <c r="DR80" i="9"/>
  <c r="DO126" i="8"/>
  <c r="DR74" i="9"/>
  <c r="DO120" i="8"/>
  <c r="DR70" i="9"/>
  <c r="DO116" i="8"/>
  <c r="DR109" i="9"/>
  <c r="DO161" i="8"/>
  <c r="DO124" i="8"/>
  <c r="DR78" i="9"/>
  <c r="DR69" i="9"/>
  <c r="DO115" i="8"/>
  <c r="CD11" i="7"/>
  <c r="CB24" i="7"/>
  <c r="CC23" i="7"/>
  <c r="CD18" i="7"/>
  <c r="J114" i="8"/>
  <c r="M68" i="9"/>
  <c r="DP128" i="8" l="1"/>
  <c r="DS82" i="9"/>
  <c r="DS104" i="9"/>
  <c r="DP156" i="8"/>
  <c r="DS77" i="9"/>
  <c r="DP123" i="8"/>
  <c r="DP161" i="8"/>
  <c r="DS109" i="9"/>
  <c r="DS107" i="9"/>
  <c r="DP159" i="8"/>
  <c r="DS69" i="9"/>
  <c r="DP115" i="8"/>
  <c r="DP119" i="8"/>
  <c r="DS73" i="9"/>
  <c r="DP124" i="8"/>
  <c r="DS78" i="9"/>
  <c r="DS106" i="9"/>
  <c r="DP158" i="8"/>
  <c r="DP164" i="8"/>
  <c r="DS112" i="9"/>
  <c r="DS71" i="9"/>
  <c r="DP117" i="8"/>
  <c r="DS79" i="9"/>
  <c r="DP125" i="8"/>
  <c r="DS72" i="9"/>
  <c r="DP118" i="8"/>
  <c r="DS74" i="9"/>
  <c r="DP120" i="8"/>
  <c r="DU67" i="9"/>
  <c r="DR113" i="8"/>
  <c r="DP160" i="8"/>
  <c r="DS108" i="9"/>
  <c r="DR110" i="9"/>
  <c r="DP162" i="8" s="1"/>
  <c r="DP116" i="8"/>
  <c r="DS70" i="9"/>
  <c r="DS81" i="9"/>
  <c r="DP127" i="8"/>
  <c r="DS80" i="9"/>
  <c r="DP126" i="8"/>
  <c r="DS76" i="9"/>
  <c r="DP122" i="8"/>
  <c r="DP157" i="8"/>
  <c r="DS105" i="9"/>
  <c r="DP155" i="8"/>
  <c r="DS103" i="9"/>
  <c r="DP121" i="8"/>
  <c r="DS75" i="9"/>
  <c r="DB121" i="9"/>
  <c r="CZ169" i="8" s="1"/>
  <c r="CE18" i="7"/>
  <c r="CE11" i="7"/>
  <c r="CC24" i="7"/>
  <c r="CD23" i="7"/>
  <c r="K114" i="8"/>
  <c r="N68" i="9"/>
  <c r="DT70" i="9" l="1"/>
  <c r="DQ116" i="8"/>
  <c r="DT107" i="9"/>
  <c r="DQ159" i="8"/>
  <c r="DQ160" i="8"/>
  <c r="DT108" i="9"/>
  <c r="DT112" i="9"/>
  <c r="DQ164" i="8"/>
  <c r="DS110" i="9"/>
  <c r="DQ162" i="8" s="1"/>
  <c r="DT109" i="9"/>
  <c r="DQ161" i="8"/>
  <c r="DT69" i="9"/>
  <c r="DQ115" i="8"/>
  <c r="DQ117" i="8"/>
  <c r="DT71" i="9"/>
  <c r="DT105" i="9"/>
  <c r="DQ157" i="8"/>
  <c r="DT79" i="9"/>
  <c r="DQ125" i="8"/>
  <c r="DT75" i="9"/>
  <c r="DQ121" i="8"/>
  <c r="DQ155" i="8"/>
  <c r="DT103" i="9"/>
  <c r="DQ123" i="8"/>
  <c r="DT77" i="9"/>
  <c r="DT76" i="9"/>
  <c r="DQ122" i="8"/>
  <c r="DT78" i="9"/>
  <c r="DQ124" i="8"/>
  <c r="DT81" i="9"/>
  <c r="DQ127" i="8"/>
  <c r="DS113" i="8"/>
  <c r="DV67" i="9"/>
  <c r="DT106" i="9"/>
  <c r="DQ158" i="8"/>
  <c r="DT74" i="9"/>
  <c r="DQ120" i="8"/>
  <c r="DT104" i="9"/>
  <c r="DQ156" i="8"/>
  <c r="DT80" i="9"/>
  <c r="DQ126" i="8"/>
  <c r="DT73" i="9"/>
  <c r="DQ119" i="8"/>
  <c r="DT82" i="9"/>
  <c r="DQ128" i="8"/>
  <c r="DT72" i="9"/>
  <c r="DQ118" i="8"/>
  <c r="CD24" i="7"/>
  <c r="CE23" i="7"/>
  <c r="CF11" i="7"/>
  <c r="CF18" i="7"/>
  <c r="L114" i="8"/>
  <c r="O68" i="9"/>
  <c r="DU72" i="9" l="1"/>
  <c r="DR118" i="8"/>
  <c r="DU106" i="9"/>
  <c r="DR158" i="8"/>
  <c r="DW67" i="9"/>
  <c r="DU113" i="8" s="1"/>
  <c r="DT113" i="8"/>
  <c r="DR128" i="8"/>
  <c r="DU82" i="9"/>
  <c r="DR119" i="8"/>
  <c r="DU73" i="9"/>
  <c r="DR127" i="8"/>
  <c r="DU81" i="9"/>
  <c r="DR125" i="8"/>
  <c r="DU79" i="9"/>
  <c r="DU75" i="9"/>
  <c r="DR121" i="8"/>
  <c r="DU112" i="9"/>
  <c r="DR164" i="8"/>
  <c r="DR126" i="8"/>
  <c r="DU80" i="9"/>
  <c r="DU78" i="9"/>
  <c r="DR124" i="8"/>
  <c r="DU105" i="9"/>
  <c r="DR157" i="8"/>
  <c r="DU108" i="9"/>
  <c r="DR160" i="8"/>
  <c r="DT110" i="9"/>
  <c r="DR162" i="8" s="1"/>
  <c r="DU109" i="9"/>
  <c r="DR161" i="8"/>
  <c r="DR156" i="8"/>
  <c r="DU104" i="9"/>
  <c r="DU76" i="9"/>
  <c r="DR122" i="8"/>
  <c r="DU71" i="9"/>
  <c r="DR117" i="8"/>
  <c r="DR123" i="8"/>
  <c r="DU77" i="9"/>
  <c r="DU107" i="9"/>
  <c r="DR159" i="8"/>
  <c r="DR120" i="8"/>
  <c r="DU74" i="9"/>
  <c r="DR115" i="8"/>
  <c r="DU69" i="9"/>
  <c r="DU103" i="9"/>
  <c r="DR155" i="8"/>
  <c r="DR116" i="8"/>
  <c r="DU70" i="9"/>
  <c r="DC121" i="9"/>
  <c r="DA169" i="8" s="1"/>
  <c r="CG11" i="7"/>
  <c r="CE24" i="7"/>
  <c r="CF23" i="7"/>
  <c r="CG18" i="7"/>
  <c r="M114" i="8"/>
  <c r="P68" i="9"/>
  <c r="DS119" i="8" l="1"/>
  <c r="DV73" i="9"/>
  <c r="DS124" i="8"/>
  <c r="DV78" i="9"/>
  <c r="DV82" i="9"/>
  <c r="DS128" i="8"/>
  <c r="DV69" i="9"/>
  <c r="DS115" i="8"/>
  <c r="DV104" i="9"/>
  <c r="DS156" i="8"/>
  <c r="DS122" i="8"/>
  <c r="DV76" i="9"/>
  <c r="DV71" i="9"/>
  <c r="DS117" i="8"/>
  <c r="DV103" i="9"/>
  <c r="DS155" i="8"/>
  <c r="DV74" i="9"/>
  <c r="DS120" i="8"/>
  <c r="DS164" i="8"/>
  <c r="DV112" i="9"/>
  <c r="DU110" i="9"/>
  <c r="DS162" i="8" s="1"/>
  <c r="DV109" i="9"/>
  <c r="DS161" i="8"/>
  <c r="DV75" i="9"/>
  <c r="DS121" i="8"/>
  <c r="DV80" i="9"/>
  <c r="DS126" i="8"/>
  <c r="DS125" i="8"/>
  <c r="DV79" i="9"/>
  <c r="DV107" i="9"/>
  <c r="DS159" i="8"/>
  <c r="DS123" i="8"/>
  <c r="DV77" i="9"/>
  <c r="DV108" i="9"/>
  <c r="DS160" i="8"/>
  <c r="DV106" i="9"/>
  <c r="DS158" i="8"/>
  <c r="DS127" i="8"/>
  <c r="DV81" i="9"/>
  <c r="DS116" i="8"/>
  <c r="DV70" i="9"/>
  <c r="DS157" i="8"/>
  <c r="DV105" i="9"/>
  <c r="DS118" i="8"/>
  <c r="DV72" i="9"/>
  <c r="CH11" i="7"/>
  <c r="CH18" i="7"/>
  <c r="CG23" i="7"/>
  <c r="CF24" i="7"/>
  <c r="N114" i="8"/>
  <c r="Q68" i="9"/>
  <c r="DT118" i="8" l="1"/>
  <c r="DW72" i="9"/>
  <c r="DU118" i="8" s="1"/>
  <c r="DT157" i="8"/>
  <c r="DW105" i="9"/>
  <c r="DU157" i="8" s="1"/>
  <c r="DT156" i="8"/>
  <c r="DW104" i="9"/>
  <c r="DU156" i="8" s="1"/>
  <c r="DT160" i="8"/>
  <c r="DW108" i="9"/>
  <c r="DT121" i="8"/>
  <c r="DW75" i="9"/>
  <c r="DU121" i="8" s="1"/>
  <c r="DW77" i="9"/>
  <c r="DU123" i="8" s="1"/>
  <c r="DT123" i="8"/>
  <c r="DV110" i="9"/>
  <c r="DT162" i="8" s="1"/>
  <c r="DW109" i="9"/>
  <c r="DU161" i="8" s="1"/>
  <c r="DT161" i="8"/>
  <c r="DW107" i="9"/>
  <c r="DU159" i="8" s="1"/>
  <c r="DT159" i="8"/>
  <c r="DW112" i="9"/>
  <c r="DU164" i="8" s="1"/>
  <c r="DT164" i="8"/>
  <c r="DT116" i="8"/>
  <c r="DW70" i="9"/>
  <c r="DU116" i="8" s="1"/>
  <c r="DT125" i="8"/>
  <c r="DW79" i="9"/>
  <c r="DU125" i="8" s="1"/>
  <c r="DW69" i="9"/>
  <c r="DU115" i="8" s="1"/>
  <c r="DT115" i="8"/>
  <c r="DW76" i="9"/>
  <c r="DU122" i="8" s="1"/>
  <c r="DT122" i="8"/>
  <c r="DT127" i="8"/>
  <c r="DW81" i="9"/>
  <c r="DU127" i="8" s="1"/>
  <c r="DW74" i="9"/>
  <c r="DU120" i="8" s="1"/>
  <c r="DT120" i="8"/>
  <c r="DW82" i="9"/>
  <c r="DU128" i="8" s="1"/>
  <c r="DT128" i="8"/>
  <c r="DT126" i="8"/>
  <c r="DW80" i="9"/>
  <c r="DU126" i="8" s="1"/>
  <c r="DT124" i="8"/>
  <c r="DW78" i="9"/>
  <c r="DU124" i="8" s="1"/>
  <c r="DW103" i="9"/>
  <c r="DU155" i="8" s="1"/>
  <c r="DT155" i="8"/>
  <c r="DT158" i="8"/>
  <c r="DW106" i="9"/>
  <c r="DU158" i="8" s="1"/>
  <c r="DW73" i="9"/>
  <c r="DU119" i="8" s="1"/>
  <c r="DT119" i="8"/>
  <c r="DW71" i="9"/>
  <c r="DU117" i="8" s="1"/>
  <c r="DT117" i="8"/>
  <c r="DD121" i="9"/>
  <c r="DB169" i="8" s="1"/>
  <c r="CI18" i="7"/>
  <c r="CI11" i="7"/>
  <c r="CH23" i="7"/>
  <c r="CG24" i="7"/>
  <c r="O114" i="8"/>
  <c r="R68" i="9"/>
  <c r="DU160" i="8" l="1"/>
  <c r="DW110" i="9"/>
  <c r="DU162" i="8" s="1"/>
  <c r="CJ11" i="7"/>
  <c r="CI23" i="7"/>
  <c r="CH24" i="7"/>
  <c r="CJ18" i="7"/>
  <c r="P114" i="8"/>
  <c r="S68" i="9"/>
  <c r="DE121" i="9" l="1"/>
  <c r="DC169" i="8" s="1"/>
  <c r="CK18" i="7"/>
  <c r="CJ23" i="7"/>
  <c r="CI24" i="7"/>
  <c r="CK11" i="7"/>
  <c r="Q114" i="8"/>
  <c r="T68" i="9"/>
  <c r="CL18" i="7" l="1"/>
  <c r="CL11" i="7"/>
  <c r="CJ24" i="7"/>
  <c r="CK23" i="7"/>
  <c r="R114" i="8"/>
  <c r="U68" i="9"/>
  <c r="DF121" i="9" l="1"/>
  <c r="DD169" i="8" s="1"/>
  <c r="CK24" i="7"/>
  <c r="CL23" i="7"/>
  <c r="CM23" i="7"/>
  <c r="CM24" i="7" s="1"/>
  <c r="S114" i="8"/>
  <c r="V68" i="9"/>
  <c r="CL24" i="7" l="1"/>
  <c r="EL24" i="7" s="1"/>
  <c r="CN18" i="7"/>
  <c r="CN11" i="7"/>
  <c r="T114" i="8"/>
  <c r="W68" i="9"/>
  <c r="DG121" i="9" l="1"/>
  <c r="DE169" i="8" s="1"/>
  <c r="CO18" i="7"/>
  <c r="CO11" i="7"/>
  <c r="CN23" i="7"/>
  <c r="U114" i="8"/>
  <c r="X68" i="9"/>
  <c r="CP11" i="7" l="1"/>
  <c r="CP18" i="7"/>
  <c r="CO23" i="7"/>
  <c r="CN24" i="7"/>
  <c r="V114" i="8"/>
  <c r="Y68" i="9"/>
  <c r="DH121" i="9" l="1"/>
  <c r="DF169" i="8" s="1"/>
  <c r="CQ18" i="7"/>
  <c r="CQ11" i="7"/>
  <c r="CO24" i="7"/>
  <c r="CP23" i="7"/>
  <c r="W114" i="8"/>
  <c r="Z68" i="9"/>
  <c r="CP24" i="7" l="1"/>
  <c r="CQ23" i="7"/>
  <c r="CR11" i="7"/>
  <c r="CR18" i="7"/>
  <c r="X114" i="8"/>
  <c r="AA68" i="9"/>
  <c r="DI121" i="9" l="1"/>
  <c r="DG169" i="8" s="1"/>
  <c r="CS18" i="7"/>
  <c r="CS11" i="7"/>
  <c r="CR23" i="7"/>
  <c r="CQ24" i="7"/>
  <c r="Y114" i="8"/>
  <c r="AB68" i="9"/>
  <c r="CR24" i="7" l="1"/>
  <c r="CS23" i="7"/>
  <c r="CT18" i="7"/>
  <c r="CT11" i="7"/>
  <c r="Z114" i="8"/>
  <c r="AC68" i="9"/>
  <c r="DJ121" i="9" l="1"/>
  <c r="DH169" i="8" s="1"/>
  <c r="CU18" i="7"/>
  <c r="CS24" i="7"/>
  <c r="CT23" i="7"/>
  <c r="CU11" i="7"/>
  <c r="AA114" i="8"/>
  <c r="AD68" i="9"/>
  <c r="CU23" i="7" l="1"/>
  <c r="CT24" i="7"/>
  <c r="CV11" i="7"/>
  <c r="CV18" i="7"/>
  <c r="AB114" i="8"/>
  <c r="AE68" i="9"/>
  <c r="DK121" i="9" l="1"/>
  <c r="DI169" i="8" s="1"/>
  <c r="CW11" i="7"/>
  <c r="CV23" i="7"/>
  <c r="CU24" i="7"/>
  <c r="CW18" i="7"/>
  <c r="AC114" i="8"/>
  <c r="AF68" i="9"/>
  <c r="CX18" i="7" l="1"/>
  <c r="CW23" i="7"/>
  <c r="CV24" i="7"/>
  <c r="CX11" i="7"/>
  <c r="AD114" i="8"/>
  <c r="AG68" i="9"/>
  <c r="DL121" i="9" l="1"/>
  <c r="DJ169" i="8" s="1"/>
  <c r="CW24" i="7"/>
  <c r="CX23" i="7"/>
  <c r="CY23" i="7"/>
  <c r="CY24" i="7" s="1"/>
  <c r="AH68" i="9"/>
  <c r="AE114" i="8"/>
  <c r="CX24" i="7" l="1"/>
  <c r="EM24" i="7" s="1"/>
  <c r="CZ18" i="7"/>
  <c r="CZ11" i="7"/>
  <c r="AF114" i="8"/>
  <c r="AI68" i="9"/>
  <c r="DE51" i="8" l="1"/>
  <c r="DB51" i="8"/>
  <c r="DD51" i="8"/>
  <c r="DF51" i="8"/>
  <c r="DG51" i="8"/>
  <c r="CZ51" i="8"/>
  <c r="CY51" i="8"/>
  <c r="DH51" i="8"/>
  <c r="DA51" i="8"/>
  <c r="DC51" i="8"/>
  <c r="DM121" i="9"/>
  <c r="DK169" i="8" s="1"/>
  <c r="DA11" i="7"/>
  <c r="DA18" i="7"/>
  <c r="CZ23" i="7"/>
  <c r="AG114" i="8"/>
  <c r="AJ68" i="9"/>
  <c r="DI51" i="8" l="1"/>
  <c r="DB18" i="7"/>
  <c r="DB11" i="7"/>
  <c r="CZ24" i="7"/>
  <c r="DA23" i="7"/>
  <c r="AH114" i="8"/>
  <c r="AK68" i="9"/>
  <c r="DN121" i="9" l="1"/>
  <c r="DL169" i="8" s="1"/>
  <c r="DC18" i="7"/>
  <c r="DA24" i="7"/>
  <c r="DB23" i="7"/>
  <c r="DC11" i="7"/>
  <c r="AI114" i="8"/>
  <c r="AL68" i="9"/>
  <c r="DC23" i="7" l="1"/>
  <c r="DB24" i="7"/>
  <c r="DD11" i="7"/>
  <c r="DD18" i="7"/>
  <c r="AJ114" i="8"/>
  <c r="AM68" i="9"/>
  <c r="DO121" i="9" l="1"/>
  <c r="DM169" i="8" s="1"/>
  <c r="DE18" i="7"/>
  <c r="DE11" i="7"/>
  <c r="DD23" i="7"/>
  <c r="DC24" i="7"/>
  <c r="AK114" i="8"/>
  <c r="AN68" i="9"/>
  <c r="DE23" i="7" l="1"/>
  <c r="DD24" i="7"/>
  <c r="DF11" i="7"/>
  <c r="DF18" i="7"/>
  <c r="AL114" i="8"/>
  <c r="AO68" i="9"/>
  <c r="DP121" i="9" l="1"/>
  <c r="DN169" i="8" s="1"/>
  <c r="DG11" i="7"/>
  <c r="DF23" i="7"/>
  <c r="DE24" i="7"/>
  <c r="DG18" i="7"/>
  <c r="AM114" i="8"/>
  <c r="AP68" i="9"/>
  <c r="DH11" i="7" l="1"/>
  <c r="DG23" i="7"/>
  <c r="DF24" i="7"/>
  <c r="DH18" i="7"/>
  <c r="AN114" i="8"/>
  <c r="AQ68" i="9"/>
  <c r="DQ121" i="9" l="1"/>
  <c r="DO169" i="8" s="1"/>
  <c r="DI18" i="7"/>
  <c r="DG24" i="7"/>
  <c r="DH23" i="7"/>
  <c r="DI11" i="7"/>
  <c r="AO114" i="8"/>
  <c r="AR68" i="9"/>
  <c r="DJ11" i="7" l="1"/>
  <c r="DH24" i="7"/>
  <c r="DI23" i="7"/>
  <c r="DJ18" i="7"/>
  <c r="AP114" i="8"/>
  <c r="AS68" i="9"/>
  <c r="DR121" i="9" l="1"/>
  <c r="DP169" i="8" s="1"/>
  <c r="DJ23" i="7"/>
  <c r="DI24" i="7"/>
  <c r="DK23" i="7"/>
  <c r="DK24" i="7" s="1"/>
  <c r="AQ114" i="8"/>
  <c r="AT68" i="9"/>
  <c r="DL11" i="7" l="1"/>
  <c r="DL18" i="7"/>
  <c r="DJ24" i="7"/>
  <c r="EN24" i="7" s="1"/>
  <c r="AU68" i="9"/>
  <c r="AR114" i="8"/>
  <c r="DS121" i="9" l="1"/>
  <c r="DQ169" i="8" s="1"/>
  <c r="DM11" i="7"/>
  <c r="DL23" i="7"/>
  <c r="DM18" i="7"/>
  <c r="AS114" i="8"/>
  <c r="AV68" i="9"/>
  <c r="DN18" i="7" l="1"/>
  <c r="DM23" i="7"/>
  <c r="DL24" i="7"/>
  <c r="DN11" i="7"/>
  <c r="AT114" i="8"/>
  <c r="AW68" i="9"/>
  <c r="DT121" i="9" l="1"/>
  <c r="DR169" i="8" s="1"/>
  <c r="DO18" i="7"/>
  <c r="DN23" i="7"/>
  <c r="DM24" i="7"/>
  <c r="DO11" i="7"/>
  <c r="AU114" i="8"/>
  <c r="AX68" i="9"/>
  <c r="DP11" i="7" l="1"/>
  <c r="DP18" i="7"/>
  <c r="DO23" i="7"/>
  <c r="DN24" i="7"/>
  <c r="AV114" i="8"/>
  <c r="AY68" i="9"/>
  <c r="DU121" i="9" l="1"/>
  <c r="DS169" i="8" s="1"/>
  <c r="DP23" i="7"/>
  <c r="DO24" i="7"/>
  <c r="DQ11" i="7"/>
  <c r="DQ18" i="7"/>
  <c r="AW114" i="8"/>
  <c r="AZ68" i="9"/>
  <c r="DR11" i="7" l="1"/>
  <c r="DR18" i="7"/>
  <c r="DP24" i="7"/>
  <c r="DQ23" i="7"/>
  <c r="AX114" i="8"/>
  <c r="BA68" i="9"/>
  <c r="DV121" i="9" l="1"/>
  <c r="DT169" i="8" s="1"/>
  <c r="DQ24" i="7"/>
  <c r="DR23" i="7"/>
  <c r="DS18" i="7"/>
  <c r="DS11" i="7"/>
  <c r="AY114" i="8"/>
  <c r="BB68" i="9"/>
  <c r="DT18" i="7" l="1"/>
  <c r="DT11" i="7"/>
  <c r="DR24" i="7"/>
  <c r="DS23" i="7"/>
  <c r="AZ114" i="8"/>
  <c r="BC68" i="9"/>
  <c r="DW121" i="9" l="1"/>
  <c r="DU169" i="8" s="1"/>
  <c r="DU11" i="7"/>
  <c r="DU18" i="7"/>
  <c r="DT23" i="7"/>
  <c r="DS24" i="7"/>
  <c r="BA114" i="8"/>
  <c r="BD68" i="9"/>
  <c r="DV18" i="7" l="1"/>
  <c r="DU23" i="7"/>
  <c r="DT24" i="7"/>
  <c r="DV11" i="7"/>
  <c r="BB114" i="8"/>
  <c r="BE68" i="9"/>
  <c r="DU24" i="7" l="1"/>
  <c r="DV23" i="7"/>
  <c r="DV24" i="7" s="1"/>
  <c r="BC114" i="8"/>
  <c r="BF68" i="9"/>
  <c r="DO51" i="8" l="1"/>
  <c r="DK51" i="8"/>
  <c r="DS51" i="8"/>
  <c r="DN51" i="8"/>
  <c r="EO24" i="7"/>
  <c r="EP24" i="7" s="1"/>
  <c r="BD114" i="8"/>
  <c r="BG68" i="9"/>
  <c r="DM51" i="8" l="1"/>
  <c r="DL51" i="8"/>
  <c r="DT51" i="8"/>
  <c r="DP51" i="8"/>
  <c r="DJ51" i="8"/>
  <c r="DR51" i="8"/>
  <c r="BE114" i="8"/>
  <c r="BH68" i="9"/>
  <c r="BF114" i="8" l="1"/>
  <c r="BI68" i="9"/>
  <c r="BG114" i="8" l="1"/>
  <c r="BJ68" i="9"/>
  <c r="BH114" i="8" l="1"/>
  <c r="BK68" i="9"/>
  <c r="BI114" i="8" l="1"/>
  <c r="BL68" i="9"/>
  <c r="BJ114" i="8" l="1"/>
  <c r="BM68" i="9"/>
  <c r="BK114" i="8" l="1"/>
  <c r="BN68" i="9"/>
  <c r="BO68" i="9" l="1"/>
  <c r="BL114" i="8"/>
  <c r="BP68" i="9" l="1"/>
  <c r="BM114" i="8"/>
  <c r="BQ68" i="9" l="1"/>
  <c r="BN114" i="8"/>
  <c r="BO114" i="8" l="1"/>
  <c r="BR68" i="9"/>
  <c r="BS68" i="9" l="1"/>
  <c r="BP114" i="8"/>
  <c r="BT68" i="9" l="1"/>
  <c r="BQ114" i="8"/>
  <c r="BR114" i="8" l="1"/>
  <c r="BU68" i="9"/>
  <c r="BV68" i="9" l="1"/>
  <c r="BS114" i="8"/>
  <c r="BW68" i="9" l="1"/>
  <c r="BT114" i="8"/>
  <c r="BU114" i="8" l="1"/>
  <c r="BX68" i="9"/>
  <c r="BY68" i="9" l="1"/>
  <c r="BV114" i="8"/>
  <c r="BW114" i="8" l="1"/>
  <c r="BZ68" i="9"/>
  <c r="BX114" i="8" l="1"/>
  <c r="CA68" i="9"/>
  <c r="BY114" i="8" l="1"/>
  <c r="CB68" i="9"/>
  <c r="Z51" i="8"/>
  <c r="R51" i="8"/>
  <c r="O51" i="8"/>
  <c r="G51" i="8"/>
  <c r="F51" i="8"/>
  <c r="L51" i="8"/>
  <c r="J51" i="8"/>
  <c r="Q51" i="8"/>
  <c r="I51" i="8"/>
  <c r="P51" i="8"/>
  <c r="H51" i="8"/>
  <c r="N51" i="8"/>
  <c r="M51" i="8"/>
  <c r="K51" i="8"/>
  <c r="AA51" i="8"/>
  <c r="AM51" i="8"/>
  <c r="AE51" i="8"/>
  <c r="AL51" i="8"/>
  <c r="AK51" i="8"/>
  <c r="AJ51" i="8"/>
  <c r="AH51" i="8"/>
  <c r="AO51" i="8"/>
  <c r="AG51" i="8"/>
  <c r="AI51" i="8"/>
  <c r="AN51" i="8"/>
  <c r="AF51" i="8"/>
  <c r="T51" i="8"/>
  <c r="X51" i="8"/>
  <c r="AB51" i="8"/>
  <c r="AC51" i="8"/>
  <c r="S51" i="8"/>
  <c r="U51" i="8"/>
  <c r="V51" i="8"/>
  <c r="W51" i="8"/>
  <c r="BZ114" i="8" l="1"/>
  <c r="CC68" i="9"/>
  <c r="AD51" i="8"/>
  <c r="ED51" i="8" s="1"/>
  <c r="EA51" i="8"/>
  <c r="DY51" i="8"/>
  <c r="DZ51" i="8"/>
  <c r="DX51" i="8"/>
  <c r="CD68" i="9" l="1"/>
  <c r="CA114" i="8"/>
  <c r="CE68" i="9" l="1"/>
  <c r="CB114" i="8"/>
  <c r="CF68" i="9" l="1"/>
  <c r="CC114" i="8"/>
  <c r="CD114" i="8" l="1"/>
  <c r="CG68" i="9"/>
  <c r="CE114" i="8" l="1"/>
  <c r="CH68" i="9"/>
  <c r="CI68" i="9" l="1"/>
  <c r="CF114" i="8"/>
  <c r="CG114" i="8" l="1"/>
  <c r="CJ68" i="9"/>
  <c r="CH114" i="8" l="1"/>
  <c r="CK68" i="9"/>
  <c r="CL68" i="9" l="1"/>
  <c r="CI114" i="8"/>
  <c r="CJ114" i="8" l="1"/>
  <c r="CM68" i="9"/>
  <c r="CN68" i="9" l="1"/>
  <c r="CK114" i="8"/>
  <c r="CL114" i="8" l="1"/>
  <c r="CO68" i="9"/>
  <c r="CP68" i="9" l="1"/>
  <c r="CM114" i="8"/>
  <c r="CN114" i="8" l="1"/>
  <c r="CQ68" i="9"/>
  <c r="CR68" i="9" l="1"/>
  <c r="CO114" i="8"/>
  <c r="CP114" i="8" l="1"/>
  <c r="CS68" i="9"/>
  <c r="CT68" i="9" l="1"/>
  <c r="CQ114" i="8"/>
  <c r="CU68" i="9" l="1"/>
  <c r="CR114" i="8"/>
  <c r="CV68" i="9" l="1"/>
  <c r="CS114" i="8"/>
  <c r="CW68" i="9" l="1"/>
  <c r="CT114" i="8"/>
  <c r="CX68" i="9" l="1"/>
  <c r="CU114" i="8"/>
  <c r="CV114" i="8" l="1"/>
  <c r="CY68" i="9"/>
  <c r="CW114" i="8" l="1"/>
  <c r="CZ68" i="9"/>
  <c r="CX114" i="8" l="1"/>
  <c r="DA68" i="9"/>
  <c r="CY114" i="8" l="1"/>
  <c r="DB68" i="9"/>
  <c r="CZ114" i="8" l="1"/>
  <c r="DC68" i="9"/>
  <c r="DD68" i="9" l="1"/>
  <c r="DA114" i="8"/>
  <c r="DB114" i="8" l="1"/>
  <c r="DE68" i="9"/>
  <c r="DC114" i="8" l="1"/>
  <c r="DF68" i="9"/>
  <c r="DD114" i="8" l="1"/>
  <c r="DG68" i="9"/>
  <c r="DH68" i="9" l="1"/>
  <c r="DE114" i="8"/>
  <c r="DI68" i="9" l="1"/>
  <c r="DF114" i="8"/>
  <c r="DJ68" i="9" l="1"/>
  <c r="DG114" i="8"/>
  <c r="DK68" i="9" l="1"/>
  <c r="DH114" i="8"/>
  <c r="DL68" i="9" l="1"/>
  <c r="DI114" i="8"/>
  <c r="DJ114" i="8" l="1"/>
  <c r="DM68" i="9"/>
  <c r="DK114" i="8" l="1"/>
  <c r="DN68" i="9"/>
  <c r="DL114" i="8" l="1"/>
  <c r="DO68" i="9"/>
  <c r="DP68" i="9" l="1"/>
  <c r="DM114" i="8"/>
  <c r="DN114" i="8" l="1"/>
  <c r="DQ68" i="9"/>
  <c r="DO114" i="8" l="1"/>
  <c r="DR68" i="9"/>
  <c r="DP114" i="8" l="1"/>
  <c r="DS68" i="9"/>
  <c r="DQ114" i="8" l="1"/>
  <c r="DT68" i="9"/>
  <c r="DR114" i="8" l="1"/>
  <c r="DU68" i="9"/>
  <c r="DV68" i="9" l="1"/>
  <c r="DS114" i="8"/>
  <c r="DW68" i="9" l="1"/>
  <c r="DT114" i="8"/>
  <c r="DU114" i="8" l="1"/>
  <c r="Y51" i="8" l="1"/>
  <c r="EC51" i="8" s="1"/>
  <c r="AP51" i="8"/>
  <c r="AQ51" i="8"/>
  <c r="AR51" i="8"/>
  <c r="AS51" i="8"/>
  <c r="AT51" i="8"/>
  <c r="AU51" i="8"/>
  <c r="AV51" i="8"/>
  <c r="AX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R51" i="8"/>
  <c r="BS51" i="8"/>
  <c r="BT51" i="8"/>
  <c r="BU51" i="8"/>
  <c r="BV51" i="8"/>
  <c r="BX51" i="8"/>
  <c r="CK51" i="8"/>
  <c r="EK51" i="8" s="1"/>
  <c r="CP51" i="8"/>
  <c r="CW51" i="8"/>
  <c r="CX51" i="8"/>
  <c r="EM51" i="8" s="1"/>
  <c r="DQ51" i="8"/>
  <c r="DU51" i="8"/>
  <c r="EN51" i="8" l="1"/>
  <c r="EJ51" i="8"/>
  <c r="EL51" i="8"/>
  <c r="EF51" i="8"/>
  <c r="EG51" i="8"/>
  <c r="E51" i="8" l="1"/>
  <c r="EB51" i="8" l="1"/>
  <c r="DW51" i="8"/>
  <c r="E31" i="2" l="1"/>
  <c r="EE51" i="8"/>
  <c r="EH51" i="8" l="1"/>
  <c r="C31" i="2"/>
  <c r="P31" i="2" s="1"/>
  <c r="EO51" i="8" l="1"/>
  <c r="EQ51" i="8" s="1"/>
  <c r="AC12" i="47" l="1"/>
  <c r="AC15" i="47"/>
  <c r="AC14" i="47"/>
  <c r="AD12" i="47" l="1"/>
  <c r="F35" i="7"/>
  <c r="G35" i="7" s="1"/>
  <c r="F47" i="7"/>
  <c r="AD15" i="47"/>
  <c r="F43" i="7"/>
  <c r="AD14" i="47"/>
  <c r="G43" i="7" l="1"/>
  <c r="H43" i="7" s="1"/>
  <c r="S35" i="7"/>
  <c r="T35" i="7" s="1"/>
  <c r="AE12" i="47"/>
  <c r="G47" i="7"/>
  <c r="S47" i="7"/>
  <c r="T47" i="7" s="1"/>
  <c r="AE15" i="47"/>
  <c r="H35" i="7"/>
  <c r="AE14" i="47"/>
  <c r="S43" i="7"/>
  <c r="AF12" i="47" l="1"/>
  <c r="AE35" i="7"/>
  <c r="AF35" i="7" s="1"/>
  <c r="H47" i="7"/>
  <c r="I47" i="7" s="1"/>
  <c r="J47" i="7" s="1"/>
  <c r="AE47" i="7"/>
  <c r="AF47" i="7" s="1"/>
  <c r="AF15" i="47"/>
  <c r="I35" i="7"/>
  <c r="U35" i="7"/>
  <c r="AE43" i="7"/>
  <c r="AF14" i="47"/>
  <c r="T43" i="7"/>
  <c r="U47" i="7"/>
  <c r="I43" i="7"/>
  <c r="AQ35" i="7" l="1"/>
  <c r="AR35" i="7" s="1"/>
  <c r="AG12" i="47"/>
  <c r="AG15" i="47"/>
  <c r="AQ47" i="7"/>
  <c r="AR47" i="7" s="1"/>
  <c r="AS47" i="7" s="1"/>
  <c r="J35" i="7"/>
  <c r="AG47" i="7"/>
  <c r="V35" i="7"/>
  <c r="AG35" i="7"/>
  <c r="AF43" i="7"/>
  <c r="AG14" i="47"/>
  <c r="AQ43" i="7"/>
  <c r="U43" i="7"/>
  <c r="V47" i="7"/>
  <c r="K47" i="7"/>
  <c r="J43" i="7"/>
  <c r="BC35" i="7" l="1"/>
  <c r="BD35" i="7" s="1"/>
  <c r="BE35" i="7" s="1"/>
  <c r="AH12" i="47"/>
  <c r="BC47" i="7"/>
  <c r="BD47" i="7" s="1"/>
  <c r="BE47" i="7" s="1"/>
  <c r="AH15" i="47"/>
  <c r="K35" i="7"/>
  <c r="AS35" i="7"/>
  <c r="AH47" i="7"/>
  <c r="AI47" i="7" s="1"/>
  <c r="W35" i="7"/>
  <c r="AH35" i="7"/>
  <c r="AG43" i="7"/>
  <c r="AH14" i="47"/>
  <c r="BC43" i="7"/>
  <c r="AR43" i="7"/>
  <c r="V43" i="7"/>
  <c r="W47" i="7"/>
  <c r="L47" i="7"/>
  <c r="AT47" i="7"/>
  <c r="K43" i="7"/>
  <c r="AI12" i="47" l="1"/>
  <c r="BO35" i="7"/>
  <c r="BP35" i="7" s="1"/>
  <c r="BQ35" i="7" s="1"/>
  <c r="AI15" i="47"/>
  <c r="BO47" i="7"/>
  <c r="BP47" i="7" s="1"/>
  <c r="BQ47" i="7" s="1"/>
  <c r="L35" i="7"/>
  <c r="AT35" i="7"/>
  <c r="AU35" i="7" s="1"/>
  <c r="X35" i="7"/>
  <c r="AI35" i="7"/>
  <c r="BF35" i="7"/>
  <c r="AH43" i="7"/>
  <c r="BO43" i="7"/>
  <c r="AI14" i="47"/>
  <c r="BD43" i="7"/>
  <c r="AS43" i="7"/>
  <c r="W43" i="7"/>
  <c r="X47" i="7"/>
  <c r="M47" i="7"/>
  <c r="AJ47" i="7"/>
  <c r="AU47" i="7"/>
  <c r="BF47" i="7"/>
  <c r="L43" i="7"/>
  <c r="CA35" i="7" l="1"/>
  <c r="CB35" i="7" s="1"/>
  <c r="CC35" i="7" s="1"/>
  <c r="AJ12" i="47"/>
  <c r="CA47" i="7"/>
  <c r="CB47" i="7" s="1"/>
  <c r="CC47" i="7" s="1"/>
  <c r="AJ15" i="47"/>
  <c r="M35" i="7"/>
  <c r="Y35" i="7"/>
  <c r="AJ35" i="7"/>
  <c r="BR35" i="7"/>
  <c r="BG35" i="7"/>
  <c r="AV35" i="7"/>
  <c r="AI43" i="7"/>
  <c r="BP43" i="7"/>
  <c r="AJ14" i="47"/>
  <c r="CA43" i="7"/>
  <c r="BE43" i="7"/>
  <c r="AT43" i="7"/>
  <c r="X43" i="7"/>
  <c r="Y47" i="7"/>
  <c r="N47" i="7"/>
  <c r="AK47" i="7"/>
  <c r="AV47" i="7"/>
  <c r="BG47" i="7"/>
  <c r="BR47" i="7"/>
  <c r="M43" i="7"/>
  <c r="CM35" i="7" l="1"/>
  <c r="CN35" i="7" s="1"/>
  <c r="CO35" i="7" s="1"/>
  <c r="AK12" i="47"/>
  <c r="AK15" i="47"/>
  <c r="CM47" i="7"/>
  <c r="CN47" i="7" s="1"/>
  <c r="CO47" i="7" s="1"/>
  <c r="N35" i="7"/>
  <c r="Z35" i="7"/>
  <c r="AK35" i="7"/>
  <c r="CD35" i="7"/>
  <c r="BS35" i="7"/>
  <c r="BH35" i="7"/>
  <c r="AW35" i="7"/>
  <c r="AJ43" i="7"/>
  <c r="BQ43" i="7"/>
  <c r="AK14" i="47"/>
  <c r="CM43" i="7"/>
  <c r="CB43" i="7"/>
  <c r="BF43" i="7"/>
  <c r="AU43" i="7"/>
  <c r="Y43" i="7"/>
  <c r="Z47" i="7"/>
  <c r="O47" i="7"/>
  <c r="AL47" i="7"/>
  <c r="AW47" i="7"/>
  <c r="BH47" i="7"/>
  <c r="BS47" i="7"/>
  <c r="CD47" i="7"/>
  <c r="N43" i="7"/>
  <c r="AL12" i="47" l="1"/>
  <c r="DK35" i="7" s="1"/>
  <c r="DL35" i="7" s="1"/>
  <c r="DM35" i="7" s="1"/>
  <c r="CY35" i="7"/>
  <c r="CZ35" i="7" s="1"/>
  <c r="DA35" i="7" s="1"/>
  <c r="CY47" i="7"/>
  <c r="CZ47" i="7" s="1"/>
  <c r="DA47" i="7" s="1"/>
  <c r="AL15" i="47"/>
  <c r="DK47" i="7" s="1"/>
  <c r="DL47" i="7" s="1"/>
  <c r="DM47" i="7" s="1"/>
  <c r="O35" i="7"/>
  <c r="AA35" i="7"/>
  <c r="AL35" i="7"/>
  <c r="CE35" i="7"/>
  <c r="CP35" i="7"/>
  <c r="BT35" i="7"/>
  <c r="BI35" i="7"/>
  <c r="AX35" i="7"/>
  <c r="AK43" i="7"/>
  <c r="BR43" i="7"/>
  <c r="AL14" i="47"/>
  <c r="DK43" i="7" s="1"/>
  <c r="CY43" i="7"/>
  <c r="CN43" i="7"/>
  <c r="CC43" i="7"/>
  <c r="BG43" i="7"/>
  <c r="AV43" i="7"/>
  <c r="Z43" i="7"/>
  <c r="AA47" i="7"/>
  <c r="P47" i="7"/>
  <c r="AM47" i="7"/>
  <c r="AX47" i="7"/>
  <c r="BI47" i="7"/>
  <c r="BT47" i="7"/>
  <c r="CE47" i="7"/>
  <c r="CP47" i="7"/>
  <c r="O43" i="7"/>
  <c r="P35" i="7" l="1"/>
  <c r="AB35" i="7"/>
  <c r="AM35" i="7"/>
  <c r="CF35" i="7"/>
  <c r="DB35" i="7"/>
  <c r="DN35" i="7"/>
  <c r="CQ35" i="7"/>
  <c r="BU35" i="7"/>
  <c r="BJ35" i="7"/>
  <c r="AY35" i="7"/>
  <c r="AL43" i="7"/>
  <c r="BS43" i="7"/>
  <c r="DL43" i="7"/>
  <c r="CZ43" i="7"/>
  <c r="CO43" i="7"/>
  <c r="CD43" i="7"/>
  <c r="BH43" i="7"/>
  <c r="AW43" i="7"/>
  <c r="AA43" i="7"/>
  <c r="AB47" i="7"/>
  <c r="Q47" i="7"/>
  <c r="AN47" i="7"/>
  <c r="AY47" i="7"/>
  <c r="BJ47" i="7"/>
  <c r="BU47" i="7"/>
  <c r="CF47" i="7"/>
  <c r="DB47" i="7"/>
  <c r="DN47" i="7"/>
  <c r="CQ47" i="7"/>
  <c r="P43" i="7"/>
  <c r="Q35" i="7" l="1"/>
  <c r="AC35" i="7"/>
  <c r="AN35" i="7"/>
  <c r="CG35" i="7"/>
  <c r="DC35" i="7"/>
  <c r="DO35" i="7"/>
  <c r="CR35" i="7"/>
  <c r="BV35" i="7"/>
  <c r="BK35" i="7"/>
  <c r="AZ35" i="7"/>
  <c r="AM43" i="7"/>
  <c r="BT43" i="7"/>
  <c r="DM43" i="7"/>
  <c r="DA43" i="7"/>
  <c r="CP43" i="7"/>
  <c r="CE43" i="7"/>
  <c r="BI43" i="7"/>
  <c r="AX43" i="7"/>
  <c r="AB43" i="7"/>
  <c r="AC47" i="7"/>
  <c r="R47" i="7"/>
  <c r="AO47" i="7"/>
  <c r="AZ47" i="7"/>
  <c r="BK47" i="7"/>
  <c r="BV47" i="7"/>
  <c r="CG47" i="7"/>
  <c r="DC47" i="7"/>
  <c r="DO47" i="7"/>
  <c r="CR47" i="7"/>
  <c r="Q43" i="7"/>
  <c r="R35" i="7" l="1"/>
  <c r="AD35" i="7"/>
  <c r="AO35" i="7"/>
  <c r="CH35" i="7"/>
  <c r="DD35" i="7"/>
  <c r="DP35" i="7"/>
  <c r="CS35" i="7"/>
  <c r="BW35" i="7"/>
  <c r="BL35" i="7"/>
  <c r="BA35" i="7"/>
  <c r="AN43" i="7"/>
  <c r="BU43" i="7"/>
  <c r="DN43" i="7"/>
  <c r="DB43" i="7"/>
  <c r="CQ43" i="7"/>
  <c r="CF43" i="7"/>
  <c r="BJ43" i="7"/>
  <c r="AY43" i="7"/>
  <c r="AC43" i="7"/>
  <c r="AD47" i="7"/>
  <c r="AP47" i="7"/>
  <c r="BA47" i="7"/>
  <c r="BL47" i="7"/>
  <c r="BW47" i="7"/>
  <c r="CH47" i="7"/>
  <c r="DD47" i="7"/>
  <c r="DP47" i="7"/>
  <c r="CS47" i="7"/>
  <c r="R43" i="7"/>
  <c r="AP35" i="7" l="1"/>
  <c r="CI35" i="7"/>
  <c r="DE35" i="7"/>
  <c r="DQ35" i="7"/>
  <c r="CT35" i="7"/>
  <c r="BX35" i="7"/>
  <c r="BM35" i="7"/>
  <c r="BB35" i="7"/>
  <c r="AO43" i="7"/>
  <c r="BV43" i="7"/>
  <c r="DO43" i="7"/>
  <c r="DC43" i="7"/>
  <c r="CR43" i="7"/>
  <c r="CG43" i="7"/>
  <c r="BK43" i="7"/>
  <c r="AZ43" i="7"/>
  <c r="AD43" i="7"/>
  <c r="BB47" i="7"/>
  <c r="BM47" i="7"/>
  <c r="BX47" i="7"/>
  <c r="CI47" i="7"/>
  <c r="DE47" i="7"/>
  <c r="DQ47" i="7"/>
  <c r="CT47" i="7"/>
  <c r="CJ35" i="7" l="1"/>
  <c r="DF35" i="7"/>
  <c r="DR35" i="7"/>
  <c r="CU35" i="7"/>
  <c r="BY35" i="7"/>
  <c r="BN35" i="7"/>
  <c r="AP43" i="7"/>
  <c r="BW43" i="7"/>
  <c r="DP43" i="7"/>
  <c r="DD43" i="7"/>
  <c r="CS43" i="7"/>
  <c r="CH43" i="7"/>
  <c r="BL43" i="7"/>
  <c r="BA43" i="7"/>
  <c r="BN47" i="7"/>
  <c r="BY47" i="7"/>
  <c r="CJ47" i="7"/>
  <c r="DF47" i="7"/>
  <c r="DR47" i="7"/>
  <c r="CU47" i="7"/>
  <c r="CK35" i="7" l="1"/>
  <c r="DG35" i="7"/>
  <c r="DS35" i="7"/>
  <c r="CV35" i="7"/>
  <c r="BZ35" i="7"/>
  <c r="BX43" i="7"/>
  <c r="DQ43" i="7"/>
  <c r="DE43" i="7"/>
  <c r="CT43" i="7"/>
  <c r="CI43" i="7"/>
  <c r="BM43" i="7"/>
  <c r="BB43" i="7"/>
  <c r="BZ47" i="7"/>
  <c r="CK47" i="7"/>
  <c r="DG47" i="7"/>
  <c r="DS47" i="7"/>
  <c r="CV47" i="7"/>
  <c r="CL35" i="7" l="1"/>
  <c r="DH35" i="7"/>
  <c r="DT35" i="7"/>
  <c r="CW35" i="7"/>
  <c r="BY43" i="7"/>
  <c r="DR43" i="7"/>
  <c r="DF43" i="7"/>
  <c r="CU43" i="7"/>
  <c r="CJ43" i="7"/>
  <c r="BN43" i="7"/>
  <c r="CL47" i="7"/>
  <c r="DH47" i="7"/>
  <c r="DT47" i="7"/>
  <c r="CW47" i="7"/>
  <c r="DI35" i="7" l="1"/>
  <c r="DU35" i="7"/>
  <c r="CX35" i="7"/>
  <c r="BZ43" i="7"/>
  <c r="DS43" i="7"/>
  <c r="DG43" i="7"/>
  <c r="CV43" i="7"/>
  <c r="CK43" i="7"/>
  <c r="DI47" i="7"/>
  <c r="DU47" i="7"/>
  <c r="CX47" i="7"/>
  <c r="DJ35" i="7" l="1"/>
  <c r="DV35" i="7"/>
  <c r="DT43" i="7"/>
  <c r="DH43" i="7"/>
  <c r="CW43" i="7"/>
  <c r="CL43" i="7"/>
  <c r="DJ47" i="7"/>
  <c r="DV47" i="7"/>
  <c r="DU43" i="7" l="1"/>
  <c r="DI43" i="7"/>
  <c r="CX43" i="7"/>
  <c r="DV43" i="7" l="1"/>
  <c r="DJ43" i="7"/>
  <c r="H69" i="7" l="1"/>
  <c r="G69" i="7"/>
  <c r="E69" i="7"/>
  <c r="D69" i="7"/>
  <c r="F69" i="7"/>
  <c r="C69" i="7"/>
  <c r="F190" i="66" l="1"/>
  <c r="G190" i="66" s="1"/>
  <c r="B5" i="8" l="1"/>
  <c r="E5" i="8" s="1"/>
  <c r="H65" i="7" l="1"/>
  <c r="H67" i="7" s="1"/>
  <c r="H68" i="7" s="1"/>
  <c r="H70" i="7" s="1"/>
  <c r="H72" i="7" s="1"/>
  <c r="H73" i="7" s="1"/>
  <c r="F65" i="7"/>
  <c r="F67" i="7" s="1"/>
  <c r="F68" i="7" s="1"/>
  <c r="F70" i="7" s="1"/>
  <c r="F72" i="7" s="1"/>
  <c r="F73" i="7" s="1"/>
  <c r="D65" i="7"/>
  <c r="D67" i="7" s="1"/>
  <c r="D68" i="7" s="1"/>
  <c r="D70" i="7" s="1"/>
  <c r="D72" i="7" s="1"/>
  <c r="D73" i="7" s="1"/>
  <c r="E65" i="7"/>
  <c r="E67" i="7" s="1"/>
  <c r="E68" i="7" s="1"/>
  <c r="E70" i="7" s="1"/>
  <c r="E72" i="7" s="1"/>
  <c r="E73" i="7" s="1"/>
  <c r="C65" i="7"/>
  <c r="C67" i="7" s="1"/>
  <c r="C68" i="7" s="1"/>
  <c r="C70" i="7" s="1"/>
  <c r="C72" i="7" s="1"/>
  <c r="C73" i="7" s="1"/>
  <c r="G65" i="7"/>
  <c r="G67" i="7" s="1"/>
  <c r="G68" i="7" s="1"/>
  <c r="G70" i="7" s="1"/>
  <c r="G72" i="7" s="1"/>
  <c r="G73" i="7" s="1"/>
  <c r="E163" i="8"/>
  <c r="H111" i="9"/>
  <c r="A74" i="7"/>
  <c r="I74" i="7" s="1"/>
  <c r="C11" i="47" s="1"/>
  <c r="AC16" i="47" s="1"/>
  <c r="AD16" i="47" s="1"/>
  <c r="AE16" i="47" s="1"/>
  <c r="AF16" i="47" s="1"/>
  <c r="AG16" i="47" s="1"/>
  <c r="AH16" i="47" s="1"/>
  <c r="AI16" i="47" s="1"/>
  <c r="AJ16" i="47" s="1"/>
  <c r="AK16" i="47" s="1"/>
  <c r="AL16" i="47" s="1"/>
  <c r="G120" i="9"/>
  <c r="G118" i="9"/>
  <c r="E33" i="8"/>
  <c r="F5" i="8"/>
  <c r="G74" i="7" l="1"/>
  <c r="DW33" i="8"/>
  <c r="F163" i="8"/>
  <c r="I111" i="9"/>
  <c r="E74" i="7"/>
  <c r="D74" i="7"/>
  <c r="C6" i="47" s="1"/>
  <c r="AC11" i="47" s="1"/>
  <c r="G121" i="9"/>
  <c r="E169" i="8" s="1"/>
  <c r="C74" i="7"/>
  <c r="C5" i="47" s="1"/>
  <c r="AC10" i="47" s="1"/>
  <c r="F74" i="7"/>
  <c r="C8" i="47" s="1"/>
  <c r="AC13" i="47" s="1"/>
  <c r="G5" i="8"/>
  <c r="H74" i="7"/>
  <c r="F39" i="7" l="1"/>
  <c r="AD13" i="47"/>
  <c r="F27" i="7"/>
  <c r="AD10" i="47"/>
  <c r="F31" i="7"/>
  <c r="AD11" i="47"/>
  <c r="J111" i="9"/>
  <c r="G163" i="8"/>
  <c r="H5" i="8"/>
  <c r="S39" i="7" l="1"/>
  <c r="AE13" i="47"/>
  <c r="G39" i="7"/>
  <c r="AE10" i="47"/>
  <c r="S27" i="7"/>
  <c r="G27" i="7"/>
  <c r="S31" i="7"/>
  <c r="AE11" i="47"/>
  <c r="G31" i="7"/>
  <c r="I5" i="8"/>
  <c r="K111" i="9"/>
  <c r="H163" i="8"/>
  <c r="H39" i="7" l="1"/>
  <c r="AF13" i="47"/>
  <c r="AE39" i="7"/>
  <c r="T39" i="7"/>
  <c r="H27" i="7"/>
  <c r="T27" i="7"/>
  <c r="AF10" i="47"/>
  <c r="AE27" i="7"/>
  <c r="H31" i="7"/>
  <c r="AF11" i="47"/>
  <c r="AE31" i="7"/>
  <c r="T31" i="7"/>
  <c r="J5" i="8"/>
  <c r="L111" i="9"/>
  <c r="I163" i="8"/>
  <c r="U39" i="7" l="1"/>
  <c r="AF39" i="7"/>
  <c r="AG13" i="47"/>
  <c r="AQ39" i="7"/>
  <c r="I39" i="7"/>
  <c r="AF27" i="7"/>
  <c r="U27" i="7"/>
  <c r="AG10" i="47"/>
  <c r="AQ27" i="7"/>
  <c r="I27" i="7"/>
  <c r="U31" i="7"/>
  <c r="I31" i="7"/>
  <c r="AG11" i="47"/>
  <c r="AQ31" i="7"/>
  <c r="AF31" i="7"/>
  <c r="M111" i="9"/>
  <c r="J163" i="8"/>
  <c r="K5" i="8"/>
  <c r="J39" i="7" l="1"/>
  <c r="BC39" i="7"/>
  <c r="AH13" i="47"/>
  <c r="AR39" i="7"/>
  <c r="AG39" i="7"/>
  <c r="V39" i="7"/>
  <c r="J27" i="7"/>
  <c r="AR27" i="7"/>
  <c r="AH10" i="47"/>
  <c r="BC27" i="7"/>
  <c r="V27" i="7"/>
  <c r="AG27" i="7"/>
  <c r="AR31" i="7"/>
  <c r="J31" i="7"/>
  <c r="AH11" i="47"/>
  <c r="BC31" i="7"/>
  <c r="AG31" i="7"/>
  <c r="V31" i="7"/>
  <c r="L5" i="8"/>
  <c r="K163" i="8"/>
  <c r="BO39" i="7" l="1"/>
  <c r="AI13" i="47"/>
  <c r="AS39" i="7"/>
  <c r="BD39" i="7"/>
  <c r="K39" i="7"/>
  <c r="W39" i="7"/>
  <c r="AH39" i="7"/>
  <c r="W27" i="7"/>
  <c r="BD27" i="7"/>
  <c r="BO27" i="7"/>
  <c r="AI10" i="47"/>
  <c r="AS27" i="7"/>
  <c r="K27" i="7"/>
  <c r="AH27" i="7"/>
  <c r="AH31" i="7"/>
  <c r="BO31" i="7"/>
  <c r="AI11" i="47"/>
  <c r="AS31" i="7"/>
  <c r="W31" i="7"/>
  <c r="BD31" i="7"/>
  <c r="K31" i="7"/>
  <c r="O111" i="9"/>
  <c r="L163" i="8"/>
  <c r="M5" i="8"/>
  <c r="AI39" i="7" l="1"/>
  <c r="X39" i="7"/>
  <c r="AT39" i="7"/>
  <c r="CA39" i="7"/>
  <c r="AJ13" i="47"/>
  <c r="L39" i="7"/>
  <c r="BE39" i="7"/>
  <c r="BP39" i="7"/>
  <c r="BP27" i="7"/>
  <c r="CA27" i="7"/>
  <c r="AJ10" i="47"/>
  <c r="AI27" i="7"/>
  <c r="L27" i="7"/>
  <c r="AT27" i="7"/>
  <c r="BE27" i="7"/>
  <c r="X27" i="7"/>
  <c r="AJ11" i="47"/>
  <c r="CA31" i="7"/>
  <c r="X31" i="7"/>
  <c r="AT31" i="7"/>
  <c r="BP31" i="7"/>
  <c r="L31" i="7"/>
  <c r="BE31" i="7"/>
  <c r="AI31" i="7"/>
  <c r="N5" i="8"/>
  <c r="P111" i="9"/>
  <c r="M163" i="8"/>
  <c r="CB39" i="7" l="1"/>
  <c r="M39" i="7"/>
  <c r="BQ39" i="7"/>
  <c r="AU39" i="7"/>
  <c r="AJ39" i="7"/>
  <c r="AK13" i="47"/>
  <c r="CM39" i="7"/>
  <c r="Y39" i="7"/>
  <c r="BF39" i="7"/>
  <c r="BQ27" i="7"/>
  <c r="M27" i="7"/>
  <c r="CB27" i="7"/>
  <c r="BF27" i="7"/>
  <c r="AJ27" i="7"/>
  <c r="CM27" i="7"/>
  <c r="AK10" i="47"/>
  <c r="Y27" i="7"/>
  <c r="AU27" i="7"/>
  <c r="AU31" i="7"/>
  <c r="Y31" i="7"/>
  <c r="BQ31" i="7"/>
  <c r="BF31" i="7"/>
  <c r="AJ31" i="7"/>
  <c r="CB31" i="7"/>
  <c r="M31" i="7"/>
  <c r="CM31" i="7"/>
  <c r="AK11" i="47"/>
  <c r="Q111" i="9"/>
  <c r="N163" i="8"/>
  <c r="O5" i="8"/>
  <c r="BR39" i="7" l="1"/>
  <c r="N39" i="7"/>
  <c r="AK39" i="7"/>
  <c r="BG39" i="7"/>
  <c r="AV39" i="7"/>
  <c r="Z39" i="7"/>
  <c r="CN39" i="7"/>
  <c r="CY39" i="7"/>
  <c r="AL13" i="47"/>
  <c r="DK39" i="7" s="1"/>
  <c r="CC39" i="7"/>
  <c r="AV27" i="7"/>
  <c r="CC27" i="7"/>
  <c r="AL10" i="47"/>
  <c r="DK27" i="7" s="1"/>
  <c r="CY27" i="7"/>
  <c r="N27" i="7"/>
  <c r="BG27" i="7"/>
  <c r="Z27" i="7"/>
  <c r="BR27" i="7"/>
  <c r="CN27" i="7"/>
  <c r="AK27" i="7"/>
  <c r="BR31" i="7"/>
  <c r="AL11" i="47"/>
  <c r="DK31" i="7" s="1"/>
  <c r="CY31" i="7"/>
  <c r="BG31" i="7"/>
  <c r="Z31" i="7"/>
  <c r="CN31" i="7"/>
  <c r="N31" i="7"/>
  <c r="CC31" i="7"/>
  <c r="AK31" i="7"/>
  <c r="AV31" i="7"/>
  <c r="P5" i="8"/>
  <c r="O163" i="8"/>
  <c r="R111" i="9"/>
  <c r="BH39" i="7" l="1"/>
  <c r="AA39" i="7"/>
  <c r="CD39" i="7"/>
  <c r="DL39" i="7"/>
  <c r="CZ39" i="7"/>
  <c r="CO39" i="7"/>
  <c r="AW39" i="7"/>
  <c r="AL39" i="7"/>
  <c r="O39" i="7"/>
  <c r="BS39" i="7"/>
  <c r="CZ27" i="7"/>
  <c r="CO27" i="7"/>
  <c r="BS27" i="7"/>
  <c r="DL27" i="7"/>
  <c r="AW27" i="7"/>
  <c r="O27" i="7"/>
  <c r="CD27" i="7"/>
  <c r="AA27" i="7"/>
  <c r="BH27" i="7"/>
  <c r="AL27" i="7"/>
  <c r="AW31" i="7"/>
  <c r="AA31" i="7"/>
  <c r="CZ31" i="7"/>
  <c r="O31" i="7"/>
  <c r="BH31" i="7"/>
  <c r="DL31" i="7"/>
  <c r="AL31" i="7"/>
  <c r="CO31" i="7"/>
  <c r="CD31" i="7"/>
  <c r="BS31" i="7"/>
  <c r="S111" i="9"/>
  <c r="P163" i="8"/>
  <c r="Q5" i="8"/>
  <c r="BT39" i="7" l="1"/>
  <c r="DM39" i="7"/>
  <c r="P39" i="7"/>
  <c r="CE39" i="7"/>
  <c r="AB39" i="7"/>
  <c r="CP39" i="7"/>
  <c r="AM39" i="7"/>
  <c r="AX39" i="7"/>
  <c r="DA39" i="7"/>
  <c r="BI39" i="7"/>
  <c r="AB27" i="7"/>
  <c r="DM27" i="7"/>
  <c r="BT27" i="7"/>
  <c r="CP27" i="7"/>
  <c r="CE27" i="7"/>
  <c r="DA27" i="7"/>
  <c r="AM27" i="7"/>
  <c r="P27" i="7"/>
  <c r="BI27" i="7"/>
  <c r="AX27" i="7"/>
  <c r="P31" i="7"/>
  <c r="DM31" i="7"/>
  <c r="DA31" i="7"/>
  <c r="CE31" i="7"/>
  <c r="AM31" i="7"/>
  <c r="BI31" i="7"/>
  <c r="AB31" i="7"/>
  <c r="BT31" i="7"/>
  <c r="CP31" i="7"/>
  <c r="AX31" i="7"/>
  <c r="Q163" i="8"/>
  <c r="R5" i="8"/>
  <c r="BJ39" i="7" l="1"/>
  <c r="DB39" i="7"/>
  <c r="AY39" i="7"/>
  <c r="AN39" i="7"/>
  <c r="DN39" i="7"/>
  <c r="AC39" i="7"/>
  <c r="CF39" i="7"/>
  <c r="Q39" i="7"/>
  <c r="CQ39" i="7"/>
  <c r="BU39" i="7"/>
  <c r="BU27" i="7"/>
  <c r="DN27" i="7"/>
  <c r="AY27" i="7"/>
  <c r="AN27" i="7"/>
  <c r="Q27" i="7"/>
  <c r="DB27" i="7"/>
  <c r="BJ27" i="7"/>
  <c r="CF27" i="7"/>
  <c r="AC27" i="7"/>
  <c r="CQ27" i="7"/>
  <c r="DB31" i="7"/>
  <c r="CQ31" i="7"/>
  <c r="AY31" i="7"/>
  <c r="BJ31" i="7"/>
  <c r="DN31" i="7"/>
  <c r="AC31" i="7"/>
  <c r="AN31" i="7"/>
  <c r="Q31" i="7"/>
  <c r="BU31" i="7"/>
  <c r="CF31" i="7"/>
  <c r="U111" i="9"/>
  <c r="R163" i="8"/>
  <c r="S5" i="8"/>
  <c r="BV39" i="7" l="1"/>
  <c r="CG39" i="7"/>
  <c r="DC39" i="7"/>
  <c r="DO39" i="7"/>
  <c r="AO39" i="7"/>
  <c r="CR39" i="7"/>
  <c r="AZ39" i="7"/>
  <c r="R39" i="7"/>
  <c r="AD39" i="7"/>
  <c r="BK39" i="7"/>
  <c r="AO27" i="7"/>
  <c r="AZ27" i="7"/>
  <c r="DO27" i="7"/>
  <c r="DC27" i="7"/>
  <c r="BV27" i="7"/>
  <c r="CG27" i="7"/>
  <c r="AD27" i="7"/>
  <c r="BK27" i="7"/>
  <c r="CR27" i="7"/>
  <c r="R27" i="7"/>
  <c r="BK31" i="7"/>
  <c r="AD31" i="7"/>
  <c r="AZ31" i="7"/>
  <c r="AO31" i="7"/>
  <c r="CG31" i="7"/>
  <c r="R31" i="7"/>
  <c r="BV31" i="7"/>
  <c r="CR31" i="7"/>
  <c r="DO31" i="7"/>
  <c r="DC31" i="7"/>
  <c r="T5" i="8"/>
  <c r="V111" i="9"/>
  <c r="S163" i="8"/>
  <c r="CS39" i="7" l="1"/>
  <c r="AP39" i="7"/>
  <c r="DP39" i="7"/>
  <c r="CH39" i="7"/>
  <c r="BA39" i="7"/>
  <c r="BL39" i="7"/>
  <c r="DD39" i="7"/>
  <c r="BW39" i="7"/>
  <c r="DD27" i="7"/>
  <c r="BL27" i="7"/>
  <c r="BW27" i="7"/>
  <c r="DP27" i="7"/>
  <c r="BA27" i="7"/>
  <c r="CH27" i="7"/>
  <c r="CS27" i="7"/>
  <c r="AP27" i="7"/>
  <c r="BW31" i="7"/>
  <c r="AP31" i="7"/>
  <c r="BL31" i="7"/>
  <c r="DD31" i="7"/>
  <c r="DP31" i="7"/>
  <c r="CS31" i="7"/>
  <c r="BA31" i="7"/>
  <c r="CH31" i="7"/>
  <c r="T163" i="8"/>
  <c r="W111" i="9"/>
  <c r="U5" i="8"/>
  <c r="CI39" i="7" l="1"/>
  <c r="BX39" i="7"/>
  <c r="DQ39" i="7"/>
  <c r="DE39" i="7"/>
  <c r="BM39" i="7"/>
  <c r="BB39" i="7"/>
  <c r="CT39" i="7"/>
  <c r="DQ27" i="7"/>
  <c r="BX27" i="7"/>
  <c r="CT27" i="7"/>
  <c r="CI27" i="7"/>
  <c r="BM27" i="7"/>
  <c r="BB27" i="7"/>
  <c r="DE27" i="7"/>
  <c r="BM31" i="7"/>
  <c r="CT31" i="7"/>
  <c r="DQ31" i="7"/>
  <c r="BB31" i="7"/>
  <c r="CI31" i="7"/>
  <c r="DE31" i="7"/>
  <c r="BX31" i="7"/>
  <c r="V5" i="8"/>
  <c r="X111" i="9"/>
  <c r="U163" i="8"/>
  <c r="BN39" i="7" l="1"/>
  <c r="DF39" i="7"/>
  <c r="DR39" i="7"/>
  <c r="CU39" i="7"/>
  <c r="BY39" i="7"/>
  <c r="CJ39" i="7"/>
  <c r="DF27" i="7"/>
  <c r="CJ27" i="7"/>
  <c r="BN27" i="7"/>
  <c r="CU27" i="7"/>
  <c r="BY27" i="7"/>
  <c r="DR27" i="7"/>
  <c r="DR31" i="7"/>
  <c r="DF31" i="7"/>
  <c r="BN31" i="7"/>
  <c r="BY31" i="7"/>
  <c r="CU31" i="7"/>
  <c r="CJ31" i="7"/>
  <c r="Y111" i="9"/>
  <c r="V163" i="8"/>
  <c r="W5" i="8"/>
  <c r="BZ39" i="7" l="1"/>
  <c r="CK39" i="7"/>
  <c r="DG39" i="7"/>
  <c r="CV39" i="7"/>
  <c r="DS39" i="7"/>
  <c r="CV27" i="7"/>
  <c r="CK27" i="7"/>
  <c r="DS27" i="7"/>
  <c r="DG27" i="7"/>
  <c r="BZ27" i="7"/>
  <c r="CV31" i="7"/>
  <c r="BZ31" i="7"/>
  <c r="CK31" i="7"/>
  <c r="DG31" i="7"/>
  <c r="DS31" i="7"/>
  <c r="X5" i="8"/>
  <c r="Z111" i="9"/>
  <c r="W163" i="8"/>
  <c r="CW39" i="7" l="1"/>
  <c r="CL39" i="7"/>
  <c r="DT39" i="7"/>
  <c r="DH39" i="7"/>
  <c r="DH27" i="7"/>
  <c r="DT27" i="7"/>
  <c r="CL27" i="7"/>
  <c r="CW27" i="7"/>
  <c r="CL31" i="7"/>
  <c r="CW31" i="7"/>
  <c r="DT31" i="7"/>
  <c r="DH31" i="7"/>
  <c r="Y5" i="8"/>
  <c r="AA111" i="9"/>
  <c r="X163" i="8"/>
  <c r="DU39" i="7" l="1"/>
  <c r="CX39" i="7"/>
  <c r="DI39" i="7"/>
  <c r="CX27" i="7"/>
  <c r="DU27" i="7"/>
  <c r="DI27" i="7"/>
  <c r="CX31" i="7"/>
  <c r="DI31" i="7"/>
  <c r="DU31" i="7"/>
  <c r="Z5" i="8"/>
  <c r="AB111" i="9"/>
  <c r="Y163" i="8"/>
  <c r="DJ39" i="7" l="1"/>
  <c r="DV39" i="7"/>
  <c r="DV27" i="7"/>
  <c r="DJ27" i="7"/>
  <c r="DV31" i="7"/>
  <c r="DJ31" i="7"/>
  <c r="AA5" i="8"/>
  <c r="AC111" i="9"/>
  <c r="Z163" i="8"/>
  <c r="AB5" i="8" l="1"/>
  <c r="AA163" i="8"/>
  <c r="AD111" i="9"/>
  <c r="AE111" i="9" l="1"/>
  <c r="AB163" i="8"/>
  <c r="AC5" i="8"/>
  <c r="AD5" i="8" l="1"/>
  <c r="AF111" i="9"/>
  <c r="AC163" i="8"/>
  <c r="AD163" i="8" l="1"/>
  <c r="AG111" i="9"/>
  <c r="AE5" i="8"/>
  <c r="AF5" i="8" l="1"/>
  <c r="AE163" i="8"/>
  <c r="AH111" i="9"/>
  <c r="AF163" i="8" l="1"/>
  <c r="AI111" i="9"/>
  <c r="AG5" i="8"/>
  <c r="AH5" i="8" l="1"/>
  <c r="AG163" i="8"/>
  <c r="AJ111" i="9"/>
  <c r="AI5" i="8" l="1"/>
  <c r="AH163" i="8"/>
  <c r="AK111" i="9"/>
  <c r="AL111" i="9" l="1"/>
  <c r="AI163" i="8"/>
  <c r="AJ5" i="8"/>
  <c r="AK5" i="8" l="1"/>
  <c r="AM111" i="9"/>
  <c r="AJ163" i="8"/>
  <c r="AN111" i="9" l="1"/>
  <c r="AK163" i="8"/>
  <c r="AL5" i="8"/>
  <c r="AO111" i="9" l="1"/>
  <c r="AL163" i="8"/>
  <c r="AM5" i="8"/>
  <c r="AM163" i="8" l="1"/>
  <c r="AP111" i="9"/>
  <c r="AN5" i="8"/>
  <c r="AO5" i="8" l="1"/>
  <c r="AQ111" i="9"/>
  <c r="AN163" i="8"/>
  <c r="AO163" i="8" l="1"/>
  <c r="AR111" i="9"/>
  <c r="AP5" i="8"/>
  <c r="AS111" i="9" l="1"/>
  <c r="AP163" i="8"/>
  <c r="AQ5" i="8"/>
  <c r="AR5" i="8" l="1"/>
  <c r="AT111" i="9"/>
  <c r="AQ163" i="8"/>
  <c r="AS5" i="8" l="1"/>
  <c r="AR163" i="8"/>
  <c r="AU111" i="9"/>
  <c r="AV111" i="9" l="1"/>
  <c r="AS163" i="8"/>
  <c r="AT5" i="8"/>
  <c r="AU5" i="8" l="1"/>
  <c r="AW111" i="9"/>
  <c r="AT163" i="8"/>
  <c r="AX111" i="9" l="1"/>
  <c r="AU163" i="8"/>
  <c r="AV5" i="8"/>
  <c r="AY111" i="9" l="1"/>
  <c r="AV163" i="8"/>
  <c r="AW5" i="8"/>
  <c r="AX5" i="8" l="1"/>
  <c r="AW163" i="8"/>
  <c r="AZ111" i="9"/>
  <c r="BA111" i="9" l="1"/>
  <c r="AX163" i="8"/>
  <c r="AY5" i="8"/>
  <c r="AZ5" i="8" l="1"/>
  <c r="BB111" i="9"/>
  <c r="AY163" i="8"/>
  <c r="AZ163" i="8" l="1"/>
  <c r="BC111" i="9"/>
  <c r="BA5" i="8"/>
  <c r="BB5" i="8" l="1"/>
  <c r="BD111" i="9"/>
  <c r="BA163" i="8"/>
  <c r="BB163" i="8" l="1"/>
  <c r="BE111" i="9"/>
  <c r="BC5" i="8"/>
  <c r="BD5" i="8" l="1"/>
  <c r="BC163" i="8"/>
  <c r="BF111" i="9"/>
  <c r="BE5" i="8" l="1"/>
  <c r="BG111" i="9"/>
  <c r="BD163" i="8"/>
  <c r="BH111" i="9" l="1"/>
  <c r="BE163" i="8"/>
  <c r="BF5" i="8"/>
  <c r="BI111" i="9" l="1"/>
  <c r="BF163" i="8"/>
  <c r="BG5" i="8"/>
  <c r="BJ111" i="9" l="1"/>
  <c r="BG163" i="8"/>
  <c r="BH5" i="8"/>
  <c r="BK111" i="9" l="1"/>
  <c r="BH163" i="8"/>
  <c r="BI5" i="8"/>
  <c r="BJ5" i="8" l="1"/>
  <c r="BI163" i="8"/>
  <c r="BL111" i="9"/>
  <c r="BK5" i="8" l="1"/>
  <c r="BM111" i="9"/>
  <c r="BJ163" i="8"/>
  <c r="BK163" i="8" l="1"/>
  <c r="BN111" i="9"/>
  <c r="BL5" i="8"/>
  <c r="BM5" i="8" l="1"/>
  <c r="BO111" i="9"/>
  <c r="BL163" i="8"/>
  <c r="BN5" i="8" l="1"/>
  <c r="BM163" i="8"/>
  <c r="BP111" i="9"/>
  <c r="BO5" i="8" l="1"/>
  <c r="BQ111" i="9"/>
  <c r="BN163" i="8"/>
  <c r="BR111" i="9" l="1"/>
  <c r="BO163" i="8"/>
  <c r="BP5" i="8"/>
  <c r="BQ5" i="8" l="1"/>
  <c r="BS111" i="9"/>
  <c r="BP163" i="8"/>
  <c r="BT111" i="9" l="1"/>
  <c r="BQ163" i="8"/>
  <c r="BR5" i="8"/>
  <c r="BS5" i="8" l="1"/>
  <c r="BR163" i="8"/>
  <c r="BU111" i="9"/>
  <c r="BV111" i="9" l="1"/>
  <c r="BS163" i="8"/>
  <c r="BT5" i="8"/>
  <c r="BU5" i="8" l="1"/>
  <c r="BW111" i="9"/>
  <c r="BT163" i="8"/>
  <c r="BX111" i="9" l="1"/>
  <c r="BU163" i="8"/>
  <c r="BV5" i="8"/>
  <c r="BV163" i="8" l="1"/>
  <c r="BY111" i="9"/>
  <c r="BW5" i="8"/>
  <c r="BX5" i="8" l="1"/>
  <c r="BZ111" i="9"/>
  <c r="BW163" i="8"/>
  <c r="BY5" i="8" l="1"/>
  <c r="CA111" i="9"/>
  <c r="BX163" i="8"/>
  <c r="BZ5" i="8" l="1"/>
  <c r="BY163" i="8"/>
  <c r="CB111" i="9"/>
  <c r="BZ163" i="8" l="1"/>
  <c r="CC111" i="9"/>
  <c r="CA5" i="8"/>
  <c r="CB5" i="8" l="1"/>
  <c r="CA163" i="8"/>
  <c r="CD111" i="9"/>
  <c r="CE111" i="9" l="1"/>
  <c r="CB163" i="8"/>
  <c r="CC5" i="8"/>
  <c r="CD5" i="8" l="1"/>
  <c r="CC163" i="8"/>
  <c r="CF111" i="9"/>
  <c r="CE5" i="8" l="1"/>
  <c r="CD163" i="8"/>
  <c r="CG111" i="9"/>
  <c r="CF5" i="8" l="1"/>
  <c r="CH111" i="9"/>
  <c r="CE163" i="8"/>
  <c r="CG5" i="8" l="1"/>
  <c r="CF163" i="8"/>
  <c r="CI111" i="9"/>
  <c r="CG163" i="8" l="1"/>
  <c r="CJ111" i="9"/>
  <c r="CH5" i="8"/>
  <c r="CH163" i="8" l="1"/>
  <c r="CK111" i="9"/>
  <c r="CI5" i="8"/>
  <c r="CJ5" i="8" l="1"/>
  <c r="CI163" i="8"/>
  <c r="CL111" i="9"/>
  <c r="CM111" i="9" l="1"/>
  <c r="CJ163" i="8"/>
  <c r="CK5" i="8"/>
  <c r="CL5" i="8" l="1"/>
  <c r="CK163" i="8"/>
  <c r="CN111" i="9"/>
  <c r="CL163" i="8" l="1"/>
  <c r="CO111" i="9"/>
  <c r="CM5" i="8"/>
  <c r="CP111" i="9" l="1"/>
  <c r="CM163" i="8"/>
  <c r="CN5" i="8"/>
  <c r="CN163" i="8" l="1"/>
  <c r="CQ111" i="9"/>
  <c r="CO5" i="8"/>
  <c r="CO163" i="8" l="1"/>
  <c r="CR111" i="9"/>
  <c r="CP5" i="8"/>
  <c r="CQ5" i="8" l="1"/>
  <c r="CS111" i="9"/>
  <c r="CP163" i="8"/>
  <c r="CT111" i="9" l="1"/>
  <c r="CQ163" i="8"/>
  <c r="CR5" i="8"/>
  <c r="CS5" i="8" l="1"/>
  <c r="CU111" i="9"/>
  <c r="CR163" i="8"/>
  <c r="CT5" i="8" l="1"/>
  <c r="CS163" i="8"/>
  <c r="CV111" i="9"/>
  <c r="CT163" i="8" l="1"/>
  <c r="CW111" i="9"/>
  <c r="CU5" i="8"/>
  <c r="CX111" i="9" l="1"/>
  <c r="CU163" i="8"/>
  <c r="CV5" i="8"/>
  <c r="CW5" i="8" l="1"/>
  <c r="CV163" i="8"/>
  <c r="CY111" i="9"/>
  <c r="CZ111" i="9" l="1"/>
  <c r="CW163" i="8"/>
  <c r="CX5" i="8"/>
  <c r="CY5" i="8" l="1"/>
  <c r="DA111" i="9"/>
  <c r="CX163" i="8"/>
  <c r="DB111" i="9" l="1"/>
  <c r="CY163" i="8"/>
  <c r="CZ5" i="8"/>
  <c r="DA5" i="8" l="1"/>
  <c r="DC111" i="9"/>
  <c r="CZ163" i="8"/>
  <c r="DA163" i="8" l="1"/>
  <c r="DD111" i="9"/>
  <c r="DB5" i="8"/>
  <c r="DC5" i="8" l="1"/>
  <c r="DE111" i="9"/>
  <c r="DB163" i="8"/>
  <c r="DF111" i="9" l="1"/>
  <c r="DC163" i="8"/>
  <c r="DD5" i="8"/>
  <c r="DE5" i="8" l="1"/>
  <c r="DG111" i="9"/>
  <c r="DD163" i="8"/>
  <c r="DE163" i="8" l="1"/>
  <c r="DH111" i="9"/>
  <c r="DF5" i="8"/>
  <c r="DG5" i="8" l="1"/>
  <c r="DI111" i="9"/>
  <c r="DF163" i="8"/>
  <c r="DG163" i="8" l="1"/>
  <c r="DJ111" i="9"/>
  <c r="DH5" i="8"/>
  <c r="DK111" i="9" l="1"/>
  <c r="DH163" i="8"/>
  <c r="DI5" i="8"/>
  <c r="DJ5" i="8" l="1"/>
  <c r="DL111" i="9"/>
  <c r="DI163" i="8"/>
  <c r="DM111" i="9" l="1"/>
  <c r="DJ163" i="8"/>
  <c r="DK5" i="8"/>
  <c r="DL5" i="8" l="1"/>
  <c r="DK163" i="8"/>
  <c r="DN111" i="9"/>
  <c r="DL163" i="8" l="1"/>
  <c r="DO111" i="9"/>
  <c r="DM5" i="8"/>
  <c r="DP111" i="9" l="1"/>
  <c r="DM163" i="8"/>
  <c r="DN5" i="8"/>
  <c r="DO5" i="8" l="1"/>
  <c r="DN163" i="8"/>
  <c r="DQ111" i="9"/>
  <c r="DR111" i="9" l="1"/>
  <c r="DO163" i="8"/>
  <c r="DP5" i="8"/>
  <c r="DQ5" i="8" l="1"/>
  <c r="DP163" i="8"/>
  <c r="DS111" i="9"/>
  <c r="DQ163" i="8" l="1"/>
  <c r="DT111" i="9"/>
  <c r="DR5" i="8"/>
  <c r="DS5" i="8" l="1"/>
  <c r="DU111" i="9"/>
  <c r="DR163" i="8"/>
  <c r="DV111" i="9" l="1"/>
  <c r="DS163" i="8"/>
  <c r="DT5" i="8"/>
  <c r="DU5" i="8" l="1"/>
  <c r="DT163" i="8"/>
  <c r="DW111" i="9"/>
  <c r="DU163" i="8" s="1"/>
  <c r="G81" i="7" l="1"/>
  <c r="T81" i="7" l="1"/>
  <c r="S82" i="7"/>
  <c r="H81" i="7"/>
  <c r="G82" i="7"/>
  <c r="AF81" i="7" l="1"/>
  <c r="AE82" i="7"/>
  <c r="I81" i="7"/>
  <c r="H82" i="7"/>
  <c r="U81" i="7"/>
  <c r="T82" i="7"/>
  <c r="AR81" i="7" l="1"/>
  <c r="AQ82" i="7"/>
  <c r="V81" i="7"/>
  <c r="U82" i="7"/>
  <c r="J81" i="7"/>
  <c r="I82" i="7"/>
  <c r="AG81" i="7"/>
  <c r="AF82" i="7"/>
  <c r="DY82" i="7" l="1"/>
  <c r="BD81" i="7"/>
  <c r="BC82" i="7"/>
  <c r="AH81" i="7"/>
  <c r="AG82" i="7"/>
  <c r="K81" i="7"/>
  <c r="J82" i="7"/>
  <c r="W81" i="7"/>
  <c r="V82" i="7"/>
  <c r="AS81" i="7"/>
  <c r="AR82" i="7"/>
  <c r="BP81" i="7" l="1"/>
  <c r="BO82" i="7"/>
  <c r="AT81" i="7"/>
  <c r="AS82" i="7"/>
  <c r="X81" i="7"/>
  <c r="W82" i="7"/>
  <c r="L81" i="7"/>
  <c r="K82" i="7"/>
  <c r="AI81" i="7"/>
  <c r="AH82" i="7"/>
  <c r="BE81" i="7"/>
  <c r="BD82" i="7"/>
  <c r="CB81" i="7" l="1"/>
  <c r="CA82" i="7"/>
  <c r="BF81" i="7"/>
  <c r="BE82" i="7"/>
  <c r="AJ81" i="7"/>
  <c r="AI82" i="7"/>
  <c r="M81" i="7"/>
  <c r="L82" i="7"/>
  <c r="Y81" i="7"/>
  <c r="X82" i="7"/>
  <c r="AU81" i="7"/>
  <c r="AT82" i="7"/>
  <c r="BQ81" i="7"/>
  <c r="BP82" i="7"/>
  <c r="DZ82" i="7" l="1"/>
  <c r="CN81" i="7"/>
  <c r="CM82" i="7"/>
  <c r="BR81" i="7"/>
  <c r="BQ82" i="7"/>
  <c r="AV81" i="7"/>
  <c r="AU82" i="7"/>
  <c r="Z81" i="7"/>
  <c r="Y82" i="7"/>
  <c r="N81" i="7"/>
  <c r="M82" i="7"/>
  <c r="AK81" i="7"/>
  <c r="AJ82" i="7"/>
  <c r="BG81" i="7"/>
  <c r="BF82" i="7"/>
  <c r="CC81" i="7"/>
  <c r="CB82" i="7"/>
  <c r="CZ81" i="7" l="1"/>
  <c r="CY82" i="7"/>
  <c r="CD81" i="7"/>
  <c r="CC82" i="7"/>
  <c r="BH81" i="7"/>
  <c r="BG82" i="7"/>
  <c r="AL81" i="7"/>
  <c r="AK82" i="7"/>
  <c r="O81" i="7"/>
  <c r="N82" i="7"/>
  <c r="AA81" i="7"/>
  <c r="Z82" i="7"/>
  <c r="AW81" i="7"/>
  <c r="AV82" i="7"/>
  <c r="BS81" i="7"/>
  <c r="BR82" i="7"/>
  <c r="CO81" i="7"/>
  <c r="CN82" i="7"/>
  <c r="CP81" i="7" l="1"/>
  <c r="CO82" i="7"/>
  <c r="BT81" i="7"/>
  <c r="BS82" i="7"/>
  <c r="AX81" i="7"/>
  <c r="AW82" i="7"/>
  <c r="AB81" i="7"/>
  <c r="AA82" i="7"/>
  <c r="P81" i="7"/>
  <c r="O82" i="7"/>
  <c r="AM81" i="7"/>
  <c r="AL82" i="7"/>
  <c r="BI81" i="7"/>
  <c r="BH82" i="7"/>
  <c r="CE81" i="7"/>
  <c r="CD82" i="7"/>
  <c r="DA81" i="7"/>
  <c r="CZ82" i="7"/>
  <c r="EA82" i="7" l="1"/>
  <c r="DB81" i="7"/>
  <c r="DA82" i="7"/>
  <c r="CF81" i="7"/>
  <c r="CE82" i="7"/>
  <c r="BJ81" i="7"/>
  <c r="BI82" i="7"/>
  <c r="AN81" i="7"/>
  <c r="AM82" i="7"/>
  <c r="Q81" i="7"/>
  <c r="P82" i="7"/>
  <c r="AC81" i="7"/>
  <c r="AB82" i="7"/>
  <c r="AY81" i="7"/>
  <c r="AX82" i="7"/>
  <c r="BU81" i="7"/>
  <c r="BT82" i="7"/>
  <c r="CQ81" i="7"/>
  <c r="CP82" i="7"/>
  <c r="DL81" i="7"/>
  <c r="DK82" i="7"/>
  <c r="DM81" i="7" l="1"/>
  <c r="DL82" i="7"/>
  <c r="CR81" i="7"/>
  <c r="CQ82" i="7"/>
  <c r="BV81" i="7"/>
  <c r="BU82" i="7"/>
  <c r="AZ81" i="7"/>
  <c r="AY82" i="7"/>
  <c r="AD81" i="7"/>
  <c r="AD82" i="7" s="1"/>
  <c r="AC82" i="7"/>
  <c r="R81" i="7"/>
  <c r="R82" i="7" s="1"/>
  <c r="Q82" i="7"/>
  <c r="AO81" i="7"/>
  <c r="AN82" i="7"/>
  <c r="BK81" i="7"/>
  <c r="BJ82" i="7"/>
  <c r="CG81" i="7"/>
  <c r="CF82" i="7"/>
  <c r="DC81" i="7"/>
  <c r="DB82" i="7"/>
  <c r="EB82" i="7" l="1"/>
  <c r="ED82" i="7"/>
  <c r="DD81" i="7"/>
  <c r="DC82" i="7"/>
  <c r="CH81" i="7"/>
  <c r="CG82" i="7"/>
  <c r="BL81" i="7"/>
  <c r="BK82" i="7"/>
  <c r="AP81" i="7"/>
  <c r="AP82" i="7" s="1"/>
  <c r="AO82" i="7"/>
  <c r="BA81" i="7"/>
  <c r="AZ82" i="7"/>
  <c r="BW81" i="7"/>
  <c r="BV82" i="7"/>
  <c r="CS81" i="7"/>
  <c r="CR82" i="7"/>
  <c r="DN81" i="7"/>
  <c r="DM82" i="7"/>
  <c r="EE82" i="7" l="1"/>
  <c r="DO81" i="7"/>
  <c r="DN82" i="7"/>
  <c r="CT81" i="7"/>
  <c r="CS82" i="7"/>
  <c r="BX81" i="7"/>
  <c r="BW82" i="7"/>
  <c r="BB81" i="7"/>
  <c r="BB82" i="7" s="1"/>
  <c r="BA82" i="7"/>
  <c r="BM81" i="7"/>
  <c r="BL82" i="7"/>
  <c r="CI81" i="7"/>
  <c r="CH82" i="7"/>
  <c r="DE81" i="7"/>
  <c r="DD82" i="7"/>
  <c r="EG82" i="7" l="1"/>
  <c r="DF81" i="7"/>
  <c r="DE82" i="7"/>
  <c r="CJ81" i="7"/>
  <c r="CI82" i="7"/>
  <c r="BN81" i="7"/>
  <c r="BN82" i="7" s="1"/>
  <c r="BM82" i="7"/>
  <c r="BY81" i="7"/>
  <c r="BX82" i="7"/>
  <c r="CU81" i="7"/>
  <c r="CT82" i="7"/>
  <c r="DP81" i="7"/>
  <c r="DO82" i="7"/>
  <c r="EH82" i="7" l="1"/>
  <c r="DQ81" i="7"/>
  <c r="DP82" i="7"/>
  <c r="CV81" i="7"/>
  <c r="CU82" i="7"/>
  <c r="BZ81" i="7"/>
  <c r="BZ82" i="7" s="1"/>
  <c r="BY82" i="7"/>
  <c r="CK81" i="7"/>
  <c r="CJ82" i="7"/>
  <c r="DG81" i="7"/>
  <c r="DF82" i="7"/>
  <c r="EK82" i="7" l="1"/>
  <c r="DH81" i="7"/>
  <c r="DG82" i="7"/>
  <c r="CL81" i="7"/>
  <c r="CL82" i="7" s="1"/>
  <c r="CK82" i="7"/>
  <c r="CW81" i="7"/>
  <c r="CV82" i="7"/>
  <c r="DR81" i="7"/>
  <c r="DQ82" i="7"/>
  <c r="EL82" i="7" l="1"/>
  <c r="DS81" i="7"/>
  <c r="DR82" i="7"/>
  <c r="CX81" i="7"/>
  <c r="CX82" i="7" s="1"/>
  <c r="CW82" i="7"/>
  <c r="DI81" i="7"/>
  <c r="DH82" i="7"/>
  <c r="EM82" i="7" l="1"/>
  <c r="DJ81" i="7"/>
  <c r="DJ82" i="7" s="1"/>
  <c r="DI82" i="7"/>
  <c r="DT81" i="7"/>
  <c r="DS82" i="7"/>
  <c r="EN82" i="7" l="1"/>
  <c r="DU81" i="7"/>
  <c r="DT82" i="7"/>
  <c r="DV81" i="7" l="1"/>
  <c r="DV82" i="7" s="1"/>
  <c r="DU82" i="7"/>
  <c r="EO82" i="7" l="1"/>
  <c r="L41" i="9" l="1"/>
  <c r="J87" i="8" s="1"/>
  <c r="J131" i="8" s="1"/>
  <c r="I41" i="9" l="1"/>
  <c r="J41" i="9"/>
  <c r="H87" i="8" s="1"/>
  <c r="H131" i="8" s="1"/>
  <c r="K41" i="9"/>
  <c r="I87" i="8" s="1"/>
  <c r="I131" i="8" s="1"/>
  <c r="L42" i="9"/>
  <c r="J88" i="8" s="1"/>
  <c r="J132" i="8" s="1"/>
  <c r="M41" i="9"/>
  <c r="M42" i="9"/>
  <c r="N41" i="9"/>
  <c r="L87" i="8" s="1"/>
  <c r="L131" i="8" s="1"/>
  <c r="N42" i="9"/>
  <c r="L88" i="8" s="1"/>
  <c r="L132" i="8" s="1"/>
  <c r="O41" i="9"/>
  <c r="M87" i="8" s="1"/>
  <c r="M131" i="8" s="1"/>
  <c r="O42" i="9"/>
  <c r="P41" i="9"/>
  <c r="N87" i="8" s="1"/>
  <c r="N131" i="8" s="1"/>
  <c r="P42" i="9"/>
  <c r="N88" i="8" s="1"/>
  <c r="N132" i="8" s="1"/>
  <c r="Q41" i="9"/>
  <c r="O87" i="8" s="1"/>
  <c r="O131" i="8" s="1"/>
  <c r="Q42" i="9"/>
  <c r="O88" i="8" s="1"/>
  <c r="O132" i="8" s="1"/>
  <c r="R41" i="9"/>
  <c r="P87" i="8" s="1"/>
  <c r="R42" i="9"/>
  <c r="S41" i="9"/>
  <c r="S42" i="9"/>
  <c r="T41" i="9"/>
  <c r="T42" i="9"/>
  <c r="R88" i="8" s="1"/>
  <c r="R132" i="8" s="1"/>
  <c r="U41" i="9"/>
  <c r="S87" i="8" s="1"/>
  <c r="S131" i="8" s="1"/>
  <c r="U42" i="9"/>
  <c r="S88" i="8" s="1"/>
  <c r="V41" i="9"/>
  <c r="V42" i="9"/>
  <c r="T88" i="8" s="1"/>
  <c r="T132" i="8" s="1"/>
  <c r="W41" i="9"/>
  <c r="W42" i="9"/>
  <c r="U88" i="8" s="1"/>
  <c r="X41" i="9"/>
  <c r="X42" i="9"/>
  <c r="V88" i="8" s="1"/>
  <c r="V132" i="8" s="1"/>
  <c r="Y41" i="9"/>
  <c r="W87" i="8" s="1"/>
  <c r="W131" i="8" s="1"/>
  <c r="Y42" i="9"/>
  <c r="Z41" i="9"/>
  <c r="X87" i="8" s="1"/>
  <c r="X131" i="8" s="1"/>
  <c r="Z42" i="9"/>
  <c r="X88" i="8" s="1"/>
  <c r="X132" i="8" s="1"/>
  <c r="AA41" i="9"/>
  <c r="Y87" i="8" s="1"/>
  <c r="Y131" i="8" s="1"/>
  <c r="AA42" i="9"/>
  <c r="Y88" i="8" s="1"/>
  <c r="Y132" i="8" s="1"/>
  <c r="AB41" i="9"/>
  <c r="Z87" i="8" s="1"/>
  <c r="Z131" i="8" s="1"/>
  <c r="AB42" i="9"/>
  <c r="Z88" i="8" s="1"/>
  <c r="Z132" i="8" s="1"/>
  <c r="AC41" i="9"/>
  <c r="AA87" i="8" s="1"/>
  <c r="AA131" i="8" s="1"/>
  <c r="AC42" i="9"/>
  <c r="AA88" i="8" s="1"/>
  <c r="AA132" i="8" s="1"/>
  <c r="AD41" i="9"/>
  <c r="AD42" i="9"/>
  <c r="AB88" i="8" s="1"/>
  <c r="AE41" i="9"/>
  <c r="AC87" i="8" s="1"/>
  <c r="AC131" i="8" s="1"/>
  <c r="AE42" i="9"/>
  <c r="AC88" i="8" s="1"/>
  <c r="AF41" i="9"/>
  <c r="AD87" i="8" s="1"/>
  <c r="AD131" i="8" s="1"/>
  <c r="AF42" i="9"/>
  <c r="AD88" i="8" s="1"/>
  <c r="AD132" i="8" s="1"/>
  <c r="AG41" i="9"/>
  <c r="AE87" i="8" s="1"/>
  <c r="AE131" i="8" s="1"/>
  <c r="AG42" i="9"/>
  <c r="AE88" i="8" s="1"/>
  <c r="AE132" i="8" s="1"/>
  <c r="AH41" i="9"/>
  <c r="AF87" i="8" s="1"/>
  <c r="AF131" i="8" s="1"/>
  <c r="AH42" i="9"/>
  <c r="AI41" i="9"/>
  <c r="AG87" i="8" s="1"/>
  <c r="AG131" i="8" s="1"/>
  <c r="AI42" i="9"/>
  <c r="AG88" i="8" s="1"/>
  <c r="AG132" i="8" s="1"/>
  <c r="AJ41" i="9"/>
  <c r="AH87" i="8" s="1"/>
  <c r="AH131" i="8" s="1"/>
  <c r="AJ42" i="9"/>
  <c r="AH88" i="8" s="1"/>
  <c r="AH132" i="8" s="1"/>
  <c r="AK41" i="9"/>
  <c r="AI87" i="8" s="1"/>
  <c r="AI131" i="8" s="1"/>
  <c r="AK42" i="9"/>
  <c r="AI88" i="8" s="1"/>
  <c r="AI132" i="8" s="1"/>
  <c r="AL41" i="9"/>
  <c r="AJ87" i="8" s="1"/>
  <c r="AJ131" i="8" s="1"/>
  <c r="AL42" i="9"/>
  <c r="AM41" i="9"/>
  <c r="AM42" i="9"/>
  <c r="AK88" i="8" s="1"/>
  <c r="AK132" i="8" s="1"/>
  <c r="AN41" i="9"/>
  <c r="AL87" i="8" s="1"/>
  <c r="AL131" i="8" s="1"/>
  <c r="AN42" i="9"/>
  <c r="AL88" i="8" s="1"/>
  <c r="AL132" i="8" s="1"/>
  <c r="AO41" i="9"/>
  <c r="AM87" i="8" s="1"/>
  <c r="AM131" i="8" s="1"/>
  <c r="AO42" i="9"/>
  <c r="AM88" i="8" s="1"/>
  <c r="AM132" i="8" s="1"/>
  <c r="AP41" i="9"/>
  <c r="AN87" i="8" s="1"/>
  <c r="AN131" i="8" s="1"/>
  <c r="AP42" i="9"/>
  <c r="AN88" i="8" s="1"/>
  <c r="AN132" i="8" s="1"/>
  <c r="AQ41" i="9"/>
  <c r="AO87" i="8" s="1"/>
  <c r="AO131" i="8" s="1"/>
  <c r="AQ42" i="9"/>
  <c r="AO88" i="8" s="1"/>
  <c r="AO132" i="8" s="1"/>
  <c r="AR41" i="9"/>
  <c r="AP87" i="8" s="1"/>
  <c r="AP131" i="8" s="1"/>
  <c r="AR42" i="9"/>
  <c r="AP88" i="8" s="1"/>
  <c r="AP132" i="8" s="1"/>
  <c r="AS41" i="9"/>
  <c r="AQ87" i="8" s="1"/>
  <c r="AQ131" i="8" s="1"/>
  <c r="AS42" i="9"/>
  <c r="AQ88" i="8" s="1"/>
  <c r="AQ132" i="8" s="1"/>
  <c r="AT41" i="9"/>
  <c r="AR87" i="8" s="1"/>
  <c r="AR131" i="8" s="1"/>
  <c r="AT42" i="9"/>
  <c r="AR88" i="8" s="1"/>
  <c r="AR132" i="8" s="1"/>
  <c r="AU41" i="9"/>
  <c r="AS87" i="8" s="1"/>
  <c r="AS131" i="8" s="1"/>
  <c r="AU42" i="9"/>
  <c r="AS88" i="8" s="1"/>
  <c r="AS132" i="8" s="1"/>
  <c r="AV41" i="9"/>
  <c r="AT87" i="8" s="1"/>
  <c r="AT131" i="8" s="1"/>
  <c r="AV42" i="9"/>
  <c r="AT88" i="8" s="1"/>
  <c r="AT132" i="8" s="1"/>
  <c r="AW41" i="9"/>
  <c r="AU87" i="8" s="1"/>
  <c r="AU131" i="8" s="1"/>
  <c r="AW42" i="9"/>
  <c r="AU88" i="8" s="1"/>
  <c r="AU132" i="8" s="1"/>
  <c r="AX41" i="9"/>
  <c r="AV87" i="8" s="1"/>
  <c r="AV131" i="8" s="1"/>
  <c r="AX42" i="9"/>
  <c r="AV88" i="8" s="1"/>
  <c r="AV132" i="8" s="1"/>
  <c r="AY41" i="9"/>
  <c r="AW87" i="8" s="1"/>
  <c r="AW131" i="8" s="1"/>
  <c r="AY42" i="9"/>
  <c r="AW88" i="8" s="1"/>
  <c r="AW132" i="8" s="1"/>
  <c r="AZ41" i="9"/>
  <c r="AX87" i="8" s="1"/>
  <c r="AX131" i="8" s="1"/>
  <c r="AZ42" i="9"/>
  <c r="AX88" i="8" s="1"/>
  <c r="AX132" i="8" s="1"/>
  <c r="BA41" i="9"/>
  <c r="AY87" i="8" s="1"/>
  <c r="AY131" i="8" s="1"/>
  <c r="BA42" i="9"/>
  <c r="AY88" i="8" s="1"/>
  <c r="AY132" i="8" s="1"/>
  <c r="BB41" i="9"/>
  <c r="AZ87" i="8" s="1"/>
  <c r="AZ131" i="8" s="1"/>
  <c r="BB42" i="9"/>
  <c r="AZ88" i="8" s="1"/>
  <c r="AZ132" i="8" s="1"/>
  <c r="BC41" i="9"/>
  <c r="BA87" i="8" s="1"/>
  <c r="BA131" i="8" s="1"/>
  <c r="BC42" i="9"/>
  <c r="BA88" i="8" s="1"/>
  <c r="BA132" i="8" s="1"/>
  <c r="BD41" i="9"/>
  <c r="BB87" i="8" s="1"/>
  <c r="BB131" i="8" s="1"/>
  <c r="BD42" i="9"/>
  <c r="BB88" i="8" s="1"/>
  <c r="BB132" i="8" s="1"/>
  <c r="BE41" i="9"/>
  <c r="BC87" i="8" s="1"/>
  <c r="BC131" i="8" s="1"/>
  <c r="BE42" i="9"/>
  <c r="BC88" i="8" s="1"/>
  <c r="BC132" i="8" s="1"/>
  <c r="BF41" i="9"/>
  <c r="BD87" i="8" s="1"/>
  <c r="BD131" i="8" s="1"/>
  <c r="BF42" i="9"/>
  <c r="BD88" i="8" s="1"/>
  <c r="BD132" i="8" s="1"/>
  <c r="BG41" i="9"/>
  <c r="BE87" i="8" s="1"/>
  <c r="BE131" i="8" s="1"/>
  <c r="BG42" i="9"/>
  <c r="BE88" i="8" s="1"/>
  <c r="BE132" i="8" s="1"/>
  <c r="BH41" i="9"/>
  <c r="BF87" i="8" s="1"/>
  <c r="BF131" i="8" s="1"/>
  <c r="BH42" i="9"/>
  <c r="BF88" i="8" s="1"/>
  <c r="BF132" i="8" s="1"/>
  <c r="BI41" i="9"/>
  <c r="BG87" i="8" s="1"/>
  <c r="BG131" i="8" s="1"/>
  <c r="BI42" i="9"/>
  <c r="BG88" i="8" s="1"/>
  <c r="BG132" i="8" s="1"/>
  <c r="BJ41" i="9"/>
  <c r="BH87" i="8" s="1"/>
  <c r="BH131" i="8" s="1"/>
  <c r="BJ42" i="9"/>
  <c r="BH88" i="8" s="1"/>
  <c r="BH132" i="8" s="1"/>
  <c r="BK41" i="9"/>
  <c r="BI87" i="8" s="1"/>
  <c r="BI131" i="8" s="1"/>
  <c r="BK42" i="9"/>
  <c r="BI88" i="8" s="1"/>
  <c r="BI132" i="8" s="1"/>
  <c r="BL41" i="9"/>
  <c r="BJ87" i="8" s="1"/>
  <c r="BJ131" i="8" s="1"/>
  <c r="BL42" i="9"/>
  <c r="BJ88" i="8" s="1"/>
  <c r="BJ132" i="8" s="1"/>
  <c r="BM41" i="9"/>
  <c r="BK87" i="8" s="1"/>
  <c r="BK131" i="8" s="1"/>
  <c r="BM42" i="9"/>
  <c r="BK88" i="8" s="1"/>
  <c r="BK132" i="8" s="1"/>
  <c r="BN41" i="9"/>
  <c r="BL87" i="8" s="1"/>
  <c r="BL131" i="8" s="1"/>
  <c r="BN42" i="9"/>
  <c r="BL88" i="8" s="1"/>
  <c r="BL132" i="8" s="1"/>
  <c r="BO41" i="9"/>
  <c r="BM87" i="8" s="1"/>
  <c r="BM131" i="8" s="1"/>
  <c r="BO42" i="9"/>
  <c r="BM88" i="8" s="1"/>
  <c r="BM132" i="8" s="1"/>
  <c r="BP41" i="9"/>
  <c r="BN87" i="8" s="1"/>
  <c r="BN131" i="8" s="1"/>
  <c r="BP42" i="9"/>
  <c r="BQ41" i="9"/>
  <c r="BO87" i="8" s="1"/>
  <c r="BO131" i="8" s="1"/>
  <c r="BQ42" i="9"/>
  <c r="BR41" i="9"/>
  <c r="BP87" i="8" s="1"/>
  <c r="BP131" i="8" s="1"/>
  <c r="BO88" i="8"/>
  <c r="BO132" i="8" s="1"/>
  <c r="BR42" i="9"/>
  <c r="BP88" i="8" s="1"/>
  <c r="BP132" i="8" s="1"/>
  <c r="BS41" i="9"/>
  <c r="BS42" i="9"/>
  <c r="BQ88" i="8" s="1"/>
  <c r="BQ132" i="8" s="1"/>
  <c r="BT41" i="9"/>
  <c r="BR87" i="8" s="1"/>
  <c r="BR131" i="8" s="1"/>
  <c r="BT42" i="9"/>
  <c r="BR88" i="8" s="1"/>
  <c r="BR132" i="8" s="1"/>
  <c r="BU41" i="9"/>
  <c r="BU42" i="9"/>
  <c r="BS88" i="8" s="1"/>
  <c r="BS132" i="8" s="1"/>
  <c r="BV41" i="9"/>
  <c r="BT87" i="8" s="1"/>
  <c r="BT131" i="8" s="1"/>
  <c r="BV42" i="9"/>
  <c r="BT88" i="8" s="1"/>
  <c r="BT132" i="8" s="1"/>
  <c r="BW41" i="9"/>
  <c r="BU87" i="8" s="1"/>
  <c r="BU131" i="8" s="1"/>
  <c r="BW42" i="9"/>
  <c r="BU88" i="8" s="1"/>
  <c r="BU132" i="8" s="1"/>
  <c r="BX41" i="9"/>
  <c r="BV87" i="8" s="1"/>
  <c r="BX42" i="9"/>
  <c r="BV88" i="8" s="1"/>
  <c r="BV132" i="8" s="1"/>
  <c r="BY41" i="9"/>
  <c r="BW87" i="8" s="1"/>
  <c r="BW131" i="8" s="1"/>
  <c r="BY42" i="9"/>
  <c r="BZ41" i="9"/>
  <c r="BX87" i="8" s="1"/>
  <c r="BZ42" i="9"/>
  <c r="BX88" i="8" s="1"/>
  <c r="BX132" i="8" s="1"/>
  <c r="CA41" i="9"/>
  <c r="BY87" i="8" s="1"/>
  <c r="CA42" i="9"/>
  <c r="BY88" i="8" s="1"/>
  <c r="BY132" i="8" s="1"/>
  <c r="CB41" i="9"/>
  <c r="BZ87" i="8" s="1"/>
  <c r="BZ131" i="8" s="1"/>
  <c r="CB42" i="9"/>
  <c r="BZ88" i="8" s="1"/>
  <c r="CC41" i="9"/>
  <c r="CA87" i="8" s="1"/>
  <c r="CC42" i="9"/>
  <c r="CA88" i="8" s="1"/>
  <c r="CD41" i="9"/>
  <c r="CB87" i="8" s="1"/>
  <c r="CD42" i="9"/>
  <c r="CB88" i="8" s="1"/>
  <c r="CE41" i="9"/>
  <c r="CE42" i="9"/>
  <c r="CC88" i="8" s="1"/>
  <c r="CF41" i="9"/>
  <c r="CD87" i="8" s="1"/>
  <c r="CD131" i="8" s="1"/>
  <c r="CF42" i="9"/>
  <c r="CD88" i="8" s="1"/>
  <c r="CG41" i="9"/>
  <c r="CE87" i="8" s="1"/>
  <c r="CE131" i="8" s="1"/>
  <c r="CG42" i="9"/>
  <c r="CE88" i="8" s="1"/>
  <c r="CH41" i="9"/>
  <c r="CF87" i="8" s="1"/>
  <c r="CF131" i="8" s="1"/>
  <c r="CH42" i="9"/>
  <c r="CF88" i="8" s="1"/>
  <c r="CI41" i="9"/>
  <c r="CG87" i="8" s="1"/>
  <c r="CG131" i="8" s="1"/>
  <c r="CI42" i="9"/>
  <c r="CG88" i="8" s="1"/>
  <c r="CG132" i="8" s="1"/>
  <c r="CJ41" i="9"/>
  <c r="CH87" i="8" s="1"/>
  <c r="CH131" i="8" s="1"/>
  <c r="CJ42" i="9"/>
  <c r="CH88" i="8" s="1"/>
  <c r="CK41" i="9"/>
  <c r="CI87" i="8" s="1"/>
  <c r="CI131" i="8" s="1"/>
  <c r="CK42" i="9"/>
  <c r="CL41" i="9"/>
  <c r="CL42" i="9"/>
  <c r="CJ88" i="8" s="1"/>
  <c r="CM41" i="9"/>
  <c r="CM42" i="9"/>
  <c r="CK88" i="8" s="1"/>
  <c r="CK132" i="8" s="1"/>
  <c r="CN41" i="9"/>
  <c r="CN42" i="9"/>
  <c r="CL88" i="8" s="1"/>
  <c r="CO41" i="9"/>
  <c r="CM87" i="8" s="1"/>
  <c r="CO42" i="9"/>
  <c r="CM88" i="8" s="1"/>
  <c r="CM132" i="8" s="1"/>
  <c r="CP41" i="9"/>
  <c r="CP42" i="9"/>
  <c r="CN88" i="8" s="1"/>
  <c r="CQ41" i="9"/>
  <c r="CO87" i="8" s="1"/>
  <c r="CO131" i="8" s="1"/>
  <c r="CQ42" i="9"/>
  <c r="CO88" i="8" s="1"/>
  <c r="CR41" i="9"/>
  <c r="CR42" i="9"/>
  <c r="CP88" i="8" s="1"/>
  <c r="CP132" i="8" s="1"/>
  <c r="CS41" i="9"/>
  <c r="CQ87" i="8" s="1"/>
  <c r="CS42" i="9"/>
  <c r="CT41" i="9"/>
  <c r="CR87" i="8" s="1"/>
  <c r="CR131" i="8" s="1"/>
  <c r="CT42" i="9"/>
  <c r="CR88" i="8" s="1"/>
  <c r="CR132" i="8" s="1"/>
  <c r="CU41" i="9"/>
  <c r="CS87" i="8" s="1"/>
  <c r="CS131" i="8" s="1"/>
  <c r="CU42" i="9"/>
  <c r="CS88" i="8" s="1"/>
  <c r="CS132" i="8" s="1"/>
  <c r="CV41" i="9"/>
  <c r="CT87" i="8" s="1"/>
  <c r="CV42" i="9"/>
  <c r="CT88" i="8" s="1"/>
  <c r="CT132" i="8" s="1"/>
  <c r="CW41" i="9"/>
  <c r="CU87" i="8" s="1"/>
  <c r="CU131" i="8" s="1"/>
  <c r="CW42" i="9"/>
  <c r="CU88" i="8" s="1"/>
  <c r="CU132" i="8" s="1"/>
  <c r="CX41" i="9"/>
  <c r="CV87" i="8" s="1"/>
  <c r="CV131" i="8" s="1"/>
  <c r="CX42" i="9"/>
  <c r="CV88" i="8" s="1"/>
  <c r="CV132" i="8" s="1"/>
  <c r="CY41" i="9"/>
  <c r="CY42" i="9"/>
  <c r="CW88" i="8" s="1"/>
  <c r="CW132" i="8" s="1"/>
  <c r="CZ41" i="9"/>
  <c r="CZ42" i="9"/>
  <c r="CX88" i="8" s="1"/>
  <c r="CX132" i="8" s="1"/>
  <c r="DA41" i="9"/>
  <c r="CY87" i="8" s="1"/>
  <c r="DA42" i="9"/>
  <c r="CY88" i="8" s="1"/>
  <c r="CY132" i="8" s="1"/>
  <c r="DB41" i="9"/>
  <c r="CZ87" i="8" s="1"/>
  <c r="CZ131" i="8" s="1"/>
  <c r="DB42" i="9"/>
  <c r="CZ88" i="8" s="1"/>
  <c r="CZ132" i="8" s="1"/>
  <c r="DC41" i="9"/>
  <c r="DC42" i="9"/>
  <c r="DD41" i="9"/>
  <c r="DB87" i="8" s="1"/>
  <c r="DB131" i="8" s="1"/>
  <c r="DD42" i="9"/>
  <c r="DB88" i="8" s="1"/>
  <c r="DB132" i="8" s="1"/>
  <c r="DE41" i="9"/>
  <c r="DC87" i="8" s="1"/>
  <c r="DC131" i="8" s="1"/>
  <c r="DE42" i="9"/>
  <c r="DC88" i="8" s="1"/>
  <c r="DC132" i="8" s="1"/>
  <c r="DF41" i="9"/>
  <c r="DD87" i="8" s="1"/>
  <c r="DD131" i="8" s="1"/>
  <c r="DF42" i="9"/>
  <c r="DD88" i="8" s="1"/>
  <c r="DD132" i="8" s="1"/>
  <c r="DG41" i="9"/>
  <c r="DE87" i="8" s="1"/>
  <c r="DE131" i="8" s="1"/>
  <c r="DG42" i="9"/>
  <c r="DE88" i="8" s="1"/>
  <c r="DE132" i="8" s="1"/>
  <c r="DH41" i="9"/>
  <c r="DF87" i="8" s="1"/>
  <c r="DF131" i="8" s="1"/>
  <c r="DH42" i="9"/>
  <c r="DF88" i="8" s="1"/>
  <c r="DF132" i="8" s="1"/>
  <c r="DI41" i="9"/>
  <c r="DG87" i="8" s="1"/>
  <c r="DG131" i="8" s="1"/>
  <c r="DI42" i="9"/>
  <c r="DG88" i="8" s="1"/>
  <c r="DG132" i="8" s="1"/>
  <c r="DJ41" i="9"/>
  <c r="DH87" i="8" s="1"/>
  <c r="DH131" i="8" s="1"/>
  <c r="DJ42" i="9"/>
  <c r="DH88" i="8" s="1"/>
  <c r="DH132" i="8" s="1"/>
  <c r="DK41" i="9"/>
  <c r="DI87" i="8" s="1"/>
  <c r="DI131" i="8" s="1"/>
  <c r="DK42" i="9"/>
  <c r="DI88" i="8" s="1"/>
  <c r="DI132" i="8" s="1"/>
  <c r="DL41" i="9"/>
  <c r="DJ87" i="8" s="1"/>
  <c r="DJ131" i="8" s="1"/>
  <c r="DL42" i="9"/>
  <c r="DJ88" i="8" s="1"/>
  <c r="DJ132" i="8" s="1"/>
  <c r="DM41" i="9"/>
  <c r="DK87" i="8" s="1"/>
  <c r="DK131" i="8" s="1"/>
  <c r="DM42" i="9"/>
  <c r="DK88" i="8" s="1"/>
  <c r="DK132" i="8" s="1"/>
  <c r="DN41" i="9"/>
  <c r="DL87" i="8" s="1"/>
  <c r="DL131" i="8" s="1"/>
  <c r="DN42" i="9"/>
  <c r="DL88" i="8" s="1"/>
  <c r="DL132" i="8" s="1"/>
  <c r="DO41" i="9"/>
  <c r="DM87" i="8" s="1"/>
  <c r="DM131" i="8" s="1"/>
  <c r="DO42" i="9"/>
  <c r="DM88" i="8" s="1"/>
  <c r="DM132" i="8" s="1"/>
  <c r="DP41" i="9"/>
  <c r="DN87" i="8" s="1"/>
  <c r="DN131" i="8" s="1"/>
  <c r="DP42" i="9"/>
  <c r="DN88" i="8" s="1"/>
  <c r="DN132" i="8" s="1"/>
  <c r="DQ41" i="9"/>
  <c r="DO87" i="8" s="1"/>
  <c r="DO131" i="8" s="1"/>
  <c r="DQ42" i="9"/>
  <c r="DO88" i="8" s="1"/>
  <c r="DO132" i="8" s="1"/>
  <c r="DR41" i="9"/>
  <c r="DP87" i="8" s="1"/>
  <c r="DP131" i="8" s="1"/>
  <c r="DR42" i="9"/>
  <c r="DP88" i="8" s="1"/>
  <c r="DP132" i="8" s="1"/>
  <c r="DS41" i="9"/>
  <c r="DQ87" i="8" s="1"/>
  <c r="DQ131" i="8" s="1"/>
  <c r="DS42" i="9"/>
  <c r="DQ88" i="8" s="1"/>
  <c r="DQ132" i="8" s="1"/>
  <c r="DT41" i="9"/>
  <c r="DR87" i="8" s="1"/>
  <c r="DR131" i="8" s="1"/>
  <c r="DT42" i="9"/>
  <c r="DR88" i="8" s="1"/>
  <c r="DR132" i="8" s="1"/>
  <c r="DU41" i="9"/>
  <c r="DS87" i="8" s="1"/>
  <c r="DS131" i="8" s="1"/>
  <c r="DU42" i="9"/>
  <c r="DS88" i="8" s="1"/>
  <c r="DS132" i="8" s="1"/>
  <c r="DV41" i="9"/>
  <c r="DT87" i="8" s="1"/>
  <c r="DT131" i="8" s="1"/>
  <c r="DV42" i="9"/>
  <c r="DT88" i="8" s="1"/>
  <c r="DT132" i="8" s="1"/>
  <c r="DW41" i="9"/>
  <c r="DW42" i="9"/>
  <c r="DU88" i="8" s="1"/>
  <c r="DU132" i="8" s="1"/>
  <c r="AC132" i="8" l="1"/>
  <c r="AK87" i="8"/>
  <c r="AK131" i="8" s="1"/>
  <c r="AJ88" i="8"/>
  <c r="AJ132" i="8" s="1"/>
  <c r="CF132" i="8"/>
  <c r="CJ132" i="8"/>
  <c r="CK87" i="8"/>
  <c r="CK131" i="8" s="1"/>
  <c r="CM131" i="8"/>
  <c r="CO132" i="8"/>
  <c r="K88" i="8"/>
  <c r="K132" i="8" s="1"/>
  <c r="P131" i="8"/>
  <c r="Q87" i="8"/>
  <c r="Q131" i="8" s="1"/>
  <c r="R87" i="8"/>
  <c r="R131" i="8" s="1"/>
  <c r="AB87" i="8"/>
  <c r="AB131" i="8" s="1"/>
  <c r="AB132" i="8"/>
  <c r="CB131" i="8"/>
  <c r="CC132" i="8"/>
  <c r="CD132" i="8"/>
  <c r="CL87" i="8"/>
  <c r="CL131" i="8" s="1"/>
  <c r="CL132" i="8"/>
  <c r="CW87" i="8"/>
  <c r="CW131" i="8" s="1"/>
  <c r="CX87" i="8"/>
  <c r="CX131" i="8" s="1"/>
  <c r="CY131" i="8"/>
  <c r="M88" i="8"/>
  <c r="M132" i="8" s="1"/>
  <c r="BS87" i="8"/>
  <c r="BS131" i="8" s="1"/>
  <c r="BW88" i="8"/>
  <c r="BW132" i="8" s="1"/>
  <c r="BX131" i="8"/>
  <c r="BY131" i="8"/>
  <c r="CA131" i="8"/>
  <c r="BZ132" i="8"/>
  <c r="CA132" i="8"/>
  <c r="CC87" i="8"/>
  <c r="CC131" i="8" s="1"/>
  <c r="CE132" i="8"/>
  <c r="CI88" i="8"/>
  <c r="CI132" i="8" s="1"/>
  <c r="CJ87" i="8"/>
  <c r="CJ131" i="8" s="1"/>
  <c r="CN87" i="8"/>
  <c r="CN131" i="8" s="1"/>
  <c r="CN132" i="8"/>
  <c r="CT131" i="8"/>
  <c r="DA87" i="8"/>
  <c r="DA131" i="8" s="1"/>
  <c r="DA88" i="8"/>
  <c r="DA132" i="8" s="1"/>
  <c r="K87" i="8"/>
  <c r="K131" i="8" s="1"/>
  <c r="Q88" i="8"/>
  <c r="Q132" i="8" s="1"/>
  <c r="U87" i="8"/>
  <c r="U131" i="8" s="1"/>
  <c r="V87" i="8"/>
  <c r="V131" i="8" s="1"/>
  <c r="BN88" i="8"/>
  <c r="BN132" i="8" s="1"/>
  <c r="BQ87" i="8"/>
  <c r="BQ131" i="8" s="1"/>
  <c r="BV131" i="8"/>
  <c r="CB132" i="8"/>
  <c r="CH132" i="8"/>
  <c r="CP87" i="8"/>
  <c r="CP131" i="8" s="1"/>
  <c r="CQ131" i="8"/>
  <c r="CQ88" i="8"/>
  <c r="CQ132" i="8" s="1"/>
  <c r="U132" i="8"/>
  <c r="W88" i="8"/>
  <c r="W132" i="8" s="1"/>
  <c r="P88" i="8"/>
  <c r="P132" i="8" s="1"/>
  <c r="S132" i="8"/>
  <c r="T87" i="8"/>
  <c r="T131" i="8" s="1"/>
  <c r="AF88" i="8"/>
  <c r="AF132" i="8" s="1"/>
  <c r="DU87" i="8"/>
  <c r="DU131" i="8" s="1"/>
  <c r="G87" i="8"/>
  <c r="G131" i="8" s="1"/>
  <c r="DW131" i="8" l="1"/>
  <c r="K42" i="9" l="1"/>
  <c r="I88" i="8" s="1"/>
  <c r="I132" i="8" s="1"/>
  <c r="H42" i="9" l="1"/>
  <c r="F88" i="8" l="1"/>
  <c r="F132" i="8" s="1"/>
  <c r="I42" i="9" l="1"/>
  <c r="G88" i="8" l="1"/>
  <c r="G132" i="8" s="1"/>
  <c r="J42" i="9" l="1"/>
  <c r="H88" i="8" l="1"/>
  <c r="H132" i="8" s="1"/>
  <c r="B9" i="9" l="1"/>
  <c r="DW132" i="8"/>
  <c r="G43" i="9" l="1"/>
  <c r="G44" i="9" l="1"/>
  <c r="E89" i="8"/>
  <c r="H40" i="9"/>
  <c r="E90" i="8" l="1"/>
  <c r="E172" i="8"/>
  <c r="E171" i="8"/>
  <c r="F15" i="7"/>
  <c r="E133" i="8"/>
  <c r="E130" i="8" s="1"/>
  <c r="H43" i="9"/>
  <c r="H44" i="9" s="1"/>
  <c r="H57" i="9"/>
  <c r="H135" i="9"/>
  <c r="G135" i="9" s="1"/>
  <c r="H46" i="9"/>
  <c r="H55" i="9"/>
  <c r="H58" i="9"/>
  <c r="F86" i="8"/>
  <c r="H51" i="9"/>
  <c r="H56" i="9"/>
  <c r="H49" i="9"/>
  <c r="H48" i="9"/>
  <c r="H50" i="9"/>
  <c r="H136" i="9"/>
  <c r="G136" i="9" s="1"/>
  <c r="H45" i="9"/>
  <c r="H53" i="9"/>
  <c r="H144" i="9"/>
  <c r="H59" i="9"/>
  <c r="H145" i="9"/>
  <c r="G145" i="9" s="1"/>
  <c r="H47" i="9"/>
  <c r="H52" i="9"/>
  <c r="E173" i="8" l="1"/>
  <c r="E29" i="8" s="1"/>
  <c r="F20" i="7"/>
  <c r="DX20" i="7" s="1"/>
  <c r="DX15" i="7"/>
  <c r="F90" i="8"/>
  <c r="F89" i="8"/>
  <c r="I40" i="9"/>
  <c r="F103" i="8"/>
  <c r="G57" i="9"/>
  <c r="H98" i="9" s="1"/>
  <c r="F150" i="8" s="1"/>
  <c r="G46" i="9"/>
  <c r="H87" i="9" s="1"/>
  <c r="F139" i="8" s="1"/>
  <c r="F92" i="8"/>
  <c r="G29" i="7"/>
  <c r="G30" i="7" s="1"/>
  <c r="G32" i="7" s="1"/>
  <c r="F101" i="8"/>
  <c r="G45" i="7"/>
  <c r="G46" i="7" s="1"/>
  <c r="G48" i="7" s="1"/>
  <c r="G55" i="9"/>
  <c r="H96" i="9" s="1"/>
  <c r="F148" i="8" s="1"/>
  <c r="F104" i="8"/>
  <c r="G58" i="9"/>
  <c r="H99" i="9" s="1"/>
  <c r="F151" i="8" s="1"/>
  <c r="G9" i="7"/>
  <c r="G10" i="7" s="1"/>
  <c r="E4" i="8"/>
  <c r="F33" i="8"/>
  <c r="F129" i="8"/>
  <c r="F97" i="8"/>
  <c r="G51" i="9"/>
  <c r="H92" i="9" s="1"/>
  <c r="F144" i="8" s="1"/>
  <c r="G56" i="9"/>
  <c r="H97" i="9" s="1"/>
  <c r="F149" i="8" s="1"/>
  <c r="F102" i="8"/>
  <c r="F95" i="8"/>
  <c r="G49" i="9"/>
  <c r="H90" i="9" s="1"/>
  <c r="F142" i="8" s="1"/>
  <c r="G48" i="9"/>
  <c r="H89" i="9" s="1"/>
  <c r="F141" i="8" s="1"/>
  <c r="F94" i="8"/>
  <c r="F96" i="8"/>
  <c r="G50" i="9"/>
  <c r="H91" i="9" s="1"/>
  <c r="F143" i="8" s="1"/>
  <c r="G25" i="7"/>
  <c r="G26" i="7" s="1"/>
  <c r="G28" i="7" s="1"/>
  <c r="G45" i="9"/>
  <c r="H86" i="9" s="1"/>
  <c r="F91" i="8"/>
  <c r="G37" i="7"/>
  <c r="G38" i="7" s="1"/>
  <c r="G40" i="7" s="1"/>
  <c r="F99" i="8"/>
  <c r="G53" i="9"/>
  <c r="H94" i="9" s="1"/>
  <c r="F146" i="8" s="1"/>
  <c r="G144" i="9"/>
  <c r="G146" i="9" s="1"/>
  <c r="H146" i="9"/>
  <c r="G59" i="9"/>
  <c r="H100" i="9" s="1"/>
  <c r="F152" i="8" s="1"/>
  <c r="F105" i="8"/>
  <c r="G33" i="7"/>
  <c r="G34" i="7" s="1"/>
  <c r="G36" i="7" s="1"/>
  <c r="G47" i="9"/>
  <c r="H88" i="9" s="1"/>
  <c r="F140" i="8" s="1"/>
  <c r="F93" i="8"/>
  <c r="F98" i="8"/>
  <c r="G52" i="9"/>
  <c r="H93" i="9" s="1"/>
  <c r="F145" i="8" s="1"/>
  <c r="DW29" i="8" l="1"/>
  <c r="F171" i="8"/>
  <c r="G15" i="7"/>
  <c r="F172" i="8"/>
  <c r="F133" i="8"/>
  <c r="F130" i="8" s="1"/>
  <c r="I43" i="9"/>
  <c r="I44" i="9" s="1"/>
  <c r="G86" i="8"/>
  <c r="I52" i="9"/>
  <c r="I144" i="9"/>
  <c r="I50" i="9"/>
  <c r="I47" i="9"/>
  <c r="I58" i="9"/>
  <c r="I51" i="9"/>
  <c r="I145" i="9"/>
  <c r="I48" i="9"/>
  <c r="I135" i="9"/>
  <c r="I45" i="9"/>
  <c r="I56" i="9"/>
  <c r="I53" i="9"/>
  <c r="I46" i="9"/>
  <c r="I55" i="9"/>
  <c r="I136" i="9"/>
  <c r="I49" i="9"/>
  <c r="I59" i="9"/>
  <c r="I57" i="9"/>
  <c r="G98" i="9"/>
  <c r="E150" i="8" s="1"/>
  <c r="E103" i="8"/>
  <c r="E92" i="8"/>
  <c r="F29" i="7"/>
  <c r="F30" i="7" s="1"/>
  <c r="F32" i="7" s="1"/>
  <c r="G87" i="9"/>
  <c r="E139" i="8" s="1"/>
  <c r="E101" i="8"/>
  <c r="G96" i="9"/>
  <c r="E148" i="8" s="1"/>
  <c r="F45" i="7"/>
  <c r="F46" i="7" s="1"/>
  <c r="F48" i="7" s="1"/>
  <c r="E104" i="8"/>
  <c r="G99" i="9"/>
  <c r="E151" i="8" s="1"/>
  <c r="F16" i="7"/>
  <c r="G3" i="9"/>
  <c r="F2" i="7"/>
  <c r="F10" i="7" s="1"/>
  <c r="E97" i="8"/>
  <c r="G92" i="9"/>
  <c r="E144" i="8" s="1"/>
  <c r="E102" i="8"/>
  <c r="G97" i="9"/>
  <c r="E149" i="8" s="1"/>
  <c r="G90" i="9"/>
  <c r="E142" i="8" s="1"/>
  <c r="E95" i="8"/>
  <c r="G89" i="9"/>
  <c r="E141" i="8" s="1"/>
  <c r="E94" i="8"/>
  <c r="E96" i="8"/>
  <c r="G91" i="9"/>
  <c r="E143" i="8" s="1"/>
  <c r="F138" i="8"/>
  <c r="E91" i="8"/>
  <c r="G86" i="9"/>
  <c r="F25" i="7"/>
  <c r="F26" i="7" s="1"/>
  <c r="F28" i="7" s="1"/>
  <c r="F37" i="7"/>
  <c r="F38" i="7" s="1"/>
  <c r="F40" i="7" s="1"/>
  <c r="G94" i="9"/>
  <c r="E146" i="8" s="1"/>
  <c r="E99" i="8"/>
  <c r="E105" i="8"/>
  <c r="G100" i="9"/>
  <c r="E152" i="8" s="1"/>
  <c r="G88" i="9"/>
  <c r="E140" i="8" s="1"/>
  <c r="F33" i="7"/>
  <c r="F34" i="7" s="1"/>
  <c r="F36" i="7" s="1"/>
  <c r="E93" i="8"/>
  <c r="G93" i="9"/>
  <c r="E145" i="8" s="1"/>
  <c r="F79" i="7"/>
  <c r="F80" i="7" s="1"/>
  <c r="F82" i="7" s="1"/>
  <c r="E98" i="8"/>
  <c r="G20" i="7" l="1"/>
  <c r="G90" i="8"/>
  <c r="G89" i="8"/>
  <c r="J40" i="9"/>
  <c r="G33" i="8"/>
  <c r="H9" i="7"/>
  <c r="H10" i="7" s="1"/>
  <c r="G129" i="8"/>
  <c r="G98" i="8"/>
  <c r="I93" i="9"/>
  <c r="G145" i="8" s="1"/>
  <c r="G96" i="8"/>
  <c r="I91" i="9"/>
  <c r="G143" i="8" s="1"/>
  <c r="H33" i="7"/>
  <c r="H34" i="7" s="1"/>
  <c r="H36" i="7" s="1"/>
  <c r="I88" i="9"/>
  <c r="G140" i="8" s="1"/>
  <c r="G93" i="8"/>
  <c r="I99" i="9"/>
  <c r="G151" i="8" s="1"/>
  <c r="G104" i="8"/>
  <c r="I92" i="9"/>
  <c r="G144" i="8" s="1"/>
  <c r="G97" i="8"/>
  <c r="I89" i="9"/>
  <c r="G141" i="8" s="1"/>
  <c r="G94" i="8"/>
  <c r="I86" i="9"/>
  <c r="H25" i="7"/>
  <c r="H26" i="7" s="1"/>
  <c r="H28" i="7" s="1"/>
  <c r="G91" i="8"/>
  <c r="G102" i="8"/>
  <c r="I97" i="9"/>
  <c r="G149" i="8" s="1"/>
  <c r="I94" i="9"/>
  <c r="G146" i="8" s="1"/>
  <c r="H37" i="7"/>
  <c r="H38" i="7" s="1"/>
  <c r="H40" i="7" s="1"/>
  <c r="G99" i="8"/>
  <c r="G92" i="8"/>
  <c r="I87" i="9"/>
  <c r="G139" i="8" s="1"/>
  <c r="H29" i="7"/>
  <c r="H30" i="7" s="1"/>
  <c r="H32" i="7" s="1"/>
  <c r="G101" i="8"/>
  <c r="H45" i="7"/>
  <c r="H46" i="7" s="1"/>
  <c r="H48" i="7" s="1"/>
  <c r="I96" i="9"/>
  <c r="G148" i="8" s="1"/>
  <c r="G95" i="8"/>
  <c r="I90" i="9"/>
  <c r="G142" i="8" s="1"/>
  <c r="I100" i="9"/>
  <c r="G152" i="8" s="1"/>
  <c r="G105" i="8"/>
  <c r="G103" i="8"/>
  <c r="I98" i="9"/>
  <c r="G150" i="8" s="1"/>
  <c r="DX32" i="7"/>
  <c r="DX48" i="7"/>
  <c r="G12" i="7"/>
  <c r="DX16" i="7"/>
  <c r="F17" i="7"/>
  <c r="DX10" i="7"/>
  <c r="F12" i="7"/>
  <c r="E138" i="8"/>
  <c r="DX28" i="7"/>
  <c r="DX40" i="7"/>
  <c r="DX36" i="7"/>
  <c r="DX82" i="7"/>
  <c r="EC82" i="7"/>
  <c r="F173" i="8"/>
  <c r="I146" i="9"/>
  <c r="H15" i="7" l="1"/>
  <c r="G133" i="8"/>
  <c r="G130" i="8" s="1"/>
  <c r="G172" i="8"/>
  <c r="G171" i="8"/>
  <c r="J43" i="9"/>
  <c r="J44" i="9" s="1"/>
  <c r="J48" i="9"/>
  <c r="J59" i="9"/>
  <c r="J45" i="9"/>
  <c r="J50" i="9"/>
  <c r="J144" i="9"/>
  <c r="J135" i="9"/>
  <c r="J141" i="9" s="1"/>
  <c r="J51" i="9"/>
  <c r="J55" i="9"/>
  <c r="J47" i="9"/>
  <c r="J52" i="9"/>
  <c r="J46" i="9"/>
  <c r="J136" i="9"/>
  <c r="J53" i="9"/>
  <c r="J145" i="9"/>
  <c r="J49" i="9"/>
  <c r="J56" i="9"/>
  <c r="G54" i="9"/>
  <c r="J58" i="9"/>
  <c r="H86" i="8"/>
  <c r="J57" i="9"/>
  <c r="G16" i="7"/>
  <c r="G138" i="8"/>
  <c r="DX17" i="7"/>
  <c r="F19" i="7"/>
  <c r="DX12" i="7"/>
  <c r="EP82" i="7"/>
  <c r="EF82" i="7"/>
  <c r="EI82" i="7" s="1"/>
  <c r="F29" i="8"/>
  <c r="G173" i="8" l="1"/>
  <c r="G29" i="8" s="1"/>
  <c r="H20" i="7"/>
  <c r="H90" i="8"/>
  <c r="H89" i="8"/>
  <c r="K40" i="9"/>
  <c r="H94" i="8"/>
  <c r="J89" i="9"/>
  <c r="H141" i="8" s="1"/>
  <c r="H105" i="8"/>
  <c r="J100" i="9"/>
  <c r="H152" i="8" s="1"/>
  <c r="I25" i="7"/>
  <c r="I26" i="7" s="1"/>
  <c r="I28" i="7" s="1"/>
  <c r="J86" i="9"/>
  <c r="H91" i="8"/>
  <c r="J91" i="9"/>
  <c r="H143" i="8" s="1"/>
  <c r="H96" i="8"/>
  <c r="I141" i="9"/>
  <c r="J61" i="9"/>
  <c r="J92" i="9"/>
  <c r="H144" i="8" s="1"/>
  <c r="H97" i="8"/>
  <c r="H101" i="8"/>
  <c r="J96" i="9"/>
  <c r="H148" i="8" s="1"/>
  <c r="I45" i="7"/>
  <c r="I46" i="7" s="1"/>
  <c r="I48" i="7" s="1"/>
  <c r="J88" i="9"/>
  <c r="H140" i="8" s="1"/>
  <c r="H93" i="8"/>
  <c r="I33" i="7"/>
  <c r="I34" i="7" s="1"/>
  <c r="I36" i="7" s="1"/>
  <c r="J93" i="9"/>
  <c r="H145" i="8" s="1"/>
  <c r="H98" i="8"/>
  <c r="H92" i="8"/>
  <c r="J87" i="9"/>
  <c r="H139" i="8" s="1"/>
  <c r="I29" i="7"/>
  <c r="I30" i="7" s="1"/>
  <c r="I32" i="7" s="1"/>
  <c r="I37" i="7"/>
  <c r="I38" i="7" s="1"/>
  <c r="I40" i="7" s="1"/>
  <c r="J94" i="9"/>
  <c r="H146" i="8" s="1"/>
  <c r="H99" i="8"/>
  <c r="J90" i="9"/>
  <c r="H142" i="8" s="1"/>
  <c r="H95" i="8"/>
  <c r="J97" i="9"/>
  <c r="H149" i="8" s="1"/>
  <c r="H102" i="8"/>
  <c r="G60" i="9"/>
  <c r="E106" i="8" s="1"/>
  <c r="F41" i="7"/>
  <c r="F42" i="7" s="1"/>
  <c r="F44" i="7" s="1"/>
  <c r="G95" i="9"/>
  <c r="E100" i="8"/>
  <c r="E134" i="8" s="1"/>
  <c r="J99" i="9"/>
  <c r="H151" i="8" s="1"/>
  <c r="H104" i="8"/>
  <c r="I9" i="7"/>
  <c r="I10" i="7" s="1"/>
  <c r="H33" i="8"/>
  <c r="H129" i="8"/>
  <c r="H103" i="8"/>
  <c r="J98" i="9"/>
  <c r="H150" i="8" s="1"/>
  <c r="G17" i="7"/>
  <c r="H12" i="7"/>
  <c r="F53" i="7"/>
  <c r="E19" i="8" s="1"/>
  <c r="DW19" i="8" s="1"/>
  <c r="DX19" i="7"/>
  <c r="DX53" i="7" s="1"/>
  <c r="J146" i="9"/>
  <c r="J142" i="9" s="1"/>
  <c r="H171" i="8" l="1"/>
  <c r="I15" i="7"/>
  <c r="H133" i="8"/>
  <c r="H130" i="8" s="1"/>
  <c r="H172" i="8"/>
  <c r="K43" i="9"/>
  <c r="K44" i="9" s="1"/>
  <c r="K56" i="9"/>
  <c r="K135" i="9"/>
  <c r="K141" i="9" s="1"/>
  <c r="K61" i="9" s="1"/>
  <c r="K53" i="9"/>
  <c r="K47" i="9"/>
  <c r="I86" i="8"/>
  <c r="H54" i="9"/>
  <c r="K51" i="9"/>
  <c r="K50" i="9"/>
  <c r="K46" i="9"/>
  <c r="K144" i="9"/>
  <c r="K49" i="9"/>
  <c r="K136" i="9"/>
  <c r="K59" i="9"/>
  <c r="K145" i="9"/>
  <c r="K58" i="9"/>
  <c r="K48" i="9"/>
  <c r="K52" i="9"/>
  <c r="K57" i="9"/>
  <c r="K45" i="9"/>
  <c r="K55" i="9"/>
  <c r="DY28" i="7"/>
  <c r="H138" i="8"/>
  <c r="H141" i="9"/>
  <c r="I61" i="9"/>
  <c r="H107" i="8"/>
  <c r="DY48" i="7"/>
  <c r="DY36" i="7"/>
  <c r="DY32" i="7"/>
  <c r="DY40" i="7"/>
  <c r="E27" i="8"/>
  <c r="E30" i="8"/>
  <c r="DW30" i="8" s="1"/>
  <c r="E44" i="8"/>
  <c r="DW44" i="8" s="1"/>
  <c r="F52" i="7"/>
  <c r="F51" i="7"/>
  <c r="DX44" i="7"/>
  <c r="DX52" i="7" s="1"/>
  <c r="G101" i="9"/>
  <c r="G85" i="9" s="1"/>
  <c r="E137" i="8" s="1"/>
  <c r="E28" i="8" s="1"/>
  <c r="DW28" i="8" s="1"/>
  <c r="E147" i="8"/>
  <c r="E153" i="8" s="1"/>
  <c r="DY9" i="7"/>
  <c r="H16" i="7"/>
  <c r="DX33" i="8"/>
  <c r="G19" i="7"/>
  <c r="I142" i="9"/>
  <c r="E26" i="8"/>
  <c r="DY15" i="7" l="1"/>
  <c r="I20" i="7"/>
  <c r="I90" i="8"/>
  <c r="I89" i="8"/>
  <c r="L40" i="9"/>
  <c r="K97" i="9"/>
  <c r="I149" i="8" s="1"/>
  <c r="I102" i="8"/>
  <c r="I107" i="8"/>
  <c r="I99" i="8"/>
  <c r="K94" i="9"/>
  <c r="I146" i="8" s="1"/>
  <c r="J37" i="7"/>
  <c r="J38" i="7" s="1"/>
  <c r="J40" i="7" s="1"/>
  <c r="J33" i="7"/>
  <c r="J34" i="7" s="1"/>
  <c r="J36" i="7" s="1"/>
  <c r="I93" i="8"/>
  <c r="K88" i="9"/>
  <c r="I140" i="8" s="1"/>
  <c r="I129" i="8"/>
  <c r="J9" i="7"/>
  <c r="J10" i="7" s="1"/>
  <c r="I33" i="8"/>
  <c r="H60" i="9"/>
  <c r="F106" i="8" s="1"/>
  <c r="H95" i="9"/>
  <c r="F100" i="8"/>
  <c r="F134" i="8" s="1"/>
  <c r="G41" i="7"/>
  <c r="G42" i="7" s="1"/>
  <c r="G44" i="7" s="1"/>
  <c r="I97" i="8"/>
  <c r="K92" i="9"/>
  <c r="I144" i="8" s="1"/>
  <c r="K91" i="9"/>
  <c r="I143" i="8" s="1"/>
  <c r="I96" i="8"/>
  <c r="J29" i="7"/>
  <c r="J30" i="7" s="1"/>
  <c r="J32" i="7" s="1"/>
  <c r="I92" i="8"/>
  <c r="K87" i="9"/>
  <c r="I139" i="8" s="1"/>
  <c r="I95" i="8"/>
  <c r="K90" i="9"/>
  <c r="I142" i="8" s="1"/>
  <c r="I105" i="8"/>
  <c r="K100" i="9"/>
  <c r="I152" i="8" s="1"/>
  <c r="K99" i="9"/>
  <c r="I151" i="8" s="1"/>
  <c r="I104" i="8"/>
  <c r="I94" i="8"/>
  <c r="K89" i="9"/>
  <c r="I141" i="8" s="1"/>
  <c r="K93" i="9"/>
  <c r="I145" i="8" s="1"/>
  <c r="I98" i="8"/>
  <c r="I103" i="8"/>
  <c r="K98" i="9"/>
  <c r="I150" i="8" s="1"/>
  <c r="I91" i="8"/>
  <c r="K86" i="9"/>
  <c r="J25" i="7"/>
  <c r="J26" i="7" s="1"/>
  <c r="J28" i="7" s="1"/>
  <c r="J45" i="7"/>
  <c r="J46" i="7" s="1"/>
  <c r="J48" i="7" s="1"/>
  <c r="K96" i="9"/>
  <c r="I148" i="8" s="1"/>
  <c r="I101" i="8"/>
  <c r="G141" i="9"/>
  <c r="H61" i="9"/>
  <c r="G107" i="8"/>
  <c r="E18" i="8"/>
  <c r="F56" i="7"/>
  <c r="DX51" i="7"/>
  <c r="DX56" i="7" s="1"/>
  <c r="DX57" i="7" s="1"/>
  <c r="H17" i="7"/>
  <c r="DY10" i="7"/>
  <c r="I12" i="7"/>
  <c r="G53" i="7"/>
  <c r="F19" i="8" s="1"/>
  <c r="H142" i="9"/>
  <c r="E32" i="8"/>
  <c r="DW26" i="8"/>
  <c r="H173" i="8"/>
  <c r="K146" i="9"/>
  <c r="K142" i="9" s="1"/>
  <c r="DW27" i="8"/>
  <c r="DW32" i="8" l="1"/>
  <c r="I171" i="8"/>
  <c r="I172" i="8"/>
  <c r="I133" i="8"/>
  <c r="I130" i="8" s="1"/>
  <c r="J15" i="7"/>
  <c r="L56" i="9"/>
  <c r="L46" i="9"/>
  <c r="I54" i="9"/>
  <c r="L45" i="9"/>
  <c r="L145" i="9"/>
  <c r="L49" i="9"/>
  <c r="L48" i="9"/>
  <c r="L47" i="9"/>
  <c r="L50" i="9"/>
  <c r="L59" i="9"/>
  <c r="L53" i="9"/>
  <c r="L43" i="9"/>
  <c r="L44" i="9" s="1"/>
  <c r="L135" i="9"/>
  <c r="L141" i="9" s="1"/>
  <c r="L61" i="9" s="1"/>
  <c r="L58" i="9"/>
  <c r="L55" i="9"/>
  <c r="L57" i="9"/>
  <c r="L51" i="9"/>
  <c r="L52" i="9"/>
  <c r="L136" i="9"/>
  <c r="J86" i="8"/>
  <c r="L144" i="9"/>
  <c r="I16" i="7"/>
  <c r="F30" i="8"/>
  <c r="F27" i="8"/>
  <c r="F44" i="8"/>
  <c r="H101" i="9"/>
  <c r="H85" i="9" s="1"/>
  <c r="F137" i="8" s="1"/>
  <c r="F28" i="8" s="1"/>
  <c r="F147" i="8"/>
  <c r="F153" i="8" s="1"/>
  <c r="F26" i="8"/>
  <c r="G52" i="7"/>
  <c r="G51" i="7"/>
  <c r="I138" i="8"/>
  <c r="G61" i="9"/>
  <c r="F107" i="8"/>
  <c r="DW18" i="8"/>
  <c r="H19" i="7"/>
  <c r="DY12" i="7"/>
  <c r="G142" i="9"/>
  <c r="H64" i="9"/>
  <c r="H29" i="8"/>
  <c r="E22" i="8"/>
  <c r="F57" i="7"/>
  <c r="DW22" i="8" l="1"/>
  <c r="DW23" i="8" s="1"/>
  <c r="DW25" i="8" s="1"/>
  <c r="E23" i="8"/>
  <c r="J20" i="7"/>
  <c r="L97" i="9"/>
  <c r="J149" i="8" s="1"/>
  <c r="J102" i="8"/>
  <c r="J92" i="8"/>
  <c r="K29" i="7"/>
  <c r="K30" i="7" s="1"/>
  <c r="K32" i="7" s="1"/>
  <c r="L87" i="9"/>
  <c r="J139" i="8" s="1"/>
  <c r="I64" i="9"/>
  <c r="G110" i="8" s="1"/>
  <c r="I60" i="9"/>
  <c r="G106" i="8" s="1"/>
  <c r="I95" i="9"/>
  <c r="G100" i="8"/>
  <c r="G134" i="8" s="1"/>
  <c r="H41" i="7"/>
  <c r="H42" i="7" s="1"/>
  <c r="H44" i="7" s="1"/>
  <c r="L86" i="9"/>
  <c r="K25" i="7"/>
  <c r="K26" i="7" s="1"/>
  <c r="K28" i="7" s="1"/>
  <c r="J91" i="8"/>
  <c r="J95" i="8"/>
  <c r="L90" i="9"/>
  <c r="J142" i="8" s="1"/>
  <c r="L89" i="9"/>
  <c r="J141" i="8" s="1"/>
  <c r="J94" i="8"/>
  <c r="J93" i="8"/>
  <c r="L88" i="9"/>
  <c r="J140" i="8" s="1"/>
  <c r="K33" i="7"/>
  <c r="K34" i="7" s="1"/>
  <c r="K36" i="7" s="1"/>
  <c r="J96" i="8"/>
  <c r="L91" i="9"/>
  <c r="J143" i="8" s="1"/>
  <c r="L100" i="9"/>
  <c r="J152" i="8" s="1"/>
  <c r="J105" i="8"/>
  <c r="J99" i="8"/>
  <c r="K37" i="7"/>
  <c r="K38" i="7" s="1"/>
  <c r="K40" i="7" s="1"/>
  <c r="L94" i="9"/>
  <c r="J146" i="8" s="1"/>
  <c r="J90" i="8"/>
  <c r="J89" i="8"/>
  <c r="M40" i="9"/>
  <c r="J107" i="8"/>
  <c r="L99" i="9"/>
  <c r="J151" i="8" s="1"/>
  <c r="J104" i="8"/>
  <c r="K45" i="7"/>
  <c r="K46" i="7" s="1"/>
  <c r="K48" i="7" s="1"/>
  <c r="L96" i="9"/>
  <c r="J148" i="8" s="1"/>
  <c r="J101" i="8"/>
  <c r="J103" i="8"/>
  <c r="L98" i="9"/>
  <c r="J150" i="8" s="1"/>
  <c r="L92" i="9"/>
  <c r="J144" i="8" s="1"/>
  <c r="J97" i="8"/>
  <c r="J98" i="8"/>
  <c r="L93" i="9"/>
  <c r="J145" i="8" s="1"/>
  <c r="K9" i="7"/>
  <c r="K10" i="7" s="1"/>
  <c r="J33" i="8"/>
  <c r="J129" i="8"/>
  <c r="DY16" i="7"/>
  <c r="I17" i="7"/>
  <c r="J12" i="7"/>
  <c r="F32" i="8"/>
  <c r="F18" i="8"/>
  <c r="G56" i="7"/>
  <c r="E107" i="8"/>
  <c r="H53" i="7"/>
  <c r="G19" i="8" s="1"/>
  <c r="F110" i="8"/>
  <c r="G64" i="9"/>
  <c r="E110" i="8" s="1"/>
  <c r="DX29" i="8"/>
  <c r="I173" i="8"/>
  <c r="L146" i="9"/>
  <c r="L142" i="9" s="1"/>
  <c r="E182" i="8" l="1"/>
  <c r="E25" i="8"/>
  <c r="E52" i="8" s="1"/>
  <c r="DW52" i="8" s="1"/>
  <c r="G30" i="8"/>
  <c r="G44" i="8"/>
  <c r="G27" i="8"/>
  <c r="I101" i="9"/>
  <c r="I85" i="9" s="1"/>
  <c r="G137" i="8" s="1"/>
  <c r="G28" i="8" s="1"/>
  <c r="G147" i="8"/>
  <c r="G153" i="8" s="1"/>
  <c r="G26" i="8"/>
  <c r="H51" i="7"/>
  <c r="H52" i="7"/>
  <c r="J138" i="8"/>
  <c r="K15" i="7"/>
  <c r="J133" i="8"/>
  <c r="J130" i="8" s="1"/>
  <c r="J171" i="8"/>
  <c r="J172" i="8"/>
  <c r="M52" i="9"/>
  <c r="M55" i="9"/>
  <c r="K86" i="8"/>
  <c r="M51" i="9"/>
  <c r="M47" i="9"/>
  <c r="M45" i="9"/>
  <c r="M145" i="9"/>
  <c r="M57" i="9"/>
  <c r="M46" i="9"/>
  <c r="M48" i="9"/>
  <c r="M135" i="9"/>
  <c r="M141" i="9" s="1"/>
  <c r="M61" i="9" s="1"/>
  <c r="M58" i="9"/>
  <c r="J54" i="9"/>
  <c r="M53" i="9"/>
  <c r="M56" i="9"/>
  <c r="M144" i="9"/>
  <c r="M49" i="9"/>
  <c r="M136" i="9"/>
  <c r="M59" i="9"/>
  <c r="M50" i="9"/>
  <c r="M43" i="9"/>
  <c r="M44" i="9" s="1"/>
  <c r="J16" i="7"/>
  <c r="DY17" i="7"/>
  <c r="I19" i="7"/>
  <c r="I29" i="8"/>
  <c r="F22" i="8"/>
  <c r="F23" i="8" s="1"/>
  <c r="G57" i="7"/>
  <c r="M146" i="9" l="1"/>
  <c r="M142" i="9" s="1"/>
  <c r="E37" i="8"/>
  <c r="DW37" i="8" s="1"/>
  <c r="E53" i="8"/>
  <c r="DW53" i="8" s="1"/>
  <c r="E36" i="8"/>
  <c r="DW36" i="8" s="1"/>
  <c r="C8" i="8"/>
  <c r="G32" i="8"/>
  <c r="H56" i="7"/>
  <c r="G18" i="8"/>
  <c r="K20" i="7"/>
  <c r="M93" i="9"/>
  <c r="K145" i="8" s="1"/>
  <c r="K98" i="8"/>
  <c r="L45" i="7"/>
  <c r="L46" i="7" s="1"/>
  <c r="L48" i="7" s="1"/>
  <c r="M96" i="9"/>
  <c r="K148" i="8" s="1"/>
  <c r="K101" i="8"/>
  <c r="L9" i="7"/>
  <c r="L10" i="7" s="1"/>
  <c r="K129" i="8"/>
  <c r="K33" i="8"/>
  <c r="M92" i="9"/>
  <c r="K144" i="8" s="1"/>
  <c r="K97" i="8"/>
  <c r="L33" i="7"/>
  <c r="L34" i="7" s="1"/>
  <c r="L36" i="7" s="1"/>
  <c r="K93" i="8"/>
  <c r="M88" i="9"/>
  <c r="K140" i="8" s="1"/>
  <c r="K91" i="8"/>
  <c r="L25" i="7"/>
  <c r="L26" i="7" s="1"/>
  <c r="L28" i="7" s="1"/>
  <c r="M86" i="9"/>
  <c r="M98" i="9"/>
  <c r="K150" i="8" s="1"/>
  <c r="K103" i="8"/>
  <c r="L29" i="7"/>
  <c r="L30" i="7" s="1"/>
  <c r="L32" i="7" s="1"/>
  <c r="K92" i="8"/>
  <c r="M87" i="9"/>
  <c r="K139" i="8" s="1"/>
  <c r="K90" i="8"/>
  <c r="K94" i="8"/>
  <c r="M89" i="9"/>
  <c r="K141" i="8" s="1"/>
  <c r="K107" i="8"/>
  <c r="K104" i="8"/>
  <c r="M99" i="9"/>
  <c r="K151" i="8" s="1"/>
  <c r="J64" i="9"/>
  <c r="H110" i="8" s="1"/>
  <c r="J62" i="9"/>
  <c r="J60" i="9"/>
  <c r="H106" i="8" s="1"/>
  <c r="I41" i="7"/>
  <c r="I42" i="7" s="1"/>
  <c r="I44" i="7" s="1"/>
  <c r="J95" i="9"/>
  <c r="H100" i="8"/>
  <c r="H134" i="8" s="1"/>
  <c r="K99" i="8"/>
  <c r="M94" i="9"/>
  <c r="K146" i="8" s="1"/>
  <c r="L37" i="7"/>
  <c r="L38" i="7" s="1"/>
  <c r="L40" i="7" s="1"/>
  <c r="M97" i="9"/>
  <c r="K149" i="8" s="1"/>
  <c r="K102" i="8"/>
  <c r="M90" i="9"/>
  <c r="K142" i="8" s="1"/>
  <c r="K95" i="8"/>
  <c r="M100" i="9"/>
  <c r="K152" i="8" s="1"/>
  <c r="K105" i="8"/>
  <c r="K96" i="8"/>
  <c r="M91" i="9"/>
  <c r="K143" i="8" s="1"/>
  <c r="K89" i="8"/>
  <c r="N40" i="9"/>
  <c r="J17" i="7"/>
  <c r="K12" i="7"/>
  <c r="DY19" i="7"/>
  <c r="DY53" i="7" s="1"/>
  <c r="I53" i="7"/>
  <c r="H19" i="8" s="1"/>
  <c r="F182" i="8"/>
  <c r="F25" i="8"/>
  <c r="J173" i="8"/>
  <c r="G22" i="8" l="1"/>
  <c r="G23" i="8" s="1"/>
  <c r="H57" i="7"/>
  <c r="DZ48" i="7"/>
  <c r="DZ9" i="7"/>
  <c r="K16" i="7"/>
  <c r="DY33" i="8"/>
  <c r="DZ36" i="7"/>
  <c r="DZ28" i="7"/>
  <c r="K138" i="8"/>
  <c r="DZ32" i="7"/>
  <c r="J63" i="9"/>
  <c r="H109" i="8" s="1"/>
  <c r="H34" i="8" s="1"/>
  <c r="I62" i="9"/>
  <c r="H108" i="8"/>
  <c r="H44" i="8"/>
  <c r="H30" i="8"/>
  <c r="H27" i="8"/>
  <c r="DY44" i="7"/>
  <c r="DY52" i="7" s="1"/>
  <c r="I51" i="7"/>
  <c r="I52" i="7"/>
  <c r="J101" i="9"/>
  <c r="J85" i="9" s="1"/>
  <c r="H137" i="8" s="1"/>
  <c r="H28" i="8" s="1"/>
  <c r="H147" i="8"/>
  <c r="H153" i="8" s="1"/>
  <c r="H26" i="8"/>
  <c r="DZ40" i="7"/>
  <c r="K172" i="8"/>
  <c r="K133" i="8"/>
  <c r="K130" i="8" s="1"/>
  <c r="K171" i="8"/>
  <c r="L15" i="7"/>
  <c r="N58" i="9"/>
  <c r="N51" i="9"/>
  <c r="N52" i="9"/>
  <c r="N55" i="9"/>
  <c r="N56" i="9"/>
  <c r="N136" i="9"/>
  <c r="N57" i="9"/>
  <c r="N144" i="9"/>
  <c r="N59" i="9"/>
  <c r="N53" i="9"/>
  <c r="L86" i="8"/>
  <c r="N49" i="9"/>
  <c r="N48" i="9"/>
  <c r="N46" i="9"/>
  <c r="N45" i="9"/>
  <c r="N50" i="9"/>
  <c r="N43" i="9"/>
  <c r="N44" i="9" s="1"/>
  <c r="K54" i="9"/>
  <c r="N145" i="9"/>
  <c r="N135" i="9"/>
  <c r="N141" i="9" s="1"/>
  <c r="N61" i="9" s="1"/>
  <c r="N47" i="9"/>
  <c r="J19" i="7"/>
  <c r="DX19" i="8"/>
  <c r="F36" i="8"/>
  <c r="F37" i="8"/>
  <c r="F52" i="8"/>
  <c r="F53" i="8"/>
  <c r="J29" i="8"/>
  <c r="K173" i="8" l="1"/>
  <c r="K29" i="8" s="1"/>
  <c r="DY29" i="8" s="1"/>
  <c r="G182" i="8"/>
  <c r="G25" i="8"/>
  <c r="K17" i="7"/>
  <c r="DZ10" i="7"/>
  <c r="L12" i="7"/>
  <c r="I63" i="9"/>
  <c r="G109" i="8" s="1"/>
  <c r="G34" i="8" s="1"/>
  <c r="H62" i="9"/>
  <c r="G108" i="8"/>
  <c r="DX44" i="8"/>
  <c r="DX30" i="8"/>
  <c r="DX27" i="8"/>
  <c r="DY51" i="7"/>
  <c r="DY56" i="7" s="1"/>
  <c r="DY57" i="7" s="1"/>
  <c r="I56" i="7"/>
  <c r="H22" i="8" s="1"/>
  <c r="H18" i="8"/>
  <c r="I57" i="7"/>
  <c r="DX28" i="8"/>
  <c r="DX26" i="8"/>
  <c r="H32" i="8"/>
  <c r="DZ15" i="7"/>
  <c r="L20" i="7"/>
  <c r="N99" i="9"/>
  <c r="L151" i="8" s="1"/>
  <c r="L104" i="8"/>
  <c r="L97" i="8"/>
  <c r="N92" i="9"/>
  <c r="L144" i="8" s="1"/>
  <c r="L98" i="8"/>
  <c r="N93" i="9"/>
  <c r="L145" i="8" s="1"/>
  <c r="L101" i="8"/>
  <c r="M45" i="7"/>
  <c r="M46" i="7" s="1"/>
  <c r="M48" i="7" s="1"/>
  <c r="N96" i="9"/>
  <c r="L148" i="8" s="1"/>
  <c r="L102" i="8"/>
  <c r="N97" i="9"/>
  <c r="L149" i="8" s="1"/>
  <c r="N98" i="9"/>
  <c r="L150" i="8" s="1"/>
  <c r="L103" i="8"/>
  <c r="L105" i="8"/>
  <c r="N100" i="9"/>
  <c r="L152" i="8" s="1"/>
  <c r="L99" i="8"/>
  <c r="N94" i="9"/>
  <c r="L146" i="8" s="1"/>
  <c r="M37" i="7"/>
  <c r="M38" i="7" s="1"/>
  <c r="M40" i="7" s="1"/>
  <c r="M9" i="7"/>
  <c r="M10" i="7" s="1"/>
  <c r="L33" i="8"/>
  <c r="L129" i="8"/>
  <c r="L95" i="8"/>
  <c r="N90" i="9"/>
  <c r="L142" i="8" s="1"/>
  <c r="L94" i="8"/>
  <c r="N89" i="9"/>
  <c r="L141" i="8" s="1"/>
  <c r="M29" i="7"/>
  <c r="M30" i="7" s="1"/>
  <c r="M32" i="7" s="1"/>
  <c r="N87" i="9"/>
  <c r="L139" i="8" s="1"/>
  <c r="L92" i="8"/>
  <c r="M25" i="7"/>
  <c r="M26" i="7" s="1"/>
  <c r="M28" i="7" s="1"/>
  <c r="N86" i="9"/>
  <c r="L91" i="8"/>
  <c r="L96" i="8"/>
  <c r="N91" i="9"/>
  <c r="L143" i="8" s="1"/>
  <c r="L90" i="8"/>
  <c r="O40" i="9"/>
  <c r="L89" i="8"/>
  <c r="K64" i="9"/>
  <c r="I110" i="8" s="1"/>
  <c r="K62" i="9"/>
  <c r="K60" i="9"/>
  <c r="I106" i="8" s="1"/>
  <c r="J41" i="7"/>
  <c r="J42" i="7" s="1"/>
  <c r="J44" i="7" s="1"/>
  <c r="K95" i="9"/>
  <c r="I100" i="8"/>
  <c r="I134" i="8" s="1"/>
  <c r="I26" i="8" s="1"/>
  <c r="L107" i="8"/>
  <c r="N88" i="9"/>
  <c r="L140" i="8" s="1"/>
  <c r="M33" i="7"/>
  <c r="M34" i="7" s="1"/>
  <c r="M36" i="7" s="1"/>
  <c r="L93" i="8"/>
  <c r="J53" i="7"/>
  <c r="I19" i="8" s="1"/>
  <c r="N146" i="9"/>
  <c r="N142" i="9" s="1"/>
  <c r="G36" i="8" l="1"/>
  <c r="G37" i="8"/>
  <c r="G53" i="8"/>
  <c r="G52" i="8"/>
  <c r="K19" i="7"/>
  <c r="DZ12" i="7"/>
  <c r="H63" i="9"/>
  <c r="F109" i="8" s="1"/>
  <c r="F34" i="8" s="1"/>
  <c r="F108" i="8"/>
  <c r="G62" i="9"/>
  <c r="DX22" i="8"/>
  <c r="DX18" i="8"/>
  <c r="H23" i="8"/>
  <c r="L16" i="7"/>
  <c r="L138" i="8"/>
  <c r="O57" i="9"/>
  <c r="O50" i="9"/>
  <c r="O59" i="9"/>
  <c r="O43" i="9"/>
  <c r="O44" i="9" s="1"/>
  <c r="O47" i="9"/>
  <c r="O51" i="9"/>
  <c r="O46" i="9"/>
  <c r="O58" i="9"/>
  <c r="O136" i="9"/>
  <c r="O52" i="9"/>
  <c r="O144" i="9"/>
  <c r="O48" i="9"/>
  <c r="O55" i="9"/>
  <c r="L54" i="9"/>
  <c r="M86" i="8"/>
  <c r="O56" i="9"/>
  <c r="O45" i="9"/>
  <c r="O53" i="9"/>
  <c r="O145" i="9"/>
  <c r="O135" i="9"/>
  <c r="O141" i="9" s="1"/>
  <c r="O61" i="9" s="1"/>
  <c r="O49" i="9"/>
  <c r="L171" i="8"/>
  <c r="L172" i="8"/>
  <c r="M15" i="7"/>
  <c r="L133" i="8"/>
  <c r="L130" i="8" s="1"/>
  <c r="K63" i="9"/>
  <c r="I109" i="8" s="1"/>
  <c r="I34" i="8" s="1"/>
  <c r="I108" i="8"/>
  <c r="I30" i="8"/>
  <c r="I27" i="8"/>
  <c r="I44" i="8"/>
  <c r="J51" i="7"/>
  <c r="J52" i="7"/>
  <c r="K101" i="9"/>
  <c r="K85" i="9" s="1"/>
  <c r="I137" i="8" s="1"/>
  <c r="I28" i="8" s="1"/>
  <c r="I147" i="8"/>
  <c r="I153" i="8" s="1"/>
  <c r="DX32" i="8"/>
  <c r="DX23" i="8" l="1"/>
  <c r="DX25" i="8" s="1"/>
  <c r="I32" i="8"/>
  <c r="K53" i="7"/>
  <c r="J19" i="8" s="1"/>
  <c r="DX34" i="8"/>
  <c r="G63" i="9"/>
  <c r="E108" i="8"/>
  <c r="H182" i="8"/>
  <c r="H25" i="8"/>
  <c r="DZ16" i="7"/>
  <c r="L17" i="7"/>
  <c r="M12" i="7"/>
  <c r="O98" i="9"/>
  <c r="M150" i="8" s="1"/>
  <c r="M103" i="8"/>
  <c r="M96" i="8"/>
  <c r="O91" i="9"/>
  <c r="M143" i="8" s="1"/>
  <c r="M105" i="8"/>
  <c r="O100" i="9"/>
  <c r="M152" i="8" s="1"/>
  <c r="P40" i="9"/>
  <c r="M89" i="8"/>
  <c r="O88" i="9"/>
  <c r="M140" i="8" s="1"/>
  <c r="M93" i="8"/>
  <c r="N33" i="7"/>
  <c r="N34" i="7" s="1"/>
  <c r="N36" i="7" s="1"/>
  <c r="M97" i="8"/>
  <c r="O92" i="9"/>
  <c r="M144" i="8" s="1"/>
  <c r="O87" i="9"/>
  <c r="M139" i="8" s="1"/>
  <c r="N29" i="7"/>
  <c r="N30" i="7" s="1"/>
  <c r="N32" i="7" s="1"/>
  <c r="M92" i="8"/>
  <c r="M104" i="8"/>
  <c r="O99" i="9"/>
  <c r="M151" i="8" s="1"/>
  <c r="M98" i="8"/>
  <c r="O93" i="9"/>
  <c r="M145" i="8" s="1"/>
  <c r="O89" i="9"/>
  <c r="M141" i="8" s="1"/>
  <c r="M94" i="8"/>
  <c r="O96" i="9"/>
  <c r="M148" i="8" s="1"/>
  <c r="N45" i="7"/>
  <c r="N46" i="7" s="1"/>
  <c r="N48" i="7" s="1"/>
  <c r="M101" i="8"/>
  <c r="L64" i="9"/>
  <c r="J110" i="8" s="1"/>
  <c r="L60" i="9"/>
  <c r="J106" i="8" s="1"/>
  <c r="L62" i="9"/>
  <c r="L95" i="9"/>
  <c r="K41" i="7"/>
  <c r="K42" i="7" s="1"/>
  <c r="K44" i="7" s="1"/>
  <c r="J100" i="8"/>
  <c r="J134" i="8" s="1"/>
  <c r="J26" i="8" s="1"/>
  <c r="M33" i="8"/>
  <c r="M129" i="8"/>
  <c r="N9" i="7"/>
  <c r="N10" i="7" s="1"/>
  <c r="M102" i="8"/>
  <c r="O97" i="9"/>
  <c r="M149" i="8" s="1"/>
  <c r="M91" i="8"/>
  <c r="O86" i="9"/>
  <c r="N25" i="7"/>
  <c r="N26" i="7" s="1"/>
  <c r="N28" i="7" s="1"/>
  <c r="M90" i="8"/>
  <c r="O94" i="9"/>
  <c r="M146" i="8" s="1"/>
  <c r="M99" i="8"/>
  <c r="N37" i="7"/>
  <c r="N38" i="7" s="1"/>
  <c r="N40" i="7" s="1"/>
  <c r="M107" i="8"/>
  <c r="M95" i="8"/>
  <c r="O90" i="9"/>
  <c r="M142" i="8" s="1"/>
  <c r="M20" i="7"/>
  <c r="J56" i="7"/>
  <c r="I22" i="8" s="1"/>
  <c r="I18" i="8"/>
  <c r="J57" i="7"/>
  <c r="O146" i="9"/>
  <c r="O142" i="9" s="1"/>
  <c r="L173" i="8"/>
  <c r="E109" i="8" l="1"/>
  <c r="E34" i="8" s="1"/>
  <c r="D8" i="8"/>
  <c r="H36" i="8"/>
  <c r="H52" i="8"/>
  <c r="H53" i="8"/>
  <c r="H37" i="8"/>
  <c r="DZ17" i="7"/>
  <c r="L19" i="7"/>
  <c r="P47" i="9"/>
  <c r="P135" i="9"/>
  <c r="P141" i="9" s="1"/>
  <c r="P61" i="9" s="1"/>
  <c r="P57" i="9"/>
  <c r="P58" i="9"/>
  <c r="P136" i="9"/>
  <c r="P59" i="9"/>
  <c r="P46" i="9"/>
  <c r="P52" i="9"/>
  <c r="P55" i="9"/>
  <c r="P51" i="9"/>
  <c r="P49" i="9"/>
  <c r="P53" i="9"/>
  <c r="P45" i="9"/>
  <c r="M54" i="9"/>
  <c r="N86" i="8"/>
  <c r="P145" i="9"/>
  <c r="P144" i="9"/>
  <c r="P56" i="9"/>
  <c r="P48" i="9"/>
  <c r="P50" i="9"/>
  <c r="P43" i="9"/>
  <c r="P44" i="9" s="1"/>
  <c r="M171" i="8"/>
  <c r="N15" i="7"/>
  <c r="M133" i="8"/>
  <c r="M130" i="8" s="1"/>
  <c r="M172" i="8"/>
  <c r="J44" i="8"/>
  <c r="J27" i="8"/>
  <c r="J30" i="8"/>
  <c r="L63" i="9"/>
  <c r="J109" i="8" s="1"/>
  <c r="J34" i="8" s="1"/>
  <c r="J108" i="8"/>
  <c r="L101" i="9"/>
  <c r="L85" i="9" s="1"/>
  <c r="J137" i="8" s="1"/>
  <c r="J28" i="8" s="1"/>
  <c r="J147" i="8"/>
  <c r="J153" i="8" s="1"/>
  <c r="K52" i="7"/>
  <c r="K51" i="7"/>
  <c r="M16" i="7"/>
  <c r="M138" i="8"/>
  <c r="I23" i="8"/>
  <c r="L29" i="8"/>
  <c r="P146" i="9" l="1"/>
  <c r="P142" i="9" s="1"/>
  <c r="J32" i="8"/>
  <c r="M173" i="8"/>
  <c r="M29" i="8" s="1"/>
  <c r="DW34" i="8"/>
  <c r="DX36" i="8"/>
  <c r="DX52" i="8"/>
  <c r="DX53" i="8"/>
  <c r="DX37" i="8"/>
  <c r="DZ19" i="7"/>
  <c r="DZ53" i="7" s="1"/>
  <c r="L53" i="7"/>
  <c r="K19" i="8" s="1"/>
  <c r="P88" i="9"/>
  <c r="N140" i="8" s="1"/>
  <c r="O33" i="7"/>
  <c r="O34" i="7" s="1"/>
  <c r="O36" i="7" s="1"/>
  <c r="N93" i="8"/>
  <c r="N107" i="8"/>
  <c r="P98" i="9"/>
  <c r="N150" i="8" s="1"/>
  <c r="N103" i="8"/>
  <c r="P99" i="9"/>
  <c r="N151" i="8" s="1"/>
  <c r="N104" i="8"/>
  <c r="N105" i="8"/>
  <c r="P100" i="9"/>
  <c r="N152" i="8" s="1"/>
  <c r="O29" i="7"/>
  <c r="O30" i="7" s="1"/>
  <c r="O32" i="7" s="1"/>
  <c r="N92" i="8"/>
  <c r="P87" i="9"/>
  <c r="N139" i="8" s="1"/>
  <c r="P93" i="9"/>
  <c r="N145" i="8" s="1"/>
  <c r="N98" i="8"/>
  <c r="O45" i="7"/>
  <c r="O46" i="7" s="1"/>
  <c r="O48" i="7" s="1"/>
  <c r="N101" i="8"/>
  <c r="P96" i="9"/>
  <c r="N148" i="8" s="1"/>
  <c r="P92" i="9"/>
  <c r="N144" i="8" s="1"/>
  <c r="N97" i="8"/>
  <c r="P90" i="9"/>
  <c r="N142" i="8" s="1"/>
  <c r="N95" i="8"/>
  <c r="P94" i="9"/>
  <c r="N146" i="8" s="1"/>
  <c r="N99" i="8"/>
  <c r="O37" i="7"/>
  <c r="O38" i="7" s="1"/>
  <c r="O40" i="7" s="1"/>
  <c r="N91" i="8"/>
  <c r="P86" i="9"/>
  <c r="O25" i="7"/>
  <c r="O26" i="7" s="1"/>
  <c r="O28" i="7" s="1"/>
  <c r="M62" i="9"/>
  <c r="M60" i="9"/>
  <c r="K106" i="8" s="1"/>
  <c r="M64" i="9"/>
  <c r="K110" i="8" s="1"/>
  <c r="M95" i="9"/>
  <c r="L41" i="7"/>
  <c r="L42" i="7" s="1"/>
  <c r="L44" i="7" s="1"/>
  <c r="K100" i="8"/>
  <c r="K134" i="8" s="1"/>
  <c r="K26" i="8" s="1"/>
  <c r="O9" i="7"/>
  <c r="O10" i="7" s="1"/>
  <c r="N129" i="8"/>
  <c r="N33" i="8"/>
  <c r="N102" i="8"/>
  <c r="P97" i="9"/>
  <c r="N149" i="8" s="1"/>
  <c r="N94" i="8"/>
  <c r="P89" i="9"/>
  <c r="N141" i="8" s="1"/>
  <c r="N96" i="8"/>
  <c r="P91" i="9"/>
  <c r="N143" i="8" s="1"/>
  <c r="N90" i="8"/>
  <c r="N89" i="8"/>
  <c r="Q40" i="9"/>
  <c r="N20" i="7"/>
  <c r="J18" i="8"/>
  <c r="K56" i="7"/>
  <c r="M17" i="7"/>
  <c r="N12" i="7"/>
  <c r="I182" i="8"/>
  <c r="I25" i="8"/>
  <c r="DY19" i="8" l="1"/>
  <c r="EA36" i="7"/>
  <c r="EA32" i="7"/>
  <c r="EA48" i="7"/>
  <c r="EA40" i="7"/>
  <c r="N138" i="8"/>
  <c r="EA28" i="7"/>
  <c r="M63" i="9"/>
  <c r="K108" i="8"/>
  <c r="K30" i="8"/>
  <c r="K27" i="8"/>
  <c r="K44" i="8"/>
  <c r="M101" i="9"/>
  <c r="M85" i="9" s="1"/>
  <c r="K137" i="8" s="1"/>
  <c r="K28" i="8" s="1"/>
  <c r="K147" i="8"/>
  <c r="K153" i="8" s="1"/>
  <c r="DZ44" i="7"/>
  <c r="DZ52" i="7" s="1"/>
  <c r="L52" i="7"/>
  <c r="L51" i="7"/>
  <c r="DY26" i="8"/>
  <c r="EA9" i="7"/>
  <c r="N16" i="7"/>
  <c r="DZ33" i="8"/>
  <c r="O15" i="7"/>
  <c r="N172" i="8"/>
  <c r="N133" i="8"/>
  <c r="N130" i="8" s="1"/>
  <c r="N171" i="8"/>
  <c r="N173" i="8" s="1"/>
  <c r="N29" i="8" s="1"/>
  <c r="Q53" i="9"/>
  <c r="Q48" i="9"/>
  <c r="Q56" i="9"/>
  <c r="Q47" i="9"/>
  <c r="Q45" i="9"/>
  <c r="Q43" i="9"/>
  <c r="Q44" i="9" s="1"/>
  <c r="Q55" i="9"/>
  <c r="Q51" i="9"/>
  <c r="Q52" i="9"/>
  <c r="Q49" i="9"/>
  <c r="Q145" i="9"/>
  <c r="Q50" i="9"/>
  <c r="Q57" i="9"/>
  <c r="Q144" i="9"/>
  <c r="Q146" i="9" s="1"/>
  <c r="Q142" i="9" s="1"/>
  <c r="Q58" i="9"/>
  <c r="Q46" i="9"/>
  <c r="Q135" i="9"/>
  <c r="Q141" i="9" s="1"/>
  <c r="Q61" i="9" s="1"/>
  <c r="Q136" i="9"/>
  <c r="Q59" i="9"/>
  <c r="N54" i="9"/>
  <c r="O86" i="8"/>
  <c r="M19" i="7"/>
  <c r="I52" i="8"/>
  <c r="I37" i="8"/>
  <c r="I53" i="8"/>
  <c r="I36" i="8"/>
  <c r="J22" i="8"/>
  <c r="J23" i="8" s="1"/>
  <c r="K57" i="7"/>
  <c r="K32" i="8" l="1"/>
  <c r="K109" i="8"/>
  <c r="K34" i="8" s="1"/>
  <c r="DY30" i="8"/>
  <c r="DY27" i="8"/>
  <c r="DY44" i="8"/>
  <c r="DY28" i="8"/>
  <c r="K18" i="8"/>
  <c r="DZ51" i="7"/>
  <c r="DZ56" i="7" s="1"/>
  <c r="DZ57" i="7" s="1"/>
  <c r="L56" i="7"/>
  <c r="EA10" i="7"/>
  <c r="O12" i="7"/>
  <c r="N17" i="7"/>
  <c r="EA15" i="7"/>
  <c r="O20" i="7"/>
  <c r="DZ29" i="8"/>
  <c r="P37" i="7"/>
  <c r="P38" i="7" s="1"/>
  <c r="P40" i="7" s="1"/>
  <c r="O99" i="8"/>
  <c r="Q94" i="9"/>
  <c r="O146" i="8" s="1"/>
  <c r="Q89" i="9"/>
  <c r="O141" i="8" s="1"/>
  <c r="O94" i="8"/>
  <c r="Q97" i="9"/>
  <c r="O149" i="8" s="1"/>
  <c r="O102" i="8"/>
  <c r="Q88" i="9"/>
  <c r="O140" i="8" s="1"/>
  <c r="P33" i="7"/>
  <c r="P34" i="7" s="1"/>
  <c r="P36" i="7" s="1"/>
  <c r="O93" i="8"/>
  <c r="P25" i="7"/>
  <c r="P26" i="7" s="1"/>
  <c r="P28" i="7" s="1"/>
  <c r="Q86" i="9"/>
  <c r="O91" i="8"/>
  <c r="O90" i="8"/>
  <c r="O89" i="8"/>
  <c r="R40" i="9"/>
  <c r="Q96" i="9"/>
  <c r="O148" i="8" s="1"/>
  <c r="O101" i="8"/>
  <c r="P45" i="7"/>
  <c r="P46" i="7" s="1"/>
  <c r="P48" i="7" s="1"/>
  <c r="Q92" i="9"/>
  <c r="O144" i="8" s="1"/>
  <c r="O97" i="8"/>
  <c r="O98" i="8"/>
  <c r="Q93" i="9"/>
  <c r="O145" i="8" s="1"/>
  <c r="Q90" i="9"/>
  <c r="O142" i="8" s="1"/>
  <c r="O95" i="8"/>
  <c r="Q91" i="9"/>
  <c r="O143" i="8" s="1"/>
  <c r="O96" i="8"/>
  <c r="O103" i="8"/>
  <c r="Q98" i="9"/>
  <c r="O150" i="8" s="1"/>
  <c r="Q99" i="9"/>
  <c r="O151" i="8" s="1"/>
  <c r="O104" i="8"/>
  <c r="O92" i="8"/>
  <c r="Q87" i="9"/>
  <c r="O139" i="8" s="1"/>
  <c r="P29" i="7"/>
  <c r="P30" i="7" s="1"/>
  <c r="P32" i="7" s="1"/>
  <c r="O107" i="8"/>
  <c r="Q100" i="9"/>
  <c r="O152" i="8" s="1"/>
  <c r="O105" i="8"/>
  <c r="N60" i="9"/>
  <c r="L106" i="8" s="1"/>
  <c r="N62" i="9"/>
  <c r="N64" i="9"/>
  <c r="L110" i="8" s="1"/>
  <c r="L100" i="8"/>
  <c r="L134" i="8" s="1"/>
  <c r="L26" i="8" s="1"/>
  <c r="N95" i="9"/>
  <c r="M41" i="7"/>
  <c r="M42" i="7" s="1"/>
  <c r="M44" i="7" s="1"/>
  <c r="O129" i="8"/>
  <c r="O33" i="8"/>
  <c r="P9" i="7"/>
  <c r="P10" i="7" s="1"/>
  <c r="J182" i="8"/>
  <c r="J25" i="8"/>
  <c r="M53" i="7"/>
  <c r="L19" i="8" s="1"/>
  <c r="DY34" i="8" l="1"/>
  <c r="DY18" i="8"/>
  <c r="EA12" i="7"/>
  <c r="N19" i="7"/>
  <c r="O138" i="8"/>
  <c r="O171" i="8"/>
  <c r="O172" i="8"/>
  <c r="O133" i="8"/>
  <c r="O130" i="8" s="1"/>
  <c r="P15" i="7"/>
  <c r="R48" i="9"/>
  <c r="P86" i="8"/>
  <c r="R57" i="9"/>
  <c r="R51" i="9"/>
  <c r="R136" i="9"/>
  <c r="R144" i="9"/>
  <c r="R56" i="9"/>
  <c r="R59" i="9"/>
  <c r="R58" i="9"/>
  <c r="R145" i="9"/>
  <c r="R49" i="9"/>
  <c r="R50" i="9"/>
  <c r="O54" i="9"/>
  <c r="R55" i="9"/>
  <c r="R47" i="9"/>
  <c r="R52" i="9"/>
  <c r="R135" i="9"/>
  <c r="R141" i="9" s="1"/>
  <c r="R61" i="9" s="1"/>
  <c r="R43" i="9"/>
  <c r="R44" i="9" s="1"/>
  <c r="R53" i="9"/>
  <c r="R46" i="9"/>
  <c r="R45" i="9"/>
  <c r="L44" i="8"/>
  <c r="L27" i="8"/>
  <c r="L30" i="8"/>
  <c r="N63" i="9"/>
  <c r="L108" i="8"/>
  <c r="N101" i="9"/>
  <c r="N85" i="9" s="1"/>
  <c r="L137" i="8" s="1"/>
  <c r="L28" i="8" s="1"/>
  <c r="L147" i="8"/>
  <c r="L153" i="8" s="1"/>
  <c r="M52" i="7"/>
  <c r="M51" i="7"/>
  <c r="O16" i="7"/>
  <c r="J53" i="8"/>
  <c r="J52" i="8"/>
  <c r="J37" i="8"/>
  <c r="J36" i="8"/>
  <c r="DY32" i="8"/>
  <c r="K22" i="8"/>
  <c r="L57" i="7"/>
  <c r="L32" i="8" l="1"/>
  <c r="DY22" i="8"/>
  <c r="DY23" i="8" s="1"/>
  <c r="DY25" i="8" s="1"/>
  <c r="K23" i="8"/>
  <c r="O173" i="8"/>
  <c r="O29" i="8" s="1"/>
  <c r="N53" i="7"/>
  <c r="M19" i="8" s="1"/>
  <c r="P20" i="7"/>
  <c r="R89" i="9"/>
  <c r="P141" i="8" s="1"/>
  <c r="P94" i="8"/>
  <c r="P129" i="8"/>
  <c r="Q9" i="7"/>
  <c r="Q10" i="7" s="1"/>
  <c r="P33" i="8"/>
  <c r="P103" i="8"/>
  <c r="R98" i="9"/>
  <c r="P150" i="8" s="1"/>
  <c r="R92" i="9"/>
  <c r="P144" i="8" s="1"/>
  <c r="P97" i="8"/>
  <c r="R97" i="9"/>
  <c r="P149" i="8" s="1"/>
  <c r="P102" i="8"/>
  <c r="R100" i="9"/>
  <c r="P152" i="8" s="1"/>
  <c r="P105" i="8"/>
  <c r="P104" i="8"/>
  <c r="R99" i="9"/>
  <c r="P151" i="8" s="1"/>
  <c r="P95" i="8"/>
  <c r="R90" i="9"/>
  <c r="P142" i="8" s="1"/>
  <c r="R91" i="9"/>
  <c r="P143" i="8" s="1"/>
  <c r="P96" i="8"/>
  <c r="O60" i="9"/>
  <c r="M106" i="8" s="1"/>
  <c r="O62" i="9"/>
  <c r="O64" i="9"/>
  <c r="M110" i="8" s="1"/>
  <c r="N41" i="7"/>
  <c r="N42" i="7" s="1"/>
  <c r="N44" i="7" s="1"/>
  <c r="O95" i="9"/>
  <c r="M100" i="8"/>
  <c r="M134" i="8" s="1"/>
  <c r="M26" i="8" s="1"/>
  <c r="P101" i="8"/>
  <c r="R96" i="9"/>
  <c r="P148" i="8" s="1"/>
  <c r="Q45" i="7"/>
  <c r="Q46" i="7" s="1"/>
  <c r="Q48" i="7" s="1"/>
  <c r="P93" i="8"/>
  <c r="R88" i="9"/>
  <c r="P140" i="8" s="1"/>
  <c r="Q33" i="7"/>
  <c r="Q34" i="7" s="1"/>
  <c r="Q36" i="7" s="1"/>
  <c r="P98" i="8"/>
  <c r="R93" i="9"/>
  <c r="P145" i="8" s="1"/>
  <c r="P107" i="8"/>
  <c r="P90" i="8"/>
  <c r="S40" i="9"/>
  <c r="P89" i="8"/>
  <c r="R94" i="9"/>
  <c r="P146" i="8" s="1"/>
  <c r="Q37" i="7"/>
  <c r="Q38" i="7" s="1"/>
  <c r="Q40" i="7" s="1"/>
  <c r="P99" i="8"/>
  <c r="R87" i="9"/>
  <c r="P139" i="8" s="1"/>
  <c r="P92" i="8"/>
  <c r="Q29" i="7"/>
  <c r="Q30" i="7" s="1"/>
  <c r="Q32" i="7" s="1"/>
  <c r="R86" i="9"/>
  <c r="P91" i="8"/>
  <c r="Q25" i="7"/>
  <c r="Q26" i="7" s="1"/>
  <c r="Q28" i="7" s="1"/>
  <c r="L109" i="8"/>
  <c r="L34" i="8" s="1"/>
  <c r="L18" i="8"/>
  <c r="M56" i="7"/>
  <c r="P12" i="7"/>
  <c r="EA16" i="7"/>
  <c r="O17" i="7"/>
  <c r="R146" i="9"/>
  <c r="R142" i="9" s="1"/>
  <c r="K25" i="8" l="1"/>
  <c r="E8" i="8" s="1"/>
  <c r="K182" i="8"/>
  <c r="P16" i="7"/>
  <c r="M27" i="8"/>
  <c r="M30" i="8"/>
  <c r="M44" i="8"/>
  <c r="O63" i="9"/>
  <c r="M108" i="8"/>
  <c r="N51" i="7"/>
  <c r="N52" i="7"/>
  <c r="O101" i="9"/>
  <c r="O85" i="9" s="1"/>
  <c r="M137" i="8" s="1"/>
  <c r="M28" i="8" s="1"/>
  <c r="M147" i="8"/>
  <c r="M153" i="8" s="1"/>
  <c r="S49" i="9"/>
  <c r="S45" i="9"/>
  <c r="S50" i="9"/>
  <c r="S144" i="9"/>
  <c r="S56" i="9"/>
  <c r="S58" i="9"/>
  <c r="S51" i="9"/>
  <c r="S47" i="9"/>
  <c r="S43" i="9"/>
  <c r="S44" i="9" s="1"/>
  <c r="S52" i="9"/>
  <c r="P54" i="9"/>
  <c r="S57" i="9"/>
  <c r="S135" i="9"/>
  <c r="S141" i="9" s="1"/>
  <c r="S61" i="9" s="1"/>
  <c r="S53" i="9"/>
  <c r="S145" i="9"/>
  <c r="S48" i="9"/>
  <c r="S55" i="9"/>
  <c r="S59" i="9"/>
  <c r="Q86" i="8"/>
  <c r="S46" i="9"/>
  <c r="S136" i="9"/>
  <c r="P172" i="8"/>
  <c r="Q15" i="7"/>
  <c r="P133" i="8"/>
  <c r="P130" i="8" s="1"/>
  <c r="P171" i="8"/>
  <c r="P138" i="8"/>
  <c r="EA17" i="7"/>
  <c r="O19" i="7"/>
  <c r="L22" i="8"/>
  <c r="L23" i="8" s="1"/>
  <c r="M57" i="7"/>
  <c r="K53" i="8" l="1"/>
  <c r="DY53" i="8" s="1"/>
  <c r="K36" i="8"/>
  <c r="DY36" i="8" s="1"/>
  <c r="K37" i="8"/>
  <c r="DY37" i="8" s="1"/>
  <c r="K52" i="8"/>
  <c r="DY52" i="8" s="1"/>
  <c r="P173" i="8"/>
  <c r="P29" i="8" s="1"/>
  <c r="M32" i="8"/>
  <c r="Q12" i="7"/>
  <c r="P17" i="7"/>
  <c r="M109" i="8"/>
  <c r="M34" i="8" s="1"/>
  <c r="N56" i="7"/>
  <c r="M18" i="8"/>
  <c r="Q95" i="8"/>
  <c r="S90" i="9"/>
  <c r="Q142" i="8" s="1"/>
  <c r="Q91" i="8"/>
  <c r="S86" i="9"/>
  <c r="R25" i="7"/>
  <c r="R26" i="7" s="1"/>
  <c r="R28" i="7" s="1"/>
  <c r="Q96" i="8"/>
  <c r="S91" i="9"/>
  <c r="Q143" i="8" s="1"/>
  <c r="S97" i="9"/>
  <c r="Q149" i="8" s="1"/>
  <c r="Q102" i="8"/>
  <c r="Q104" i="8"/>
  <c r="S99" i="9"/>
  <c r="Q151" i="8" s="1"/>
  <c r="Q97" i="8"/>
  <c r="S92" i="9"/>
  <c r="Q144" i="8" s="1"/>
  <c r="S88" i="9"/>
  <c r="Q140" i="8" s="1"/>
  <c r="Q93" i="8"/>
  <c r="R33" i="7"/>
  <c r="R34" i="7" s="1"/>
  <c r="R36" i="7" s="1"/>
  <c r="Q89" i="8"/>
  <c r="T40" i="9"/>
  <c r="Q98" i="8"/>
  <c r="S93" i="9"/>
  <c r="Q145" i="8" s="1"/>
  <c r="Q90" i="8"/>
  <c r="P60" i="9"/>
  <c r="N106" i="8" s="1"/>
  <c r="P62" i="9"/>
  <c r="P64" i="9"/>
  <c r="N110" i="8" s="1"/>
  <c r="N100" i="8"/>
  <c r="N134" i="8" s="1"/>
  <c r="N26" i="8" s="1"/>
  <c r="P95" i="9"/>
  <c r="O41" i="7"/>
  <c r="O42" i="7" s="1"/>
  <c r="O44" i="7" s="1"/>
  <c r="S98" i="9"/>
  <c r="Q150" i="8" s="1"/>
  <c r="Q103" i="8"/>
  <c r="Q107" i="8"/>
  <c r="Q99" i="8"/>
  <c r="R37" i="7"/>
  <c r="R38" i="7" s="1"/>
  <c r="R40" i="7" s="1"/>
  <c r="S94" i="9"/>
  <c r="Q146" i="8" s="1"/>
  <c r="S89" i="9"/>
  <c r="Q141" i="8" s="1"/>
  <c r="Q94" i="8"/>
  <c r="Q101" i="8"/>
  <c r="R45" i="7"/>
  <c r="R46" i="7" s="1"/>
  <c r="R48" i="7" s="1"/>
  <c r="S96" i="9"/>
  <c r="Q148" i="8" s="1"/>
  <c r="S100" i="9"/>
  <c r="Q152" i="8" s="1"/>
  <c r="Q105" i="8"/>
  <c r="R9" i="7"/>
  <c r="R10" i="7" s="1"/>
  <c r="Q129" i="8"/>
  <c r="Q33" i="8"/>
  <c r="Q92" i="8"/>
  <c r="R29" i="7"/>
  <c r="R30" i="7" s="1"/>
  <c r="R32" i="7" s="1"/>
  <c r="S87" i="9"/>
  <c r="Q139" i="8" s="1"/>
  <c r="Q20" i="7"/>
  <c r="L182" i="8"/>
  <c r="L25" i="8"/>
  <c r="EA19" i="7"/>
  <c r="EA53" i="7" s="1"/>
  <c r="O53" i="7"/>
  <c r="N19" i="8" s="1"/>
  <c r="S146" i="9"/>
  <c r="S142" i="9" s="1"/>
  <c r="M22" i="8" l="1"/>
  <c r="N57" i="7"/>
  <c r="P19" i="7"/>
  <c r="M23" i="8"/>
  <c r="Q138" i="8"/>
  <c r="EC28" i="7"/>
  <c r="EB28" i="7"/>
  <c r="EC36" i="7"/>
  <c r="EB36" i="7"/>
  <c r="Q171" i="8"/>
  <c r="R15" i="7"/>
  <c r="Q133" i="8"/>
  <c r="Q130" i="8" s="1"/>
  <c r="E7" i="2" s="1"/>
  <c r="Q172" i="8"/>
  <c r="T57" i="9"/>
  <c r="T59" i="9"/>
  <c r="T53" i="9"/>
  <c r="T43" i="9"/>
  <c r="T144" i="9"/>
  <c r="T56" i="9"/>
  <c r="T52" i="9"/>
  <c r="T50" i="9"/>
  <c r="T45" i="9"/>
  <c r="T135" i="9"/>
  <c r="T141" i="9" s="1"/>
  <c r="T61" i="9" s="1"/>
  <c r="R86" i="8"/>
  <c r="T47" i="9"/>
  <c r="T48" i="9"/>
  <c r="T55" i="9"/>
  <c r="Q54" i="9"/>
  <c r="T46" i="9"/>
  <c r="T58" i="9"/>
  <c r="T136" i="9"/>
  <c r="T145" i="9"/>
  <c r="T51" i="9"/>
  <c r="T49" i="9"/>
  <c r="N44" i="8"/>
  <c r="N30" i="8"/>
  <c r="N27" i="8"/>
  <c r="P63" i="9"/>
  <c r="N109" i="8" s="1"/>
  <c r="N34" i="8" s="1"/>
  <c r="N108" i="8"/>
  <c r="DZ26" i="8"/>
  <c r="P101" i="9"/>
  <c r="P85" i="9" s="1"/>
  <c r="N137" i="8" s="1"/>
  <c r="N28" i="8" s="1"/>
  <c r="N147" i="8"/>
  <c r="N153" i="8" s="1"/>
  <c r="EA44" i="7"/>
  <c r="EA52" i="7" s="1"/>
  <c r="O51" i="7"/>
  <c r="O52" i="7"/>
  <c r="EC40" i="7"/>
  <c r="EB40" i="7"/>
  <c r="EC48" i="7"/>
  <c r="EB48" i="7"/>
  <c r="EC9" i="7"/>
  <c r="EB9" i="7"/>
  <c r="Q16" i="7"/>
  <c r="E6" i="2"/>
  <c r="EB33" i="8"/>
  <c r="E15" i="2" s="1"/>
  <c r="EA33" i="8"/>
  <c r="EC32" i="7"/>
  <c r="EB32" i="7"/>
  <c r="L37" i="8"/>
  <c r="L53" i="8"/>
  <c r="L52" i="8"/>
  <c r="L36" i="8"/>
  <c r="DZ19" i="8"/>
  <c r="N32" i="8" l="1"/>
  <c r="P53" i="7"/>
  <c r="O19" i="8" s="1"/>
  <c r="M182" i="8"/>
  <c r="M25" i="8"/>
  <c r="EC15" i="7"/>
  <c r="EB15" i="7"/>
  <c r="R20" i="7"/>
  <c r="R103" i="8"/>
  <c r="T98" i="9"/>
  <c r="R150" i="8" s="1"/>
  <c r="R105" i="8"/>
  <c r="T100" i="9"/>
  <c r="R152" i="8" s="1"/>
  <c r="R99" i="8"/>
  <c r="S37" i="7"/>
  <c r="S38" i="7" s="1"/>
  <c r="S40" i="7" s="1"/>
  <c r="T94" i="9"/>
  <c r="R146" i="8" s="1"/>
  <c r="R89" i="8"/>
  <c r="U40" i="9"/>
  <c r="T44" i="9"/>
  <c r="T97" i="9"/>
  <c r="R149" i="8" s="1"/>
  <c r="R102" i="8"/>
  <c r="T93" i="9"/>
  <c r="R145" i="8" s="1"/>
  <c r="R98" i="8"/>
  <c r="T91" i="9"/>
  <c r="R143" i="8" s="1"/>
  <c r="R96" i="8"/>
  <c r="S25" i="7"/>
  <c r="S26" i="7" s="1"/>
  <c r="S28" i="7" s="1"/>
  <c r="R91" i="8"/>
  <c r="T86" i="9"/>
  <c r="R107" i="8"/>
  <c r="R129" i="8"/>
  <c r="R33" i="8"/>
  <c r="S9" i="7"/>
  <c r="S10" i="7" s="1"/>
  <c r="S33" i="7"/>
  <c r="S34" i="7" s="1"/>
  <c r="S36" i="7" s="1"/>
  <c r="R93" i="8"/>
  <c r="T88" i="9"/>
  <c r="R140" i="8" s="1"/>
  <c r="T89" i="9"/>
  <c r="R141" i="8" s="1"/>
  <c r="R94" i="8"/>
  <c r="T96" i="9"/>
  <c r="R148" i="8" s="1"/>
  <c r="S45" i="7"/>
  <c r="S46" i="7" s="1"/>
  <c r="S48" i="7" s="1"/>
  <c r="R101" i="8"/>
  <c r="Q60" i="9"/>
  <c r="O106" i="8" s="1"/>
  <c r="Q64" i="9"/>
  <c r="O110" i="8" s="1"/>
  <c r="Q95" i="9"/>
  <c r="P41" i="7"/>
  <c r="P42" i="7" s="1"/>
  <c r="P44" i="7" s="1"/>
  <c r="O100" i="8"/>
  <c r="O134" i="8" s="1"/>
  <c r="O26" i="8" s="1"/>
  <c r="Q62" i="9"/>
  <c r="T87" i="9"/>
  <c r="R139" i="8" s="1"/>
  <c r="S29" i="7"/>
  <c r="S30" i="7" s="1"/>
  <c r="S32" i="7" s="1"/>
  <c r="R92" i="8"/>
  <c r="T99" i="9"/>
  <c r="R151" i="8" s="1"/>
  <c r="R104" i="8"/>
  <c r="R97" i="8"/>
  <c r="T92" i="9"/>
  <c r="R144" i="8" s="1"/>
  <c r="T90" i="9"/>
  <c r="R142" i="8" s="1"/>
  <c r="R95" i="8"/>
  <c r="DZ44" i="8"/>
  <c r="DZ30" i="8"/>
  <c r="DZ27" i="8"/>
  <c r="DZ28" i="8"/>
  <c r="EA51" i="7"/>
  <c r="EA56" i="7" s="1"/>
  <c r="EA57" i="7" s="1"/>
  <c r="O56" i="7"/>
  <c r="N18" i="8"/>
  <c r="Q17" i="7"/>
  <c r="EC10" i="7"/>
  <c r="EB10" i="7"/>
  <c r="R12" i="7"/>
  <c r="T146" i="9"/>
  <c r="T142" i="9" s="1"/>
  <c r="Q173" i="8"/>
  <c r="Q29" i="8" s="1"/>
  <c r="DZ34" i="8"/>
  <c r="N22" i="8" l="1"/>
  <c r="O57" i="7"/>
  <c r="DZ32" i="8"/>
  <c r="M53" i="8"/>
  <c r="M52" i="8"/>
  <c r="M36" i="8"/>
  <c r="M37" i="8"/>
  <c r="S15" i="7"/>
  <c r="R133" i="8"/>
  <c r="R130" i="8" s="1"/>
  <c r="R172" i="8"/>
  <c r="R171" i="8"/>
  <c r="S86" i="8"/>
  <c r="U49" i="9"/>
  <c r="U48" i="9"/>
  <c r="U52" i="9"/>
  <c r="U55" i="9"/>
  <c r="U45" i="9"/>
  <c r="U47" i="9"/>
  <c r="U51" i="9"/>
  <c r="U58" i="9"/>
  <c r="U50" i="9"/>
  <c r="U46" i="9"/>
  <c r="U53" i="9"/>
  <c r="R54" i="9"/>
  <c r="U145" i="9"/>
  <c r="U144" i="9"/>
  <c r="U56" i="9"/>
  <c r="U59" i="9"/>
  <c r="U135" i="9"/>
  <c r="U141" i="9" s="1"/>
  <c r="U61" i="9" s="1"/>
  <c r="U43" i="9"/>
  <c r="U57" i="9"/>
  <c r="U136" i="9"/>
  <c r="R90" i="8"/>
  <c r="R138" i="8"/>
  <c r="R16" i="7"/>
  <c r="O44" i="8"/>
  <c r="O27" i="8"/>
  <c r="O30" i="8"/>
  <c r="Q101" i="9"/>
  <c r="Q85" i="9" s="1"/>
  <c r="O137" i="8" s="1"/>
  <c r="O28" i="8" s="1"/>
  <c r="O147" i="8"/>
  <c r="O153" i="8" s="1"/>
  <c r="P52" i="7"/>
  <c r="O18" i="8" s="1"/>
  <c r="P51" i="7"/>
  <c r="Q63" i="9"/>
  <c r="O109" i="8" s="1"/>
  <c r="O34" i="8" s="1"/>
  <c r="O108" i="8"/>
  <c r="DZ18" i="8"/>
  <c r="Q19" i="7"/>
  <c r="EC12" i="7"/>
  <c r="EB12" i="7"/>
  <c r="EB29" i="8"/>
  <c r="E11" i="2" s="1"/>
  <c r="EA29" i="8"/>
  <c r="U146" i="9" l="1"/>
  <c r="U142" i="9" s="1"/>
  <c r="R173" i="8"/>
  <c r="R29" i="8" s="1"/>
  <c r="DZ22" i="8"/>
  <c r="DZ23" i="8" s="1"/>
  <c r="DZ25" i="8" s="1"/>
  <c r="N23" i="8"/>
  <c r="O32" i="8"/>
  <c r="S20" i="7"/>
  <c r="S33" i="8"/>
  <c r="S129" i="8"/>
  <c r="T9" i="7"/>
  <c r="T10" i="7" s="1"/>
  <c r="S95" i="8"/>
  <c r="U90" i="9"/>
  <c r="S142" i="8" s="1"/>
  <c r="S94" i="8"/>
  <c r="U89" i="9"/>
  <c r="S141" i="8" s="1"/>
  <c r="U93" i="9"/>
  <c r="S145" i="8" s="1"/>
  <c r="S98" i="8"/>
  <c r="T45" i="7"/>
  <c r="T46" i="7" s="1"/>
  <c r="T48" i="7" s="1"/>
  <c r="U96" i="9"/>
  <c r="S148" i="8" s="1"/>
  <c r="S101" i="8"/>
  <c r="S91" i="8"/>
  <c r="U86" i="9"/>
  <c r="T25" i="7"/>
  <c r="T26" i="7" s="1"/>
  <c r="T28" i="7" s="1"/>
  <c r="U88" i="9"/>
  <c r="S140" i="8" s="1"/>
  <c r="T33" i="7"/>
  <c r="T34" i="7" s="1"/>
  <c r="T36" i="7" s="1"/>
  <c r="S93" i="8"/>
  <c r="S97" i="8"/>
  <c r="U92" i="9"/>
  <c r="S144" i="8" s="1"/>
  <c r="U99" i="9"/>
  <c r="S151" i="8" s="1"/>
  <c r="S104" i="8"/>
  <c r="U91" i="9"/>
  <c r="S143" i="8" s="1"/>
  <c r="S96" i="8"/>
  <c r="U87" i="9"/>
  <c r="S139" i="8" s="1"/>
  <c r="T29" i="7"/>
  <c r="T30" i="7" s="1"/>
  <c r="T32" i="7" s="1"/>
  <c r="S92" i="8"/>
  <c r="T37" i="7"/>
  <c r="T38" i="7" s="1"/>
  <c r="T40" i="7" s="1"/>
  <c r="S99" i="8"/>
  <c r="U94" i="9"/>
  <c r="S146" i="8" s="1"/>
  <c r="R64" i="9"/>
  <c r="P110" i="8" s="1"/>
  <c r="R62" i="9"/>
  <c r="R60" i="9"/>
  <c r="P106" i="8" s="1"/>
  <c r="Q41" i="7"/>
  <c r="Q42" i="7" s="1"/>
  <c r="Q44" i="7" s="1"/>
  <c r="R95" i="9"/>
  <c r="P100" i="8"/>
  <c r="P134" i="8" s="1"/>
  <c r="P26" i="8" s="1"/>
  <c r="S102" i="8"/>
  <c r="U97" i="9"/>
  <c r="S149" i="8" s="1"/>
  <c r="S105" i="8"/>
  <c r="U100" i="9"/>
  <c r="S152" i="8" s="1"/>
  <c r="S107" i="8"/>
  <c r="S89" i="8"/>
  <c r="V40" i="9"/>
  <c r="U44" i="9"/>
  <c r="U98" i="9"/>
  <c r="S150" i="8" s="1"/>
  <c r="S103" i="8"/>
  <c r="EC16" i="7"/>
  <c r="EB16" i="7"/>
  <c r="R17" i="7"/>
  <c r="S12" i="7"/>
  <c r="P56" i="7"/>
  <c r="Q53" i="7"/>
  <c r="P19" i="8" s="1"/>
  <c r="N182" i="8" l="1"/>
  <c r="N25" i="8"/>
  <c r="S16" i="7"/>
  <c r="S138" i="8"/>
  <c r="R63" i="9"/>
  <c r="P109" i="8" s="1"/>
  <c r="P34" i="8" s="1"/>
  <c r="P108" i="8"/>
  <c r="P27" i="8"/>
  <c r="P30" i="8"/>
  <c r="P44" i="8"/>
  <c r="Q52" i="7"/>
  <c r="P18" i="8" s="1"/>
  <c r="Q51" i="7"/>
  <c r="R101" i="9"/>
  <c r="R85" i="9" s="1"/>
  <c r="P137" i="8" s="1"/>
  <c r="P28" i="8" s="1"/>
  <c r="P147" i="8"/>
  <c r="P153" i="8" s="1"/>
  <c r="S133" i="8"/>
  <c r="S130" i="8" s="1"/>
  <c r="S171" i="8"/>
  <c r="S172" i="8"/>
  <c r="T15" i="7"/>
  <c r="V145" i="9"/>
  <c r="V144" i="9"/>
  <c r="V45" i="9"/>
  <c r="S54" i="9"/>
  <c r="V43" i="9"/>
  <c r="V51" i="9"/>
  <c r="V53" i="9"/>
  <c r="V55" i="9"/>
  <c r="T86" i="8"/>
  <c r="V49" i="9"/>
  <c r="V57" i="9"/>
  <c r="V135" i="9"/>
  <c r="V141" i="9" s="1"/>
  <c r="V61" i="9" s="1"/>
  <c r="V136" i="9"/>
  <c r="V50" i="9"/>
  <c r="V46" i="9"/>
  <c r="V48" i="9"/>
  <c r="V52" i="9"/>
  <c r="V56" i="9"/>
  <c r="V47" i="9"/>
  <c r="V59" i="9"/>
  <c r="V58" i="9"/>
  <c r="S90" i="8"/>
  <c r="EB17" i="7"/>
  <c r="EC17" i="7"/>
  <c r="R19" i="7"/>
  <c r="O22" i="8"/>
  <c r="P57" i="7"/>
  <c r="F8" i="8" l="1"/>
  <c r="N37" i="8"/>
  <c r="DZ37" i="8" s="1"/>
  <c r="N52" i="8"/>
  <c r="DZ52" i="8" s="1"/>
  <c r="N36" i="8"/>
  <c r="DZ36" i="8" s="1"/>
  <c r="N53" i="8"/>
  <c r="DZ53" i="8" s="1"/>
  <c r="V146" i="9"/>
  <c r="V142" i="9" s="1"/>
  <c r="P32" i="8"/>
  <c r="S173" i="8"/>
  <c r="S29" i="8" s="1"/>
  <c r="T12" i="7"/>
  <c r="S17" i="7"/>
  <c r="Q56" i="7"/>
  <c r="T20" i="7"/>
  <c r="T91" i="8"/>
  <c r="U25" i="7"/>
  <c r="U26" i="7" s="1"/>
  <c r="U28" i="7" s="1"/>
  <c r="V86" i="9"/>
  <c r="S64" i="9"/>
  <c r="Q110" i="8" s="1"/>
  <c r="S62" i="9"/>
  <c r="S60" i="9"/>
  <c r="Q106" i="8" s="1"/>
  <c r="R41" i="7"/>
  <c r="R42" i="7" s="1"/>
  <c r="R44" i="7" s="1"/>
  <c r="S95" i="9"/>
  <c r="Q100" i="8"/>
  <c r="Q134" i="8" s="1"/>
  <c r="W40" i="9"/>
  <c r="T89" i="8"/>
  <c r="V44" i="9"/>
  <c r="V92" i="9"/>
  <c r="T144" i="8" s="1"/>
  <c r="T97" i="8"/>
  <c r="U37" i="7"/>
  <c r="U38" i="7" s="1"/>
  <c r="U40" i="7" s="1"/>
  <c r="V94" i="9"/>
  <c r="T146" i="8" s="1"/>
  <c r="T99" i="8"/>
  <c r="V96" i="9"/>
  <c r="T148" i="8" s="1"/>
  <c r="T101" i="8"/>
  <c r="U45" i="7"/>
  <c r="U46" i="7" s="1"/>
  <c r="U48" i="7" s="1"/>
  <c r="T129" i="8"/>
  <c r="U9" i="7"/>
  <c r="U10" i="7" s="1"/>
  <c r="T33" i="8"/>
  <c r="T95" i="8"/>
  <c r="V90" i="9"/>
  <c r="T142" i="8" s="1"/>
  <c r="V98" i="9"/>
  <c r="T150" i="8" s="1"/>
  <c r="T103" i="8"/>
  <c r="T107" i="8"/>
  <c r="V91" i="9"/>
  <c r="T143" i="8" s="1"/>
  <c r="T96" i="8"/>
  <c r="T92" i="8"/>
  <c r="V87" i="9"/>
  <c r="T139" i="8" s="1"/>
  <c r="U29" i="7"/>
  <c r="U30" i="7" s="1"/>
  <c r="U32" i="7" s="1"/>
  <c r="V89" i="9"/>
  <c r="T141" i="8" s="1"/>
  <c r="T94" i="8"/>
  <c r="V93" i="9"/>
  <c r="T145" i="8" s="1"/>
  <c r="T98" i="8"/>
  <c r="T102" i="8"/>
  <c r="V97" i="9"/>
  <c r="T149" i="8" s="1"/>
  <c r="V88" i="9"/>
  <c r="T140" i="8" s="1"/>
  <c r="U33" i="7"/>
  <c r="U34" i="7" s="1"/>
  <c r="U36" i="7" s="1"/>
  <c r="T93" i="8"/>
  <c r="V100" i="9"/>
  <c r="T152" i="8" s="1"/>
  <c r="T105" i="8"/>
  <c r="T104" i="8"/>
  <c r="V99" i="9"/>
  <c r="T151" i="8" s="1"/>
  <c r="EB19" i="7"/>
  <c r="EB53" i="7" s="1"/>
  <c r="EC19" i="7"/>
  <c r="EC53" i="7" s="1"/>
  <c r="R53" i="7"/>
  <c r="Q19" i="8" s="1"/>
  <c r="O23" i="8"/>
  <c r="S19" i="7" l="1"/>
  <c r="Q57" i="7"/>
  <c r="P22" i="8"/>
  <c r="T138" i="8"/>
  <c r="O35" i="8"/>
  <c r="P35" i="8"/>
  <c r="J35" i="8"/>
  <c r="J39" i="8" s="1"/>
  <c r="E35" i="8"/>
  <c r="N35" i="8"/>
  <c r="N39" i="8" s="1"/>
  <c r="L35" i="8"/>
  <c r="I35" i="8"/>
  <c r="G35" i="8"/>
  <c r="G39" i="8" s="1"/>
  <c r="M35" i="8"/>
  <c r="M39" i="8" s="1"/>
  <c r="H35" i="8"/>
  <c r="H39" i="8" s="1"/>
  <c r="F35" i="8"/>
  <c r="K35" i="8"/>
  <c r="K39" i="8" s="1"/>
  <c r="Q35" i="8"/>
  <c r="S63" i="9"/>
  <c r="Q108" i="8"/>
  <c r="Q27" i="8"/>
  <c r="Q44" i="8"/>
  <c r="Q30" i="8"/>
  <c r="EC44" i="7"/>
  <c r="EC52" i="7" s="1"/>
  <c r="EB44" i="7"/>
  <c r="EB52" i="7" s="1"/>
  <c r="R52" i="7"/>
  <c r="R51" i="7"/>
  <c r="S101" i="9"/>
  <c r="S85" i="9" s="1"/>
  <c r="Q137" i="8" s="1"/>
  <c r="Q28" i="8" s="1"/>
  <c r="Q147" i="8"/>
  <c r="Q153" i="8" s="1"/>
  <c r="Q26" i="8"/>
  <c r="E8" i="2"/>
  <c r="W43" i="9"/>
  <c r="W135" i="9"/>
  <c r="W141" i="9" s="1"/>
  <c r="W61" i="9" s="1"/>
  <c r="W45" i="9"/>
  <c r="W55" i="9"/>
  <c r="W57" i="9"/>
  <c r="W56" i="9"/>
  <c r="T54" i="9"/>
  <c r="W58" i="9"/>
  <c r="W47" i="9"/>
  <c r="W144" i="9"/>
  <c r="W145" i="9"/>
  <c r="W51" i="9"/>
  <c r="W136" i="9"/>
  <c r="W59" i="9"/>
  <c r="U86" i="8"/>
  <c r="W49" i="9"/>
  <c r="W52" i="9"/>
  <c r="W53" i="9"/>
  <c r="W48" i="9"/>
  <c r="W46" i="9"/>
  <c r="W50" i="9"/>
  <c r="T172" i="8"/>
  <c r="U15" i="7"/>
  <c r="T171" i="8"/>
  <c r="T133" i="8"/>
  <c r="T130" i="8" s="1"/>
  <c r="T90" i="8"/>
  <c r="T16" i="7"/>
  <c r="EB19" i="8"/>
  <c r="EA19" i="8"/>
  <c r="O182" i="8"/>
  <c r="O25" i="8"/>
  <c r="T173" i="8" l="1"/>
  <c r="T29" i="8" s="1"/>
  <c r="W146" i="9"/>
  <c r="W142" i="9" s="1"/>
  <c r="S53" i="7"/>
  <c r="R19" i="8" s="1"/>
  <c r="P23" i="8"/>
  <c r="EA35" i="8"/>
  <c r="J41" i="8"/>
  <c r="J46" i="8"/>
  <c r="E39" i="8"/>
  <c r="EB35" i="8"/>
  <c r="E17" i="2" s="1"/>
  <c r="DW35" i="8"/>
  <c r="DW39" i="8" s="1"/>
  <c r="N41" i="8"/>
  <c r="N46" i="8"/>
  <c r="L39" i="8"/>
  <c r="DZ35" i="8"/>
  <c r="DZ39" i="8" s="1"/>
  <c r="DY35" i="8"/>
  <c r="DY39" i="8" s="1"/>
  <c r="I39" i="8"/>
  <c r="G46" i="8"/>
  <c r="G41" i="8"/>
  <c r="M41" i="8"/>
  <c r="M46" i="8"/>
  <c r="H41" i="8"/>
  <c r="H46" i="8"/>
  <c r="DX35" i="8"/>
  <c r="DX39" i="8" s="1"/>
  <c r="F39" i="8"/>
  <c r="K41" i="8"/>
  <c r="K46" i="8"/>
  <c r="G114" i="9"/>
  <c r="G115" i="9"/>
  <c r="Q109" i="8"/>
  <c r="Q34" i="8" s="1"/>
  <c r="EA27" i="8"/>
  <c r="EB27" i="8"/>
  <c r="E9" i="2" s="1"/>
  <c r="EB44" i="8"/>
  <c r="E25" i="2" s="1"/>
  <c r="EA44" i="8"/>
  <c r="EA30" i="8"/>
  <c r="EB30" i="8"/>
  <c r="E12" i="2" s="1"/>
  <c r="Q18" i="8"/>
  <c r="EC51" i="7"/>
  <c r="EC56" i="7" s="1"/>
  <c r="EC57" i="7" s="1"/>
  <c r="EB51" i="7"/>
  <c r="EB56" i="7" s="1"/>
  <c r="EB57" i="7" s="1"/>
  <c r="R56" i="7"/>
  <c r="EA28" i="8"/>
  <c r="EB28" i="8"/>
  <c r="E10" i="2" s="1"/>
  <c r="EA26" i="8"/>
  <c r="EB26" i="8"/>
  <c r="Q32" i="8"/>
  <c r="X40" i="9"/>
  <c r="U89" i="8"/>
  <c r="W44" i="9"/>
  <c r="U107" i="8"/>
  <c r="V25" i="7"/>
  <c r="V26" i="7" s="1"/>
  <c r="V28" i="7" s="1"/>
  <c r="U91" i="8"/>
  <c r="W86" i="9"/>
  <c r="W96" i="9"/>
  <c r="U148" i="8" s="1"/>
  <c r="V45" i="7"/>
  <c r="V46" i="7" s="1"/>
  <c r="V48" i="7" s="1"/>
  <c r="U101" i="8"/>
  <c r="U103" i="8"/>
  <c r="W98" i="9"/>
  <c r="U150" i="8" s="1"/>
  <c r="U102" i="8"/>
  <c r="W97" i="9"/>
  <c r="U149" i="8" s="1"/>
  <c r="T60" i="9"/>
  <c r="R106" i="8" s="1"/>
  <c r="T64" i="9"/>
  <c r="R110" i="8" s="1"/>
  <c r="T62" i="9"/>
  <c r="R100" i="8"/>
  <c r="R134" i="8" s="1"/>
  <c r="R26" i="8" s="1"/>
  <c r="T95" i="9"/>
  <c r="S41" i="7"/>
  <c r="S42" i="7" s="1"/>
  <c r="S44" i="7" s="1"/>
  <c r="U104" i="8"/>
  <c r="W99" i="9"/>
  <c r="U151" i="8" s="1"/>
  <c r="U93" i="8"/>
  <c r="V33" i="7"/>
  <c r="V34" i="7" s="1"/>
  <c r="V36" i="7" s="1"/>
  <c r="W88" i="9"/>
  <c r="U140" i="8" s="1"/>
  <c r="W92" i="9"/>
  <c r="U144" i="8" s="1"/>
  <c r="U97" i="8"/>
  <c r="W100" i="9"/>
  <c r="U152" i="8" s="1"/>
  <c r="U105" i="8"/>
  <c r="V9" i="7"/>
  <c r="V10" i="7" s="1"/>
  <c r="U33" i="8"/>
  <c r="U129" i="8"/>
  <c r="W90" i="9"/>
  <c r="U142" i="8" s="1"/>
  <c r="U95" i="8"/>
  <c r="U98" i="8"/>
  <c r="W93" i="9"/>
  <c r="U145" i="8" s="1"/>
  <c r="U99" i="8"/>
  <c r="W94" i="9"/>
  <c r="U146" i="8" s="1"/>
  <c r="V37" i="7"/>
  <c r="V38" i="7" s="1"/>
  <c r="V40" i="7" s="1"/>
  <c r="U94" i="8"/>
  <c r="W89" i="9"/>
  <c r="U141" i="8" s="1"/>
  <c r="W87" i="9"/>
  <c r="U139" i="8" s="1"/>
  <c r="U92" i="8"/>
  <c r="V29" i="7"/>
  <c r="V30" i="7" s="1"/>
  <c r="V32" i="7" s="1"/>
  <c r="W91" i="9"/>
  <c r="U143" i="8" s="1"/>
  <c r="U96" i="8"/>
  <c r="U20" i="7"/>
  <c r="U12" i="7"/>
  <c r="T17" i="7"/>
  <c r="O53" i="8"/>
  <c r="O36" i="8"/>
  <c r="O52" i="8"/>
  <c r="O37" i="8"/>
  <c r="EA32" i="8" l="1"/>
  <c r="O39" i="8"/>
  <c r="P182" i="8"/>
  <c r="P25" i="8"/>
  <c r="J42" i="8"/>
  <c r="J48" i="8"/>
  <c r="E46" i="8"/>
  <c r="E41" i="8"/>
  <c r="DW41" i="8"/>
  <c r="DW46" i="8"/>
  <c r="N48" i="8"/>
  <c r="N42" i="8"/>
  <c r="L41" i="8"/>
  <c r="L46" i="8"/>
  <c r="DZ41" i="8"/>
  <c r="DZ46" i="8"/>
  <c r="DY41" i="8"/>
  <c r="DY46" i="8"/>
  <c r="I41" i="8"/>
  <c r="I46" i="8"/>
  <c r="G42" i="8"/>
  <c r="G48" i="8"/>
  <c r="M42" i="8"/>
  <c r="M48" i="8"/>
  <c r="H48" i="8"/>
  <c r="H42" i="8"/>
  <c r="DX41" i="8"/>
  <c r="DX46" i="8"/>
  <c r="F46" i="8"/>
  <c r="F41" i="8"/>
  <c r="K42" i="8"/>
  <c r="K48" i="8"/>
  <c r="E166" i="8"/>
  <c r="H114" i="9"/>
  <c r="E167" i="8"/>
  <c r="H115" i="9"/>
  <c r="EA34" i="8"/>
  <c r="EB34" i="8"/>
  <c r="E16" i="2" s="1"/>
  <c r="EB18" i="8"/>
  <c r="EA18" i="8"/>
  <c r="E5" i="2"/>
  <c r="EB32" i="8"/>
  <c r="X135" i="9"/>
  <c r="X141" i="9" s="1"/>
  <c r="X61" i="9" s="1"/>
  <c r="X55" i="9"/>
  <c r="X53" i="9"/>
  <c r="X43" i="9"/>
  <c r="X136" i="9"/>
  <c r="X57" i="9"/>
  <c r="X144" i="9"/>
  <c r="X56" i="9"/>
  <c r="X52" i="9"/>
  <c r="X51" i="9"/>
  <c r="X50" i="9"/>
  <c r="X58" i="9"/>
  <c r="U54" i="9"/>
  <c r="X46" i="9"/>
  <c r="X47" i="9"/>
  <c r="V86" i="8"/>
  <c r="X145" i="9"/>
  <c r="X45" i="9"/>
  <c r="X59" i="9"/>
  <c r="X49" i="9"/>
  <c r="X48" i="9"/>
  <c r="U133" i="8"/>
  <c r="U130" i="8" s="1"/>
  <c r="U172" i="8"/>
  <c r="V15" i="7"/>
  <c r="U171" i="8"/>
  <c r="U90" i="8"/>
  <c r="U138" i="8"/>
  <c r="R44" i="8"/>
  <c r="R30" i="8"/>
  <c r="R27" i="8"/>
  <c r="T63" i="9"/>
  <c r="R108" i="8"/>
  <c r="T101" i="9"/>
  <c r="T85" i="9" s="1"/>
  <c r="R137" i="8" s="1"/>
  <c r="R28" i="8" s="1"/>
  <c r="R147" i="8"/>
  <c r="R153" i="8" s="1"/>
  <c r="S51" i="7"/>
  <c r="S52" i="7"/>
  <c r="U16" i="7"/>
  <c r="T19" i="7"/>
  <c r="Q22" i="8"/>
  <c r="R57" i="7"/>
  <c r="X146" i="9" l="1"/>
  <c r="X142" i="9" s="1"/>
  <c r="U173" i="8"/>
  <c r="U29" i="8" s="1"/>
  <c r="R32" i="8"/>
  <c r="O41" i="8"/>
  <c r="O46" i="8"/>
  <c r="P36" i="8"/>
  <c r="P53" i="8"/>
  <c r="P52" i="8"/>
  <c r="P37" i="8"/>
  <c r="J55" i="8"/>
  <c r="J49" i="8"/>
  <c r="E42" i="8"/>
  <c r="E48" i="8"/>
  <c r="DW42" i="8"/>
  <c r="DW48" i="8"/>
  <c r="N55" i="8"/>
  <c r="N49" i="8"/>
  <c r="L42" i="8"/>
  <c r="L48" i="8"/>
  <c r="DZ48" i="8"/>
  <c r="DZ42" i="8"/>
  <c r="DY48" i="8"/>
  <c r="DY42" i="8"/>
  <c r="I42" i="8"/>
  <c r="I48" i="8"/>
  <c r="G49" i="8"/>
  <c r="G55" i="8"/>
  <c r="M49" i="8"/>
  <c r="M55" i="8"/>
  <c r="H55" i="8"/>
  <c r="H49" i="8"/>
  <c r="DX48" i="8"/>
  <c r="DX42" i="8"/>
  <c r="F42" i="8"/>
  <c r="F48" i="8"/>
  <c r="K55" i="8"/>
  <c r="K49" i="8"/>
  <c r="I114" i="9"/>
  <c r="F166" i="8"/>
  <c r="F167" i="8"/>
  <c r="I115" i="9"/>
  <c r="E14" i="2"/>
  <c r="V107" i="8"/>
  <c r="V101" i="8"/>
  <c r="W45" i="7"/>
  <c r="W46" i="7" s="1"/>
  <c r="W48" i="7" s="1"/>
  <c r="X96" i="9"/>
  <c r="V148" i="8" s="1"/>
  <c r="V99" i="8"/>
  <c r="W37" i="7"/>
  <c r="W38" i="7" s="1"/>
  <c r="W40" i="7" s="1"/>
  <c r="X94" i="9"/>
  <c r="V146" i="8" s="1"/>
  <c r="Y40" i="9"/>
  <c r="V89" i="8"/>
  <c r="X44" i="9"/>
  <c r="V103" i="8"/>
  <c r="X98" i="9"/>
  <c r="V150" i="8" s="1"/>
  <c r="X97" i="9"/>
  <c r="V149" i="8" s="1"/>
  <c r="V102" i="8"/>
  <c r="X93" i="9"/>
  <c r="V145" i="8" s="1"/>
  <c r="V98" i="8"/>
  <c r="V97" i="8"/>
  <c r="X92" i="9"/>
  <c r="V144" i="8" s="1"/>
  <c r="X91" i="9"/>
  <c r="V143" i="8" s="1"/>
  <c r="V96" i="8"/>
  <c r="X99" i="9"/>
  <c r="V151" i="8" s="1"/>
  <c r="V104" i="8"/>
  <c r="U60" i="9"/>
  <c r="S106" i="8" s="1"/>
  <c r="U62" i="9"/>
  <c r="U64" i="9"/>
  <c r="S110" i="8" s="1"/>
  <c r="S100" i="8"/>
  <c r="S134" i="8" s="1"/>
  <c r="S26" i="8" s="1"/>
  <c r="U95" i="9"/>
  <c r="T41" i="7"/>
  <c r="T42" i="7" s="1"/>
  <c r="T44" i="7" s="1"/>
  <c r="W29" i="7"/>
  <c r="W30" i="7" s="1"/>
  <c r="W32" i="7" s="1"/>
  <c r="V92" i="8"/>
  <c r="X87" i="9"/>
  <c r="V139" i="8" s="1"/>
  <c r="W33" i="7"/>
  <c r="W34" i="7" s="1"/>
  <c r="W36" i="7" s="1"/>
  <c r="V93" i="8"/>
  <c r="X88" i="9"/>
  <c r="V140" i="8" s="1"/>
  <c r="V33" i="8"/>
  <c r="W9" i="7"/>
  <c r="W10" i="7" s="1"/>
  <c r="V129" i="8"/>
  <c r="V91" i="8"/>
  <c r="W25" i="7"/>
  <c r="W26" i="7" s="1"/>
  <c r="W28" i="7" s="1"/>
  <c r="X86" i="9"/>
  <c r="X100" i="9"/>
  <c r="V152" i="8" s="1"/>
  <c r="V105" i="8"/>
  <c r="X90" i="9"/>
  <c r="V142" i="8" s="1"/>
  <c r="V95" i="8"/>
  <c r="V94" i="8"/>
  <c r="X89" i="9"/>
  <c r="V141" i="8" s="1"/>
  <c r="V20" i="7"/>
  <c r="R109" i="8"/>
  <c r="R34" i="8" s="1"/>
  <c r="S56" i="7"/>
  <c r="R18" i="8"/>
  <c r="U17" i="7"/>
  <c r="V12" i="7"/>
  <c r="T53" i="7"/>
  <c r="S19" i="8" s="1"/>
  <c r="EA22" i="8"/>
  <c r="EA23" i="8" s="1"/>
  <c r="EA25" i="8" s="1"/>
  <c r="EB22" i="8"/>
  <c r="EB23" i="8" s="1"/>
  <c r="EB25" i="8" s="1"/>
  <c r="Q23" i="8"/>
  <c r="E58" i="8"/>
  <c r="R22" i="8" l="1"/>
  <c r="R23" i="8" s="1"/>
  <c r="S57" i="7"/>
  <c r="F58" i="8"/>
  <c r="O48" i="8"/>
  <c r="O42" i="8"/>
  <c r="Q25" i="8"/>
  <c r="H8" i="8" s="1"/>
  <c r="V3" i="47" s="1"/>
  <c r="Q182" i="8"/>
  <c r="P39" i="8"/>
  <c r="J56" i="8"/>
  <c r="E49" i="8"/>
  <c r="E55" i="8"/>
  <c r="E66" i="8"/>
  <c r="E60" i="8"/>
  <c r="E61" i="8" s="1"/>
  <c r="DW55" i="8"/>
  <c r="DW49" i="8"/>
  <c r="N56" i="8"/>
  <c r="L49" i="8"/>
  <c r="L55" i="8"/>
  <c r="DZ49" i="8"/>
  <c r="DZ55" i="8"/>
  <c r="DY49" i="8"/>
  <c r="DY55" i="8"/>
  <c r="I55" i="8"/>
  <c r="I49" i="8"/>
  <c r="G56" i="8"/>
  <c r="M56" i="8"/>
  <c r="H56" i="8"/>
  <c r="DX49" i="8"/>
  <c r="DX55" i="8"/>
  <c r="F49" i="8"/>
  <c r="F55" i="8"/>
  <c r="K56" i="8"/>
  <c r="J114" i="9"/>
  <c r="G166" i="8"/>
  <c r="G167" i="8"/>
  <c r="J115" i="9"/>
  <c r="Y52" i="9"/>
  <c r="Y57" i="9"/>
  <c r="Y47" i="9"/>
  <c r="Y51" i="9"/>
  <c r="Y53" i="9"/>
  <c r="Y46" i="9"/>
  <c r="Y59" i="9"/>
  <c r="Y43" i="9"/>
  <c r="W86" i="8"/>
  <c r="Y144" i="9"/>
  <c r="Y145" i="9"/>
  <c r="Y56" i="9"/>
  <c r="Y50" i="9"/>
  <c r="V54" i="9"/>
  <c r="Y135" i="9"/>
  <c r="Y141" i="9" s="1"/>
  <c r="Y61" i="9" s="1"/>
  <c r="Y49" i="9"/>
  <c r="Y58" i="9"/>
  <c r="Y48" i="9"/>
  <c r="Y55" i="9"/>
  <c r="Y45" i="9"/>
  <c r="Y136" i="9"/>
  <c r="V171" i="8"/>
  <c r="V172" i="8"/>
  <c r="V133" i="8"/>
  <c r="V130" i="8" s="1"/>
  <c r="W15" i="7"/>
  <c r="V90" i="8"/>
  <c r="S44" i="8"/>
  <c r="S30" i="8"/>
  <c r="S27" i="8"/>
  <c r="U63" i="9"/>
  <c r="S108" i="8"/>
  <c r="U101" i="9"/>
  <c r="U85" i="9" s="1"/>
  <c r="S137" i="8" s="1"/>
  <c r="S28" i="8" s="1"/>
  <c r="S147" i="8"/>
  <c r="S153" i="8" s="1"/>
  <c r="T51" i="7"/>
  <c r="T52" i="7"/>
  <c r="V16" i="7"/>
  <c r="V138" i="8"/>
  <c r="U19" i="7"/>
  <c r="E4" i="2"/>
  <c r="DW58" i="8"/>
  <c r="F60" i="8" l="1"/>
  <c r="F61" i="8" s="1"/>
  <c r="F66" i="8"/>
  <c r="O55" i="8"/>
  <c r="O56" i="8" s="1"/>
  <c r="O49" i="8"/>
  <c r="Q37" i="8"/>
  <c r="Q53" i="8"/>
  <c r="Q52" i="8"/>
  <c r="Q36" i="8"/>
  <c r="G8" i="8"/>
  <c r="G58" i="8"/>
  <c r="S32" i="8"/>
  <c r="P41" i="8"/>
  <c r="P46" i="8"/>
  <c r="E56" i="8"/>
  <c r="E63" i="8"/>
  <c r="C9" i="8"/>
  <c r="C10" i="8" s="1"/>
  <c r="E183" i="8"/>
  <c r="DW56" i="8"/>
  <c r="DW63" i="8"/>
  <c r="DW64" i="8" s="1"/>
  <c r="L56" i="8"/>
  <c r="DZ56" i="8"/>
  <c r="DY56" i="8"/>
  <c r="I56" i="8"/>
  <c r="DX56" i="8"/>
  <c r="F56" i="8"/>
  <c r="F63" i="8"/>
  <c r="K114" i="9"/>
  <c r="H166" i="8"/>
  <c r="H167" i="8"/>
  <c r="K115" i="9"/>
  <c r="Y93" i="9"/>
  <c r="W145" i="8" s="1"/>
  <c r="W98" i="8"/>
  <c r="W103" i="8"/>
  <c r="Y98" i="9"/>
  <c r="W150" i="8" s="1"/>
  <c r="W93" i="8"/>
  <c r="X33" i="7"/>
  <c r="X34" i="7" s="1"/>
  <c r="X36" i="7" s="1"/>
  <c r="Y88" i="9"/>
  <c r="W140" i="8" s="1"/>
  <c r="Y92" i="9"/>
  <c r="W144" i="8" s="1"/>
  <c r="W97" i="8"/>
  <c r="W99" i="8"/>
  <c r="X37" i="7"/>
  <c r="X38" i="7" s="1"/>
  <c r="X40" i="7" s="1"/>
  <c r="Y94" i="9"/>
  <c r="W146" i="8" s="1"/>
  <c r="W92" i="8"/>
  <c r="Y87" i="9"/>
  <c r="W139" i="8" s="1"/>
  <c r="X29" i="7"/>
  <c r="X30" i="7" s="1"/>
  <c r="X32" i="7" s="1"/>
  <c r="Y100" i="9"/>
  <c r="W152" i="8" s="1"/>
  <c r="W105" i="8"/>
  <c r="Z40" i="9"/>
  <c r="W89" i="8"/>
  <c r="Y44" i="9"/>
  <c r="X9" i="7"/>
  <c r="X10" i="7" s="1"/>
  <c r="W129" i="8"/>
  <c r="W33" i="8"/>
  <c r="W102" i="8"/>
  <c r="Y97" i="9"/>
  <c r="W149" i="8" s="1"/>
  <c r="W96" i="8"/>
  <c r="Y91" i="9"/>
  <c r="W143" i="8" s="1"/>
  <c r="V60" i="9"/>
  <c r="T106" i="8" s="1"/>
  <c r="V62" i="9"/>
  <c r="V64" i="9"/>
  <c r="T110" i="8" s="1"/>
  <c r="U41" i="7"/>
  <c r="U42" i="7" s="1"/>
  <c r="U44" i="7" s="1"/>
  <c r="V95" i="9"/>
  <c r="T100" i="8"/>
  <c r="T134" i="8" s="1"/>
  <c r="T26" i="8" s="1"/>
  <c r="W107" i="8"/>
  <c r="Y90" i="9"/>
  <c r="W142" i="8" s="1"/>
  <c r="W95" i="8"/>
  <c r="Y99" i="9"/>
  <c r="W151" i="8" s="1"/>
  <c r="W104" i="8"/>
  <c r="Y89" i="9"/>
  <c r="W141" i="8" s="1"/>
  <c r="W94" i="8"/>
  <c r="W101" i="8"/>
  <c r="Y96" i="9"/>
  <c r="W148" i="8" s="1"/>
  <c r="X45" i="7"/>
  <c r="X46" i="7" s="1"/>
  <c r="X48" i="7" s="1"/>
  <c r="Y86" i="9"/>
  <c r="W91" i="8"/>
  <c r="X25" i="7"/>
  <c r="X26" i="7" s="1"/>
  <c r="X28" i="7" s="1"/>
  <c r="W20" i="7"/>
  <c r="S109" i="8"/>
  <c r="S34" i="8" s="1"/>
  <c r="T56" i="7"/>
  <c r="S18" i="8"/>
  <c r="V17" i="7"/>
  <c r="W12" i="7"/>
  <c r="R182" i="8"/>
  <c r="R25" i="8"/>
  <c r="U53" i="7"/>
  <c r="T19" i="8" s="1"/>
  <c r="F25" i="2"/>
  <c r="G25" i="2" s="1"/>
  <c r="F16" i="2"/>
  <c r="G16" i="2" s="1"/>
  <c r="F5" i="2"/>
  <c r="F12" i="2"/>
  <c r="G12" i="2" s="1"/>
  <c r="F9" i="2"/>
  <c r="G9" i="2" s="1"/>
  <c r="F10" i="2"/>
  <c r="G10" i="2" s="1"/>
  <c r="F17" i="2"/>
  <c r="G17" i="2" s="1"/>
  <c r="F8" i="2"/>
  <c r="G8" i="2" s="1"/>
  <c r="F11" i="2"/>
  <c r="G11" i="2" s="1"/>
  <c r="F6" i="2"/>
  <c r="G6" i="2" s="1"/>
  <c r="F7" i="2"/>
  <c r="G7" i="2" s="1"/>
  <c r="F15" i="2"/>
  <c r="G15" i="2" s="1"/>
  <c r="F14" i="2"/>
  <c r="G14" i="2" s="1"/>
  <c r="F31" i="2"/>
  <c r="G31" i="2" s="1"/>
  <c r="Y146" i="9"/>
  <c r="Y142" i="9" s="1"/>
  <c r="V173" i="8"/>
  <c r="V29" i="8" s="1"/>
  <c r="DW66" i="8"/>
  <c r="DW60" i="8"/>
  <c r="DW61" i="8" s="1"/>
  <c r="S22" i="8" l="1"/>
  <c r="S23" i="8" s="1"/>
  <c r="T57" i="7"/>
  <c r="F183" i="8"/>
  <c r="G63" i="8"/>
  <c r="G64" i="8" s="1"/>
  <c r="G66" i="8"/>
  <c r="G183" i="8" s="1"/>
  <c r="G60" i="8"/>
  <c r="G61" i="8" s="1"/>
  <c r="EA37" i="8"/>
  <c r="EB37" i="8"/>
  <c r="E19" i="2" s="1"/>
  <c r="F19" i="2" s="1"/>
  <c r="G19" i="2" s="1"/>
  <c r="EA53" i="8"/>
  <c r="EB53" i="8"/>
  <c r="E36" i="2" s="1"/>
  <c r="F36" i="2" s="1"/>
  <c r="G36" i="2" s="1"/>
  <c r="EA52" i="8"/>
  <c r="EB52" i="8"/>
  <c r="E32" i="2" s="1"/>
  <c r="F32" i="2" s="1"/>
  <c r="G32" i="2" s="1"/>
  <c r="Q39" i="8"/>
  <c r="EB36" i="8"/>
  <c r="EA36" i="8"/>
  <c r="P42" i="8"/>
  <c r="P48" i="8"/>
  <c r="C11" i="8"/>
  <c r="C12" i="8" s="1"/>
  <c r="E64" i="8"/>
  <c r="F64" i="8"/>
  <c r="I166" i="8"/>
  <c r="L114" i="9"/>
  <c r="I167" i="8"/>
  <c r="L115" i="9"/>
  <c r="Z145" i="9"/>
  <c r="Z136" i="9"/>
  <c r="Z58" i="9"/>
  <c r="Z45" i="9"/>
  <c r="Z49" i="9"/>
  <c r="Z59" i="9"/>
  <c r="Z55" i="9"/>
  <c r="Z53" i="9"/>
  <c r="Z47" i="9"/>
  <c r="Z51" i="9"/>
  <c r="Z48" i="9"/>
  <c r="X86" i="8"/>
  <c r="Z50" i="9"/>
  <c r="Z135" i="9"/>
  <c r="Z141" i="9" s="1"/>
  <c r="Z61" i="9" s="1"/>
  <c r="Z43" i="9"/>
  <c r="Z52" i="9"/>
  <c r="Z144" i="9"/>
  <c r="Z57" i="9"/>
  <c r="Z46" i="9"/>
  <c r="Z56" i="9"/>
  <c r="W54" i="9"/>
  <c r="W172" i="8"/>
  <c r="X15" i="7"/>
  <c r="W171" i="8"/>
  <c r="W133" i="8"/>
  <c r="W130" i="8" s="1"/>
  <c r="W90" i="8"/>
  <c r="W16" i="7"/>
  <c r="T27" i="8"/>
  <c r="T44" i="8"/>
  <c r="T30" i="8"/>
  <c r="V63" i="9"/>
  <c r="T108" i="8"/>
  <c r="U51" i="7"/>
  <c r="U52" i="7"/>
  <c r="T18" i="8" s="1"/>
  <c r="V101" i="9"/>
  <c r="V85" i="9" s="1"/>
  <c r="T137" i="8" s="1"/>
  <c r="T28" i="8" s="1"/>
  <c r="T147" i="8"/>
  <c r="T153" i="8" s="1"/>
  <c r="W138" i="8"/>
  <c r="V19" i="7"/>
  <c r="R36" i="8"/>
  <c r="R37" i="8"/>
  <c r="R52" i="8"/>
  <c r="R53" i="8"/>
  <c r="H58" i="8"/>
  <c r="EA39" i="8" l="1"/>
  <c r="Q46" i="8"/>
  <c r="Q41" i="8"/>
  <c r="E18" i="2"/>
  <c r="EB39" i="8"/>
  <c r="T32" i="8"/>
  <c r="Z146" i="9"/>
  <c r="Z142" i="9" s="1"/>
  <c r="W173" i="8"/>
  <c r="W29" i="8" s="1"/>
  <c r="P49" i="8"/>
  <c r="P55" i="8"/>
  <c r="J166" i="8"/>
  <c r="M114" i="9"/>
  <c r="M115" i="9"/>
  <c r="J167" i="8"/>
  <c r="Z99" i="9"/>
  <c r="X151" i="8" s="1"/>
  <c r="X104" i="8"/>
  <c r="Y25" i="7"/>
  <c r="Y26" i="7" s="1"/>
  <c r="Y28" i="7" s="1"/>
  <c r="Z86" i="9"/>
  <c r="X91" i="8"/>
  <c r="X95" i="8"/>
  <c r="Z90" i="9"/>
  <c r="X142" i="8" s="1"/>
  <c r="Z100" i="9"/>
  <c r="X152" i="8" s="1"/>
  <c r="X105" i="8"/>
  <c r="Y45" i="7"/>
  <c r="Y46" i="7" s="1"/>
  <c r="Y48" i="7" s="1"/>
  <c r="Z96" i="9"/>
  <c r="X148" i="8" s="1"/>
  <c r="X101" i="8"/>
  <c r="X99" i="8"/>
  <c r="Z94" i="9"/>
  <c r="X146" i="8" s="1"/>
  <c r="Y37" i="7"/>
  <c r="Y38" i="7" s="1"/>
  <c r="Y40" i="7" s="1"/>
  <c r="X93" i="8"/>
  <c r="Y33" i="7"/>
  <c r="Y34" i="7" s="1"/>
  <c r="Y36" i="7" s="1"/>
  <c r="Z88" i="9"/>
  <c r="X140" i="8" s="1"/>
  <c r="X97" i="8"/>
  <c r="Z92" i="9"/>
  <c r="X144" i="8" s="1"/>
  <c r="Z89" i="9"/>
  <c r="X141" i="8" s="1"/>
  <c r="X94" i="8"/>
  <c r="X33" i="8"/>
  <c r="X129" i="8"/>
  <c r="Y9" i="7"/>
  <c r="Y10" i="7" s="1"/>
  <c r="X96" i="8"/>
  <c r="Z91" i="9"/>
  <c r="X143" i="8" s="1"/>
  <c r="X107" i="8"/>
  <c r="X89" i="8"/>
  <c r="AA40" i="9"/>
  <c r="Z44" i="9"/>
  <c r="Z93" i="9"/>
  <c r="X145" i="8" s="1"/>
  <c r="X98" i="8"/>
  <c r="X103" i="8"/>
  <c r="Z98" i="9"/>
  <c r="X150" i="8" s="1"/>
  <c r="Z87" i="9"/>
  <c r="X139" i="8" s="1"/>
  <c r="Y29" i="7"/>
  <c r="Y30" i="7" s="1"/>
  <c r="Y32" i="7" s="1"/>
  <c r="X92" i="8"/>
  <c r="Z97" i="9"/>
  <c r="X149" i="8" s="1"/>
  <c r="X102" i="8"/>
  <c r="W60" i="9"/>
  <c r="U106" i="8" s="1"/>
  <c r="W62" i="9"/>
  <c r="W64" i="9"/>
  <c r="U110" i="8" s="1"/>
  <c r="W95" i="9"/>
  <c r="U100" i="8"/>
  <c r="U134" i="8" s="1"/>
  <c r="U26" i="8" s="1"/>
  <c r="V41" i="7"/>
  <c r="V42" i="7" s="1"/>
  <c r="V44" i="7" s="1"/>
  <c r="X20" i="7"/>
  <c r="W17" i="7"/>
  <c r="X12" i="7"/>
  <c r="T109" i="8"/>
  <c r="T34" i="8" s="1"/>
  <c r="U56" i="7"/>
  <c r="S182" i="8"/>
  <c r="S25" i="8"/>
  <c r="V53" i="7"/>
  <c r="U19" i="8" s="1"/>
  <c r="H60" i="8"/>
  <c r="H61" i="8" s="1"/>
  <c r="H66" i="8"/>
  <c r="H63" i="8"/>
  <c r="DX58" i="8"/>
  <c r="I58" i="8"/>
  <c r="EA41" i="8" l="1"/>
  <c r="EA46" i="8"/>
  <c r="Q48" i="8"/>
  <c r="Q42" i="8"/>
  <c r="E21" i="2"/>
  <c r="F18" i="2"/>
  <c r="G18" i="2" s="1"/>
  <c r="EB46" i="8"/>
  <c r="EB41" i="8"/>
  <c r="P56" i="8"/>
  <c r="K166" i="8"/>
  <c r="N114" i="9"/>
  <c r="K167" i="8"/>
  <c r="N115" i="9"/>
  <c r="X138" i="8"/>
  <c r="X16" i="7"/>
  <c r="Y15" i="7"/>
  <c r="X172" i="8"/>
  <c r="X133" i="8"/>
  <c r="X130" i="8" s="1"/>
  <c r="X171" i="8"/>
  <c r="AA50" i="9"/>
  <c r="AA55" i="9"/>
  <c r="AA135" i="9"/>
  <c r="AA141" i="9" s="1"/>
  <c r="AA61" i="9" s="1"/>
  <c r="AA47" i="9"/>
  <c r="AA43" i="9"/>
  <c r="AA57" i="9"/>
  <c r="AA45" i="9"/>
  <c r="AA58" i="9"/>
  <c r="AA59" i="9"/>
  <c r="X54" i="9"/>
  <c r="AA52" i="9"/>
  <c r="AA56" i="9"/>
  <c r="AA144" i="9"/>
  <c r="AA136" i="9"/>
  <c r="Y86" i="8"/>
  <c r="AA46" i="9"/>
  <c r="AA145" i="9"/>
  <c r="AA49" i="9"/>
  <c r="AA48" i="9"/>
  <c r="AA51" i="9"/>
  <c r="AA53" i="9"/>
  <c r="X90" i="8"/>
  <c r="U44" i="8"/>
  <c r="U27" i="8"/>
  <c r="U30" i="8"/>
  <c r="W63" i="9"/>
  <c r="U108" i="8"/>
  <c r="W101" i="9"/>
  <c r="W85" i="9" s="1"/>
  <c r="U137" i="8" s="1"/>
  <c r="U28" i="8" s="1"/>
  <c r="U147" i="8"/>
  <c r="U153" i="8" s="1"/>
  <c r="V52" i="7"/>
  <c r="V51" i="7"/>
  <c r="W19" i="7"/>
  <c r="U57" i="7"/>
  <c r="T22" i="8"/>
  <c r="S52" i="8"/>
  <c r="S53" i="8"/>
  <c r="S36" i="8"/>
  <c r="S37" i="8"/>
  <c r="H183" i="8"/>
  <c r="D9" i="8"/>
  <c r="D10" i="8" s="1"/>
  <c r="D11" i="8"/>
  <c r="D12" i="8" s="1"/>
  <c r="H64" i="8"/>
  <c r="DX66" i="8"/>
  <c r="DX60" i="8"/>
  <c r="DX61" i="8" s="1"/>
  <c r="DX63" i="8"/>
  <c r="DX64" i="8" s="1"/>
  <c r="I60" i="8"/>
  <c r="I61" i="8" s="1"/>
  <c r="I66" i="8"/>
  <c r="I63" i="8"/>
  <c r="J58" i="8"/>
  <c r="EA48" i="8" l="1"/>
  <c r="EA49" i="8" s="1"/>
  <c r="EA42" i="8"/>
  <c r="EA55" i="8"/>
  <c r="EA56" i="8" s="1"/>
  <c r="X173" i="8"/>
  <c r="X29" i="8" s="1"/>
  <c r="Q55" i="8"/>
  <c r="Q56" i="8" s="1"/>
  <c r="Q49" i="8"/>
  <c r="E23" i="2"/>
  <c r="F23" i="2" s="1"/>
  <c r="F21" i="2"/>
  <c r="E27" i="2"/>
  <c r="EB48" i="8"/>
  <c r="EB42" i="8"/>
  <c r="U32" i="8"/>
  <c r="L166" i="8"/>
  <c r="O114" i="9"/>
  <c r="L167" i="8"/>
  <c r="O115" i="9"/>
  <c r="Y12" i="7"/>
  <c r="X17" i="7"/>
  <c r="Y20" i="7"/>
  <c r="Y96" i="8"/>
  <c r="AA91" i="9"/>
  <c r="Y143" i="8" s="1"/>
  <c r="AA96" i="9"/>
  <c r="Y148" i="8" s="1"/>
  <c r="Y101" i="8"/>
  <c r="Z45" i="7"/>
  <c r="Z46" i="7" s="1"/>
  <c r="Z48" i="7" s="1"/>
  <c r="Y107" i="8"/>
  <c r="AA88" i="9"/>
  <c r="Y140" i="8" s="1"/>
  <c r="Y93" i="8"/>
  <c r="Z33" i="7"/>
  <c r="Z34" i="7" s="1"/>
  <c r="Z36" i="7" s="1"/>
  <c r="Y89" i="8"/>
  <c r="AB40" i="9"/>
  <c r="AA44" i="9"/>
  <c r="AA98" i="9"/>
  <c r="Y150" i="8" s="1"/>
  <c r="Y103" i="8"/>
  <c r="Z25" i="7"/>
  <c r="Z26" i="7" s="1"/>
  <c r="Z28" i="7" s="1"/>
  <c r="Y91" i="8"/>
  <c r="AA86" i="9"/>
  <c r="Y104" i="8"/>
  <c r="AA99" i="9"/>
  <c r="Y151" i="8" s="1"/>
  <c r="AA100" i="9"/>
  <c r="Y152" i="8" s="1"/>
  <c r="Y105" i="8"/>
  <c r="X60" i="9"/>
  <c r="V106" i="8" s="1"/>
  <c r="X62" i="9"/>
  <c r="X64" i="9"/>
  <c r="V110" i="8" s="1"/>
  <c r="W41" i="7"/>
  <c r="W42" i="7" s="1"/>
  <c r="W44" i="7" s="1"/>
  <c r="V100" i="8"/>
  <c r="V134" i="8" s="1"/>
  <c r="V26" i="8" s="1"/>
  <c r="X95" i="9"/>
  <c r="AA93" i="9"/>
  <c r="Y145" i="8" s="1"/>
  <c r="Y98" i="8"/>
  <c r="AA97" i="9"/>
  <c r="Y149" i="8" s="1"/>
  <c r="Y102" i="8"/>
  <c r="Y33" i="8"/>
  <c r="Y129" i="8"/>
  <c r="Z9" i="7"/>
  <c r="Z10" i="7" s="1"/>
  <c r="Z29" i="7"/>
  <c r="Z30" i="7" s="1"/>
  <c r="Z32" i="7" s="1"/>
  <c r="AA87" i="9"/>
  <c r="Y139" i="8" s="1"/>
  <c r="Y92" i="8"/>
  <c r="Y95" i="8"/>
  <c r="AA90" i="9"/>
  <c r="Y142" i="8" s="1"/>
  <c r="AA89" i="9"/>
  <c r="Y141" i="8" s="1"/>
  <c r="Y94" i="8"/>
  <c r="Y97" i="8"/>
  <c r="AA92" i="9"/>
  <c r="Y144" i="8" s="1"/>
  <c r="AA94" i="9"/>
  <c r="Y146" i="8" s="1"/>
  <c r="Z37" i="7"/>
  <c r="Z38" i="7" s="1"/>
  <c r="Z40" i="7" s="1"/>
  <c r="Y99" i="8"/>
  <c r="U109" i="8"/>
  <c r="U34" i="8" s="1"/>
  <c r="U18" i="8"/>
  <c r="V56" i="7"/>
  <c r="W53" i="7"/>
  <c r="V19" i="8" s="1"/>
  <c r="T23" i="8"/>
  <c r="I64" i="8"/>
  <c r="J60" i="8"/>
  <c r="J61" i="8" s="1"/>
  <c r="J66" i="8"/>
  <c r="J63" i="8"/>
  <c r="AA146" i="9"/>
  <c r="AA142" i="9" s="1"/>
  <c r="I183" i="8"/>
  <c r="J183" i="8" s="1"/>
  <c r="K58" i="8"/>
  <c r="E29" i="2" l="1"/>
  <c r="F29" i="2" s="1"/>
  <c r="F27" i="2"/>
  <c r="EB49" i="8"/>
  <c r="EB55" i="8"/>
  <c r="EB56" i="8" s="1"/>
  <c r="P114" i="9"/>
  <c r="M166" i="8"/>
  <c r="M167" i="8"/>
  <c r="P115" i="9"/>
  <c r="X19" i="7"/>
  <c r="Y171" i="8"/>
  <c r="Y133" i="8"/>
  <c r="Y130" i="8" s="1"/>
  <c r="Z15" i="7"/>
  <c r="Y172" i="8"/>
  <c r="AB50" i="9"/>
  <c r="AB55" i="9"/>
  <c r="AB43" i="9"/>
  <c r="Z86" i="8"/>
  <c r="AB49" i="9"/>
  <c r="AB48" i="9"/>
  <c r="AB52" i="9"/>
  <c r="AB57" i="9"/>
  <c r="AB53" i="9"/>
  <c r="Y54" i="9"/>
  <c r="AB144" i="9"/>
  <c r="AB135" i="9"/>
  <c r="AB141" i="9" s="1"/>
  <c r="AB61" i="9" s="1"/>
  <c r="AB58" i="9"/>
  <c r="AB145" i="9"/>
  <c r="AB56" i="9"/>
  <c r="AB59" i="9"/>
  <c r="AB45" i="9"/>
  <c r="AB47" i="9"/>
  <c r="AB51" i="9"/>
  <c r="AB46" i="9"/>
  <c r="AB136" i="9"/>
  <c r="Y90" i="8"/>
  <c r="Y138" i="8"/>
  <c r="V27" i="8"/>
  <c r="V30" i="8"/>
  <c r="V44" i="8"/>
  <c r="X63" i="9"/>
  <c r="V109" i="8" s="1"/>
  <c r="V34" i="8" s="1"/>
  <c r="V108" i="8"/>
  <c r="W52" i="7"/>
  <c r="V18" i="8" s="1"/>
  <c r="W51" i="7"/>
  <c r="X101" i="9"/>
  <c r="X85" i="9" s="1"/>
  <c r="V137" i="8" s="1"/>
  <c r="V28" i="8" s="1"/>
  <c r="V147" i="8"/>
  <c r="V153" i="8" s="1"/>
  <c r="Y16" i="7"/>
  <c r="T182" i="8"/>
  <c r="T25" i="8"/>
  <c r="J64" i="8"/>
  <c r="K66" i="8"/>
  <c r="K60" i="8"/>
  <c r="K61" i="8" s="1"/>
  <c r="K63" i="8"/>
  <c r="DY58" i="8"/>
  <c r="L58" i="8"/>
  <c r="U22" i="8"/>
  <c r="U23" i="8" s="1"/>
  <c r="U25" i="8" s="1"/>
  <c r="V57" i="7"/>
  <c r="AB146" i="9" l="1"/>
  <c r="AB142" i="9" s="1"/>
  <c r="V32" i="8"/>
  <c r="Y173" i="8"/>
  <c r="Y29" i="8" s="1"/>
  <c r="U182" i="8"/>
  <c r="N166" i="8"/>
  <c r="Q114" i="9"/>
  <c r="N167" i="8"/>
  <c r="Q115" i="9"/>
  <c r="X53" i="7"/>
  <c r="W19" i="8" s="1"/>
  <c r="Z20" i="7"/>
  <c r="Z96" i="8"/>
  <c r="AB91" i="9"/>
  <c r="Z143" i="8" s="1"/>
  <c r="Z101" i="8"/>
  <c r="AA45" i="7"/>
  <c r="AA46" i="7" s="1"/>
  <c r="AA48" i="7" s="1"/>
  <c r="AB96" i="9"/>
  <c r="Z148" i="8" s="1"/>
  <c r="Z89" i="8"/>
  <c r="AC40" i="9"/>
  <c r="AB44" i="9"/>
  <c r="Z33" i="8"/>
  <c r="Z129" i="8"/>
  <c r="AA9" i="7"/>
  <c r="AA10" i="7" s="1"/>
  <c r="AB90" i="9"/>
  <c r="Z142" i="8" s="1"/>
  <c r="Z95" i="8"/>
  <c r="AB89" i="9"/>
  <c r="Z141" i="8" s="1"/>
  <c r="Z94" i="8"/>
  <c r="AB93" i="9"/>
  <c r="Z145" i="8" s="1"/>
  <c r="Z98" i="8"/>
  <c r="AB98" i="9"/>
  <c r="Z150" i="8" s="1"/>
  <c r="Z103" i="8"/>
  <c r="AA37" i="7"/>
  <c r="AA38" i="7" s="1"/>
  <c r="AA40" i="7" s="1"/>
  <c r="AB94" i="9"/>
  <c r="Z146" i="8" s="1"/>
  <c r="Z99" i="8"/>
  <c r="Y60" i="9"/>
  <c r="W106" i="8" s="1"/>
  <c r="Y62" i="9"/>
  <c r="Y64" i="9"/>
  <c r="W110" i="8" s="1"/>
  <c r="W100" i="8"/>
  <c r="W134" i="8" s="1"/>
  <c r="W26" i="8" s="1"/>
  <c r="X41" i="7"/>
  <c r="X42" i="7" s="1"/>
  <c r="X44" i="7" s="1"/>
  <c r="Y95" i="9"/>
  <c r="Z107" i="8"/>
  <c r="Z104" i="8"/>
  <c r="AB99" i="9"/>
  <c r="Z151" i="8" s="1"/>
  <c r="Z102" i="8"/>
  <c r="AB97" i="9"/>
  <c r="Z149" i="8" s="1"/>
  <c r="AB100" i="9"/>
  <c r="Z152" i="8" s="1"/>
  <c r="Z105" i="8"/>
  <c r="AA25" i="7"/>
  <c r="AA26" i="7" s="1"/>
  <c r="AA28" i="7" s="1"/>
  <c r="AB86" i="9"/>
  <c r="Z91" i="8"/>
  <c r="AA33" i="7"/>
  <c r="AA34" i="7" s="1"/>
  <c r="AA36" i="7" s="1"/>
  <c r="AB88" i="9"/>
  <c r="Z140" i="8" s="1"/>
  <c r="Z93" i="8"/>
  <c r="AB92" i="9"/>
  <c r="Z144" i="8" s="1"/>
  <c r="Z97" i="8"/>
  <c r="Z92" i="8"/>
  <c r="AB87" i="9"/>
  <c r="Z139" i="8" s="1"/>
  <c r="AA29" i="7"/>
  <c r="AA30" i="7" s="1"/>
  <c r="AA32" i="7" s="1"/>
  <c r="W56" i="7"/>
  <c r="Z12" i="7"/>
  <c r="Y17" i="7"/>
  <c r="T53" i="8"/>
  <c r="T37" i="8"/>
  <c r="T52" i="8"/>
  <c r="T36" i="8"/>
  <c r="K183" i="8"/>
  <c r="E9" i="8"/>
  <c r="E10" i="8" s="1"/>
  <c r="E11" i="8"/>
  <c r="E12" i="8" s="1"/>
  <c r="K64" i="8"/>
  <c r="DY60" i="8"/>
  <c r="DY61" i="8" s="1"/>
  <c r="DY66" i="8"/>
  <c r="DY63" i="8"/>
  <c r="DY64" i="8" s="1"/>
  <c r="L60" i="8"/>
  <c r="L61" i="8" s="1"/>
  <c r="L66" i="8"/>
  <c r="L63" i="8"/>
  <c r="U36" i="8"/>
  <c r="U37" i="8"/>
  <c r="U52" i="8"/>
  <c r="U53" i="8"/>
  <c r="M58" i="8"/>
  <c r="R114" i="9" l="1"/>
  <c r="O166" i="8"/>
  <c r="O167" i="8"/>
  <c r="R115" i="9"/>
  <c r="Z171" i="8"/>
  <c r="Z172" i="8"/>
  <c r="AA15" i="7"/>
  <c r="Z133" i="8"/>
  <c r="Z130" i="8" s="1"/>
  <c r="AC58" i="9"/>
  <c r="AC135" i="9"/>
  <c r="AC141" i="9" s="1"/>
  <c r="AC61" i="9" s="1"/>
  <c r="AC51" i="9"/>
  <c r="AC46" i="9"/>
  <c r="AC48" i="9"/>
  <c r="AC47" i="9"/>
  <c r="AC43" i="9"/>
  <c r="AC44" i="9" s="1"/>
  <c r="AC145" i="9"/>
  <c r="AC57" i="9"/>
  <c r="AC56" i="9"/>
  <c r="AC52" i="9"/>
  <c r="AC55" i="9"/>
  <c r="AC45" i="9"/>
  <c r="AC144" i="9"/>
  <c r="AC53" i="9"/>
  <c r="AC50" i="9"/>
  <c r="AC59" i="9"/>
  <c r="AC49" i="9"/>
  <c r="AC136" i="9"/>
  <c r="AA86" i="8"/>
  <c r="Z54" i="9"/>
  <c r="Z90" i="8"/>
  <c r="Z16" i="7"/>
  <c r="W44" i="8"/>
  <c r="W27" i="8"/>
  <c r="W30" i="8"/>
  <c r="Y63" i="9"/>
  <c r="W109" i="8" s="1"/>
  <c r="W34" i="8" s="1"/>
  <c r="W108" i="8"/>
  <c r="X52" i="7"/>
  <c r="X51" i="7"/>
  <c r="Y101" i="9"/>
  <c r="Y85" i="9" s="1"/>
  <c r="W137" i="8" s="1"/>
  <c r="W28" i="8" s="1"/>
  <c r="W147" i="8"/>
  <c r="W153" i="8" s="1"/>
  <c r="Z138" i="8"/>
  <c r="W57" i="7"/>
  <c r="V22" i="8"/>
  <c r="Y19" i="7"/>
  <c r="L64" i="8"/>
  <c r="M66" i="8"/>
  <c r="M60" i="8"/>
  <c r="M61" i="8" s="1"/>
  <c r="M63" i="8"/>
  <c r="M64" i="8" s="1"/>
  <c r="N58" i="8"/>
  <c r="L183" i="8"/>
  <c r="M183" i="8" l="1"/>
  <c r="AC146" i="9"/>
  <c r="AC142" i="9" s="1"/>
  <c r="W32" i="8"/>
  <c r="S114" i="9"/>
  <c r="Q166" i="8" s="1"/>
  <c r="P166" i="8"/>
  <c r="S115" i="9"/>
  <c r="P167" i="8"/>
  <c r="AA20" i="7"/>
  <c r="AA104" i="8"/>
  <c r="AC99" i="9"/>
  <c r="AA151" i="8" s="1"/>
  <c r="AA107" i="8"/>
  <c r="AA97" i="8"/>
  <c r="AC92" i="9"/>
  <c r="AA144" i="8" s="1"/>
  <c r="AC87" i="9"/>
  <c r="AA139" i="8" s="1"/>
  <c r="AA92" i="8"/>
  <c r="AB29" i="7"/>
  <c r="AB30" i="7" s="1"/>
  <c r="AB32" i="7" s="1"/>
  <c r="AC89" i="9"/>
  <c r="AA141" i="8" s="1"/>
  <c r="AA94" i="8"/>
  <c r="AA93" i="8"/>
  <c r="AC88" i="9"/>
  <c r="AA140" i="8" s="1"/>
  <c r="AB33" i="7"/>
  <c r="AB34" i="7" s="1"/>
  <c r="AB36" i="7" s="1"/>
  <c r="AA89" i="8"/>
  <c r="AD40" i="9"/>
  <c r="AC98" i="9"/>
  <c r="AA150" i="8" s="1"/>
  <c r="AA103" i="8"/>
  <c r="AA102" i="8"/>
  <c r="AC97" i="9"/>
  <c r="AA149" i="8" s="1"/>
  <c r="AA98" i="8"/>
  <c r="AC93" i="9"/>
  <c r="AA145" i="8" s="1"/>
  <c r="AC96" i="9"/>
  <c r="AA148" i="8" s="1"/>
  <c r="AA101" i="8"/>
  <c r="AB45" i="7"/>
  <c r="AB46" i="7" s="1"/>
  <c r="AB48" i="7" s="1"/>
  <c r="AA91" i="8"/>
  <c r="AB25" i="7"/>
  <c r="AB26" i="7" s="1"/>
  <c r="AB28" i="7" s="1"/>
  <c r="AC86" i="9"/>
  <c r="AB37" i="7"/>
  <c r="AB38" i="7" s="1"/>
  <c r="AB40" i="7" s="1"/>
  <c r="AC94" i="9"/>
  <c r="AA146" i="8" s="1"/>
  <c r="AA99" i="8"/>
  <c r="AC91" i="9"/>
  <c r="AA143" i="8" s="1"/>
  <c r="AA96" i="8"/>
  <c r="AA90" i="8"/>
  <c r="AC100" i="9"/>
  <c r="AA152" i="8" s="1"/>
  <c r="AA105" i="8"/>
  <c r="AC90" i="9"/>
  <c r="AA142" i="8" s="1"/>
  <c r="AA95" i="8"/>
  <c r="AA129" i="8"/>
  <c r="AB9" i="7"/>
  <c r="AB10" i="7" s="1"/>
  <c r="AA33" i="8"/>
  <c r="Z60" i="9"/>
  <c r="X106" i="8" s="1"/>
  <c r="Z62" i="9"/>
  <c r="Z64" i="9"/>
  <c r="X110" i="8" s="1"/>
  <c r="X100" i="8"/>
  <c r="X134" i="8" s="1"/>
  <c r="X26" i="8" s="1"/>
  <c r="Y41" i="7"/>
  <c r="Y42" i="7" s="1"/>
  <c r="Y44" i="7" s="1"/>
  <c r="Z95" i="9"/>
  <c r="Z17" i="7"/>
  <c r="AA12" i="7"/>
  <c r="W18" i="8"/>
  <c r="X56" i="7"/>
  <c r="V23" i="8"/>
  <c r="Y53" i="7"/>
  <c r="X19" i="8" s="1"/>
  <c r="N66" i="8"/>
  <c r="N60" i="8"/>
  <c r="N61" i="8" s="1"/>
  <c r="N63" i="8"/>
  <c r="O58" i="8"/>
  <c r="Z173" i="8"/>
  <c r="Z29" i="8" s="1"/>
  <c r="DZ58" i="8"/>
  <c r="Q167" i="8" l="1"/>
  <c r="Q58" i="8" s="1"/>
  <c r="T115" i="9"/>
  <c r="AA133" i="8"/>
  <c r="AA130" i="8" s="1"/>
  <c r="AA172" i="8"/>
  <c r="AB15" i="7"/>
  <c r="AA171" i="8"/>
  <c r="AD45" i="9"/>
  <c r="AA54" i="9"/>
  <c r="AD53" i="9"/>
  <c r="AD57" i="9"/>
  <c r="AD43" i="9"/>
  <c r="AD44" i="9" s="1"/>
  <c r="AD52" i="9"/>
  <c r="AD136" i="9"/>
  <c r="AD144" i="9"/>
  <c r="AD51" i="9"/>
  <c r="AD58" i="9"/>
  <c r="AD46" i="9"/>
  <c r="AD145" i="9"/>
  <c r="AD49" i="9"/>
  <c r="AD55" i="9"/>
  <c r="AD59" i="9"/>
  <c r="AB86" i="8"/>
  <c r="AD135" i="9"/>
  <c r="AD141" i="9" s="1"/>
  <c r="AD61" i="9" s="1"/>
  <c r="AD48" i="9"/>
  <c r="AD47" i="9"/>
  <c r="AD56" i="9"/>
  <c r="AD50" i="9"/>
  <c r="AA138" i="8"/>
  <c r="AA16" i="7"/>
  <c r="X30" i="8"/>
  <c r="X27" i="8"/>
  <c r="X44" i="8"/>
  <c r="Z63" i="9"/>
  <c r="X109" i="8" s="1"/>
  <c r="X34" i="8" s="1"/>
  <c r="X108" i="8"/>
  <c r="Y52" i="7"/>
  <c r="Y51" i="7"/>
  <c r="Z101" i="9"/>
  <c r="Z85" i="9" s="1"/>
  <c r="X137" i="8" s="1"/>
  <c r="X28" i="8" s="1"/>
  <c r="X147" i="8"/>
  <c r="X153" i="8" s="1"/>
  <c r="Z19" i="7"/>
  <c r="V182" i="8"/>
  <c r="V25" i="8"/>
  <c r="N183" i="8"/>
  <c r="F9" i="8"/>
  <c r="F10" i="8" s="1"/>
  <c r="F11" i="8"/>
  <c r="F12" i="8" s="1"/>
  <c r="N64" i="8"/>
  <c r="O66" i="8"/>
  <c r="O60" i="8"/>
  <c r="O61" i="8" s="1"/>
  <c r="O63" i="8"/>
  <c r="DZ63" i="8"/>
  <c r="DZ64" i="8" s="1"/>
  <c r="DZ60" i="8"/>
  <c r="DZ61" i="8" s="1"/>
  <c r="DZ66" i="8"/>
  <c r="P58" i="8"/>
  <c r="W22" i="8"/>
  <c r="W23" i="8" s="1"/>
  <c r="X57" i="7"/>
  <c r="AA173" i="8" l="1"/>
  <c r="AA29" i="8" s="1"/>
  <c r="EA58" i="8"/>
  <c r="X32" i="8"/>
  <c r="W182" i="8"/>
  <c r="W25" i="8"/>
  <c r="Q63" i="8"/>
  <c r="Q60" i="8"/>
  <c r="Q61" i="8" s="1"/>
  <c r="Q66" i="8"/>
  <c r="U115" i="9"/>
  <c r="R167" i="8"/>
  <c r="AB20" i="7"/>
  <c r="AB91" i="8"/>
  <c r="AD86" i="9"/>
  <c r="AC25" i="7"/>
  <c r="AC26" i="7" s="1"/>
  <c r="AC28" i="7" s="1"/>
  <c r="AA60" i="9"/>
  <c r="Y106" i="8" s="1"/>
  <c r="AA64" i="9"/>
  <c r="Y110" i="8" s="1"/>
  <c r="AA62" i="9"/>
  <c r="Y100" i="8"/>
  <c r="Y134" i="8" s="1"/>
  <c r="Y26" i="8" s="1"/>
  <c r="Z41" i="7"/>
  <c r="Z42" i="7" s="1"/>
  <c r="Z44" i="7" s="1"/>
  <c r="AA95" i="9"/>
  <c r="AB99" i="8"/>
  <c r="AD94" i="9"/>
  <c r="AB146" i="8" s="1"/>
  <c r="AC37" i="7"/>
  <c r="AC38" i="7" s="1"/>
  <c r="AC40" i="7" s="1"/>
  <c r="AD98" i="9"/>
  <c r="AB150" i="8" s="1"/>
  <c r="AB103" i="8"/>
  <c r="AB89" i="8"/>
  <c r="AE40" i="9"/>
  <c r="AD93" i="9"/>
  <c r="AB145" i="8" s="1"/>
  <c r="AB98" i="8"/>
  <c r="AB97" i="8"/>
  <c r="AD92" i="9"/>
  <c r="AB144" i="8" s="1"/>
  <c r="AB104" i="8"/>
  <c r="AD99" i="9"/>
  <c r="AB151" i="8" s="1"/>
  <c r="AC29" i="7"/>
  <c r="AC30" i="7" s="1"/>
  <c r="AC32" i="7" s="1"/>
  <c r="AB92" i="8"/>
  <c r="AD87" i="9"/>
  <c r="AB139" i="8" s="1"/>
  <c r="AD90" i="9"/>
  <c r="AB142" i="8" s="1"/>
  <c r="AB95" i="8"/>
  <c r="AD96" i="9"/>
  <c r="AB148" i="8" s="1"/>
  <c r="AB101" i="8"/>
  <c r="AC45" i="7"/>
  <c r="AC46" i="7" s="1"/>
  <c r="AC48" i="7" s="1"/>
  <c r="AB90" i="8"/>
  <c r="AD100" i="9"/>
  <c r="AB152" i="8" s="1"/>
  <c r="AB105" i="8"/>
  <c r="AB129" i="8"/>
  <c r="AC9" i="7"/>
  <c r="AC10" i="7" s="1"/>
  <c r="AB33" i="8"/>
  <c r="AB107" i="8"/>
  <c r="AD89" i="9"/>
  <c r="AB141" i="8" s="1"/>
  <c r="AB94" i="8"/>
  <c r="AB93" i="8"/>
  <c r="AD88" i="9"/>
  <c r="AB140" i="8" s="1"/>
  <c r="AC33" i="7"/>
  <c r="AC34" i="7" s="1"/>
  <c r="AC36" i="7" s="1"/>
  <c r="AB102" i="8"/>
  <c r="AD97" i="9"/>
  <c r="AB149" i="8" s="1"/>
  <c r="AD91" i="9"/>
  <c r="AB143" i="8" s="1"/>
  <c r="AB96" i="8"/>
  <c r="AB12" i="7"/>
  <c r="AA17" i="7"/>
  <c r="X18" i="8"/>
  <c r="Y56" i="7"/>
  <c r="Z53" i="7"/>
  <c r="Y19" i="8" s="1"/>
  <c r="V37" i="8"/>
  <c r="V36" i="8"/>
  <c r="V53" i="8"/>
  <c r="V52" i="8"/>
  <c r="O64" i="8"/>
  <c r="P60" i="8"/>
  <c r="P61" i="8" s="1"/>
  <c r="P66" i="8"/>
  <c r="P63" i="8"/>
  <c r="EB58" i="8"/>
  <c r="AD146" i="9"/>
  <c r="AD142" i="9" s="1"/>
  <c r="O183" i="8"/>
  <c r="P183" i="8" s="1"/>
  <c r="G9" i="8" l="1"/>
  <c r="G10" i="8" s="1"/>
  <c r="Q183" i="8"/>
  <c r="EA66" i="8"/>
  <c r="EA60" i="8"/>
  <c r="EA61" i="8" s="1"/>
  <c r="EA63" i="8"/>
  <c r="EA64" i="8" s="1"/>
  <c r="W52" i="8"/>
  <c r="W53" i="8"/>
  <c r="W36" i="8"/>
  <c r="W37" i="8"/>
  <c r="H11" i="8"/>
  <c r="H12" i="8" s="1"/>
  <c r="Q64" i="8"/>
  <c r="S167" i="8"/>
  <c r="V115" i="9"/>
  <c r="AB138" i="8"/>
  <c r="Y27" i="8"/>
  <c r="Y30" i="8"/>
  <c r="Y44" i="8"/>
  <c r="AA63" i="9"/>
  <c r="Y109" i="8" s="1"/>
  <c r="Y34" i="8" s="1"/>
  <c r="Y108" i="8"/>
  <c r="Z51" i="7"/>
  <c r="Z52" i="7"/>
  <c r="AA101" i="9"/>
  <c r="AA85" i="9" s="1"/>
  <c r="Y137" i="8" s="1"/>
  <c r="Y28" i="8" s="1"/>
  <c r="Y147" i="8"/>
  <c r="Y153" i="8" s="1"/>
  <c r="AB172" i="8"/>
  <c r="AC15" i="7"/>
  <c r="AB171" i="8"/>
  <c r="AB173" i="8" s="1"/>
  <c r="AB29" i="8" s="1"/>
  <c r="AB133" i="8"/>
  <c r="AB130" i="8" s="1"/>
  <c r="AE51" i="9"/>
  <c r="AE53" i="9"/>
  <c r="AE43" i="9"/>
  <c r="AB54" i="9"/>
  <c r="AE145" i="9"/>
  <c r="AE136" i="9"/>
  <c r="AE57" i="9"/>
  <c r="AE45" i="9"/>
  <c r="AE48" i="9"/>
  <c r="AE50" i="9"/>
  <c r="AE59" i="9"/>
  <c r="AE52" i="9"/>
  <c r="AE46" i="9"/>
  <c r="AE55" i="9"/>
  <c r="AE49" i="9"/>
  <c r="AE135" i="9"/>
  <c r="AE141" i="9" s="1"/>
  <c r="AE61" i="9" s="1"/>
  <c r="AE58" i="9"/>
  <c r="AE144" i="9"/>
  <c r="AC86" i="8"/>
  <c r="AE56" i="9"/>
  <c r="AE47" i="9"/>
  <c r="AB16" i="7"/>
  <c r="AA19" i="7"/>
  <c r="E33" i="2"/>
  <c r="EB60" i="8"/>
  <c r="EB61" i="8" s="1"/>
  <c r="EB66" i="8"/>
  <c r="EB63" i="8"/>
  <c r="EB64" i="8" s="1"/>
  <c r="H9" i="8"/>
  <c r="X22" i="8"/>
  <c r="Y57" i="7"/>
  <c r="P64" i="8"/>
  <c r="G11" i="8"/>
  <c r="G12" i="8" s="1"/>
  <c r="Y32" i="8" l="1"/>
  <c r="AE146" i="9"/>
  <c r="AE142" i="9" s="1"/>
  <c r="W115" i="9"/>
  <c r="T167" i="8"/>
  <c r="Z56" i="7"/>
  <c r="Y18" i="8"/>
  <c r="AC20" i="7"/>
  <c r="AC97" i="8"/>
  <c r="AE92" i="9"/>
  <c r="AC144" i="8" s="1"/>
  <c r="AD37" i="7"/>
  <c r="AD38" i="7" s="1"/>
  <c r="AD40" i="7" s="1"/>
  <c r="ED40" i="7" s="1"/>
  <c r="AE94" i="9"/>
  <c r="AC146" i="8" s="1"/>
  <c r="AC99" i="8"/>
  <c r="AF40" i="9"/>
  <c r="AC89" i="8"/>
  <c r="AE44" i="9"/>
  <c r="AB60" i="9"/>
  <c r="Z106" i="8" s="1"/>
  <c r="AB62" i="9"/>
  <c r="AB64" i="9"/>
  <c r="Z110" i="8" s="1"/>
  <c r="AB95" i="9"/>
  <c r="Z100" i="8"/>
  <c r="Z134" i="8" s="1"/>
  <c r="Z26" i="8" s="1"/>
  <c r="AA41" i="7"/>
  <c r="AA42" i="7" s="1"/>
  <c r="AA44" i="7" s="1"/>
  <c r="AE98" i="9"/>
  <c r="AC150" i="8" s="1"/>
  <c r="AC103" i="8"/>
  <c r="AD25" i="7"/>
  <c r="AD26" i="7" s="1"/>
  <c r="AD28" i="7" s="1"/>
  <c r="ED28" i="7" s="1"/>
  <c r="AE86" i="9"/>
  <c r="AC91" i="8"/>
  <c r="AC94" i="8"/>
  <c r="AE89" i="9"/>
  <c r="AC141" i="8" s="1"/>
  <c r="AC96" i="8"/>
  <c r="AE91" i="9"/>
  <c r="AC143" i="8" s="1"/>
  <c r="AE100" i="9"/>
  <c r="AC152" i="8" s="1"/>
  <c r="AC105" i="8"/>
  <c r="AE93" i="9"/>
  <c r="AC145" i="8" s="1"/>
  <c r="AC98" i="8"/>
  <c r="AD29" i="7"/>
  <c r="AD30" i="7" s="1"/>
  <c r="AD32" i="7" s="1"/>
  <c r="ED32" i="7" s="1"/>
  <c r="AC92" i="8"/>
  <c r="AE87" i="9"/>
  <c r="AC139" i="8" s="1"/>
  <c r="AD45" i="7"/>
  <c r="AD46" i="7" s="1"/>
  <c r="AD48" i="7" s="1"/>
  <c r="ED48" i="7" s="1"/>
  <c r="AE96" i="9"/>
  <c r="AC148" i="8" s="1"/>
  <c r="AC101" i="8"/>
  <c r="AC95" i="8"/>
  <c r="AE90" i="9"/>
  <c r="AC142" i="8" s="1"/>
  <c r="AC107" i="8"/>
  <c r="AC104" i="8"/>
  <c r="AE99" i="9"/>
  <c r="AC151" i="8" s="1"/>
  <c r="AC33" i="8"/>
  <c r="EC33" i="8" s="1"/>
  <c r="AC129" i="8"/>
  <c r="AD9" i="7"/>
  <c r="AD10" i="7" s="1"/>
  <c r="AE97" i="9"/>
  <c r="AC149" i="8" s="1"/>
  <c r="AC102" i="8"/>
  <c r="AD33" i="7"/>
  <c r="AD34" i="7" s="1"/>
  <c r="AD36" i="7" s="1"/>
  <c r="ED36" i="7" s="1"/>
  <c r="AE88" i="9"/>
  <c r="AC140" i="8" s="1"/>
  <c r="AC93" i="8"/>
  <c r="AB17" i="7"/>
  <c r="AC12" i="7"/>
  <c r="AA53" i="7"/>
  <c r="Z19" i="8" s="1"/>
  <c r="E35" i="2"/>
  <c r="F33" i="2"/>
  <c r="G33" i="2" s="1"/>
  <c r="H10" i="8"/>
  <c r="V5" i="47" s="1"/>
  <c r="K3" i="47" s="1"/>
  <c r="V4" i="47"/>
  <c r="X23" i="8"/>
  <c r="Y22" i="8" l="1"/>
  <c r="Z57" i="7"/>
  <c r="X115" i="9"/>
  <c r="U167" i="8"/>
  <c r="Y23" i="8"/>
  <c r="Y25" i="8" s="1"/>
  <c r="AF51" i="9"/>
  <c r="AF59" i="9"/>
  <c r="AF49" i="9"/>
  <c r="AF57" i="9"/>
  <c r="AD86" i="8"/>
  <c r="AC54" i="9"/>
  <c r="AF46" i="9"/>
  <c r="AF136" i="9"/>
  <c r="AF58" i="9"/>
  <c r="AF144" i="9"/>
  <c r="AF145" i="9"/>
  <c r="AF45" i="9"/>
  <c r="AF135" i="9"/>
  <c r="AF141" i="9" s="1"/>
  <c r="AF61" i="9" s="1"/>
  <c r="AF55" i="9"/>
  <c r="AF56" i="9"/>
  <c r="AF47" i="9"/>
  <c r="AF43" i="9"/>
  <c r="AF53" i="9"/>
  <c r="AF52" i="9"/>
  <c r="AF48" i="9"/>
  <c r="AF50" i="9"/>
  <c r="AC172" i="8"/>
  <c r="AC133" i="8"/>
  <c r="AC130" i="8" s="1"/>
  <c r="AD15" i="7"/>
  <c r="AC171" i="8"/>
  <c r="AC90" i="8"/>
  <c r="Z27" i="8"/>
  <c r="Z44" i="8"/>
  <c r="Z30" i="8"/>
  <c r="AB63" i="9"/>
  <c r="Z109" i="8" s="1"/>
  <c r="Z34" i="8" s="1"/>
  <c r="Z108" i="8"/>
  <c r="AB101" i="9"/>
  <c r="AB85" i="9" s="1"/>
  <c r="Z137" i="8" s="1"/>
  <c r="Z28" i="8" s="1"/>
  <c r="Z147" i="8"/>
  <c r="Z153" i="8" s="1"/>
  <c r="AA52" i="7"/>
  <c r="AA51" i="7"/>
  <c r="AC138" i="8"/>
  <c r="ED9" i="7"/>
  <c r="AC16" i="7"/>
  <c r="AB19" i="7"/>
  <c r="E37" i="2"/>
  <c r="F37" i="2" s="1"/>
  <c r="F35" i="2"/>
  <c r="G35" i="2" s="1"/>
  <c r="H4" i="2" s="1"/>
  <c r="X182" i="8"/>
  <c r="X25" i="8"/>
  <c r="AF146" i="9" l="1"/>
  <c r="AF142" i="9" s="1"/>
  <c r="Z32" i="8"/>
  <c r="V167" i="8"/>
  <c r="Y115" i="9"/>
  <c r="Y37" i="8"/>
  <c r="Y53" i="8"/>
  <c r="Y52" i="8"/>
  <c r="Y36" i="8"/>
  <c r="AF92" i="9"/>
  <c r="AD144" i="8" s="1"/>
  <c r="AD97" i="8"/>
  <c r="AF100" i="9"/>
  <c r="AD152" i="8" s="1"/>
  <c r="AD105" i="8"/>
  <c r="AD95" i="8"/>
  <c r="AF90" i="9"/>
  <c r="AD142" i="8" s="1"/>
  <c r="AF98" i="9"/>
  <c r="AD150" i="8" s="1"/>
  <c r="AD103" i="8"/>
  <c r="AD129" i="8"/>
  <c r="AE9" i="7"/>
  <c r="AE10" i="7" s="1"/>
  <c r="AD33" i="8"/>
  <c r="AC60" i="9"/>
  <c r="AA106" i="8" s="1"/>
  <c r="AC62" i="9"/>
  <c r="AC64" i="9"/>
  <c r="AA110" i="8" s="1"/>
  <c r="AC95" i="9"/>
  <c r="AB41" i="7"/>
  <c r="AB42" i="7" s="1"/>
  <c r="AB44" i="7" s="1"/>
  <c r="AA100" i="8"/>
  <c r="AA134" i="8" s="1"/>
  <c r="AA26" i="8" s="1"/>
  <c r="AD92" i="8"/>
  <c r="AF87" i="9"/>
  <c r="AD139" i="8" s="1"/>
  <c r="AE29" i="7"/>
  <c r="AE30" i="7" s="1"/>
  <c r="AE32" i="7" s="1"/>
  <c r="AF99" i="9"/>
  <c r="AD151" i="8" s="1"/>
  <c r="AD104" i="8"/>
  <c r="AF86" i="9"/>
  <c r="AE25" i="7"/>
  <c r="AE26" i="7" s="1"/>
  <c r="AE28" i="7" s="1"/>
  <c r="AD91" i="8"/>
  <c r="AD107" i="8"/>
  <c r="AE45" i="7"/>
  <c r="AE46" i="7" s="1"/>
  <c r="AE48" i="7" s="1"/>
  <c r="AF96" i="9"/>
  <c r="AD148" i="8" s="1"/>
  <c r="AD101" i="8"/>
  <c r="AF97" i="9"/>
  <c r="AD149" i="8" s="1"/>
  <c r="AD102" i="8"/>
  <c r="AF88" i="9"/>
  <c r="AD140" i="8" s="1"/>
  <c r="AE33" i="7"/>
  <c r="AE34" i="7" s="1"/>
  <c r="AE36" i="7" s="1"/>
  <c r="AD93" i="8"/>
  <c r="AD89" i="8"/>
  <c r="AG40" i="9"/>
  <c r="AF44" i="9"/>
  <c r="AF94" i="9"/>
  <c r="AD146" i="8" s="1"/>
  <c r="AD99" i="8"/>
  <c r="AE37" i="7"/>
  <c r="AE38" i="7" s="1"/>
  <c r="AE40" i="7" s="1"/>
  <c r="AD98" i="8"/>
  <c r="AF93" i="9"/>
  <c r="AD145" i="8" s="1"/>
  <c r="AF89" i="9"/>
  <c r="AD141" i="8" s="1"/>
  <c r="AD94" i="8"/>
  <c r="AD96" i="8"/>
  <c r="AF91" i="9"/>
  <c r="AD143" i="8" s="1"/>
  <c r="ED15" i="7"/>
  <c r="AD20" i="7"/>
  <c r="Z18" i="8"/>
  <c r="AA56" i="7"/>
  <c r="AC17" i="7"/>
  <c r="ED10" i="7"/>
  <c r="AD12" i="7"/>
  <c r="AB53" i="7"/>
  <c r="AA19" i="8" s="1"/>
  <c r="X53" i="8"/>
  <c r="X52" i="8"/>
  <c r="X36" i="8"/>
  <c r="X37" i="8"/>
  <c r="AC173" i="8"/>
  <c r="AC29" i="8" s="1"/>
  <c r="EC29" i="8" s="1"/>
  <c r="Y182" i="8"/>
  <c r="W167" i="8" l="1"/>
  <c r="Z115" i="9"/>
  <c r="AD16" i="7"/>
  <c r="AA27" i="8"/>
  <c r="AA44" i="8"/>
  <c r="AA30" i="8"/>
  <c r="AC63" i="9"/>
  <c r="AA109" i="8" s="1"/>
  <c r="AA34" i="8" s="1"/>
  <c r="AA108" i="8"/>
  <c r="AC101" i="9"/>
  <c r="AC85" i="9" s="1"/>
  <c r="AA137" i="8" s="1"/>
  <c r="AA28" i="8" s="1"/>
  <c r="AA147" i="8"/>
  <c r="AA153" i="8" s="1"/>
  <c r="AB51" i="7"/>
  <c r="AB52" i="7"/>
  <c r="AD138" i="8"/>
  <c r="AD133" i="8"/>
  <c r="AD130" i="8" s="1"/>
  <c r="AE15" i="7"/>
  <c r="AD172" i="8"/>
  <c r="AD171" i="8"/>
  <c r="AG43" i="9"/>
  <c r="AE86" i="8"/>
  <c r="AG53" i="9"/>
  <c r="AD54" i="9"/>
  <c r="AG47" i="9"/>
  <c r="AG45" i="9"/>
  <c r="AG59" i="9"/>
  <c r="AG52" i="9"/>
  <c r="AG135" i="9"/>
  <c r="AG141" i="9" s="1"/>
  <c r="AG61" i="9" s="1"/>
  <c r="AG136" i="9"/>
  <c r="AG49" i="9"/>
  <c r="AG51" i="9"/>
  <c r="AG48" i="9"/>
  <c r="AG144" i="9"/>
  <c r="AG58" i="9"/>
  <c r="AG56" i="9"/>
  <c r="AG57" i="9"/>
  <c r="AG46" i="9"/>
  <c r="AG50" i="9"/>
  <c r="AG55" i="9"/>
  <c r="AG145" i="9"/>
  <c r="AD90" i="8"/>
  <c r="AC19" i="7"/>
  <c r="ED12" i="7"/>
  <c r="Z22" i="8"/>
  <c r="Z23" i="8" s="1"/>
  <c r="AA57" i="7"/>
  <c r="AD173" i="8" l="1"/>
  <c r="AD29" i="8" s="1"/>
  <c r="AA32" i="8"/>
  <c r="X167" i="8"/>
  <c r="AA115" i="9"/>
  <c r="AE12" i="7"/>
  <c r="ED16" i="7"/>
  <c r="AD17" i="7"/>
  <c r="AB56" i="7"/>
  <c r="AA18" i="8"/>
  <c r="AE20" i="7"/>
  <c r="AE89" i="8"/>
  <c r="AH40" i="9"/>
  <c r="AG44" i="9"/>
  <c r="AF9" i="7"/>
  <c r="AF10" i="7" s="1"/>
  <c r="AE33" i="8"/>
  <c r="AE129" i="8"/>
  <c r="AG94" i="9"/>
  <c r="AE146" i="8" s="1"/>
  <c r="AE99" i="8"/>
  <c r="AF37" i="7"/>
  <c r="AF38" i="7" s="1"/>
  <c r="AF40" i="7" s="1"/>
  <c r="AD60" i="9"/>
  <c r="AB106" i="8" s="1"/>
  <c r="AD64" i="9"/>
  <c r="AB110" i="8" s="1"/>
  <c r="AD62" i="9"/>
  <c r="AB100" i="8"/>
  <c r="AB134" i="8" s="1"/>
  <c r="AB26" i="8" s="1"/>
  <c r="AD95" i="9"/>
  <c r="AC41" i="7"/>
  <c r="AC42" i="7" s="1"/>
  <c r="AC44" i="7" s="1"/>
  <c r="AG88" i="9"/>
  <c r="AE140" i="8" s="1"/>
  <c r="AE93" i="8"/>
  <c r="AF33" i="7"/>
  <c r="AF34" i="7" s="1"/>
  <c r="AF36" i="7" s="1"/>
  <c r="AE91" i="8"/>
  <c r="AF25" i="7"/>
  <c r="AF26" i="7" s="1"/>
  <c r="AF28" i="7" s="1"/>
  <c r="AG86" i="9"/>
  <c r="AE105" i="8"/>
  <c r="AG100" i="9"/>
  <c r="AE152" i="8" s="1"/>
  <c r="AE98" i="8"/>
  <c r="AG93" i="9"/>
  <c r="AE145" i="8" s="1"/>
  <c r="AE107" i="8"/>
  <c r="AG90" i="9"/>
  <c r="AE142" i="8" s="1"/>
  <c r="AE95" i="8"/>
  <c r="AE97" i="8"/>
  <c r="AG92" i="9"/>
  <c r="AE144" i="8" s="1"/>
  <c r="AE94" i="8"/>
  <c r="AG89" i="9"/>
  <c r="AE141" i="8" s="1"/>
  <c r="AG99" i="9"/>
  <c r="AE151" i="8" s="1"/>
  <c r="AE104" i="8"/>
  <c r="AG97" i="9"/>
  <c r="AE149" i="8" s="1"/>
  <c r="AE102" i="8"/>
  <c r="AE103" i="8"/>
  <c r="AG98" i="9"/>
  <c r="AE150" i="8" s="1"/>
  <c r="AF29" i="7"/>
  <c r="AF30" i="7" s="1"/>
  <c r="AF32" i="7" s="1"/>
  <c r="AE92" i="8"/>
  <c r="AG87" i="9"/>
  <c r="AE139" i="8" s="1"/>
  <c r="AG91" i="9"/>
  <c r="AE143" i="8" s="1"/>
  <c r="AE96" i="8"/>
  <c r="AF45" i="7"/>
  <c r="AF46" i="7" s="1"/>
  <c r="AF48" i="7" s="1"/>
  <c r="AG96" i="9"/>
  <c r="AE148" i="8" s="1"/>
  <c r="AE101" i="8"/>
  <c r="Z182" i="8"/>
  <c r="Z25" i="8"/>
  <c r="AC53" i="7"/>
  <c r="AB19" i="8" s="1"/>
  <c r="AG146" i="9"/>
  <c r="AG142" i="9" s="1"/>
  <c r="AA22" i="8" l="1"/>
  <c r="AA23" i="8" s="1"/>
  <c r="AB57" i="7"/>
  <c r="Y167" i="8"/>
  <c r="AB115" i="9"/>
  <c r="ED17" i="7"/>
  <c r="AD19" i="7"/>
  <c r="AF15" i="7"/>
  <c r="AE172" i="8"/>
  <c r="AE133" i="8"/>
  <c r="AE130" i="8" s="1"/>
  <c r="AE171" i="8"/>
  <c r="AH57" i="9"/>
  <c r="AH43" i="9"/>
  <c r="AH44" i="9" s="1"/>
  <c r="AH136" i="9"/>
  <c r="AF86" i="8"/>
  <c r="AH144" i="9"/>
  <c r="AE54" i="9"/>
  <c r="AH56" i="9"/>
  <c r="AH53" i="9"/>
  <c r="AH55" i="9"/>
  <c r="AH52" i="9"/>
  <c r="AH46" i="9"/>
  <c r="AH135" i="9"/>
  <c r="AH141" i="9" s="1"/>
  <c r="AH61" i="9" s="1"/>
  <c r="AH48" i="9"/>
  <c r="AH59" i="9"/>
  <c r="AH51" i="9"/>
  <c r="AH45" i="9"/>
  <c r="AH145" i="9"/>
  <c r="AH47" i="9"/>
  <c r="AH50" i="9"/>
  <c r="AH49" i="9"/>
  <c r="AH58" i="9"/>
  <c r="AE90" i="8"/>
  <c r="AE16" i="7"/>
  <c r="AB44" i="8"/>
  <c r="AB30" i="8"/>
  <c r="AB27" i="8"/>
  <c r="AD63" i="9"/>
  <c r="AB109" i="8" s="1"/>
  <c r="AB34" i="8" s="1"/>
  <c r="AB108" i="8"/>
  <c r="AD101" i="9"/>
  <c r="AD85" i="9" s="1"/>
  <c r="AB137" i="8" s="1"/>
  <c r="AB28" i="8" s="1"/>
  <c r="AB147" i="8"/>
  <c r="AB153" i="8" s="1"/>
  <c r="AC51" i="7"/>
  <c r="AC52" i="7"/>
  <c r="AB18" i="8" s="1"/>
  <c r="AE138" i="8"/>
  <c r="Z36" i="8"/>
  <c r="Z53" i="8"/>
  <c r="Z37" i="8"/>
  <c r="Z52" i="8"/>
  <c r="AE173" i="8" l="1"/>
  <c r="AE29" i="8" s="1"/>
  <c r="AB32" i="8"/>
  <c r="Z167" i="8"/>
  <c r="AC115" i="9"/>
  <c r="ED19" i="7"/>
  <c r="AD53" i="7"/>
  <c r="AC19" i="8" s="1"/>
  <c r="EC19" i="8" s="1"/>
  <c r="AA182" i="8"/>
  <c r="AA25" i="8"/>
  <c r="AF20" i="7"/>
  <c r="AF103" i="8"/>
  <c r="AH98" i="9"/>
  <c r="AF150" i="8" s="1"/>
  <c r="AI40" i="9"/>
  <c r="AF89" i="8"/>
  <c r="AF33" i="8"/>
  <c r="AF129" i="8"/>
  <c r="AG9" i="7"/>
  <c r="AG10" i="7" s="1"/>
  <c r="AE60" i="9"/>
  <c r="AC106" i="8" s="1"/>
  <c r="AE62" i="9"/>
  <c r="AE64" i="9"/>
  <c r="AC110" i="8" s="1"/>
  <c r="AD41" i="7"/>
  <c r="AD42" i="7" s="1"/>
  <c r="AD44" i="7" s="1"/>
  <c r="AE95" i="9"/>
  <c r="AC100" i="8"/>
  <c r="AC134" i="8" s="1"/>
  <c r="AH97" i="9"/>
  <c r="AF149" i="8" s="1"/>
  <c r="AF102" i="8"/>
  <c r="AG37" i="7"/>
  <c r="AG38" i="7" s="1"/>
  <c r="AG40" i="7" s="1"/>
  <c r="AF99" i="8"/>
  <c r="AH94" i="9"/>
  <c r="AF146" i="8" s="1"/>
  <c r="AH96" i="9"/>
  <c r="AF148" i="8" s="1"/>
  <c r="AG45" i="7"/>
  <c r="AG46" i="7" s="1"/>
  <c r="AG48" i="7" s="1"/>
  <c r="AF101" i="8"/>
  <c r="AF98" i="8"/>
  <c r="AH93" i="9"/>
  <c r="AF145" i="8" s="1"/>
  <c r="AH87" i="9"/>
  <c r="AF139" i="8" s="1"/>
  <c r="AF92" i="8"/>
  <c r="AG29" i="7"/>
  <c r="AG30" i="7" s="1"/>
  <c r="AG32" i="7" s="1"/>
  <c r="AF107" i="8"/>
  <c r="AH89" i="9"/>
  <c r="AF141" i="8" s="1"/>
  <c r="AF94" i="8"/>
  <c r="AH100" i="9"/>
  <c r="AF152" i="8" s="1"/>
  <c r="AF105" i="8"/>
  <c r="AH92" i="9"/>
  <c r="AF144" i="8" s="1"/>
  <c r="AF97" i="8"/>
  <c r="AF91" i="8"/>
  <c r="AH86" i="9"/>
  <c r="AG25" i="7"/>
  <c r="AG26" i="7" s="1"/>
  <c r="AG28" i="7" s="1"/>
  <c r="AG33" i="7"/>
  <c r="AG34" i="7" s="1"/>
  <c r="AG36" i="7" s="1"/>
  <c r="AH88" i="9"/>
  <c r="AF140" i="8" s="1"/>
  <c r="AF93" i="8"/>
  <c r="AF96" i="8"/>
  <c r="AH91" i="9"/>
  <c r="AF143" i="8" s="1"/>
  <c r="AH90" i="9"/>
  <c r="AF142" i="8" s="1"/>
  <c r="AF95" i="8"/>
  <c r="AF90" i="8"/>
  <c r="AF104" i="8"/>
  <c r="AH99" i="9"/>
  <c r="AF151" i="8" s="1"/>
  <c r="AE17" i="7"/>
  <c r="AF12" i="7"/>
  <c r="AC56" i="7"/>
  <c r="AH146" i="9"/>
  <c r="AH142" i="9" s="1"/>
  <c r="AD115" i="9" l="1"/>
  <c r="AA167" i="8"/>
  <c r="AA36" i="8"/>
  <c r="AA52" i="8"/>
  <c r="AA53" i="8"/>
  <c r="AA37" i="8"/>
  <c r="AI49" i="9"/>
  <c r="AI43" i="9"/>
  <c r="AF54" i="9"/>
  <c r="AI144" i="9"/>
  <c r="AI46" i="9"/>
  <c r="AI136" i="9"/>
  <c r="AI55" i="9"/>
  <c r="AI45" i="9"/>
  <c r="AI48" i="9"/>
  <c r="AI145" i="9"/>
  <c r="AI56" i="9"/>
  <c r="AI58" i="9"/>
  <c r="AI47" i="9"/>
  <c r="AI59" i="9"/>
  <c r="AG86" i="8"/>
  <c r="AI57" i="9"/>
  <c r="AI135" i="9"/>
  <c r="AI141" i="9" s="1"/>
  <c r="AI61" i="9" s="1"/>
  <c r="AI52" i="9"/>
  <c r="AI50" i="9"/>
  <c r="AI51" i="9"/>
  <c r="AI53" i="9"/>
  <c r="AF171" i="8"/>
  <c r="AF133" i="8"/>
  <c r="AF130" i="8" s="1"/>
  <c r="AF172" i="8"/>
  <c r="AG15" i="7"/>
  <c r="AF16" i="7"/>
  <c r="AC27" i="8"/>
  <c r="EC27" i="8" s="1"/>
  <c r="AC44" i="8"/>
  <c r="EC44" i="8" s="1"/>
  <c r="AC30" i="8"/>
  <c r="EC30" i="8" s="1"/>
  <c r="AE63" i="9"/>
  <c r="AC108" i="8"/>
  <c r="AC35" i="8"/>
  <c r="T35" i="8"/>
  <c r="T39" i="8" s="1"/>
  <c r="AA35" i="8"/>
  <c r="W35" i="8"/>
  <c r="W39" i="8" s="1"/>
  <c r="R35" i="8"/>
  <c r="V35" i="8"/>
  <c r="V39" i="8" s="1"/>
  <c r="U35" i="8"/>
  <c r="U39" i="8" s="1"/>
  <c r="X35" i="8"/>
  <c r="X39" i="8" s="1"/>
  <c r="Y35" i="8"/>
  <c r="Y39" i="8" s="1"/>
  <c r="Z35" i="8"/>
  <c r="Z39" i="8" s="1"/>
  <c r="AB35" i="8"/>
  <c r="S35" i="8"/>
  <c r="S39" i="8" s="1"/>
  <c r="ED44" i="7"/>
  <c r="AD52" i="7"/>
  <c r="AD51" i="7"/>
  <c r="AE101" i="9"/>
  <c r="AE85" i="9" s="1"/>
  <c r="AC137" i="8" s="1"/>
  <c r="AC28" i="8" s="1"/>
  <c r="EC28" i="8" s="1"/>
  <c r="AC147" i="8"/>
  <c r="AC153" i="8" s="1"/>
  <c r="AF138" i="8"/>
  <c r="AE19" i="7"/>
  <c r="AC57" i="7"/>
  <c r="AB22" i="8"/>
  <c r="ED53" i="7"/>
  <c r="AC26" i="8"/>
  <c r="AA39" i="8" l="1"/>
  <c r="AI146" i="9"/>
  <c r="AI142" i="9" s="1"/>
  <c r="AE115" i="9"/>
  <c r="AB167" i="8"/>
  <c r="AI90" i="9"/>
  <c r="AG142" i="8" s="1"/>
  <c r="AG95" i="8"/>
  <c r="AG89" i="8"/>
  <c r="AJ40" i="9"/>
  <c r="AI44" i="9"/>
  <c r="AF60" i="9"/>
  <c r="AD106" i="8" s="1"/>
  <c r="AF62" i="9"/>
  <c r="AF64" i="9"/>
  <c r="AD110" i="8" s="1"/>
  <c r="AD100" i="8"/>
  <c r="AD134" i="8" s="1"/>
  <c r="AE41" i="7"/>
  <c r="AE42" i="7" s="1"/>
  <c r="AE44" i="7" s="1"/>
  <c r="AF95" i="9"/>
  <c r="AH29" i="7"/>
  <c r="AH30" i="7" s="1"/>
  <c r="AH32" i="7" s="1"/>
  <c r="AG92" i="8"/>
  <c r="AI87" i="9"/>
  <c r="AG139" i="8" s="1"/>
  <c r="AI96" i="9"/>
  <c r="AG148" i="8" s="1"/>
  <c r="AG101" i="8"/>
  <c r="AH45" i="7"/>
  <c r="AH46" i="7" s="1"/>
  <c r="AH48" i="7" s="1"/>
  <c r="AH25" i="7"/>
  <c r="AH26" i="7" s="1"/>
  <c r="AH28" i="7" s="1"/>
  <c r="AI86" i="9"/>
  <c r="AG91" i="8"/>
  <c r="AG94" i="8"/>
  <c r="AI89" i="9"/>
  <c r="AG141" i="8" s="1"/>
  <c r="AI97" i="9"/>
  <c r="AG149" i="8" s="1"/>
  <c r="AG102" i="8"/>
  <c r="AI99" i="9"/>
  <c r="AG151" i="8" s="1"/>
  <c r="AG104" i="8"/>
  <c r="AI88" i="9"/>
  <c r="AG140" i="8" s="1"/>
  <c r="AH33" i="7"/>
  <c r="AH34" i="7" s="1"/>
  <c r="AH36" i="7" s="1"/>
  <c r="AG93" i="8"/>
  <c r="AI100" i="9"/>
  <c r="AG152" i="8" s="1"/>
  <c r="AG105" i="8"/>
  <c r="AG129" i="8"/>
  <c r="AG33" i="8"/>
  <c r="AH9" i="7"/>
  <c r="AH10" i="7" s="1"/>
  <c r="AI98" i="9"/>
  <c r="AG150" i="8" s="1"/>
  <c r="AG103" i="8"/>
  <c r="AG107" i="8"/>
  <c r="AI93" i="9"/>
  <c r="AG145" i="8" s="1"/>
  <c r="AG98" i="8"/>
  <c r="AI91" i="9"/>
  <c r="AG143" i="8" s="1"/>
  <c r="AG96" i="8"/>
  <c r="AG97" i="8"/>
  <c r="AI92" i="9"/>
  <c r="AG144" i="8" s="1"/>
  <c r="AH37" i="7"/>
  <c r="AH38" i="7" s="1"/>
  <c r="AH40" i="7" s="1"/>
  <c r="AG99" i="8"/>
  <c r="AI94" i="9"/>
  <c r="AG146" i="8" s="1"/>
  <c r="AG20" i="7"/>
  <c r="AG12" i="7"/>
  <c r="AF17" i="7"/>
  <c r="AC109" i="8"/>
  <c r="AC34" i="8" s="1"/>
  <c r="EC34" i="8" s="1"/>
  <c r="T114" i="9"/>
  <c r="T41" i="8"/>
  <c r="T46" i="8"/>
  <c r="W41" i="8"/>
  <c r="W46" i="8"/>
  <c r="R39" i="8"/>
  <c r="EC35" i="8"/>
  <c r="V41" i="8"/>
  <c r="V46" i="8"/>
  <c r="U41" i="8"/>
  <c r="U46" i="8"/>
  <c r="X41" i="8"/>
  <c r="X46" i="8"/>
  <c r="Y41" i="8"/>
  <c r="Y46" i="8"/>
  <c r="Z41" i="8"/>
  <c r="Z46" i="8"/>
  <c r="S41" i="8"/>
  <c r="S46" i="8"/>
  <c r="AC18" i="8"/>
  <c r="EC18" i="8" s="1"/>
  <c r="ED51" i="7"/>
  <c r="AD56" i="7"/>
  <c r="AE53" i="7"/>
  <c r="AD19" i="8" s="1"/>
  <c r="AB23" i="8"/>
  <c r="AC32" i="8"/>
  <c r="EC26" i="8"/>
  <c r="AF173" i="8"/>
  <c r="AF29" i="8" s="1"/>
  <c r="ED52" i="7"/>
  <c r="AA46" i="8" l="1"/>
  <c r="AA41" i="8"/>
  <c r="AC167" i="8"/>
  <c r="AF115" i="9"/>
  <c r="AH15" i="7"/>
  <c r="AG133" i="8"/>
  <c r="AG130" i="8" s="1"/>
  <c r="AG171" i="8"/>
  <c r="AG172" i="8"/>
  <c r="AJ145" i="9"/>
  <c r="AJ43" i="9"/>
  <c r="AJ135" i="9"/>
  <c r="AJ141" i="9" s="1"/>
  <c r="AJ61" i="9" s="1"/>
  <c r="AJ56" i="9"/>
  <c r="AJ59" i="9"/>
  <c r="AJ51" i="9"/>
  <c r="AJ52" i="9"/>
  <c r="AJ48" i="9"/>
  <c r="AJ144" i="9"/>
  <c r="AG54" i="9"/>
  <c r="AJ57" i="9"/>
  <c r="AJ53" i="9"/>
  <c r="AJ136" i="9"/>
  <c r="AJ50" i="9"/>
  <c r="AJ49" i="9"/>
  <c r="AJ45" i="9"/>
  <c r="AJ55" i="9"/>
  <c r="AJ46" i="9"/>
  <c r="AJ47" i="9"/>
  <c r="AJ58" i="9"/>
  <c r="AH86" i="8"/>
  <c r="AG90" i="8"/>
  <c r="AD30" i="8"/>
  <c r="AD27" i="8"/>
  <c r="AD44" i="8"/>
  <c r="AF63" i="9"/>
  <c r="AD108" i="8"/>
  <c r="AD26" i="8"/>
  <c r="AE52" i="7"/>
  <c r="AE51" i="7"/>
  <c r="AF101" i="9"/>
  <c r="AF85" i="9" s="1"/>
  <c r="AD137" i="8" s="1"/>
  <c r="AD28" i="8" s="1"/>
  <c r="AD147" i="8"/>
  <c r="AD153" i="8" s="1"/>
  <c r="AG138" i="8"/>
  <c r="AG16" i="7"/>
  <c r="AF19" i="7"/>
  <c r="R166" i="8"/>
  <c r="R58" i="8" s="1"/>
  <c r="U114" i="9"/>
  <c r="T42" i="8"/>
  <c r="T48" i="8"/>
  <c r="W48" i="8"/>
  <c r="W42" i="8"/>
  <c r="R41" i="8"/>
  <c r="R46" i="8"/>
  <c r="V48" i="8"/>
  <c r="V42" i="8"/>
  <c r="U48" i="8"/>
  <c r="U42" i="8"/>
  <c r="X42" i="8"/>
  <c r="X48" i="8"/>
  <c r="Y48" i="8"/>
  <c r="Y42" i="8"/>
  <c r="Z48" i="8"/>
  <c r="Z42" i="8"/>
  <c r="S48" i="8"/>
  <c r="S42" i="8"/>
  <c r="AB182" i="8"/>
  <c r="AB25" i="8"/>
  <c r="ED56" i="7"/>
  <c r="ED57" i="7" s="1"/>
  <c r="AC22" i="8"/>
  <c r="AD57" i="7"/>
  <c r="EC32" i="8"/>
  <c r="AJ146" i="9" l="1"/>
  <c r="AJ142" i="9" s="1"/>
  <c r="AA48" i="8"/>
  <c r="AA42" i="8"/>
  <c r="AC23" i="8"/>
  <c r="EC22" i="8"/>
  <c r="EC23" i="8" s="1"/>
  <c r="EC25" i="8" s="1"/>
  <c r="AD167" i="8"/>
  <c r="AG115" i="9"/>
  <c r="AH20" i="7"/>
  <c r="AK40" i="9"/>
  <c r="AH89" i="8"/>
  <c r="AJ44" i="9"/>
  <c r="AH107" i="8"/>
  <c r="AH102" i="8"/>
  <c r="AJ97" i="9"/>
  <c r="AH149" i="8" s="1"/>
  <c r="AJ100" i="9"/>
  <c r="AH152" i="8" s="1"/>
  <c r="AH105" i="8"/>
  <c r="AH97" i="8"/>
  <c r="AJ92" i="9"/>
  <c r="AH144" i="8" s="1"/>
  <c r="AJ93" i="9"/>
  <c r="AH145" i="8" s="1"/>
  <c r="AH98" i="8"/>
  <c r="AJ89" i="9"/>
  <c r="AH141" i="8" s="1"/>
  <c r="AH94" i="8"/>
  <c r="AG60" i="9"/>
  <c r="AE106" i="8" s="1"/>
  <c r="AG64" i="9"/>
  <c r="AE110" i="8" s="1"/>
  <c r="AG62" i="9"/>
  <c r="AE100" i="8"/>
  <c r="AE134" i="8" s="1"/>
  <c r="AF41" i="7"/>
  <c r="AF42" i="7" s="1"/>
  <c r="AF44" i="7" s="1"/>
  <c r="AG95" i="9"/>
  <c r="AH103" i="8"/>
  <c r="AJ98" i="9"/>
  <c r="AH150" i="8" s="1"/>
  <c r="AJ94" i="9"/>
  <c r="AH146" i="8" s="1"/>
  <c r="AI37" i="7"/>
  <c r="AI38" i="7" s="1"/>
  <c r="AI40" i="7" s="1"/>
  <c r="AH99" i="8"/>
  <c r="AJ91" i="9"/>
  <c r="AH143" i="8" s="1"/>
  <c r="AH96" i="8"/>
  <c r="AJ90" i="9"/>
  <c r="AH142" i="8" s="1"/>
  <c r="AH95" i="8"/>
  <c r="AH91" i="8"/>
  <c r="AJ86" i="9"/>
  <c r="AI25" i="7"/>
  <c r="AI26" i="7" s="1"/>
  <c r="AI28" i="7" s="1"/>
  <c r="AI45" i="7"/>
  <c r="AI46" i="7" s="1"/>
  <c r="AI48" i="7" s="1"/>
  <c r="AH101" i="8"/>
  <c r="AJ96" i="9"/>
  <c r="AH148" i="8" s="1"/>
  <c r="AH92" i="8"/>
  <c r="AI29" i="7"/>
  <c r="AI30" i="7" s="1"/>
  <c r="AI32" i="7" s="1"/>
  <c r="AJ87" i="9"/>
  <c r="AH139" i="8" s="1"/>
  <c r="AI33" i="7"/>
  <c r="AI34" i="7" s="1"/>
  <c r="AI36" i="7" s="1"/>
  <c r="AJ88" i="9"/>
  <c r="AH140" i="8" s="1"/>
  <c r="AH93" i="8"/>
  <c r="AH104" i="8"/>
  <c r="AJ99" i="9"/>
  <c r="AH151" i="8" s="1"/>
  <c r="AH129" i="8"/>
  <c r="AH33" i="8"/>
  <c r="AI9" i="7"/>
  <c r="AI10" i="7" s="1"/>
  <c r="AD109" i="8"/>
  <c r="AD34" i="8" s="1"/>
  <c r="AD32" i="8"/>
  <c r="AD18" i="8"/>
  <c r="AE56" i="7"/>
  <c r="AG17" i="7"/>
  <c r="AH12" i="7"/>
  <c r="AF53" i="7"/>
  <c r="AE19" i="8" s="1"/>
  <c r="V114" i="9"/>
  <c r="S166" i="8"/>
  <c r="S58" i="8" s="1"/>
  <c r="T55" i="8"/>
  <c r="T56" i="8" s="1"/>
  <c r="T49" i="8"/>
  <c r="W55" i="8"/>
  <c r="W49" i="8"/>
  <c r="R48" i="8"/>
  <c r="R42" i="8"/>
  <c r="V55" i="8"/>
  <c r="V49" i="8"/>
  <c r="U49" i="8"/>
  <c r="U55" i="8"/>
  <c r="X49" i="8"/>
  <c r="X55" i="8"/>
  <c r="Y49" i="8"/>
  <c r="Y55" i="8"/>
  <c r="Z49" i="8"/>
  <c r="Z55" i="8"/>
  <c r="S55" i="8"/>
  <c r="S49" i="8"/>
  <c r="AB53" i="8"/>
  <c r="AB36" i="8"/>
  <c r="AB52" i="8"/>
  <c r="AB37" i="8"/>
  <c r="AG173" i="8"/>
  <c r="AG29" i="8" s="1"/>
  <c r="AA49" i="8" l="1"/>
  <c r="AA55" i="8"/>
  <c r="AA56" i="8" s="1"/>
  <c r="AC25" i="8"/>
  <c r="AC182" i="8"/>
  <c r="S66" i="8"/>
  <c r="S60" i="8"/>
  <c r="S61" i="8" s="1"/>
  <c r="AH115" i="9"/>
  <c r="AE167" i="8"/>
  <c r="AK57" i="9"/>
  <c r="AK46" i="9"/>
  <c r="AK145" i="9"/>
  <c r="AK52" i="9"/>
  <c r="AK59" i="9"/>
  <c r="AK58" i="9"/>
  <c r="AH54" i="9"/>
  <c r="AI86" i="8"/>
  <c r="AK49" i="9"/>
  <c r="AK43" i="9"/>
  <c r="AK50" i="9"/>
  <c r="AK51" i="9"/>
  <c r="AK144" i="9"/>
  <c r="AK48" i="9"/>
  <c r="AK45" i="9"/>
  <c r="AK56" i="9"/>
  <c r="AK47" i="9"/>
  <c r="AK136" i="9"/>
  <c r="AK55" i="9"/>
  <c r="AK53" i="9"/>
  <c r="AK135" i="9"/>
  <c r="AK141" i="9" s="1"/>
  <c r="AK61" i="9" s="1"/>
  <c r="AH172" i="8"/>
  <c r="AH133" i="8"/>
  <c r="AH130" i="8" s="1"/>
  <c r="AI15" i="7"/>
  <c r="AH171" i="8"/>
  <c r="AH173" i="8" s="1"/>
  <c r="AH29" i="8" s="1"/>
  <c r="AH90" i="8"/>
  <c r="AE44" i="8"/>
  <c r="AE30" i="8"/>
  <c r="AE27" i="8"/>
  <c r="AG63" i="9"/>
  <c r="AE108" i="8"/>
  <c r="AE26" i="8"/>
  <c r="AF51" i="7"/>
  <c r="AF52" i="7"/>
  <c r="AE18" i="8" s="1"/>
  <c r="AG101" i="9"/>
  <c r="AG85" i="9" s="1"/>
  <c r="AE137" i="8" s="1"/>
  <c r="AE28" i="8" s="1"/>
  <c r="AE147" i="8"/>
  <c r="AE153" i="8" s="1"/>
  <c r="AH138" i="8"/>
  <c r="AH16" i="7"/>
  <c r="AG19" i="7"/>
  <c r="T166" i="8"/>
  <c r="T58" i="8" s="1"/>
  <c r="W114" i="9"/>
  <c r="W56" i="8"/>
  <c r="R60" i="8"/>
  <c r="R61" i="8" s="1"/>
  <c r="R55" i="8"/>
  <c r="R49" i="8"/>
  <c r="R66" i="8"/>
  <c r="R183" i="8" s="1"/>
  <c r="V56" i="8"/>
  <c r="U56" i="8"/>
  <c r="X56" i="8"/>
  <c r="Y56" i="8"/>
  <c r="Z56" i="8"/>
  <c r="S63" i="8"/>
  <c r="S64" i="8" s="1"/>
  <c r="S56" i="8"/>
  <c r="AB39" i="8"/>
  <c r="AD22" i="8"/>
  <c r="AE57" i="7"/>
  <c r="AK146" i="9" l="1"/>
  <c r="AK142" i="9" s="1"/>
  <c r="AC53" i="8"/>
  <c r="EC53" i="8" s="1"/>
  <c r="AC37" i="8"/>
  <c r="EC37" i="8" s="1"/>
  <c r="AC36" i="8"/>
  <c r="I8" i="8"/>
  <c r="W3" i="47" s="1"/>
  <c r="AC52" i="8"/>
  <c r="EC52" i="8" s="1"/>
  <c r="S183" i="8"/>
  <c r="AF167" i="8"/>
  <c r="AI115" i="9"/>
  <c r="AK98" i="9"/>
  <c r="AI150" i="8" s="1"/>
  <c r="AI103" i="8"/>
  <c r="AK87" i="9"/>
  <c r="AI139" i="8" s="1"/>
  <c r="AJ29" i="7"/>
  <c r="AJ30" i="7" s="1"/>
  <c r="AJ32" i="7" s="1"/>
  <c r="AI92" i="8"/>
  <c r="AI98" i="8"/>
  <c r="AK93" i="9"/>
  <c r="AI145" i="8" s="1"/>
  <c r="AI105" i="8"/>
  <c r="AK100" i="9"/>
  <c r="AI152" i="8" s="1"/>
  <c r="AK99" i="9"/>
  <c r="AI151" i="8" s="1"/>
  <c r="AI104" i="8"/>
  <c r="AH64" i="9"/>
  <c r="AF110" i="8" s="1"/>
  <c r="AH60" i="9"/>
  <c r="AF106" i="8" s="1"/>
  <c r="AH62" i="9"/>
  <c r="AG41" i="7"/>
  <c r="AG42" i="7" s="1"/>
  <c r="AG44" i="7" s="1"/>
  <c r="AF100" i="8"/>
  <c r="AF134" i="8" s="1"/>
  <c r="AH95" i="9"/>
  <c r="AI129" i="8"/>
  <c r="AJ9" i="7"/>
  <c r="AJ10" i="7" s="1"/>
  <c r="AI33" i="8"/>
  <c r="AI95" i="8"/>
  <c r="AK90" i="9"/>
  <c r="AI142" i="8" s="1"/>
  <c r="AL40" i="9"/>
  <c r="AI89" i="8"/>
  <c r="AK44" i="9"/>
  <c r="AI96" i="8"/>
  <c r="AK91" i="9"/>
  <c r="AI143" i="8" s="1"/>
  <c r="AK92" i="9"/>
  <c r="AI144" i="8" s="1"/>
  <c r="AI97" i="8"/>
  <c r="AK89" i="9"/>
  <c r="AI141" i="8" s="1"/>
  <c r="AI94" i="8"/>
  <c r="AI91" i="8"/>
  <c r="AJ25" i="7"/>
  <c r="AJ26" i="7" s="1"/>
  <c r="AJ28" i="7" s="1"/>
  <c r="AK86" i="9"/>
  <c r="AK97" i="9"/>
  <c r="AI149" i="8" s="1"/>
  <c r="AI102" i="8"/>
  <c r="AK88" i="9"/>
  <c r="AI140" i="8" s="1"/>
  <c r="AJ33" i="7"/>
  <c r="AJ34" i="7" s="1"/>
  <c r="AJ36" i="7" s="1"/>
  <c r="AI93" i="8"/>
  <c r="AI101" i="8"/>
  <c r="AK96" i="9"/>
  <c r="AI148" i="8" s="1"/>
  <c r="AJ45" i="7"/>
  <c r="AJ46" i="7" s="1"/>
  <c r="AJ48" i="7" s="1"/>
  <c r="AJ37" i="7"/>
  <c r="AJ38" i="7" s="1"/>
  <c r="AJ40" i="7" s="1"/>
  <c r="AK94" i="9"/>
  <c r="AI146" i="8" s="1"/>
  <c r="AI99" i="8"/>
  <c r="AI107" i="8"/>
  <c r="AI20" i="7"/>
  <c r="AE109" i="8"/>
  <c r="AE34" i="8" s="1"/>
  <c r="AE32" i="8"/>
  <c r="AF56" i="7"/>
  <c r="AI12" i="7"/>
  <c r="AH17" i="7"/>
  <c r="AG53" i="7"/>
  <c r="AF19" i="8" s="1"/>
  <c r="T60" i="8"/>
  <c r="T61" i="8" s="1"/>
  <c r="T66" i="8"/>
  <c r="T63" i="8"/>
  <c r="T64" i="8" s="1"/>
  <c r="X114" i="9"/>
  <c r="U166" i="8"/>
  <c r="U58" i="8" s="1"/>
  <c r="R56" i="8"/>
  <c r="R63" i="8"/>
  <c r="AB41" i="8"/>
  <c r="AB46" i="8"/>
  <c r="AD23" i="8"/>
  <c r="EC36" i="8" l="1"/>
  <c r="EC39" i="8" s="1"/>
  <c r="AC39" i="8"/>
  <c r="T183" i="8"/>
  <c r="AG167" i="8"/>
  <c r="AJ115" i="9"/>
  <c r="AF27" i="8"/>
  <c r="AF30" i="8"/>
  <c r="AF44" i="8"/>
  <c r="AH63" i="9"/>
  <c r="AF108" i="8"/>
  <c r="AG52" i="7"/>
  <c r="AG51" i="7"/>
  <c r="AF26" i="8"/>
  <c r="AH101" i="9"/>
  <c r="AH85" i="9" s="1"/>
  <c r="AF137" i="8" s="1"/>
  <c r="AF28" i="8" s="1"/>
  <c r="AF147" i="8"/>
  <c r="AF153" i="8" s="1"/>
  <c r="AI16" i="7"/>
  <c r="AL56" i="9"/>
  <c r="AL49" i="9"/>
  <c r="AL57" i="9"/>
  <c r="AL50" i="9"/>
  <c r="AL51" i="9"/>
  <c r="AL136" i="9"/>
  <c r="AL144" i="9"/>
  <c r="AJ86" i="8"/>
  <c r="AL45" i="9"/>
  <c r="AL59" i="9"/>
  <c r="AL58" i="9"/>
  <c r="AL55" i="9"/>
  <c r="AI54" i="9"/>
  <c r="AL48" i="9"/>
  <c r="AL43" i="9"/>
  <c r="AL44" i="9" s="1"/>
  <c r="AL145" i="9"/>
  <c r="AL135" i="9"/>
  <c r="AL141" i="9" s="1"/>
  <c r="AL61" i="9" s="1"/>
  <c r="AL47" i="9"/>
  <c r="AL46" i="9"/>
  <c r="AL53" i="9"/>
  <c r="AL52" i="9"/>
  <c r="AI171" i="8"/>
  <c r="AI133" i="8"/>
  <c r="AI130" i="8" s="1"/>
  <c r="AI172" i="8"/>
  <c r="AJ15" i="7"/>
  <c r="AI90" i="8"/>
  <c r="AI138" i="8"/>
  <c r="AF57" i="7"/>
  <c r="AE22" i="8"/>
  <c r="AH19" i="7"/>
  <c r="V166" i="8"/>
  <c r="V58" i="8" s="1"/>
  <c r="Y114" i="9"/>
  <c r="U63" i="8"/>
  <c r="U64" i="8" s="1"/>
  <c r="U66" i="8"/>
  <c r="U60" i="8"/>
  <c r="U61" i="8" s="1"/>
  <c r="R64" i="8"/>
  <c r="AB48" i="8"/>
  <c r="AB42" i="8"/>
  <c r="AD182" i="8"/>
  <c r="AD25" i="8"/>
  <c r="AC41" i="8" l="1"/>
  <c r="AC46" i="8"/>
  <c r="U183" i="8"/>
  <c r="EC41" i="8"/>
  <c r="EC46" i="8"/>
  <c r="AH167" i="8"/>
  <c r="AK115" i="9"/>
  <c r="AF109" i="8"/>
  <c r="AF34" i="8" s="1"/>
  <c r="AF18" i="8"/>
  <c r="AG56" i="7"/>
  <c r="AF32" i="8"/>
  <c r="AI17" i="7"/>
  <c r="AJ12" i="7"/>
  <c r="AL97" i="9"/>
  <c r="AJ149" i="8" s="1"/>
  <c r="AJ102" i="8"/>
  <c r="AJ95" i="8"/>
  <c r="AL90" i="9"/>
  <c r="AJ142" i="8" s="1"/>
  <c r="AL98" i="9"/>
  <c r="AJ150" i="8" s="1"/>
  <c r="AJ103" i="8"/>
  <c r="AL91" i="9"/>
  <c r="AJ143" i="8" s="1"/>
  <c r="AJ96" i="8"/>
  <c r="AJ97" i="8"/>
  <c r="AL92" i="9"/>
  <c r="AJ144" i="8" s="1"/>
  <c r="AJ90" i="8"/>
  <c r="AK9" i="7"/>
  <c r="AK10" i="7" s="1"/>
  <c r="AJ33" i="8"/>
  <c r="AJ129" i="8"/>
  <c r="AK25" i="7"/>
  <c r="AK26" i="7" s="1"/>
  <c r="AK28" i="7" s="1"/>
  <c r="AL86" i="9"/>
  <c r="AJ91" i="8"/>
  <c r="AL100" i="9"/>
  <c r="AJ152" i="8" s="1"/>
  <c r="AJ105" i="8"/>
  <c r="AL99" i="9"/>
  <c r="AJ151" i="8" s="1"/>
  <c r="AJ104" i="8"/>
  <c r="AL96" i="9"/>
  <c r="AJ148" i="8" s="1"/>
  <c r="AK45" i="7"/>
  <c r="AK46" i="7" s="1"/>
  <c r="AK48" i="7" s="1"/>
  <c r="AJ101" i="8"/>
  <c r="AI60" i="9"/>
  <c r="AG106" i="8" s="1"/>
  <c r="AI62" i="9"/>
  <c r="AI64" i="9"/>
  <c r="AG110" i="8" s="1"/>
  <c r="AH41" i="7"/>
  <c r="AH42" i="7" s="1"/>
  <c r="AH44" i="7" s="1"/>
  <c r="AG100" i="8"/>
  <c r="AG134" i="8" s="1"/>
  <c r="AG26" i="8" s="1"/>
  <c r="AI95" i="9"/>
  <c r="AJ94" i="8"/>
  <c r="AL89" i="9"/>
  <c r="AJ141" i="8" s="1"/>
  <c r="AJ89" i="8"/>
  <c r="AM40" i="9"/>
  <c r="AJ107" i="8"/>
  <c r="AL88" i="9"/>
  <c r="AJ140" i="8" s="1"/>
  <c r="AJ93" i="8"/>
  <c r="AK33" i="7"/>
  <c r="AK34" i="7" s="1"/>
  <c r="AK36" i="7" s="1"/>
  <c r="AJ92" i="8"/>
  <c r="AL87" i="9"/>
  <c r="AJ139" i="8" s="1"/>
  <c r="AK29" i="7"/>
  <c r="AK30" i="7" s="1"/>
  <c r="AK32" i="7" s="1"/>
  <c r="AK37" i="7"/>
  <c r="AK38" i="7" s="1"/>
  <c r="AK40" i="7" s="1"/>
  <c r="AJ99" i="8"/>
  <c r="AL94" i="9"/>
  <c r="AJ146" i="8" s="1"/>
  <c r="AJ98" i="8"/>
  <c r="AL93" i="9"/>
  <c r="AJ145" i="8" s="1"/>
  <c r="AJ20" i="7"/>
  <c r="AE23" i="8"/>
  <c r="AH53" i="7"/>
  <c r="AG19" i="8" s="1"/>
  <c r="V63" i="8"/>
  <c r="V66" i="8"/>
  <c r="V60" i="8"/>
  <c r="V61" i="8" s="1"/>
  <c r="Z114" i="9"/>
  <c r="W166" i="8"/>
  <c r="W58" i="8" s="1"/>
  <c r="AB55" i="8"/>
  <c r="AB49" i="8"/>
  <c r="AD37" i="8"/>
  <c r="AD36" i="8"/>
  <c r="AD53" i="8"/>
  <c r="AD52" i="8"/>
  <c r="AL146" i="9"/>
  <c r="AL142" i="9" s="1"/>
  <c r="AI173" i="8"/>
  <c r="AI29" i="8" s="1"/>
  <c r="AC48" i="8" l="1"/>
  <c r="AC42" i="8"/>
  <c r="V183" i="8"/>
  <c r="EC42" i="8"/>
  <c r="EC48" i="8"/>
  <c r="AL115" i="9"/>
  <c r="AI167" i="8"/>
  <c r="AI19" i="7"/>
  <c r="AJ16" i="7"/>
  <c r="AJ138" i="8"/>
  <c r="AG30" i="8"/>
  <c r="AG27" i="8"/>
  <c r="AG44" i="8"/>
  <c r="AI63" i="9"/>
  <c r="AG108" i="8"/>
  <c r="AH51" i="7"/>
  <c r="AH52" i="7"/>
  <c r="AI101" i="9"/>
  <c r="AI85" i="9" s="1"/>
  <c r="AG137" i="8" s="1"/>
  <c r="AG28" i="8" s="1"/>
  <c r="AG147" i="8"/>
  <c r="AG153" i="8" s="1"/>
  <c r="AK15" i="7"/>
  <c r="AJ133" i="8"/>
  <c r="AJ130" i="8" s="1"/>
  <c r="AJ171" i="8"/>
  <c r="AJ172" i="8"/>
  <c r="AM145" i="9"/>
  <c r="AM144" i="9"/>
  <c r="AM146" i="9" s="1"/>
  <c r="AM142" i="9" s="1"/>
  <c r="AK86" i="8"/>
  <c r="AM48" i="9"/>
  <c r="AM51" i="9"/>
  <c r="AM55" i="9"/>
  <c r="AM53" i="9"/>
  <c r="AM46" i="9"/>
  <c r="AM57" i="9"/>
  <c r="AM50" i="9"/>
  <c r="AM45" i="9"/>
  <c r="AM56" i="9"/>
  <c r="AM47" i="9"/>
  <c r="AM135" i="9"/>
  <c r="AM141" i="9" s="1"/>
  <c r="AM61" i="9" s="1"/>
  <c r="AM58" i="9"/>
  <c r="AM52" i="9"/>
  <c r="AM43" i="9"/>
  <c r="AM136" i="9"/>
  <c r="AJ54" i="9"/>
  <c r="AM49" i="9"/>
  <c r="AM59" i="9"/>
  <c r="AE182" i="8"/>
  <c r="AE25" i="8"/>
  <c r="V64" i="8"/>
  <c r="X166" i="8"/>
  <c r="X58" i="8" s="1"/>
  <c r="AA114" i="9"/>
  <c r="W63" i="8"/>
  <c r="W66" i="8"/>
  <c r="W60" i="8"/>
  <c r="W61" i="8" s="1"/>
  <c r="AB56" i="8"/>
  <c r="AF22" i="8"/>
  <c r="AF23" i="8" s="1"/>
  <c r="AG57" i="7"/>
  <c r="AC49" i="8" l="1"/>
  <c r="AC55" i="8"/>
  <c r="AC56" i="8" s="1"/>
  <c r="W183" i="8"/>
  <c r="EC49" i="8"/>
  <c r="EC55" i="8"/>
  <c r="EC56" i="8" s="1"/>
  <c r="AF182" i="8"/>
  <c r="AF25" i="8"/>
  <c r="AJ167" i="8"/>
  <c r="AM115" i="9"/>
  <c r="AI53" i="7"/>
  <c r="AH19" i="8" s="1"/>
  <c r="AJ17" i="7"/>
  <c r="AK12" i="7"/>
  <c r="AG32" i="8"/>
  <c r="AG109" i="8"/>
  <c r="AG34" i="8" s="1"/>
  <c r="AH56" i="7"/>
  <c r="AG18" i="8"/>
  <c r="AK20" i="7"/>
  <c r="AK33" i="8"/>
  <c r="AL9" i="7"/>
  <c r="AL10" i="7" s="1"/>
  <c r="AK129" i="8"/>
  <c r="AM89" i="9"/>
  <c r="AK141" i="8" s="1"/>
  <c r="AK94" i="8"/>
  <c r="AK97" i="8"/>
  <c r="AM92" i="9"/>
  <c r="AK144" i="8" s="1"/>
  <c r="AK101" i="8"/>
  <c r="AM96" i="9"/>
  <c r="AK148" i="8" s="1"/>
  <c r="AL45" i="7"/>
  <c r="AL46" i="7" s="1"/>
  <c r="AL48" i="7" s="1"/>
  <c r="AM94" i="9"/>
  <c r="AK146" i="8" s="1"/>
  <c r="AK99" i="8"/>
  <c r="AL37" i="7"/>
  <c r="AL38" i="7" s="1"/>
  <c r="AL40" i="7" s="1"/>
  <c r="AM87" i="9"/>
  <c r="AK139" i="8" s="1"/>
  <c r="AK92" i="8"/>
  <c r="AL29" i="7"/>
  <c r="AL30" i="7" s="1"/>
  <c r="AL32" i="7" s="1"/>
  <c r="AK103" i="8"/>
  <c r="AM98" i="9"/>
  <c r="AK150" i="8" s="1"/>
  <c r="AK96" i="8"/>
  <c r="AM91" i="9"/>
  <c r="AK143" i="8" s="1"/>
  <c r="AM86" i="9"/>
  <c r="AK91" i="8"/>
  <c r="AL25" i="7"/>
  <c r="AL26" i="7" s="1"/>
  <c r="AL28" i="7" s="1"/>
  <c r="AK102" i="8"/>
  <c r="AM97" i="9"/>
  <c r="AK149" i="8" s="1"/>
  <c r="AK93" i="8"/>
  <c r="AL33" i="7"/>
  <c r="AL34" i="7" s="1"/>
  <c r="AL36" i="7" s="1"/>
  <c r="AM88" i="9"/>
  <c r="AK140" i="8" s="1"/>
  <c r="AK107" i="8"/>
  <c r="AK104" i="8"/>
  <c r="AM99" i="9"/>
  <c r="AK151" i="8" s="1"/>
  <c r="AM93" i="9"/>
  <c r="AK145" i="8" s="1"/>
  <c r="AK98" i="8"/>
  <c r="AN40" i="9"/>
  <c r="AK89" i="8"/>
  <c r="AM44" i="9"/>
  <c r="AJ60" i="9"/>
  <c r="AH106" i="8" s="1"/>
  <c r="AJ62" i="9"/>
  <c r="AJ64" i="9"/>
  <c r="AH110" i="8" s="1"/>
  <c r="AI41" i="7"/>
  <c r="AI42" i="7" s="1"/>
  <c r="AI44" i="7" s="1"/>
  <c r="AH100" i="8"/>
  <c r="AH134" i="8" s="1"/>
  <c r="AH26" i="8" s="1"/>
  <c r="AJ95" i="9"/>
  <c r="AK95" i="8"/>
  <c r="AM90" i="9"/>
  <c r="AK142" i="8" s="1"/>
  <c r="AM100" i="9"/>
  <c r="AK152" i="8" s="1"/>
  <c r="AK105" i="8"/>
  <c r="AE37" i="8"/>
  <c r="AE53" i="8"/>
  <c r="AE52" i="8"/>
  <c r="AE36" i="8"/>
  <c r="X63" i="8"/>
  <c r="X66" i="8"/>
  <c r="X60" i="8"/>
  <c r="X61" i="8" s="1"/>
  <c r="Y166" i="8"/>
  <c r="Y58" i="8" s="1"/>
  <c r="AB114" i="9"/>
  <c r="AJ173" i="8"/>
  <c r="AJ29" i="8" s="1"/>
  <c r="W64" i="8"/>
  <c r="AG22" i="8" l="1"/>
  <c r="AG23" i="8" s="1"/>
  <c r="AH57" i="7"/>
  <c r="X183" i="8"/>
  <c r="AF37" i="8"/>
  <c r="AF52" i="8"/>
  <c r="AF53" i="8"/>
  <c r="AF36" i="8"/>
  <c r="AK167" i="8"/>
  <c r="AN115" i="9"/>
  <c r="AJ19" i="7"/>
  <c r="AK16" i="7"/>
  <c r="AK138" i="8"/>
  <c r="AN136" i="9"/>
  <c r="AN47" i="9"/>
  <c r="AN135" i="9"/>
  <c r="AN141" i="9" s="1"/>
  <c r="AN61" i="9" s="1"/>
  <c r="AN52" i="9"/>
  <c r="AN43" i="9"/>
  <c r="AN144" i="9"/>
  <c r="AN55" i="9"/>
  <c r="AN53" i="9"/>
  <c r="AN59" i="9"/>
  <c r="AN58" i="9"/>
  <c r="AN50" i="9"/>
  <c r="AN49" i="9"/>
  <c r="AN57" i="9"/>
  <c r="AK54" i="9"/>
  <c r="AN56" i="9"/>
  <c r="AN46" i="9"/>
  <c r="AN45" i="9"/>
  <c r="AL86" i="8"/>
  <c r="AN145" i="9"/>
  <c r="AN48" i="9"/>
  <c r="AN51" i="9"/>
  <c r="AK172" i="8"/>
  <c r="AL15" i="7"/>
  <c r="AK171" i="8"/>
  <c r="AK133" i="8"/>
  <c r="AK130" i="8" s="1"/>
  <c r="AK90" i="8"/>
  <c r="AH44" i="8"/>
  <c r="AH27" i="8"/>
  <c r="AH30" i="8"/>
  <c r="AJ63" i="9"/>
  <c r="AH109" i="8" s="1"/>
  <c r="AH34" i="8" s="1"/>
  <c r="AH108" i="8"/>
  <c r="AI51" i="7"/>
  <c r="AI52" i="7"/>
  <c r="AJ101" i="9"/>
  <c r="AJ85" i="9" s="1"/>
  <c r="AH137" i="8" s="1"/>
  <c r="AH28" i="8" s="1"/>
  <c r="AH147" i="8"/>
  <c r="AH153" i="8" s="1"/>
  <c r="Y63" i="8"/>
  <c r="Y64" i="8" s="1"/>
  <c r="Y66" i="8"/>
  <c r="Y60" i="8"/>
  <c r="Y61" i="8" s="1"/>
  <c r="AC114" i="9"/>
  <c r="Z166" i="8"/>
  <c r="Z58" i="8" s="1"/>
  <c r="X64" i="8"/>
  <c r="Y183" i="8" l="1"/>
  <c r="AK173" i="8"/>
  <c r="AK29" i="8" s="1"/>
  <c r="AH32" i="8"/>
  <c r="AL167" i="8"/>
  <c r="AO115" i="9"/>
  <c r="AJ53" i="7"/>
  <c r="AI19" i="8" s="1"/>
  <c r="AG182" i="8"/>
  <c r="AG25" i="8"/>
  <c r="AK17" i="7"/>
  <c r="AL12" i="7"/>
  <c r="AN88" i="9"/>
  <c r="AL140" i="8" s="1"/>
  <c r="AM33" i="7"/>
  <c r="AM34" i="7" s="1"/>
  <c r="AM36" i="7" s="1"/>
  <c r="AL93" i="8"/>
  <c r="AL107" i="8"/>
  <c r="AL98" i="8"/>
  <c r="AN93" i="9"/>
  <c r="AL145" i="8" s="1"/>
  <c r="AL89" i="8"/>
  <c r="AO40" i="9"/>
  <c r="AN44" i="9"/>
  <c r="AL101" i="8"/>
  <c r="AN96" i="9"/>
  <c r="AL148" i="8" s="1"/>
  <c r="AM45" i="7"/>
  <c r="AM46" i="7" s="1"/>
  <c r="AM48" i="7" s="1"/>
  <c r="AN94" i="9"/>
  <c r="AL146" i="8" s="1"/>
  <c r="AL99" i="8"/>
  <c r="AM37" i="7"/>
  <c r="AM38" i="7" s="1"/>
  <c r="AM40" i="7" s="1"/>
  <c r="AL105" i="8"/>
  <c r="AN100" i="9"/>
  <c r="AL152" i="8" s="1"/>
  <c r="AN99" i="9"/>
  <c r="AL151" i="8" s="1"/>
  <c r="AL104" i="8"/>
  <c r="AN91" i="9"/>
  <c r="AL143" i="8" s="1"/>
  <c r="AL96" i="8"/>
  <c r="AL95" i="8"/>
  <c r="AN90" i="9"/>
  <c r="AL142" i="8" s="1"/>
  <c r="AL103" i="8"/>
  <c r="AN98" i="9"/>
  <c r="AL150" i="8" s="1"/>
  <c r="AK60" i="9"/>
  <c r="AI106" i="8" s="1"/>
  <c r="AK64" i="9"/>
  <c r="AI110" i="8" s="1"/>
  <c r="AK62" i="9"/>
  <c r="AK95" i="9"/>
  <c r="AJ41" i="7"/>
  <c r="AJ42" i="7" s="1"/>
  <c r="AJ44" i="7" s="1"/>
  <c r="AI100" i="8"/>
  <c r="AI134" i="8" s="1"/>
  <c r="AI26" i="8" s="1"/>
  <c r="AL102" i="8"/>
  <c r="AN97" i="9"/>
  <c r="AL149" i="8" s="1"/>
  <c r="AN87" i="9"/>
  <c r="AL139" i="8" s="1"/>
  <c r="AL92" i="8"/>
  <c r="AM29" i="7"/>
  <c r="AM30" i="7" s="1"/>
  <c r="AM32" i="7" s="1"/>
  <c r="AM25" i="7"/>
  <c r="AM26" i="7" s="1"/>
  <c r="AM28" i="7" s="1"/>
  <c r="AL91" i="8"/>
  <c r="AN86" i="9"/>
  <c r="AM9" i="7"/>
  <c r="AM10" i="7" s="1"/>
  <c r="AL129" i="8"/>
  <c r="AL33" i="8"/>
  <c r="AL94" i="8"/>
  <c r="AN89" i="9"/>
  <c r="AL141" i="8" s="1"/>
  <c r="AL97" i="8"/>
  <c r="AN92" i="9"/>
  <c r="AL144" i="8" s="1"/>
  <c r="AL20" i="7"/>
  <c r="AI56" i="7"/>
  <c r="AH18" i="8"/>
  <c r="AA166" i="8"/>
  <c r="AA58" i="8" s="1"/>
  <c r="AD114" i="9"/>
  <c r="Z63" i="8"/>
  <c r="Z64" i="8" s="1"/>
  <c r="Z66" i="8"/>
  <c r="Z60" i="8"/>
  <c r="Z61" i="8" s="1"/>
  <c r="AN146" i="9"/>
  <c r="AN142" i="9" s="1"/>
  <c r="Z183" i="8" l="1"/>
  <c r="AH22" i="8"/>
  <c r="AH23" i="8" s="1"/>
  <c r="AI57" i="7"/>
  <c r="AM167" i="8"/>
  <c r="AP115" i="9"/>
  <c r="AG36" i="8"/>
  <c r="AG37" i="8"/>
  <c r="AG53" i="8"/>
  <c r="AG52" i="8"/>
  <c r="AK19" i="7"/>
  <c r="AM15" i="7"/>
  <c r="AL133" i="8"/>
  <c r="AL130" i="8" s="1"/>
  <c r="AL172" i="8"/>
  <c r="AL171" i="8"/>
  <c r="AO48" i="9"/>
  <c r="AO47" i="9"/>
  <c r="AO144" i="9"/>
  <c r="AO52" i="9"/>
  <c r="AO45" i="9"/>
  <c r="AO145" i="9"/>
  <c r="AO53" i="9"/>
  <c r="AM86" i="8"/>
  <c r="AO43" i="9"/>
  <c r="AO55" i="9"/>
  <c r="AO49" i="9"/>
  <c r="AO46" i="9"/>
  <c r="AO50" i="9"/>
  <c r="AL54" i="9"/>
  <c r="AO57" i="9"/>
  <c r="AO135" i="9"/>
  <c r="AO141" i="9" s="1"/>
  <c r="AO61" i="9" s="1"/>
  <c r="AO56" i="9"/>
  <c r="AO51" i="9"/>
  <c r="AO136" i="9"/>
  <c r="AO58" i="9"/>
  <c r="AO59" i="9"/>
  <c r="AL90" i="8"/>
  <c r="AI27" i="8"/>
  <c r="AI44" i="8"/>
  <c r="AI30" i="8"/>
  <c r="AK63" i="9"/>
  <c r="AI109" i="8" s="1"/>
  <c r="AI34" i="8" s="1"/>
  <c r="AI108" i="8"/>
  <c r="AK101" i="9"/>
  <c r="AK85" i="9" s="1"/>
  <c r="AI137" i="8" s="1"/>
  <c r="AI28" i="8" s="1"/>
  <c r="AI147" i="8"/>
  <c r="AI153" i="8" s="1"/>
  <c r="AJ51" i="7"/>
  <c r="AJ52" i="7"/>
  <c r="AL138" i="8"/>
  <c r="AL16" i="7"/>
  <c r="AA63" i="8"/>
  <c r="AA64" i="8" s="1"/>
  <c r="AA66" i="8"/>
  <c r="AA60" i="8"/>
  <c r="AA61" i="8" s="1"/>
  <c r="AE114" i="9"/>
  <c r="AC166" i="8" s="1"/>
  <c r="AC58" i="8" s="1"/>
  <c r="AB166" i="8"/>
  <c r="AB58" i="8" s="1"/>
  <c r="AA183" i="8" l="1"/>
  <c r="AL173" i="8"/>
  <c r="AL29" i="8" s="1"/>
  <c r="AI32" i="8"/>
  <c r="AQ115" i="9"/>
  <c r="AN167" i="8"/>
  <c r="AK53" i="7"/>
  <c r="AJ19" i="8" s="1"/>
  <c r="AM20" i="7"/>
  <c r="AO89" i="9"/>
  <c r="AM141" i="8" s="1"/>
  <c r="AM94" i="8"/>
  <c r="AO88" i="9"/>
  <c r="AM140" i="8" s="1"/>
  <c r="AM93" i="8"/>
  <c r="AN33" i="7"/>
  <c r="AN34" i="7" s="1"/>
  <c r="AN36" i="7" s="1"/>
  <c r="AM98" i="8"/>
  <c r="AO93" i="9"/>
  <c r="AM145" i="8" s="1"/>
  <c r="AO86" i="9"/>
  <c r="AM91" i="8"/>
  <c r="AN25" i="7"/>
  <c r="AN26" i="7" s="1"/>
  <c r="AN28" i="7" s="1"/>
  <c r="AN37" i="7"/>
  <c r="AN38" i="7" s="1"/>
  <c r="AN40" i="7" s="1"/>
  <c r="AO94" i="9"/>
  <c r="AM146" i="8" s="1"/>
  <c r="AM99" i="8"/>
  <c r="AM33" i="8"/>
  <c r="AN9" i="7"/>
  <c r="AN10" i="7" s="1"/>
  <c r="AM129" i="8"/>
  <c r="AM89" i="8"/>
  <c r="AP40" i="9"/>
  <c r="AO44" i="9"/>
  <c r="AN45" i="7"/>
  <c r="AN46" i="7" s="1"/>
  <c r="AN48" i="7" s="1"/>
  <c r="AO96" i="9"/>
  <c r="AM148" i="8" s="1"/>
  <c r="AM101" i="8"/>
  <c r="AM95" i="8"/>
  <c r="AO90" i="9"/>
  <c r="AM142" i="8" s="1"/>
  <c r="AM92" i="8"/>
  <c r="AO87" i="9"/>
  <c r="AM139" i="8" s="1"/>
  <c r="AN29" i="7"/>
  <c r="AN30" i="7" s="1"/>
  <c r="AN32" i="7" s="1"/>
  <c r="AM96" i="8"/>
  <c r="AO91" i="9"/>
  <c r="AM143" i="8" s="1"/>
  <c r="AL62" i="9"/>
  <c r="AL60" i="9"/>
  <c r="AJ106" i="8" s="1"/>
  <c r="AL64" i="9"/>
  <c r="AJ110" i="8" s="1"/>
  <c r="AJ100" i="8"/>
  <c r="AJ134" i="8" s="1"/>
  <c r="AJ26" i="8" s="1"/>
  <c r="AL95" i="9"/>
  <c r="AK41" i="7"/>
  <c r="AK42" i="7" s="1"/>
  <c r="AK44" i="7" s="1"/>
  <c r="AM103" i="8"/>
  <c r="AO98" i="9"/>
  <c r="AM150" i="8" s="1"/>
  <c r="AM107" i="8"/>
  <c r="AM102" i="8"/>
  <c r="AO97" i="9"/>
  <c r="AM149" i="8" s="1"/>
  <c r="AM97" i="8"/>
  <c r="AO92" i="9"/>
  <c r="AM144" i="8" s="1"/>
  <c r="AM104" i="8"/>
  <c r="AO99" i="9"/>
  <c r="AM151" i="8" s="1"/>
  <c r="AO100" i="9"/>
  <c r="AM152" i="8" s="1"/>
  <c r="AM105" i="8"/>
  <c r="AJ56" i="7"/>
  <c r="AI18" i="8"/>
  <c r="AM12" i="7"/>
  <c r="AL17" i="7"/>
  <c r="AH182" i="8"/>
  <c r="AH25" i="8"/>
  <c r="AC63" i="8"/>
  <c r="AC60" i="8"/>
  <c r="AC61" i="8" s="1"/>
  <c r="AC66" i="8"/>
  <c r="EC58" i="8"/>
  <c r="AB63" i="8"/>
  <c r="AB64" i="8" s="1"/>
  <c r="AB60" i="8"/>
  <c r="AB61" i="8" s="1"/>
  <c r="AB66" i="8"/>
  <c r="AO146" i="9"/>
  <c r="AO142" i="9" s="1"/>
  <c r="AI22" i="8" l="1"/>
  <c r="AI23" i="8" s="1"/>
  <c r="AJ57" i="7"/>
  <c r="AB183" i="8"/>
  <c r="AC183" i="8" s="1"/>
  <c r="AO167" i="8"/>
  <c r="AR115" i="9"/>
  <c r="AM138" i="8"/>
  <c r="AM16" i="7"/>
  <c r="AM133" i="8"/>
  <c r="AM130" i="8" s="1"/>
  <c r="AN15" i="7"/>
  <c r="AM171" i="8"/>
  <c r="AM172" i="8"/>
  <c r="AM54" i="9"/>
  <c r="AP53" i="9"/>
  <c r="AN86" i="8"/>
  <c r="AP47" i="9"/>
  <c r="AP49" i="9"/>
  <c r="AP51" i="9"/>
  <c r="AP57" i="9"/>
  <c r="AP55" i="9"/>
  <c r="AP145" i="9"/>
  <c r="AP58" i="9"/>
  <c r="AP43" i="9"/>
  <c r="AP46" i="9"/>
  <c r="AP50" i="9"/>
  <c r="AP52" i="9"/>
  <c r="AP59" i="9"/>
  <c r="AP136" i="9"/>
  <c r="AP135" i="9"/>
  <c r="AP141" i="9" s="1"/>
  <c r="AP61" i="9" s="1"/>
  <c r="AP48" i="9"/>
  <c r="AP45" i="9"/>
  <c r="AP144" i="9"/>
  <c r="AP56" i="9"/>
  <c r="AM90" i="8"/>
  <c r="AL63" i="9"/>
  <c r="AJ109" i="8" s="1"/>
  <c r="AJ34" i="8" s="1"/>
  <c r="AJ108" i="8"/>
  <c r="AJ30" i="8"/>
  <c r="AJ44" i="8"/>
  <c r="AJ27" i="8"/>
  <c r="AL101" i="9"/>
  <c r="AL85" i="9" s="1"/>
  <c r="AJ137" i="8" s="1"/>
  <c r="AJ28" i="8" s="1"/>
  <c r="AJ147" i="8"/>
  <c r="AJ153" i="8" s="1"/>
  <c r="AK51" i="7"/>
  <c r="AK52" i="7"/>
  <c r="AL19" i="7"/>
  <c r="AH37" i="8"/>
  <c r="AH52" i="8"/>
  <c r="AH36" i="8"/>
  <c r="AH53" i="8"/>
  <c r="I11" i="8"/>
  <c r="AC64" i="8"/>
  <c r="EC63" i="8"/>
  <c r="EC64" i="8" s="1"/>
  <c r="EC60" i="8"/>
  <c r="EC61" i="8" s="1"/>
  <c r="EC66" i="8"/>
  <c r="I9" i="8"/>
  <c r="AJ32" i="8" l="1"/>
  <c r="AP146" i="9"/>
  <c r="AP142" i="9" s="1"/>
  <c r="AP167" i="8"/>
  <c r="AS115" i="9"/>
  <c r="AM17" i="7"/>
  <c r="AN12" i="7"/>
  <c r="AN20" i="7"/>
  <c r="AM60" i="9"/>
  <c r="AK106" i="8" s="1"/>
  <c r="AM62" i="9"/>
  <c r="AM64" i="9"/>
  <c r="AK110" i="8" s="1"/>
  <c r="AK100" i="8"/>
  <c r="AK134" i="8" s="1"/>
  <c r="AK26" i="8" s="1"/>
  <c r="AL41" i="7"/>
  <c r="AL42" i="7" s="1"/>
  <c r="AL44" i="7" s="1"/>
  <c r="AM95" i="9"/>
  <c r="AP94" i="9"/>
  <c r="AN146" i="8" s="1"/>
  <c r="AN99" i="8"/>
  <c r="AO37" i="7"/>
  <c r="AO38" i="7" s="1"/>
  <c r="AO40" i="7" s="1"/>
  <c r="AN129" i="8"/>
  <c r="AO9" i="7"/>
  <c r="AO10" i="7" s="1"/>
  <c r="AN33" i="8"/>
  <c r="AO33" i="7"/>
  <c r="AO34" i="7" s="1"/>
  <c r="AO36" i="7" s="1"/>
  <c r="AN93" i="8"/>
  <c r="AP88" i="9"/>
  <c r="AN140" i="8" s="1"/>
  <c r="AP90" i="9"/>
  <c r="AN142" i="8" s="1"/>
  <c r="AN95" i="8"/>
  <c r="AP92" i="9"/>
  <c r="AN144" i="8" s="1"/>
  <c r="AN97" i="8"/>
  <c r="AP98" i="9"/>
  <c r="AN150" i="8" s="1"/>
  <c r="AN103" i="8"/>
  <c r="AO45" i="7"/>
  <c r="AO46" i="7" s="1"/>
  <c r="AO48" i="7" s="1"/>
  <c r="AN101" i="8"/>
  <c r="AP96" i="9"/>
  <c r="AN148" i="8" s="1"/>
  <c r="AP99" i="9"/>
  <c r="AN151" i="8" s="1"/>
  <c r="AN104" i="8"/>
  <c r="AQ40" i="9"/>
  <c r="AN89" i="8"/>
  <c r="AP44" i="9"/>
  <c r="AN92" i="8"/>
  <c r="AO29" i="7"/>
  <c r="AO30" i="7" s="1"/>
  <c r="AO32" i="7" s="1"/>
  <c r="AP87" i="9"/>
  <c r="AN139" i="8" s="1"/>
  <c r="AN96" i="8"/>
  <c r="AP91" i="9"/>
  <c r="AN143" i="8" s="1"/>
  <c r="AN98" i="8"/>
  <c r="AP93" i="9"/>
  <c r="AN145" i="8" s="1"/>
  <c r="AN105" i="8"/>
  <c r="AP100" i="9"/>
  <c r="AN152" i="8" s="1"/>
  <c r="AN107" i="8"/>
  <c r="AP89" i="9"/>
  <c r="AN141" i="8" s="1"/>
  <c r="AN94" i="8"/>
  <c r="AN91" i="8"/>
  <c r="AO25" i="7"/>
  <c r="AO26" i="7" s="1"/>
  <c r="AO28" i="7" s="1"/>
  <c r="AP86" i="9"/>
  <c r="AP97" i="9"/>
  <c r="AN149" i="8" s="1"/>
  <c r="AN102" i="8"/>
  <c r="AK56" i="7"/>
  <c r="AJ22" i="8" s="1"/>
  <c r="AJ18" i="8"/>
  <c r="AK57" i="7"/>
  <c r="AI182" i="8"/>
  <c r="AI25" i="8"/>
  <c r="AL53" i="7"/>
  <c r="AK19" i="8" s="1"/>
  <c r="I10" i="8"/>
  <c r="W5" i="47" s="1"/>
  <c r="W4" i="47"/>
  <c r="AM173" i="8"/>
  <c r="AM29" i="8" s="1"/>
  <c r="I12" i="8"/>
  <c r="AT115" i="9" l="1"/>
  <c r="AQ167" i="8"/>
  <c r="AM19" i="7"/>
  <c r="AK27" i="8"/>
  <c r="AK44" i="8"/>
  <c r="AK30" i="8"/>
  <c r="AM63" i="9"/>
  <c r="AK109" i="8" s="1"/>
  <c r="AK34" i="8" s="1"/>
  <c r="AK108" i="8"/>
  <c r="AL52" i="7"/>
  <c r="AL51" i="7"/>
  <c r="AM101" i="9"/>
  <c r="AM85" i="9" s="1"/>
  <c r="AK137" i="8" s="1"/>
  <c r="AK28" i="8" s="1"/>
  <c r="AK147" i="8"/>
  <c r="AK153" i="8" s="1"/>
  <c r="AN16" i="7"/>
  <c r="AQ47" i="9"/>
  <c r="AQ135" i="9"/>
  <c r="AQ141" i="9" s="1"/>
  <c r="AQ61" i="9" s="1"/>
  <c r="AQ145" i="9"/>
  <c r="AQ136" i="9"/>
  <c r="AQ50" i="9"/>
  <c r="AQ57" i="9"/>
  <c r="AQ53" i="9"/>
  <c r="AQ49" i="9"/>
  <c r="AN54" i="9"/>
  <c r="AQ48" i="9"/>
  <c r="AQ55" i="9"/>
  <c r="AQ45" i="9"/>
  <c r="AQ46" i="9"/>
  <c r="AO86" i="8"/>
  <c r="AQ56" i="9"/>
  <c r="AQ59" i="9"/>
  <c r="AQ58" i="9"/>
  <c r="AQ52" i="9"/>
  <c r="AQ51" i="9"/>
  <c r="AQ144" i="9"/>
  <c r="AQ43" i="9"/>
  <c r="AN172" i="8"/>
  <c r="AO15" i="7"/>
  <c r="AN171" i="8"/>
  <c r="AN173" i="8" s="1"/>
  <c r="AN29" i="8" s="1"/>
  <c r="AN133" i="8"/>
  <c r="AN130" i="8" s="1"/>
  <c r="AN90" i="8"/>
  <c r="AN138" i="8"/>
  <c r="AJ23" i="8"/>
  <c r="AI37" i="8"/>
  <c r="AI52" i="8"/>
  <c r="AI36" i="8"/>
  <c r="AI53" i="8"/>
  <c r="AK32" i="8" l="1"/>
  <c r="AU115" i="9"/>
  <c r="AR167" i="8"/>
  <c r="AM53" i="7"/>
  <c r="AL19" i="8" s="1"/>
  <c r="AK18" i="8"/>
  <c r="AL56" i="7"/>
  <c r="AO12" i="7"/>
  <c r="AN17" i="7"/>
  <c r="AO93" i="8"/>
  <c r="AQ88" i="9"/>
  <c r="AO140" i="8" s="1"/>
  <c r="AP33" i="7"/>
  <c r="AP34" i="7" s="1"/>
  <c r="AP36" i="7" s="1"/>
  <c r="EE36" i="7" s="1"/>
  <c r="EF36" i="7" s="1"/>
  <c r="AO107" i="8"/>
  <c r="AO96" i="8"/>
  <c r="AQ91" i="9"/>
  <c r="AO143" i="8" s="1"/>
  <c r="AO103" i="8"/>
  <c r="AQ98" i="9"/>
  <c r="AO150" i="8" s="1"/>
  <c r="AP37" i="7"/>
  <c r="AP38" i="7" s="1"/>
  <c r="AP40" i="7" s="1"/>
  <c r="EE40" i="7" s="1"/>
  <c r="EF40" i="7" s="1"/>
  <c r="AQ94" i="9"/>
  <c r="AO146" i="8" s="1"/>
  <c r="AO99" i="8"/>
  <c r="AO95" i="8"/>
  <c r="AQ90" i="9"/>
  <c r="AO142" i="8" s="1"/>
  <c r="AN60" i="9"/>
  <c r="AL106" i="8" s="1"/>
  <c r="AN64" i="9"/>
  <c r="AL110" i="8" s="1"/>
  <c r="AN62" i="9"/>
  <c r="AL100" i="8"/>
  <c r="AL134" i="8" s="1"/>
  <c r="AL26" i="8" s="1"/>
  <c r="AM41" i="7"/>
  <c r="AM42" i="7" s="1"/>
  <c r="AM44" i="7" s="1"/>
  <c r="AN95" i="9"/>
  <c r="AQ89" i="9"/>
  <c r="AO141" i="8" s="1"/>
  <c r="AO94" i="8"/>
  <c r="AP45" i="7"/>
  <c r="AP46" i="7" s="1"/>
  <c r="AP48" i="7" s="1"/>
  <c r="EE48" i="7" s="1"/>
  <c r="EF48" i="7" s="1"/>
  <c r="AO101" i="8"/>
  <c r="AQ96" i="9"/>
  <c r="AO148" i="8" s="1"/>
  <c r="AP25" i="7"/>
  <c r="AP26" i="7" s="1"/>
  <c r="AP28" i="7" s="1"/>
  <c r="EE28" i="7" s="1"/>
  <c r="EF28" i="7" s="1"/>
  <c r="AQ86" i="9"/>
  <c r="AO91" i="8"/>
  <c r="AO92" i="8"/>
  <c r="AP29" i="7"/>
  <c r="AP30" i="7" s="1"/>
  <c r="AP32" i="7" s="1"/>
  <c r="EE32" i="7" s="1"/>
  <c r="EF32" i="7" s="1"/>
  <c r="AQ87" i="9"/>
  <c r="AO139" i="8" s="1"/>
  <c r="AO33" i="8"/>
  <c r="ED33" i="8" s="1"/>
  <c r="EE33" i="8" s="1"/>
  <c r="C15" i="2" s="1"/>
  <c r="AO129" i="8"/>
  <c r="AP9" i="7"/>
  <c r="AP10" i="7" s="1"/>
  <c r="AQ97" i="9"/>
  <c r="AO149" i="8" s="1"/>
  <c r="AO102" i="8"/>
  <c r="AQ100" i="9"/>
  <c r="AO152" i="8" s="1"/>
  <c r="AO105" i="8"/>
  <c r="AO104" i="8"/>
  <c r="AQ99" i="9"/>
  <c r="AO151" i="8" s="1"/>
  <c r="AO98" i="8"/>
  <c r="AQ93" i="9"/>
  <c r="AO145" i="8" s="1"/>
  <c r="AO97" i="8"/>
  <c r="AQ92" i="9"/>
  <c r="AO144" i="8" s="1"/>
  <c r="AR40" i="9"/>
  <c r="AO89" i="8"/>
  <c r="AQ44" i="9"/>
  <c r="AO20" i="7"/>
  <c r="AJ182" i="8"/>
  <c r="AJ25" i="8"/>
  <c r="AQ146" i="9"/>
  <c r="AQ142" i="9" s="1"/>
  <c r="AV115" i="9" l="1"/>
  <c r="AS167" i="8"/>
  <c r="AN19" i="7"/>
  <c r="AL27" i="8"/>
  <c r="AL30" i="8"/>
  <c r="AL44" i="8"/>
  <c r="AN63" i="9"/>
  <c r="AL109" i="8" s="1"/>
  <c r="AL34" i="8" s="1"/>
  <c r="AL108" i="8"/>
  <c r="AM51" i="7"/>
  <c r="AM52" i="7"/>
  <c r="AN101" i="9"/>
  <c r="AN85" i="9" s="1"/>
  <c r="AL137" i="8" s="1"/>
  <c r="AL28" i="8" s="1"/>
  <c r="AL147" i="8"/>
  <c r="AL153" i="8" s="1"/>
  <c r="AO138" i="8"/>
  <c r="M15" i="2"/>
  <c r="P15" i="2"/>
  <c r="C6" i="2"/>
  <c r="EE9" i="7"/>
  <c r="EF9" i="7" s="1"/>
  <c r="AO16" i="7"/>
  <c r="AR49" i="9"/>
  <c r="AR145" i="9"/>
  <c r="AR51" i="9"/>
  <c r="AR59" i="9"/>
  <c r="AR50" i="9"/>
  <c r="AR52" i="9"/>
  <c r="AR58" i="9"/>
  <c r="AO54" i="9"/>
  <c r="AR53" i="9"/>
  <c r="AR45" i="9"/>
  <c r="AR55" i="9"/>
  <c r="AR144" i="9"/>
  <c r="AR57" i="9"/>
  <c r="AR46" i="9"/>
  <c r="AR135" i="9"/>
  <c r="AR141" i="9" s="1"/>
  <c r="AR61" i="9" s="1"/>
  <c r="AR47" i="9"/>
  <c r="AR48" i="9"/>
  <c r="AP86" i="8"/>
  <c r="AR136" i="9"/>
  <c r="AR56" i="9"/>
  <c r="AR43" i="9"/>
  <c r="AP15" i="7"/>
  <c r="AO133" i="8"/>
  <c r="AO130" i="8" s="1"/>
  <c r="C7" i="2" s="1"/>
  <c r="AO172" i="8"/>
  <c r="AO171" i="8"/>
  <c r="AO90" i="8"/>
  <c r="AJ36" i="8"/>
  <c r="AJ37" i="8"/>
  <c r="AJ52" i="8"/>
  <c r="AJ53" i="8"/>
  <c r="AK22" i="8"/>
  <c r="AK23" i="8" s="1"/>
  <c r="AL57" i="7"/>
  <c r="AO173" i="8" l="1"/>
  <c r="AO29" i="8" s="1"/>
  <c r="ED29" i="8" s="1"/>
  <c r="EE29" i="8" s="1"/>
  <c r="C11" i="2" s="1"/>
  <c r="AL32" i="8"/>
  <c r="AT167" i="8"/>
  <c r="AW115" i="9"/>
  <c r="AK182" i="8"/>
  <c r="AK25" i="8"/>
  <c r="AN53" i="7"/>
  <c r="AM19" i="8" s="1"/>
  <c r="AM56" i="7"/>
  <c r="AL18" i="8"/>
  <c r="P6" i="2"/>
  <c r="M6" i="2"/>
  <c r="EE10" i="7"/>
  <c r="EF10" i="7" s="1"/>
  <c r="AP12" i="7"/>
  <c r="AO17" i="7"/>
  <c r="AP95" i="8"/>
  <c r="AR90" i="9"/>
  <c r="AP142" i="8" s="1"/>
  <c r="AP97" i="8"/>
  <c r="AR92" i="9"/>
  <c r="AP144" i="8" s="1"/>
  <c r="AR100" i="9"/>
  <c r="AP152" i="8" s="1"/>
  <c r="AP105" i="8"/>
  <c r="AP96" i="8"/>
  <c r="AR91" i="9"/>
  <c r="AP143" i="8" s="1"/>
  <c r="AP98" i="8"/>
  <c r="AR93" i="9"/>
  <c r="AP145" i="8" s="1"/>
  <c r="AR99" i="9"/>
  <c r="AP151" i="8" s="1"/>
  <c r="AP104" i="8"/>
  <c r="AO60" i="9"/>
  <c r="AM106" i="8" s="1"/>
  <c r="AO64" i="9"/>
  <c r="AM110" i="8" s="1"/>
  <c r="AO62" i="9"/>
  <c r="AN41" i="7"/>
  <c r="AN42" i="7" s="1"/>
  <c r="AN44" i="7" s="1"/>
  <c r="AO95" i="9"/>
  <c r="AM100" i="8"/>
  <c r="AM134" i="8" s="1"/>
  <c r="AM26" i="8" s="1"/>
  <c r="AQ37" i="7"/>
  <c r="AQ38" i="7" s="1"/>
  <c r="AQ40" i="7" s="1"/>
  <c r="AR94" i="9"/>
  <c r="AP146" i="8" s="1"/>
  <c r="AP99" i="8"/>
  <c r="AP91" i="8"/>
  <c r="AQ25" i="7"/>
  <c r="AQ26" i="7" s="1"/>
  <c r="AQ28" i="7" s="1"/>
  <c r="AR86" i="9"/>
  <c r="AP101" i="8"/>
  <c r="AR96" i="9"/>
  <c r="AP148" i="8" s="1"/>
  <c r="AQ45" i="7"/>
  <c r="AQ46" i="7" s="1"/>
  <c r="AQ48" i="7" s="1"/>
  <c r="AR98" i="9"/>
  <c r="AP150" i="8" s="1"/>
  <c r="AP103" i="8"/>
  <c r="AR87" i="9"/>
  <c r="AP139" i="8" s="1"/>
  <c r="AP92" i="8"/>
  <c r="AQ29" i="7"/>
  <c r="AQ30" i="7" s="1"/>
  <c r="AQ32" i="7" s="1"/>
  <c r="AP107" i="8"/>
  <c r="AR88" i="9"/>
  <c r="AP140" i="8" s="1"/>
  <c r="AQ33" i="7"/>
  <c r="AQ34" i="7" s="1"/>
  <c r="AQ36" i="7" s="1"/>
  <c r="AP93" i="8"/>
  <c r="AR89" i="9"/>
  <c r="AP141" i="8" s="1"/>
  <c r="AP94" i="8"/>
  <c r="AP129" i="8"/>
  <c r="AQ9" i="7"/>
  <c r="AQ10" i="7" s="1"/>
  <c r="AP33" i="8"/>
  <c r="AR97" i="9"/>
  <c r="AP149" i="8" s="1"/>
  <c r="AP102" i="8"/>
  <c r="AP89" i="8"/>
  <c r="AS40" i="9"/>
  <c r="AR44" i="9"/>
  <c r="EE15" i="7"/>
  <c r="EF15" i="7" s="1"/>
  <c r="AP20" i="7"/>
  <c r="M7" i="2"/>
  <c r="P7" i="2"/>
  <c r="AR146" i="9"/>
  <c r="AR142" i="9" s="1"/>
  <c r="M11" i="2" l="1"/>
  <c r="P11" i="2"/>
  <c r="AL22" i="8"/>
  <c r="AL23" i="8" s="1"/>
  <c r="AM57" i="7"/>
  <c r="AX115" i="9"/>
  <c r="AU167" i="8"/>
  <c r="AK36" i="8"/>
  <c r="AK37" i="8"/>
  <c r="AK53" i="8"/>
  <c r="AK52" i="8"/>
  <c r="EE12" i="7"/>
  <c r="AO19" i="7"/>
  <c r="AM27" i="8"/>
  <c r="AM44" i="8"/>
  <c r="AM30" i="8"/>
  <c r="AO63" i="9"/>
  <c r="AM109" i="8" s="1"/>
  <c r="AM34" i="8" s="1"/>
  <c r="AM108" i="8"/>
  <c r="AN51" i="7"/>
  <c r="AN52" i="7"/>
  <c r="AO101" i="9"/>
  <c r="AO85" i="9" s="1"/>
  <c r="AM137" i="8" s="1"/>
  <c r="AM28" i="8" s="1"/>
  <c r="AM147" i="8"/>
  <c r="AM153" i="8" s="1"/>
  <c r="AP138" i="8"/>
  <c r="AP16" i="7"/>
  <c r="AQ15" i="7"/>
  <c r="AP133" i="8"/>
  <c r="AP130" i="8" s="1"/>
  <c r="AP172" i="8"/>
  <c r="AP171" i="8"/>
  <c r="AS46" i="9"/>
  <c r="AS48" i="9"/>
  <c r="AS49" i="9"/>
  <c r="AS45" i="9"/>
  <c r="AQ86" i="8"/>
  <c r="AS47" i="9"/>
  <c r="AS145" i="9"/>
  <c r="AS53" i="9"/>
  <c r="AS58" i="9"/>
  <c r="AS136" i="9"/>
  <c r="AS144" i="9"/>
  <c r="AS57" i="9"/>
  <c r="AS55" i="9"/>
  <c r="AS135" i="9"/>
  <c r="AS141" i="9" s="1"/>
  <c r="AS61" i="9" s="1"/>
  <c r="AS51" i="9"/>
  <c r="AS50" i="9"/>
  <c r="AP54" i="9"/>
  <c r="AS52" i="9"/>
  <c r="AS43" i="9"/>
  <c r="AS59" i="9"/>
  <c r="AS56" i="9"/>
  <c r="AP90" i="8"/>
  <c r="AP173" i="8" l="1"/>
  <c r="AP29" i="8" s="1"/>
  <c r="AM32" i="8"/>
  <c r="AS146" i="9"/>
  <c r="AS142" i="9" s="1"/>
  <c r="AV167" i="8"/>
  <c r="AY115" i="9"/>
  <c r="AL182" i="8"/>
  <c r="AL25" i="8"/>
  <c r="EF12" i="7"/>
  <c r="AO53" i="7"/>
  <c r="AN19" i="8" s="1"/>
  <c r="AN56" i="7"/>
  <c r="AM22" i="8" s="1"/>
  <c r="AM18" i="8"/>
  <c r="AN57" i="7"/>
  <c r="AQ12" i="7"/>
  <c r="EE16" i="7"/>
  <c r="EF16" i="7" s="1"/>
  <c r="AP17" i="7"/>
  <c r="AQ20" i="7"/>
  <c r="AR29" i="7"/>
  <c r="AR30" i="7" s="1"/>
  <c r="AR32" i="7" s="1"/>
  <c r="AQ92" i="8"/>
  <c r="AS87" i="9"/>
  <c r="AQ139" i="8" s="1"/>
  <c r="AS89" i="9"/>
  <c r="AQ141" i="8" s="1"/>
  <c r="AQ94" i="8"/>
  <c r="AS90" i="9"/>
  <c r="AQ142" i="8" s="1"/>
  <c r="AQ95" i="8"/>
  <c r="AQ91" i="8"/>
  <c r="AR25" i="7"/>
  <c r="AR26" i="7" s="1"/>
  <c r="AR28" i="7" s="1"/>
  <c r="AS86" i="9"/>
  <c r="AQ33" i="8"/>
  <c r="AQ129" i="8"/>
  <c r="AR9" i="7"/>
  <c r="AR10" i="7" s="1"/>
  <c r="AQ93" i="8"/>
  <c r="AS88" i="9"/>
  <c r="AQ140" i="8" s="1"/>
  <c r="AR33" i="7"/>
  <c r="AR34" i="7" s="1"/>
  <c r="AR36" i="7" s="1"/>
  <c r="AS94" i="9"/>
  <c r="AQ146" i="8" s="1"/>
  <c r="AR37" i="7"/>
  <c r="AR38" i="7" s="1"/>
  <c r="AR40" i="7" s="1"/>
  <c r="AQ99" i="8"/>
  <c r="AS99" i="9"/>
  <c r="AQ151" i="8" s="1"/>
  <c r="AQ104" i="8"/>
  <c r="AQ103" i="8"/>
  <c r="AS98" i="9"/>
  <c r="AQ150" i="8" s="1"/>
  <c r="AQ101" i="8"/>
  <c r="AR45" i="7"/>
  <c r="AR46" i="7" s="1"/>
  <c r="AR48" i="7" s="1"/>
  <c r="AS96" i="9"/>
  <c r="AQ148" i="8" s="1"/>
  <c r="AQ107" i="8"/>
  <c r="AQ97" i="8"/>
  <c r="AS92" i="9"/>
  <c r="AQ144" i="8" s="1"/>
  <c r="AS91" i="9"/>
  <c r="AQ143" i="8" s="1"/>
  <c r="AQ96" i="8"/>
  <c r="AP60" i="9"/>
  <c r="AN106" i="8" s="1"/>
  <c r="AP62" i="9"/>
  <c r="AP64" i="9"/>
  <c r="AN110" i="8" s="1"/>
  <c r="AP95" i="9"/>
  <c r="AN100" i="8"/>
  <c r="AN134" i="8" s="1"/>
  <c r="AN26" i="8" s="1"/>
  <c r="AO41" i="7"/>
  <c r="AO42" i="7" s="1"/>
  <c r="AO44" i="7" s="1"/>
  <c r="AQ98" i="8"/>
  <c r="AS93" i="9"/>
  <c r="AQ145" i="8" s="1"/>
  <c r="AQ89" i="8"/>
  <c r="AT40" i="9"/>
  <c r="AS44" i="9"/>
  <c r="AS100" i="9"/>
  <c r="AQ152" i="8" s="1"/>
  <c r="AQ105" i="8"/>
  <c r="AS97" i="9"/>
  <c r="AQ149" i="8" s="1"/>
  <c r="AQ102" i="8"/>
  <c r="AZ115" i="9" l="1"/>
  <c r="AW167" i="8"/>
  <c r="AL53" i="8"/>
  <c r="AL37" i="8"/>
  <c r="AL36" i="8"/>
  <c r="AL52" i="8"/>
  <c r="AM23" i="8"/>
  <c r="EE17" i="7"/>
  <c r="EF17" i="7" s="1"/>
  <c r="AP19" i="7"/>
  <c r="AQ138" i="8"/>
  <c r="AQ16" i="7"/>
  <c r="AN27" i="8"/>
  <c r="AN30" i="8"/>
  <c r="AN44" i="8"/>
  <c r="AP63" i="9"/>
  <c r="AN109" i="8" s="1"/>
  <c r="AN34" i="8" s="1"/>
  <c r="AN108" i="8"/>
  <c r="AP101" i="9"/>
  <c r="AP85" i="9" s="1"/>
  <c r="AN137" i="8" s="1"/>
  <c r="AN28" i="8" s="1"/>
  <c r="AN147" i="8"/>
  <c r="AN153" i="8" s="1"/>
  <c r="AO52" i="7"/>
  <c r="AN18" i="8" s="1"/>
  <c r="AO51" i="7"/>
  <c r="AQ171" i="8"/>
  <c r="AQ172" i="8"/>
  <c r="AQ133" i="8"/>
  <c r="AQ130" i="8" s="1"/>
  <c r="AR15" i="7"/>
  <c r="AQ54" i="9"/>
  <c r="AT144" i="9"/>
  <c r="AT46" i="9"/>
  <c r="AT52" i="9"/>
  <c r="AT53" i="9"/>
  <c r="AT57" i="9"/>
  <c r="AR86" i="8"/>
  <c r="AT55" i="9"/>
  <c r="AT49" i="9"/>
  <c r="AT56" i="9"/>
  <c r="AT51" i="9"/>
  <c r="AT47" i="9"/>
  <c r="AT43" i="9"/>
  <c r="AT48" i="9"/>
  <c r="AT59" i="9"/>
  <c r="AT136" i="9"/>
  <c r="AT145" i="9"/>
  <c r="AT58" i="9"/>
  <c r="AT50" i="9"/>
  <c r="AT135" i="9"/>
  <c r="AT141" i="9" s="1"/>
  <c r="AT61" i="9" s="1"/>
  <c r="AT45" i="9"/>
  <c r="AQ90" i="8"/>
  <c r="AN32" i="8" l="1"/>
  <c r="AX167" i="8"/>
  <c r="BA115" i="9"/>
  <c r="AM182" i="8"/>
  <c r="AM25" i="8"/>
  <c r="EE19" i="7"/>
  <c r="AP53" i="7"/>
  <c r="AO19" i="8" s="1"/>
  <c r="ED19" i="8" s="1"/>
  <c r="EE19" i="8" s="1"/>
  <c r="AR12" i="7"/>
  <c r="AQ17" i="7"/>
  <c r="AO56" i="7"/>
  <c r="AR20" i="7"/>
  <c r="AQ60" i="9"/>
  <c r="AO106" i="8" s="1"/>
  <c r="AQ64" i="9"/>
  <c r="AO110" i="8" s="1"/>
  <c r="AQ62" i="9"/>
  <c r="AP41" i="7"/>
  <c r="AP42" i="7" s="1"/>
  <c r="AP44" i="7" s="1"/>
  <c r="AQ95" i="9"/>
  <c r="AO100" i="8"/>
  <c r="AO134" i="8" s="1"/>
  <c r="AR92" i="8"/>
  <c r="AT87" i="9"/>
  <c r="AR139" i="8" s="1"/>
  <c r="AS29" i="7"/>
  <c r="AS30" i="7" s="1"/>
  <c r="AS32" i="7" s="1"/>
  <c r="AR98" i="8"/>
  <c r="AT93" i="9"/>
  <c r="AR145" i="8" s="1"/>
  <c r="AR99" i="8"/>
  <c r="AS37" i="7"/>
  <c r="AS38" i="7" s="1"/>
  <c r="AS40" i="7" s="1"/>
  <c r="AT94" i="9"/>
  <c r="AR146" i="8" s="1"/>
  <c r="AR103" i="8"/>
  <c r="AT98" i="9"/>
  <c r="AR150" i="8" s="1"/>
  <c r="AS9" i="7"/>
  <c r="AS10" i="7" s="1"/>
  <c r="AR129" i="8"/>
  <c r="AR33" i="8"/>
  <c r="AS45" i="7"/>
  <c r="AS46" i="7" s="1"/>
  <c r="AS48" i="7" s="1"/>
  <c r="AT96" i="9"/>
  <c r="AR148" i="8" s="1"/>
  <c r="AR101" i="8"/>
  <c r="AT90" i="9"/>
  <c r="AR142" i="8" s="1"/>
  <c r="AR95" i="8"/>
  <c r="AT97" i="9"/>
  <c r="AR149" i="8" s="1"/>
  <c r="AR102" i="8"/>
  <c r="AT92" i="9"/>
  <c r="AR144" i="8" s="1"/>
  <c r="AR97" i="8"/>
  <c r="AS33" i="7"/>
  <c r="AS34" i="7" s="1"/>
  <c r="AS36" i="7" s="1"/>
  <c r="AR93" i="8"/>
  <c r="AT88" i="9"/>
  <c r="AR140" i="8" s="1"/>
  <c r="AU40" i="9"/>
  <c r="AR89" i="8"/>
  <c r="AT44" i="9"/>
  <c r="AT89" i="9"/>
  <c r="AR141" i="8" s="1"/>
  <c r="AR94" i="8"/>
  <c r="AR105" i="8"/>
  <c r="AT100" i="9"/>
  <c r="AR152" i="8" s="1"/>
  <c r="AT99" i="9"/>
  <c r="AR151" i="8" s="1"/>
  <c r="AR104" i="8"/>
  <c r="AR96" i="8"/>
  <c r="AT91" i="9"/>
  <c r="AR143" i="8" s="1"/>
  <c r="AR107" i="8"/>
  <c r="AR91" i="8"/>
  <c r="AS25" i="7"/>
  <c r="AS26" i="7" s="1"/>
  <c r="AS28" i="7" s="1"/>
  <c r="AT86" i="9"/>
  <c r="AQ173" i="8"/>
  <c r="AQ29" i="8" s="1"/>
  <c r="AT146" i="9"/>
  <c r="AT142" i="9" s="1"/>
  <c r="BB115" i="9" l="1"/>
  <c r="AY167" i="8"/>
  <c r="AM37" i="8"/>
  <c r="AM52" i="8"/>
  <c r="AM53" i="8"/>
  <c r="AM36" i="8"/>
  <c r="EE53" i="7"/>
  <c r="EF53" i="7" s="1"/>
  <c r="EF19" i="7"/>
  <c r="AQ19" i="7"/>
  <c r="AO57" i="7"/>
  <c r="AN22" i="8"/>
  <c r="AO30" i="8"/>
  <c r="ED30" i="8" s="1"/>
  <c r="EE30" i="8" s="1"/>
  <c r="C12" i="2" s="1"/>
  <c r="AO44" i="8"/>
  <c r="ED44" i="8" s="1"/>
  <c r="EE44" i="8" s="1"/>
  <c r="C25" i="2" s="1"/>
  <c r="AO27" i="8"/>
  <c r="ED27" i="8" s="1"/>
  <c r="EE27" i="8" s="1"/>
  <c r="C9" i="2" s="1"/>
  <c r="AE35" i="8"/>
  <c r="AE39" i="8" s="1"/>
  <c r="AO35" i="8"/>
  <c r="AI35" i="8"/>
  <c r="AI39" i="8" s="1"/>
  <c r="AL35" i="8"/>
  <c r="AL39" i="8" s="1"/>
  <c r="AK35" i="8"/>
  <c r="AK39" i="8" s="1"/>
  <c r="AG35" i="8"/>
  <c r="AG39" i="8" s="1"/>
  <c r="AJ35" i="8"/>
  <c r="AJ39" i="8" s="1"/>
  <c r="AH35" i="8"/>
  <c r="AH39" i="8" s="1"/>
  <c r="AM35" i="8"/>
  <c r="AD35" i="8"/>
  <c r="AN35" i="8"/>
  <c r="AF35" i="8"/>
  <c r="AF39" i="8" s="1"/>
  <c r="AQ63" i="9"/>
  <c r="AO108" i="8"/>
  <c r="EE44" i="7"/>
  <c r="AP51" i="7"/>
  <c r="AP52" i="7"/>
  <c r="AO18" i="8" s="1"/>
  <c r="ED18" i="8" s="1"/>
  <c r="AQ101" i="9"/>
  <c r="AQ85" i="9" s="1"/>
  <c r="AO137" i="8" s="1"/>
  <c r="AO28" i="8" s="1"/>
  <c r="ED28" i="8" s="1"/>
  <c r="EE28" i="8" s="1"/>
  <c r="C10" i="2" s="1"/>
  <c r="AO147" i="8"/>
  <c r="AO153" i="8" s="1"/>
  <c r="AO26" i="8"/>
  <c r="C8" i="2"/>
  <c r="AR16" i="7"/>
  <c r="AU53" i="9"/>
  <c r="AU57" i="9"/>
  <c r="AU46" i="9"/>
  <c r="AU59" i="9"/>
  <c r="AU45" i="9"/>
  <c r="AU43" i="9"/>
  <c r="AU44" i="9" s="1"/>
  <c r="AU47" i="9"/>
  <c r="AU52" i="9"/>
  <c r="AU55" i="9"/>
  <c r="AU51" i="9"/>
  <c r="AU50" i="9"/>
  <c r="AU135" i="9"/>
  <c r="AU141" i="9" s="1"/>
  <c r="AU61" i="9" s="1"/>
  <c r="AU49" i="9"/>
  <c r="AU136" i="9"/>
  <c r="AU58" i="9"/>
  <c r="AU48" i="9"/>
  <c r="AU145" i="9"/>
  <c r="AR54" i="9"/>
  <c r="AS86" i="8"/>
  <c r="AU144" i="9"/>
  <c r="AU146" i="9" s="1"/>
  <c r="AU142" i="9" s="1"/>
  <c r="AU56" i="9"/>
  <c r="AR133" i="8"/>
  <c r="AR130" i="8" s="1"/>
  <c r="AS15" i="7"/>
  <c r="AR172" i="8"/>
  <c r="AR171" i="8"/>
  <c r="AR90" i="8"/>
  <c r="AR138" i="8"/>
  <c r="AR173" i="8" l="1"/>
  <c r="AR29" i="8" s="1"/>
  <c r="AM39" i="8"/>
  <c r="AZ167" i="8"/>
  <c r="BC115" i="9"/>
  <c r="AQ53" i="7"/>
  <c r="AP19" i="8" s="1"/>
  <c r="AN23" i="8"/>
  <c r="M12" i="2"/>
  <c r="P12" i="2"/>
  <c r="M25" i="2"/>
  <c r="P25" i="2"/>
  <c r="P9" i="2"/>
  <c r="M9" i="2"/>
  <c r="AE41" i="8"/>
  <c r="AE46" i="8"/>
  <c r="AI41" i="8"/>
  <c r="AI46" i="8"/>
  <c r="AL41" i="8"/>
  <c r="AL46" i="8"/>
  <c r="AK41" i="8"/>
  <c r="AK46" i="8"/>
  <c r="AG41" i="8"/>
  <c r="AG46" i="8"/>
  <c r="AJ41" i="8"/>
  <c r="AJ46" i="8"/>
  <c r="AH41" i="8"/>
  <c r="AH46" i="8"/>
  <c r="AD39" i="8"/>
  <c r="ED35" i="8"/>
  <c r="EE35" i="8" s="1"/>
  <c r="C17" i="2" s="1"/>
  <c r="AF41" i="8"/>
  <c r="AF46" i="8"/>
  <c r="AO109" i="8"/>
  <c r="AO34" i="8" s="1"/>
  <c r="ED34" i="8" s="1"/>
  <c r="EE34" i="8" s="1"/>
  <c r="C16" i="2" s="1"/>
  <c r="AF114" i="9"/>
  <c r="EF44" i="7"/>
  <c r="EE52" i="7"/>
  <c r="EF52" i="7" s="1"/>
  <c r="EE51" i="7"/>
  <c r="AP56" i="7"/>
  <c r="EE18" i="8"/>
  <c r="M10" i="2"/>
  <c r="P10" i="2"/>
  <c r="ED26" i="8"/>
  <c r="AO32" i="8"/>
  <c r="P8" i="2"/>
  <c r="M8" i="2"/>
  <c r="AR17" i="7"/>
  <c r="AS12" i="7"/>
  <c r="AS99" i="8"/>
  <c r="AU94" i="9"/>
  <c r="AS146" i="8" s="1"/>
  <c r="AT37" i="7"/>
  <c r="AT38" i="7" s="1"/>
  <c r="AT40" i="7" s="1"/>
  <c r="AS103" i="8"/>
  <c r="AU98" i="9"/>
  <c r="AS150" i="8" s="1"/>
  <c r="AS92" i="8"/>
  <c r="AT29" i="7"/>
  <c r="AT30" i="7" s="1"/>
  <c r="AT32" i="7" s="1"/>
  <c r="AU87" i="9"/>
  <c r="AS139" i="8" s="1"/>
  <c r="AU100" i="9"/>
  <c r="AS152" i="8" s="1"/>
  <c r="AS105" i="8"/>
  <c r="AU86" i="9"/>
  <c r="AS91" i="8"/>
  <c r="AT25" i="7"/>
  <c r="AT26" i="7" s="1"/>
  <c r="AT28" i="7" s="1"/>
  <c r="AV40" i="9"/>
  <c r="AS89" i="8"/>
  <c r="AU88" i="9"/>
  <c r="AS140" i="8" s="1"/>
  <c r="AS93" i="8"/>
  <c r="AT33" i="7"/>
  <c r="AT34" i="7" s="1"/>
  <c r="AT36" i="7" s="1"/>
  <c r="AU93" i="9"/>
  <c r="AS145" i="8" s="1"/>
  <c r="AS98" i="8"/>
  <c r="AS101" i="8"/>
  <c r="AU96" i="9"/>
  <c r="AS148" i="8" s="1"/>
  <c r="AT45" i="7"/>
  <c r="AT46" i="7" s="1"/>
  <c r="AT48" i="7" s="1"/>
  <c r="AU92" i="9"/>
  <c r="AS144" i="8" s="1"/>
  <c r="AS97" i="8"/>
  <c r="AS96" i="8"/>
  <c r="AU91" i="9"/>
  <c r="AS143" i="8" s="1"/>
  <c r="AS107" i="8"/>
  <c r="AS95" i="8"/>
  <c r="AU90" i="9"/>
  <c r="AS142" i="8" s="1"/>
  <c r="AU99" i="9"/>
  <c r="AS151" i="8" s="1"/>
  <c r="AS104" i="8"/>
  <c r="AS90" i="8"/>
  <c r="AS94" i="8"/>
  <c r="AU89" i="9"/>
  <c r="AS141" i="8" s="1"/>
  <c r="AR60" i="9"/>
  <c r="AP106" i="8" s="1"/>
  <c r="AR64" i="9"/>
  <c r="AP110" i="8" s="1"/>
  <c r="AR62" i="9"/>
  <c r="AR95" i="9"/>
  <c r="AP100" i="8"/>
  <c r="AP134" i="8" s="1"/>
  <c r="AP26" i="8" s="1"/>
  <c r="AQ41" i="7"/>
  <c r="AQ42" i="7" s="1"/>
  <c r="AQ44" i="7" s="1"/>
  <c r="AS129" i="8"/>
  <c r="AT9" i="7"/>
  <c r="AT10" i="7" s="1"/>
  <c r="AS33" i="8"/>
  <c r="AS102" i="8"/>
  <c r="AU97" i="9"/>
  <c r="AS149" i="8" s="1"/>
  <c r="AS20" i="7"/>
  <c r="AM46" i="8" l="1"/>
  <c r="AM41" i="8"/>
  <c r="BD115" i="9"/>
  <c r="BA167" i="8"/>
  <c r="AN182" i="8"/>
  <c r="AN25" i="8"/>
  <c r="AE42" i="8"/>
  <c r="AE48" i="8"/>
  <c r="AI42" i="8"/>
  <c r="AI48" i="8"/>
  <c r="AL48" i="8"/>
  <c r="AL42" i="8"/>
  <c r="AK48" i="8"/>
  <c r="AK42" i="8"/>
  <c r="AG48" i="8"/>
  <c r="AG42" i="8"/>
  <c r="AJ42" i="8"/>
  <c r="AJ48" i="8"/>
  <c r="AH42" i="8"/>
  <c r="AH48" i="8"/>
  <c r="AD41" i="8"/>
  <c r="AD46" i="8"/>
  <c r="P17" i="2"/>
  <c r="M17" i="2"/>
  <c r="AF42" i="8"/>
  <c r="AF48" i="8"/>
  <c r="M16" i="2"/>
  <c r="P16" i="2"/>
  <c r="AD166" i="8"/>
  <c r="AD58" i="8" s="1"/>
  <c r="AG114" i="9"/>
  <c r="EE56" i="7"/>
  <c r="EF51" i="7"/>
  <c r="AP57" i="7"/>
  <c r="AO22" i="8"/>
  <c r="EE26" i="8"/>
  <c r="ED32" i="8"/>
  <c r="AR19" i="7"/>
  <c r="AS138" i="8"/>
  <c r="AV45" i="9"/>
  <c r="AV50" i="9"/>
  <c r="AV144" i="9"/>
  <c r="AV51" i="9"/>
  <c r="AV53" i="9"/>
  <c r="AV59" i="9"/>
  <c r="AV46" i="9"/>
  <c r="AV43" i="9"/>
  <c r="AV136" i="9"/>
  <c r="AV47" i="9"/>
  <c r="AT86" i="8"/>
  <c r="AV52" i="9"/>
  <c r="AV56" i="9"/>
  <c r="AV55" i="9"/>
  <c r="AV48" i="9"/>
  <c r="AV135" i="9"/>
  <c r="AV141" i="9" s="1"/>
  <c r="AV61" i="9" s="1"/>
  <c r="AV145" i="9"/>
  <c r="AV49" i="9"/>
  <c r="AV58" i="9"/>
  <c r="AV57" i="9"/>
  <c r="AS54" i="9"/>
  <c r="AS172" i="8"/>
  <c r="AS171" i="8"/>
  <c r="AS133" i="8"/>
  <c r="AS130" i="8" s="1"/>
  <c r="AT15" i="7"/>
  <c r="AP44" i="8"/>
  <c r="AP30" i="8"/>
  <c r="AP27" i="8"/>
  <c r="AR63" i="9"/>
  <c r="AP108" i="8"/>
  <c r="AR101" i="9"/>
  <c r="AR85" i="9" s="1"/>
  <c r="AP137" i="8" s="1"/>
  <c r="AP28" i="8" s="1"/>
  <c r="AP147" i="8"/>
  <c r="AP153" i="8" s="1"/>
  <c r="AQ52" i="7"/>
  <c r="AQ51" i="7"/>
  <c r="AS16" i="7"/>
  <c r="AS173" i="8" l="1"/>
  <c r="AS29" i="8" s="1"/>
  <c r="AM48" i="8"/>
  <c r="AM42" i="8"/>
  <c r="AP32" i="8"/>
  <c r="BB167" i="8"/>
  <c r="BE115" i="9"/>
  <c r="AN52" i="8"/>
  <c r="AN53" i="8"/>
  <c r="AN37" i="8"/>
  <c r="AN36" i="8"/>
  <c r="AE49" i="8"/>
  <c r="AE55" i="8"/>
  <c r="AI55" i="8"/>
  <c r="AI49" i="8"/>
  <c r="AL55" i="8"/>
  <c r="AL49" i="8"/>
  <c r="AK49" i="8"/>
  <c r="AK55" i="8"/>
  <c r="AG49" i="8"/>
  <c r="AG55" i="8"/>
  <c r="AJ49" i="8"/>
  <c r="AJ55" i="8"/>
  <c r="AH49" i="8"/>
  <c r="AH55" i="8"/>
  <c r="AD48" i="8"/>
  <c r="AD42" i="8"/>
  <c r="AF49" i="8"/>
  <c r="AF55" i="8"/>
  <c r="AE166" i="8"/>
  <c r="AE58" i="8" s="1"/>
  <c r="AH114" i="9"/>
  <c r="EF56" i="7"/>
  <c r="EF57" i="7" s="1"/>
  <c r="EE57" i="7"/>
  <c r="ED22" i="8"/>
  <c r="AO23" i="8"/>
  <c r="EE32" i="8"/>
  <c r="C5" i="2"/>
  <c r="AR53" i="7"/>
  <c r="AQ19" i="8" s="1"/>
  <c r="AU25" i="7"/>
  <c r="AU26" i="7" s="1"/>
  <c r="AU28" i="7" s="1"/>
  <c r="AT91" i="8"/>
  <c r="AV86" i="9"/>
  <c r="AT96" i="8"/>
  <c r="AV91" i="9"/>
  <c r="AT143" i="8" s="1"/>
  <c r="AT97" i="8"/>
  <c r="AV92" i="9"/>
  <c r="AT144" i="8" s="1"/>
  <c r="AU37" i="7"/>
  <c r="AU38" i="7" s="1"/>
  <c r="AU40" i="7" s="1"/>
  <c r="AT99" i="8"/>
  <c r="AV94" i="9"/>
  <c r="AT146" i="8" s="1"/>
  <c r="AT105" i="8"/>
  <c r="AV100" i="9"/>
  <c r="AT152" i="8" s="1"/>
  <c r="AU29" i="7"/>
  <c r="AU30" i="7" s="1"/>
  <c r="AU32" i="7" s="1"/>
  <c r="AV87" i="9"/>
  <c r="AT139" i="8" s="1"/>
  <c r="AT92" i="8"/>
  <c r="AW40" i="9"/>
  <c r="AT89" i="8"/>
  <c r="AV44" i="9"/>
  <c r="AU33" i="7"/>
  <c r="AU34" i="7" s="1"/>
  <c r="AU36" i="7" s="1"/>
  <c r="AT93" i="8"/>
  <c r="AV88" i="9"/>
  <c r="AT140" i="8" s="1"/>
  <c r="AT33" i="8"/>
  <c r="AU9" i="7"/>
  <c r="AU10" i="7" s="1"/>
  <c r="AT129" i="8"/>
  <c r="AT98" i="8"/>
  <c r="AV93" i="9"/>
  <c r="AT145" i="8" s="1"/>
  <c r="AV97" i="9"/>
  <c r="AT149" i="8" s="1"/>
  <c r="AT102" i="8"/>
  <c r="AV96" i="9"/>
  <c r="AT148" i="8" s="1"/>
  <c r="AU45" i="7"/>
  <c r="AU46" i="7" s="1"/>
  <c r="AU48" i="7" s="1"/>
  <c r="AT101" i="8"/>
  <c r="AV89" i="9"/>
  <c r="AT141" i="8" s="1"/>
  <c r="AT94" i="8"/>
  <c r="AT107" i="8"/>
  <c r="AV90" i="9"/>
  <c r="AT142" i="8" s="1"/>
  <c r="AT95" i="8"/>
  <c r="AV99" i="9"/>
  <c r="AT151" i="8" s="1"/>
  <c r="AT104" i="8"/>
  <c r="AV98" i="9"/>
  <c r="AT150" i="8" s="1"/>
  <c r="AT103" i="8"/>
  <c r="AS60" i="9"/>
  <c r="AQ106" i="8" s="1"/>
  <c r="AS62" i="9"/>
  <c r="AS64" i="9"/>
  <c r="AQ110" i="8" s="1"/>
  <c r="AR41" i="7"/>
  <c r="AR42" i="7" s="1"/>
  <c r="AR44" i="7" s="1"/>
  <c r="AS95" i="9"/>
  <c r="AQ100" i="8"/>
  <c r="AQ134" i="8" s="1"/>
  <c r="AQ26" i="8" s="1"/>
  <c r="AT20" i="7"/>
  <c r="AP109" i="8"/>
  <c r="AP34" i="8" s="1"/>
  <c r="AP18" i="8"/>
  <c r="AQ56" i="7"/>
  <c r="AT12" i="7"/>
  <c r="AS17" i="7"/>
  <c r="AV146" i="9"/>
  <c r="AV142" i="9" s="1"/>
  <c r="AM55" i="8" l="1"/>
  <c r="AM56" i="8" s="1"/>
  <c r="AM49" i="8"/>
  <c r="BC167" i="8"/>
  <c r="BF115" i="9"/>
  <c r="AN39" i="8"/>
  <c r="AE63" i="8"/>
  <c r="AE64" i="8" s="1"/>
  <c r="AE56" i="8"/>
  <c r="AI56" i="8"/>
  <c r="AL56" i="8"/>
  <c r="AK56" i="8"/>
  <c r="AG56" i="8"/>
  <c r="AJ56" i="8"/>
  <c r="AH56" i="8"/>
  <c r="AD60" i="8"/>
  <c r="AD61" i="8" s="1"/>
  <c r="AD55" i="8"/>
  <c r="AD66" i="8"/>
  <c r="AD49" i="8"/>
  <c r="AF56" i="8"/>
  <c r="AI114" i="9"/>
  <c r="AF166" i="8"/>
  <c r="AF58" i="8" s="1"/>
  <c r="AF63" i="8" s="1"/>
  <c r="AF64" i="8" s="1"/>
  <c r="ED23" i="8"/>
  <c r="ED25" i="8" s="1"/>
  <c r="EE22" i="8"/>
  <c r="EE23" i="8" s="1"/>
  <c r="EE25" i="8" s="1"/>
  <c r="AO182" i="8"/>
  <c r="AO25" i="8"/>
  <c r="C14" i="2"/>
  <c r="P5" i="2"/>
  <c r="AT138" i="8"/>
  <c r="AW43" i="9"/>
  <c r="AW47" i="9"/>
  <c r="AW55" i="9"/>
  <c r="AW48" i="9"/>
  <c r="AW53" i="9"/>
  <c r="AW59" i="9"/>
  <c r="AW45" i="9"/>
  <c r="AW51" i="9"/>
  <c r="AW52" i="9"/>
  <c r="AW49" i="9"/>
  <c r="AW56" i="9"/>
  <c r="AW58" i="9"/>
  <c r="AW57" i="9"/>
  <c r="AW50" i="9"/>
  <c r="AU86" i="8"/>
  <c r="AW135" i="9"/>
  <c r="AW141" i="9" s="1"/>
  <c r="AW61" i="9" s="1"/>
  <c r="AW46" i="9"/>
  <c r="AW136" i="9"/>
  <c r="AT54" i="9"/>
  <c r="AW144" i="9"/>
  <c r="AW145" i="9"/>
  <c r="AT172" i="8"/>
  <c r="AT133" i="8"/>
  <c r="AT130" i="8" s="1"/>
  <c r="AU15" i="7"/>
  <c r="AT171" i="8"/>
  <c r="AT90" i="8"/>
  <c r="AT16" i="7"/>
  <c r="AQ27" i="8"/>
  <c r="AQ30" i="8"/>
  <c r="AQ44" i="8"/>
  <c r="AS63" i="9"/>
  <c r="AQ108" i="8"/>
  <c r="AR51" i="7"/>
  <c r="AR52" i="7"/>
  <c r="AS101" i="9"/>
  <c r="AS85" i="9" s="1"/>
  <c r="AQ137" i="8" s="1"/>
  <c r="AQ28" i="8" s="1"/>
  <c r="AQ147" i="8"/>
  <c r="AQ153" i="8" s="1"/>
  <c r="AS19" i="7"/>
  <c r="AE60" i="8"/>
  <c r="AE61" i="8" s="1"/>
  <c r="AE66" i="8"/>
  <c r="AP22" i="8"/>
  <c r="AP23" i="8" s="1"/>
  <c r="AP25" i="8" s="1"/>
  <c r="AQ57" i="7"/>
  <c r="AQ32" i="8" l="1"/>
  <c r="AT173" i="8"/>
  <c r="AT29" i="8" s="1"/>
  <c r="BG115" i="9"/>
  <c r="BD167" i="8"/>
  <c r="AN41" i="8"/>
  <c r="AN46" i="8"/>
  <c r="AD63" i="8"/>
  <c r="AD56" i="8"/>
  <c r="AD183" i="8"/>
  <c r="AE183" i="8" s="1"/>
  <c r="AJ114" i="9"/>
  <c r="AG166" i="8"/>
  <c r="AG58" i="8" s="1"/>
  <c r="AF66" i="8"/>
  <c r="AF60" i="8"/>
  <c r="AF61" i="8" s="1"/>
  <c r="C4" i="2"/>
  <c r="V8" i="47"/>
  <c r="AP182" i="8"/>
  <c r="J8" i="8"/>
  <c r="AO37" i="8"/>
  <c r="ED37" i="8" s="1"/>
  <c r="EE37" i="8" s="1"/>
  <c r="C19" i="2" s="1"/>
  <c r="AO53" i="8"/>
  <c r="ED53" i="8" s="1"/>
  <c r="EE53" i="8" s="1"/>
  <c r="C36" i="2" s="1"/>
  <c r="AO36" i="8"/>
  <c r="AO52" i="8"/>
  <c r="ED52" i="8" s="1"/>
  <c r="EE52" i="8" s="1"/>
  <c r="C32" i="2" s="1"/>
  <c r="P14" i="2"/>
  <c r="AX40" i="9"/>
  <c r="AU89" i="8"/>
  <c r="AW44" i="9"/>
  <c r="AW88" i="9"/>
  <c r="AU140" i="8" s="1"/>
  <c r="AV33" i="7"/>
  <c r="AV34" i="7" s="1"/>
  <c r="AV36" i="7" s="1"/>
  <c r="AU93" i="8"/>
  <c r="AW96" i="9"/>
  <c r="AU148" i="8" s="1"/>
  <c r="AU101" i="8"/>
  <c r="AV45" i="7"/>
  <c r="AV46" i="7" s="1"/>
  <c r="AV48" i="7" s="1"/>
  <c r="AU94" i="8"/>
  <c r="AW89" i="9"/>
  <c r="AU141" i="8" s="1"/>
  <c r="AV37" i="7"/>
  <c r="AV38" i="7" s="1"/>
  <c r="AV40" i="7" s="1"/>
  <c r="AW94" i="9"/>
  <c r="AU146" i="8" s="1"/>
  <c r="AU99" i="8"/>
  <c r="AU105" i="8"/>
  <c r="AW100" i="9"/>
  <c r="AU152" i="8" s="1"/>
  <c r="AU91" i="8"/>
  <c r="AV25" i="7"/>
  <c r="AV26" i="7" s="1"/>
  <c r="AV28" i="7" s="1"/>
  <c r="AW86" i="9"/>
  <c r="AW92" i="9"/>
  <c r="AU144" i="8" s="1"/>
  <c r="AU97" i="8"/>
  <c r="AW93" i="9"/>
  <c r="AU145" i="8" s="1"/>
  <c r="AU98" i="8"/>
  <c r="AU95" i="8"/>
  <c r="AW90" i="9"/>
  <c r="AU142" i="8" s="1"/>
  <c r="AW97" i="9"/>
  <c r="AU149" i="8" s="1"/>
  <c r="AU102" i="8"/>
  <c r="AW99" i="9"/>
  <c r="AU151" i="8" s="1"/>
  <c r="AU104" i="8"/>
  <c r="AW98" i="9"/>
  <c r="AU150" i="8" s="1"/>
  <c r="AU103" i="8"/>
  <c r="AW91" i="9"/>
  <c r="AU143" i="8" s="1"/>
  <c r="AU96" i="8"/>
  <c r="AV9" i="7"/>
  <c r="AV10" i="7" s="1"/>
  <c r="AU33" i="8"/>
  <c r="AU129" i="8"/>
  <c r="AU107" i="8"/>
  <c r="AU92" i="8"/>
  <c r="AW87" i="9"/>
  <c r="AU139" i="8" s="1"/>
  <c r="AV29" i="7"/>
  <c r="AV30" i="7" s="1"/>
  <c r="AV32" i="7" s="1"/>
  <c r="AT60" i="9"/>
  <c r="AR106" i="8" s="1"/>
  <c r="AT64" i="9"/>
  <c r="AR110" i="8" s="1"/>
  <c r="AT62" i="9"/>
  <c r="AS41" i="7"/>
  <c r="AS42" i="7" s="1"/>
  <c r="AS44" i="7" s="1"/>
  <c r="AT95" i="9"/>
  <c r="AR100" i="8"/>
  <c r="AR134" i="8" s="1"/>
  <c r="AR26" i="8" s="1"/>
  <c r="AU20" i="7"/>
  <c r="AU12" i="7"/>
  <c r="AT17" i="7"/>
  <c r="AQ109" i="8"/>
  <c r="AQ34" i="8" s="1"/>
  <c r="AR56" i="7"/>
  <c r="AQ18" i="8"/>
  <c r="AP52" i="8"/>
  <c r="AP36" i="8"/>
  <c r="AP53" i="8"/>
  <c r="AP37" i="8"/>
  <c r="AS53" i="7"/>
  <c r="AR19" i="8" s="1"/>
  <c r="AW146" i="9"/>
  <c r="AW142" i="9" s="1"/>
  <c r="AQ22" i="8" l="1"/>
  <c r="AQ23" i="8" s="1"/>
  <c r="AR57" i="7"/>
  <c r="AF183" i="8"/>
  <c r="BH115" i="9"/>
  <c r="BE167" i="8"/>
  <c r="AN42" i="8"/>
  <c r="AN48" i="8"/>
  <c r="AD64" i="8"/>
  <c r="AK114" i="9"/>
  <c r="AH166" i="8"/>
  <c r="AH58" i="8" s="1"/>
  <c r="AG63" i="8"/>
  <c r="AG60" i="8"/>
  <c r="AG61" i="8" s="1"/>
  <c r="AG66" i="8"/>
  <c r="D5" i="2"/>
  <c r="D16" i="2"/>
  <c r="D17" i="2"/>
  <c r="D8" i="2"/>
  <c r="D10" i="2"/>
  <c r="D9" i="2"/>
  <c r="D25" i="2"/>
  <c r="D12" i="2"/>
  <c r="D11" i="2"/>
  <c r="D7" i="2"/>
  <c r="D6" i="2"/>
  <c r="D15" i="2"/>
  <c r="P4" i="2"/>
  <c r="M4" i="2"/>
  <c r="D31" i="2"/>
  <c r="D14" i="2"/>
  <c r="X3" i="47"/>
  <c r="K8" i="8"/>
  <c r="Y3" i="47" s="1"/>
  <c r="M19" i="2"/>
  <c r="D19" i="2"/>
  <c r="P19" i="2"/>
  <c r="ED36" i="8"/>
  <c r="AO39" i="8"/>
  <c r="D32" i="2"/>
  <c r="M32" i="2"/>
  <c r="P32" i="2"/>
  <c r="AX145" i="9"/>
  <c r="AX58" i="9"/>
  <c r="AX47" i="9"/>
  <c r="AX135" i="9"/>
  <c r="AX141" i="9" s="1"/>
  <c r="AX61" i="9" s="1"/>
  <c r="AX52" i="9"/>
  <c r="AX56" i="9"/>
  <c r="AX49" i="9"/>
  <c r="AX45" i="9"/>
  <c r="AV86" i="8"/>
  <c r="AU54" i="9"/>
  <c r="AX53" i="9"/>
  <c r="AX57" i="9"/>
  <c r="AX59" i="9"/>
  <c r="AX46" i="9"/>
  <c r="AX55" i="9"/>
  <c r="AX136" i="9"/>
  <c r="AX51" i="9"/>
  <c r="AX43" i="9"/>
  <c r="AX144" i="9"/>
  <c r="AX48" i="9"/>
  <c r="AX50" i="9"/>
  <c r="AU133" i="8"/>
  <c r="AU130" i="8" s="1"/>
  <c r="AU172" i="8"/>
  <c r="AU171" i="8"/>
  <c r="AV15" i="7"/>
  <c r="AU90" i="8"/>
  <c r="AU138" i="8"/>
  <c r="AU16" i="7"/>
  <c r="AR27" i="8"/>
  <c r="AR30" i="8"/>
  <c r="AR44" i="8"/>
  <c r="AT63" i="9"/>
  <c r="AR108" i="8"/>
  <c r="AS52" i="7"/>
  <c r="AS51" i="7"/>
  <c r="AT101" i="9"/>
  <c r="AT85" i="9" s="1"/>
  <c r="AR137" i="8" s="1"/>
  <c r="AR28" i="8" s="1"/>
  <c r="AR147" i="8"/>
  <c r="AR153" i="8" s="1"/>
  <c r="AT19" i="7"/>
  <c r="D36" i="2"/>
  <c r="AU173" i="8" l="1"/>
  <c r="AU29" i="8" s="1"/>
  <c r="AX146" i="9"/>
  <c r="AX142" i="9" s="1"/>
  <c r="AR32" i="8"/>
  <c r="BF167" i="8"/>
  <c r="BI115" i="9"/>
  <c r="AN55" i="8"/>
  <c r="AN49" i="8"/>
  <c r="AL114" i="9"/>
  <c r="AI166" i="8"/>
  <c r="AI58" i="8" s="1"/>
  <c r="AH63" i="8"/>
  <c r="AH66" i="8"/>
  <c r="AH60" i="8"/>
  <c r="AH61" i="8" s="1"/>
  <c r="AG183" i="8"/>
  <c r="EE36" i="8"/>
  <c r="ED39" i="8"/>
  <c r="AO41" i="8"/>
  <c r="AO46" i="8"/>
  <c r="AV104" i="8"/>
  <c r="AX99" i="9"/>
  <c r="AV151" i="8" s="1"/>
  <c r="AW33" i="7"/>
  <c r="AW34" i="7" s="1"/>
  <c r="AW36" i="7" s="1"/>
  <c r="AV93" i="8"/>
  <c r="AX88" i="9"/>
  <c r="AV140" i="8" s="1"/>
  <c r="AV107" i="8"/>
  <c r="AV98" i="8"/>
  <c r="AX93" i="9"/>
  <c r="AV145" i="8" s="1"/>
  <c r="AX97" i="9"/>
  <c r="AV149" i="8" s="1"/>
  <c r="AV102" i="8"/>
  <c r="AV95" i="8"/>
  <c r="AX90" i="9"/>
  <c r="AV142" i="8" s="1"/>
  <c r="AV91" i="8"/>
  <c r="AW25" i="7"/>
  <c r="AW26" i="7" s="1"/>
  <c r="AW28" i="7" s="1"/>
  <c r="AX86" i="9"/>
  <c r="AV33" i="8"/>
  <c r="AW9" i="7"/>
  <c r="AW10" i="7" s="1"/>
  <c r="AV129" i="8"/>
  <c r="AU62" i="9"/>
  <c r="AU60" i="9"/>
  <c r="AS106" i="8" s="1"/>
  <c r="AU64" i="9"/>
  <c r="AS110" i="8" s="1"/>
  <c r="AU95" i="9"/>
  <c r="AS100" i="8"/>
  <c r="AS134" i="8" s="1"/>
  <c r="AS26" i="8" s="1"/>
  <c r="AT41" i="7"/>
  <c r="AT42" i="7" s="1"/>
  <c r="AT44" i="7" s="1"/>
  <c r="AW37" i="7"/>
  <c r="AW38" i="7" s="1"/>
  <c r="AW40" i="7" s="1"/>
  <c r="AX94" i="9"/>
  <c r="AV146" i="8" s="1"/>
  <c r="AV99" i="8"/>
  <c r="AV103" i="8"/>
  <c r="AX98" i="9"/>
  <c r="AV150" i="8" s="1"/>
  <c r="AX100" i="9"/>
  <c r="AV152" i="8" s="1"/>
  <c r="AV105" i="8"/>
  <c r="AW29" i="7"/>
  <c r="AW30" i="7" s="1"/>
  <c r="AW32" i="7" s="1"/>
  <c r="AX87" i="9"/>
  <c r="AV139" i="8" s="1"/>
  <c r="AV92" i="8"/>
  <c r="AW45" i="7"/>
  <c r="AW46" i="7" s="1"/>
  <c r="AW48" i="7" s="1"/>
  <c r="AX96" i="9"/>
  <c r="AV148" i="8" s="1"/>
  <c r="AV101" i="8"/>
  <c r="AV97" i="8"/>
  <c r="AX92" i="9"/>
  <c r="AV144" i="8" s="1"/>
  <c r="AY40" i="9"/>
  <c r="AV89" i="8"/>
  <c r="AX44" i="9"/>
  <c r="AX89" i="9"/>
  <c r="AV141" i="8" s="1"/>
  <c r="AV94" i="8"/>
  <c r="AV96" i="8"/>
  <c r="AX91" i="9"/>
  <c r="AV143" i="8" s="1"/>
  <c r="AV20" i="7"/>
  <c r="AV12" i="7"/>
  <c r="AU17" i="7"/>
  <c r="AR109" i="8"/>
  <c r="AR34" i="8" s="1"/>
  <c r="AR18" i="8"/>
  <c r="AS56" i="7"/>
  <c r="AT53" i="7"/>
  <c r="AS19" i="8" s="1"/>
  <c r="AQ182" i="8"/>
  <c r="AQ25" i="8"/>
  <c r="AG64" i="8"/>
  <c r="AH183" i="8" l="1"/>
  <c r="BJ115" i="9"/>
  <c r="BG167" i="8"/>
  <c r="AN56" i="8"/>
  <c r="AM114" i="9"/>
  <c r="AJ166" i="8"/>
  <c r="AJ58" i="8" s="1"/>
  <c r="AI63" i="8"/>
  <c r="AI64" i="8" s="1"/>
  <c r="AI66" i="8"/>
  <c r="AI60" i="8"/>
  <c r="AI61" i="8" s="1"/>
  <c r="EE39" i="8"/>
  <c r="C18" i="2"/>
  <c r="ED41" i="8"/>
  <c r="ED46" i="8"/>
  <c r="AO48" i="8"/>
  <c r="AO42" i="8"/>
  <c r="AV138" i="8"/>
  <c r="AV16" i="7"/>
  <c r="AU63" i="9"/>
  <c r="AS108" i="8"/>
  <c r="AS27" i="8"/>
  <c r="AS44" i="8"/>
  <c r="AS30" i="8"/>
  <c r="AU101" i="9"/>
  <c r="AU85" i="9" s="1"/>
  <c r="AS137" i="8" s="1"/>
  <c r="AS28" i="8" s="1"/>
  <c r="AS147" i="8"/>
  <c r="AS153" i="8" s="1"/>
  <c r="AT51" i="7"/>
  <c r="AT52" i="7"/>
  <c r="AS18" i="8" s="1"/>
  <c r="AY43" i="9"/>
  <c r="AY47" i="9"/>
  <c r="AY53" i="9"/>
  <c r="AY49" i="9"/>
  <c r="AY57" i="9"/>
  <c r="AY52" i="9"/>
  <c r="AW86" i="8"/>
  <c r="AY144" i="9"/>
  <c r="AY136" i="9"/>
  <c r="AY50" i="9"/>
  <c r="AY58" i="9"/>
  <c r="AY46" i="9"/>
  <c r="AY48" i="9"/>
  <c r="AY55" i="9"/>
  <c r="AY135" i="9"/>
  <c r="AY141" i="9" s="1"/>
  <c r="AY61" i="9" s="1"/>
  <c r="AY45" i="9"/>
  <c r="AY56" i="9"/>
  <c r="AY51" i="9"/>
  <c r="AY59" i="9"/>
  <c r="AY145" i="9"/>
  <c r="AV54" i="9"/>
  <c r="AW15" i="7"/>
  <c r="AV172" i="8"/>
  <c r="AV171" i="8"/>
  <c r="AV133" i="8"/>
  <c r="AV130" i="8" s="1"/>
  <c r="AV90" i="8"/>
  <c r="AU19" i="7"/>
  <c r="AQ37" i="8"/>
  <c r="AQ53" i="8"/>
  <c r="AQ36" i="8"/>
  <c r="AQ52" i="8"/>
  <c r="AH64" i="8"/>
  <c r="AR22" i="8"/>
  <c r="AR23" i="8" s="1"/>
  <c r="AS57" i="7"/>
  <c r="AV173" i="8" l="1"/>
  <c r="AV29" i="8" s="1"/>
  <c r="AS32" i="8"/>
  <c r="BH167" i="8"/>
  <c r="BK115" i="9"/>
  <c r="AK166" i="8"/>
  <c r="AK58" i="8" s="1"/>
  <c r="AN114" i="9"/>
  <c r="AJ63" i="8"/>
  <c r="AJ66" i="8"/>
  <c r="AJ60" i="8"/>
  <c r="AJ61" i="8" s="1"/>
  <c r="AI183" i="8"/>
  <c r="EE41" i="8"/>
  <c r="EE46" i="8"/>
  <c r="C21" i="2"/>
  <c r="D18" i="2"/>
  <c r="M18" i="2"/>
  <c r="P18" i="2"/>
  <c r="ED42" i="8"/>
  <c r="ED48" i="8"/>
  <c r="AO55" i="8"/>
  <c r="AO49" i="8"/>
  <c r="AV17" i="7"/>
  <c r="AW12" i="7"/>
  <c r="AS109" i="8"/>
  <c r="AS34" i="8" s="1"/>
  <c r="AT56" i="7"/>
  <c r="AW89" i="8"/>
  <c r="AZ40" i="9"/>
  <c r="AY44" i="9"/>
  <c r="AW93" i="8"/>
  <c r="AX33" i="7"/>
  <c r="AX34" i="7" s="1"/>
  <c r="AX36" i="7" s="1"/>
  <c r="AY88" i="9"/>
  <c r="AW140" i="8" s="1"/>
  <c r="AY94" i="9"/>
  <c r="AW146" i="8" s="1"/>
  <c r="AW99" i="8"/>
  <c r="AX37" i="7"/>
  <c r="AX38" i="7" s="1"/>
  <c r="AX40" i="7" s="1"/>
  <c r="AW95" i="8"/>
  <c r="AY90" i="9"/>
  <c r="AW142" i="8" s="1"/>
  <c r="AY98" i="9"/>
  <c r="AW150" i="8" s="1"/>
  <c r="AW103" i="8"/>
  <c r="AY93" i="9"/>
  <c r="AW145" i="8" s="1"/>
  <c r="AW98" i="8"/>
  <c r="AW129" i="8"/>
  <c r="AX9" i="7"/>
  <c r="AX10" i="7" s="1"/>
  <c r="AW33" i="8"/>
  <c r="AY91" i="9"/>
  <c r="AW143" i="8" s="1"/>
  <c r="AW96" i="8"/>
  <c r="AY99" i="9"/>
  <c r="AW151" i="8" s="1"/>
  <c r="AW104" i="8"/>
  <c r="AW92" i="8"/>
  <c r="AX29" i="7"/>
  <c r="AX30" i="7" s="1"/>
  <c r="AX32" i="7" s="1"/>
  <c r="AY87" i="9"/>
  <c r="AW139" i="8" s="1"/>
  <c r="AW94" i="8"/>
  <c r="AY89" i="9"/>
  <c r="AW141" i="8" s="1"/>
  <c r="AW101" i="8"/>
  <c r="AX45" i="7"/>
  <c r="AX46" i="7" s="1"/>
  <c r="AX48" i="7" s="1"/>
  <c r="AY96" i="9"/>
  <c r="AW148" i="8" s="1"/>
  <c r="AW107" i="8"/>
  <c r="AX25" i="7"/>
  <c r="AX26" i="7" s="1"/>
  <c r="AX28" i="7" s="1"/>
  <c r="AY86" i="9"/>
  <c r="AW91" i="8"/>
  <c r="AY97" i="9"/>
  <c r="AW149" i="8" s="1"/>
  <c r="AW102" i="8"/>
  <c r="AW97" i="8"/>
  <c r="AY92" i="9"/>
  <c r="AW144" i="8" s="1"/>
  <c r="AW105" i="8"/>
  <c r="AY100" i="9"/>
  <c r="AW152" i="8" s="1"/>
  <c r="AV60" i="9"/>
  <c r="AT106" i="8" s="1"/>
  <c r="AV62" i="9"/>
  <c r="AV64" i="9"/>
  <c r="AT110" i="8" s="1"/>
  <c r="AT100" i="8"/>
  <c r="AT134" i="8" s="1"/>
  <c r="AT26" i="8" s="1"/>
  <c r="AV95" i="9"/>
  <c r="AU41" i="7"/>
  <c r="AU42" i="7" s="1"/>
  <c r="AU44" i="7" s="1"/>
  <c r="AW20" i="7"/>
  <c r="AU53" i="7"/>
  <c r="AT19" i="8" s="1"/>
  <c r="AR182" i="8"/>
  <c r="AR25" i="8"/>
  <c r="AY146" i="9"/>
  <c r="AY142" i="9" s="1"/>
  <c r="AJ183" i="8" l="1"/>
  <c r="BL115" i="9"/>
  <c r="BI167" i="8"/>
  <c r="AK63" i="8"/>
  <c r="AK64" i="8" s="1"/>
  <c r="AK60" i="8"/>
  <c r="AK61" i="8" s="1"/>
  <c r="AK66" i="8"/>
  <c r="AL166" i="8"/>
  <c r="AL58" i="8" s="1"/>
  <c r="AO114" i="9"/>
  <c r="AJ64" i="8"/>
  <c r="EE48" i="8"/>
  <c r="EE42" i="8"/>
  <c r="C23" i="2"/>
  <c r="D21" i="2"/>
  <c r="P21" i="2"/>
  <c r="C27" i="2"/>
  <c r="ED55" i="8"/>
  <c r="ED49" i="8"/>
  <c r="AO56" i="8"/>
  <c r="AV19" i="7"/>
  <c r="AT57" i="7"/>
  <c r="AS22" i="8"/>
  <c r="AW172" i="8"/>
  <c r="AW133" i="8"/>
  <c r="AW130" i="8" s="1"/>
  <c r="AW171" i="8"/>
  <c r="AX15" i="7"/>
  <c r="AZ53" i="9"/>
  <c r="AZ59" i="9"/>
  <c r="AZ45" i="9"/>
  <c r="AZ52" i="9"/>
  <c r="AZ51" i="9"/>
  <c r="AZ47" i="9"/>
  <c r="AZ55" i="9"/>
  <c r="AZ144" i="9"/>
  <c r="AZ49" i="9"/>
  <c r="AW54" i="9"/>
  <c r="AZ135" i="9"/>
  <c r="AZ141" i="9" s="1"/>
  <c r="AZ61" i="9" s="1"/>
  <c r="AZ50" i="9"/>
  <c r="AZ48" i="9"/>
  <c r="AZ46" i="9"/>
  <c r="AX86" i="8"/>
  <c r="AZ57" i="9"/>
  <c r="AZ145" i="9"/>
  <c r="AZ58" i="9"/>
  <c r="AZ136" i="9"/>
  <c r="AZ56" i="9"/>
  <c r="AZ43" i="9"/>
  <c r="AW90" i="8"/>
  <c r="AW16" i="7"/>
  <c r="AW138" i="8"/>
  <c r="AT30" i="8"/>
  <c r="AT27" i="8"/>
  <c r="AT44" i="8"/>
  <c r="AV63" i="9"/>
  <c r="AT109" i="8" s="1"/>
  <c r="AT34" i="8" s="1"/>
  <c r="AT108" i="8"/>
  <c r="AV101" i="9"/>
  <c r="AV85" i="9" s="1"/>
  <c r="AT137" i="8" s="1"/>
  <c r="AT28" i="8" s="1"/>
  <c r="AT147" i="8"/>
  <c r="AT153" i="8" s="1"/>
  <c r="AU52" i="7"/>
  <c r="AU51" i="7"/>
  <c r="AR36" i="8"/>
  <c r="AR37" i="8"/>
  <c r="AR53" i="8"/>
  <c r="AR52" i="8"/>
  <c r="AT32" i="8" l="1"/>
  <c r="AW173" i="8"/>
  <c r="AW29" i="8" s="1"/>
  <c r="BM115" i="9"/>
  <c r="BJ167" i="8"/>
  <c r="AK183" i="8"/>
  <c r="AL63" i="8"/>
  <c r="AL64" i="8" s="1"/>
  <c r="AL66" i="8"/>
  <c r="AL60" i="8"/>
  <c r="AL61" i="8" s="1"/>
  <c r="AP114" i="9"/>
  <c r="AM166" i="8"/>
  <c r="AM58" i="8" s="1"/>
  <c r="EE49" i="8"/>
  <c r="EE55" i="8"/>
  <c r="D23" i="2"/>
  <c r="P23" i="2"/>
  <c r="C29" i="2"/>
  <c r="D27" i="2"/>
  <c r="P27" i="2"/>
  <c r="ED56" i="8"/>
  <c r="AV53" i="7"/>
  <c r="AU19" i="8" s="1"/>
  <c r="AS23" i="8"/>
  <c r="AX20" i="7"/>
  <c r="AZ94" i="9"/>
  <c r="AX146" i="8" s="1"/>
  <c r="AX99" i="8"/>
  <c r="AY37" i="7"/>
  <c r="AY38" i="7" s="1"/>
  <c r="AY40" i="7" s="1"/>
  <c r="AZ100" i="9"/>
  <c r="AX152" i="8" s="1"/>
  <c r="AX105" i="8"/>
  <c r="AY25" i="7"/>
  <c r="AY26" i="7" s="1"/>
  <c r="AY28" i="7" s="1"/>
  <c r="AX91" i="8"/>
  <c r="AZ86" i="9"/>
  <c r="AZ93" i="9"/>
  <c r="AX145" i="8" s="1"/>
  <c r="AX98" i="8"/>
  <c r="AZ92" i="9"/>
  <c r="AX144" i="8" s="1"/>
  <c r="AX97" i="8"/>
  <c r="AY33" i="7"/>
  <c r="AY34" i="7" s="1"/>
  <c r="AY36" i="7" s="1"/>
  <c r="AZ88" i="9"/>
  <c r="AX140" i="8" s="1"/>
  <c r="AX93" i="8"/>
  <c r="AZ96" i="9"/>
  <c r="AX148" i="8" s="1"/>
  <c r="AX101" i="8"/>
  <c r="AY45" i="7"/>
  <c r="AY46" i="7" s="1"/>
  <c r="AY48" i="7" s="1"/>
  <c r="AX95" i="8"/>
  <c r="AZ90" i="9"/>
  <c r="AX142" i="8" s="1"/>
  <c r="AW60" i="9"/>
  <c r="AU106" i="8" s="1"/>
  <c r="AW64" i="9"/>
  <c r="AU110" i="8" s="1"/>
  <c r="AW62" i="9"/>
  <c r="AU100" i="8"/>
  <c r="AU134" i="8" s="1"/>
  <c r="AU26" i="8" s="1"/>
  <c r="AV41" i="7"/>
  <c r="AV42" i="7" s="1"/>
  <c r="AV44" i="7" s="1"/>
  <c r="AW95" i="9"/>
  <c r="AX107" i="8"/>
  <c r="AX96" i="8"/>
  <c r="AZ91" i="9"/>
  <c r="AX143" i="8" s="1"/>
  <c r="AZ89" i="9"/>
  <c r="AX141" i="8" s="1"/>
  <c r="AX94" i="8"/>
  <c r="AZ87" i="9"/>
  <c r="AX139" i="8" s="1"/>
  <c r="AY29" i="7"/>
  <c r="AY30" i="7" s="1"/>
  <c r="AY32" i="7" s="1"/>
  <c r="AX92" i="8"/>
  <c r="AX33" i="8"/>
  <c r="AX129" i="8"/>
  <c r="AY9" i="7"/>
  <c r="AY10" i="7" s="1"/>
  <c r="AX103" i="8"/>
  <c r="AZ98" i="9"/>
  <c r="AX150" i="8" s="1"/>
  <c r="AZ99" i="9"/>
  <c r="AX151" i="8" s="1"/>
  <c r="AX104" i="8"/>
  <c r="AX102" i="8"/>
  <c r="AZ97" i="9"/>
  <c r="AX149" i="8" s="1"/>
  <c r="AX89" i="8"/>
  <c r="BA40" i="9"/>
  <c r="AZ44" i="9"/>
  <c r="AW17" i="7"/>
  <c r="AX12" i="7"/>
  <c r="AT18" i="8"/>
  <c r="AU56" i="7"/>
  <c r="AZ146" i="9"/>
  <c r="AZ142" i="9" s="1"/>
  <c r="BK167" i="8" l="1"/>
  <c r="BN115" i="9"/>
  <c r="AQ114" i="9"/>
  <c r="AO166" i="8" s="1"/>
  <c r="AO58" i="8" s="1"/>
  <c r="AN166" i="8"/>
  <c r="AN58" i="8" s="1"/>
  <c r="AM63" i="8"/>
  <c r="AM64" i="8" s="1"/>
  <c r="AM66" i="8"/>
  <c r="AM60" i="8"/>
  <c r="AM61" i="8" s="1"/>
  <c r="EE56" i="8"/>
  <c r="D29" i="2"/>
  <c r="P29" i="2"/>
  <c r="AS182" i="8"/>
  <c r="AS25" i="8"/>
  <c r="AX138" i="8"/>
  <c r="AU27" i="8"/>
  <c r="AU44" i="8"/>
  <c r="AU30" i="8"/>
  <c r="AW63" i="9"/>
  <c r="AU109" i="8" s="1"/>
  <c r="AU34" i="8" s="1"/>
  <c r="AU108" i="8"/>
  <c r="AV51" i="7"/>
  <c r="AV52" i="7"/>
  <c r="AU18" i="8" s="1"/>
  <c r="AW101" i="9"/>
  <c r="AW85" i="9" s="1"/>
  <c r="AU137" i="8" s="1"/>
  <c r="AU28" i="8" s="1"/>
  <c r="AU147" i="8"/>
  <c r="AU153" i="8" s="1"/>
  <c r="AX16" i="7"/>
  <c r="AX133" i="8"/>
  <c r="AX130" i="8" s="1"/>
  <c r="AX171" i="8"/>
  <c r="AY15" i="7"/>
  <c r="AX172" i="8"/>
  <c r="BA52" i="9"/>
  <c r="AX54" i="9"/>
  <c r="BA48" i="9"/>
  <c r="BA136" i="9"/>
  <c r="BA144" i="9"/>
  <c r="BA51" i="9"/>
  <c r="BA53" i="9"/>
  <c r="BA47" i="9"/>
  <c r="BA59" i="9"/>
  <c r="AY86" i="8"/>
  <c r="BA49" i="9"/>
  <c r="BA56" i="9"/>
  <c r="BA145" i="9"/>
  <c r="BA135" i="9"/>
  <c r="BA141" i="9" s="1"/>
  <c r="BA61" i="9" s="1"/>
  <c r="BA45" i="9"/>
  <c r="BA58" i="9"/>
  <c r="BA55" i="9"/>
  <c r="BA50" i="9"/>
  <c r="BA46" i="9"/>
  <c r="BA57" i="9"/>
  <c r="BA43" i="9"/>
  <c r="AX90" i="8"/>
  <c r="AW19" i="7"/>
  <c r="AL183" i="8"/>
  <c r="AT22" i="8"/>
  <c r="AT23" i="8" s="1"/>
  <c r="AT25" i="8" s="1"/>
  <c r="AU57" i="7"/>
  <c r="AU32" i="8" l="1"/>
  <c r="AM183" i="8"/>
  <c r="BO115" i="9"/>
  <c r="BL167" i="8"/>
  <c r="AO63" i="8"/>
  <c r="AO60" i="8"/>
  <c r="AO61" i="8" s="1"/>
  <c r="AO66" i="8"/>
  <c r="ED58" i="8"/>
  <c r="AN63" i="8"/>
  <c r="AN64" i="8" s="1"/>
  <c r="AN60" i="8"/>
  <c r="AN61" i="8" s="1"/>
  <c r="AN66" i="8"/>
  <c r="AS37" i="8"/>
  <c r="AS36" i="8"/>
  <c r="AS52" i="8"/>
  <c r="AS53" i="8"/>
  <c r="AV56" i="7"/>
  <c r="AX17" i="7"/>
  <c r="AY12" i="7"/>
  <c r="AY20" i="7"/>
  <c r="AY98" i="8"/>
  <c r="BA93" i="9"/>
  <c r="AY145" i="8" s="1"/>
  <c r="AX60" i="9"/>
  <c r="AV106" i="8" s="1"/>
  <c r="AX62" i="9"/>
  <c r="AX64" i="9"/>
  <c r="AV110" i="8" s="1"/>
  <c r="AV100" i="8"/>
  <c r="AV134" i="8" s="1"/>
  <c r="AV26" i="8" s="1"/>
  <c r="AW41" i="7"/>
  <c r="AW42" i="7" s="1"/>
  <c r="AW44" i="7" s="1"/>
  <c r="AX95" i="9"/>
  <c r="AY94" i="8"/>
  <c r="BA89" i="9"/>
  <c r="AY141" i="8" s="1"/>
  <c r="BA92" i="9"/>
  <c r="AY144" i="8" s="1"/>
  <c r="AY97" i="8"/>
  <c r="BA94" i="9"/>
  <c r="AY146" i="8" s="1"/>
  <c r="AZ37" i="7"/>
  <c r="AZ38" i="7" s="1"/>
  <c r="AZ40" i="7" s="1"/>
  <c r="AY99" i="8"/>
  <c r="BA88" i="9"/>
  <c r="AY140" i="8" s="1"/>
  <c r="AZ33" i="7"/>
  <c r="AZ34" i="7" s="1"/>
  <c r="AZ36" i="7" s="1"/>
  <c r="AY93" i="8"/>
  <c r="AY105" i="8"/>
  <c r="BA100" i="9"/>
  <c r="AY152" i="8" s="1"/>
  <c r="AZ9" i="7"/>
  <c r="AZ10" i="7" s="1"/>
  <c r="AY129" i="8"/>
  <c r="AY33" i="8"/>
  <c r="AY95" i="8"/>
  <c r="BA90" i="9"/>
  <c r="AY142" i="8" s="1"/>
  <c r="BA97" i="9"/>
  <c r="AY149" i="8" s="1"/>
  <c r="AY102" i="8"/>
  <c r="AY107" i="8"/>
  <c r="AZ25" i="7"/>
  <c r="AZ26" i="7" s="1"/>
  <c r="AZ28" i="7" s="1"/>
  <c r="BA86" i="9"/>
  <c r="AY91" i="8"/>
  <c r="BA99" i="9"/>
  <c r="AY151" i="8" s="1"/>
  <c r="AY104" i="8"/>
  <c r="AZ45" i="7"/>
  <c r="AZ46" i="7" s="1"/>
  <c r="AZ48" i="7" s="1"/>
  <c r="BA96" i="9"/>
  <c r="AY148" i="8" s="1"/>
  <c r="AY101" i="8"/>
  <c r="BA91" i="9"/>
  <c r="AY143" i="8" s="1"/>
  <c r="AY96" i="8"/>
  <c r="AY92" i="8"/>
  <c r="AZ29" i="7"/>
  <c r="AZ30" i="7" s="1"/>
  <c r="AZ32" i="7" s="1"/>
  <c r="BA87" i="9"/>
  <c r="AY139" i="8" s="1"/>
  <c r="AY103" i="8"/>
  <c r="BA98" i="9"/>
  <c r="AY150" i="8" s="1"/>
  <c r="BB40" i="9"/>
  <c r="AY89" i="8"/>
  <c r="BA44" i="9"/>
  <c r="AW53" i="7"/>
  <c r="AV19" i="8" s="1"/>
  <c r="AT37" i="8"/>
  <c r="AT52" i="8"/>
  <c r="AT53" i="8"/>
  <c r="AT36" i="8"/>
  <c r="BA146" i="9"/>
  <c r="BA142" i="9" s="1"/>
  <c r="AT182" i="8"/>
  <c r="AX173" i="8"/>
  <c r="AX29" i="8" s="1"/>
  <c r="AN183" i="8" l="1"/>
  <c r="AO183" i="8" s="1"/>
  <c r="V9" i="47" s="1"/>
  <c r="V10" i="47" s="1"/>
  <c r="L3" i="47" s="1"/>
  <c r="BP115" i="9"/>
  <c r="BM167" i="8"/>
  <c r="J11" i="8"/>
  <c r="AO64" i="8"/>
  <c r="EE58" i="8"/>
  <c r="ED60" i="8"/>
  <c r="ED61" i="8" s="1"/>
  <c r="ED66" i="8"/>
  <c r="ED63" i="8"/>
  <c r="ED64" i="8" s="1"/>
  <c r="AV57" i="7"/>
  <c r="AU22" i="8"/>
  <c r="AX19" i="7"/>
  <c r="AV27" i="8"/>
  <c r="AV30" i="8"/>
  <c r="AV44" i="8"/>
  <c r="AX63" i="9"/>
  <c r="AV109" i="8" s="1"/>
  <c r="AV34" i="8" s="1"/>
  <c r="AV108" i="8"/>
  <c r="AW51" i="7"/>
  <c r="AW52" i="7"/>
  <c r="AX101" i="9"/>
  <c r="AX85" i="9" s="1"/>
  <c r="AV137" i="8" s="1"/>
  <c r="AV28" i="8" s="1"/>
  <c r="AV147" i="8"/>
  <c r="AV153" i="8" s="1"/>
  <c r="AY16" i="7"/>
  <c r="AY138" i="8"/>
  <c r="BB43" i="9"/>
  <c r="BB48" i="9"/>
  <c r="BB49" i="9"/>
  <c r="BB55" i="9"/>
  <c r="AZ86" i="8"/>
  <c r="BB144" i="9"/>
  <c r="BB145" i="9"/>
  <c r="BB50" i="9"/>
  <c r="BB46" i="9"/>
  <c r="AY54" i="9"/>
  <c r="BB53" i="9"/>
  <c r="BB136" i="9"/>
  <c r="BB57" i="9"/>
  <c r="BB135" i="9"/>
  <c r="BB141" i="9" s="1"/>
  <c r="BB61" i="9" s="1"/>
  <c r="BB51" i="9"/>
  <c r="BB52" i="9"/>
  <c r="BB59" i="9"/>
  <c r="BB56" i="9"/>
  <c r="BB47" i="9"/>
  <c r="BB58" i="9"/>
  <c r="BB45" i="9"/>
  <c r="AZ15" i="7"/>
  <c r="AY171" i="8"/>
  <c r="AY172" i="8"/>
  <c r="AY133" i="8"/>
  <c r="AY130" i="8" s="1"/>
  <c r="AY90" i="8"/>
  <c r="J9" i="8"/>
  <c r="AV32" i="8" l="1"/>
  <c r="BB146" i="9"/>
  <c r="BB142" i="9" s="1"/>
  <c r="BN167" i="8"/>
  <c r="BQ115" i="9"/>
  <c r="K11" i="8"/>
  <c r="K12" i="8" s="1"/>
  <c r="J12" i="8"/>
  <c r="EE63" i="8"/>
  <c r="EE64" i="8" s="1"/>
  <c r="EE66" i="8"/>
  <c r="EE60" i="8"/>
  <c r="EE61" i="8" s="1"/>
  <c r="C33" i="2"/>
  <c r="AU23" i="8"/>
  <c r="AX53" i="7"/>
  <c r="AW19" i="8" s="1"/>
  <c r="AW56" i="7"/>
  <c r="AV18" i="8"/>
  <c r="AZ12" i="7"/>
  <c r="AY17" i="7"/>
  <c r="BC40" i="9"/>
  <c r="AZ89" i="8"/>
  <c r="BB44" i="9"/>
  <c r="BB89" i="9"/>
  <c r="AZ141" i="8" s="1"/>
  <c r="AZ94" i="8"/>
  <c r="AZ95" i="8"/>
  <c r="BB90" i="9"/>
  <c r="AZ142" i="8" s="1"/>
  <c r="BB96" i="9"/>
  <c r="AZ148" i="8" s="1"/>
  <c r="BA45" i="7"/>
  <c r="BA46" i="7" s="1"/>
  <c r="BA48" i="7" s="1"/>
  <c r="AZ101" i="8"/>
  <c r="AZ129" i="8"/>
  <c r="BA9" i="7"/>
  <c r="BA10" i="7" s="1"/>
  <c r="AZ33" i="8"/>
  <c r="AZ96" i="8"/>
  <c r="BB91" i="9"/>
  <c r="AZ143" i="8" s="1"/>
  <c r="AZ92" i="8"/>
  <c r="BA29" i="7"/>
  <c r="BA30" i="7" s="1"/>
  <c r="BA32" i="7" s="1"/>
  <c r="BB87" i="9"/>
  <c r="AZ139" i="8" s="1"/>
  <c r="AY60" i="9"/>
  <c r="AW106" i="8" s="1"/>
  <c r="AY62" i="9"/>
  <c r="AY64" i="9"/>
  <c r="AW110" i="8" s="1"/>
  <c r="AX41" i="7"/>
  <c r="AX42" i="7" s="1"/>
  <c r="AX44" i="7" s="1"/>
  <c r="AY95" i="9"/>
  <c r="AW100" i="8"/>
  <c r="AW134" i="8" s="1"/>
  <c r="AW26" i="8" s="1"/>
  <c r="BA37" i="7"/>
  <c r="BA38" i="7" s="1"/>
  <c r="BA40" i="7" s="1"/>
  <c r="AZ99" i="8"/>
  <c r="BB94" i="9"/>
  <c r="AZ146" i="8" s="1"/>
  <c r="AZ103" i="8"/>
  <c r="BB98" i="9"/>
  <c r="AZ150" i="8" s="1"/>
  <c r="AZ107" i="8"/>
  <c r="AZ97" i="8"/>
  <c r="BB92" i="9"/>
  <c r="AZ144" i="8" s="1"/>
  <c r="BB93" i="9"/>
  <c r="AZ145" i="8" s="1"/>
  <c r="AZ98" i="8"/>
  <c r="BB100" i="9"/>
  <c r="AZ152" i="8" s="1"/>
  <c r="AZ105" i="8"/>
  <c r="AZ102" i="8"/>
  <c r="BB97" i="9"/>
  <c r="AZ149" i="8" s="1"/>
  <c r="BA33" i="7"/>
  <c r="BA34" i="7" s="1"/>
  <c r="BA36" i="7" s="1"/>
  <c r="AZ93" i="8"/>
  <c r="BB88" i="9"/>
  <c r="AZ140" i="8" s="1"/>
  <c r="BB99" i="9"/>
  <c r="AZ151" i="8" s="1"/>
  <c r="AZ104" i="8"/>
  <c r="AZ91" i="8"/>
  <c r="BB86" i="9"/>
  <c r="BA25" i="7"/>
  <c r="BA26" i="7" s="1"/>
  <c r="BA28" i="7" s="1"/>
  <c r="AZ20" i="7"/>
  <c r="K9" i="8"/>
  <c r="J10" i="8"/>
  <c r="X5" i="47" s="1"/>
  <c r="X4" i="47"/>
  <c r="AY173" i="8"/>
  <c r="AY29" i="8" s="1"/>
  <c r="AV22" i="8" l="1"/>
  <c r="AV23" i="8" s="1"/>
  <c r="AV25" i="8" s="1"/>
  <c r="AW57" i="7"/>
  <c r="BR115" i="9"/>
  <c r="BO167" i="8"/>
  <c r="C35" i="2"/>
  <c r="K35" i="2"/>
  <c r="D33" i="2"/>
  <c r="P33" i="2"/>
  <c r="M33" i="2"/>
  <c r="AU182" i="8"/>
  <c r="AU25" i="8"/>
  <c r="AY19" i="7"/>
  <c r="BC51" i="9"/>
  <c r="BC45" i="9"/>
  <c r="BC145" i="9"/>
  <c r="BA86" i="8"/>
  <c r="BC47" i="9"/>
  <c r="BC57" i="9"/>
  <c r="BC55" i="9"/>
  <c r="BC135" i="9"/>
  <c r="BC141" i="9" s="1"/>
  <c r="BC61" i="9" s="1"/>
  <c r="BC136" i="9"/>
  <c r="BC43" i="9"/>
  <c r="BC52" i="9"/>
  <c r="BC48" i="9"/>
  <c r="BC49" i="9"/>
  <c r="BC56" i="9"/>
  <c r="BC53" i="9"/>
  <c r="BC58" i="9"/>
  <c r="AZ54" i="9"/>
  <c r="BC50" i="9"/>
  <c r="BC46" i="9"/>
  <c r="BC59" i="9"/>
  <c r="BC144" i="9"/>
  <c r="AZ172" i="8"/>
  <c r="AZ171" i="8"/>
  <c r="BA15" i="7"/>
  <c r="AZ133" i="8"/>
  <c r="AZ130" i="8" s="1"/>
  <c r="AZ90" i="8"/>
  <c r="AZ16" i="7"/>
  <c r="AW44" i="8"/>
  <c r="AW27" i="8"/>
  <c r="AW30" i="8"/>
  <c r="AY63" i="9"/>
  <c r="AW109" i="8" s="1"/>
  <c r="AW34" i="8" s="1"/>
  <c r="AW108" i="8"/>
  <c r="AX51" i="7"/>
  <c r="AX52" i="7"/>
  <c r="AY101" i="9"/>
  <c r="AY85" i="9" s="1"/>
  <c r="AW137" i="8" s="1"/>
  <c r="AW28" i="8" s="1"/>
  <c r="AW147" i="8"/>
  <c r="AW153" i="8" s="1"/>
  <c r="AZ138" i="8"/>
  <c r="Y4" i="47"/>
  <c r="K10" i="8"/>
  <c r="Y5" i="47" s="1"/>
  <c r="AZ173" i="8" l="1"/>
  <c r="AZ29" i="8" s="1"/>
  <c r="AW32" i="8"/>
  <c r="BC146" i="9"/>
  <c r="BC142" i="9" s="1"/>
  <c r="BS115" i="9"/>
  <c r="BP167" i="8"/>
  <c r="C37" i="2"/>
  <c r="D37" i="2" s="1"/>
  <c r="P35" i="2"/>
  <c r="M35" i="2"/>
  <c r="D35" i="2"/>
  <c r="D39" i="2" s="1"/>
  <c r="AU53" i="8"/>
  <c r="AU37" i="8"/>
  <c r="AU52" i="8"/>
  <c r="AU36" i="8"/>
  <c r="AV53" i="8"/>
  <c r="AV37" i="8"/>
  <c r="AV52" i="8"/>
  <c r="AV36" i="8"/>
  <c r="AY53" i="7"/>
  <c r="AX19" i="8" s="1"/>
  <c r="BA97" i="8"/>
  <c r="BC92" i="9"/>
  <c r="BA144" i="8" s="1"/>
  <c r="BA91" i="8"/>
  <c r="BB25" i="7"/>
  <c r="BB26" i="7" s="1"/>
  <c r="BB28" i="7" s="1"/>
  <c r="EG28" i="7" s="1"/>
  <c r="BC86" i="9"/>
  <c r="BA33" i="8"/>
  <c r="EF33" i="8" s="1"/>
  <c r="BA129" i="8"/>
  <c r="BB9" i="7"/>
  <c r="BB10" i="7" s="1"/>
  <c r="BB33" i="7"/>
  <c r="BB34" i="7" s="1"/>
  <c r="BB36" i="7" s="1"/>
  <c r="EG36" i="7" s="1"/>
  <c r="BC88" i="9"/>
  <c r="BA140" i="8" s="1"/>
  <c r="BA93" i="8"/>
  <c r="BC98" i="9"/>
  <c r="BA150" i="8" s="1"/>
  <c r="BA103" i="8"/>
  <c r="BC96" i="9"/>
  <c r="BA148" i="8" s="1"/>
  <c r="BA101" i="8"/>
  <c r="BB45" i="7"/>
  <c r="BB46" i="7" s="1"/>
  <c r="BB48" i="7" s="1"/>
  <c r="EG48" i="7" s="1"/>
  <c r="BA107" i="8"/>
  <c r="BA89" i="8"/>
  <c r="BD40" i="9"/>
  <c r="BC44" i="9"/>
  <c r="BC93" i="9"/>
  <c r="BA145" i="8" s="1"/>
  <c r="BA98" i="8"/>
  <c r="BC89" i="9"/>
  <c r="BA141" i="8" s="1"/>
  <c r="BA94" i="8"/>
  <c r="BA95" i="8"/>
  <c r="BC90" i="9"/>
  <c r="BA142" i="8" s="1"/>
  <c r="BC97" i="9"/>
  <c r="BA149" i="8" s="1"/>
  <c r="BA102" i="8"/>
  <c r="BC94" i="9"/>
  <c r="BA146" i="8" s="1"/>
  <c r="BB37" i="7"/>
  <c r="BB38" i="7" s="1"/>
  <c r="BB40" i="7" s="1"/>
  <c r="EG40" i="7" s="1"/>
  <c r="BA99" i="8"/>
  <c r="BC99" i="9"/>
  <c r="BA151" i="8" s="1"/>
  <c r="BA104" i="8"/>
  <c r="AZ60" i="9"/>
  <c r="AX106" i="8" s="1"/>
  <c r="AZ64" i="9"/>
  <c r="AX110" i="8" s="1"/>
  <c r="AZ62" i="9"/>
  <c r="AX100" i="8"/>
  <c r="AX134" i="8" s="1"/>
  <c r="AX26" i="8" s="1"/>
  <c r="AY41" i="7"/>
  <c r="AY42" i="7" s="1"/>
  <c r="AY44" i="7" s="1"/>
  <c r="AZ95" i="9"/>
  <c r="BC91" i="9"/>
  <c r="BA143" i="8" s="1"/>
  <c r="BA96" i="8"/>
  <c r="BC87" i="9"/>
  <c r="BA139" i="8" s="1"/>
  <c r="BA92" i="8"/>
  <c r="BB29" i="7"/>
  <c r="BB30" i="7" s="1"/>
  <c r="BB32" i="7" s="1"/>
  <c r="EG32" i="7" s="1"/>
  <c r="BC100" i="9"/>
  <c r="BA152" i="8" s="1"/>
  <c r="BA105" i="8"/>
  <c r="BA20" i="7"/>
  <c r="AZ17" i="7"/>
  <c r="BA12" i="7"/>
  <c r="AX56" i="7"/>
  <c r="AW18" i="8"/>
  <c r="AV182" i="8"/>
  <c r="AW22" i="8" l="1"/>
  <c r="AW23" i="8" s="1"/>
  <c r="AX57" i="7"/>
  <c r="BT115" i="9"/>
  <c r="BQ167" i="8"/>
  <c r="BA138" i="8"/>
  <c r="EG9" i="7"/>
  <c r="BA16" i="7"/>
  <c r="BB15" i="7"/>
  <c r="BA133" i="8"/>
  <c r="BA130" i="8" s="1"/>
  <c r="BA171" i="8"/>
  <c r="BA172" i="8"/>
  <c r="BD43" i="9"/>
  <c r="BD52" i="9"/>
  <c r="BD56" i="9"/>
  <c r="BD53" i="9"/>
  <c r="BD48" i="9"/>
  <c r="BB86" i="8"/>
  <c r="BD135" i="9"/>
  <c r="BD141" i="9" s="1"/>
  <c r="BD61" i="9" s="1"/>
  <c r="BD59" i="9"/>
  <c r="BD136" i="9"/>
  <c r="BD58" i="9"/>
  <c r="BD45" i="9"/>
  <c r="BA54" i="9"/>
  <c r="BD46" i="9"/>
  <c r="BD51" i="9"/>
  <c r="BD47" i="9"/>
  <c r="BD50" i="9"/>
  <c r="BD57" i="9"/>
  <c r="BD49" i="9"/>
  <c r="BD145" i="9"/>
  <c r="BD144" i="9"/>
  <c r="BD55" i="9"/>
  <c r="BA90" i="8"/>
  <c r="AX30" i="8"/>
  <c r="AX27" i="8"/>
  <c r="AX44" i="8"/>
  <c r="AZ63" i="9"/>
  <c r="AX109" i="8" s="1"/>
  <c r="AX34" i="8" s="1"/>
  <c r="AX108" i="8"/>
  <c r="AY51" i="7"/>
  <c r="AY52" i="7"/>
  <c r="AZ101" i="9"/>
  <c r="AZ85" i="9" s="1"/>
  <c r="AX137" i="8" s="1"/>
  <c r="AX28" i="8" s="1"/>
  <c r="AX147" i="8"/>
  <c r="AX153" i="8" s="1"/>
  <c r="AZ19" i="7"/>
  <c r="AX32" i="8" l="1"/>
  <c r="BD146" i="9"/>
  <c r="BD142" i="9" s="1"/>
  <c r="BU115" i="9"/>
  <c r="BR167" i="8"/>
  <c r="BA17" i="7"/>
  <c r="EG10" i="7"/>
  <c r="BB12" i="7"/>
  <c r="EG15" i="7"/>
  <c r="BB20" i="7"/>
  <c r="BE40" i="9"/>
  <c r="BB89" i="8"/>
  <c r="BD44" i="9"/>
  <c r="BD93" i="9"/>
  <c r="BB145" i="8" s="1"/>
  <c r="BB98" i="8"/>
  <c r="BD97" i="9"/>
  <c r="BB149" i="8" s="1"/>
  <c r="BB102" i="8"/>
  <c r="BD94" i="9"/>
  <c r="BB146" i="8" s="1"/>
  <c r="BB99" i="8"/>
  <c r="BC37" i="7"/>
  <c r="BC38" i="7" s="1"/>
  <c r="BC40" i="7" s="1"/>
  <c r="BD89" i="9"/>
  <c r="BB141" i="8" s="1"/>
  <c r="BB94" i="8"/>
  <c r="BB129" i="8"/>
  <c r="BC9" i="7"/>
  <c r="BC10" i="7" s="1"/>
  <c r="BB33" i="8"/>
  <c r="BB107" i="8"/>
  <c r="BB105" i="8"/>
  <c r="BD100" i="9"/>
  <c r="BB152" i="8" s="1"/>
  <c r="BD99" i="9"/>
  <c r="BB151" i="8" s="1"/>
  <c r="BB104" i="8"/>
  <c r="BC25" i="7"/>
  <c r="BC26" i="7" s="1"/>
  <c r="BC28" i="7" s="1"/>
  <c r="BD86" i="9"/>
  <c r="BB91" i="8"/>
  <c r="BA60" i="9"/>
  <c r="AY106" i="8" s="1"/>
  <c r="BA62" i="9"/>
  <c r="BA64" i="9"/>
  <c r="AY110" i="8" s="1"/>
  <c r="BA95" i="9"/>
  <c r="AZ41" i="7"/>
  <c r="AZ42" i="7" s="1"/>
  <c r="AZ44" i="7" s="1"/>
  <c r="AY100" i="8"/>
  <c r="AY134" i="8" s="1"/>
  <c r="AY26" i="8" s="1"/>
  <c r="BD87" i="9"/>
  <c r="BB139" i="8" s="1"/>
  <c r="BC29" i="7"/>
  <c r="BC30" i="7" s="1"/>
  <c r="BC32" i="7" s="1"/>
  <c r="BB92" i="8"/>
  <c r="BB97" i="8"/>
  <c r="BD92" i="9"/>
  <c r="BB144" i="8" s="1"/>
  <c r="BB93" i="8"/>
  <c r="BC33" i="7"/>
  <c r="BC34" i="7" s="1"/>
  <c r="BC36" i="7" s="1"/>
  <c r="BD88" i="9"/>
  <c r="BB140" i="8" s="1"/>
  <c r="BD91" i="9"/>
  <c r="BB143" i="8" s="1"/>
  <c r="BB96" i="8"/>
  <c r="BB103" i="8"/>
  <c r="BD98" i="9"/>
  <c r="BB150" i="8" s="1"/>
  <c r="BB95" i="8"/>
  <c r="BD90" i="9"/>
  <c r="BB142" i="8" s="1"/>
  <c r="BD96" i="9"/>
  <c r="BB148" i="8" s="1"/>
  <c r="BB101" i="8"/>
  <c r="BC45" i="7"/>
  <c r="BC46" i="7" s="1"/>
  <c r="BC48" i="7" s="1"/>
  <c r="AY56" i="7"/>
  <c r="AX18" i="8"/>
  <c r="AZ53" i="7"/>
  <c r="AY19" i="8" s="1"/>
  <c r="AW182" i="8"/>
  <c r="AW25" i="8"/>
  <c r="BA173" i="8"/>
  <c r="BA29" i="8" s="1"/>
  <c r="EF29" i="8" s="1"/>
  <c r="AX22" i="8" l="1"/>
  <c r="AX23" i="8" s="1"/>
  <c r="AY57" i="7"/>
  <c r="BS167" i="8"/>
  <c r="BV115" i="9"/>
  <c r="BA19" i="7"/>
  <c r="EG12" i="7"/>
  <c r="BC86" i="8"/>
  <c r="BE43" i="9"/>
  <c r="BE47" i="9"/>
  <c r="BE53" i="9"/>
  <c r="BE50" i="9"/>
  <c r="BB54" i="9"/>
  <c r="BE52" i="9"/>
  <c r="BE46" i="9"/>
  <c r="BE48" i="9"/>
  <c r="BE51" i="9"/>
  <c r="BE56" i="9"/>
  <c r="BE58" i="9"/>
  <c r="BE145" i="9"/>
  <c r="BE55" i="9"/>
  <c r="BE57" i="9"/>
  <c r="BE136" i="9"/>
  <c r="BE144" i="9"/>
  <c r="BE135" i="9"/>
  <c r="BE141" i="9" s="1"/>
  <c r="BE61" i="9" s="1"/>
  <c r="BE45" i="9"/>
  <c r="BE59" i="9"/>
  <c r="BE49" i="9"/>
  <c r="BB172" i="8"/>
  <c r="BC15" i="7"/>
  <c r="BB133" i="8"/>
  <c r="BB130" i="8" s="1"/>
  <c r="BB171" i="8"/>
  <c r="BB90" i="8"/>
  <c r="BB16" i="7"/>
  <c r="BB138" i="8"/>
  <c r="AY27" i="8"/>
  <c r="AY44" i="8"/>
  <c r="AY30" i="8"/>
  <c r="BA63" i="9"/>
  <c r="AY109" i="8" s="1"/>
  <c r="AY34" i="8" s="1"/>
  <c r="AY108" i="8"/>
  <c r="BA101" i="9"/>
  <c r="BA85" i="9" s="1"/>
  <c r="AY137" i="8" s="1"/>
  <c r="AY28" i="8" s="1"/>
  <c r="AY147" i="8"/>
  <c r="AY153" i="8" s="1"/>
  <c r="AZ51" i="7"/>
  <c r="AZ52" i="7"/>
  <c r="AW53" i="8"/>
  <c r="AW36" i="8"/>
  <c r="AW52" i="8"/>
  <c r="AW37" i="8"/>
  <c r="BE146" i="9" l="1"/>
  <c r="BE142" i="9" s="1"/>
  <c r="BB173" i="8"/>
  <c r="BB29" i="8" s="1"/>
  <c r="AY32" i="8"/>
  <c r="BT167" i="8"/>
  <c r="BW115" i="9"/>
  <c r="BA53" i="7"/>
  <c r="AZ19" i="8" s="1"/>
  <c r="BC129" i="8"/>
  <c r="BC33" i="8"/>
  <c r="BD9" i="7"/>
  <c r="BD10" i="7" s="1"/>
  <c r="BC89" i="8"/>
  <c r="BF40" i="9"/>
  <c r="BE44" i="9"/>
  <c r="BC93" i="8"/>
  <c r="BE88" i="9"/>
  <c r="BC140" i="8" s="1"/>
  <c r="BD33" i="7"/>
  <c r="BD34" i="7" s="1"/>
  <c r="BD36" i="7" s="1"/>
  <c r="BC99" i="8"/>
  <c r="BE94" i="9"/>
  <c r="BC146" i="8" s="1"/>
  <c r="BD37" i="7"/>
  <c r="BD38" i="7" s="1"/>
  <c r="BD40" i="7" s="1"/>
  <c r="BC96" i="8"/>
  <c r="BE91" i="9"/>
  <c r="BC143" i="8" s="1"/>
  <c r="BB60" i="9"/>
  <c r="AZ106" i="8" s="1"/>
  <c r="BB64" i="9"/>
  <c r="AZ110" i="8" s="1"/>
  <c r="BB62" i="9"/>
  <c r="BA41" i="7"/>
  <c r="BA42" i="7" s="1"/>
  <c r="BA44" i="7" s="1"/>
  <c r="AZ100" i="8"/>
  <c r="AZ134" i="8" s="1"/>
  <c r="AZ26" i="8" s="1"/>
  <c r="BB95" i="9"/>
  <c r="BE93" i="9"/>
  <c r="BC145" i="8" s="1"/>
  <c r="BC98" i="8"/>
  <c r="BC92" i="8"/>
  <c r="BD29" i="7"/>
  <c r="BD30" i="7" s="1"/>
  <c r="BD32" i="7" s="1"/>
  <c r="BE87" i="9"/>
  <c r="BC139" i="8" s="1"/>
  <c r="BC94" i="8"/>
  <c r="BE89" i="9"/>
  <c r="BC141" i="8" s="1"/>
  <c r="BE92" i="9"/>
  <c r="BC144" i="8" s="1"/>
  <c r="BC97" i="8"/>
  <c r="BE97" i="9"/>
  <c r="BC149" i="8" s="1"/>
  <c r="BC102" i="8"/>
  <c r="BE99" i="9"/>
  <c r="BC151" i="8" s="1"/>
  <c r="BC104" i="8"/>
  <c r="BE96" i="9"/>
  <c r="BC148" i="8" s="1"/>
  <c r="BC101" i="8"/>
  <c r="BD45" i="7"/>
  <c r="BD46" i="7" s="1"/>
  <c r="BD48" i="7" s="1"/>
  <c r="BE98" i="9"/>
  <c r="BC150" i="8" s="1"/>
  <c r="BC103" i="8"/>
  <c r="BC107" i="8"/>
  <c r="BE86" i="9"/>
  <c r="BD25" i="7"/>
  <c r="BD26" i="7" s="1"/>
  <c r="BD28" i="7" s="1"/>
  <c r="BC91" i="8"/>
  <c r="BE100" i="9"/>
  <c r="BC152" i="8" s="1"/>
  <c r="BC105" i="8"/>
  <c r="BC95" i="8"/>
  <c r="BE90" i="9"/>
  <c r="BC142" i="8" s="1"/>
  <c r="BC20" i="7"/>
  <c r="BC12" i="7"/>
  <c r="EG16" i="7"/>
  <c r="BB17" i="7"/>
  <c r="AZ56" i="7"/>
  <c r="AY18" i="8"/>
  <c r="AX182" i="8"/>
  <c r="AX25" i="8"/>
  <c r="AY22" i="8" l="1"/>
  <c r="AY23" i="8" s="1"/>
  <c r="AZ57" i="7"/>
  <c r="BX115" i="9"/>
  <c r="BU167" i="8"/>
  <c r="BC16" i="7"/>
  <c r="BC133" i="8"/>
  <c r="BC130" i="8" s="1"/>
  <c r="BD15" i="7"/>
  <c r="BC172" i="8"/>
  <c r="BC171" i="8"/>
  <c r="BF43" i="9"/>
  <c r="BF59" i="9"/>
  <c r="BF48" i="9"/>
  <c r="BF46" i="9"/>
  <c r="BF55" i="9"/>
  <c r="BF49" i="9"/>
  <c r="BF145" i="9"/>
  <c r="BF50" i="9"/>
  <c r="BF57" i="9"/>
  <c r="BF45" i="9"/>
  <c r="BF58" i="9"/>
  <c r="BF144" i="9"/>
  <c r="BF136" i="9"/>
  <c r="BF135" i="9"/>
  <c r="BF141" i="9" s="1"/>
  <c r="BF61" i="9" s="1"/>
  <c r="BF56" i="9"/>
  <c r="BD86" i="8"/>
  <c r="BF53" i="9"/>
  <c r="BF51" i="9"/>
  <c r="BF52" i="9"/>
  <c r="BC54" i="9"/>
  <c r="BF47" i="9"/>
  <c r="BC90" i="8"/>
  <c r="AZ44" i="8"/>
  <c r="AZ30" i="8"/>
  <c r="AZ27" i="8"/>
  <c r="BB63" i="9"/>
  <c r="AZ109" i="8" s="1"/>
  <c r="AZ34" i="8" s="1"/>
  <c r="AZ108" i="8"/>
  <c r="BA52" i="7"/>
  <c r="AZ18" i="8" s="1"/>
  <c r="BA51" i="7"/>
  <c r="BB101" i="9"/>
  <c r="BB85" i="9" s="1"/>
  <c r="AZ137" i="8" s="1"/>
  <c r="AZ28" i="8" s="1"/>
  <c r="AZ147" i="8"/>
  <c r="AZ153" i="8" s="1"/>
  <c r="BC138" i="8"/>
  <c r="EG17" i="7"/>
  <c r="BB19" i="7"/>
  <c r="AX53" i="8"/>
  <c r="AX37" i="8"/>
  <c r="AX52" i="8"/>
  <c r="AX36" i="8"/>
  <c r="BC173" i="8" l="1"/>
  <c r="BC29" i="8" s="1"/>
  <c r="BF146" i="9"/>
  <c r="BF142" i="9" s="1"/>
  <c r="AZ32" i="8"/>
  <c r="BY115" i="9"/>
  <c r="BV167" i="8"/>
  <c r="BC17" i="7"/>
  <c r="BD12" i="7"/>
  <c r="BD20" i="7"/>
  <c r="BG40" i="9"/>
  <c r="BD89" i="8"/>
  <c r="BF44" i="9"/>
  <c r="BD105" i="8"/>
  <c r="BF100" i="9"/>
  <c r="BD152" i="8" s="1"/>
  <c r="BF89" i="9"/>
  <c r="BD141" i="8" s="1"/>
  <c r="BD94" i="8"/>
  <c r="BD92" i="8"/>
  <c r="BF87" i="9"/>
  <c r="BD139" i="8" s="1"/>
  <c r="BE29" i="7"/>
  <c r="BE30" i="7" s="1"/>
  <c r="BE32" i="7" s="1"/>
  <c r="BE45" i="7"/>
  <c r="BE46" i="7" s="1"/>
  <c r="BE48" i="7" s="1"/>
  <c r="BF96" i="9"/>
  <c r="BD148" i="8" s="1"/>
  <c r="BD101" i="8"/>
  <c r="BD95" i="8"/>
  <c r="BF90" i="9"/>
  <c r="BD142" i="8" s="1"/>
  <c r="BF91" i="9"/>
  <c r="BD143" i="8" s="1"/>
  <c r="BD96" i="8"/>
  <c r="BF98" i="9"/>
  <c r="BD150" i="8" s="1"/>
  <c r="BD103" i="8"/>
  <c r="BF86" i="9"/>
  <c r="BE25" i="7"/>
  <c r="BE26" i="7" s="1"/>
  <c r="BE28" i="7" s="1"/>
  <c r="BD91" i="8"/>
  <c r="BF99" i="9"/>
  <c r="BD151" i="8" s="1"/>
  <c r="BD104" i="8"/>
  <c r="BD107" i="8"/>
  <c r="BF97" i="9"/>
  <c r="BD149" i="8" s="1"/>
  <c r="BD102" i="8"/>
  <c r="BD33" i="8"/>
  <c r="BE9" i="7"/>
  <c r="BE10" i="7" s="1"/>
  <c r="BD129" i="8"/>
  <c r="BE37" i="7"/>
  <c r="BE38" i="7" s="1"/>
  <c r="BE40" i="7" s="1"/>
  <c r="BD99" i="8"/>
  <c r="BF94" i="9"/>
  <c r="BD146" i="8" s="1"/>
  <c r="BF92" i="9"/>
  <c r="BD144" i="8" s="1"/>
  <c r="BD97" i="8"/>
  <c r="BD98" i="8"/>
  <c r="BF93" i="9"/>
  <c r="BD145" i="8" s="1"/>
  <c r="BC60" i="9"/>
  <c r="BA106" i="8" s="1"/>
  <c r="BC62" i="9"/>
  <c r="BC64" i="9"/>
  <c r="BA110" i="8" s="1"/>
  <c r="BA100" i="8"/>
  <c r="BA134" i="8" s="1"/>
  <c r="BA26" i="8" s="1"/>
  <c r="BB41" i="7"/>
  <c r="BB42" i="7" s="1"/>
  <c r="BB44" i="7" s="1"/>
  <c r="BC95" i="9"/>
  <c r="BE33" i="7"/>
  <c r="BE34" i="7" s="1"/>
  <c r="BE36" i="7" s="1"/>
  <c r="BD93" i="8"/>
  <c r="BF88" i="9"/>
  <c r="BD140" i="8" s="1"/>
  <c r="BA56" i="7"/>
  <c r="EG19" i="7"/>
  <c r="EG53" i="7" s="1"/>
  <c r="BB53" i="7"/>
  <c r="BA19" i="8" s="1"/>
  <c r="EF19" i="8" s="1"/>
  <c r="AY182" i="8"/>
  <c r="AY25" i="8"/>
  <c r="BW167" i="8" l="1"/>
  <c r="BZ115" i="9"/>
  <c r="BC19" i="7"/>
  <c r="BG50" i="9"/>
  <c r="BG59" i="9"/>
  <c r="BG144" i="9"/>
  <c r="BG49" i="9"/>
  <c r="BG47" i="9"/>
  <c r="BG136" i="9"/>
  <c r="BE86" i="8"/>
  <c r="BG145" i="9"/>
  <c r="BG135" i="9"/>
  <c r="BG141" i="9" s="1"/>
  <c r="BG61" i="9" s="1"/>
  <c r="BG53" i="9"/>
  <c r="BG51" i="9"/>
  <c r="BG55" i="9"/>
  <c r="BG56" i="9"/>
  <c r="BG43" i="9"/>
  <c r="BG46" i="9"/>
  <c r="BG58" i="9"/>
  <c r="BG57" i="9"/>
  <c r="BG52" i="9"/>
  <c r="BG45" i="9"/>
  <c r="BD54" i="9"/>
  <c r="BG48" i="9"/>
  <c r="BD172" i="8"/>
  <c r="BE15" i="7"/>
  <c r="BD171" i="8"/>
  <c r="BD133" i="8"/>
  <c r="BD130" i="8" s="1"/>
  <c r="BD90" i="8"/>
  <c r="BD138" i="8"/>
  <c r="BD16" i="7"/>
  <c r="BA27" i="8"/>
  <c r="EF27" i="8" s="1"/>
  <c r="BA30" i="8"/>
  <c r="EF30" i="8" s="1"/>
  <c r="BA44" i="8"/>
  <c r="EF44" i="8" s="1"/>
  <c r="BC63" i="9"/>
  <c r="BA108" i="8"/>
  <c r="AS35" i="8"/>
  <c r="AS39" i="8" s="1"/>
  <c r="AU35" i="8"/>
  <c r="AU39" i="8" s="1"/>
  <c r="AT35" i="8"/>
  <c r="AT39" i="8" s="1"/>
  <c r="BA35" i="8"/>
  <c r="AP35" i="8"/>
  <c r="AX35" i="8"/>
  <c r="AX39" i="8" s="1"/>
  <c r="AW35" i="8"/>
  <c r="AW39" i="8" s="1"/>
  <c r="AZ35" i="8"/>
  <c r="AQ35" i="8"/>
  <c r="AQ39" i="8" s="1"/>
  <c r="AV35" i="8"/>
  <c r="AV39" i="8" s="1"/>
  <c r="AR35" i="8"/>
  <c r="AR39" i="8" s="1"/>
  <c r="AY35" i="8"/>
  <c r="EF26" i="8"/>
  <c r="EG44" i="7"/>
  <c r="EG52" i="7" s="1"/>
  <c r="BB51" i="7"/>
  <c r="BB52" i="7"/>
  <c r="BA18" i="8" s="1"/>
  <c r="EF18" i="8" s="1"/>
  <c r="BC101" i="9"/>
  <c r="BC85" i="9" s="1"/>
  <c r="BA137" i="8" s="1"/>
  <c r="BA28" i="8" s="1"/>
  <c r="BA147" i="8"/>
  <c r="BA153" i="8" s="1"/>
  <c r="BA57" i="7"/>
  <c r="AZ22" i="8"/>
  <c r="AY36" i="8"/>
  <c r="AY37" i="8"/>
  <c r="AY53" i="8"/>
  <c r="AY52" i="8"/>
  <c r="BG146" i="9" l="1"/>
  <c r="BG142" i="9" s="1"/>
  <c r="BX167" i="8"/>
  <c r="CA115" i="9"/>
  <c r="BC53" i="7"/>
  <c r="BB19" i="8" s="1"/>
  <c r="BG91" i="9"/>
  <c r="BE143" i="8" s="1"/>
  <c r="BE96" i="8"/>
  <c r="BE105" i="8"/>
  <c r="BG100" i="9"/>
  <c r="BE152" i="8" s="1"/>
  <c r="BG90" i="9"/>
  <c r="BE142" i="8" s="1"/>
  <c r="BE95" i="8"/>
  <c r="BG88" i="9"/>
  <c r="BE140" i="8" s="1"/>
  <c r="BF33" i="7"/>
  <c r="BF34" i="7" s="1"/>
  <c r="BF36" i="7" s="1"/>
  <c r="BE93" i="8"/>
  <c r="BE33" i="8"/>
  <c r="BE129" i="8"/>
  <c r="BF9" i="7"/>
  <c r="BF10" i="7" s="1"/>
  <c r="BE107" i="8"/>
  <c r="BE99" i="8"/>
  <c r="BG94" i="9"/>
  <c r="BE146" i="8" s="1"/>
  <c r="BF37" i="7"/>
  <c r="BF38" i="7" s="1"/>
  <c r="BF40" i="7" s="1"/>
  <c r="BG92" i="9"/>
  <c r="BE144" i="8" s="1"/>
  <c r="BE97" i="8"/>
  <c r="BG96" i="9"/>
  <c r="BE148" i="8" s="1"/>
  <c r="BE101" i="8"/>
  <c r="BF45" i="7"/>
  <c r="BF46" i="7" s="1"/>
  <c r="BF48" i="7" s="1"/>
  <c r="BE102" i="8"/>
  <c r="BG97" i="9"/>
  <c r="BE149" i="8" s="1"/>
  <c r="BE89" i="8"/>
  <c r="BH40" i="9"/>
  <c r="BG44" i="9"/>
  <c r="BE92" i="8"/>
  <c r="BG87" i="9"/>
  <c r="BE139" i="8" s="1"/>
  <c r="BF29" i="7"/>
  <c r="BF30" i="7" s="1"/>
  <c r="BF32" i="7" s="1"/>
  <c r="BE104" i="8"/>
  <c r="BG99" i="9"/>
  <c r="BE151" i="8" s="1"/>
  <c r="BE103" i="8"/>
  <c r="BG98" i="9"/>
  <c r="BE150" i="8" s="1"/>
  <c r="BG93" i="9"/>
  <c r="BE145" i="8" s="1"/>
  <c r="BE98" i="8"/>
  <c r="BF25" i="7"/>
  <c r="BF26" i="7" s="1"/>
  <c r="BF28" i="7" s="1"/>
  <c r="BE91" i="8"/>
  <c r="BG86" i="9"/>
  <c r="BD60" i="9"/>
  <c r="BB106" i="8" s="1"/>
  <c r="BD62" i="9"/>
  <c r="BD64" i="9"/>
  <c r="BB110" i="8" s="1"/>
  <c r="BC41" i="7"/>
  <c r="BC42" i="7" s="1"/>
  <c r="BC44" i="7" s="1"/>
  <c r="BD95" i="9"/>
  <c r="BB100" i="8"/>
  <c r="BB134" i="8" s="1"/>
  <c r="BB26" i="8" s="1"/>
  <c r="BG89" i="9"/>
  <c r="BE141" i="8" s="1"/>
  <c r="BE94" i="8"/>
  <c r="BE20" i="7"/>
  <c r="BD17" i="7"/>
  <c r="BE12" i="7"/>
  <c r="BA109" i="8"/>
  <c r="BA34" i="8" s="1"/>
  <c r="EF34" i="8" s="1"/>
  <c r="AR114" i="9"/>
  <c r="AS41" i="8"/>
  <c r="AS46" i="8"/>
  <c r="AU41" i="8"/>
  <c r="AU46" i="8"/>
  <c r="AT41" i="8"/>
  <c r="AT46" i="8"/>
  <c r="AP39" i="8"/>
  <c r="EF35" i="8"/>
  <c r="AX41" i="8"/>
  <c r="AX46" i="8"/>
  <c r="AW41" i="8"/>
  <c r="AW46" i="8"/>
  <c r="AQ41" i="8"/>
  <c r="AQ46" i="8"/>
  <c r="AV41" i="8"/>
  <c r="AV46" i="8"/>
  <c r="AR41" i="8"/>
  <c r="AR46" i="8"/>
  <c r="EG51" i="7"/>
  <c r="EG56" i="7" s="1"/>
  <c r="EG57" i="7" s="1"/>
  <c r="BB56" i="7"/>
  <c r="AZ23" i="8"/>
  <c r="AY39" i="8"/>
  <c r="BD173" i="8"/>
  <c r="BD29" i="8" s="1"/>
  <c r="EF28" i="8"/>
  <c r="EF32" i="8" s="1"/>
  <c r="BA32" i="8"/>
  <c r="BY167" i="8" l="1"/>
  <c r="CB115" i="9"/>
  <c r="BE16" i="7"/>
  <c r="BE133" i="8"/>
  <c r="BE130" i="8" s="1"/>
  <c r="BE171" i="8"/>
  <c r="BF15" i="7"/>
  <c r="BE172" i="8"/>
  <c r="BH53" i="9"/>
  <c r="BH46" i="9"/>
  <c r="BH144" i="9"/>
  <c r="BH145" i="9"/>
  <c r="BH52" i="9"/>
  <c r="BH58" i="9"/>
  <c r="BH136" i="9"/>
  <c r="BH48" i="9"/>
  <c r="BE54" i="9"/>
  <c r="BH51" i="9"/>
  <c r="BH45" i="9"/>
  <c r="BF86" i="8"/>
  <c r="BH59" i="9"/>
  <c r="BH57" i="9"/>
  <c r="BH50" i="9"/>
  <c r="BH49" i="9"/>
  <c r="BH47" i="9"/>
  <c r="BH135" i="9"/>
  <c r="BH141" i="9" s="1"/>
  <c r="BH61" i="9" s="1"/>
  <c r="BH56" i="9"/>
  <c r="BH55" i="9"/>
  <c r="BH43" i="9"/>
  <c r="BE90" i="8"/>
  <c r="BE138" i="8"/>
  <c r="BB27" i="8"/>
  <c r="BB44" i="8"/>
  <c r="BB30" i="8"/>
  <c r="BD63" i="9"/>
  <c r="BB108" i="8"/>
  <c r="BC51" i="7"/>
  <c r="BC52" i="7"/>
  <c r="BB18" i="8" s="1"/>
  <c r="BD101" i="9"/>
  <c r="BD85" i="9" s="1"/>
  <c r="BB137" i="8" s="1"/>
  <c r="BB28" i="8" s="1"/>
  <c r="BB147" i="8"/>
  <c r="BB153" i="8" s="1"/>
  <c r="BD19" i="7"/>
  <c r="AP166" i="8"/>
  <c r="AP58" i="8" s="1"/>
  <c r="AS114" i="9"/>
  <c r="AS48" i="8"/>
  <c r="AS42" i="8"/>
  <c r="AU42" i="8"/>
  <c r="AU48" i="8"/>
  <c r="AT48" i="8"/>
  <c r="AT42" i="8"/>
  <c r="AP41" i="8"/>
  <c r="AP46" i="8"/>
  <c r="AX48" i="8"/>
  <c r="AX42" i="8"/>
  <c r="AW42" i="8"/>
  <c r="AW48" i="8"/>
  <c r="AQ42" i="8"/>
  <c r="AQ48" i="8"/>
  <c r="AV42" i="8"/>
  <c r="AV48" i="8"/>
  <c r="AR48" i="8"/>
  <c r="AR42" i="8"/>
  <c r="BB57" i="7"/>
  <c r="BA22" i="8"/>
  <c r="AZ182" i="8"/>
  <c r="AZ25" i="8"/>
  <c r="AY41" i="8"/>
  <c r="AY46" i="8"/>
  <c r="BB32" i="8" l="1"/>
  <c r="CC115" i="9"/>
  <c r="BZ167" i="8"/>
  <c r="BF12" i="7"/>
  <c r="BE17" i="7"/>
  <c r="BF20" i="7"/>
  <c r="BF99" i="8"/>
  <c r="BG37" i="7"/>
  <c r="BG38" i="7" s="1"/>
  <c r="BG40" i="7" s="1"/>
  <c r="BH94" i="9"/>
  <c r="BF146" i="8" s="1"/>
  <c r="BG29" i="7"/>
  <c r="BG30" i="7" s="1"/>
  <c r="BG32" i="7" s="1"/>
  <c r="BH87" i="9"/>
  <c r="BF139" i="8" s="1"/>
  <c r="BF92" i="8"/>
  <c r="BH93" i="9"/>
  <c r="BF145" i="8" s="1"/>
  <c r="BF98" i="8"/>
  <c r="BF104" i="8"/>
  <c r="BH99" i="9"/>
  <c r="BF151" i="8" s="1"/>
  <c r="BH89" i="9"/>
  <c r="BF141" i="8" s="1"/>
  <c r="BF94" i="8"/>
  <c r="BE60" i="9"/>
  <c r="BC106" i="8" s="1"/>
  <c r="BE64" i="9"/>
  <c r="BC110" i="8" s="1"/>
  <c r="BE62" i="9"/>
  <c r="BE95" i="9"/>
  <c r="BC100" i="8"/>
  <c r="BC134" i="8" s="1"/>
  <c r="BC26" i="8" s="1"/>
  <c r="BD41" i="7"/>
  <c r="BD42" i="7" s="1"/>
  <c r="BD44" i="7" s="1"/>
  <c r="BH92" i="9"/>
  <c r="BF144" i="8" s="1"/>
  <c r="BF97" i="8"/>
  <c r="BG25" i="7"/>
  <c r="BG26" i="7" s="1"/>
  <c r="BG28" i="7" s="1"/>
  <c r="BH86" i="9"/>
  <c r="BF91" i="8"/>
  <c r="BG9" i="7"/>
  <c r="BG10" i="7" s="1"/>
  <c r="BF129" i="8"/>
  <c r="BF33" i="8"/>
  <c r="BH100" i="9"/>
  <c r="BF152" i="8" s="1"/>
  <c r="BF105" i="8"/>
  <c r="BH98" i="9"/>
  <c r="BF150" i="8" s="1"/>
  <c r="BF103" i="8"/>
  <c r="BH91" i="9"/>
  <c r="BF143" i="8" s="1"/>
  <c r="BF96" i="8"/>
  <c r="BH90" i="9"/>
  <c r="BF142" i="8" s="1"/>
  <c r="BF95" i="8"/>
  <c r="BF93" i="8"/>
  <c r="BG33" i="7"/>
  <c r="BG34" i="7" s="1"/>
  <c r="BG36" i="7" s="1"/>
  <c r="BH88" i="9"/>
  <c r="BF140" i="8" s="1"/>
  <c r="BF107" i="8"/>
  <c r="BF102" i="8"/>
  <c r="BH97" i="9"/>
  <c r="BF149" i="8" s="1"/>
  <c r="BF101" i="8"/>
  <c r="BH96" i="9"/>
  <c r="BF148" i="8" s="1"/>
  <c r="BG45" i="7"/>
  <c r="BG46" i="7" s="1"/>
  <c r="BG48" i="7" s="1"/>
  <c r="BF89" i="8"/>
  <c r="BI40" i="9"/>
  <c r="BH44" i="9"/>
  <c r="BC56" i="7"/>
  <c r="BD53" i="7"/>
  <c r="BC19" i="8" s="1"/>
  <c r="AQ166" i="8"/>
  <c r="AQ58" i="8" s="1"/>
  <c r="AT114" i="9"/>
  <c r="AS55" i="8"/>
  <c r="AS49" i="8"/>
  <c r="AU55" i="8"/>
  <c r="AU49" i="8"/>
  <c r="AT49" i="8"/>
  <c r="AT55" i="8"/>
  <c r="AP42" i="8"/>
  <c r="AP48" i="8"/>
  <c r="AX55" i="8"/>
  <c r="AX49" i="8"/>
  <c r="AW49" i="8"/>
  <c r="AW55" i="8"/>
  <c r="AQ49" i="8"/>
  <c r="AQ55" i="8"/>
  <c r="AV55" i="8"/>
  <c r="AV49" i="8"/>
  <c r="AR49" i="8"/>
  <c r="AR55" i="8"/>
  <c r="EF22" i="8"/>
  <c r="EF23" i="8" s="1"/>
  <c r="EF25" i="8" s="1"/>
  <c r="BA23" i="8"/>
  <c r="AZ36" i="8"/>
  <c r="AZ37" i="8"/>
  <c r="AZ52" i="8"/>
  <c r="AZ53" i="8"/>
  <c r="AY42" i="8"/>
  <c r="AY48" i="8"/>
  <c r="BE173" i="8"/>
  <c r="BE29" i="8" s="1"/>
  <c r="BH146" i="9"/>
  <c r="BH142" i="9" s="1"/>
  <c r="BB109" i="8"/>
  <c r="BB34" i="8" s="1"/>
  <c r="AQ66" i="8" l="1"/>
  <c r="AQ60" i="8"/>
  <c r="AQ61" i="8" s="1"/>
  <c r="CA167" i="8"/>
  <c r="CD115" i="9"/>
  <c r="BE19" i="7"/>
  <c r="BC44" i="8"/>
  <c r="BC27" i="8"/>
  <c r="BC30" i="8"/>
  <c r="BE63" i="9"/>
  <c r="BC108" i="8"/>
  <c r="BE101" i="9"/>
  <c r="BE85" i="9" s="1"/>
  <c r="BC137" i="8" s="1"/>
  <c r="BC28" i="8" s="1"/>
  <c r="BC32" i="8" s="1"/>
  <c r="BC147" i="8"/>
  <c r="BC153" i="8" s="1"/>
  <c r="BD51" i="7"/>
  <c r="BD52" i="7"/>
  <c r="BF138" i="8"/>
  <c r="BF16" i="7"/>
  <c r="BG15" i="7"/>
  <c r="BF171" i="8"/>
  <c r="BF133" i="8"/>
  <c r="BF130" i="8" s="1"/>
  <c r="BF172" i="8"/>
  <c r="BG86" i="8"/>
  <c r="BI51" i="9"/>
  <c r="BI144" i="9"/>
  <c r="BI57" i="9"/>
  <c r="BI45" i="9"/>
  <c r="BI47" i="9"/>
  <c r="BF54" i="9"/>
  <c r="BI135" i="9"/>
  <c r="BI141" i="9" s="1"/>
  <c r="BI61" i="9" s="1"/>
  <c r="BI58" i="9"/>
  <c r="BI52" i="9"/>
  <c r="BI56" i="9"/>
  <c r="BI46" i="9"/>
  <c r="BI59" i="9"/>
  <c r="BI48" i="9"/>
  <c r="BI136" i="9"/>
  <c r="BI49" i="9"/>
  <c r="BI145" i="9"/>
  <c r="BI55" i="9"/>
  <c r="BI53" i="9"/>
  <c r="BI43" i="9"/>
  <c r="BI50" i="9"/>
  <c r="BF90" i="8"/>
  <c r="BC57" i="7"/>
  <c r="BB22" i="8"/>
  <c r="AU114" i="9"/>
  <c r="AR166" i="8"/>
  <c r="AR58" i="8" s="1"/>
  <c r="AR63" i="8" s="1"/>
  <c r="AR64" i="8" s="1"/>
  <c r="AS56" i="8"/>
  <c r="AU56" i="8"/>
  <c r="AT56" i="8"/>
  <c r="AP55" i="8"/>
  <c r="AP66" i="8"/>
  <c r="AP49" i="8"/>
  <c r="AP60" i="8"/>
  <c r="AP61" i="8" s="1"/>
  <c r="AX56" i="8"/>
  <c r="AW56" i="8"/>
  <c r="AQ63" i="8"/>
  <c r="AQ64" i="8" s="1"/>
  <c r="AQ56" i="8"/>
  <c r="AV56" i="8"/>
  <c r="AR56" i="8"/>
  <c r="BA182" i="8"/>
  <c r="BA25" i="8"/>
  <c r="AZ39" i="8"/>
  <c r="AY55" i="8"/>
  <c r="AY49" i="8"/>
  <c r="BI146" i="9" l="1"/>
  <c r="BI142" i="9" s="1"/>
  <c r="CB167" i="8"/>
  <c r="CE115" i="9"/>
  <c r="BE53" i="7"/>
  <c r="BD19" i="8" s="1"/>
  <c r="BC109" i="8"/>
  <c r="BC34" i="8" s="1"/>
  <c r="BD56" i="7"/>
  <c r="BD57" i="7" s="1"/>
  <c r="BC18" i="8"/>
  <c r="BF17" i="7"/>
  <c r="BG12" i="7"/>
  <c r="BG20" i="7"/>
  <c r="BG33" i="8"/>
  <c r="BG129" i="8"/>
  <c r="BH9" i="7"/>
  <c r="BH10" i="7" s="1"/>
  <c r="BI92" i="9"/>
  <c r="BG144" i="8" s="1"/>
  <c r="BG97" i="8"/>
  <c r="BG103" i="8"/>
  <c r="BI98" i="9"/>
  <c r="BG150" i="8" s="1"/>
  <c r="BH25" i="7"/>
  <c r="BH26" i="7" s="1"/>
  <c r="BH28" i="7" s="1"/>
  <c r="BG91" i="8"/>
  <c r="BI86" i="9"/>
  <c r="BG93" i="8"/>
  <c r="BH33" i="7"/>
  <c r="BH34" i="7" s="1"/>
  <c r="BH36" i="7" s="1"/>
  <c r="BI88" i="9"/>
  <c r="BG140" i="8" s="1"/>
  <c r="BF60" i="9"/>
  <c r="BD106" i="8" s="1"/>
  <c r="BF62" i="9"/>
  <c r="BF64" i="9"/>
  <c r="BD110" i="8" s="1"/>
  <c r="BD100" i="8"/>
  <c r="BD134" i="8" s="1"/>
  <c r="BD26" i="8" s="1"/>
  <c r="BF95" i="9"/>
  <c r="BE41" i="7"/>
  <c r="BE42" i="7" s="1"/>
  <c r="BE44" i="7" s="1"/>
  <c r="BG107" i="8"/>
  <c r="BG104" i="8"/>
  <c r="BI99" i="9"/>
  <c r="BG151" i="8" s="1"/>
  <c r="BI93" i="9"/>
  <c r="BG145" i="8" s="1"/>
  <c r="BG98" i="8"/>
  <c r="BG102" i="8"/>
  <c r="BI97" i="9"/>
  <c r="BG149" i="8" s="1"/>
  <c r="BI87" i="9"/>
  <c r="BG139" i="8" s="1"/>
  <c r="BG92" i="8"/>
  <c r="BH29" i="7"/>
  <c r="BH30" i="7" s="1"/>
  <c r="BH32" i="7" s="1"/>
  <c r="BI100" i="9"/>
  <c r="BG152" i="8" s="1"/>
  <c r="BG105" i="8"/>
  <c r="BI89" i="9"/>
  <c r="BG141" i="8" s="1"/>
  <c r="BG94" i="8"/>
  <c r="BI90" i="9"/>
  <c r="BG142" i="8" s="1"/>
  <c r="BG95" i="8"/>
  <c r="BH45" i="7"/>
  <c r="BH46" i="7" s="1"/>
  <c r="BH48" i="7" s="1"/>
  <c r="BG101" i="8"/>
  <c r="BI96" i="9"/>
  <c r="BG148" i="8" s="1"/>
  <c r="BG99" i="8"/>
  <c r="BH37" i="7"/>
  <c r="BH38" i="7" s="1"/>
  <c r="BH40" i="7" s="1"/>
  <c r="BI94" i="9"/>
  <c r="BG146" i="8" s="1"/>
  <c r="BJ40" i="9"/>
  <c r="BG89" i="8"/>
  <c r="BI44" i="9"/>
  <c r="BI91" i="9"/>
  <c r="BG143" i="8" s="1"/>
  <c r="BG96" i="8"/>
  <c r="BB23" i="8"/>
  <c r="AV114" i="9"/>
  <c r="AS166" i="8"/>
  <c r="AS58" i="8" s="1"/>
  <c r="AR60" i="8"/>
  <c r="AR61" i="8" s="1"/>
  <c r="AR66" i="8"/>
  <c r="AP63" i="8"/>
  <c r="AP56" i="8"/>
  <c r="AP183" i="8"/>
  <c r="AQ183" i="8" s="1"/>
  <c r="AR183" i="8" s="1"/>
  <c r="L8" i="8"/>
  <c r="BA36" i="8"/>
  <c r="BA37" i="8"/>
  <c r="EF37" i="8" s="1"/>
  <c r="BA52" i="8"/>
  <c r="EF52" i="8" s="1"/>
  <c r="BA53" i="8"/>
  <c r="EF53" i="8" s="1"/>
  <c r="AZ41" i="8"/>
  <c r="AZ46" i="8"/>
  <c r="AY56" i="8"/>
  <c r="BF173" i="8"/>
  <c r="BF29" i="8" s="1"/>
  <c r="CF115" i="9" l="1"/>
  <c r="CC167" i="8"/>
  <c r="BC22" i="8"/>
  <c r="BC23" i="8" s="1"/>
  <c r="BC25" i="8" s="1"/>
  <c r="BF19" i="7"/>
  <c r="BG16" i="7"/>
  <c r="BG138" i="8"/>
  <c r="BD27" i="8"/>
  <c r="BD30" i="8"/>
  <c r="BD44" i="8"/>
  <c r="BF63" i="9"/>
  <c r="BD108" i="8"/>
  <c r="BF101" i="9"/>
  <c r="BF85" i="9" s="1"/>
  <c r="BD137" i="8" s="1"/>
  <c r="BD28" i="8" s="1"/>
  <c r="BD147" i="8"/>
  <c r="BD153" i="8" s="1"/>
  <c r="BE51" i="7"/>
  <c r="BE52" i="7"/>
  <c r="BJ52" i="9"/>
  <c r="BJ136" i="9"/>
  <c r="BJ50" i="9"/>
  <c r="BH86" i="8"/>
  <c r="BJ48" i="9"/>
  <c r="BJ56" i="9"/>
  <c r="BJ53" i="9"/>
  <c r="BJ145" i="9"/>
  <c r="BJ144" i="9"/>
  <c r="BJ58" i="9"/>
  <c r="BJ51" i="9"/>
  <c r="BJ46" i="9"/>
  <c r="BJ135" i="9"/>
  <c r="BJ141" i="9" s="1"/>
  <c r="BJ61" i="9" s="1"/>
  <c r="BJ59" i="9"/>
  <c r="BJ55" i="9"/>
  <c r="BJ43" i="9"/>
  <c r="BJ49" i="9"/>
  <c r="BG54" i="9"/>
  <c r="BJ45" i="9"/>
  <c r="BJ47" i="9"/>
  <c r="BJ57" i="9"/>
  <c r="BG133" i="8"/>
  <c r="BG130" i="8" s="1"/>
  <c r="BH15" i="7"/>
  <c r="BG172" i="8"/>
  <c r="BG171" i="8"/>
  <c r="BG173" i="8" s="1"/>
  <c r="BG29" i="8" s="1"/>
  <c r="BG90" i="8"/>
  <c r="BB182" i="8"/>
  <c r="BB25" i="8"/>
  <c r="AW114" i="9"/>
  <c r="AT166" i="8"/>
  <c r="AT58" i="8" s="1"/>
  <c r="AS63" i="8"/>
  <c r="AS64" i="8" s="1"/>
  <c r="AS60" i="8"/>
  <c r="AS61" i="8" s="1"/>
  <c r="AS66" i="8"/>
  <c r="AP64" i="8"/>
  <c r="EF36" i="8"/>
  <c r="BA39" i="8"/>
  <c r="AZ42" i="8"/>
  <c r="AZ48" i="8"/>
  <c r="BJ146" i="9" l="1"/>
  <c r="BJ142" i="9" s="1"/>
  <c r="BD32" i="8"/>
  <c r="CD167" i="8"/>
  <c r="CG115" i="9"/>
  <c r="BC37" i="8"/>
  <c r="BC36" i="8"/>
  <c r="BC52" i="8"/>
  <c r="BC53" i="8"/>
  <c r="BF53" i="7"/>
  <c r="BE19" i="8" s="1"/>
  <c r="BG17" i="7"/>
  <c r="BH12" i="7"/>
  <c r="BD109" i="8"/>
  <c r="BD34" i="8" s="1"/>
  <c r="BE56" i="7"/>
  <c r="BD18" i="8"/>
  <c r="BE57" i="7"/>
  <c r="BJ93" i="9"/>
  <c r="BH145" i="8" s="1"/>
  <c r="BH98" i="8"/>
  <c r="BH96" i="8"/>
  <c r="BJ91" i="9"/>
  <c r="BH143" i="8" s="1"/>
  <c r="BH33" i="8"/>
  <c r="BH129" i="8"/>
  <c r="BI9" i="7"/>
  <c r="BI10" i="7" s="1"/>
  <c r="BH94" i="8"/>
  <c r="BJ89" i="9"/>
  <c r="BH141" i="8" s="1"/>
  <c r="BJ97" i="9"/>
  <c r="BH149" i="8" s="1"/>
  <c r="BH102" i="8"/>
  <c r="BI37" i="7"/>
  <c r="BI38" i="7" s="1"/>
  <c r="BI40" i="7" s="1"/>
  <c r="BJ94" i="9"/>
  <c r="BH146" i="8" s="1"/>
  <c r="BH99" i="8"/>
  <c r="BJ99" i="9"/>
  <c r="BH151" i="8" s="1"/>
  <c r="BH104" i="8"/>
  <c r="BH97" i="8"/>
  <c r="BJ92" i="9"/>
  <c r="BH144" i="8" s="1"/>
  <c r="BJ87" i="9"/>
  <c r="BH139" i="8" s="1"/>
  <c r="BH92" i="8"/>
  <c r="BI29" i="7"/>
  <c r="BI30" i="7" s="1"/>
  <c r="BI32" i="7" s="1"/>
  <c r="BH107" i="8"/>
  <c r="BJ100" i="9"/>
  <c r="BH152" i="8" s="1"/>
  <c r="BH105" i="8"/>
  <c r="BH101" i="8"/>
  <c r="BI45" i="7"/>
  <c r="BI46" i="7" s="1"/>
  <c r="BI48" i="7" s="1"/>
  <c r="BJ96" i="9"/>
  <c r="BH148" i="8" s="1"/>
  <c r="BH89" i="8"/>
  <c r="BK40" i="9"/>
  <c r="BJ44" i="9"/>
  <c r="BH95" i="8"/>
  <c r="BJ90" i="9"/>
  <c r="BH142" i="8" s="1"/>
  <c r="BG60" i="9"/>
  <c r="BE106" i="8" s="1"/>
  <c r="BG62" i="9"/>
  <c r="BG64" i="9"/>
  <c r="BE110" i="8" s="1"/>
  <c r="BF41" i="7"/>
  <c r="BF42" i="7" s="1"/>
  <c r="BF44" i="7" s="1"/>
  <c r="BG95" i="9"/>
  <c r="BE100" i="8"/>
  <c r="BE134" i="8" s="1"/>
  <c r="BE26" i="8" s="1"/>
  <c r="BI25" i="7"/>
  <c r="BI26" i="7" s="1"/>
  <c r="BI28" i="7" s="1"/>
  <c r="BJ86" i="9"/>
  <c r="BH91" i="8"/>
  <c r="BI33" i="7"/>
  <c r="BI34" i="7" s="1"/>
  <c r="BI36" i="7" s="1"/>
  <c r="BJ88" i="9"/>
  <c r="BH140" i="8" s="1"/>
  <c r="BH93" i="8"/>
  <c r="BJ98" i="9"/>
  <c r="BH150" i="8" s="1"/>
  <c r="BH103" i="8"/>
  <c r="BH20" i="7"/>
  <c r="BB36" i="8"/>
  <c r="BB53" i="8"/>
  <c r="BB37" i="8"/>
  <c r="BB52" i="8"/>
  <c r="AU166" i="8"/>
  <c r="AU58" i="8" s="1"/>
  <c r="AX114" i="9"/>
  <c r="AT63" i="8"/>
  <c r="AT66" i="8"/>
  <c r="AT60" i="8"/>
  <c r="AT61" i="8" s="1"/>
  <c r="AS183" i="8"/>
  <c r="EF39" i="8"/>
  <c r="BA41" i="8"/>
  <c r="BA46" i="8"/>
  <c r="AZ55" i="8"/>
  <c r="AZ49" i="8"/>
  <c r="BC182" i="8"/>
  <c r="CE167" i="8" l="1"/>
  <c r="CH115" i="9"/>
  <c r="BG19" i="7"/>
  <c r="BD22" i="8"/>
  <c r="BD23" i="8" s="1"/>
  <c r="BH16" i="7"/>
  <c r="BH171" i="8"/>
  <c r="BI15" i="7"/>
  <c r="BH172" i="8"/>
  <c r="BH133" i="8"/>
  <c r="BH130" i="8" s="1"/>
  <c r="BK145" i="9"/>
  <c r="BK57" i="9"/>
  <c r="BK50" i="9"/>
  <c r="BK144" i="9"/>
  <c r="BK48" i="9"/>
  <c r="BK52" i="9"/>
  <c r="BK49" i="9"/>
  <c r="BK58" i="9"/>
  <c r="BK45" i="9"/>
  <c r="BK56" i="9"/>
  <c r="BK136" i="9"/>
  <c r="BK47" i="9"/>
  <c r="BI86" i="8"/>
  <c r="BK43" i="9"/>
  <c r="BK51" i="9"/>
  <c r="BK55" i="9"/>
  <c r="BK46" i="9"/>
  <c r="BK59" i="9"/>
  <c r="BK53" i="9"/>
  <c r="BH54" i="9"/>
  <c r="BK135" i="9"/>
  <c r="BK141" i="9" s="1"/>
  <c r="BK61" i="9" s="1"/>
  <c r="BH90" i="8"/>
  <c r="BE30" i="8"/>
  <c r="BE27" i="8"/>
  <c r="BE44" i="8"/>
  <c r="BG63" i="9"/>
  <c r="BE108" i="8"/>
  <c r="BF52" i="7"/>
  <c r="BF51" i="7"/>
  <c r="BG101" i="9"/>
  <c r="BG85" i="9" s="1"/>
  <c r="BE137" i="8" s="1"/>
  <c r="BE28" i="8" s="1"/>
  <c r="BE147" i="8"/>
  <c r="BE153" i="8" s="1"/>
  <c r="BH138" i="8"/>
  <c r="AU63" i="8"/>
  <c r="AU64" i="8" s="1"/>
  <c r="AU60" i="8"/>
  <c r="AU61" i="8" s="1"/>
  <c r="AU66" i="8"/>
  <c r="AY114" i="9"/>
  <c r="AV166" i="8"/>
  <c r="AV58" i="8" s="1"/>
  <c r="AT64" i="8"/>
  <c r="EF46" i="8"/>
  <c r="EF41" i="8"/>
  <c r="BA42" i="8"/>
  <c r="BA48" i="8"/>
  <c r="AZ56" i="8"/>
  <c r="AT183" i="8"/>
  <c r="BK146" i="9" l="1"/>
  <c r="BK142" i="9" s="1"/>
  <c r="AU183" i="8"/>
  <c r="BE32" i="8"/>
  <c r="CF167" i="8"/>
  <c r="CI115" i="9"/>
  <c r="BG53" i="7"/>
  <c r="BF19" i="8" s="1"/>
  <c r="BD182" i="8"/>
  <c r="BD25" i="8"/>
  <c r="BH17" i="7"/>
  <c r="BI12" i="7"/>
  <c r="BI20" i="7"/>
  <c r="BK98" i="9"/>
  <c r="BI150" i="8" s="1"/>
  <c r="BI103" i="8"/>
  <c r="BI96" i="8"/>
  <c r="BK91" i="9"/>
  <c r="BI143" i="8" s="1"/>
  <c r="BK89" i="9"/>
  <c r="BI141" i="8" s="1"/>
  <c r="BI94" i="8"/>
  <c r="BI98" i="8"/>
  <c r="BK93" i="9"/>
  <c r="BI145" i="8" s="1"/>
  <c r="BI95" i="8"/>
  <c r="BK90" i="9"/>
  <c r="BI142" i="8" s="1"/>
  <c r="BK99" i="9"/>
  <c r="BI151" i="8" s="1"/>
  <c r="BI104" i="8"/>
  <c r="BJ25" i="7"/>
  <c r="BJ26" i="7" s="1"/>
  <c r="BJ28" i="7" s="1"/>
  <c r="BI91" i="8"/>
  <c r="BK86" i="9"/>
  <c r="BK97" i="9"/>
  <c r="BI149" i="8" s="1"/>
  <c r="BI102" i="8"/>
  <c r="BI93" i="8"/>
  <c r="BK88" i="9"/>
  <c r="BI140" i="8" s="1"/>
  <c r="BJ33" i="7"/>
  <c r="BJ34" i="7" s="1"/>
  <c r="BJ36" i="7" s="1"/>
  <c r="BJ9" i="7"/>
  <c r="BJ10" i="7" s="1"/>
  <c r="BI129" i="8"/>
  <c r="BI33" i="8"/>
  <c r="BL40" i="9"/>
  <c r="BI89" i="8"/>
  <c r="BK44" i="9"/>
  <c r="BI97" i="8"/>
  <c r="BK92" i="9"/>
  <c r="BI144" i="8" s="1"/>
  <c r="BK96" i="9"/>
  <c r="BI148" i="8" s="1"/>
  <c r="BJ45" i="7"/>
  <c r="BJ46" i="7" s="1"/>
  <c r="BJ48" i="7" s="1"/>
  <c r="BI101" i="8"/>
  <c r="BJ29" i="7"/>
  <c r="BJ30" i="7" s="1"/>
  <c r="BJ32" i="7" s="1"/>
  <c r="BI92" i="8"/>
  <c r="BK87" i="9"/>
  <c r="BI139" i="8" s="1"/>
  <c r="BI105" i="8"/>
  <c r="BK100" i="9"/>
  <c r="BI152" i="8" s="1"/>
  <c r="BK94" i="9"/>
  <c r="BI146" i="8" s="1"/>
  <c r="BJ37" i="7"/>
  <c r="BJ38" i="7" s="1"/>
  <c r="BJ40" i="7" s="1"/>
  <c r="BI99" i="8"/>
  <c r="BH60" i="9"/>
  <c r="BF106" i="8" s="1"/>
  <c r="BH64" i="9"/>
  <c r="BF110" i="8" s="1"/>
  <c r="BH62" i="9"/>
  <c r="BF100" i="8"/>
  <c r="BF134" i="8" s="1"/>
  <c r="BF26" i="8" s="1"/>
  <c r="BH95" i="9"/>
  <c r="BG41" i="7"/>
  <c r="BG42" i="7" s="1"/>
  <c r="BG44" i="7" s="1"/>
  <c r="BI107" i="8"/>
  <c r="BE109" i="8"/>
  <c r="BE34" i="8" s="1"/>
  <c r="BE18" i="8"/>
  <c r="BF56" i="7"/>
  <c r="BF57" i="7" s="1"/>
  <c r="AW166" i="8"/>
  <c r="AW58" i="8" s="1"/>
  <c r="AZ114" i="9"/>
  <c r="AV63" i="8"/>
  <c r="AV66" i="8"/>
  <c r="AV60" i="8"/>
  <c r="AV61" i="8" s="1"/>
  <c r="EF48" i="8"/>
  <c r="EF42" i="8"/>
  <c r="BA49" i="8"/>
  <c r="BA55" i="8"/>
  <c r="BH173" i="8"/>
  <c r="BH29" i="8" s="1"/>
  <c r="CJ115" i="9" l="1"/>
  <c r="CG167" i="8"/>
  <c r="BD36" i="8"/>
  <c r="BD37" i="8"/>
  <c r="BD52" i="8"/>
  <c r="BD53" i="8"/>
  <c r="BH19" i="7"/>
  <c r="BI138" i="8"/>
  <c r="BI16" i="7"/>
  <c r="BJ86" i="8"/>
  <c r="BL58" i="9"/>
  <c r="BL55" i="9"/>
  <c r="BL45" i="9"/>
  <c r="BL52" i="9"/>
  <c r="BL47" i="9"/>
  <c r="BL144" i="9"/>
  <c r="BL135" i="9"/>
  <c r="BL141" i="9" s="1"/>
  <c r="BL61" i="9" s="1"/>
  <c r="BL136" i="9"/>
  <c r="BL56" i="9"/>
  <c r="BI54" i="9"/>
  <c r="BL49" i="9"/>
  <c r="BL57" i="9"/>
  <c r="BL48" i="9"/>
  <c r="BL53" i="9"/>
  <c r="BL50" i="9"/>
  <c r="BL145" i="9"/>
  <c r="BL43" i="9"/>
  <c r="BL46" i="9"/>
  <c r="BL51" i="9"/>
  <c r="BL59" i="9"/>
  <c r="BI133" i="8"/>
  <c r="BI130" i="8" s="1"/>
  <c r="BJ15" i="7"/>
  <c r="BI171" i="8"/>
  <c r="BI172" i="8"/>
  <c r="BI90" i="8"/>
  <c r="BF44" i="8"/>
  <c r="BF27" i="8"/>
  <c r="BF30" i="8"/>
  <c r="BH63" i="9"/>
  <c r="BF109" i="8" s="1"/>
  <c r="BF34" i="8" s="1"/>
  <c r="BF108" i="8"/>
  <c r="BH101" i="9"/>
  <c r="BH85" i="9" s="1"/>
  <c r="BF137" i="8" s="1"/>
  <c r="BF28" i="8" s="1"/>
  <c r="BF147" i="8"/>
  <c r="BF153" i="8" s="1"/>
  <c r="BG52" i="7"/>
  <c r="BG51" i="7"/>
  <c r="BE22" i="8"/>
  <c r="BE23" i="8" s="1"/>
  <c r="AW63" i="8"/>
  <c r="AW64" i="8" s="1"/>
  <c r="AW66" i="8"/>
  <c r="AW60" i="8"/>
  <c r="AW61" i="8" s="1"/>
  <c r="AX166" i="8"/>
  <c r="AX58" i="8" s="1"/>
  <c r="BA114" i="9"/>
  <c r="AV64" i="8"/>
  <c r="AV183" i="8"/>
  <c r="EF55" i="8"/>
  <c r="EF49" i="8"/>
  <c r="BA56" i="8"/>
  <c r="BF32" i="8" l="1"/>
  <c r="AW183" i="8"/>
  <c r="CK115" i="9"/>
  <c r="CH167" i="8"/>
  <c r="BH53" i="7"/>
  <c r="BG19" i="8" s="1"/>
  <c r="BJ12" i="7"/>
  <c r="BI17" i="7"/>
  <c r="BJ33" i="8"/>
  <c r="BK9" i="7"/>
  <c r="BK10" i="7" s="1"/>
  <c r="BJ129" i="8"/>
  <c r="BL99" i="9"/>
  <c r="BJ151" i="8" s="1"/>
  <c r="BJ104" i="8"/>
  <c r="BK45" i="7"/>
  <c r="BK46" i="7" s="1"/>
  <c r="BK48" i="7" s="1"/>
  <c r="BJ101" i="8"/>
  <c r="BL96" i="9"/>
  <c r="BJ148" i="8" s="1"/>
  <c r="BJ91" i="8"/>
  <c r="BK25" i="7"/>
  <c r="BK26" i="7" s="1"/>
  <c r="BK28" i="7" s="1"/>
  <c r="BL86" i="9"/>
  <c r="BJ98" i="8"/>
  <c r="BL93" i="9"/>
  <c r="BJ145" i="8" s="1"/>
  <c r="BL88" i="9"/>
  <c r="BJ140" i="8" s="1"/>
  <c r="BJ93" i="8"/>
  <c r="BK33" i="7"/>
  <c r="BK34" i="7" s="1"/>
  <c r="BK36" i="7" s="1"/>
  <c r="BJ107" i="8"/>
  <c r="BJ102" i="8"/>
  <c r="BL97" i="9"/>
  <c r="BJ149" i="8" s="1"/>
  <c r="BI60" i="9"/>
  <c r="BG106" i="8" s="1"/>
  <c r="BI62" i="9"/>
  <c r="BI64" i="9"/>
  <c r="BG110" i="8" s="1"/>
  <c r="BG100" i="8"/>
  <c r="BG134" i="8" s="1"/>
  <c r="BG26" i="8" s="1"/>
  <c r="BI95" i="9"/>
  <c r="BH41" i="7"/>
  <c r="BH42" i="7" s="1"/>
  <c r="BH44" i="7" s="1"/>
  <c r="BL90" i="9"/>
  <c r="BJ142" i="8" s="1"/>
  <c r="BJ95" i="8"/>
  <c r="BL98" i="9"/>
  <c r="BJ150" i="8" s="1"/>
  <c r="BJ103" i="8"/>
  <c r="BL89" i="9"/>
  <c r="BJ141" i="8" s="1"/>
  <c r="BJ94" i="8"/>
  <c r="BJ99" i="8"/>
  <c r="BK37" i="7"/>
  <c r="BK38" i="7" s="1"/>
  <c r="BK40" i="7" s="1"/>
  <c r="BL94" i="9"/>
  <c r="BJ146" i="8" s="1"/>
  <c r="BJ96" i="8"/>
  <c r="BL91" i="9"/>
  <c r="BJ143" i="8" s="1"/>
  <c r="BM40" i="9"/>
  <c r="BJ89" i="8"/>
  <c r="BL44" i="9"/>
  <c r="BL87" i="9"/>
  <c r="BJ139" i="8" s="1"/>
  <c r="BJ92" i="8"/>
  <c r="BK29" i="7"/>
  <c r="BK30" i="7" s="1"/>
  <c r="BK32" i="7" s="1"/>
  <c r="BJ97" i="8"/>
  <c r="BL92" i="9"/>
  <c r="BJ144" i="8" s="1"/>
  <c r="BL100" i="9"/>
  <c r="BJ152" i="8" s="1"/>
  <c r="BJ105" i="8"/>
  <c r="BJ20" i="7"/>
  <c r="BF18" i="8"/>
  <c r="BG56" i="7"/>
  <c r="BE182" i="8"/>
  <c r="BE25" i="8"/>
  <c r="AX63" i="8"/>
  <c r="AX66" i="8"/>
  <c r="AX60" i="8"/>
  <c r="AX61" i="8" s="1"/>
  <c r="AY166" i="8"/>
  <c r="AY58" i="8" s="1"/>
  <c r="BB114" i="9"/>
  <c r="EF56" i="8"/>
  <c r="BL146" i="9"/>
  <c r="BL142" i="9" s="1"/>
  <c r="BI173" i="8"/>
  <c r="BI29" i="8" s="1"/>
  <c r="AX183" i="8" l="1"/>
  <c r="CL115" i="9"/>
  <c r="CI167" i="8"/>
  <c r="BI19" i="7"/>
  <c r="BJ16" i="7"/>
  <c r="BJ138" i="8"/>
  <c r="BG27" i="8"/>
  <c r="BG30" i="8"/>
  <c r="BG44" i="8"/>
  <c r="BI63" i="9"/>
  <c r="BG109" i="8" s="1"/>
  <c r="BG34" i="8" s="1"/>
  <c r="BG108" i="8"/>
  <c r="BI101" i="9"/>
  <c r="BI85" i="9" s="1"/>
  <c r="BG137" i="8" s="1"/>
  <c r="BG28" i="8" s="1"/>
  <c r="BG147" i="8"/>
  <c r="BG153" i="8" s="1"/>
  <c r="BH52" i="7"/>
  <c r="BH51" i="7"/>
  <c r="BM47" i="9"/>
  <c r="BM135" i="9"/>
  <c r="BM141" i="9" s="1"/>
  <c r="BM61" i="9" s="1"/>
  <c r="BM145" i="9"/>
  <c r="BM52" i="9"/>
  <c r="BM56" i="9"/>
  <c r="BM48" i="9"/>
  <c r="BM45" i="9"/>
  <c r="BM46" i="9"/>
  <c r="BM57" i="9"/>
  <c r="BM53" i="9"/>
  <c r="BM51" i="9"/>
  <c r="BM136" i="9"/>
  <c r="BM43" i="9"/>
  <c r="BM55" i="9"/>
  <c r="BM49" i="9"/>
  <c r="BM59" i="9"/>
  <c r="BM144" i="9"/>
  <c r="BM58" i="9"/>
  <c r="BJ54" i="9"/>
  <c r="BM50" i="9"/>
  <c r="BK86" i="8"/>
  <c r="BK15" i="7"/>
  <c r="BJ133" i="8"/>
  <c r="BJ130" i="8" s="1"/>
  <c r="BJ171" i="8"/>
  <c r="BJ172" i="8"/>
  <c r="BJ90" i="8"/>
  <c r="BG57" i="7"/>
  <c r="BF22" i="8"/>
  <c r="BE52" i="8"/>
  <c r="BE36" i="8"/>
  <c r="BE53" i="8"/>
  <c r="BE37" i="8"/>
  <c r="AX64" i="8"/>
  <c r="AY63" i="8"/>
  <c r="AY64" i="8" s="1"/>
  <c r="AY60" i="8"/>
  <c r="AY61" i="8" s="1"/>
  <c r="AY66" i="8"/>
  <c r="BC114" i="9"/>
  <c r="BA166" i="8" s="1"/>
  <c r="BA58" i="8" s="1"/>
  <c r="AZ166" i="8"/>
  <c r="AZ58" i="8" s="1"/>
  <c r="BG32" i="8" l="1"/>
  <c r="AY183" i="8"/>
  <c r="BM146" i="9"/>
  <c r="BM142" i="9" s="1"/>
  <c r="CJ167" i="8"/>
  <c r="CM115" i="9"/>
  <c r="BI53" i="7"/>
  <c r="BH19" i="8" s="1"/>
  <c r="BJ17" i="7"/>
  <c r="BK12" i="7"/>
  <c r="BG18" i="8"/>
  <c r="BH56" i="7"/>
  <c r="BH57" i="7" s="1"/>
  <c r="BM88" i="9"/>
  <c r="BK140" i="8" s="1"/>
  <c r="BL33" i="7"/>
  <c r="BL34" i="7" s="1"/>
  <c r="BL36" i="7" s="1"/>
  <c r="BK93" i="8"/>
  <c r="BK107" i="8"/>
  <c r="BK98" i="8"/>
  <c r="BM93" i="9"/>
  <c r="BK145" i="8" s="1"/>
  <c r="BK102" i="8"/>
  <c r="BM97" i="9"/>
  <c r="BK149" i="8" s="1"/>
  <c r="BM89" i="9"/>
  <c r="BK141" i="8" s="1"/>
  <c r="BK94" i="8"/>
  <c r="BK91" i="8"/>
  <c r="BM86" i="9"/>
  <c r="BL25" i="7"/>
  <c r="BL26" i="7" s="1"/>
  <c r="BL28" i="7" s="1"/>
  <c r="BM87" i="9"/>
  <c r="BK139" i="8" s="1"/>
  <c r="BK92" i="8"/>
  <c r="BL29" i="7"/>
  <c r="BL30" i="7" s="1"/>
  <c r="BL32" i="7" s="1"/>
  <c r="BM98" i="9"/>
  <c r="BK150" i="8" s="1"/>
  <c r="BK103" i="8"/>
  <c r="BM94" i="9"/>
  <c r="BK146" i="8" s="1"/>
  <c r="BK99" i="8"/>
  <c r="BL37" i="7"/>
  <c r="BL38" i="7" s="1"/>
  <c r="BL40" i="7" s="1"/>
  <c r="BK97" i="8"/>
  <c r="BM92" i="9"/>
  <c r="BK144" i="8" s="1"/>
  <c r="BN40" i="9"/>
  <c r="BK89" i="8"/>
  <c r="BM44" i="9"/>
  <c r="BL45" i="7"/>
  <c r="BL46" i="7" s="1"/>
  <c r="BL48" i="7" s="1"/>
  <c r="BM96" i="9"/>
  <c r="BK148" i="8" s="1"/>
  <c r="BK101" i="8"/>
  <c r="BK95" i="8"/>
  <c r="BM90" i="9"/>
  <c r="BK142" i="8" s="1"/>
  <c r="BM100" i="9"/>
  <c r="BK152" i="8" s="1"/>
  <c r="BK105" i="8"/>
  <c r="BM99" i="9"/>
  <c r="BK151" i="8" s="1"/>
  <c r="BK104" i="8"/>
  <c r="BJ60" i="9"/>
  <c r="BH106" i="8" s="1"/>
  <c r="BJ62" i="9"/>
  <c r="BJ64" i="9"/>
  <c r="BH110" i="8" s="1"/>
  <c r="BI41" i="7"/>
  <c r="BI42" i="7" s="1"/>
  <c r="BI44" i="7" s="1"/>
  <c r="BJ95" i="9"/>
  <c r="BH100" i="8"/>
  <c r="BH134" i="8" s="1"/>
  <c r="BH26" i="8" s="1"/>
  <c r="BK96" i="8"/>
  <c r="BM91" i="9"/>
  <c r="BK143" i="8" s="1"/>
  <c r="BL9" i="7"/>
  <c r="BL10" i="7" s="1"/>
  <c r="BK129" i="8"/>
  <c r="BK33" i="8"/>
  <c r="BK20" i="7"/>
  <c r="BF23" i="8"/>
  <c r="BA63" i="8"/>
  <c r="BA66" i="8"/>
  <c r="BA60" i="8"/>
  <c r="BA61" i="8" s="1"/>
  <c r="EF58" i="8"/>
  <c r="AZ63" i="8"/>
  <c r="AZ64" i="8" s="1"/>
  <c r="AZ66" i="8"/>
  <c r="AZ60" i="8"/>
  <c r="AZ61" i="8" s="1"/>
  <c r="BJ173" i="8"/>
  <c r="BJ29" i="8" s="1"/>
  <c r="AZ183" i="8" l="1"/>
  <c r="BA183" i="8" s="1"/>
  <c r="CK167" i="8"/>
  <c r="CN115" i="9"/>
  <c r="BJ19" i="7"/>
  <c r="BG22" i="8"/>
  <c r="BG23" i="8" s="1"/>
  <c r="BG25" i="8" s="1"/>
  <c r="BK138" i="8"/>
  <c r="BN45" i="9"/>
  <c r="BN52" i="9"/>
  <c r="BK54" i="9"/>
  <c r="BN49" i="9"/>
  <c r="BN43" i="9"/>
  <c r="BN56" i="9"/>
  <c r="BN144" i="9"/>
  <c r="BN46" i="9"/>
  <c r="BN53" i="9"/>
  <c r="BN51" i="9"/>
  <c r="BN57" i="9"/>
  <c r="BL86" i="8"/>
  <c r="BN136" i="9"/>
  <c r="BN48" i="9"/>
  <c r="BN145" i="9"/>
  <c r="BN50" i="9"/>
  <c r="BN58" i="9"/>
  <c r="BN47" i="9"/>
  <c r="BN135" i="9"/>
  <c r="BN141" i="9" s="1"/>
  <c r="BN61" i="9" s="1"/>
  <c r="BN59" i="9"/>
  <c r="BN55" i="9"/>
  <c r="BK171" i="8"/>
  <c r="BL15" i="7"/>
  <c r="BK133" i="8"/>
  <c r="BK130" i="8" s="1"/>
  <c r="BK172" i="8"/>
  <c r="BK90" i="8"/>
  <c r="BH30" i="8"/>
  <c r="BH27" i="8"/>
  <c r="BH44" i="8"/>
  <c r="BJ63" i="9"/>
  <c r="BH109" i="8" s="1"/>
  <c r="BH34" i="8" s="1"/>
  <c r="BH108" i="8"/>
  <c r="BI51" i="7"/>
  <c r="BI52" i="7"/>
  <c r="BJ101" i="9"/>
  <c r="BJ85" i="9" s="1"/>
  <c r="BH137" i="8" s="1"/>
  <c r="BH28" i="8" s="1"/>
  <c r="BH147" i="8"/>
  <c r="BH153" i="8" s="1"/>
  <c r="BK16" i="7"/>
  <c r="BF182" i="8"/>
  <c r="BF25" i="8"/>
  <c r="L11" i="8"/>
  <c r="L12" i="8" s="1"/>
  <c r="BA64" i="8"/>
  <c r="EF60" i="8"/>
  <c r="EF61" i="8" s="1"/>
  <c r="EF66" i="8"/>
  <c r="EF63" i="8"/>
  <c r="EF64" i="8" s="1"/>
  <c r="L9" i="8"/>
  <c r="L10" i="8" s="1"/>
  <c r="BH32" i="8" l="1"/>
  <c r="BK173" i="8"/>
  <c r="BK29" i="8" s="1"/>
  <c r="CO115" i="9"/>
  <c r="CL167" i="8"/>
  <c r="BJ53" i="7"/>
  <c r="BI19" i="8" s="1"/>
  <c r="BG37" i="8"/>
  <c r="BG53" i="8"/>
  <c r="BG52" i="8"/>
  <c r="BG36" i="8"/>
  <c r="BL91" i="8"/>
  <c r="BN86" i="9"/>
  <c r="BM25" i="7"/>
  <c r="BM26" i="7" s="1"/>
  <c r="BM28" i="7" s="1"/>
  <c r="BN93" i="9"/>
  <c r="BL145" i="8" s="1"/>
  <c r="BL98" i="8"/>
  <c r="BK60" i="9"/>
  <c r="BI106" i="8" s="1"/>
  <c r="BK62" i="9"/>
  <c r="BK64" i="9"/>
  <c r="BI110" i="8" s="1"/>
  <c r="BI100" i="8"/>
  <c r="BI134" i="8" s="1"/>
  <c r="BI26" i="8" s="1"/>
  <c r="BJ41" i="7"/>
  <c r="BJ42" i="7" s="1"/>
  <c r="BJ44" i="7" s="1"/>
  <c r="BK95" i="9"/>
  <c r="BN90" i="9"/>
  <c r="BL142" i="8" s="1"/>
  <c r="BL95" i="8"/>
  <c r="BO40" i="9"/>
  <c r="BL89" i="8"/>
  <c r="BN44" i="9"/>
  <c r="BN97" i="9"/>
  <c r="BL149" i="8" s="1"/>
  <c r="BL102" i="8"/>
  <c r="BN87" i="9"/>
  <c r="BL139" i="8" s="1"/>
  <c r="BM29" i="7"/>
  <c r="BM30" i="7" s="1"/>
  <c r="BM32" i="7" s="1"/>
  <c r="BL92" i="8"/>
  <c r="BM37" i="7"/>
  <c r="BM38" i="7" s="1"/>
  <c r="BM40" i="7" s="1"/>
  <c r="BN94" i="9"/>
  <c r="BL146" i="8" s="1"/>
  <c r="BL99" i="8"/>
  <c r="BN92" i="9"/>
  <c r="BL144" i="8" s="1"/>
  <c r="BL97" i="8"/>
  <c r="BN98" i="9"/>
  <c r="BL150" i="8" s="1"/>
  <c r="BL103" i="8"/>
  <c r="BL33" i="8"/>
  <c r="BL129" i="8"/>
  <c r="BM9" i="7"/>
  <c r="BM10" i="7" s="1"/>
  <c r="BN89" i="9"/>
  <c r="BL141" i="8" s="1"/>
  <c r="BL94" i="8"/>
  <c r="BL96" i="8"/>
  <c r="BN91" i="9"/>
  <c r="BL143" i="8" s="1"/>
  <c r="BN99" i="9"/>
  <c r="BL151" i="8" s="1"/>
  <c r="BL104" i="8"/>
  <c r="BN88" i="9"/>
  <c r="BL140" i="8" s="1"/>
  <c r="BL93" i="8"/>
  <c r="BM33" i="7"/>
  <c r="BM34" i="7" s="1"/>
  <c r="BM36" i="7" s="1"/>
  <c r="BL107" i="8"/>
  <c r="BN100" i="9"/>
  <c r="BL152" i="8" s="1"/>
  <c r="BL105" i="8"/>
  <c r="BM45" i="7"/>
  <c r="BM46" i="7" s="1"/>
  <c r="BM48" i="7" s="1"/>
  <c r="BN96" i="9"/>
  <c r="BL148" i="8" s="1"/>
  <c r="BL101" i="8"/>
  <c r="BL20" i="7"/>
  <c r="BI56" i="7"/>
  <c r="BI57" i="7" s="1"/>
  <c r="BH18" i="8"/>
  <c r="BL12" i="7"/>
  <c r="BK17" i="7"/>
  <c r="BF53" i="8"/>
  <c r="BF36" i="8"/>
  <c r="BF52" i="8"/>
  <c r="BF37" i="8"/>
  <c r="BG182" i="8"/>
  <c r="BN146" i="9"/>
  <c r="BN142" i="9" s="1"/>
  <c r="CP115" i="9" l="1"/>
  <c r="CM167" i="8"/>
  <c r="BL138" i="8"/>
  <c r="BI30" i="8"/>
  <c r="BI44" i="8"/>
  <c r="BI27" i="8"/>
  <c r="BK63" i="9"/>
  <c r="BI109" i="8" s="1"/>
  <c r="BI34" i="8" s="1"/>
  <c r="BI108" i="8"/>
  <c r="BJ51" i="7"/>
  <c r="BJ52" i="7"/>
  <c r="BK101" i="9"/>
  <c r="BK85" i="9" s="1"/>
  <c r="BI137" i="8" s="1"/>
  <c r="BI28" i="8" s="1"/>
  <c r="BI147" i="8"/>
  <c r="BI153" i="8" s="1"/>
  <c r="BO47" i="9"/>
  <c r="BO43" i="9"/>
  <c r="BO144" i="9"/>
  <c r="BM86" i="8"/>
  <c r="BL54" i="9"/>
  <c r="BO135" i="9"/>
  <c r="BO141" i="9" s="1"/>
  <c r="BO61" i="9" s="1"/>
  <c r="BO49" i="9"/>
  <c r="BO145" i="9"/>
  <c r="BO55" i="9"/>
  <c r="BO48" i="9"/>
  <c r="BO136" i="9"/>
  <c r="BO59" i="9"/>
  <c r="BO57" i="9"/>
  <c r="BO52" i="9"/>
  <c r="BO46" i="9"/>
  <c r="BO45" i="9"/>
  <c r="BO56" i="9"/>
  <c r="BO53" i="9"/>
  <c r="BO50" i="9"/>
  <c r="BO51" i="9"/>
  <c r="BO58" i="9"/>
  <c r="BL172" i="8"/>
  <c r="BL133" i="8"/>
  <c r="BL130" i="8" s="1"/>
  <c r="BL171" i="8"/>
  <c r="BM15" i="7"/>
  <c r="BL90" i="8"/>
  <c r="BL16" i="7"/>
  <c r="BH22" i="8"/>
  <c r="BH23" i="8" s="1"/>
  <c r="BK19" i="7"/>
  <c r="BO146" i="9" l="1"/>
  <c r="BO142" i="9" s="1"/>
  <c r="BI32" i="8"/>
  <c r="CN167" i="8"/>
  <c r="CQ115" i="9"/>
  <c r="BJ56" i="7"/>
  <c r="BJ57" i="7" s="1"/>
  <c r="BI18" i="8"/>
  <c r="BO88" i="9"/>
  <c r="BM140" i="8" s="1"/>
  <c r="BN33" i="7"/>
  <c r="BN34" i="7" s="1"/>
  <c r="BN36" i="7" s="1"/>
  <c r="EH36" i="7" s="1"/>
  <c r="EI36" i="7" s="1"/>
  <c r="BM93" i="8"/>
  <c r="BP40" i="9"/>
  <c r="BM89" i="8"/>
  <c r="BO44" i="9"/>
  <c r="BN9" i="7"/>
  <c r="BN10" i="7" s="1"/>
  <c r="BM129" i="8"/>
  <c r="BM33" i="8"/>
  <c r="EG33" i="8" s="1"/>
  <c r="EH33" i="8" s="1"/>
  <c r="BL60" i="9"/>
  <c r="BJ106" i="8" s="1"/>
  <c r="BL64" i="9"/>
  <c r="BJ110" i="8" s="1"/>
  <c r="BL62" i="9"/>
  <c r="BL95" i="9"/>
  <c r="BJ100" i="8"/>
  <c r="BJ134" i="8" s="1"/>
  <c r="BJ26" i="8" s="1"/>
  <c r="BK41" i="7"/>
  <c r="BK42" i="7" s="1"/>
  <c r="BK44" i="7" s="1"/>
  <c r="BM107" i="8"/>
  <c r="BO90" i="9"/>
  <c r="BM142" i="8" s="1"/>
  <c r="BM95" i="8"/>
  <c r="BN45" i="7"/>
  <c r="BN46" i="7" s="1"/>
  <c r="BN48" i="7" s="1"/>
  <c r="EH48" i="7" s="1"/>
  <c r="EI48" i="7" s="1"/>
  <c r="BO96" i="9"/>
  <c r="BM148" i="8" s="1"/>
  <c r="BM101" i="8"/>
  <c r="BM94" i="8"/>
  <c r="BO89" i="9"/>
  <c r="BM141" i="8" s="1"/>
  <c r="BM105" i="8"/>
  <c r="BO100" i="9"/>
  <c r="BM152" i="8" s="1"/>
  <c r="BM103" i="8"/>
  <c r="BO98" i="9"/>
  <c r="BM150" i="8" s="1"/>
  <c r="BM98" i="8"/>
  <c r="BO93" i="9"/>
  <c r="BM145" i="8" s="1"/>
  <c r="BO87" i="9"/>
  <c r="BM139" i="8" s="1"/>
  <c r="BM92" i="8"/>
  <c r="BN29" i="7"/>
  <c r="BN30" i="7" s="1"/>
  <c r="BN32" i="7" s="1"/>
  <c r="EH32" i="7" s="1"/>
  <c r="EI32" i="7" s="1"/>
  <c r="BO86" i="9"/>
  <c r="BN25" i="7"/>
  <c r="BN26" i="7" s="1"/>
  <c r="BN28" i="7" s="1"/>
  <c r="EH28" i="7" s="1"/>
  <c r="EI28" i="7" s="1"/>
  <c r="BM91" i="8"/>
  <c r="BM102" i="8"/>
  <c r="BO97" i="9"/>
  <c r="BM149" i="8" s="1"/>
  <c r="BN37" i="7"/>
  <c r="BN38" i="7" s="1"/>
  <c r="BN40" i="7" s="1"/>
  <c r="EH40" i="7" s="1"/>
  <c r="EI40" i="7" s="1"/>
  <c r="BO94" i="9"/>
  <c r="BM146" i="8" s="1"/>
  <c r="BM99" i="8"/>
  <c r="BO91" i="9"/>
  <c r="BM143" i="8" s="1"/>
  <c r="BM96" i="8"/>
  <c r="BO92" i="9"/>
  <c r="BM144" i="8" s="1"/>
  <c r="BM97" i="8"/>
  <c r="BM104" i="8"/>
  <c r="BO99" i="9"/>
  <c r="BM151" i="8" s="1"/>
  <c r="BM20" i="7"/>
  <c r="BM12" i="7"/>
  <c r="BL17" i="7"/>
  <c r="BH182" i="8"/>
  <c r="BH25" i="8"/>
  <c r="BK53" i="7"/>
  <c r="BJ19" i="8" s="1"/>
  <c r="BL173" i="8"/>
  <c r="BL29" i="8" s="1"/>
  <c r="CR115" i="9" l="1"/>
  <c r="CO167" i="8"/>
  <c r="BI22" i="8"/>
  <c r="BI23" i="8" s="1"/>
  <c r="BP53" i="9"/>
  <c r="BP56" i="9"/>
  <c r="BP46" i="9"/>
  <c r="BP55" i="9"/>
  <c r="BP43" i="9"/>
  <c r="BN86" i="8"/>
  <c r="BP135" i="9"/>
  <c r="BP141" i="9" s="1"/>
  <c r="BP61" i="9" s="1"/>
  <c r="BP51" i="9"/>
  <c r="BM54" i="9"/>
  <c r="BP145" i="9"/>
  <c r="BP45" i="9"/>
  <c r="BP57" i="9"/>
  <c r="BP136" i="9"/>
  <c r="BP50" i="9"/>
  <c r="BP49" i="9"/>
  <c r="BP59" i="9"/>
  <c r="BP47" i="9"/>
  <c r="BP58" i="9"/>
  <c r="BP144" i="9"/>
  <c r="BP52" i="9"/>
  <c r="BP48" i="9"/>
  <c r="BM172" i="8"/>
  <c r="BN15" i="7"/>
  <c r="BM171" i="8"/>
  <c r="BM173" i="8" s="1"/>
  <c r="BM29" i="8" s="1"/>
  <c r="EG29" i="8" s="1"/>
  <c r="EH29" i="8" s="1"/>
  <c r="BM133" i="8"/>
  <c r="BM130" i="8" s="1"/>
  <c r="BM90" i="8"/>
  <c r="EH9" i="7"/>
  <c r="EI9" i="7" s="1"/>
  <c r="EJ9" i="7" s="1"/>
  <c r="BM16" i="7"/>
  <c r="BJ30" i="8"/>
  <c r="BJ27" i="8"/>
  <c r="BJ44" i="8"/>
  <c r="BL63" i="9"/>
  <c r="BJ109" i="8" s="1"/>
  <c r="BJ34" i="8" s="1"/>
  <c r="BJ108" i="8"/>
  <c r="BL101" i="9"/>
  <c r="BL85" i="9" s="1"/>
  <c r="BJ137" i="8" s="1"/>
  <c r="BJ28" i="8" s="1"/>
  <c r="BJ147" i="8"/>
  <c r="BJ153" i="8" s="1"/>
  <c r="BK51" i="7"/>
  <c r="BK52" i="7"/>
  <c r="BM138" i="8"/>
  <c r="BL19" i="7"/>
  <c r="BH52" i="8"/>
  <c r="BH53" i="8"/>
  <c r="BH36" i="8"/>
  <c r="BH37" i="8"/>
  <c r="BP146" i="9" l="1"/>
  <c r="BP142" i="9" s="1"/>
  <c r="BJ32" i="8"/>
  <c r="CP167" i="8"/>
  <c r="CS115" i="9"/>
  <c r="BI182" i="8"/>
  <c r="BI25" i="8"/>
  <c r="BO37" i="7"/>
  <c r="BO38" i="7" s="1"/>
  <c r="BO40" i="7" s="1"/>
  <c r="BN99" i="8"/>
  <c r="BP94" i="9"/>
  <c r="BN146" i="8" s="1"/>
  <c r="BP97" i="9"/>
  <c r="BN149" i="8" s="1"/>
  <c r="BN102" i="8"/>
  <c r="BN92" i="8"/>
  <c r="BP87" i="9"/>
  <c r="BN139" i="8" s="1"/>
  <c r="BO29" i="7"/>
  <c r="BO30" i="7" s="1"/>
  <c r="BO32" i="7" s="1"/>
  <c r="BO45" i="7"/>
  <c r="BO46" i="7" s="1"/>
  <c r="BO48" i="7" s="1"/>
  <c r="BN101" i="8"/>
  <c r="BP96" i="9"/>
  <c r="BN148" i="8" s="1"/>
  <c r="BQ40" i="9"/>
  <c r="BN89" i="8"/>
  <c r="BP44" i="9"/>
  <c r="BN129" i="8"/>
  <c r="BN33" i="8"/>
  <c r="BO9" i="7"/>
  <c r="BO10" i="7" s="1"/>
  <c r="BN107" i="8"/>
  <c r="BN97" i="8"/>
  <c r="BP92" i="9"/>
  <c r="BN144" i="8" s="1"/>
  <c r="BM60" i="9"/>
  <c r="BK106" i="8" s="1"/>
  <c r="BM62" i="9"/>
  <c r="BM64" i="9"/>
  <c r="BK110" i="8" s="1"/>
  <c r="BL41" i="7"/>
  <c r="BL42" i="7" s="1"/>
  <c r="BL44" i="7" s="1"/>
  <c r="BM95" i="9"/>
  <c r="BK100" i="8"/>
  <c r="BK134" i="8" s="1"/>
  <c r="BK26" i="8" s="1"/>
  <c r="BP86" i="9"/>
  <c r="BN91" i="8"/>
  <c r="BO25" i="7"/>
  <c r="BO26" i="7" s="1"/>
  <c r="BO28" i="7" s="1"/>
  <c r="BP98" i="9"/>
  <c r="BN150" i="8" s="1"/>
  <c r="BN103" i="8"/>
  <c r="BP91" i="9"/>
  <c r="BN143" i="8" s="1"/>
  <c r="BN96" i="8"/>
  <c r="BP90" i="9"/>
  <c r="BN142" i="8" s="1"/>
  <c r="BN95" i="8"/>
  <c r="BP100" i="9"/>
  <c r="BN152" i="8" s="1"/>
  <c r="BN105" i="8"/>
  <c r="BN93" i="8"/>
  <c r="BO33" i="7"/>
  <c r="BO34" i="7" s="1"/>
  <c r="BO36" i="7" s="1"/>
  <c r="BP88" i="9"/>
  <c r="BN140" i="8" s="1"/>
  <c r="BN104" i="8"/>
  <c r="BP99" i="9"/>
  <c r="BN151" i="8" s="1"/>
  <c r="BP93" i="9"/>
  <c r="BN145" i="8" s="1"/>
  <c r="BN98" i="8"/>
  <c r="BN94" i="8"/>
  <c r="BP89" i="9"/>
  <c r="BN141" i="8" s="1"/>
  <c r="EH15" i="7"/>
  <c r="BN20" i="7"/>
  <c r="EH10" i="7"/>
  <c r="EI10" i="7" s="1"/>
  <c r="EJ10" i="7" s="1"/>
  <c r="BN12" i="7"/>
  <c r="BM17" i="7"/>
  <c r="BK56" i="7"/>
  <c r="BJ18" i="8"/>
  <c r="BK57" i="7"/>
  <c r="BL53" i="7"/>
  <c r="BK19" i="8" s="1"/>
  <c r="CT115" i="9" l="1"/>
  <c r="CQ167" i="8"/>
  <c r="BI36" i="8"/>
  <c r="BI37" i="8"/>
  <c r="BI53" i="8"/>
  <c r="BI52" i="8"/>
  <c r="BO86" i="8"/>
  <c r="BQ55" i="9"/>
  <c r="BQ52" i="9"/>
  <c r="BQ59" i="9"/>
  <c r="BQ57" i="9"/>
  <c r="BQ51" i="9"/>
  <c r="BQ136" i="9"/>
  <c r="BQ43" i="9"/>
  <c r="BQ47" i="9"/>
  <c r="BQ45" i="9"/>
  <c r="BQ46" i="9"/>
  <c r="BQ50" i="9"/>
  <c r="BQ49" i="9"/>
  <c r="BQ58" i="9"/>
  <c r="BQ56" i="9"/>
  <c r="BQ144" i="9"/>
  <c r="BQ135" i="9"/>
  <c r="BQ141" i="9" s="1"/>
  <c r="BQ61" i="9" s="1"/>
  <c r="BQ145" i="9"/>
  <c r="BQ53" i="9"/>
  <c r="BQ48" i="9"/>
  <c r="BN54" i="9"/>
  <c r="BN172" i="8"/>
  <c r="BN133" i="8"/>
  <c r="BN130" i="8" s="1"/>
  <c r="BN171" i="8"/>
  <c r="BN173" i="8" s="1"/>
  <c r="BN29" i="8" s="1"/>
  <c r="BO15" i="7"/>
  <c r="BN90" i="8"/>
  <c r="BN16" i="7"/>
  <c r="BK27" i="8"/>
  <c r="BK44" i="8"/>
  <c r="BK30" i="8"/>
  <c r="BM63" i="9"/>
  <c r="BK109" i="8" s="1"/>
  <c r="BK34" i="8" s="1"/>
  <c r="BK108" i="8"/>
  <c r="BL51" i="7"/>
  <c r="BL52" i="7"/>
  <c r="BM101" i="9"/>
  <c r="BM85" i="9" s="1"/>
  <c r="BK137" i="8" s="1"/>
  <c r="BK28" i="8" s="1"/>
  <c r="BK147" i="8"/>
  <c r="BK153" i="8" s="1"/>
  <c r="BN138" i="8"/>
  <c r="EH12" i="7"/>
  <c r="BM19" i="7"/>
  <c r="BJ22" i="8"/>
  <c r="BJ23" i="8" s="1"/>
  <c r="BK32" i="8" l="1"/>
  <c r="CR167" i="8"/>
  <c r="CU115" i="9"/>
  <c r="BO33" i="8"/>
  <c r="BP9" i="7"/>
  <c r="BP10" i="7" s="1"/>
  <c r="BO129" i="8"/>
  <c r="BP45" i="7"/>
  <c r="BP46" i="7" s="1"/>
  <c r="BP48" i="7" s="1"/>
  <c r="BO101" i="8"/>
  <c r="BQ96" i="9"/>
  <c r="BO148" i="8" s="1"/>
  <c r="BO98" i="8"/>
  <c r="BQ93" i="9"/>
  <c r="BO145" i="8" s="1"/>
  <c r="BO105" i="8"/>
  <c r="BQ100" i="9"/>
  <c r="BO152" i="8" s="1"/>
  <c r="BQ98" i="9"/>
  <c r="BO150" i="8" s="1"/>
  <c r="BO103" i="8"/>
  <c r="BQ92" i="9"/>
  <c r="BO144" i="8" s="1"/>
  <c r="BO97" i="8"/>
  <c r="BR40" i="9"/>
  <c r="BO89" i="8"/>
  <c r="BQ44" i="9"/>
  <c r="BO93" i="8"/>
  <c r="BP33" i="7"/>
  <c r="BP34" i="7" s="1"/>
  <c r="BP36" i="7" s="1"/>
  <c r="BQ88" i="9"/>
  <c r="BO140" i="8" s="1"/>
  <c r="BQ86" i="9"/>
  <c r="BP25" i="7"/>
  <c r="BP26" i="7" s="1"/>
  <c r="BP28" i="7" s="1"/>
  <c r="BO91" i="8"/>
  <c r="BO92" i="8"/>
  <c r="BP29" i="7"/>
  <c r="BP30" i="7" s="1"/>
  <c r="BP32" i="7" s="1"/>
  <c r="BQ87" i="9"/>
  <c r="BO139" i="8" s="1"/>
  <c r="BQ91" i="9"/>
  <c r="BO143" i="8" s="1"/>
  <c r="BO96" i="8"/>
  <c r="BO95" i="8"/>
  <c r="BQ90" i="9"/>
  <c r="BO142" i="8" s="1"/>
  <c r="BQ99" i="9"/>
  <c r="BO151" i="8" s="1"/>
  <c r="BO104" i="8"/>
  <c r="BQ97" i="9"/>
  <c r="BO149" i="8" s="1"/>
  <c r="BO102" i="8"/>
  <c r="BO107" i="8"/>
  <c r="BO99" i="8"/>
  <c r="BP37" i="7"/>
  <c r="BP38" i="7" s="1"/>
  <c r="BP40" i="7" s="1"/>
  <c r="BQ94" i="9"/>
  <c r="BO146" i="8" s="1"/>
  <c r="BO94" i="8"/>
  <c r="BQ89" i="9"/>
  <c r="BO141" i="8" s="1"/>
  <c r="BN60" i="9"/>
  <c r="BL106" i="8" s="1"/>
  <c r="BN62" i="9"/>
  <c r="BN64" i="9"/>
  <c r="BL110" i="8" s="1"/>
  <c r="BN95" i="9"/>
  <c r="BM41" i="7"/>
  <c r="BM42" i="7" s="1"/>
  <c r="BM44" i="7" s="1"/>
  <c r="BL100" i="8"/>
  <c r="BL134" i="8" s="1"/>
  <c r="BL26" i="8" s="1"/>
  <c r="BO20" i="7"/>
  <c r="EH16" i="7"/>
  <c r="EI16" i="7" s="1"/>
  <c r="EJ16" i="7" s="1"/>
  <c r="BN17" i="7"/>
  <c r="BO12" i="7"/>
  <c r="BL56" i="7"/>
  <c r="BL57" i="7" s="1"/>
  <c r="BK18" i="8"/>
  <c r="EI12" i="7"/>
  <c r="EJ12" i="7" s="1"/>
  <c r="BM53" i="7"/>
  <c r="BL19" i="8" s="1"/>
  <c r="BJ182" i="8"/>
  <c r="BJ25" i="8"/>
  <c r="BQ146" i="9"/>
  <c r="BQ142" i="9" s="1"/>
  <c r="CS167" i="8" l="1"/>
  <c r="CV115" i="9"/>
  <c r="BO16" i="7"/>
  <c r="BR135" i="9"/>
  <c r="BR141" i="9" s="1"/>
  <c r="BR61" i="9" s="1"/>
  <c r="BR56" i="9"/>
  <c r="BR136" i="9"/>
  <c r="BR46" i="9"/>
  <c r="BR50" i="9"/>
  <c r="BR51" i="9"/>
  <c r="BR45" i="9"/>
  <c r="BR47" i="9"/>
  <c r="BR43" i="9"/>
  <c r="BP86" i="8"/>
  <c r="BR48" i="9"/>
  <c r="BR53" i="9"/>
  <c r="BR52" i="9"/>
  <c r="BO54" i="9"/>
  <c r="BR59" i="9"/>
  <c r="BR55" i="9"/>
  <c r="BR58" i="9"/>
  <c r="BR57" i="9"/>
  <c r="BR144" i="9"/>
  <c r="BR49" i="9"/>
  <c r="BR145" i="9"/>
  <c r="BO172" i="8"/>
  <c r="BP15" i="7"/>
  <c r="BO133" i="8"/>
  <c r="BO130" i="8" s="1"/>
  <c r="BO171" i="8"/>
  <c r="BO90" i="8"/>
  <c r="BO138" i="8"/>
  <c r="BL30" i="8"/>
  <c r="BL27" i="8"/>
  <c r="BL44" i="8"/>
  <c r="BN63" i="9"/>
  <c r="BL109" i="8" s="1"/>
  <c r="BL34" i="8" s="1"/>
  <c r="BL108" i="8"/>
  <c r="BN101" i="9"/>
  <c r="BN85" i="9" s="1"/>
  <c r="BL137" i="8" s="1"/>
  <c r="BL28" i="8" s="1"/>
  <c r="BL147" i="8"/>
  <c r="BL153" i="8" s="1"/>
  <c r="BM52" i="7"/>
  <c r="BM51" i="7"/>
  <c r="EH17" i="7"/>
  <c r="EI17" i="7" s="1"/>
  <c r="EJ17" i="7" s="1"/>
  <c r="BN19" i="7"/>
  <c r="BK22" i="8"/>
  <c r="BK23" i="8" s="1"/>
  <c r="BJ37" i="8"/>
  <c r="BJ53" i="8"/>
  <c r="BJ36" i="8"/>
  <c r="BJ52" i="8"/>
  <c r="BO173" i="8" l="1"/>
  <c r="BO29" i="8" s="1"/>
  <c r="BL32" i="8"/>
  <c r="CW115" i="9"/>
  <c r="CT167" i="8"/>
  <c r="BO17" i="7"/>
  <c r="BP12" i="7"/>
  <c r="BP107" i="8"/>
  <c r="BR97" i="9"/>
  <c r="BP149" i="8" s="1"/>
  <c r="BP102" i="8"/>
  <c r="BP92" i="8"/>
  <c r="BR87" i="9"/>
  <c r="BP139" i="8" s="1"/>
  <c r="BQ29" i="7"/>
  <c r="BQ30" i="7" s="1"/>
  <c r="BQ32" i="7" s="1"/>
  <c r="BP96" i="8"/>
  <c r="BR91" i="9"/>
  <c r="BP143" i="8" s="1"/>
  <c r="BP97" i="8"/>
  <c r="BR92" i="9"/>
  <c r="BP144" i="8" s="1"/>
  <c r="BQ25" i="7"/>
  <c r="BQ26" i="7" s="1"/>
  <c r="BQ28" i="7" s="1"/>
  <c r="BP91" i="8"/>
  <c r="BR86" i="9"/>
  <c r="BR88" i="9"/>
  <c r="BP140" i="8" s="1"/>
  <c r="BQ33" i="7"/>
  <c r="BQ34" i="7" s="1"/>
  <c r="BQ36" i="7" s="1"/>
  <c r="BP93" i="8"/>
  <c r="BS40" i="9"/>
  <c r="BP89" i="8"/>
  <c r="BR44" i="9"/>
  <c r="BP33" i="8"/>
  <c r="BQ9" i="7"/>
  <c r="BQ10" i="7" s="1"/>
  <c r="BP129" i="8"/>
  <c r="BR89" i="9"/>
  <c r="BP141" i="8" s="1"/>
  <c r="BP94" i="8"/>
  <c r="BQ37" i="7"/>
  <c r="BQ38" i="7" s="1"/>
  <c r="BQ40" i="7" s="1"/>
  <c r="BR94" i="9"/>
  <c r="BP146" i="8" s="1"/>
  <c r="BP99" i="8"/>
  <c r="BR93" i="9"/>
  <c r="BP145" i="8" s="1"/>
  <c r="BP98" i="8"/>
  <c r="BO60" i="9"/>
  <c r="BM106" i="8" s="1"/>
  <c r="BO64" i="9"/>
  <c r="BM110" i="8" s="1"/>
  <c r="BO62" i="9"/>
  <c r="BN41" i="7"/>
  <c r="BN42" i="7" s="1"/>
  <c r="BN44" i="7" s="1"/>
  <c r="BO95" i="9"/>
  <c r="BM100" i="8"/>
  <c r="BM134" i="8" s="1"/>
  <c r="BM26" i="8" s="1"/>
  <c r="BR100" i="9"/>
  <c r="BP152" i="8" s="1"/>
  <c r="BP105" i="8"/>
  <c r="BP101" i="8"/>
  <c r="BR96" i="9"/>
  <c r="BP148" i="8" s="1"/>
  <c r="BQ45" i="7"/>
  <c r="BQ46" i="7" s="1"/>
  <c r="BQ48" i="7" s="1"/>
  <c r="BP104" i="8"/>
  <c r="BR99" i="9"/>
  <c r="BP151" i="8" s="1"/>
  <c r="BP103" i="8"/>
  <c r="BR98" i="9"/>
  <c r="BP150" i="8" s="1"/>
  <c r="BP95" i="8"/>
  <c r="BR90" i="9"/>
  <c r="BP142" i="8" s="1"/>
  <c r="BP20" i="7"/>
  <c r="BL18" i="8"/>
  <c r="BM56" i="7"/>
  <c r="EH19" i="7"/>
  <c r="BN53" i="7"/>
  <c r="BM19" i="8" s="1"/>
  <c r="EG19" i="8" s="1"/>
  <c r="EH19" i="8" s="1"/>
  <c r="BK182" i="8"/>
  <c r="BK25" i="8"/>
  <c r="BR146" i="9"/>
  <c r="BR142" i="9" s="1"/>
  <c r="CX115" i="9" l="1"/>
  <c r="CU167" i="8"/>
  <c r="BO19" i="7"/>
  <c r="BP138" i="8"/>
  <c r="BS144" i="9"/>
  <c r="BS50" i="9"/>
  <c r="BS51" i="9"/>
  <c r="BP54" i="9"/>
  <c r="BS52" i="9"/>
  <c r="BS43" i="9"/>
  <c r="BS57" i="9"/>
  <c r="BS55" i="9"/>
  <c r="BS136" i="9"/>
  <c r="BQ86" i="8"/>
  <c r="BS135" i="9"/>
  <c r="BS141" i="9" s="1"/>
  <c r="BS61" i="9" s="1"/>
  <c r="BS58" i="9"/>
  <c r="BS145" i="9"/>
  <c r="BS53" i="9"/>
  <c r="BS46" i="9"/>
  <c r="BS48" i="9"/>
  <c r="BS45" i="9"/>
  <c r="BS49" i="9"/>
  <c r="BS59" i="9"/>
  <c r="BS47" i="9"/>
  <c r="BS56" i="9"/>
  <c r="BP171" i="8"/>
  <c r="BP172" i="8"/>
  <c r="BQ15" i="7"/>
  <c r="BP133" i="8"/>
  <c r="BP130" i="8" s="1"/>
  <c r="BP90" i="8"/>
  <c r="BP16" i="7"/>
  <c r="BM27" i="8"/>
  <c r="EG27" i="8" s="1"/>
  <c r="EH27" i="8" s="1"/>
  <c r="BM44" i="8"/>
  <c r="EG44" i="8" s="1"/>
  <c r="EH44" i="8" s="1"/>
  <c r="BM30" i="8"/>
  <c r="EG30" i="8" s="1"/>
  <c r="EH30" i="8" s="1"/>
  <c r="BD35" i="8"/>
  <c r="BD39" i="8" s="1"/>
  <c r="BB35" i="8"/>
  <c r="BH35" i="8"/>
  <c r="BH39" i="8" s="1"/>
  <c r="BE35" i="8"/>
  <c r="BE39" i="8" s="1"/>
  <c r="BK35" i="8"/>
  <c r="BM35" i="8"/>
  <c r="BI35" i="8"/>
  <c r="BI39" i="8" s="1"/>
  <c r="BG35" i="8"/>
  <c r="BG39" i="8" s="1"/>
  <c r="BF35" i="8"/>
  <c r="BF39" i="8" s="1"/>
  <c r="BC35" i="8"/>
  <c r="BC39" i="8" s="1"/>
  <c r="BL35" i="8"/>
  <c r="BJ35" i="8"/>
  <c r="BJ39" i="8" s="1"/>
  <c r="BO63" i="9"/>
  <c r="BM109" i="8" s="1"/>
  <c r="BM34" i="8" s="1"/>
  <c r="EG34" i="8" s="1"/>
  <c r="EH34" i="8" s="1"/>
  <c r="BM108" i="8"/>
  <c r="EH44" i="7"/>
  <c r="BN51" i="7"/>
  <c r="BN52" i="7"/>
  <c r="BO101" i="9"/>
  <c r="BO85" i="9" s="1"/>
  <c r="BM137" i="8" s="1"/>
  <c r="BM28" i="8" s="1"/>
  <c r="BM147" i="8"/>
  <c r="BM153" i="8" s="1"/>
  <c r="EG26" i="8"/>
  <c r="BM57" i="7"/>
  <c r="BL22" i="8"/>
  <c r="EH53" i="7"/>
  <c r="EI53" i="7" s="1"/>
  <c r="EJ53" i="7" s="1"/>
  <c r="EI19" i="7"/>
  <c r="EJ19" i="7" s="1"/>
  <c r="BK36" i="8"/>
  <c r="BK37" i="8"/>
  <c r="BK52" i="8"/>
  <c r="BK53" i="8"/>
  <c r="BP173" i="8" l="1"/>
  <c r="BP29" i="8" s="1"/>
  <c r="CV167" i="8"/>
  <c r="CY115" i="9"/>
  <c r="BO53" i="7"/>
  <c r="BS91" i="9"/>
  <c r="BQ143" i="8" s="1"/>
  <c r="BQ96" i="8"/>
  <c r="BS92" i="9"/>
  <c r="BQ144" i="8" s="1"/>
  <c r="BQ97" i="8"/>
  <c r="BP60" i="9"/>
  <c r="BN106" i="8" s="1"/>
  <c r="BP62" i="9"/>
  <c r="BP64" i="9"/>
  <c r="BN110" i="8" s="1"/>
  <c r="BN100" i="8"/>
  <c r="BN134" i="8" s="1"/>
  <c r="BN26" i="8" s="1"/>
  <c r="BO41" i="7"/>
  <c r="BO42" i="7" s="1"/>
  <c r="BO44" i="7" s="1"/>
  <c r="BP95" i="9"/>
  <c r="BQ98" i="8"/>
  <c r="BS93" i="9"/>
  <c r="BQ145" i="8" s="1"/>
  <c r="BT40" i="9"/>
  <c r="BQ89" i="8"/>
  <c r="BS44" i="9"/>
  <c r="BQ103" i="8"/>
  <c r="BS98" i="9"/>
  <c r="BQ150" i="8" s="1"/>
  <c r="BQ101" i="8"/>
  <c r="BR45" i="7"/>
  <c r="BR46" i="7" s="1"/>
  <c r="BR48" i="7" s="1"/>
  <c r="BS96" i="9"/>
  <c r="BQ148" i="8" s="1"/>
  <c r="BR9" i="7"/>
  <c r="BR10" i="7" s="1"/>
  <c r="BQ129" i="8"/>
  <c r="BQ33" i="8"/>
  <c r="BQ107" i="8"/>
  <c r="BQ104" i="8"/>
  <c r="BS99" i="9"/>
  <c r="BQ151" i="8" s="1"/>
  <c r="BS94" i="9"/>
  <c r="BQ146" i="8" s="1"/>
  <c r="BR37" i="7"/>
  <c r="BR38" i="7" s="1"/>
  <c r="BR40" i="7" s="1"/>
  <c r="BQ99" i="8"/>
  <c r="BR29" i="7"/>
  <c r="BR30" i="7" s="1"/>
  <c r="BR32" i="7" s="1"/>
  <c r="BQ92" i="8"/>
  <c r="BS87" i="9"/>
  <c r="BQ139" i="8" s="1"/>
  <c r="BQ94" i="8"/>
  <c r="BS89" i="9"/>
  <c r="BQ141" i="8" s="1"/>
  <c r="BQ91" i="8"/>
  <c r="BR25" i="7"/>
  <c r="BR26" i="7" s="1"/>
  <c r="BR28" i="7" s="1"/>
  <c r="BS86" i="9"/>
  <c r="BQ95" i="8"/>
  <c r="BS90" i="9"/>
  <c r="BQ142" i="8" s="1"/>
  <c r="BQ105" i="8"/>
  <c r="BS100" i="9"/>
  <c r="BQ152" i="8" s="1"/>
  <c r="BS88" i="9"/>
  <c r="BQ140" i="8" s="1"/>
  <c r="BQ93" i="8"/>
  <c r="BR33" i="7"/>
  <c r="BR34" i="7" s="1"/>
  <c r="BR36" i="7" s="1"/>
  <c r="BS97" i="9"/>
  <c r="BQ149" i="8" s="1"/>
  <c r="BQ102" i="8"/>
  <c r="BQ20" i="7"/>
  <c r="BQ12" i="7"/>
  <c r="BP17" i="7"/>
  <c r="BD41" i="8"/>
  <c r="BD46" i="8"/>
  <c r="EG35" i="8"/>
  <c r="EH35" i="8" s="1"/>
  <c r="BB39" i="8"/>
  <c r="BH41" i="8"/>
  <c r="BH46" i="8"/>
  <c r="BE41" i="8"/>
  <c r="BE46" i="8"/>
  <c r="BI41" i="8"/>
  <c r="BI46" i="8"/>
  <c r="BG41" i="8"/>
  <c r="BG46" i="8"/>
  <c r="BF41" i="8"/>
  <c r="BF46" i="8"/>
  <c r="BC46" i="8"/>
  <c r="BC41" i="8"/>
  <c r="BJ41" i="8"/>
  <c r="BJ46" i="8"/>
  <c r="EI44" i="7"/>
  <c r="EH52" i="7"/>
  <c r="EI52" i="7" s="1"/>
  <c r="EJ52" i="7" s="1"/>
  <c r="EH51" i="7"/>
  <c r="BN56" i="7"/>
  <c r="BN57" i="7" s="1"/>
  <c r="BM18" i="8"/>
  <c r="EH26" i="8"/>
  <c r="BL23" i="8"/>
  <c r="BK39" i="8"/>
  <c r="BS146" i="9"/>
  <c r="BS142" i="9" s="1"/>
  <c r="EG28" i="8"/>
  <c r="BM32" i="8"/>
  <c r="EH28" i="8" l="1"/>
  <c r="EH32" i="8" s="1"/>
  <c r="EG32" i="8"/>
  <c r="CW167" i="8"/>
  <c r="CZ115" i="9"/>
  <c r="BN19" i="8"/>
  <c r="BN27" i="8"/>
  <c r="BN30" i="8"/>
  <c r="BN44" i="8"/>
  <c r="BP63" i="9"/>
  <c r="BN108" i="8"/>
  <c r="BO51" i="7"/>
  <c r="BO52" i="7"/>
  <c r="BP101" i="9"/>
  <c r="BP85" i="9" s="1"/>
  <c r="BN137" i="8" s="1"/>
  <c r="BN28" i="8" s="1"/>
  <c r="BN147" i="8"/>
  <c r="BN153" i="8" s="1"/>
  <c r="BT136" i="9"/>
  <c r="BT43" i="9"/>
  <c r="BT145" i="9"/>
  <c r="BT56" i="9"/>
  <c r="BT55" i="9"/>
  <c r="BQ54" i="9"/>
  <c r="BT52" i="9"/>
  <c r="BT144" i="9"/>
  <c r="BT135" i="9"/>
  <c r="BT141" i="9" s="1"/>
  <c r="BT61" i="9" s="1"/>
  <c r="BR86" i="8"/>
  <c r="BT46" i="9"/>
  <c r="BT49" i="9"/>
  <c r="BT51" i="9"/>
  <c r="BT45" i="9"/>
  <c r="BT53" i="9"/>
  <c r="BT47" i="9"/>
  <c r="BT48" i="9"/>
  <c r="BT57" i="9"/>
  <c r="BT58" i="9"/>
  <c r="BT59" i="9"/>
  <c r="BT50" i="9"/>
  <c r="BQ172" i="8"/>
  <c r="BQ171" i="8"/>
  <c r="BR15" i="7"/>
  <c r="BQ133" i="8"/>
  <c r="BQ130" i="8" s="1"/>
  <c r="BQ90" i="8"/>
  <c r="BQ16" i="7"/>
  <c r="BQ138" i="8"/>
  <c r="BP19" i="7"/>
  <c r="BD48" i="8"/>
  <c r="BD42" i="8"/>
  <c r="BB41" i="8"/>
  <c r="BB46" i="8"/>
  <c r="BH48" i="8"/>
  <c r="BH42" i="8"/>
  <c r="BE48" i="8"/>
  <c r="BE42" i="8"/>
  <c r="BI48" i="8"/>
  <c r="BI42" i="8"/>
  <c r="BG42" i="8"/>
  <c r="BG48" i="8"/>
  <c r="BF48" i="8"/>
  <c r="BF42" i="8"/>
  <c r="BC42" i="8"/>
  <c r="BC48" i="8"/>
  <c r="BJ48" i="8"/>
  <c r="BJ42" i="8"/>
  <c r="EH56" i="7"/>
  <c r="EI51" i="7"/>
  <c r="BM22" i="8"/>
  <c r="EG18" i="8"/>
  <c r="BL182" i="8"/>
  <c r="BL25" i="8"/>
  <c r="BK41" i="8"/>
  <c r="BK46" i="8"/>
  <c r="BT146" i="9" l="1"/>
  <c r="BT142" i="9" s="1"/>
  <c r="BQ173" i="8"/>
  <c r="BQ29" i="8" s="1"/>
  <c r="BN32" i="8"/>
  <c r="CX167" i="8"/>
  <c r="DA115" i="9"/>
  <c r="BN109" i="8"/>
  <c r="BN34" i="8" s="1"/>
  <c r="BD114" i="9"/>
  <c r="BO56" i="7"/>
  <c r="BO57" i="7" s="1"/>
  <c r="BN18" i="8"/>
  <c r="BU40" i="9"/>
  <c r="BR89" i="8"/>
  <c r="BT44" i="9"/>
  <c r="BT97" i="9"/>
  <c r="BR149" i="8" s="1"/>
  <c r="BR102" i="8"/>
  <c r="BR101" i="8"/>
  <c r="BT96" i="9"/>
  <c r="BR148" i="8" s="1"/>
  <c r="BS45" i="7"/>
  <c r="BS46" i="7" s="1"/>
  <c r="BS48" i="7" s="1"/>
  <c r="BQ60" i="9"/>
  <c r="BO106" i="8" s="1"/>
  <c r="BQ62" i="9"/>
  <c r="BQ64" i="9"/>
  <c r="BO110" i="8" s="1"/>
  <c r="BP41" i="7"/>
  <c r="BP42" i="7" s="1"/>
  <c r="BP44" i="7" s="1"/>
  <c r="BQ95" i="9"/>
  <c r="BO100" i="8"/>
  <c r="BO134" i="8" s="1"/>
  <c r="BO26" i="8" s="1"/>
  <c r="BT93" i="9"/>
  <c r="BR145" i="8" s="1"/>
  <c r="BR98" i="8"/>
  <c r="BR107" i="8"/>
  <c r="BS9" i="7"/>
  <c r="BS10" i="7" s="1"/>
  <c r="BR33" i="8"/>
  <c r="BR129" i="8"/>
  <c r="BS29" i="7"/>
  <c r="BS30" i="7" s="1"/>
  <c r="BS32" i="7" s="1"/>
  <c r="BT87" i="9"/>
  <c r="BR139" i="8" s="1"/>
  <c r="BR92" i="8"/>
  <c r="BT90" i="9"/>
  <c r="BR142" i="8" s="1"/>
  <c r="BR95" i="8"/>
  <c r="BT92" i="9"/>
  <c r="BR144" i="8" s="1"/>
  <c r="BR97" i="8"/>
  <c r="BT86" i="9"/>
  <c r="BR91" i="8"/>
  <c r="BS25" i="7"/>
  <c r="BS26" i="7" s="1"/>
  <c r="BS28" i="7" s="1"/>
  <c r="BT94" i="9"/>
  <c r="BR146" i="8" s="1"/>
  <c r="BS37" i="7"/>
  <c r="BS38" i="7" s="1"/>
  <c r="BS40" i="7" s="1"/>
  <c r="BR99" i="8"/>
  <c r="BR93" i="8"/>
  <c r="BS33" i="7"/>
  <c r="BS34" i="7" s="1"/>
  <c r="BS36" i="7" s="1"/>
  <c r="BT88" i="9"/>
  <c r="BR140" i="8" s="1"/>
  <c r="BR94" i="8"/>
  <c r="BT89" i="9"/>
  <c r="BR141" i="8" s="1"/>
  <c r="BR103" i="8"/>
  <c r="BT98" i="9"/>
  <c r="BR150" i="8" s="1"/>
  <c r="BT99" i="9"/>
  <c r="BR151" i="8" s="1"/>
  <c r="BR104" i="8"/>
  <c r="BT100" i="9"/>
  <c r="BR152" i="8" s="1"/>
  <c r="BR105" i="8"/>
  <c r="BT91" i="9"/>
  <c r="BR143" i="8" s="1"/>
  <c r="BR96" i="8"/>
  <c r="BR20" i="7"/>
  <c r="BQ17" i="7"/>
  <c r="BR12" i="7"/>
  <c r="BP53" i="7"/>
  <c r="BD55" i="8"/>
  <c r="BD49" i="8"/>
  <c r="BB48" i="8"/>
  <c r="BB42" i="8"/>
  <c r="BH55" i="8"/>
  <c r="BH49" i="8"/>
  <c r="BE55" i="8"/>
  <c r="BE49" i="8"/>
  <c r="BI49" i="8"/>
  <c r="BI55" i="8"/>
  <c r="BG49" i="8"/>
  <c r="BG55" i="8"/>
  <c r="BF49" i="8"/>
  <c r="BF55" i="8"/>
  <c r="BC49" i="8"/>
  <c r="BC55" i="8"/>
  <c r="BJ55" i="8"/>
  <c r="BJ49" i="8"/>
  <c r="EI56" i="7"/>
  <c r="EH57" i="7"/>
  <c r="EH18" i="8"/>
  <c r="BL53" i="8"/>
  <c r="BL37" i="8"/>
  <c r="BL52" i="8"/>
  <c r="BL36" i="8"/>
  <c r="BK48" i="8"/>
  <c r="BK42" i="8"/>
  <c r="EG22" i="8"/>
  <c r="BM23" i="8"/>
  <c r="EH22" i="8" l="1"/>
  <c r="EH23" i="8" s="1"/>
  <c r="EH25" i="8" s="1"/>
  <c r="EG23" i="8"/>
  <c r="EG25" i="8" s="1"/>
  <c r="CY167" i="8"/>
  <c r="DB115" i="9"/>
  <c r="BB166" i="8"/>
  <c r="BB58" i="8" s="1"/>
  <c r="BE114" i="9"/>
  <c r="BN22" i="8"/>
  <c r="BN23" i="8" s="1"/>
  <c r="BN25" i="8" s="1"/>
  <c r="BU135" i="9"/>
  <c r="BU141" i="9" s="1"/>
  <c r="BU61" i="9" s="1"/>
  <c r="BU53" i="9"/>
  <c r="BU47" i="9"/>
  <c r="BU55" i="9"/>
  <c r="BS86" i="8"/>
  <c r="BU58" i="9"/>
  <c r="BU57" i="9"/>
  <c r="BU48" i="9"/>
  <c r="BU144" i="9"/>
  <c r="BU46" i="9"/>
  <c r="BU59" i="9"/>
  <c r="BR54" i="9"/>
  <c r="BU51" i="9"/>
  <c r="BU45" i="9"/>
  <c r="BU43" i="9"/>
  <c r="BU50" i="9"/>
  <c r="BU145" i="9"/>
  <c r="BU56" i="9"/>
  <c r="BU52" i="9"/>
  <c r="BU49" i="9"/>
  <c r="BU136" i="9"/>
  <c r="BR172" i="8"/>
  <c r="BR133" i="8"/>
  <c r="BR130" i="8" s="1"/>
  <c r="BR171" i="8"/>
  <c r="BS15" i="7"/>
  <c r="BR90" i="8"/>
  <c r="BO27" i="8"/>
  <c r="BO44" i="8"/>
  <c r="BO30" i="8"/>
  <c r="BQ63" i="9"/>
  <c r="BO108" i="8"/>
  <c r="BP51" i="7"/>
  <c r="BP52" i="7"/>
  <c r="BQ101" i="9"/>
  <c r="BQ85" i="9" s="1"/>
  <c r="BO137" i="8" s="1"/>
  <c r="BO28" i="8" s="1"/>
  <c r="BO147" i="8"/>
  <c r="BO153" i="8" s="1"/>
  <c r="BR16" i="7"/>
  <c r="BR138" i="8"/>
  <c r="BQ19" i="7"/>
  <c r="BO19" i="8"/>
  <c r="BD56" i="8"/>
  <c r="BB55" i="8"/>
  <c r="BB49" i="8"/>
  <c r="BH56" i="8"/>
  <c r="BE56" i="8"/>
  <c r="BI56" i="8"/>
  <c r="BG56" i="8"/>
  <c r="BF56" i="8"/>
  <c r="BC56" i="8"/>
  <c r="BJ56" i="8"/>
  <c r="EJ56" i="7"/>
  <c r="EI57" i="7"/>
  <c r="EJ57" i="7" s="1"/>
  <c r="BL39" i="8"/>
  <c r="BK55" i="8"/>
  <c r="BK49" i="8"/>
  <c r="BM182" i="8"/>
  <c r="BM25" i="8"/>
  <c r="BO32" i="8" l="1"/>
  <c r="EI35" i="8"/>
  <c r="EI44" i="8"/>
  <c r="EI51" i="8"/>
  <c r="EI32" i="8"/>
  <c r="EI29" i="8"/>
  <c r="EI34" i="8"/>
  <c r="EI33" i="8"/>
  <c r="EI26" i="8"/>
  <c r="EI30" i="8"/>
  <c r="EI27" i="8"/>
  <c r="EI31" i="8"/>
  <c r="EI28" i="8"/>
  <c r="CZ167" i="8"/>
  <c r="DC115" i="9"/>
  <c r="BF114" i="9"/>
  <c r="BC166" i="8"/>
  <c r="BC58" i="8" s="1"/>
  <c r="BN36" i="8"/>
  <c r="BN37" i="8"/>
  <c r="BN52" i="8"/>
  <c r="BN53" i="8"/>
  <c r="BS107" i="8"/>
  <c r="BS99" i="8"/>
  <c r="BT37" i="7"/>
  <c r="BT38" i="7" s="1"/>
  <c r="BT40" i="7" s="1"/>
  <c r="BU94" i="9"/>
  <c r="BS146" i="8" s="1"/>
  <c r="BU88" i="9"/>
  <c r="BS140" i="8" s="1"/>
  <c r="BS93" i="8"/>
  <c r="BT33" i="7"/>
  <c r="BT34" i="7" s="1"/>
  <c r="BT36" i="7" s="1"/>
  <c r="BS101" i="8"/>
  <c r="BT45" i="7"/>
  <c r="BT46" i="7" s="1"/>
  <c r="BT48" i="7" s="1"/>
  <c r="BU96" i="9"/>
  <c r="BS148" i="8" s="1"/>
  <c r="BS129" i="8"/>
  <c r="BS33" i="8"/>
  <c r="BT9" i="7"/>
  <c r="BT10" i="7" s="1"/>
  <c r="BU99" i="9"/>
  <c r="BS151" i="8" s="1"/>
  <c r="BS104" i="8"/>
  <c r="BU98" i="9"/>
  <c r="BS150" i="8" s="1"/>
  <c r="BS103" i="8"/>
  <c r="BS94" i="8"/>
  <c r="BU89" i="9"/>
  <c r="BS141" i="8" s="1"/>
  <c r="BS92" i="8"/>
  <c r="BU87" i="9"/>
  <c r="BS139" i="8" s="1"/>
  <c r="BT29" i="7"/>
  <c r="BT30" i="7" s="1"/>
  <c r="BT32" i="7" s="1"/>
  <c r="BU100" i="9"/>
  <c r="BS152" i="8" s="1"/>
  <c r="BS105" i="8"/>
  <c r="BR60" i="9"/>
  <c r="BP106" i="8" s="1"/>
  <c r="BR62" i="9"/>
  <c r="BR64" i="9"/>
  <c r="BP110" i="8" s="1"/>
  <c r="BQ41" i="7"/>
  <c r="BQ42" i="7" s="1"/>
  <c r="BQ44" i="7" s="1"/>
  <c r="BP100" i="8"/>
  <c r="BP134" i="8" s="1"/>
  <c r="BP26" i="8" s="1"/>
  <c r="BR95" i="9"/>
  <c r="BS97" i="8"/>
  <c r="BU92" i="9"/>
  <c r="BS144" i="8" s="1"/>
  <c r="BT25" i="7"/>
  <c r="BT26" i="7" s="1"/>
  <c r="BT28" i="7" s="1"/>
  <c r="BU86" i="9"/>
  <c r="BS91" i="8"/>
  <c r="BS89" i="8"/>
  <c r="BV40" i="9"/>
  <c r="BU44" i="9"/>
  <c r="BS96" i="8"/>
  <c r="BU91" i="9"/>
  <c r="BS143" i="8" s="1"/>
  <c r="BS102" i="8"/>
  <c r="BU97" i="9"/>
  <c r="BS149" i="8" s="1"/>
  <c r="BU93" i="9"/>
  <c r="BS145" i="8" s="1"/>
  <c r="BS98" i="8"/>
  <c r="BU90" i="9"/>
  <c r="BS142" i="8" s="1"/>
  <c r="BS95" i="8"/>
  <c r="BS20" i="7"/>
  <c r="BO109" i="8"/>
  <c r="BO34" i="8" s="1"/>
  <c r="BP56" i="7"/>
  <c r="BP57" i="7" s="1"/>
  <c r="BO18" i="8"/>
  <c r="BR17" i="7"/>
  <c r="BS12" i="7"/>
  <c r="BQ53" i="7"/>
  <c r="BB63" i="8"/>
  <c r="BB56" i="8"/>
  <c r="BL41" i="8"/>
  <c r="BL46" i="8"/>
  <c r="BK56" i="8"/>
  <c r="BM37" i="8"/>
  <c r="EG37" i="8" s="1"/>
  <c r="EH37" i="8" s="1"/>
  <c r="EI37" i="8" s="1"/>
  <c r="BM53" i="8"/>
  <c r="EG53" i="8" s="1"/>
  <c r="EH53" i="8" s="1"/>
  <c r="EI53" i="8" s="1"/>
  <c r="BM36" i="8"/>
  <c r="BM52" i="8"/>
  <c r="EG52" i="8" s="1"/>
  <c r="EH52" i="8" s="1"/>
  <c r="EI52" i="8" s="1"/>
  <c r="M8" i="8"/>
  <c r="N8" i="8" s="1"/>
  <c r="BU146" i="9"/>
  <c r="BU142" i="9" s="1"/>
  <c r="BR173" i="8"/>
  <c r="BR29" i="8" s="1"/>
  <c r="BN182" i="8"/>
  <c r="BB66" i="8"/>
  <c r="BB60" i="8"/>
  <c r="BB61" i="8" s="1"/>
  <c r="DD115" i="9" l="1"/>
  <c r="DA167" i="8"/>
  <c r="BD166" i="8"/>
  <c r="BD58" i="8" s="1"/>
  <c r="BG114" i="9"/>
  <c r="BC63" i="8"/>
  <c r="BC64" i="8" s="1"/>
  <c r="BC60" i="8"/>
  <c r="BC61" i="8" s="1"/>
  <c r="BC66" i="8"/>
  <c r="BS16" i="7"/>
  <c r="BP44" i="8"/>
  <c r="BP30" i="8"/>
  <c r="BP27" i="8"/>
  <c r="BR63" i="9"/>
  <c r="BP108" i="8"/>
  <c r="BQ52" i="7"/>
  <c r="BQ51" i="7"/>
  <c r="BR101" i="9"/>
  <c r="BR85" i="9" s="1"/>
  <c r="BP137" i="8" s="1"/>
  <c r="BP28" i="8" s="1"/>
  <c r="BP147" i="8"/>
  <c r="BP153" i="8" s="1"/>
  <c r="BS138" i="8"/>
  <c r="BS171" i="8"/>
  <c r="BS172" i="8"/>
  <c r="BS133" i="8"/>
  <c r="BS130" i="8" s="1"/>
  <c r="BT15" i="7"/>
  <c r="BV57" i="9"/>
  <c r="BV56" i="9"/>
  <c r="BV145" i="9"/>
  <c r="BT86" i="8"/>
  <c r="BV49" i="9"/>
  <c r="BV46" i="9"/>
  <c r="BV144" i="9"/>
  <c r="BV135" i="9"/>
  <c r="BV141" i="9" s="1"/>
  <c r="BV61" i="9" s="1"/>
  <c r="BV58" i="9"/>
  <c r="BV59" i="9"/>
  <c r="BV48" i="9"/>
  <c r="BS54" i="9"/>
  <c r="BV55" i="9"/>
  <c r="BV47" i="9"/>
  <c r="BV53" i="9"/>
  <c r="BV45" i="9"/>
  <c r="BV136" i="9"/>
  <c r="BV52" i="9"/>
  <c r="BV51" i="9"/>
  <c r="BV43" i="9"/>
  <c r="BV50" i="9"/>
  <c r="BS90" i="8"/>
  <c r="BO22" i="8"/>
  <c r="BO23" i="8" s="1"/>
  <c r="BR19" i="7"/>
  <c r="BP19" i="8"/>
  <c r="BB64" i="8"/>
  <c r="BL48" i="8"/>
  <c r="BL42" i="8"/>
  <c r="EG36" i="8"/>
  <c r="BM39" i="8"/>
  <c r="BB183" i="8"/>
  <c r="BV146" i="9" l="1"/>
  <c r="BV142" i="9" s="1"/>
  <c r="BP32" i="8"/>
  <c r="BC183" i="8"/>
  <c r="DE115" i="9"/>
  <c r="DB167" i="8"/>
  <c r="BD63" i="8"/>
  <c r="BD66" i="8"/>
  <c r="BD60" i="8"/>
  <c r="BD61" i="8" s="1"/>
  <c r="BH114" i="9"/>
  <c r="BE166" i="8"/>
  <c r="BE58" i="8" s="1"/>
  <c r="BT12" i="7"/>
  <c r="BS17" i="7"/>
  <c r="BP109" i="8"/>
  <c r="BP34" i="8" s="1"/>
  <c r="BP18" i="8"/>
  <c r="BQ56" i="7"/>
  <c r="BT20" i="7"/>
  <c r="BT103" i="8"/>
  <c r="BV98" i="9"/>
  <c r="BT150" i="8" s="1"/>
  <c r="BV97" i="9"/>
  <c r="BT149" i="8" s="1"/>
  <c r="BT102" i="8"/>
  <c r="BU9" i="7"/>
  <c r="BU10" i="7" s="1"/>
  <c r="BT129" i="8"/>
  <c r="BT33" i="8"/>
  <c r="BT95" i="8"/>
  <c r="BV90" i="9"/>
  <c r="BT142" i="8" s="1"/>
  <c r="BV87" i="9"/>
  <c r="BT139" i="8" s="1"/>
  <c r="BT92" i="8"/>
  <c r="BU29" i="7"/>
  <c r="BU30" i="7" s="1"/>
  <c r="BU32" i="7" s="1"/>
  <c r="BT107" i="8"/>
  <c r="BV99" i="9"/>
  <c r="BT151" i="8" s="1"/>
  <c r="BT104" i="8"/>
  <c r="BV100" i="9"/>
  <c r="BT152" i="8" s="1"/>
  <c r="BT105" i="8"/>
  <c r="BT94" i="8"/>
  <c r="BV89" i="9"/>
  <c r="BT141" i="8" s="1"/>
  <c r="BS60" i="9"/>
  <c r="BQ106" i="8" s="1"/>
  <c r="BS62" i="9"/>
  <c r="BS64" i="9"/>
  <c r="BQ110" i="8" s="1"/>
  <c r="BQ100" i="8"/>
  <c r="BQ134" i="8" s="1"/>
  <c r="BQ26" i="8" s="1"/>
  <c r="BS95" i="9"/>
  <c r="BR41" i="7"/>
  <c r="BR42" i="7" s="1"/>
  <c r="BR44" i="7" s="1"/>
  <c r="BU45" i="7"/>
  <c r="BU46" i="7" s="1"/>
  <c r="BU48" i="7" s="1"/>
  <c r="BV96" i="9"/>
  <c r="BT148" i="8" s="1"/>
  <c r="BT101" i="8"/>
  <c r="BV88" i="9"/>
  <c r="BT140" i="8" s="1"/>
  <c r="BU33" i="7"/>
  <c r="BU34" i="7" s="1"/>
  <c r="BU36" i="7" s="1"/>
  <c r="BT93" i="8"/>
  <c r="BV94" i="9"/>
  <c r="BT146" i="8" s="1"/>
  <c r="BU37" i="7"/>
  <c r="BU38" i="7" s="1"/>
  <c r="BU40" i="7" s="1"/>
  <c r="BT99" i="8"/>
  <c r="BT91" i="8"/>
  <c r="BV86" i="9"/>
  <c r="BU25" i="7"/>
  <c r="BU26" i="7" s="1"/>
  <c r="BU28" i="7" s="1"/>
  <c r="BT98" i="8"/>
  <c r="BV93" i="9"/>
  <c r="BT145" i="8" s="1"/>
  <c r="BV92" i="9"/>
  <c r="BT144" i="8" s="1"/>
  <c r="BT97" i="8"/>
  <c r="BT89" i="8"/>
  <c r="BW40" i="9"/>
  <c r="BV44" i="9"/>
  <c r="BT96" i="8"/>
  <c r="BV91" i="9"/>
  <c r="BT143" i="8" s="1"/>
  <c r="BO182" i="8"/>
  <c r="BO25" i="8"/>
  <c r="BR53" i="7"/>
  <c r="BL55" i="8"/>
  <c r="BL49" i="8"/>
  <c r="EH36" i="8"/>
  <c r="EG39" i="8"/>
  <c r="BM41" i="8"/>
  <c r="BM46" i="8"/>
  <c r="BS173" i="8"/>
  <c r="BS29" i="8" s="1"/>
  <c r="DF115" i="9" l="1"/>
  <c r="DC167" i="8"/>
  <c r="BD64" i="8"/>
  <c r="BD183" i="8"/>
  <c r="BI114" i="9"/>
  <c r="BF166" i="8"/>
  <c r="BF58" i="8" s="1"/>
  <c r="BE63" i="8"/>
  <c r="BE60" i="8"/>
  <c r="BE61" i="8" s="1"/>
  <c r="BE66" i="8"/>
  <c r="BS19" i="7"/>
  <c r="BQ57" i="7"/>
  <c r="BP22" i="8"/>
  <c r="BT16" i="7"/>
  <c r="BQ44" i="8"/>
  <c r="BQ30" i="8"/>
  <c r="BQ27" i="8"/>
  <c r="BS63" i="9"/>
  <c r="BQ108" i="8"/>
  <c r="BS101" i="9"/>
  <c r="BS85" i="9" s="1"/>
  <c r="BQ137" i="8" s="1"/>
  <c r="BQ28" i="8" s="1"/>
  <c r="BQ147" i="8"/>
  <c r="BQ153" i="8" s="1"/>
  <c r="BR51" i="7"/>
  <c r="BR52" i="7"/>
  <c r="BT138" i="8"/>
  <c r="BT172" i="8"/>
  <c r="BT133" i="8"/>
  <c r="BT130" i="8" s="1"/>
  <c r="BU15" i="7"/>
  <c r="BT171" i="8"/>
  <c r="BW57" i="9"/>
  <c r="BW135" i="9"/>
  <c r="BW141" i="9" s="1"/>
  <c r="BW61" i="9" s="1"/>
  <c r="BW53" i="9"/>
  <c r="BW46" i="9"/>
  <c r="BW145" i="9"/>
  <c r="BW52" i="9"/>
  <c r="BW136" i="9"/>
  <c r="BT54" i="9"/>
  <c r="BU86" i="8"/>
  <c r="BW47" i="9"/>
  <c r="BW48" i="9"/>
  <c r="BW50" i="9"/>
  <c r="BW43" i="9"/>
  <c r="BW144" i="9"/>
  <c r="BW59" i="9"/>
  <c r="BW58" i="9"/>
  <c r="BW49" i="9"/>
  <c r="BW56" i="9"/>
  <c r="BW55" i="9"/>
  <c r="BW51" i="9"/>
  <c r="BW45" i="9"/>
  <c r="BT90" i="8"/>
  <c r="BO37" i="8"/>
  <c r="BO53" i="8"/>
  <c r="BO52" i="8"/>
  <c r="BO36" i="8"/>
  <c r="BQ19" i="8"/>
  <c r="BL56" i="8"/>
  <c r="EH39" i="8"/>
  <c r="EI36" i="8"/>
  <c r="EG41" i="8"/>
  <c r="EG46" i="8"/>
  <c r="BM42" i="8"/>
  <c r="BM48" i="8"/>
  <c r="BW146" i="9" l="1"/>
  <c r="BW142" i="9" s="1"/>
  <c r="BT173" i="8"/>
  <c r="BT29" i="8" s="1"/>
  <c r="BQ32" i="8"/>
  <c r="DD167" i="8"/>
  <c r="DG115" i="9"/>
  <c r="BG166" i="8"/>
  <c r="BG58" i="8" s="1"/>
  <c r="BJ114" i="9"/>
  <c r="BF63" i="8"/>
  <c r="BF60" i="8"/>
  <c r="BF61" i="8" s="1"/>
  <c r="BF66" i="8"/>
  <c r="BS53" i="7"/>
  <c r="BP23" i="8"/>
  <c r="BT17" i="7"/>
  <c r="BU12" i="7"/>
  <c r="BQ109" i="8"/>
  <c r="BQ34" i="8" s="1"/>
  <c r="BR56" i="7"/>
  <c r="BQ18" i="8"/>
  <c r="BU20" i="7"/>
  <c r="BW98" i="9"/>
  <c r="BU150" i="8" s="1"/>
  <c r="BU103" i="8"/>
  <c r="BU107" i="8"/>
  <c r="BU99" i="8"/>
  <c r="BW94" i="9"/>
  <c r="BU146" i="8" s="1"/>
  <c r="BV37" i="7"/>
  <c r="BV38" i="7" s="1"/>
  <c r="BV40" i="7" s="1"/>
  <c r="BU92" i="8"/>
  <c r="BW87" i="9"/>
  <c r="BU139" i="8" s="1"/>
  <c r="BV29" i="7"/>
  <c r="BV30" i="7" s="1"/>
  <c r="BV32" i="7" s="1"/>
  <c r="BW93" i="9"/>
  <c r="BU145" i="8" s="1"/>
  <c r="BU98" i="8"/>
  <c r="BT60" i="9"/>
  <c r="BR106" i="8" s="1"/>
  <c r="BT64" i="9"/>
  <c r="BR110" i="8" s="1"/>
  <c r="BT62" i="9"/>
  <c r="BT95" i="9"/>
  <c r="BS41" i="7"/>
  <c r="BS42" i="7" s="1"/>
  <c r="BS44" i="7" s="1"/>
  <c r="BR100" i="8"/>
  <c r="BR134" i="8" s="1"/>
  <c r="BR26" i="8" s="1"/>
  <c r="BU33" i="8"/>
  <c r="BV9" i="7"/>
  <c r="BV10" i="7" s="1"/>
  <c r="BU129" i="8"/>
  <c r="BV33" i="7"/>
  <c r="BV34" i="7" s="1"/>
  <c r="BV36" i="7" s="1"/>
  <c r="BW88" i="9"/>
  <c r="BU140" i="8" s="1"/>
  <c r="BU93" i="8"/>
  <c r="BW89" i="9"/>
  <c r="BU141" i="8" s="1"/>
  <c r="BU94" i="8"/>
  <c r="BU96" i="8"/>
  <c r="BW91" i="9"/>
  <c r="BU143" i="8" s="1"/>
  <c r="BU89" i="8"/>
  <c r="BX40" i="9"/>
  <c r="BW44" i="9"/>
  <c r="BU105" i="8"/>
  <c r="BW100" i="9"/>
  <c r="BU152" i="8" s="1"/>
  <c r="BW99" i="9"/>
  <c r="BU151" i="8" s="1"/>
  <c r="BU104" i="8"/>
  <c r="BW90" i="9"/>
  <c r="BU142" i="8" s="1"/>
  <c r="BU95" i="8"/>
  <c r="BW97" i="9"/>
  <c r="BU149" i="8" s="1"/>
  <c r="BU102" i="8"/>
  <c r="BV45" i="7"/>
  <c r="BV46" i="7" s="1"/>
  <c r="BV48" i="7" s="1"/>
  <c r="BU101" i="8"/>
  <c r="BW96" i="9"/>
  <c r="BU148" i="8" s="1"/>
  <c r="BW92" i="9"/>
  <c r="BU144" i="8" s="1"/>
  <c r="BU97" i="8"/>
  <c r="BU91" i="8"/>
  <c r="BV25" i="7"/>
  <c r="BV26" i="7" s="1"/>
  <c r="BV28" i="7" s="1"/>
  <c r="BW86" i="9"/>
  <c r="EH41" i="8"/>
  <c r="EH46" i="8"/>
  <c r="EI39" i="8"/>
  <c r="EG42" i="8"/>
  <c r="EG48" i="8"/>
  <c r="BM49" i="8"/>
  <c r="BM55" i="8"/>
  <c r="BE183" i="8"/>
  <c r="BE64" i="8"/>
  <c r="DE167" i="8" l="1"/>
  <c r="DH115" i="9"/>
  <c r="BG63" i="8"/>
  <c r="BG64" i="8" s="1"/>
  <c r="BG66" i="8"/>
  <c r="BG60" i="8"/>
  <c r="BG61" i="8" s="1"/>
  <c r="BH166" i="8"/>
  <c r="BH58" i="8" s="1"/>
  <c r="BK114" i="9"/>
  <c r="BR19" i="8"/>
  <c r="BP182" i="8"/>
  <c r="BP25" i="8"/>
  <c r="BT19" i="7"/>
  <c r="BR57" i="7"/>
  <c r="BQ22" i="8"/>
  <c r="BR27" i="8"/>
  <c r="BR30" i="8"/>
  <c r="BR44" i="8"/>
  <c r="BT63" i="9"/>
  <c r="BR109" i="8" s="1"/>
  <c r="BR34" i="8" s="1"/>
  <c r="BR108" i="8"/>
  <c r="BT101" i="9"/>
  <c r="BT85" i="9" s="1"/>
  <c r="BR137" i="8" s="1"/>
  <c r="BR28" i="8" s="1"/>
  <c r="BR147" i="8"/>
  <c r="BR153" i="8" s="1"/>
  <c r="BS51" i="7"/>
  <c r="BS52" i="7"/>
  <c r="BU16" i="7"/>
  <c r="BV15" i="7"/>
  <c r="BU171" i="8"/>
  <c r="BU133" i="8"/>
  <c r="BU130" i="8" s="1"/>
  <c r="BU172" i="8"/>
  <c r="BV86" i="8"/>
  <c r="BX59" i="9"/>
  <c r="BU54" i="9"/>
  <c r="BX49" i="9"/>
  <c r="BX43" i="9"/>
  <c r="BX44" i="9" s="1"/>
  <c r="BX56" i="9"/>
  <c r="BX51" i="9"/>
  <c r="BX58" i="9"/>
  <c r="BX55" i="9"/>
  <c r="BX57" i="9"/>
  <c r="BX144" i="9"/>
  <c r="BX46" i="9"/>
  <c r="BX145" i="9"/>
  <c r="BX135" i="9"/>
  <c r="BX141" i="9" s="1"/>
  <c r="BX61" i="9" s="1"/>
  <c r="BX50" i="9"/>
  <c r="BX52" i="9"/>
  <c r="BX47" i="9"/>
  <c r="BX53" i="9"/>
  <c r="BX136" i="9"/>
  <c r="BX45" i="9"/>
  <c r="BX48" i="9"/>
  <c r="BU90" i="8"/>
  <c r="BU138" i="8"/>
  <c r="EH42" i="8"/>
  <c r="EH48" i="8"/>
  <c r="EG49" i="8"/>
  <c r="EG55" i="8"/>
  <c r="BM56" i="8"/>
  <c r="BF183" i="8"/>
  <c r="BF64" i="8"/>
  <c r="BG183" i="8" l="1"/>
  <c r="BR32" i="8"/>
  <c r="DF167" i="8"/>
  <c r="DI115" i="9"/>
  <c r="BH63" i="8"/>
  <c r="BH64" i="8" s="1"/>
  <c r="BH60" i="8"/>
  <c r="BH61" i="8" s="1"/>
  <c r="BH66" i="8"/>
  <c r="BL114" i="9"/>
  <c r="BI166" i="8"/>
  <c r="BI58" i="8" s="1"/>
  <c r="BP37" i="8"/>
  <c r="BP36" i="8"/>
  <c r="BP53" i="8"/>
  <c r="BP52" i="8"/>
  <c r="BT53" i="7"/>
  <c r="BQ23" i="8"/>
  <c r="BS56" i="7"/>
  <c r="BS57" i="7" s="1"/>
  <c r="BR18" i="8"/>
  <c r="BU17" i="7"/>
  <c r="BV12" i="7"/>
  <c r="BV20" i="7"/>
  <c r="BW9" i="7"/>
  <c r="BW10" i="7" s="1"/>
  <c r="BV129" i="8"/>
  <c r="BV33" i="8"/>
  <c r="BX100" i="9"/>
  <c r="BV152" i="8" s="1"/>
  <c r="BV105" i="8"/>
  <c r="BU60" i="9"/>
  <c r="BS106" i="8" s="1"/>
  <c r="BU64" i="9"/>
  <c r="BS110" i="8" s="1"/>
  <c r="BU62" i="9"/>
  <c r="BS100" i="8"/>
  <c r="BS134" i="8" s="1"/>
  <c r="BS26" i="8" s="1"/>
  <c r="BT41" i="7"/>
  <c r="BT42" i="7" s="1"/>
  <c r="BT44" i="7" s="1"/>
  <c r="BU95" i="9"/>
  <c r="BX90" i="9"/>
  <c r="BV142" i="8" s="1"/>
  <c r="BV95" i="8"/>
  <c r="BV89" i="8"/>
  <c r="BY40" i="9"/>
  <c r="BX97" i="9"/>
  <c r="BV149" i="8" s="1"/>
  <c r="BV102" i="8"/>
  <c r="BX92" i="9"/>
  <c r="BV144" i="8" s="1"/>
  <c r="BV97" i="8"/>
  <c r="BV104" i="8"/>
  <c r="BX99" i="9"/>
  <c r="BV151" i="8" s="1"/>
  <c r="BV90" i="8"/>
  <c r="BW45" i="7"/>
  <c r="BW46" i="7" s="1"/>
  <c r="BW48" i="7" s="1"/>
  <c r="BX96" i="9"/>
  <c r="BV148" i="8" s="1"/>
  <c r="BV101" i="8"/>
  <c r="BV103" i="8"/>
  <c r="BX98" i="9"/>
  <c r="BV150" i="8" s="1"/>
  <c r="BW29" i="7"/>
  <c r="BW30" i="7" s="1"/>
  <c r="BW32" i="7" s="1"/>
  <c r="BV92" i="8"/>
  <c r="BX87" i="9"/>
  <c r="BV139" i="8" s="1"/>
  <c r="BV107" i="8"/>
  <c r="BX91" i="9"/>
  <c r="BV143" i="8" s="1"/>
  <c r="BV96" i="8"/>
  <c r="BV98" i="8"/>
  <c r="BX93" i="9"/>
  <c r="BV145" i="8" s="1"/>
  <c r="BW33" i="7"/>
  <c r="BW34" i="7" s="1"/>
  <c r="BW36" i="7" s="1"/>
  <c r="BX88" i="9"/>
  <c r="BV140" i="8" s="1"/>
  <c r="BV93" i="8"/>
  <c r="BW37" i="7"/>
  <c r="BW38" i="7" s="1"/>
  <c r="BW40" i="7" s="1"/>
  <c r="BX94" i="9"/>
  <c r="BV146" i="8" s="1"/>
  <c r="BV99" i="8"/>
  <c r="BV91" i="8"/>
  <c r="BX86" i="9"/>
  <c r="BW25" i="7"/>
  <c r="BW26" i="7" s="1"/>
  <c r="BW28" i="7" s="1"/>
  <c r="BV94" i="8"/>
  <c r="BX89" i="9"/>
  <c r="BV141" i="8" s="1"/>
  <c r="EH49" i="8"/>
  <c r="EH55" i="8"/>
  <c r="EG56" i="8"/>
  <c r="BU173" i="8"/>
  <c r="BU29" i="8" s="1"/>
  <c r="BX146" i="9"/>
  <c r="BX142" i="9" s="1"/>
  <c r="BH183" i="8" l="1"/>
  <c r="DG167" i="8"/>
  <c r="DJ115" i="9"/>
  <c r="BJ166" i="8"/>
  <c r="BJ58" i="8" s="1"/>
  <c r="BM114" i="9"/>
  <c r="BI63" i="8"/>
  <c r="BI64" i="8" s="1"/>
  <c r="BI66" i="8"/>
  <c r="BI60" i="8"/>
  <c r="BI61" i="8" s="1"/>
  <c r="BS19" i="8"/>
  <c r="BQ182" i="8"/>
  <c r="BQ25" i="8"/>
  <c r="BR22" i="8"/>
  <c r="BR23" i="8" s="1"/>
  <c r="BR25" i="8" s="1"/>
  <c r="BU19" i="7"/>
  <c r="BV16" i="7"/>
  <c r="BS27" i="8"/>
  <c r="BS30" i="8"/>
  <c r="BS44" i="8"/>
  <c r="BU63" i="9"/>
  <c r="BS109" i="8" s="1"/>
  <c r="BS34" i="8" s="1"/>
  <c r="BS108" i="8"/>
  <c r="BT52" i="7"/>
  <c r="BT51" i="7"/>
  <c r="BU101" i="9"/>
  <c r="BU85" i="9" s="1"/>
  <c r="BS137" i="8" s="1"/>
  <c r="BS28" i="8" s="1"/>
  <c r="BS147" i="8"/>
  <c r="BS153" i="8" s="1"/>
  <c r="BV133" i="8"/>
  <c r="BV130" i="8" s="1"/>
  <c r="BV172" i="8"/>
  <c r="BV171" i="8"/>
  <c r="BW15" i="7"/>
  <c r="BY57" i="9"/>
  <c r="BY58" i="9"/>
  <c r="BY145" i="9"/>
  <c r="BY45" i="9"/>
  <c r="BY55" i="9"/>
  <c r="BY56" i="9"/>
  <c r="BY51" i="9"/>
  <c r="BY53" i="9"/>
  <c r="BY49" i="9"/>
  <c r="BY136" i="9"/>
  <c r="BY50" i="9"/>
  <c r="BY144" i="9"/>
  <c r="BY135" i="9"/>
  <c r="BY141" i="9" s="1"/>
  <c r="BY61" i="9" s="1"/>
  <c r="BY48" i="9"/>
  <c r="BY43" i="9"/>
  <c r="BV54" i="9"/>
  <c r="BW86" i="8"/>
  <c r="BY47" i="9"/>
  <c r="BY59" i="9"/>
  <c r="BY46" i="9"/>
  <c r="BY52" i="9"/>
  <c r="BV138" i="8"/>
  <c r="EH56" i="8"/>
  <c r="BI183" i="8" l="1"/>
  <c r="BS32" i="8"/>
  <c r="BV173" i="8"/>
  <c r="BV29" i="8" s="1"/>
  <c r="BY146" i="9"/>
  <c r="BY142" i="9" s="1"/>
  <c r="DH167" i="8"/>
  <c r="DK115" i="9"/>
  <c r="BJ63" i="8"/>
  <c r="BJ64" i="8" s="1"/>
  <c r="BJ60" i="8"/>
  <c r="BJ61" i="8" s="1"/>
  <c r="BJ66" i="8"/>
  <c r="BK166" i="8"/>
  <c r="BK58" i="8" s="1"/>
  <c r="BN114" i="9"/>
  <c r="BQ52" i="8"/>
  <c r="BQ36" i="8"/>
  <c r="BQ37" i="8"/>
  <c r="BQ53" i="8"/>
  <c r="BR36" i="8"/>
  <c r="BR53" i="8"/>
  <c r="BR52" i="8"/>
  <c r="BR37" i="8"/>
  <c r="BU53" i="7"/>
  <c r="BV17" i="7"/>
  <c r="BW12" i="7"/>
  <c r="BS18" i="8"/>
  <c r="BT56" i="7"/>
  <c r="BT57" i="7" s="1"/>
  <c r="BW20" i="7"/>
  <c r="BY98" i="9"/>
  <c r="BW150" i="8" s="1"/>
  <c r="BW103" i="8"/>
  <c r="BW104" i="8"/>
  <c r="BY99" i="9"/>
  <c r="BW151" i="8" s="1"/>
  <c r="BX25" i="7"/>
  <c r="BX26" i="7" s="1"/>
  <c r="BX28" i="7" s="1"/>
  <c r="BW91" i="8"/>
  <c r="BY86" i="9"/>
  <c r="BX45" i="7"/>
  <c r="BX46" i="7" s="1"/>
  <c r="BX48" i="7" s="1"/>
  <c r="BW101" i="8"/>
  <c r="BY96" i="9"/>
  <c r="BW148" i="8" s="1"/>
  <c r="BY97" i="9"/>
  <c r="BW149" i="8" s="1"/>
  <c r="BW102" i="8"/>
  <c r="BY92" i="9"/>
  <c r="BW144" i="8" s="1"/>
  <c r="BW97" i="8"/>
  <c r="BY94" i="9"/>
  <c r="BW146" i="8" s="1"/>
  <c r="BW99" i="8"/>
  <c r="BX37" i="7"/>
  <c r="BX38" i="7" s="1"/>
  <c r="BX40" i="7" s="1"/>
  <c r="BY90" i="9"/>
  <c r="BW142" i="8" s="1"/>
  <c r="BW95" i="8"/>
  <c r="BY91" i="9"/>
  <c r="BW143" i="8" s="1"/>
  <c r="BW96" i="8"/>
  <c r="BW107" i="8"/>
  <c r="BY89" i="9"/>
  <c r="BW141" i="8" s="1"/>
  <c r="BW94" i="8"/>
  <c r="BW89" i="8"/>
  <c r="BZ40" i="9"/>
  <c r="BY44" i="9"/>
  <c r="BV60" i="9"/>
  <c r="BT106" i="8" s="1"/>
  <c r="BV64" i="9"/>
  <c r="BT110" i="8" s="1"/>
  <c r="BV62" i="9"/>
  <c r="BT100" i="8"/>
  <c r="BT134" i="8" s="1"/>
  <c r="BT26" i="8" s="1"/>
  <c r="BV95" i="9"/>
  <c r="BU41" i="7"/>
  <c r="BU42" i="7" s="1"/>
  <c r="BU44" i="7" s="1"/>
  <c r="BW33" i="8"/>
  <c r="BW129" i="8"/>
  <c r="BX9" i="7"/>
  <c r="BX10" i="7" s="1"/>
  <c r="BY88" i="9"/>
  <c r="BW140" i="8" s="1"/>
  <c r="BX33" i="7"/>
  <c r="BX34" i="7" s="1"/>
  <c r="BX36" i="7" s="1"/>
  <c r="BW93" i="8"/>
  <c r="BY100" i="9"/>
  <c r="BW152" i="8" s="1"/>
  <c r="BW105" i="8"/>
  <c r="BX29" i="7"/>
  <c r="BX30" i="7" s="1"/>
  <c r="BX32" i="7" s="1"/>
  <c r="BY87" i="9"/>
  <c r="BW139" i="8" s="1"/>
  <c r="BW92" i="8"/>
  <c r="BY93" i="9"/>
  <c r="BW145" i="8" s="1"/>
  <c r="BW98" i="8"/>
  <c r="BR182" i="8"/>
  <c r="BJ183" i="8" l="1"/>
  <c r="DI167" i="8"/>
  <c r="DL115" i="9"/>
  <c r="BK63" i="8"/>
  <c r="BK64" i="8" s="1"/>
  <c r="BK66" i="8"/>
  <c r="BK60" i="8"/>
  <c r="BK61" i="8" s="1"/>
  <c r="BL166" i="8"/>
  <c r="BL58" i="8" s="1"/>
  <c r="BO114" i="9"/>
  <c r="BM166" i="8" s="1"/>
  <c r="BM58" i="8" s="1"/>
  <c r="BT19" i="8"/>
  <c r="BV19" i="7"/>
  <c r="BS22" i="8"/>
  <c r="BS23" i="8" s="1"/>
  <c r="BW138" i="8"/>
  <c r="BW133" i="8"/>
  <c r="BW130" i="8" s="1"/>
  <c r="BW172" i="8"/>
  <c r="BX15" i="7"/>
  <c r="BW171" i="8"/>
  <c r="BZ52" i="9"/>
  <c r="BZ135" i="9"/>
  <c r="BZ141" i="9" s="1"/>
  <c r="BZ61" i="9" s="1"/>
  <c r="BZ43" i="9"/>
  <c r="BZ55" i="9"/>
  <c r="BZ57" i="9"/>
  <c r="BZ49" i="9"/>
  <c r="BZ53" i="9"/>
  <c r="BZ58" i="9"/>
  <c r="BZ145" i="9"/>
  <c r="BZ136" i="9"/>
  <c r="BZ59" i="9"/>
  <c r="BZ144" i="9"/>
  <c r="BX86" i="8"/>
  <c r="BZ45" i="9"/>
  <c r="BZ51" i="9"/>
  <c r="BZ56" i="9"/>
  <c r="BZ46" i="9"/>
  <c r="BZ47" i="9"/>
  <c r="BW54" i="9"/>
  <c r="BZ50" i="9"/>
  <c r="BZ48" i="9"/>
  <c r="BW90" i="8"/>
  <c r="BT44" i="8"/>
  <c r="BT30" i="8"/>
  <c r="BT27" i="8"/>
  <c r="BV63" i="9"/>
  <c r="BT109" i="8" s="1"/>
  <c r="BT34" i="8" s="1"/>
  <c r="BT108" i="8"/>
  <c r="BV101" i="9"/>
  <c r="BV85" i="9" s="1"/>
  <c r="BT137" i="8" s="1"/>
  <c r="BT28" i="8" s="1"/>
  <c r="BT147" i="8"/>
  <c r="BT153" i="8" s="1"/>
  <c r="BU52" i="7"/>
  <c r="BU51" i="7"/>
  <c r="BW16" i="7"/>
  <c r="BZ146" i="9" l="1"/>
  <c r="BZ142" i="9" s="1"/>
  <c r="BK183" i="8"/>
  <c r="EG58" i="8"/>
  <c r="BW173" i="8"/>
  <c r="BW29" i="8" s="1"/>
  <c r="BT32" i="8"/>
  <c r="DM115" i="9"/>
  <c r="DJ167" i="8"/>
  <c r="BL63" i="8"/>
  <c r="BL64" i="8" s="1"/>
  <c r="BL66" i="8"/>
  <c r="BL60" i="8"/>
  <c r="BL61" i="8" s="1"/>
  <c r="BM63" i="8"/>
  <c r="BM66" i="8"/>
  <c r="BM60" i="8"/>
  <c r="BM61" i="8" s="1"/>
  <c r="BV53" i="7"/>
  <c r="BS182" i="8"/>
  <c r="BS25" i="8"/>
  <c r="BX20" i="7"/>
  <c r="BZ93" i="9"/>
  <c r="BX145" i="8" s="1"/>
  <c r="BX98" i="8"/>
  <c r="BX107" i="8"/>
  <c r="CA40" i="9"/>
  <c r="BX89" i="8"/>
  <c r="BZ44" i="9"/>
  <c r="BY45" i="7"/>
  <c r="BY46" i="7" s="1"/>
  <c r="BY48" i="7" s="1"/>
  <c r="BX101" i="8"/>
  <c r="BZ96" i="9"/>
  <c r="BX148" i="8" s="1"/>
  <c r="BX103" i="8"/>
  <c r="BZ98" i="9"/>
  <c r="BX150" i="8" s="1"/>
  <c r="BZ90" i="9"/>
  <c r="BX142" i="8" s="1"/>
  <c r="BX95" i="8"/>
  <c r="BX99" i="8"/>
  <c r="BY37" i="7"/>
  <c r="BY38" i="7" s="1"/>
  <c r="BY40" i="7" s="1"/>
  <c r="BZ94" i="9"/>
  <c r="BX146" i="8" s="1"/>
  <c r="BZ99" i="9"/>
  <c r="BX151" i="8" s="1"/>
  <c r="BX104" i="8"/>
  <c r="BZ100" i="9"/>
  <c r="BX152" i="8" s="1"/>
  <c r="BX105" i="8"/>
  <c r="BX33" i="8"/>
  <c r="BX129" i="8"/>
  <c r="BY9" i="7"/>
  <c r="BY10" i="7" s="1"/>
  <c r="BZ86" i="9"/>
  <c r="BY25" i="7"/>
  <c r="BY26" i="7" s="1"/>
  <c r="BY28" i="7" s="1"/>
  <c r="BX91" i="8"/>
  <c r="BX97" i="8"/>
  <c r="BZ92" i="9"/>
  <c r="BX144" i="8" s="1"/>
  <c r="BZ97" i="9"/>
  <c r="BX149" i="8" s="1"/>
  <c r="BX102" i="8"/>
  <c r="BZ87" i="9"/>
  <c r="BX139" i="8" s="1"/>
  <c r="BY29" i="7"/>
  <c r="BY30" i="7" s="1"/>
  <c r="BY32" i="7" s="1"/>
  <c r="BX92" i="8"/>
  <c r="BZ88" i="9"/>
  <c r="BX140" i="8" s="1"/>
  <c r="BX93" i="8"/>
  <c r="BY33" i="7"/>
  <c r="BY34" i="7" s="1"/>
  <c r="BY36" i="7" s="1"/>
  <c r="BW60" i="9"/>
  <c r="BU106" i="8" s="1"/>
  <c r="BW62" i="9"/>
  <c r="BW64" i="9"/>
  <c r="BU110" i="8" s="1"/>
  <c r="BU100" i="8"/>
  <c r="BU134" i="8" s="1"/>
  <c r="BU26" i="8" s="1"/>
  <c r="BW95" i="9"/>
  <c r="BV41" i="7"/>
  <c r="BV42" i="7" s="1"/>
  <c r="BV44" i="7" s="1"/>
  <c r="BZ91" i="9"/>
  <c r="BX143" i="8" s="1"/>
  <c r="BX96" i="8"/>
  <c r="BZ89" i="9"/>
  <c r="BX141" i="8" s="1"/>
  <c r="BX94" i="8"/>
  <c r="BT18" i="8"/>
  <c r="BU56" i="7"/>
  <c r="BW17" i="7"/>
  <c r="BX12" i="7"/>
  <c r="BL183" i="8" l="1"/>
  <c r="BM183" i="8" s="1"/>
  <c r="EG60" i="8"/>
  <c r="EG61" i="8" s="1"/>
  <c r="EG66" i="8"/>
  <c r="EH58" i="8"/>
  <c r="EG63" i="8"/>
  <c r="EG64" i="8" s="1"/>
  <c r="M9" i="8"/>
  <c r="DN115" i="9"/>
  <c r="DK167" i="8"/>
  <c r="M11" i="8"/>
  <c r="BM64" i="8"/>
  <c r="BU19" i="8"/>
  <c r="BS36" i="8"/>
  <c r="BS53" i="8"/>
  <c r="BS37" i="8"/>
  <c r="BS52" i="8"/>
  <c r="CA50" i="9"/>
  <c r="CA48" i="9"/>
  <c r="CA144" i="9"/>
  <c r="CA58" i="9"/>
  <c r="CA145" i="9"/>
  <c r="CA135" i="9"/>
  <c r="CA141" i="9" s="1"/>
  <c r="CA61" i="9" s="1"/>
  <c r="CA57" i="9"/>
  <c r="CA136" i="9"/>
  <c r="CA56" i="9"/>
  <c r="CA51" i="9"/>
  <c r="CA43" i="9"/>
  <c r="CA44" i="9" s="1"/>
  <c r="CA45" i="9"/>
  <c r="BX54" i="9"/>
  <c r="CA59" i="9"/>
  <c r="CA55" i="9"/>
  <c r="CA53" i="9"/>
  <c r="CA46" i="9"/>
  <c r="CA49" i="9"/>
  <c r="CA52" i="9"/>
  <c r="BY86" i="8"/>
  <c r="CA47" i="9"/>
  <c r="BX172" i="8"/>
  <c r="BY15" i="7"/>
  <c r="BX133" i="8"/>
  <c r="BX130" i="8" s="1"/>
  <c r="BX171" i="8"/>
  <c r="BX90" i="8"/>
  <c r="BX16" i="7"/>
  <c r="BX138" i="8"/>
  <c r="BU44" i="8"/>
  <c r="BU30" i="8"/>
  <c r="BU27" i="8"/>
  <c r="BW63" i="9"/>
  <c r="BU109" i="8" s="1"/>
  <c r="BU34" i="8" s="1"/>
  <c r="BU108" i="8"/>
  <c r="BW101" i="9"/>
  <c r="BW85" i="9" s="1"/>
  <c r="BU137" i="8" s="1"/>
  <c r="BU28" i="8" s="1"/>
  <c r="BU147" i="8"/>
  <c r="BU153" i="8" s="1"/>
  <c r="BV51" i="7"/>
  <c r="BV52" i="7"/>
  <c r="BU57" i="7"/>
  <c r="BT22" i="8"/>
  <c r="BW19" i="7"/>
  <c r="EI58" i="8" l="1"/>
  <c r="EH63" i="8"/>
  <c r="EH64" i="8" s="1"/>
  <c r="EH66" i="8"/>
  <c r="EH60" i="8"/>
  <c r="EH61" i="8" s="1"/>
  <c r="BU32" i="8"/>
  <c r="N9" i="8"/>
  <c r="N10" i="8" s="1"/>
  <c r="M10" i="8"/>
  <c r="DL167" i="8"/>
  <c r="DO115" i="9"/>
  <c r="M12" i="8"/>
  <c r="N11" i="8"/>
  <c r="N12" i="8" s="1"/>
  <c r="BY90" i="8"/>
  <c r="BY96" i="8"/>
  <c r="CA91" i="9"/>
  <c r="BY143" i="8" s="1"/>
  <c r="BY94" i="8"/>
  <c r="CA89" i="9"/>
  <c r="BY141" i="8" s="1"/>
  <c r="CA99" i="9"/>
  <c r="BY151" i="8" s="1"/>
  <c r="BY104" i="8"/>
  <c r="BY107" i="8"/>
  <c r="CA98" i="9"/>
  <c r="BY150" i="8" s="1"/>
  <c r="BY103" i="8"/>
  <c r="CA97" i="9"/>
  <c r="BY149" i="8" s="1"/>
  <c r="BY102" i="8"/>
  <c r="BY97" i="8"/>
  <c r="CA92" i="9"/>
  <c r="BY144" i="8" s="1"/>
  <c r="CB40" i="9"/>
  <c r="BY89" i="8"/>
  <c r="BY91" i="8"/>
  <c r="CA86" i="9"/>
  <c r="BZ25" i="7"/>
  <c r="BZ26" i="7" s="1"/>
  <c r="BZ28" i="7" s="1"/>
  <c r="EK28" i="7" s="1"/>
  <c r="BX64" i="9"/>
  <c r="BV110" i="8" s="1"/>
  <c r="BX62" i="9"/>
  <c r="BX60" i="9"/>
  <c r="BV106" i="8" s="1"/>
  <c r="BV100" i="8"/>
  <c r="BV134" i="8" s="1"/>
  <c r="BV26" i="8" s="1"/>
  <c r="BW41" i="7"/>
  <c r="BW42" i="7" s="1"/>
  <c r="BW44" i="7" s="1"/>
  <c r="BX95" i="9"/>
  <c r="BY105" i="8"/>
  <c r="CA100" i="9"/>
  <c r="BY152" i="8" s="1"/>
  <c r="BZ45" i="7"/>
  <c r="BZ46" i="7" s="1"/>
  <c r="BZ48" i="7" s="1"/>
  <c r="EK48" i="7" s="1"/>
  <c r="CA96" i="9"/>
  <c r="BY148" i="8" s="1"/>
  <c r="BY101" i="8"/>
  <c r="BZ37" i="7"/>
  <c r="BZ38" i="7" s="1"/>
  <c r="BZ40" i="7" s="1"/>
  <c r="EK40" i="7" s="1"/>
  <c r="CA94" i="9"/>
  <c r="BY146" i="8" s="1"/>
  <c r="BY99" i="8"/>
  <c r="BY92" i="8"/>
  <c r="CA87" i="9"/>
  <c r="BY139" i="8" s="1"/>
  <c r="BZ29" i="7"/>
  <c r="BZ30" i="7" s="1"/>
  <c r="BZ32" i="7" s="1"/>
  <c r="EK32" i="7" s="1"/>
  <c r="BY95" i="8"/>
  <c r="CA90" i="9"/>
  <c r="BY142" i="8" s="1"/>
  <c r="CA93" i="9"/>
  <c r="BY145" i="8" s="1"/>
  <c r="BY98" i="8"/>
  <c r="BY33" i="8"/>
  <c r="EJ33" i="8" s="1"/>
  <c r="BY129" i="8"/>
  <c r="BZ9" i="7"/>
  <c r="BZ10" i="7" s="1"/>
  <c r="BZ33" i="7"/>
  <c r="BZ34" i="7" s="1"/>
  <c r="BZ36" i="7" s="1"/>
  <c r="EK36" i="7" s="1"/>
  <c r="BY93" i="8"/>
  <c r="CA88" i="9"/>
  <c r="BY140" i="8" s="1"/>
  <c r="BY20" i="7"/>
  <c r="BX17" i="7"/>
  <c r="BY12" i="7"/>
  <c r="BV56" i="7"/>
  <c r="BU18" i="8"/>
  <c r="BV57" i="7"/>
  <c r="BT23" i="8"/>
  <c r="BW53" i="7"/>
  <c r="BX173" i="8"/>
  <c r="BX29" i="8" s="1"/>
  <c r="CA146" i="9"/>
  <c r="CA142" i="9" s="1"/>
  <c r="DP115" i="9" l="1"/>
  <c r="DM167" i="8"/>
  <c r="CB51" i="9"/>
  <c r="CB55" i="9"/>
  <c r="CB52" i="9"/>
  <c r="CB56" i="9"/>
  <c r="CB46" i="9"/>
  <c r="CB50" i="9"/>
  <c r="CB47" i="9"/>
  <c r="CB48" i="9"/>
  <c r="CB45" i="9"/>
  <c r="BZ86" i="8"/>
  <c r="CB43" i="9"/>
  <c r="CB135" i="9"/>
  <c r="CB141" i="9" s="1"/>
  <c r="CB61" i="9" s="1"/>
  <c r="BY54" i="9"/>
  <c r="CB57" i="9"/>
  <c r="CB144" i="9"/>
  <c r="CB49" i="9"/>
  <c r="CB59" i="9"/>
  <c r="CB53" i="9"/>
  <c r="CB58" i="9"/>
  <c r="CB136" i="9"/>
  <c r="CB145" i="9"/>
  <c r="BZ15" i="7"/>
  <c r="BY133" i="8"/>
  <c r="BY130" i="8" s="1"/>
  <c r="BY171" i="8"/>
  <c r="BY172" i="8"/>
  <c r="BY138" i="8"/>
  <c r="BX63" i="9"/>
  <c r="BV109" i="8" s="1"/>
  <c r="BV34" i="8" s="1"/>
  <c r="BV108" i="8"/>
  <c r="BV30" i="8"/>
  <c r="BV44" i="8"/>
  <c r="BV27" i="8"/>
  <c r="BW51" i="7"/>
  <c r="BW52" i="7"/>
  <c r="BX101" i="9"/>
  <c r="BX85" i="9" s="1"/>
  <c r="BV137" i="8" s="1"/>
  <c r="BV28" i="8" s="1"/>
  <c r="BV147" i="8"/>
  <c r="BV153" i="8" s="1"/>
  <c r="EK9" i="7"/>
  <c r="BY16" i="7"/>
  <c r="BX19" i="7"/>
  <c r="BU22" i="8"/>
  <c r="BU23" i="8" s="1"/>
  <c r="BU25" i="8" s="1"/>
  <c r="BT182" i="8"/>
  <c r="BT25" i="8"/>
  <c r="BV19" i="8"/>
  <c r="BV32" i="8" l="1"/>
  <c r="DQ115" i="9"/>
  <c r="DN167" i="8"/>
  <c r="CB92" i="9"/>
  <c r="BZ144" i="8" s="1"/>
  <c r="BZ97" i="8"/>
  <c r="CA45" i="7"/>
  <c r="CA46" i="7" s="1"/>
  <c r="CA48" i="7" s="1"/>
  <c r="BZ101" i="8"/>
  <c r="CB96" i="9"/>
  <c r="BZ148" i="8" s="1"/>
  <c r="BZ98" i="8"/>
  <c r="CB93" i="9"/>
  <c r="BZ145" i="8" s="1"/>
  <c r="BZ102" i="8"/>
  <c r="CB97" i="9"/>
  <c r="BZ149" i="8" s="1"/>
  <c r="CB87" i="9"/>
  <c r="BZ139" i="8" s="1"/>
  <c r="CA29" i="7"/>
  <c r="CA30" i="7" s="1"/>
  <c r="CA32" i="7" s="1"/>
  <c r="BZ92" i="8"/>
  <c r="CB91" i="9"/>
  <c r="BZ143" i="8" s="1"/>
  <c r="BZ96" i="8"/>
  <c r="CA33" i="7"/>
  <c r="CA34" i="7" s="1"/>
  <c r="CA36" i="7" s="1"/>
  <c r="BZ93" i="8"/>
  <c r="CB88" i="9"/>
  <c r="BZ140" i="8" s="1"/>
  <c r="BZ94" i="8"/>
  <c r="CB89" i="9"/>
  <c r="BZ141" i="8" s="1"/>
  <c r="CB86" i="9"/>
  <c r="CA25" i="7"/>
  <c r="CA26" i="7" s="1"/>
  <c r="CA28" i="7" s="1"/>
  <c r="BZ91" i="8"/>
  <c r="BZ129" i="8"/>
  <c r="CA9" i="7"/>
  <c r="CA10" i="7" s="1"/>
  <c r="BZ33" i="8"/>
  <c r="BZ89" i="8"/>
  <c r="CC40" i="9"/>
  <c r="CB44" i="9"/>
  <c r="BZ107" i="8"/>
  <c r="BY60" i="9"/>
  <c r="BW106" i="8" s="1"/>
  <c r="BY62" i="9"/>
  <c r="BY64" i="9"/>
  <c r="BW110" i="8" s="1"/>
  <c r="BW100" i="8"/>
  <c r="BW134" i="8" s="1"/>
  <c r="BW26" i="8" s="1"/>
  <c r="BX41" i="7"/>
  <c r="BX42" i="7" s="1"/>
  <c r="BX44" i="7" s="1"/>
  <c r="BY95" i="9"/>
  <c r="CB98" i="9"/>
  <c r="BZ150" i="8" s="1"/>
  <c r="BZ103" i="8"/>
  <c r="BZ95" i="8"/>
  <c r="CB90" i="9"/>
  <c r="BZ142" i="8" s="1"/>
  <c r="BZ105" i="8"/>
  <c r="CB100" i="9"/>
  <c r="BZ152" i="8" s="1"/>
  <c r="CA37" i="7"/>
  <c r="CA38" i="7" s="1"/>
  <c r="CA40" i="7" s="1"/>
  <c r="BZ99" i="8"/>
  <c r="CB94" i="9"/>
  <c r="BZ146" i="8" s="1"/>
  <c r="CB99" i="9"/>
  <c r="BZ151" i="8" s="1"/>
  <c r="BZ104" i="8"/>
  <c r="EK15" i="7"/>
  <c r="BZ20" i="7"/>
  <c r="BW56" i="7"/>
  <c r="BW57" i="7" s="1"/>
  <c r="BV18" i="8"/>
  <c r="BY17" i="7"/>
  <c r="EK10" i="7"/>
  <c r="BZ12" i="7"/>
  <c r="BX53" i="7"/>
  <c r="BU37" i="8"/>
  <c r="BU53" i="8"/>
  <c r="BU52" i="8"/>
  <c r="BU36" i="8"/>
  <c r="BT52" i="8"/>
  <c r="BT37" i="8"/>
  <c r="BT53" i="8"/>
  <c r="BT36" i="8"/>
  <c r="CB146" i="9"/>
  <c r="CB142" i="9" s="1"/>
  <c r="BU182" i="8"/>
  <c r="BY173" i="8"/>
  <c r="BY29" i="8" s="1"/>
  <c r="EJ29" i="8" s="1"/>
  <c r="DR115" i="9" l="1"/>
  <c r="DO167" i="8"/>
  <c r="BZ138" i="8"/>
  <c r="BZ16" i="7"/>
  <c r="CA15" i="7"/>
  <c r="BZ172" i="8"/>
  <c r="BZ171" i="8"/>
  <c r="BZ133" i="8"/>
  <c r="BZ130" i="8" s="1"/>
  <c r="CC57" i="9"/>
  <c r="CC145" i="9"/>
  <c r="CC144" i="9"/>
  <c r="CC46" i="9"/>
  <c r="CC51" i="9"/>
  <c r="CC47" i="9"/>
  <c r="CC53" i="9"/>
  <c r="CC136" i="9"/>
  <c r="CA86" i="8"/>
  <c r="CC48" i="9"/>
  <c r="CC55" i="9"/>
  <c r="CC56" i="9"/>
  <c r="CC58" i="9"/>
  <c r="BZ54" i="9"/>
  <c r="CC52" i="9"/>
  <c r="CC43" i="9"/>
  <c r="CC44" i="9" s="1"/>
  <c r="CC135" i="9"/>
  <c r="CC141" i="9" s="1"/>
  <c r="CC61" i="9" s="1"/>
  <c r="CC49" i="9"/>
  <c r="CC45" i="9"/>
  <c r="CC50" i="9"/>
  <c r="CC59" i="9"/>
  <c r="BZ90" i="8"/>
  <c r="BW44" i="8"/>
  <c r="BW27" i="8"/>
  <c r="BW30" i="8"/>
  <c r="BY63" i="9"/>
  <c r="BW109" i="8" s="1"/>
  <c r="BW34" i="8" s="1"/>
  <c r="BW108" i="8"/>
  <c r="BX52" i="7"/>
  <c r="BX51" i="7"/>
  <c r="BY101" i="9"/>
  <c r="BY85" i="9" s="1"/>
  <c r="BW137" i="8" s="1"/>
  <c r="BW28" i="8" s="1"/>
  <c r="BW147" i="8"/>
  <c r="BW153" i="8" s="1"/>
  <c r="BV22" i="8"/>
  <c r="BV23" i="8" s="1"/>
  <c r="BY19" i="7"/>
  <c r="EK12" i="7"/>
  <c r="BW19" i="8"/>
  <c r="BZ173" i="8" l="1"/>
  <c r="BZ29" i="8" s="1"/>
  <c r="CC146" i="9"/>
  <c r="CC142" i="9" s="1"/>
  <c r="BW32" i="8"/>
  <c r="DP167" i="8"/>
  <c r="DS115" i="9"/>
  <c r="EK16" i="7"/>
  <c r="BZ17" i="7"/>
  <c r="CA12" i="7"/>
  <c r="CA20" i="7"/>
  <c r="CC98" i="9"/>
  <c r="CA150" i="8" s="1"/>
  <c r="CA103" i="8"/>
  <c r="CA90" i="8"/>
  <c r="CC87" i="9"/>
  <c r="CA139" i="8" s="1"/>
  <c r="CA92" i="8"/>
  <c r="CB29" i="7"/>
  <c r="CB30" i="7" s="1"/>
  <c r="CB32" i="7" s="1"/>
  <c r="CC92" i="9"/>
  <c r="CA144" i="8" s="1"/>
  <c r="CA97" i="8"/>
  <c r="CB33" i="7"/>
  <c r="CB34" i="7" s="1"/>
  <c r="CB36" i="7" s="1"/>
  <c r="CA93" i="8"/>
  <c r="CC88" i="9"/>
  <c r="CA140" i="8" s="1"/>
  <c r="CA99" i="8"/>
  <c r="CC94" i="9"/>
  <c r="CA146" i="8" s="1"/>
  <c r="CB37" i="7"/>
  <c r="CB38" i="7" s="1"/>
  <c r="CB40" i="7" s="1"/>
  <c r="CA33" i="8"/>
  <c r="CA129" i="8"/>
  <c r="CB9" i="7"/>
  <c r="CB10" i="7" s="1"/>
  <c r="CC89" i="9"/>
  <c r="CA141" i="8" s="1"/>
  <c r="CA94" i="8"/>
  <c r="CB45" i="7"/>
  <c r="CB46" i="7" s="1"/>
  <c r="CB48" i="7" s="1"/>
  <c r="CC96" i="9"/>
  <c r="CA148" i="8" s="1"/>
  <c r="CA101" i="8"/>
  <c r="CC97" i="9"/>
  <c r="CA149" i="8" s="1"/>
  <c r="CA102" i="8"/>
  <c r="CA104" i="8"/>
  <c r="CC99" i="9"/>
  <c r="CA151" i="8" s="1"/>
  <c r="BZ60" i="9"/>
  <c r="BX106" i="8" s="1"/>
  <c r="BZ64" i="9"/>
  <c r="BX110" i="8" s="1"/>
  <c r="BZ62" i="9"/>
  <c r="BZ95" i="9"/>
  <c r="BY41" i="7"/>
  <c r="BY42" i="7" s="1"/>
  <c r="BY44" i="7" s="1"/>
  <c r="BX100" i="8"/>
  <c r="BX134" i="8" s="1"/>
  <c r="BX26" i="8" s="1"/>
  <c r="CA98" i="8"/>
  <c r="CC93" i="9"/>
  <c r="CA145" i="8" s="1"/>
  <c r="CD40" i="9"/>
  <c r="CA89" i="8"/>
  <c r="CA107" i="8"/>
  <c r="CC90" i="9"/>
  <c r="CA142" i="8" s="1"/>
  <c r="CA95" i="8"/>
  <c r="CB25" i="7"/>
  <c r="CB26" i="7" s="1"/>
  <c r="CB28" i="7" s="1"/>
  <c r="CA91" i="8"/>
  <c r="CC86" i="9"/>
  <c r="CA96" i="8"/>
  <c r="CC91" i="9"/>
  <c r="CA143" i="8" s="1"/>
  <c r="CA105" i="8"/>
  <c r="CC100" i="9"/>
  <c r="CA152" i="8" s="1"/>
  <c r="BW18" i="8"/>
  <c r="BX56" i="7"/>
  <c r="BV182" i="8"/>
  <c r="BV25" i="8"/>
  <c r="BY53" i="7"/>
  <c r="DQ167" i="8" l="1"/>
  <c r="DT115" i="9"/>
  <c r="EK17" i="7"/>
  <c r="BZ19" i="7"/>
  <c r="CA16" i="7"/>
  <c r="BX44" i="8"/>
  <c r="BX27" i="8"/>
  <c r="BX30" i="8"/>
  <c r="BZ63" i="9"/>
  <c r="BX109" i="8" s="1"/>
  <c r="BX34" i="8" s="1"/>
  <c r="BX108" i="8"/>
  <c r="BZ101" i="9"/>
  <c r="BZ85" i="9" s="1"/>
  <c r="BX137" i="8" s="1"/>
  <c r="BX28" i="8" s="1"/>
  <c r="BX147" i="8"/>
  <c r="BX153" i="8" s="1"/>
  <c r="BY52" i="7"/>
  <c r="BY51" i="7"/>
  <c r="CD52" i="9"/>
  <c r="CD50" i="9"/>
  <c r="CD53" i="9"/>
  <c r="CD46" i="9"/>
  <c r="CD144" i="9"/>
  <c r="CD145" i="9"/>
  <c r="CD48" i="9"/>
  <c r="CD57" i="9"/>
  <c r="CD45" i="9"/>
  <c r="CD59" i="9"/>
  <c r="CD49" i="9"/>
  <c r="CA54" i="9"/>
  <c r="CB86" i="8"/>
  <c r="CD135" i="9"/>
  <c r="CD141" i="9" s="1"/>
  <c r="CD61" i="9" s="1"/>
  <c r="CD136" i="9"/>
  <c r="CD55" i="9"/>
  <c r="CD47" i="9"/>
  <c r="CD58" i="9"/>
  <c r="CD51" i="9"/>
  <c r="CD43" i="9"/>
  <c r="CD56" i="9"/>
  <c r="CA172" i="8"/>
  <c r="CA171" i="8"/>
  <c r="CB15" i="7"/>
  <c r="CA133" i="8"/>
  <c r="CA130" i="8" s="1"/>
  <c r="CA138" i="8"/>
  <c r="BX57" i="7"/>
  <c r="BW22" i="8"/>
  <c r="BW23" i="8" s="1"/>
  <c r="BV52" i="8"/>
  <c r="BV53" i="8"/>
  <c r="BV37" i="8"/>
  <c r="BV36" i="8"/>
  <c r="BX19" i="8"/>
  <c r="CA173" i="8" l="1"/>
  <c r="CA29" i="8" s="1"/>
  <c r="BX32" i="8"/>
  <c r="CD146" i="9"/>
  <c r="CD142" i="9" s="1"/>
  <c r="DU115" i="9"/>
  <c r="DR167" i="8"/>
  <c r="EK19" i="7"/>
  <c r="BZ53" i="7"/>
  <c r="CB12" i="7"/>
  <c r="CA17" i="7"/>
  <c r="BX18" i="8"/>
  <c r="BY56" i="7"/>
  <c r="CB98" i="8"/>
  <c r="CD93" i="9"/>
  <c r="CB145" i="8" s="1"/>
  <c r="CD91" i="9"/>
  <c r="CB143" i="8" s="1"/>
  <c r="CB96" i="8"/>
  <c r="CD94" i="9"/>
  <c r="CB146" i="8" s="1"/>
  <c r="CC37" i="7"/>
  <c r="CC38" i="7" s="1"/>
  <c r="CC40" i="7" s="1"/>
  <c r="CB99" i="8"/>
  <c r="CC29" i="7"/>
  <c r="CC30" i="7" s="1"/>
  <c r="CC32" i="7" s="1"/>
  <c r="CD87" i="9"/>
  <c r="CB139" i="8" s="1"/>
  <c r="CB92" i="8"/>
  <c r="CB94" i="8"/>
  <c r="CD89" i="9"/>
  <c r="CB141" i="8" s="1"/>
  <c r="CD98" i="9"/>
  <c r="CB150" i="8" s="1"/>
  <c r="CB103" i="8"/>
  <c r="CC25" i="7"/>
  <c r="CC26" i="7" s="1"/>
  <c r="CC28" i="7" s="1"/>
  <c r="CD86" i="9"/>
  <c r="CB91" i="8"/>
  <c r="CB105" i="8"/>
  <c r="CD100" i="9"/>
  <c r="CB152" i="8" s="1"/>
  <c r="CD90" i="9"/>
  <c r="CB142" i="8" s="1"/>
  <c r="CB95" i="8"/>
  <c r="CA62" i="9"/>
  <c r="CA60" i="9"/>
  <c r="BY106" i="8" s="1"/>
  <c r="CA64" i="9"/>
  <c r="BY110" i="8" s="1"/>
  <c r="BZ41" i="7"/>
  <c r="BZ42" i="7" s="1"/>
  <c r="BZ44" i="7" s="1"/>
  <c r="BY100" i="8"/>
  <c r="BY134" i="8" s="1"/>
  <c r="BY26" i="8" s="1"/>
  <c r="CA95" i="9"/>
  <c r="CC9" i="7"/>
  <c r="CC10" i="7" s="1"/>
  <c r="CB129" i="8"/>
  <c r="CB33" i="8"/>
  <c r="CB107" i="8"/>
  <c r="CD96" i="9"/>
  <c r="CB148" i="8" s="1"/>
  <c r="CC45" i="7"/>
  <c r="CC46" i="7" s="1"/>
  <c r="CC48" i="7" s="1"/>
  <c r="CB101" i="8"/>
  <c r="CC33" i="7"/>
  <c r="CC34" i="7" s="1"/>
  <c r="CC36" i="7" s="1"/>
  <c r="CD88" i="9"/>
  <c r="CB140" i="8" s="1"/>
  <c r="CB93" i="8"/>
  <c r="CD99" i="9"/>
  <c r="CB151" i="8" s="1"/>
  <c r="CB104" i="8"/>
  <c r="CB97" i="8"/>
  <c r="CD92" i="9"/>
  <c r="CB144" i="8" s="1"/>
  <c r="CE40" i="9"/>
  <c r="CB89" i="8"/>
  <c r="CD44" i="9"/>
  <c r="CB102" i="8"/>
  <c r="CD97" i="9"/>
  <c r="CB149" i="8" s="1"/>
  <c r="CB20" i="7"/>
  <c r="BW182" i="8"/>
  <c r="BW25" i="8"/>
  <c r="DS167" i="8" l="1"/>
  <c r="DV115" i="9"/>
  <c r="EK53" i="7"/>
  <c r="BY19" i="8"/>
  <c r="EJ19" i="8" s="1"/>
  <c r="CA19" i="7"/>
  <c r="BY57" i="7"/>
  <c r="BX22" i="8"/>
  <c r="CB138" i="8"/>
  <c r="CA63" i="9"/>
  <c r="BY109" i="8" s="1"/>
  <c r="BY34" i="8" s="1"/>
  <c r="EJ34" i="8" s="1"/>
  <c r="BY108" i="8"/>
  <c r="BY44" i="8"/>
  <c r="EJ44" i="8" s="1"/>
  <c r="BY27" i="8"/>
  <c r="EJ27" i="8" s="1"/>
  <c r="BY30" i="8"/>
  <c r="EJ30" i="8" s="1"/>
  <c r="BR35" i="8"/>
  <c r="BR39" i="8" s="1"/>
  <c r="BV35" i="8"/>
  <c r="BV39" i="8" s="1"/>
  <c r="BW35" i="8"/>
  <c r="BX35" i="8"/>
  <c r="BT35" i="8"/>
  <c r="BT39" i="8" s="1"/>
  <c r="BP35" i="8"/>
  <c r="BP39" i="8" s="1"/>
  <c r="BN35" i="8"/>
  <c r="BU35" i="8"/>
  <c r="BU39" i="8" s="1"/>
  <c r="BQ35" i="8"/>
  <c r="BQ39" i="8" s="1"/>
  <c r="BO35" i="8"/>
  <c r="BO39" i="8" s="1"/>
  <c r="BS35" i="8"/>
  <c r="BS39" i="8" s="1"/>
  <c r="BY35" i="8"/>
  <c r="EK44" i="7"/>
  <c r="BZ51" i="7"/>
  <c r="BZ52" i="7"/>
  <c r="EJ26" i="8"/>
  <c r="CA101" i="9"/>
  <c r="CA85" i="9" s="1"/>
  <c r="BY137" i="8" s="1"/>
  <c r="BY28" i="8" s="1"/>
  <c r="BY147" i="8"/>
  <c r="BY153" i="8" s="1"/>
  <c r="CB16" i="7"/>
  <c r="CE51" i="9"/>
  <c r="CE136" i="9"/>
  <c r="CE49" i="9"/>
  <c r="CE47" i="9"/>
  <c r="CE53" i="9"/>
  <c r="CE52" i="9"/>
  <c r="CE46" i="9"/>
  <c r="CE144" i="9"/>
  <c r="CE59" i="9"/>
  <c r="CE45" i="9"/>
  <c r="CC86" i="8"/>
  <c r="CE55" i="9"/>
  <c r="CE56" i="9"/>
  <c r="CE43" i="9"/>
  <c r="CE44" i="9" s="1"/>
  <c r="CE58" i="9"/>
  <c r="CE135" i="9"/>
  <c r="CE141" i="9" s="1"/>
  <c r="CE61" i="9" s="1"/>
  <c r="CB54" i="9"/>
  <c r="CE48" i="9"/>
  <c r="CE57" i="9"/>
  <c r="CE145" i="9"/>
  <c r="CE50" i="9"/>
  <c r="CB172" i="8"/>
  <c r="CB133" i="8"/>
  <c r="CB130" i="8" s="1"/>
  <c r="CB171" i="8"/>
  <c r="CC15" i="7"/>
  <c r="CB90" i="8"/>
  <c r="BW52" i="8"/>
  <c r="BW36" i="8"/>
  <c r="BW53" i="8"/>
  <c r="BW37" i="8"/>
  <c r="CB173" i="8" l="1"/>
  <c r="CB29" i="8" s="1"/>
  <c r="BW39" i="8"/>
  <c r="CE146" i="9"/>
  <c r="CE142" i="9" s="1"/>
  <c r="DW115" i="9"/>
  <c r="DU167" i="8" s="1"/>
  <c r="DT167" i="8"/>
  <c r="CA53" i="7"/>
  <c r="BX23" i="8"/>
  <c r="BR41" i="8"/>
  <c r="BR46" i="8"/>
  <c r="BV41" i="8"/>
  <c r="BV46" i="8"/>
  <c r="BT41" i="8"/>
  <c r="BT46" i="8"/>
  <c r="BP41" i="8"/>
  <c r="BP46" i="8"/>
  <c r="BN39" i="8"/>
  <c r="EJ35" i="8"/>
  <c r="BU41" i="8"/>
  <c r="BU46" i="8"/>
  <c r="BQ41" i="8"/>
  <c r="BQ46" i="8"/>
  <c r="BO41" i="8"/>
  <c r="BO46" i="8"/>
  <c r="BS41" i="8"/>
  <c r="BS46" i="8"/>
  <c r="EK51" i="7"/>
  <c r="BZ56" i="7"/>
  <c r="EK52" i="7"/>
  <c r="BY18" i="8"/>
  <c r="EJ18" i="8" s="1"/>
  <c r="CB17" i="7"/>
  <c r="CC12" i="7"/>
  <c r="CC90" i="8"/>
  <c r="CE92" i="9"/>
  <c r="CC144" i="8" s="1"/>
  <c r="CC97" i="8"/>
  <c r="CC95" i="8"/>
  <c r="CE90" i="9"/>
  <c r="CC142" i="8" s="1"/>
  <c r="CC93" i="8"/>
  <c r="CD33" i="7"/>
  <c r="CD34" i="7" s="1"/>
  <c r="CD36" i="7" s="1"/>
  <c r="CE88" i="9"/>
  <c r="CC140" i="8" s="1"/>
  <c r="CC99" i="8"/>
  <c r="CE94" i="9"/>
  <c r="CC146" i="8" s="1"/>
  <c r="CD37" i="7"/>
  <c r="CD38" i="7" s="1"/>
  <c r="CD40" i="7" s="1"/>
  <c r="CC98" i="8"/>
  <c r="CE93" i="9"/>
  <c r="CC145" i="8" s="1"/>
  <c r="CC92" i="8"/>
  <c r="CE87" i="9"/>
  <c r="CC139" i="8" s="1"/>
  <c r="CD29" i="7"/>
  <c r="CD30" i="7" s="1"/>
  <c r="CD32" i="7" s="1"/>
  <c r="CE100" i="9"/>
  <c r="CC152" i="8" s="1"/>
  <c r="CC105" i="8"/>
  <c r="CC91" i="8"/>
  <c r="CE86" i="9"/>
  <c r="CD25" i="7"/>
  <c r="CD26" i="7" s="1"/>
  <c r="CD28" i="7" s="1"/>
  <c r="CC33" i="8"/>
  <c r="CD9" i="7"/>
  <c r="CD10" i="7" s="1"/>
  <c r="CC129" i="8"/>
  <c r="CE96" i="9"/>
  <c r="CC148" i="8" s="1"/>
  <c r="CD45" i="7"/>
  <c r="CD46" i="7" s="1"/>
  <c r="CD48" i="7" s="1"/>
  <c r="CC101" i="8"/>
  <c r="CC102" i="8"/>
  <c r="CE97" i="9"/>
  <c r="CC149" i="8" s="1"/>
  <c r="CF40" i="9"/>
  <c r="CC89" i="8"/>
  <c r="CE99" i="9"/>
  <c r="CC151" i="8" s="1"/>
  <c r="CC104" i="8"/>
  <c r="CC107" i="8"/>
  <c r="CB60" i="9"/>
  <c r="BZ106" i="8" s="1"/>
  <c r="CB64" i="9"/>
  <c r="BZ110" i="8" s="1"/>
  <c r="CB62" i="9"/>
  <c r="BZ100" i="8"/>
  <c r="BZ134" i="8" s="1"/>
  <c r="BZ26" i="8" s="1"/>
  <c r="CB95" i="9"/>
  <c r="CA41" i="7"/>
  <c r="CA42" i="7" s="1"/>
  <c r="CA44" i="7" s="1"/>
  <c r="CC94" i="8"/>
  <c r="CE89" i="9"/>
  <c r="CC141" i="8" s="1"/>
  <c r="CC103" i="8"/>
  <c r="CE98" i="9"/>
  <c r="CC150" i="8" s="1"/>
  <c r="CE91" i="9"/>
  <c r="CC143" i="8" s="1"/>
  <c r="CC96" i="8"/>
  <c r="CC20" i="7"/>
  <c r="EJ28" i="8"/>
  <c r="EJ32" i="8" s="1"/>
  <c r="BY32" i="8"/>
  <c r="BW46" i="8" l="1"/>
  <c r="BW41" i="8"/>
  <c r="BZ19" i="8"/>
  <c r="BX182" i="8"/>
  <c r="BX25" i="8"/>
  <c r="BR42" i="8"/>
  <c r="BR48" i="8"/>
  <c r="BV48" i="8"/>
  <c r="BV42" i="8"/>
  <c r="BT42" i="8"/>
  <c r="BT48" i="8"/>
  <c r="BP42" i="8"/>
  <c r="BP48" i="8"/>
  <c r="BN41" i="8"/>
  <c r="BN46" i="8"/>
  <c r="BU48" i="8"/>
  <c r="BU42" i="8"/>
  <c r="BQ48" i="8"/>
  <c r="BQ42" i="8"/>
  <c r="BO48" i="8"/>
  <c r="BO42" i="8"/>
  <c r="BS42" i="8"/>
  <c r="BS48" i="8"/>
  <c r="EK56" i="7"/>
  <c r="BZ57" i="7"/>
  <c r="EK57" i="7" s="1"/>
  <c r="BY22" i="8"/>
  <c r="CB19" i="7"/>
  <c r="CC138" i="8"/>
  <c r="CC16" i="7"/>
  <c r="CF46" i="9"/>
  <c r="CF48" i="9"/>
  <c r="CF52" i="9"/>
  <c r="CF55" i="9"/>
  <c r="CC54" i="9"/>
  <c r="CF50" i="9"/>
  <c r="CF53" i="9"/>
  <c r="CF135" i="9"/>
  <c r="CF141" i="9" s="1"/>
  <c r="CF61" i="9" s="1"/>
  <c r="CF45" i="9"/>
  <c r="CD86" i="8"/>
  <c r="CF144" i="9"/>
  <c r="CF56" i="9"/>
  <c r="CF136" i="9"/>
  <c r="CF47" i="9"/>
  <c r="CF43" i="9"/>
  <c r="CF59" i="9"/>
  <c r="CF58" i="9"/>
  <c r="CF51" i="9"/>
  <c r="CF49" i="9"/>
  <c r="CF57" i="9"/>
  <c r="CF145" i="9"/>
  <c r="CC171" i="8"/>
  <c r="CC133" i="8"/>
  <c r="CC130" i="8" s="1"/>
  <c r="CC172" i="8"/>
  <c r="CD15" i="7"/>
  <c r="BZ44" i="8"/>
  <c r="BZ30" i="8"/>
  <c r="BZ27" i="8"/>
  <c r="CB63" i="9"/>
  <c r="BZ108" i="8"/>
  <c r="CB101" i="9"/>
  <c r="CB85" i="9" s="1"/>
  <c r="BZ137" i="8" s="1"/>
  <c r="BZ28" i="8" s="1"/>
  <c r="BZ147" i="8"/>
  <c r="BZ153" i="8" s="1"/>
  <c r="CA52" i="7"/>
  <c r="CA51" i="7"/>
  <c r="BW42" i="8" l="1"/>
  <c r="BW48" i="8"/>
  <c r="BZ32" i="8"/>
  <c r="BX37" i="8"/>
  <c r="BX53" i="8"/>
  <c r="BX52" i="8"/>
  <c r="BX36" i="8"/>
  <c r="BR55" i="8"/>
  <c r="BR49" i="8"/>
  <c r="BV55" i="8"/>
  <c r="BV49" i="8"/>
  <c r="BT49" i="8"/>
  <c r="BT55" i="8"/>
  <c r="BP49" i="8"/>
  <c r="BP55" i="8"/>
  <c r="BN48" i="8"/>
  <c r="BN42" i="8"/>
  <c r="BU55" i="8"/>
  <c r="BU49" i="8"/>
  <c r="BQ49" i="8"/>
  <c r="BQ55" i="8"/>
  <c r="BO55" i="8"/>
  <c r="BO49" i="8"/>
  <c r="BS55" i="8"/>
  <c r="BS49" i="8"/>
  <c r="EJ22" i="8"/>
  <c r="EJ23" i="8" s="1"/>
  <c r="EJ25" i="8" s="1"/>
  <c r="BY23" i="8"/>
  <c r="CB53" i="7"/>
  <c r="CD12" i="7"/>
  <c r="CC17" i="7"/>
  <c r="CE29" i="7"/>
  <c r="CE30" i="7" s="1"/>
  <c r="CE32" i="7" s="1"/>
  <c r="CF87" i="9"/>
  <c r="CD139" i="8" s="1"/>
  <c r="CD92" i="8"/>
  <c r="CF89" i="9"/>
  <c r="CD141" i="8" s="1"/>
  <c r="CD94" i="8"/>
  <c r="CF93" i="9"/>
  <c r="CD145" i="8" s="1"/>
  <c r="CD98" i="8"/>
  <c r="CF96" i="9"/>
  <c r="CD148" i="8" s="1"/>
  <c r="CE45" i="7"/>
  <c r="CE46" i="7" s="1"/>
  <c r="CE48" i="7" s="1"/>
  <c r="CD101" i="8"/>
  <c r="CC64" i="9"/>
  <c r="CA110" i="8" s="1"/>
  <c r="CC60" i="9"/>
  <c r="CA106" i="8" s="1"/>
  <c r="CC62" i="9"/>
  <c r="CA100" i="8"/>
  <c r="CA134" i="8" s="1"/>
  <c r="CA26" i="8" s="1"/>
  <c r="CB41" i="7"/>
  <c r="CB42" i="7" s="1"/>
  <c r="CB44" i="7" s="1"/>
  <c r="CC95" i="9"/>
  <c r="CF91" i="9"/>
  <c r="CD143" i="8" s="1"/>
  <c r="CD96" i="8"/>
  <c r="CF94" i="9"/>
  <c r="CD146" i="8" s="1"/>
  <c r="CE37" i="7"/>
  <c r="CE38" i="7" s="1"/>
  <c r="CE40" i="7" s="1"/>
  <c r="CD99" i="8"/>
  <c r="CD107" i="8"/>
  <c r="CD91" i="8"/>
  <c r="CF86" i="9"/>
  <c r="CE25" i="7"/>
  <c r="CE26" i="7" s="1"/>
  <c r="CE28" i="7" s="1"/>
  <c r="CD129" i="8"/>
  <c r="CD33" i="8"/>
  <c r="CE9" i="7"/>
  <c r="CE10" i="7" s="1"/>
  <c r="CF97" i="9"/>
  <c r="CD149" i="8" s="1"/>
  <c r="CD102" i="8"/>
  <c r="CE33" i="7"/>
  <c r="CE34" i="7" s="1"/>
  <c r="CE36" i="7" s="1"/>
  <c r="CD93" i="8"/>
  <c r="CF88" i="9"/>
  <c r="CD140" i="8" s="1"/>
  <c r="CG40" i="9"/>
  <c r="CD89" i="8"/>
  <c r="CF44" i="9"/>
  <c r="CD105" i="8"/>
  <c r="CF100" i="9"/>
  <c r="CD152" i="8" s="1"/>
  <c r="CF99" i="9"/>
  <c r="CD151" i="8" s="1"/>
  <c r="CD104" i="8"/>
  <c r="CF92" i="9"/>
  <c r="CD144" i="8" s="1"/>
  <c r="CD97" i="8"/>
  <c r="CF90" i="9"/>
  <c r="CD142" i="8" s="1"/>
  <c r="CD95" i="8"/>
  <c r="CF98" i="9"/>
  <c r="CD150" i="8" s="1"/>
  <c r="CD103" i="8"/>
  <c r="CD20" i="7"/>
  <c r="BZ109" i="8"/>
  <c r="BZ34" i="8" s="1"/>
  <c r="BP114" i="9"/>
  <c r="BZ18" i="8"/>
  <c r="CA56" i="7"/>
  <c r="CC173" i="8"/>
  <c r="CC29" i="8" s="1"/>
  <c r="CF146" i="9"/>
  <c r="CF142" i="9" s="1"/>
  <c r="BW55" i="8" l="1"/>
  <c r="BW56" i="8" s="1"/>
  <c r="BW49" i="8"/>
  <c r="BX39" i="8"/>
  <c r="BR56" i="8"/>
  <c r="BV56" i="8"/>
  <c r="BT56" i="8"/>
  <c r="BP56" i="8"/>
  <c r="BN49" i="8"/>
  <c r="BN55" i="8"/>
  <c r="BU56" i="8"/>
  <c r="BQ56" i="8"/>
  <c r="BO56" i="8"/>
  <c r="BS56" i="8"/>
  <c r="BY182" i="8"/>
  <c r="BY25" i="8"/>
  <c r="CA19" i="8"/>
  <c r="CC19" i="7"/>
  <c r="CA27" i="8"/>
  <c r="CA30" i="8"/>
  <c r="CA44" i="8"/>
  <c r="CC63" i="9"/>
  <c r="CA108" i="8"/>
  <c r="CB51" i="7"/>
  <c r="CB52" i="7"/>
  <c r="CC101" i="9"/>
  <c r="CC85" i="9" s="1"/>
  <c r="CA137" i="8" s="1"/>
  <c r="CA28" i="8" s="1"/>
  <c r="CA147" i="8"/>
  <c r="CA153" i="8" s="1"/>
  <c r="CD138" i="8"/>
  <c r="CD16" i="7"/>
  <c r="CG55" i="9"/>
  <c r="CG50" i="9"/>
  <c r="CG135" i="9"/>
  <c r="CG141" i="9" s="1"/>
  <c r="CG61" i="9" s="1"/>
  <c r="CG51" i="9"/>
  <c r="CG49" i="9"/>
  <c r="CG52" i="9"/>
  <c r="CG144" i="9"/>
  <c r="CG53" i="9"/>
  <c r="CE86" i="8"/>
  <c r="CD54" i="9"/>
  <c r="CG58" i="9"/>
  <c r="CG46" i="9"/>
  <c r="CG59" i="9"/>
  <c r="CG45" i="9"/>
  <c r="CG56" i="9"/>
  <c r="CG57" i="9"/>
  <c r="CG43" i="9"/>
  <c r="CG44" i="9" s="1"/>
  <c r="CG136" i="9"/>
  <c r="CG47" i="9"/>
  <c r="CG48" i="9"/>
  <c r="CG145" i="9"/>
  <c r="CD172" i="8"/>
  <c r="CD133" i="8"/>
  <c r="CD130" i="8" s="1"/>
  <c r="CD171" i="8"/>
  <c r="CE15" i="7"/>
  <c r="CD90" i="8"/>
  <c r="BQ114" i="9"/>
  <c r="BN166" i="8"/>
  <c r="BN58" i="8" s="1"/>
  <c r="CA57" i="7"/>
  <c r="BZ22" i="8"/>
  <c r="CD173" i="8" l="1"/>
  <c r="CD29" i="8" s="1"/>
  <c r="CA32" i="8"/>
  <c r="BN60" i="8"/>
  <c r="BN61" i="8" s="1"/>
  <c r="BN66" i="8"/>
  <c r="BN183" i="8" s="1"/>
  <c r="BX41" i="8"/>
  <c r="BX46" i="8"/>
  <c r="BN56" i="8"/>
  <c r="BN63" i="8"/>
  <c r="O8" i="8"/>
  <c r="BY37" i="8"/>
  <c r="EJ37" i="8" s="1"/>
  <c r="BY52" i="8"/>
  <c r="EJ52" i="8" s="1"/>
  <c r="BY53" i="8"/>
  <c r="EJ53" i="8" s="1"/>
  <c r="BY36" i="8"/>
  <c r="CC53" i="7"/>
  <c r="CA109" i="8"/>
  <c r="CA34" i="8" s="1"/>
  <c r="CB56" i="7"/>
  <c r="CB57" i="7" s="1"/>
  <c r="CA18" i="8"/>
  <c r="CD17" i="7"/>
  <c r="CE12" i="7"/>
  <c r="CG96" i="9"/>
  <c r="CE148" i="8" s="1"/>
  <c r="CE101" i="8"/>
  <c r="CF45" i="7"/>
  <c r="CF46" i="7" s="1"/>
  <c r="CF48" i="7" s="1"/>
  <c r="CE96" i="8"/>
  <c r="CG91" i="9"/>
  <c r="CE143" i="8" s="1"/>
  <c r="CE107" i="8"/>
  <c r="CE97" i="8"/>
  <c r="CG92" i="9"/>
  <c r="CE144" i="8" s="1"/>
  <c r="CE90" i="8"/>
  <c r="CE95" i="8"/>
  <c r="CG90" i="9"/>
  <c r="CE142" i="8" s="1"/>
  <c r="CE98" i="8"/>
  <c r="CG93" i="9"/>
  <c r="CE145" i="8" s="1"/>
  <c r="CG94" i="9"/>
  <c r="CE146" i="8" s="1"/>
  <c r="CE99" i="8"/>
  <c r="CF37" i="7"/>
  <c r="CF38" i="7" s="1"/>
  <c r="CF40" i="7" s="1"/>
  <c r="CE33" i="8"/>
  <c r="CF9" i="7"/>
  <c r="CF10" i="7" s="1"/>
  <c r="CE129" i="8"/>
  <c r="CD60" i="9"/>
  <c r="CB106" i="8" s="1"/>
  <c r="CD62" i="9"/>
  <c r="CD64" i="9"/>
  <c r="CB110" i="8" s="1"/>
  <c r="CB100" i="8"/>
  <c r="CB134" i="8" s="1"/>
  <c r="CB26" i="8" s="1"/>
  <c r="CC41" i="7"/>
  <c r="CC42" i="7" s="1"/>
  <c r="CC44" i="7" s="1"/>
  <c r="CD95" i="9"/>
  <c r="CE104" i="8"/>
  <c r="CG99" i="9"/>
  <c r="CE151" i="8" s="1"/>
  <c r="CE92" i="8"/>
  <c r="CF29" i="7"/>
  <c r="CF30" i="7" s="1"/>
  <c r="CF32" i="7" s="1"/>
  <c r="CG87" i="9"/>
  <c r="CE139" i="8" s="1"/>
  <c r="CE105" i="8"/>
  <c r="CG100" i="9"/>
  <c r="CE152" i="8" s="1"/>
  <c r="CG86" i="9"/>
  <c r="CF25" i="7"/>
  <c r="CF26" i="7" s="1"/>
  <c r="CF28" i="7" s="1"/>
  <c r="CE91" i="8"/>
  <c r="CE102" i="8"/>
  <c r="CG97" i="9"/>
  <c r="CE149" i="8" s="1"/>
  <c r="CE103" i="8"/>
  <c r="CG98" i="9"/>
  <c r="CE150" i="8" s="1"/>
  <c r="CH40" i="9"/>
  <c r="CE89" i="8"/>
  <c r="CG88" i="9"/>
  <c r="CE140" i="8" s="1"/>
  <c r="CF33" i="7"/>
  <c r="CF34" i="7" s="1"/>
  <c r="CF36" i="7" s="1"/>
  <c r="CE93" i="8"/>
  <c r="CG89" i="9"/>
  <c r="CE141" i="8" s="1"/>
  <c r="CE94" i="8"/>
  <c r="CE20" i="7"/>
  <c r="BO166" i="8"/>
  <c r="BO58" i="8" s="1"/>
  <c r="BR114" i="9"/>
  <c r="BZ23" i="8"/>
  <c r="CG146" i="9"/>
  <c r="CG142" i="9" s="1"/>
  <c r="BX48" i="8" l="1"/>
  <c r="BX42" i="8"/>
  <c r="BN64" i="8"/>
  <c r="EJ36" i="8"/>
  <c r="EJ39" i="8" s="1"/>
  <c r="EJ46" i="8" s="1"/>
  <c r="BY39" i="8"/>
  <c r="CB19" i="8"/>
  <c r="CA22" i="8"/>
  <c r="CA23" i="8" s="1"/>
  <c r="CA25" i="8" s="1"/>
  <c r="CD19" i="7"/>
  <c r="CE16" i="7"/>
  <c r="CB27" i="8"/>
  <c r="CB30" i="8"/>
  <c r="CB44" i="8"/>
  <c r="CD63" i="9"/>
  <c r="CB108" i="8"/>
  <c r="CC51" i="7"/>
  <c r="CC52" i="7"/>
  <c r="CD101" i="9"/>
  <c r="CD85" i="9" s="1"/>
  <c r="CB137" i="8" s="1"/>
  <c r="CB28" i="8" s="1"/>
  <c r="CB147" i="8"/>
  <c r="CB153" i="8" s="1"/>
  <c r="CE138" i="8"/>
  <c r="CH49" i="9"/>
  <c r="CH51" i="9"/>
  <c r="CE54" i="9"/>
  <c r="CH48" i="9"/>
  <c r="CH46" i="9"/>
  <c r="CH43" i="9"/>
  <c r="CH44" i="9" s="1"/>
  <c r="CH56" i="9"/>
  <c r="CH58" i="9"/>
  <c r="CH135" i="9"/>
  <c r="CH141" i="9" s="1"/>
  <c r="CH61" i="9" s="1"/>
  <c r="CH45" i="9"/>
  <c r="CH53" i="9"/>
  <c r="CH52" i="9"/>
  <c r="CH144" i="9"/>
  <c r="CH59" i="9"/>
  <c r="CF86" i="8"/>
  <c r="CH136" i="9"/>
  <c r="CH47" i="9"/>
  <c r="CH145" i="9"/>
  <c r="CH50" i="9"/>
  <c r="CH57" i="9"/>
  <c r="CH55" i="9"/>
  <c r="CF15" i="7"/>
  <c r="CE133" i="8"/>
  <c r="CE130" i="8" s="1"/>
  <c r="CE172" i="8"/>
  <c r="CE171" i="8"/>
  <c r="BO63" i="8"/>
  <c r="BO60" i="8"/>
  <c r="BO66" i="8"/>
  <c r="BP166" i="8"/>
  <c r="BP58" i="8" s="1"/>
  <c r="BS114" i="9"/>
  <c r="BZ182" i="8"/>
  <c r="BZ25" i="8"/>
  <c r="CE173" i="8" l="1"/>
  <c r="CE29" i="8" s="1"/>
  <c r="CB32" i="8"/>
  <c r="BX49" i="8"/>
  <c r="BX55" i="8"/>
  <c r="BY41" i="8"/>
  <c r="BY46" i="8"/>
  <c r="CA52" i="8"/>
  <c r="CA36" i="8"/>
  <c r="CA53" i="8"/>
  <c r="CA37" i="8"/>
  <c r="CD53" i="7"/>
  <c r="CE17" i="7"/>
  <c r="CF12" i="7"/>
  <c r="CB109" i="8"/>
  <c r="CB34" i="8" s="1"/>
  <c r="CC56" i="7"/>
  <c r="CC57" i="7" s="1"/>
  <c r="CB18" i="8"/>
  <c r="CH90" i="9"/>
  <c r="CF142" i="8" s="1"/>
  <c r="CF95" i="8"/>
  <c r="CH92" i="9"/>
  <c r="CF144" i="8" s="1"/>
  <c r="CF97" i="8"/>
  <c r="CE62" i="9"/>
  <c r="CE60" i="9"/>
  <c r="CC106" i="8" s="1"/>
  <c r="CE64" i="9"/>
  <c r="CC110" i="8" s="1"/>
  <c r="CD41" i="7"/>
  <c r="CD42" i="7" s="1"/>
  <c r="CD44" i="7" s="1"/>
  <c r="CE95" i="9"/>
  <c r="CC100" i="8"/>
  <c r="CC134" i="8" s="1"/>
  <c r="CC26" i="8" s="1"/>
  <c r="CH89" i="9"/>
  <c r="CF141" i="8" s="1"/>
  <c r="CF94" i="8"/>
  <c r="CH87" i="9"/>
  <c r="CF139" i="8" s="1"/>
  <c r="CG29" i="7"/>
  <c r="CG30" i="7" s="1"/>
  <c r="CG32" i="7" s="1"/>
  <c r="CF92" i="8"/>
  <c r="CF89" i="8"/>
  <c r="CI40" i="9"/>
  <c r="CF102" i="8"/>
  <c r="CH97" i="9"/>
  <c r="CF149" i="8" s="1"/>
  <c r="CH99" i="9"/>
  <c r="CF151" i="8" s="1"/>
  <c r="CF104" i="8"/>
  <c r="CF107" i="8"/>
  <c r="CF91" i="8"/>
  <c r="CG25" i="7"/>
  <c r="CG26" i="7" s="1"/>
  <c r="CG28" i="7" s="1"/>
  <c r="CH86" i="9"/>
  <c r="CH94" i="9"/>
  <c r="CF146" i="8" s="1"/>
  <c r="CG37" i="7"/>
  <c r="CG38" i="7" s="1"/>
  <c r="CG40" i="7" s="1"/>
  <c r="CF99" i="8"/>
  <c r="CF98" i="8"/>
  <c r="CH93" i="9"/>
  <c r="CF145" i="8" s="1"/>
  <c r="CF105" i="8"/>
  <c r="CH100" i="9"/>
  <c r="CF152" i="8" s="1"/>
  <c r="CF33" i="8"/>
  <c r="CG9" i="7"/>
  <c r="CG10" i="7" s="1"/>
  <c r="CF129" i="8"/>
  <c r="CH88" i="9"/>
  <c r="CF140" i="8" s="1"/>
  <c r="CF93" i="8"/>
  <c r="CG33" i="7"/>
  <c r="CG34" i="7" s="1"/>
  <c r="CG36" i="7" s="1"/>
  <c r="CH91" i="9"/>
  <c r="CF143" i="8" s="1"/>
  <c r="CF96" i="8"/>
  <c r="CH98" i="9"/>
  <c r="CF150" i="8" s="1"/>
  <c r="CF103" i="8"/>
  <c r="CH96" i="9"/>
  <c r="CF148" i="8" s="1"/>
  <c r="CF101" i="8"/>
  <c r="CG45" i="7"/>
  <c r="CG46" i="7" s="1"/>
  <c r="CG48" i="7" s="1"/>
  <c r="CF90" i="8"/>
  <c r="CF20" i="7"/>
  <c r="BO61" i="8"/>
  <c r="BO183" i="8"/>
  <c r="BP63" i="8"/>
  <c r="BP66" i="8"/>
  <c r="BP60" i="8"/>
  <c r="BT114" i="9"/>
  <c r="BQ166" i="8"/>
  <c r="BQ58" i="8" s="1"/>
  <c r="BZ37" i="8"/>
  <c r="BZ36" i="8"/>
  <c r="BZ53" i="8"/>
  <c r="BZ52" i="8"/>
  <c r="CH146" i="9"/>
  <c r="CH142" i="9" s="1"/>
  <c r="CA182" i="8"/>
  <c r="BO64" i="8"/>
  <c r="BX56" i="8" l="1"/>
  <c r="EJ41" i="8"/>
  <c r="EJ42" i="8" s="1"/>
  <c r="BY42" i="8"/>
  <c r="BY48" i="8"/>
  <c r="CC19" i="8"/>
  <c r="CE19" i="7"/>
  <c r="CB22" i="8"/>
  <c r="CB23" i="8" s="1"/>
  <c r="CE63" i="9"/>
  <c r="CC108" i="8"/>
  <c r="CC30" i="8"/>
  <c r="CC44" i="8"/>
  <c r="CC27" i="8"/>
  <c r="CD52" i="7"/>
  <c r="CD51" i="7"/>
  <c r="CE101" i="9"/>
  <c r="CE85" i="9" s="1"/>
  <c r="CC137" i="8" s="1"/>
  <c r="CC28" i="8" s="1"/>
  <c r="CC147" i="8"/>
  <c r="CC153" i="8" s="1"/>
  <c r="CG15" i="7"/>
  <c r="CF172" i="8"/>
  <c r="CF171" i="8"/>
  <c r="CF133" i="8"/>
  <c r="CF130" i="8" s="1"/>
  <c r="CI144" i="9"/>
  <c r="CI58" i="9"/>
  <c r="CI52" i="9"/>
  <c r="CI145" i="9"/>
  <c r="CI135" i="9"/>
  <c r="CI141" i="9" s="1"/>
  <c r="CI61" i="9" s="1"/>
  <c r="CI43" i="9"/>
  <c r="CI51" i="9"/>
  <c r="CI57" i="9"/>
  <c r="CI47" i="9"/>
  <c r="CI49" i="9"/>
  <c r="CI46" i="9"/>
  <c r="CI53" i="9"/>
  <c r="CI48" i="9"/>
  <c r="CI56" i="9"/>
  <c r="CI45" i="9"/>
  <c r="CG86" i="8"/>
  <c r="CI136" i="9"/>
  <c r="CF54" i="9"/>
  <c r="CI50" i="9"/>
  <c r="CI55" i="9"/>
  <c r="CI59" i="9"/>
  <c r="CF138" i="8"/>
  <c r="CF16" i="7"/>
  <c r="BP64" i="8"/>
  <c r="BR166" i="8"/>
  <c r="BR58" i="8" s="1"/>
  <c r="BU114" i="9"/>
  <c r="BQ63" i="8"/>
  <c r="BQ60" i="8"/>
  <c r="BQ66" i="8"/>
  <c r="BP183" i="8"/>
  <c r="BP61" i="8"/>
  <c r="BQ183" i="8" l="1"/>
  <c r="CF173" i="8"/>
  <c r="CF29" i="8" s="1"/>
  <c r="CC32" i="8"/>
  <c r="EJ48" i="8"/>
  <c r="EJ49" i="8" s="1"/>
  <c r="BY55" i="8"/>
  <c r="BY49" i="8"/>
  <c r="CE53" i="7"/>
  <c r="CB182" i="8"/>
  <c r="CB25" i="8"/>
  <c r="CC109" i="8"/>
  <c r="CC34" i="8" s="1"/>
  <c r="CC18" i="8"/>
  <c r="CD56" i="7"/>
  <c r="CG20" i="7"/>
  <c r="CI99" i="9"/>
  <c r="CG151" i="8" s="1"/>
  <c r="CG104" i="8"/>
  <c r="CG98" i="8"/>
  <c r="CI93" i="9"/>
  <c r="CG145" i="8" s="1"/>
  <c r="CG107" i="8"/>
  <c r="CG89" i="8"/>
  <c r="CJ40" i="9"/>
  <c r="CI44" i="9"/>
  <c r="CI92" i="9"/>
  <c r="CG144" i="8" s="1"/>
  <c r="CG97" i="8"/>
  <c r="CI98" i="9"/>
  <c r="CG150" i="8" s="1"/>
  <c r="CG103" i="8"/>
  <c r="CH33" i="7"/>
  <c r="CH34" i="7" s="1"/>
  <c r="CH36" i="7" s="1"/>
  <c r="CG93" i="8"/>
  <c r="CI88" i="9"/>
  <c r="CG140" i="8" s="1"/>
  <c r="CI90" i="9"/>
  <c r="CG142" i="8" s="1"/>
  <c r="CG95" i="8"/>
  <c r="CH29" i="7"/>
  <c r="CH30" i="7" s="1"/>
  <c r="CH32" i="7" s="1"/>
  <c r="CI87" i="9"/>
  <c r="CG139" i="8" s="1"/>
  <c r="CG92" i="8"/>
  <c r="CG99" i="8"/>
  <c r="CI94" i="9"/>
  <c r="CG146" i="8" s="1"/>
  <c r="CH37" i="7"/>
  <c r="CH38" i="7" s="1"/>
  <c r="CH40" i="7" s="1"/>
  <c r="CI89" i="9"/>
  <c r="CG141" i="8" s="1"/>
  <c r="CG94" i="8"/>
  <c r="CG102" i="8"/>
  <c r="CI97" i="9"/>
  <c r="CG149" i="8" s="1"/>
  <c r="CI86" i="9"/>
  <c r="CH25" i="7"/>
  <c r="CH26" i="7" s="1"/>
  <c r="CH28" i="7" s="1"/>
  <c r="CG91" i="8"/>
  <c r="CH9" i="7"/>
  <c r="CH10" i="7" s="1"/>
  <c r="CG129" i="8"/>
  <c r="CG33" i="8"/>
  <c r="CF60" i="9"/>
  <c r="CD106" i="8" s="1"/>
  <c r="CF64" i="9"/>
  <c r="CD110" i="8" s="1"/>
  <c r="CF62" i="9"/>
  <c r="CF95" i="9"/>
  <c r="CE41" i="7"/>
  <c r="CE42" i="7" s="1"/>
  <c r="CE44" i="7" s="1"/>
  <c r="CD100" i="8"/>
  <c r="CD134" i="8" s="1"/>
  <c r="CD26" i="8" s="1"/>
  <c r="CI91" i="9"/>
  <c r="CG143" i="8" s="1"/>
  <c r="CG96" i="8"/>
  <c r="CG101" i="8"/>
  <c r="CH45" i="7"/>
  <c r="CH46" i="7" s="1"/>
  <c r="CH48" i="7" s="1"/>
  <c r="CI96" i="9"/>
  <c r="CG148" i="8" s="1"/>
  <c r="CG105" i="8"/>
  <c r="CI100" i="9"/>
  <c r="CG152" i="8" s="1"/>
  <c r="CF17" i="7"/>
  <c r="CG12" i="7"/>
  <c r="BR63" i="8"/>
  <c r="BR66" i="8"/>
  <c r="BR60" i="8"/>
  <c r="BV114" i="9"/>
  <c r="BS166" i="8"/>
  <c r="BS58" i="8" s="1"/>
  <c r="BQ64" i="8"/>
  <c r="CI146" i="9"/>
  <c r="CI142" i="9" s="1"/>
  <c r="BQ61" i="8"/>
  <c r="EJ55" i="8" l="1"/>
  <c r="EJ56" i="8" s="1"/>
  <c r="BY56" i="8"/>
  <c r="CD19" i="8"/>
  <c r="CB52" i="8"/>
  <c r="CB36" i="8"/>
  <c r="CB37" i="8"/>
  <c r="CB53" i="8"/>
  <c r="CD57" i="7"/>
  <c r="CC22" i="8"/>
  <c r="CG171" i="8"/>
  <c r="CG172" i="8"/>
  <c r="CG133" i="8"/>
  <c r="CG130" i="8" s="1"/>
  <c r="CH15" i="7"/>
  <c r="CJ52" i="9"/>
  <c r="CJ49" i="9"/>
  <c r="CJ59" i="9"/>
  <c r="CJ136" i="9"/>
  <c r="CJ48" i="9"/>
  <c r="CJ55" i="9"/>
  <c r="CJ43" i="9"/>
  <c r="CJ44" i="9" s="1"/>
  <c r="CJ135" i="9"/>
  <c r="CJ141" i="9" s="1"/>
  <c r="CJ61" i="9" s="1"/>
  <c r="CJ145" i="9"/>
  <c r="CJ47" i="9"/>
  <c r="CJ56" i="9"/>
  <c r="CG54" i="9"/>
  <c r="CJ51" i="9"/>
  <c r="CJ46" i="9"/>
  <c r="CJ45" i="9"/>
  <c r="CH86" i="8"/>
  <c r="CJ58" i="9"/>
  <c r="CJ144" i="9"/>
  <c r="CJ50" i="9"/>
  <c r="CJ53" i="9"/>
  <c r="CJ57" i="9"/>
  <c r="CG90" i="8"/>
  <c r="CG138" i="8"/>
  <c r="CG16" i="7"/>
  <c r="CD27" i="8"/>
  <c r="CD30" i="8"/>
  <c r="CD44" i="8"/>
  <c r="CF63" i="9"/>
  <c r="CD108" i="8"/>
  <c r="CF101" i="9"/>
  <c r="CF85" i="9" s="1"/>
  <c r="CD137" i="8" s="1"/>
  <c r="CD28" i="8" s="1"/>
  <c r="CD147" i="8"/>
  <c r="CD153" i="8" s="1"/>
  <c r="CE51" i="7"/>
  <c r="CE52" i="7"/>
  <c r="CF19" i="7"/>
  <c r="BR64" i="8"/>
  <c r="BR183" i="8"/>
  <c r="BT166" i="8"/>
  <c r="BT58" i="8" s="1"/>
  <c r="BW114" i="9"/>
  <c r="BS63" i="8"/>
  <c r="BS64" i="8" s="1"/>
  <c r="BS60" i="8"/>
  <c r="BS61" i="8" s="1"/>
  <c r="BS66" i="8"/>
  <c r="BR61" i="8"/>
  <c r="CD32" i="8" l="1"/>
  <c r="CJ146" i="9"/>
  <c r="CJ142" i="9" s="1"/>
  <c r="BS183" i="8"/>
  <c r="CC23" i="8"/>
  <c r="CH20" i="7"/>
  <c r="CJ93" i="9"/>
  <c r="CH145" i="8" s="1"/>
  <c r="CH98" i="8"/>
  <c r="CJ90" i="9"/>
  <c r="CH142" i="8" s="1"/>
  <c r="CH95" i="8"/>
  <c r="CJ100" i="9"/>
  <c r="CH152" i="8" s="1"/>
  <c r="CH105" i="8"/>
  <c r="CH94" i="8"/>
  <c r="CJ89" i="9"/>
  <c r="CH141" i="8" s="1"/>
  <c r="CH101" i="8"/>
  <c r="CI45" i="7"/>
  <c r="CI46" i="7" s="1"/>
  <c r="CI48" i="7" s="1"/>
  <c r="CJ96" i="9"/>
  <c r="CH148" i="8" s="1"/>
  <c r="CH89" i="8"/>
  <c r="CK40" i="9"/>
  <c r="CH107" i="8"/>
  <c r="CH90" i="8"/>
  <c r="CH93" i="8"/>
  <c r="CI33" i="7"/>
  <c r="CI34" i="7" s="1"/>
  <c r="CI36" i="7" s="1"/>
  <c r="CJ88" i="9"/>
  <c r="CH140" i="8" s="1"/>
  <c r="CH102" i="8"/>
  <c r="CJ97" i="9"/>
  <c r="CH149" i="8" s="1"/>
  <c r="CG62" i="9"/>
  <c r="CG64" i="9"/>
  <c r="CE110" i="8" s="1"/>
  <c r="CG60" i="9"/>
  <c r="CE106" i="8" s="1"/>
  <c r="CE100" i="8"/>
  <c r="CE134" i="8" s="1"/>
  <c r="CE26" i="8" s="1"/>
  <c r="CF41" i="7"/>
  <c r="CF42" i="7" s="1"/>
  <c r="CF44" i="7" s="1"/>
  <c r="CG95" i="9"/>
  <c r="CH97" i="8"/>
  <c r="CJ92" i="9"/>
  <c r="CH144" i="8" s="1"/>
  <c r="CI29" i="7"/>
  <c r="CI30" i="7" s="1"/>
  <c r="CI32" i="7" s="1"/>
  <c r="CH92" i="8"/>
  <c r="CJ87" i="9"/>
  <c r="CH139" i="8" s="1"/>
  <c r="CH91" i="8"/>
  <c r="CJ86" i="9"/>
  <c r="CI25" i="7"/>
  <c r="CI26" i="7" s="1"/>
  <c r="CI28" i="7" s="1"/>
  <c r="CH129" i="8"/>
  <c r="CH33" i="8"/>
  <c r="CI9" i="7"/>
  <c r="CI10" i="7" s="1"/>
  <c r="CJ99" i="9"/>
  <c r="CH151" i="8" s="1"/>
  <c r="CH104" i="8"/>
  <c r="CJ91" i="9"/>
  <c r="CH143" i="8" s="1"/>
  <c r="CH96" i="8"/>
  <c r="CI37" i="7"/>
  <c r="CI38" i="7" s="1"/>
  <c r="CI40" i="7" s="1"/>
  <c r="CJ94" i="9"/>
  <c r="CH146" i="8" s="1"/>
  <c r="CH99" i="8"/>
  <c r="CH103" i="8"/>
  <c r="CJ98" i="9"/>
  <c r="CH150" i="8" s="1"/>
  <c r="CG17" i="7"/>
  <c r="CH12" i="7"/>
  <c r="CD109" i="8"/>
  <c r="CD34" i="8" s="1"/>
  <c r="CE56" i="7"/>
  <c r="CD18" i="8"/>
  <c r="CF53" i="7"/>
  <c r="BT63" i="8"/>
  <c r="BT66" i="8"/>
  <c r="BT60" i="8"/>
  <c r="BU166" i="8"/>
  <c r="BU58" i="8" s="1"/>
  <c r="BX114" i="9"/>
  <c r="CG173" i="8"/>
  <c r="CG29" i="8" s="1"/>
  <c r="CC182" i="8" l="1"/>
  <c r="CC25" i="8"/>
  <c r="CH172" i="8"/>
  <c r="CH133" i="8"/>
  <c r="CH130" i="8" s="1"/>
  <c r="CH171" i="8"/>
  <c r="CI15" i="7"/>
  <c r="CK59" i="9"/>
  <c r="CH54" i="9"/>
  <c r="CK50" i="9"/>
  <c r="CK45" i="9"/>
  <c r="CK145" i="9"/>
  <c r="CK57" i="9"/>
  <c r="CK135" i="9"/>
  <c r="CK141" i="9" s="1"/>
  <c r="CK61" i="9" s="1"/>
  <c r="CK56" i="9"/>
  <c r="CI86" i="8"/>
  <c r="CK48" i="9"/>
  <c r="CK55" i="9"/>
  <c r="CK51" i="9"/>
  <c r="CK49" i="9"/>
  <c r="CK52" i="9"/>
  <c r="CK46" i="9"/>
  <c r="CK53" i="9"/>
  <c r="CK144" i="9"/>
  <c r="CK43" i="9"/>
  <c r="CK58" i="9"/>
  <c r="CK136" i="9"/>
  <c r="CK47" i="9"/>
  <c r="CG63" i="9"/>
  <c r="CE109" i="8" s="1"/>
  <c r="CE34" i="8" s="1"/>
  <c r="CE108" i="8"/>
  <c r="CE30" i="8"/>
  <c r="CE44" i="8"/>
  <c r="CE27" i="8"/>
  <c r="CF51" i="7"/>
  <c r="CF52" i="7"/>
  <c r="CG101" i="9"/>
  <c r="CG85" i="9" s="1"/>
  <c r="CE137" i="8" s="1"/>
  <c r="CE28" i="8" s="1"/>
  <c r="CE147" i="8"/>
  <c r="CE153" i="8" s="1"/>
  <c r="CH138" i="8"/>
  <c r="CH16" i="7"/>
  <c r="CG19" i="7"/>
  <c r="CE57" i="7"/>
  <c r="CD22" i="8"/>
  <c r="CE19" i="8"/>
  <c r="BT64" i="8"/>
  <c r="BT183" i="8"/>
  <c r="BT61" i="8"/>
  <c r="BU63" i="8"/>
  <c r="BU66" i="8"/>
  <c r="BU60" i="8"/>
  <c r="BY114" i="9"/>
  <c r="BV166" i="8"/>
  <c r="BV58" i="8" s="1"/>
  <c r="CE32" i="8" l="1"/>
  <c r="CH173" i="8"/>
  <c r="CH29" i="8" s="1"/>
  <c r="CK146" i="9"/>
  <c r="CK142" i="9" s="1"/>
  <c r="CC36" i="8"/>
  <c r="CC52" i="8"/>
  <c r="CC53" i="8"/>
  <c r="CC37" i="8"/>
  <c r="CI20" i="7"/>
  <c r="CI105" i="8"/>
  <c r="CK100" i="9"/>
  <c r="CI152" i="8" s="1"/>
  <c r="CH64" i="9"/>
  <c r="CF110" i="8" s="1"/>
  <c r="CH60" i="9"/>
  <c r="CF106" i="8" s="1"/>
  <c r="CH62" i="9"/>
  <c r="CF100" i="8"/>
  <c r="CF134" i="8" s="1"/>
  <c r="CF26" i="8" s="1"/>
  <c r="CH95" i="9"/>
  <c r="CG41" i="7"/>
  <c r="CG42" i="7" s="1"/>
  <c r="CG44" i="7" s="1"/>
  <c r="CK91" i="9"/>
  <c r="CI143" i="8" s="1"/>
  <c r="CI96" i="8"/>
  <c r="CI91" i="8"/>
  <c r="CJ25" i="7"/>
  <c r="CJ26" i="7" s="1"/>
  <c r="CJ28" i="7" s="1"/>
  <c r="CK86" i="9"/>
  <c r="CK98" i="9"/>
  <c r="CI150" i="8" s="1"/>
  <c r="CI103" i="8"/>
  <c r="CI107" i="8"/>
  <c r="CK97" i="9"/>
  <c r="CI149" i="8" s="1"/>
  <c r="CI102" i="8"/>
  <c r="CJ9" i="7"/>
  <c r="CJ10" i="7" s="1"/>
  <c r="CI129" i="8"/>
  <c r="CI33" i="8"/>
  <c r="CK89" i="9"/>
  <c r="CI141" i="8" s="1"/>
  <c r="CI94" i="8"/>
  <c r="CK96" i="9"/>
  <c r="CI148" i="8" s="1"/>
  <c r="CJ45" i="7"/>
  <c r="CJ46" i="7" s="1"/>
  <c r="CJ48" i="7" s="1"/>
  <c r="CI101" i="8"/>
  <c r="CI97" i="8"/>
  <c r="CK92" i="9"/>
  <c r="CI144" i="8" s="1"/>
  <c r="CI95" i="8"/>
  <c r="CK90" i="9"/>
  <c r="CI142" i="8" s="1"/>
  <c r="CK93" i="9"/>
  <c r="CI145" i="8" s="1"/>
  <c r="CI98" i="8"/>
  <c r="CJ29" i="7"/>
  <c r="CJ30" i="7" s="1"/>
  <c r="CJ32" i="7" s="1"/>
  <c r="CI92" i="8"/>
  <c r="CK87" i="9"/>
  <c r="CI139" i="8" s="1"/>
  <c r="CI99" i="8"/>
  <c r="CK94" i="9"/>
  <c r="CI146" i="8" s="1"/>
  <c r="CJ37" i="7"/>
  <c r="CJ38" i="7" s="1"/>
  <c r="CJ40" i="7" s="1"/>
  <c r="CI89" i="8"/>
  <c r="CL40" i="9"/>
  <c r="CK44" i="9"/>
  <c r="CI104" i="8"/>
  <c r="CK99" i="9"/>
  <c r="CI151" i="8" s="1"/>
  <c r="CJ33" i="7"/>
  <c r="CJ34" i="7" s="1"/>
  <c r="CJ36" i="7" s="1"/>
  <c r="CI93" i="8"/>
  <c r="CK88" i="9"/>
  <c r="CI140" i="8" s="1"/>
  <c r="CF56" i="7"/>
  <c r="CE18" i="8"/>
  <c r="CI12" i="7"/>
  <c r="CH17" i="7"/>
  <c r="CG53" i="7"/>
  <c r="CD23" i="8"/>
  <c r="BZ114" i="9"/>
  <c r="BW166" i="8"/>
  <c r="BW58" i="8" s="1"/>
  <c r="BV63" i="8"/>
  <c r="BV60" i="8"/>
  <c r="BV66" i="8"/>
  <c r="BU64" i="8"/>
  <c r="BU183" i="8"/>
  <c r="BU61" i="8"/>
  <c r="CF30" i="8" l="1"/>
  <c r="CF27" i="8"/>
  <c r="CF44" i="8"/>
  <c r="CH63" i="9"/>
  <c r="CF109" i="8" s="1"/>
  <c r="CF34" i="8" s="1"/>
  <c r="CF108" i="8"/>
  <c r="CH101" i="9"/>
  <c r="CH85" i="9" s="1"/>
  <c r="CF137" i="8" s="1"/>
  <c r="CF28" i="8" s="1"/>
  <c r="CF147" i="8"/>
  <c r="CF153" i="8" s="1"/>
  <c r="CG51" i="7"/>
  <c r="CG52" i="7"/>
  <c r="CI138" i="8"/>
  <c r="CI16" i="7"/>
  <c r="CJ15" i="7"/>
  <c r="CI171" i="8"/>
  <c r="CI133" i="8"/>
  <c r="CI130" i="8" s="1"/>
  <c r="CI172" i="8"/>
  <c r="CL43" i="9"/>
  <c r="CL49" i="9"/>
  <c r="CL59" i="9"/>
  <c r="CL144" i="9"/>
  <c r="CL145" i="9"/>
  <c r="CL47" i="9"/>
  <c r="CL51" i="9"/>
  <c r="CL55" i="9"/>
  <c r="CL135" i="9"/>
  <c r="CL141" i="9" s="1"/>
  <c r="CL61" i="9" s="1"/>
  <c r="CL57" i="9"/>
  <c r="CL56" i="9"/>
  <c r="CL136" i="9"/>
  <c r="CL50" i="9"/>
  <c r="CL45" i="9"/>
  <c r="CL58" i="9"/>
  <c r="CL52" i="9"/>
  <c r="CL46" i="9"/>
  <c r="CL48" i="9"/>
  <c r="CJ86" i="8"/>
  <c r="CL53" i="9"/>
  <c r="CI54" i="9"/>
  <c r="CI90" i="8"/>
  <c r="CF57" i="7"/>
  <c r="CE22" i="8"/>
  <c r="CH19" i="7"/>
  <c r="CF19" i="8"/>
  <c r="CD182" i="8"/>
  <c r="CD25" i="8"/>
  <c r="BX166" i="8"/>
  <c r="BX58" i="8" s="1"/>
  <c r="CA114" i="9"/>
  <c r="BY166" i="8" s="1"/>
  <c r="BY58" i="8" s="1"/>
  <c r="BW63" i="8"/>
  <c r="BW64" i="8" s="1"/>
  <c r="BW66" i="8"/>
  <c r="BW60" i="8"/>
  <c r="BW61" i="8" s="1"/>
  <c r="BV64" i="8"/>
  <c r="BV61" i="8"/>
  <c r="BV183" i="8"/>
  <c r="CF32" i="8" l="1"/>
  <c r="BW183" i="8"/>
  <c r="EJ58" i="8"/>
  <c r="CG56" i="7"/>
  <c r="CF18" i="8"/>
  <c r="CG57" i="7"/>
  <c r="CI17" i="7"/>
  <c r="CJ12" i="7"/>
  <c r="CJ20" i="7"/>
  <c r="CM40" i="9"/>
  <c r="CJ89" i="8"/>
  <c r="CL44" i="9"/>
  <c r="CL90" i="9"/>
  <c r="CJ142" i="8" s="1"/>
  <c r="CJ95" i="8"/>
  <c r="CL100" i="9"/>
  <c r="CJ152" i="8" s="1"/>
  <c r="CJ105" i="8"/>
  <c r="CL88" i="9"/>
  <c r="CJ140" i="8" s="1"/>
  <c r="CJ93" i="8"/>
  <c r="CK33" i="7"/>
  <c r="CK34" i="7" s="1"/>
  <c r="CK36" i="7" s="1"/>
  <c r="CJ97" i="8"/>
  <c r="CL92" i="9"/>
  <c r="CJ144" i="8" s="1"/>
  <c r="CJ101" i="8"/>
  <c r="CL96" i="9"/>
  <c r="CJ148" i="8" s="1"/>
  <c r="CK45" i="7"/>
  <c r="CK46" i="7" s="1"/>
  <c r="CK48" i="7" s="1"/>
  <c r="CJ107" i="8"/>
  <c r="CL98" i="9"/>
  <c r="CJ150" i="8" s="1"/>
  <c r="CJ103" i="8"/>
  <c r="CL97" i="9"/>
  <c r="CJ149" i="8" s="1"/>
  <c r="CJ102" i="8"/>
  <c r="CJ96" i="8"/>
  <c r="CL91" i="9"/>
  <c r="CJ143" i="8" s="1"/>
  <c r="CK25" i="7"/>
  <c r="CK26" i="7" s="1"/>
  <c r="CK28" i="7" s="1"/>
  <c r="CL86" i="9"/>
  <c r="CJ91" i="8"/>
  <c r="CJ104" i="8"/>
  <c r="CL99" i="9"/>
  <c r="CJ151" i="8" s="1"/>
  <c r="CL93" i="9"/>
  <c r="CJ145" i="8" s="1"/>
  <c r="CJ98" i="8"/>
  <c r="CL87" i="9"/>
  <c r="CJ139" i="8" s="1"/>
  <c r="CJ92" i="8"/>
  <c r="CK29" i="7"/>
  <c r="CK30" i="7" s="1"/>
  <c r="CK32" i="7" s="1"/>
  <c r="CL89" i="9"/>
  <c r="CJ141" i="8" s="1"/>
  <c r="CJ94" i="8"/>
  <c r="CJ129" i="8"/>
  <c r="CK9" i="7"/>
  <c r="CK10" i="7" s="1"/>
  <c r="CJ33" i="8"/>
  <c r="CL94" i="9"/>
  <c r="CJ146" i="8" s="1"/>
  <c r="CJ99" i="8"/>
  <c r="CK37" i="7"/>
  <c r="CK38" i="7" s="1"/>
  <c r="CK40" i="7" s="1"/>
  <c r="CI60" i="9"/>
  <c r="CG106" i="8" s="1"/>
  <c r="CI64" i="9"/>
  <c r="CG110" i="8" s="1"/>
  <c r="CI62" i="9"/>
  <c r="CH41" i="7"/>
  <c r="CH42" i="7" s="1"/>
  <c r="CH44" i="7" s="1"/>
  <c r="CG100" i="8"/>
  <c r="CG134" i="8" s="1"/>
  <c r="CG26" i="8" s="1"/>
  <c r="CI95" i="9"/>
  <c r="CE23" i="8"/>
  <c r="CH53" i="7"/>
  <c r="CD52" i="8"/>
  <c r="CD37" i="8"/>
  <c r="CD36" i="8"/>
  <c r="CD53" i="8"/>
  <c r="BX63" i="8"/>
  <c r="BX60" i="8"/>
  <c r="BX66" i="8"/>
  <c r="BY63" i="8"/>
  <c r="BY60" i="8"/>
  <c r="BY61" i="8" s="1"/>
  <c r="BY66" i="8"/>
  <c r="CL146" i="9"/>
  <c r="CL142" i="9" s="1"/>
  <c r="CI173" i="8"/>
  <c r="CI29" i="8" s="1"/>
  <c r="O9" i="8" l="1"/>
  <c r="O10" i="8" s="1"/>
  <c r="CF22" i="8"/>
  <c r="CF23" i="8" s="1"/>
  <c r="CF25" i="8" s="1"/>
  <c r="CI19" i="7"/>
  <c r="CM53" i="9"/>
  <c r="CM45" i="9"/>
  <c r="CM47" i="9"/>
  <c r="CM48" i="9"/>
  <c r="CM49" i="9"/>
  <c r="CM46" i="9"/>
  <c r="CM56" i="9"/>
  <c r="CM135" i="9"/>
  <c r="CM141" i="9" s="1"/>
  <c r="CM61" i="9" s="1"/>
  <c r="CK86" i="8"/>
  <c r="CM145" i="9"/>
  <c r="CM136" i="9"/>
  <c r="CJ54" i="9"/>
  <c r="CM59" i="9"/>
  <c r="CM58" i="9"/>
  <c r="CM50" i="9"/>
  <c r="CM51" i="9"/>
  <c r="CM55" i="9"/>
  <c r="CM57" i="9"/>
  <c r="CM144" i="9"/>
  <c r="CM52" i="9"/>
  <c r="CM43" i="9"/>
  <c r="CJ172" i="8"/>
  <c r="CJ171" i="8"/>
  <c r="CJ133" i="8"/>
  <c r="CJ130" i="8" s="1"/>
  <c r="CK15" i="7"/>
  <c r="CJ90" i="8"/>
  <c r="CJ138" i="8"/>
  <c r="CJ16" i="7"/>
  <c r="CG27" i="8"/>
  <c r="CG44" i="8"/>
  <c r="CG30" i="8"/>
  <c r="CI63" i="9"/>
  <c r="CG109" i="8" s="1"/>
  <c r="CG34" i="8" s="1"/>
  <c r="CG108" i="8"/>
  <c r="CH51" i="7"/>
  <c r="CH52" i="7"/>
  <c r="CI101" i="9"/>
  <c r="CI85" i="9" s="1"/>
  <c r="CG137" i="8" s="1"/>
  <c r="CG28" i="8" s="1"/>
  <c r="CG147" i="8"/>
  <c r="CG153" i="8" s="1"/>
  <c r="CE182" i="8"/>
  <c r="CE25" i="8"/>
  <c r="CG19" i="8"/>
  <c r="EJ63" i="8"/>
  <c r="EJ64" i="8" s="1"/>
  <c r="BX64" i="8"/>
  <c r="EJ60" i="8"/>
  <c r="EJ61" i="8" s="1"/>
  <c r="BX61" i="8"/>
  <c r="BX183" i="8"/>
  <c r="BY183" i="8" s="1"/>
  <c r="EJ66" i="8"/>
  <c r="BY64" i="8"/>
  <c r="O11" i="8"/>
  <c r="O12" i="8" s="1"/>
  <c r="CJ173" i="8" l="1"/>
  <c r="CJ29" i="8" s="1"/>
  <c r="CM146" i="9"/>
  <c r="CM142" i="9" s="1"/>
  <c r="CG32" i="8"/>
  <c r="CF36" i="8"/>
  <c r="CF53" i="8"/>
  <c r="CF37" i="8"/>
  <c r="CF52" i="8"/>
  <c r="CI53" i="7"/>
  <c r="CK99" i="8"/>
  <c r="CL37" i="7"/>
  <c r="CL38" i="7" s="1"/>
  <c r="CL40" i="7" s="1"/>
  <c r="EL40" i="7" s="1"/>
  <c r="CM94" i="9"/>
  <c r="CK146" i="8" s="1"/>
  <c r="CL25" i="7"/>
  <c r="CL26" i="7" s="1"/>
  <c r="CL28" i="7" s="1"/>
  <c r="EL28" i="7" s="1"/>
  <c r="CK91" i="8"/>
  <c r="CM86" i="9"/>
  <c r="CL33" i="7"/>
  <c r="CL34" i="7" s="1"/>
  <c r="CL36" i="7" s="1"/>
  <c r="EL36" i="7" s="1"/>
  <c r="CK93" i="8"/>
  <c r="CM88" i="9"/>
  <c r="CK140" i="8" s="1"/>
  <c r="CM89" i="9"/>
  <c r="CK141" i="8" s="1"/>
  <c r="CK94" i="8"/>
  <c r="CM90" i="9"/>
  <c r="CK142" i="8" s="1"/>
  <c r="CK95" i="8"/>
  <c r="CM87" i="9"/>
  <c r="CK139" i="8" s="1"/>
  <c r="CL29" i="7"/>
  <c r="CL30" i="7" s="1"/>
  <c r="CL32" i="7" s="1"/>
  <c r="EL32" i="7" s="1"/>
  <c r="CK92" i="8"/>
  <c r="CK102" i="8"/>
  <c r="CM97" i="9"/>
  <c r="CK149" i="8" s="1"/>
  <c r="CK107" i="8"/>
  <c r="CK33" i="8"/>
  <c r="EK33" i="8" s="1"/>
  <c r="CK129" i="8"/>
  <c r="CL9" i="7"/>
  <c r="CL10" i="7" s="1"/>
  <c r="CJ60" i="9"/>
  <c r="CH106" i="8" s="1"/>
  <c r="CJ62" i="9"/>
  <c r="CJ64" i="9"/>
  <c r="CH110" i="8" s="1"/>
  <c r="CH100" i="8"/>
  <c r="CH134" i="8" s="1"/>
  <c r="CH26" i="8" s="1"/>
  <c r="CJ95" i="9"/>
  <c r="CI41" i="7"/>
  <c r="CI42" i="7" s="1"/>
  <c r="CI44" i="7" s="1"/>
  <c r="CM100" i="9"/>
  <c r="CK152" i="8" s="1"/>
  <c r="CK105" i="8"/>
  <c r="CK104" i="8"/>
  <c r="CM99" i="9"/>
  <c r="CK151" i="8" s="1"/>
  <c r="CM91" i="9"/>
  <c r="CK143" i="8" s="1"/>
  <c r="CK96" i="8"/>
  <c r="CK97" i="8"/>
  <c r="CM92" i="9"/>
  <c r="CK144" i="8" s="1"/>
  <c r="CL45" i="7"/>
  <c r="CL46" i="7" s="1"/>
  <c r="CL48" i="7" s="1"/>
  <c r="EL48" i="7" s="1"/>
  <c r="CM96" i="9"/>
  <c r="CK148" i="8" s="1"/>
  <c r="CK101" i="8"/>
  <c r="CM98" i="9"/>
  <c r="CK150" i="8" s="1"/>
  <c r="CK103" i="8"/>
  <c r="CM93" i="9"/>
  <c r="CK145" i="8" s="1"/>
  <c r="CK98" i="8"/>
  <c r="CN40" i="9"/>
  <c r="CK89" i="8"/>
  <c r="CM44" i="9"/>
  <c r="CK20" i="7"/>
  <c r="CJ17" i="7"/>
  <c r="CK12" i="7"/>
  <c r="CH56" i="7"/>
  <c r="CH57" i="7"/>
  <c r="CG18" i="8"/>
  <c r="CE37" i="8"/>
  <c r="CE52" i="8"/>
  <c r="CE36" i="8"/>
  <c r="CE53" i="8"/>
  <c r="CF182" i="8"/>
  <c r="CH19" i="8" l="1"/>
  <c r="CK138" i="8"/>
  <c r="EL9" i="7"/>
  <c r="CK16" i="7"/>
  <c r="CH27" i="8"/>
  <c r="CH44" i="8"/>
  <c r="CH30" i="8"/>
  <c r="CJ63" i="9"/>
  <c r="CH109" i="8" s="1"/>
  <c r="CH34" i="8" s="1"/>
  <c r="CH108" i="8"/>
  <c r="CJ101" i="9"/>
  <c r="CJ85" i="9" s="1"/>
  <c r="CH137" i="8" s="1"/>
  <c r="CH28" i="8" s="1"/>
  <c r="CH147" i="8"/>
  <c r="CH153" i="8" s="1"/>
  <c r="CI52" i="7"/>
  <c r="CI51" i="7"/>
  <c r="CN53" i="9"/>
  <c r="CN45" i="9"/>
  <c r="CL86" i="8"/>
  <c r="CN135" i="9"/>
  <c r="CN141" i="9" s="1"/>
  <c r="CN61" i="9" s="1"/>
  <c r="CN58" i="9"/>
  <c r="CN55" i="9"/>
  <c r="CN52" i="9"/>
  <c r="CN51" i="9"/>
  <c r="CK54" i="9"/>
  <c r="CN47" i="9"/>
  <c r="CN136" i="9"/>
  <c r="CN56" i="9"/>
  <c r="CN59" i="9"/>
  <c r="CN57" i="9"/>
  <c r="CN48" i="9"/>
  <c r="CN145" i="9"/>
  <c r="CN144" i="9"/>
  <c r="CN146" i="9" s="1"/>
  <c r="CN142" i="9" s="1"/>
  <c r="CN49" i="9"/>
  <c r="CN50" i="9"/>
  <c r="CN46" i="9"/>
  <c r="CN43" i="9"/>
  <c r="CK171" i="8"/>
  <c r="CK172" i="8"/>
  <c r="CL15" i="7"/>
  <c r="CK133" i="8"/>
  <c r="CK130" i="8" s="1"/>
  <c r="CK90" i="8"/>
  <c r="CJ19" i="7"/>
  <c r="CG22" i="8"/>
  <c r="CG23" i="8" s="1"/>
  <c r="CH32" i="8" l="1"/>
  <c r="CK17" i="7"/>
  <c r="EL10" i="7"/>
  <c r="CL12" i="7"/>
  <c r="CH18" i="8"/>
  <c r="CI56" i="7"/>
  <c r="CI57" i="7" s="1"/>
  <c r="CL99" i="8"/>
  <c r="CN94" i="9"/>
  <c r="CL146" i="8" s="1"/>
  <c r="CM37" i="7"/>
  <c r="CM38" i="7" s="1"/>
  <c r="CM40" i="7" s="1"/>
  <c r="CM25" i="7"/>
  <c r="CM26" i="7" s="1"/>
  <c r="CM28" i="7" s="1"/>
  <c r="CN86" i="9"/>
  <c r="CL91" i="8"/>
  <c r="CM9" i="7"/>
  <c r="CM10" i="7" s="1"/>
  <c r="CL129" i="8"/>
  <c r="CL33" i="8"/>
  <c r="CL107" i="8"/>
  <c r="CL104" i="8"/>
  <c r="CN99" i="9"/>
  <c r="CL151" i="8" s="1"/>
  <c r="CL101" i="8"/>
  <c r="CN96" i="9"/>
  <c r="CL148" i="8" s="1"/>
  <c r="CM45" i="7"/>
  <c r="CM46" i="7" s="1"/>
  <c r="CM48" i="7" s="1"/>
  <c r="CN93" i="9"/>
  <c r="CL145" i="8" s="1"/>
  <c r="CL98" i="8"/>
  <c r="CL97" i="8"/>
  <c r="CN92" i="9"/>
  <c r="CL144" i="8" s="1"/>
  <c r="CK60" i="9"/>
  <c r="CI106" i="8" s="1"/>
  <c r="CK62" i="9"/>
  <c r="CK64" i="9"/>
  <c r="CI110" i="8" s="1"/>
  <c r="CI100" i="8"/>
  <c r="CI134" i="8" s="1"/>
  <c r="CI26" i="8" s="1"/>
  <c r="CJ41" i="7"/>
  <c r="CJ42" i="7" s="1"/>
  <c r="CJ44" i="7" s="1"/>
  <c r="CK95" i="9"/>
  <c r="CN88" i="9"/>
  <c r="CL140" i="8" s="1"/>
  <c r="CL93" i="8"/>
  <c r="CM33" i="7"/>
  <c r="CM34" i="7" s="1"/>
  <c r="CM36" i="7" s="1"/>
  <c r="CL102" i="8"/>
  <c r="CN97" i="9"/>
  <c r="CL149" i="8" s="1"/>
  <c r="CN100" i="9"/>
  <c r="CL152" i="8" s="1"/>
  <c r="CL105" i="8"/>
  <c r="CN98" i="9"/>
  <c r="CL150" i="8" s="1"/>
  <c r="CL103" i="8"/>
  <c r="CN89" i="9"/>
  <c r="CL141" i="8" s="1"/>
  <c r="CL94" i="8"/>
  <c r="CL95" i="8"/>
  <c r="CN90" i="9"/>
  <c r="CL142" i="8" s="1"/>
  <c r="CL96" i="8"/>
  <c r="CN91" i="9"/>
  <c r="CL143" i="8" s="1"/>
  <c r="CL92" i="8"/>
  <c r="CM29" i="7"/>
  <c r="CM30" i="7" s="1"/>
  <c r="CM32" i="7" s="1"/>
  <c r="CN87" i="9"/>
  <c r="CL139" i="8" s="1"/>
  <c r="CL89" i="8"/>
  <c r="CO40" i="9"/>
  <c r="CN44" i="9"/>
  <c r="EL15" i="7"/>
  <c r="CL20" i="7"/>
  <c r="CJ53" i="7"/>
  <c r="CG182" i="8"/>
  <c r="CG25" i="8"/>
  <c r="CK173" i="8"/>
  <c r="CK29" i="8" s="1"/>
  <c r="EK29" i="8" s="1"/>
  <c r="CK19" i="7" l="1"/>
  <c r="EL12" i="7"/>
  <c r="CH22" i="8"/>
  <c r="CL138" i="8"/>
  <c r="CL16" i="7"/>
  <c r="CI30" i="8"/>
  <c r="CI44" i="8"/>
  <c r="CI27" i="8"/>
  <c r="CK63" i="9"/>
  <c r="CI109" i="8" s="1"/>
  <c r="CI34" i="8" s="1"/>
  <c r="CI108" i="8"/>
  <c r="CJ52" i="7"/>
  <c r="CJ51" i="7"/>
  <c r="CK101" i="9"/>
  <c r="CK85" i="9" s="1"/>
  <c r="CI137" i="8" s="1"/>
  <c r="CI28" i="8" s="1"/>
  <c r="CI147" i="8"/>
  <c r="CI153" i="8" s="1"/>
  <c r="CL172" i="8"/>
  <c r="CL171" i="8"/>
  <c r="CL133" i="8"/>
  <c r="CL130" i="8" s="1"/>
  <c r="CM15" i="7"/>
  <c r="CO47" i="9"/>
  <c r="CL54" i="9"/>
  <c r="CO53" i="9"/>
  <c r="CO58" i="9"/>
  <c r="CO55" i="9"/>
  <c r="CO135" i="9"/>
  <c r="CO141" i="9" s="1"/>
  <c r="CO61" i="9" s="1"/>
  <c r="CO50" i="9"/>
  <c r="CO57" i="9"/>
  <c r="CO56" i="9"/>
  <c r="CO45" i="9"/>
  <c r="CO136" i="9"/>
  <c r="CO51" i="9"/>
  <c r="CO43" i="9"/>
  <c r="CO44" i="9" s="1"/>
  <c r="CO49" i="9"/>
  <c r="CO48" i="9"/>
  <c r="CO145" i="9"/>
  <c r="CO144" i="9"/>
  <c r="CO52" i="9"/>
  <c r="CO59" i="9"/>
  <c r="CM86" i="8"/>
  <c r="CO46" i="9"/>
  <c r="CL90" i="8"/>
  <c r="CI19" i="8"/>
  <c r="CG53" i="8"/>
  <c r="CG36" i="8"/>
  <c r="CG52" i="8"/>
  <c r="CG37" i="8"/>
  <c r="CO146" i="9" l="1"/>
  <c r="CO142" i="9" s="1"/>
  <c r="CL173" i="8"/>
  <c r="CL29" i="8" s="1"/>
  <c r="CI32" i="8"/>
  <c r="CK53" i="7"/>
  <c r="CH23" i="8"/>
  <c r="CM12" i="7"/>
  <c r="EL16" i="7"/>
  <c r="CL17" i="7"/>
  <c r="CI18" i="8"/>
  <c r="CJ56" i="7"/>
  <c r="CM20" i="7"/>
  <c r="CM93" i="8"/>
  <c r="CN33" i="7"/>
  <c r="CN34" i="7" s="1"/>
  <c r="CN36" i="7" s="1"/>
  <c r="CO88" i="9"/>
  <c r="CM140" i="8" s="1"/>
  <c r="CM90" i="8"/>
  <c r="CL60" i="9"/>
  <c r="CJ106" i="8" s="1"/>
  <c r="CL62" i="9"/>
  <c r="CL64" i="9"/>
  <c r="CJ110" i="8" s="1"/>
  <c r="CK41" i="7"/>
  <c r="CK42" i="7" s="1"/>
  <c r="CK44" i="7" s="1"/>
  <c r="CJ100" i="8"/>
  <c r="CJ134" i="8" s="1"/>
  <c r="CJ26" i="8" s="1"/>
  <c r="CL95" i="9"/>
  <c r="CO94" i="9"/>
  <c r="CM146" i="8" s="1"/>
  <c r="CM99" i="8"/>
  <c r="CN37" i="7"/>
  <c r="CN38" i="7" s="1"/>
  <c r="CN40" i="7" s="1"/>
  <c r="CO99" i="9"/>
  <c r="CM151" i="8" s="1"/>
  <c r="CM104" i="8"/>
  <c r="CN45" i="7"/>
  <c r="CN46" i="7" s="1"/>
  <c r="CN48" i="7" s="1"/>
  <c r="CO96" i="9"/>
  <c r="CM148" i="8" s="1"/>
  <c r="CM101" i="8"/>
  <c r="CM107" i="8"/>
  <c r="CM96" i="8"/>
  <c r="CO91" i="9"/>
  <c r="CM143" i="8" s="1"/>
  <c r="CO98" i="9"/>
  <c r="CM150" i="8" s="1"/>
  <c r="CM103" i="8"/>
  <c r="CM102" i="8"/>
  <c r="CO97" i="9"/>
  <c r="CM149" i="8" s="1"/>
  <c r="CO86" i="9"/>
  <c r="CN25" i="7"/>
  <c r="CN26" i="7" s="1"/>
  <c r="CN28" i="7" s="1"/>
  <c r="CM91" i="8"/>
  <c r="CO92" i="9"/>
  <c r="CM144" i="8" s="1"/>
  <c r="CM97" i="8"/>
  <c r="CM89" i="8"/>
  <c r="CP40" i="9"/>
  <c r="CO90" i="9"/>
  <c r="CM142" i="8" s="1"/>
  <c r="CM95" i="8"/>
  <c r="CM94" i="8"/>
  <c r="CO89" i="9"/>
  <c r="CM141" i="8" s="1"/>
  <c r="CM98" i="8"/>
  <c r="CO93" i="9"/>
  <c r="CM145" i="8" s="1"/>
  <c r="CM105" i="8"/>
  <c r="CO100" i="9"/>
  <c r="CM152" i="8" s="1"/>
  <c r="CM33" i="8"/>
  <c r="CN9" i="7"/>
  <c r="CN10" i="7" s="1"/>
  <c r="CM129" i="8"/>
  <c r="CN29" i="7"/>
  <c r="CN30" i="7" s="1"/>
  <c r="CN32" i="7" s="1"/>
  <c r="CM92" i="8"/>
  <c r="CO87" i="9"/>
  <c r="CM139" i="8" s="1"/>
  <c r="CJ19" i="8" l="1"/>
  <c r="CH182" i="8"/>
  <c r="CH25" i="8"/>
  <c r="EL17" i="7"/>
  <c r="CL19" i="7"/>
  <c r="CJ57" i="7"/>
  <c r="CI22" i="8"/>
  <c r="CI23" i="8" s="1"/>
  <c r="CJ30" i="8"/>
  <c r="CJ27" i="8"/>
  <c r="CJ44" i="8"/>
  <c r="CL63" i="9"/>
  <c r="CJ109" i="8" s="1"/>
  <c r="CJ34" i="8" s="1"/>
  <c r="CJ108" i="8"/>
  <c r="CK52" i="7"/>
  <c r="CK51" i="7"/>
  <c r="CL101" i="9"/>
  <c r="CL85" i="9" s="1"/>
  <c r="CJ137" i="8" s="1"/>
  <c r="CJ28" i="8" s="1"/>
  <c r="CJ147" i="8"/>
  <c r="CJ153" i="8" s="1"/>
  <c r="CM138" i="8"/>
  <c r="CN15" i="7"/>
  <c r="CM171" i="8"/>
  <c r="CM172" i="8"/>
  <c r="CM133" i="8"/>
  <c r="CM130" i="8" s="1"/>
  <c r="CP145" i="9"/>
  <c r="CP52" i="9"/>
  <c r="CP57" i="9"/>
  <c r="CP135" i="9"/>
  <c r="CP141" i="9" s="1"/>
  <c r="CP61" i="9" s="1"/>
  <c r="CP47" i="9"/>
  <c r="CP49" i="9"/>
  <c r="CP45" i="9"/>
  <c r="CP50" i="9"/>
  <c r="CM54" i="9"/>
  <c r="CP51" i="9"/>
  <c r="CP56" i="9"/>
  <c r="CP53" i="9"/>
  <c r="CP144" i="9"/>
  <c r="CN86" i="8"/>
  <c r="CP58" i="9"/>
  <c r="CP55" i="9"/>
  <c r="CP46" i="9"/>
  <c r="CP48" i="9"/>
  <c r="CP43" i="9"/>
  <c r="CP136" i="9"/>
  <c r="CP59" i="9"/>
  <c r="CM16" i="7"/>
  <c r="CJ32" i="8" l="1"/>
  <c r="CP146" i="9"/>
  <c r="CP142" i="9" s="1"/>
  <c r="CH37" i="8"/>
  <c r="CH52" i="8"/>
  <c r="CH53" i="8"/>
  <c r="CH36" i="8"/>
  <c r="EL19" i="7"/>
  <c r="CL53" i="7"/>
  <c r="CJ18" i="8"/>
  <c r="CK56" i="7"/>
  <c r="CN20" i="7"/>
  <c r="CP93" i="9"/>
  <c r="CN145" i="8" s="1"/>
  <c r="CN98" i="8"/>
  <c r="CP98" i="9"/>
  <c r="CN150" i="8" s="1"/>
  <c r="CN103" i="8"/>
  <c r="CN107" i="8"/>
  <c r="CO33" i="7"/>
  <c r="CO34" i="7" s="1"/>
  <c r="CO36" i="7" s="1"/>
  <c r="CP88" i="9"/>
  <c r="CN140" i="8" s="1"/>
  <c r="CN93" i="8"/>
  <c r="CP90" i="9"/>
  <c r="CN142" i="8" s="1"/>
  <c r="CN95" i="8"/>
  <c r="CN91" i="8"/>
  <c r="CP86" i="9"/>
  <c r="CO25" i="7"/>
  <c r="CO26" i="7" s="1"/>
  <c r="CO28" i="7" s="1"/>
  <c r="CP91" i="9"/>
  <c r="CN143" i="8" s="1"/>
  <c r="CN96" i="8"/>
  <c r="CM60" i="9"/>
  <c r="CK106" i="8" s="1"/>
  <c r="CM64" i="9"/>
  <c r="CK110" i="8" s="1"/>
  <c r="CM62" i="9"/>
  <c r="CL41" i="7"/>
  <c r="CL42" i="7" s="1"/>
  <c r="CL44" i="7" s="1"/>
  <c r="CK100" i="8"/>
  <c r="CK134" i="8" s="1"/>
  <c r="CK26" i="8" s="1"/>
  <c r="CM95" i="9"/>
  <c r="CN97" i="8"/>
  <c r="CP92" i="9"/>
  <c r="CN144" i="8" s="1"/>
  <c r="CN102" i="8"/>
  <c r="CP97" i="9"/>
  <c r="CN149" i="8" s="1"/>
  <c r="CO37" i="7"/>
  <c r="CO38" i="7" s="1"/>
  <c r="CO40" i="7" s="1"/>
  <c r="CP94" i="9"/>
  <c r="CN146" i="8" s="1"/>
  <c r="CN99" i="8"/>
  <c r="CO9" i="7"/>
  <c r="CO10" i="7" s="1"/>
  <c r="CN129" i="8"/>
  <c r="CN33" i="8"/>
  <c r="CP99" i="9"/>
  <c r="CN151" i="8" s="1"/>
  <c r="CN104" i="8"/>
  <c r="CN101" i="8"/>
  <c r="CP96" i="9"/>
  <c r="CN148" i="8" s="1"/>
  <c r="CO45" i="7"/>
  <c r="CO46" i="7" s="1"/>
  <c r="CO48" i="7" s="1"/>
  <c r="CO29" i="7"/>
  <c r="CO30" i="7" s="1"/>
  <c r="CO32" i="7" s="1"/>
  <c r="CP87" i="9"/>
  <c r="CN139" i="8" s="1"/>
  <c r="CN92" i="8"/>
  <c r="CP89" i="9"/>
  <c r="CN141" i="8" s="1"/>
  <c r="CN94" i="8"/>
  <c r="CN89" i="8"/>
  <c r="CQ40" i="9"/>
  <c r="CP44" i="9"/>
  <c r="CP100" i="9"/>
  <c r="CN152" i="8" s="1"/>
  <c r="CN105" i="8"/>
  <c r="CN12" i="7"/>
  <c r="CM17" i="7"/>
  <c r="CM173" i="8"/>
  <c r="CM29" i="8" s="1"/>
  <c r="CI182" i="8"/>
  <c r="CI25" i="8"/>
  <c r="EL53" i="7" l="1"/>
  <c r="CK19" i="8"/>
  <c r="EK19" i="8" s="1"/>
  <c r="CK57" i="7"/>
  <c r="CJ22" i="8"/>
  <c r="CN138" i="8"/>
  <c r="CK30" i="8"/>
  <c r="EK30" i="8" s="1"/>
  <c r="CK27" i="8"/>
  <c r="EK27" i="8" s="1"/>
  <c r="CK44" i="8"/>
  <c r="EK44" i="8" s="1"/>
  <c r="CJ35" i="8"/>
  <c r="CF35" i="8"/>
  <c r="CF39" i="8" s="1"/>
  <c r="CE35" i="8"/>
  <c r="CE39" i="8" s="1"/>
  <c r="CG35" i="8"/>
  <c r="CG39" i="8" s="1"/>
  <c r="CD35" i="8"/>
  <c r="CD39" i="8" s="1"/>
  <c r="BZ35" i="8"/>
  <c r="CC35" i="8"/>
  <c r="CC39" i="8" s="1"/>
  <c r="CI35" i="8"/>
  <c r="CK35" i="8"/>
  <c r="CH35" i="8"/>
  <c r="CH39" i="8" s="1"/>
  <c r="CA35" i="8"/>
  <c r="CA39" i="8" s="1"/>
  <c r="CB35" i="8"/>
  <c r="CB39" i="8" s="1"/>
  <c r="CM63" i="9"/>
  <c r="CK109" i="8" s="1"/>
  <c r="CK34" i="8" s="1"/>
  <c r="EK34" i="8" s="1"/>
  <c r="CK108" i="8"/>
  <c r="EL44" i="7"/>
  <c r="CL51" i="7"/>
  <c r="CL52" i="7"/>
  <c r="EK26" i="8"/>
  <c r="CM101" i="9"/>
  <c r="CM85" i="9" s="1"/>
  <c r="CK137" i="8" s="1"/>
  <c r="CK28" i="8" s="1"/>
  <c r="CK147" i="8"/>
  <c r="CK153" i="8" s="1"/>
  <c r="CN16" i="7"/>
  <c r="CN133" i="8"/>
  <c r="CN130" i="8" s="1"/>
  <c r="CN172" i="8"/>
  <c r="CO15" i="7"/>
  <c r="CN171" i="8"/>
  <c r="CQ58" i="9"/>
  <c r="CQ59" i="9"/>
  <c r="CQ52" i="9"/>
  <c r="CO86" i="8"/>
  <c r="CQ45" i="9"/>
  <c r="CQ53" i="9"/>
  <c r="CQ51" i="9"/>
  <c r="CQ144" i="9"/>
  <c r="CN54" i="9"/>
  <c r="CQ135" i="9"/>
  <c r="CQ141" i="9" s="1"/>
  <c r="CQ61" i="9" s="1"/>
  <c r="CQ57" i="9"/>
  <c r="CQ47" i="9"/>
  <c r="CQ55" i="9"/>
  <c r="CQ49" i="9"/>
  <c r="CQ43" i="9"/>
  <c r="CQ44" i="9" s="1"/>
  <c r="CQ50" i="9"/>
  <c r="CQ136" i="9"/>
  <c r="CQ56" i="9"/>
  <c r="CQ46" i="9"/>
  <c r="CQ48" i="9"/>
  <c r="CQ145" i="9"/>
  <c r="CN90" i="8"/>
  <c r="CM19" i="7"/>
  <c r="CI53" i="8"/>
  <c r="CI37" i="8"/>
  <c r="CI36" i="8"/>
  <c r="CI52" i="8"/>
  <c r="CN173" i="8" l="1"/>
  <c r="CN29" i="8" s="1"/>
  <c r="CI39" i="8"/>
  <c r="CJ23" i="8"/>
  <c r="CF41" i="8"/>
  <c r="CF46" i="8"/>
  <c r="CE41" i="8"/>
  <c r="CE46" i="8"/>
  <c r="CG41" i="8"/>
  <c r="CG46" i="8"/>
  <c r="CD41" i="8"/>
  <c r="CD46" i="8"/>
  <c r="BZ39" i="8"/>
  <c r="EK35" i="8"/>
  <c r="CC41" i="8"/>
  <c r="CC46" i="8"/>
  <c r="CH41" i="8"/>
  <c r="CH46" i="8"/>
  <c r="CA46" i="8"/>
  <c r="CA41" i="8"/>
  <c r="CB41" i="8"/>
  <c r="CB46" i="8"/>
  <c r="EL51" i="7"/>
  <c r="CL56" i="7"/>
  <c r="CL57" i="7" s="1"/>
  <c r="EL57" i="7" s="1"/>
  <c r="EL52" i="7"/>
  <c r="CK18" i="8"/>
  <c r="CN17" i="7"/>
  <c r="CO12" i="7"/>
  <c r="CO20" i="7"/>
  <c r="CQ99" i="9"/>
  <c r="CO151" i="8" s="1"/>
  <c r="CO104" i="8"/>
  <c r="CQ100" i="9"/>
  <c r="CO152" i="8" s="1"/>
  <c r="CO105" i="8"/>
  <c r="CO98" i="8"/>
  <c r="CQ93" i="9"/>
  <c r="CO145" i="8" s="1"/>
  <c r="CO129" i="8"/>
  <c r="CP9" i="7"/>
  <c r="CP10" i="7" s="1"/>
  <c r="CO33" i="8"/>
  <c r="CQ86" i="9"/>
  <c r="CO91" i="8"/>
  <c r="CP25" i="7"/>
  <c r="CP26" i="7" s="1"/>
  <c r="CP28" i="7" s="1"/>
  <c r="CP37" i="7"/>
  <c r="CP38" i="7" s="1"/>
  <c r="CP40" i="7" s="1"/>
  <c r="CQ94" i="9"/>
  <c r="CO146" i="8" s="1"/>
  <c r="CO99" i="8"/>
  <c r="CO90" i="8"/>
  <c r="CO97" i="8"/>
  <c r="CQ92" i="9"/>
  <c r="CO144" i="8" s="1"/>
  <c r="CN60" i="9"/>
  <c r="CL106" i="8" s="1"/>
  <c r="CN62" i="9"/>
  <c r="CN64" i="9"/>
  <c r="CL110" i="8" s="1"/>
  <c r="CM41" i="7"/>
  <c r="CM42" i="7" s="1"/>
  <c r="CM44" i="7" s="1"/>
  <c r="CN95" i="9"/>
  <c r="CL100" i="8"/>
  <c r="CL134" i="8" s="1"/>
  <c r="CL26" i="8" s="1"/>
  <c r="CO107" i="8"/>
  <c r="CO103" i="8"/>
  <c r="CQ98" i="9"/>
  <c r="CO150" i="8" s="1"/>
  <c r="CQ88" i="9"/>
  <c r="CO140" i="8" s="1"/>
  <c r="CP33" i="7"/>
  <c r="CP34" i="7" s="1"/>
  <c r="CP36" i="7" s="1"/>
  <c r="CO93" i="8"/>
  <c r="CO101" i="8"/>
  <c r="CQ96" i="9"/>
  <c r="CO148" i="8" s="1"/>
  <c r="CP45" i="7"/>
  <c r="CP46" i="7" s="1"/>
  <c r="CP48" i="7" s="1"/>
  <c r="CO95" i="8"/>
  <c r="CQ90" i="9"/>
  <c r="CO142" i="8" s="1"/>
  <c r="CO89" i="8"/>
  <c r="CR40" i="9"/>
  <c r="CO96" i="8"/>
  <c r="CQ91" i="9"/>
  <c r="CO143" i="8" s="1"/>
  <c r="CO102" i="8"/>
  <c r="CQ97" i="9"/>
  <c r="CO149" i="8" s="1"/>
  <c r="CP29" i="7"/>
  <c r="CP30" i="7" s="1"/>
  <c r="CP32" i="7" s="1"/>
  <c r="CQ87" i="9"/>
  <c r="CO139" i="8" s="1"/>
  <c r="CO92" i="8"/>
  <c r="CO94" i="8"/>
  <c r="CQ89" i="9"/>
  <c r="CO141" i="8" s="1"/>
  <c r="CM53" i="7"/>
  <c r="CQ146" i="9"/>
  <c r="CQ142" i="9" s="1"/>
  <c r="EK28" i="8"/>
  <c r="EK32" i="8" s="1"/>
  <c r="CK32" i="8"/>
  <c r="CI46" i="8" l="1"/>
  <c r="CI41" i="8"/>
  <c r="CJ182" i="8"/>
  <c r="CJ25" i="8"/>
  <c r="CF48" i="8"/>
  <c r="CF42" i="8"/>
  <c r="CE42" i="8"/>
  <c r="CE48" i="8"/>
  <c r="CG48" i="8"/>
  <c r="CG42" i="8"/>
  <c r="CD48" i="8"/>
  <c r="CD42" i="8"/>
  <c r="BZ41" i="8"/>
  <c r="BZ46" i="8"/>
  <c r="CC42" i="8"/>
  <c r="CC48" i="8"/>
  <c r="CH48" i="8"/>
  <c r="CH42" i="8"/>
  <c r="CA42" i="8"/>
  <c r="CA48" i="8"/>
  <c r="CB42" i="8"/>
  <c r="CB48" i="8"/>
  <c r="EL56" i="7"/>
  <c r="CK22" i="8"/>
  <c r="EK18" i="8"/>
  <c r="CN19" i="7"/>
  <c r="CO16" i="7"/>
  <c r="CO138" i="8"/>
  <c r="CL44" i="8"/>
  <c r="CL30" i="8"/>
  <c r="CL27" i="8"/>
  <c r="CN63" i="9"/>
  <c r="CL108" i="8"/>
  <c r="CM52" i="7"/>
  <c r="CM51" i="7"/>
  <c r="CN101" i="9"/>
  <c r="CN85" i="9" s="1"/>
  <c r="CL137" i="8" s="1"/>
  <c r="CL28" i="8" s="1"/>
  <c r="CL147" i="8"/>
  <c r="CL153" i="8" s="1"/>
  <c r="CO172" i="8"/>
  <c r="CP15" i="7"/>
  <c r="CO133" i="8"/>
  <c r="CO130" i="8" s="1"/>
  <c r="CO171" i="8"/>
  <c r="CR136" i="9"/>
  <c r="CP86" i="8"/>
  <c r="CR58" i="9"/>
  <c r="CR43" i="9"/>
  <c r="CR52" i="9"/>
  <c r="CR144" i="9"/>
  <c r="CR47" i="9"/>
  <c r="CO54" i="9"/>
  <c r="CR135" i="9"/>
  <c r="CR141" i="9" s="1"/>
  <c r="CR61" i="9" s="1"/>
  <c r="CR45" i="9"/>
  <c r="CR50" i="9"/>
  <c r="CR48" i="9"/>
  <c r="CR51" i="9"/>
  <c r="CR56" i="9"/>
  <c r="CR55" i="9"/>
  <c r="CR46" i="9"/>
  <c r="CR57" i="9"/>
  <c r="CR49" i="9"/>
  <c r="CR59" i="9"/>
  <c r="CR145" i="9"/>
  <c r="CR53" i="9"/>
  <c r="CL19" i="8"/>
  <c r="CR146" i="9" l="1"/>
  <c r="CR142" i="9" s="1"/>
  <c r="CL32" i="8"/>
  <c r="CI48" i="8"/>
  <c r="CI42" i="8"/>
  <c r="EK22" i="8"/>
  <c r="EK23" i="8" s="1"/>
  <c r="EK25" i="8" s="1"/>
  <c r="CK23" i="8"/>
  <c r="CJ53" i="8"/>
  <c r="CJ36" i="8"/>
  <c r="CJ52" i="8"/>
  <c r="CJ37" i="8"/>
  <c r="CF55" i="8"/>
  <c r="CF49" i="8"/>
  <c r="CE49" i="8"/>
  <c r="CE55" i="8"/>
  <c r="CG49" i="8"/>
  <c r="CG55" i="8"/>
  <c r="CD55" i="8"/>
  <c r="CD49" i="8"/>
  <c r="BZ42" i="8"/>
  <c r="BZ48" i="8"/>
  <c r="CC49" i="8"/>
  <c r="CC55" i="8"/>
  <c r="CH49" i="8"/>
  <c r="CH55" i="8"/>
  <c r="CA55" i="8"/>
  <c r="CA49" i="8"/>
  <c r="CB49" i="8"/>
  <c r="CB55" i="8"/>
  <c r="CN53" i="7"/>
  <c r="CO17" i="7"/>
  <c r="CP12" i="7"/>
  <c r="CL109" i="8"/>
  <c r="CL34" i="8" s="1"/>
  <c r="CB114" i="9"/>
  <c r="CL18" i="8"/>
  <c r="CM56" i="7"/>
  <c r="CM57" i="7" s="1"/>
  <c r="CP20" i="7"/>
  <c r="CP33" i="8"/>
  <c r="CQ9" i="7"/>
  <c r="CQ10" i="7" s="1"/>
  <c r="CP129" i="8"/>
  <c r="CR99" i="9"/>
  <c r="CP151" i="8" s="1"/>
  <c r="CP104" i="8"/>
  <c r="CS40" i="9"/>
  <c r="CP89" i="8"/>
  <c r="CR44" i="9"/>
  <c r="CR93" i="9"/>
  <c r="CP145" i="8" s="1"/>
  <c r="CP98" i="8"/>
  <c r="CR88" i="9"/>
  <c r="CP140" i="8" s="1"/>
  <c r="CQ33" i="7"/>
  <c r="CQ34" i="7" s="1"/>
  <c r="CQ36" i="7" s="1"/>
  <c r="CP93" i="8"/>
  <c r="CO62" i="9"/>
  <c r="CO60" i="9"/>
  <c r="CM106" i="8" s="1"/>
  <c r="CO64" i="9"/>
  <c r="CM110" i="8" s="1"/>
  <c r="CN41" i="7"/>
  <c r="CN42" i="7" s="1"/>
  <c r="CN44" i="7" s="1"/>
  <c r="CO95" i="9"/>
  <c r="CM100" i="8"/>
  <c r="CM134" i="8" s="1"/>
  <c r="CM26" i="8" s="1"/>
  <c r="CP107" i="8"/>
  <c r="CR86" i="9"/>
  <c r="CQ25" i="7"/>
  <c r="CQ26" i="7" s="1"/>
  <c r="CQ28" i="7" s="1"/>
  <c r="CP91" i="8"/>
  <c r="CR91" i="9"/>
  <c r="CP143" i="8" s="1"/>
  <c r="CP96" i="8"/>
  <c r="CR89" i="9"/>
  <c r="CP141" i="8" s="1"/>
  <c r="CP94" i="8"/>
  <c r="CR92" i="9"/>
  <c r="CP144" i="8" s="1"/>
  <c r="CP97" i="8"/>
  <c r="CP102" i="8"/>
  <c r="CR97" i="9"/>
  <c r="CP149" i="8" s="1"/>
  <c r="CQ45" i="7"/>
  <c r="CQ46" i="7" s="1"/>
  <c r="CQ48" i="7" s="1"/>
  <c r="CR96" i="9"/>
  <c r="CP148" i="8" s="1"/>
  <c r="CP101" i="8"/>
  <c r="CR87" i="9"/>
  <c r="CP139" i="8" s="1"/>
  <c r="CQ29" i="7"/>
  <c r="CQ30" i="7" s="1"/>
  <c r="CQ32" i="7" s="1"/>
  <c r="CP92" i="8"/>
  <c r="CP103" i="8"/>
  <c r="CR98" i="9"/>
  <c r="CP150" i="8" s="1"/>
  <c r="CR90" i="9"/>
  <c r="CP142" i="8" s="1"/>
  <c r="CP95" i="8"/>
  <c r="CP105" i="8"/>
  <c r="CR100" i="9"/>
  <c r="CP152" i="8" s="1"/>
  <c r="CR94" i="9"/>
  <c r="CP146" i="8" s="1"/>
  <c r="CP99" i="8"/>
  <c r="CQ37" i="7"/>
  <c r="CQ38" i="7" s="1"/>
  <c r="CQ40" i="7" s="1"/>
  <c r="CO173" i="8"/>
  <c r="CO29" i="8" s="1"/>
  <c r="CK182" i="8" l="1"/>
  <c r="CK25" i="8"/>
  <c r="CI49" i="8"/>
  <c r="CI55" i="8"/>
  <c r="CI56" i="8" s="1"/>
  <c r="CJ39" i="8"/>
  <c r="CF56" i="8"/>
  <c r="CE56" i="8"/>
  <c r="CG56" i="8"/>
  <c r="CD56" i="8"/>
  <c r="BZ49" i="8"/>
  <c r="BZ55" i="8"/>
  <c r="CC56" i="8"/>
  <c r="CH56" i="8"/>
  <c r="CA56" i="8"/>
  <c r="CB56" i="8"/>
  <c r="CM19" i="8"/>
  <c r="CO19" i="7"/>
  <c r="BZ166" i="8"/>
  <c r="BZ58" i="8" s="1"/>
  <c r="CC114" i="9"/>
  <c r="CL22" i="8"/>
  <c r="CP16" i="7"/>
  <c r="CQ86" i="8"/>
  <c r="CS136" i="9"/>
  <c r="CS145" i="9"/>
  <c r="CP54" i="9"/>
  <c r="CS51" i="9"/>
  <c r="CS57" i="9"/>
  <c r="CS48" i="9"/>
  <c r="CS55" i="9"/>
  <c r="CS58" i="9"/>
  <c r="CS49" i="9"/>
  <c r="CS46" i="9"/>
  <c r="CS45" i="9"/>
  <c r="CS47" i="9"/>
  <c r="CS50" i="9"/>
  <c r="CS59" i="9"/>
  <c r="CS56" i="9"/>
  <c r="CS144" i="9"/>
  <c r="CS43" i="9"/>
  <c r="CS44" i="9" s="1"/>
  <c r="CS53" i="9"/>
  <c r="CS52" i="9"/>
  <c r="CS135" i="9"/>
  <c r="CS141" i="9" s="1"/>
  <c r="CS61" i="9" s="1"/>
  <c r="CP172" i="8"/>
  <c r="CP133" i="8"/>
  <c r="CP130" i="8" s="1"/>
  <c r="CQ15" i="7"/>
  <c r="CP171" i="8"/>
  <c r="CP90" i="8"/>
  <c r="CO63" i="9"/>
  <c r="CM108" i="8"/>
  <c r="CM44" i="8"/>
  <c r="CM27" i="8"/>
  <c r="CM30" i="8"/>
  <c r="CN51" i="7"/>
  <c r="CN52" i="7"/>
  <c r="CO101" i="9"/>
  <c r="CO85" i="9" s="1"/>
  <c r="CM137" i="8" s="1"/>
  <c r="CM28" i="8" s="1"/>
  <c r="CM147" i="8"/>
  <c r="CM153" i="8" s="1"/>
  <c r="CP138" i="8"/>
  <c r="CS146" i="9" l="1"/>
  <c r="CS142" i="9" s="1"/>
  <c r="CP173" i="8"/>
  <c r="CP29" i="8" s="1"/>
  <c r="CK52" i="8"/>
  <c r="EK52" i="8" s="1"/>
  <c r="CK53" i="8"/>
  <c r="EK53" i="8" s="1"/>
  <c r="CK36" i="8"/>
  <c r="CK37" i="8"/>
  <c r="EK37" i="8" s="1"/>
  <c r="P8" i="8"/>
  <c r="CM32" i="8"/>
  <c r="BZ60" i="8"/>
  <c r="BZ61" i="8" s="1"/>
  <c r="BZ66" i="8"/>
  <c r="BZ183" i="8" s="1"/>
  <c r="CJ41" i="8"/>
  <c r="CJ46" i="8"/>
  <c r="BZ63" i="8"/>
  <c r="BZ56" i="8"/>
  <c r="CO53" i="7"/>
  <c r="CA166" i="8"/>
  <c r="CA58" i="8" s="1"/>
  <c r="CD114" i="9"/>
  <c r="CL23" i="8"/>
  <c r="CQ12" i="7"/>
  <c r="CP17" i="7"/>
  <c r="CQ129" i="8"/>
  <c r="CQ33" i="8"/>
  <c r="CR9" i="7"/>
  <c r="CR10" i="7" s="1"/>
  <c r="CQ90" i="8"/>
  <c r="CP60" i="9"/>
  <c r="CN106" i="8" s="1"/>
  <c r="CP62" i="9"/>
  <c r="CP64" i="9"/>
  <c r="CN110" i="8" s="1"/>
  <c r="CP95" i="9"/>
  <c r="CO41" i="7"/>
  <c r="CO42" i="7" s="1"/>
  <c r="CO44" i="7" s="1"/>
  <c r="CN100" i="8"/>
  <c r="CN134" i="8" s="1"/>
  <c r="CN26" i="8" s="1"/>
  <c r="CS92" i="9"/>
  <c r="CQ144" i="8" s="1"/>
  <c r="CQ97" i="8"/>
  <c r="CS98" i="9"/>
  <c r="CQ150" i="8" s="1"/>
  <c r="CQ103" i="8"/>
  <c r="CQ94" i="8"/>
  <c r="CS89" i="9"/>
  <c r="CQ141" i="8" s="1"/>
  <c r="CQ101" i="8"/>
  <c r="CR45" i="7"/>
  <c r="CR46" i="7" s="1"/>
  <c r="CR48" i="7" s="1"/>
  <c r="CS96" i="9"/>
  <c r="CQ148" i="8" s="1"/>
  <c r="CQ104" i="8"/>
  <c r="CS99" i="9"/>
  <c r="CQ151" i="8" s="1"/>
  <c r="CQ95" i="8"/>
  <c r="CS90" i="9"/>
  <c r="CQ142" i="8" s="1"/>
  <c r="CR29" i="7"/>
  <c r="CR30" i="7" s="1"/>
  <c r="CR32" i="7" s="1"/>
  <c r="CS87" i="9"/>
  <c r="CQ139" i="8" s="1"/>
  <c r="CQ92" i="8"/>
  <c r="CR25" i="7"/>
  <c r="CR26" i="7" s="1"/>
  <c r="CR28" i="7" s="1"/>
  <c r="CS86" i="9"/>
  <c r="CQ91" i="8"/>
  <c r="CQ93" i="8"/>
  <c r="CR33" i="7"/>
  <c r="CR34" i="7" s="1"/>
  <c r="CR36" i="7" s="1"/>
  <c r="CS88" i="9"/>
  <c r="CQ140" i="8" s="1"/>
  <c r="CS91" i="9"/>
  <c r="CQ143" i="8" s="1"/>
  <c r="CQ96" i="8"/>
  <c r="CQ105" i="8"/>
  <c r="CS100" i="9"/>
  <c r="CQ152" i="8" s="1"/>
  <c r="CS97" i="9"/>
  <c r="CQ149" i="8" s="1"/>
  <c r="CQ102" i="8"/>
  <c r="CT40" i="9"/>
  <c r="CQ89" i="8"/>
  <c r="CR37" i="7"/>
  <c r="CR38" i="7" s="1"/>
  <c r="CR40" i="7" s="1"/>
  <c r="CS94" i="9"/>
  <c r="CQ146" i="8" s="1"/>
  <c r="CQ99" i="8"/>
  <c r="CQ98" i="8"/>
  <c r="CS93" i="9"/>
  <c r="CQ145" i="8" s="1"/>
  <c r="CQ107" i="8"/>
  <c r="CQ20" i="7"/>
  <c r="CM109" i="8"/>
  <c r="CM34" i="8" s="1"/>
  <c r="CN56" i="7"/>
  <c r="CM18" i="8"/>
  <c r="EK36" i="8" l="1"/>
  <c r="EK39" i="8" s="1"/>
  <c r="EK46" i="8" s="1"/>
  <c r="CK39" i="8"/>
  <c r="CJ42" i="8"/>
  <c r="CJ48" i="8"/>
  <c r="BZ64" i="8"/>
  <c r="CN19" i="8"/>
  <c r="CA63" i="8"/>
  <c r="CA66" i="8"/>
  <c r="CA183" i="8" s="1"/>
  <c r="CA60" i="8"/>
  <c r="CE114" i="9"/>
  <c r="CB166" i="8"/>
  <c r="CB58" i="8" s="1"/>
  <c r="CL182" i="8"/>
  <c r="CL25" i="8"/>
  <c r="CP19" i="7"/>
  <c r="CQ16" i="7"/>
  <c r="CN30" i="8"/>
  <c r="CN44" i="8"/>
  <c r="CN27" i="8"/>
  <c r="CP63" i="9"/>
  <c r="CN108" i="8"/>
  <c r="CP101" i="9"/>
  <c r="CP85" i="9" s="1"/>
  <c r="CN137" i="8" s="1"/>
  <c r="CN28" i="8" s="1"/>
  <c r="CN147" i="8"/>
  <c r="CN153" i="8" s="1"/>
  <c r="CO51" i="7"/>
  <c r="CO52" i="7"/>
  <c r="CQ138" i="8"/>
  <c r="CT144" i="9"/>
  <c r="CT59" i="9"/>
  <c r="CT45" i="9"/>
  <c r="CT48" i="9"/>
  <c r="CT52" i="9"/>
  <c r="CT135" i="9"/>
  <c r="CT141" i="9" s="1"/>
  <c r="CT61" i="9" s="1"/>
  <c r="CT50" i="9"/>
  <c r="CT136" i="9"/>
  <c r="CT47" i="9"/>
  <c r="CT53" i="9"/>
  <c r="CT46" i="9"/>
  <c r="CT58" i="9"/>
  <c r="CT49" i="9"/>
  <c r="CT56" i="9"/>
  <c r="CQ54" i="9"/>
  <c r="CR86" i="8"/>
  <c r="CT55" i="9"/>
  <c r="CT57" i="9"/>
  <c r="CT51" i="9"/>
  <c r="CT145" i="9"/>
  <c r="CT43" i="9"/>
  <c r="CT44" i="9" s="1"/>
  <c r="CQ171" i="8"/>
  <c r="CQ133" i="8"/>
  <c r="CQ130" i="8" s="1"/>
  <c r="CR15" i="7"/>
  <c r="CQ172" i="8"/>
  <c r="CN57" i="7"/>
  <c r="CM22" i="8"/>
  <c r="CK41" i="8" l="1"/>
  <c r="CK46" i="8"/>
  <c r="CN32" i="8"/>
  <c r="CJ49" i="8"/>
  <c r="CJ55" i="8"/>
  <c r="CA61" i="8"/>
  <c r="CC166" i="8"/>
  <c r="CC58" i="8" s="1"/>
  <c r="CF114" i="9"/>
  <c r="CB63" i="8"/>
  <c r="CB60" i="8"/>
  <c r="CB66" i="8"/>
  <c r="CB183" i="8" s="1"/>
  <c r="CL53" i="8"/>
  <c r="CL52" i="8"/>
  <c r="CL37" i="8"/>
  <c r="CL36" i="8"/>
  <c r="CP53" i="7"/>
  <c r="CR12" i="7"/>
  <c r="CQ17" i="7"/>
  <c r="CN109" i="8"/>
  <c r="CN34" i="8" s="1"/>
  <c r="CO56" i="7"/>
  <c r="CO57" i="7" s="1"/>
  <c r="CN18" i="8"/>
  <c r="CT100" i="9"/>
  <c r="CR152" i="8" s="1"/>
  <c r="CR105" i="8"/>
  <c r="CR91" i="8"/>
  <c r="CT86" i="9"/>
  <c r="CS25" i="7"/>
  <c r="CS26" i="7" s="1"/>
  <c r="CS28" i="7" s="1"/>
  <c r="CT89" i="9"/>
  <c r="CR141" i="8" s="1"/>
  <c r="CR94" i="8"/>
  <c r="CT93" i="9"/>
  <c r="CR145" i="8" s="1"/>
  <c r="CR98" i="8"/>
  <c r="CR90" i="8"/>
  <c r="CR107" i="8"/>
  <c r="CT91" i="9"/>
  <c r="CR143" i="8" s="1"/>
  <c r="CR96" i="8"/>
  <c r="CS33" i="7"/>
  <c r="CS34" i="7" s="1"/>
  <c r="CS36" i="7" s="1"/>
  <c r="CR93" i="8"/>
  <c r="CT88" i="9"/>
  <c r="CR140" i="8" s="1"/>
  <c r="CT94" i="9"/>
  <c r="CR146" i="8" s="1"/>
  <c r="CR99" i="8"/>
  <c r="CS37" i="7"/>
  <c r="CS38" i="7" s="1"/>
  <c r="CS40" i="7" s="1"/>
  <c r="CT87" i="9"/>
  <c r="CR139" i="8" s="1"/>
  <c r="CR92" i="8"/>
  <c r="CS29" i="7"/>
  <c r="CS30" i="7" s="1"/>
  <c r="CS32" i="7" s="1"/>
  <c r="CR104" i="8"/>
  <c r="CT99" i="9"/>
  <c r="CR151" i="8" s="1"/>
  <c r="CT90" i="9"/>
  <c r="CR142" i="8" s="1"/>
  <c r="CR95" i="8"/>
  <c r="CR102" i="8"/>
  <c r="CT97" i="9"/>
  <c r="CR149" i="8" s="1"/>
  <c r="CQ64" i="9"/>
  <c r="CO110" i="8" s="1"/>
  <c r="CQ60" i="9"/>
  <c r="CO106" i="8" s="1"/>
  <c r="CQ62" i="9"/>
  <c r="CO100" i="8"/>
  <c r="CO134" i="8" s="1"/>
  <c r="CO26" i="8" s="1"/>
  <c r="CQ95" i="9"/>
  <c r="CP41" i="7"/>
  <c r="CP42" i="7" s="1"/>
  <c r="CP44" i="7" s="1"/>
  <c r="CS9" i="7"/>
  <c r="CS10" i="7" s="1"/>
  <c r="CR129" i="8"/>
  <c r="CR33" i="8"/>
  <c r="CS45" i="7"/>
  <c r="CS46" i="7" s="1"/>
  <c r="CS48" i="7" s="1"/>
  <c r="CR101" i="8"/>
  <c r="CT96" i="9"/>
  <c r="CR148" i="8" s="1"/>
  <c r="CR103" i="8"/>
  <c r="CT98" i="9"/>
  <c r="CR150" i="8" s="1"/>
  <c r="CT92" i="9"/>
  <c r="CR144" i="8" s="1"/>
  <c r="CR97" i="8"/>
  <c r="CU40" i="9"/>
  <c r="CR89" i="8"/>
  <c r="CR20" i="7"/>
  <c r="CM23" i="8"/>
  <c r="CT146" i="9"/>
  <c r="CT142" i="9" s="1"/>
  <c r="CQ173" i="8"/>
  <c r="CQ29" i="8" s="1"/>
  <c r="CA64" i="8"/>
  <c r="EK41" i="8" l="1"/>
  <c r="EK42" i="8" s="1"/>
  <c r="CK42" i="8"/>
  <c r="CK48" i="8"/>
  <c r="CJ56" i="8"/>
  <c r="CC63" i="8"/>
  <c r="CC64" i="8" s="1"/>
  <c r="CC66" i="8"/>
  <c r="CC183" i="8" s="1"/>
  <c r="CC60" i="8"/>
  <c r="CC61" i="8" s="1"/>
  <c r="CG114" i="9"/>
  <c r="CD166" i="8"/>
  <c r="CD58" i="8" s="1"/>
  <c r="CO19" i="8"/>
  <c r="CQ19" i="7"/>
  <c r="CN22" i="8"/>
  <c r="CN23" i="8" s="1"/>
  <c r="CN25" i="8" s="1"/>
  <c r="CR138" i="8"/>
  <c r="CO30" i="8"/>
  <c r="CO27" i="8"/>
  <c r="CO44" i="8"/>
  <c r="CQ63" i="9"/>
  <c r="CO108" i="8"/>
  <c r="CQ101" i="9"/>
  <c r="CQ85" i="9" s="1"/>
  <c r="CO137" i="8" s="1"/>
  <c r="CO28" i="8" s="1"/>
  <c r="CO147" i="8"/>
  <c r="CO153" i="8" s="1"/>
  <c r="CP51" i="7"/>
  <c r="CP52" i="7"/>
  <c r="CR16" i="7"/>
  <c r="CU52" i="9"/>
  <c r="CU50" i="9"/>
  <c r="CU56" i="9"/>
  <c r="CU59" i="9"/>
  <c r="CU48" i="9"/>
  <c r="CU51" i="9"/>
  <c r="CR54" i="9"/>
  <c r="CS86" i="8"/>
  <c r="CU53" i="9"/>
  <c r="CU46" i="9"/>
  <c r="CU43" i="9"/>
  <c r="CU44" i="9" s="1"/>
  <c r="CU58" i="9"/>
  <c r="CU136" i="9"/>
  <c r="CU144" i="9"/>
  <c r="CU49" i="9"/>
  <c r="CU57" i="9"/>
  <c r="CU47" i="9"/>
  <c r="CU145" i="9"/>
  <c r="CU55" i="9"/>
  <c r="CU135" i="9"/>
  <c r="CU141" i="9" s="1"/>
  <c r="CU61" i="9" s="1"/>
  <c r="CU45" i="9"/>
  <c r="CR172" i="8"/>
  <c r="CR133" i="8"/>
  <c r="CR130" i="8" s="1"/>
  <c r="CS15" i="7"/>
  <c r="CR171" i="8"/>
  <c r="CM182" i="8"/>
  <c r="CM25" i="8"/>
  <c r="CB64" i="8"/>
  <c r="CB61" i="8"/>
  <c r="CO32" i="8" l="1"/>
  <c r="CN182" i="8"/>
  <c r="EK48" i="8"/>
  <c r="EK49" i="8" s="1"/>
  <c r="CK55" i="8"/>
  <c r="CK49" i="8"/>
  <c r="CH114" i="9"/>
  <c r="CE166" i="8"/>
  <c r="CE58" i="8" s="1"/>
  <c r="CD63" i="8"/>
  <c r="CD66" i="8"/>
  <c r="CD183" i="8" s="1"/>
  <c r="CD60" i="8"/>
  <c r="CQ53" i="7"/>
  <c r="CN37" i="8"/>
  <c r="CN36" i="8"/>
  <c r="CN52" i="8"/>
  <c r="CN53" i="8"/>
  <c r="CO109" i="8"/>
  <c r="CO34" i="8" s="1"/>
  <c r="CP56" i="7"/>
  <c r="CO18" i="8"/>
  <c r="CR17" i="7"/>
  <c r="CS12" i="7"/>
  <c r="CS90" i="8"/>
  <c r="CS98" i="8"/>
  <c r="CU93" i="9"/>
  <c r="CS145" i="8" s="1"/>
  <c r="CU91" i="9"/>
  <c r="CS143" i="8" s="1"/>
  <c r="CS96" i="8"/>
  <c r="CU97" i="9"/>
  <c r="CS149" i="8" s="1"/>
  <c r="CS102" i="8"/>
  <c r="CU100" i="9"/>
  <c r="CS152" i="8" s="1"/>
  <c r="CS105" i="8"/>
  <c r="CS94" i="8"/>
  <c r="CU89" i="9"/>
  <c r="CS141" i="8" s="1"/>
  <c r="CS97" i="8"/>
  <c r="CU92" i="9"/>
  <c r="CS144" i="8" s="1"/>
  <c r="CR60" i="9"/>
  <c r="CP106" i="8" s="1"/>
  <c r="CR62" i="9"/>
  <c r="CR64" i="9"/>
  <c r="CP110" i="8" s="1"/>
  <c r="CQ41" i="7"/>
  <c r="CQ42" i="7" s="1"/>
  <c r="CQ44" i="7" s="1"/>
  <c r="CP100" i="8"/>
  <c r="CP134" i="8" s="1"/>
  <c r="CP26" i="8" s="1"/>
  <c r="CR95" i="9"/>
  <c r="CT9" i="7"/>
  <c r="CT10" i="7" s="1"/>
  <c r="CS33" i="8"/>
  <c r="CS129" i="8"/>
  <c r="CT37" i="7"/>
  <c r="CT38" i="7" s="1"/>
  <c r="CT40" i="7" s="1"/>
  <c r="CS99" i="8"/>
  <c r="CU94" i="9"/>
  <c r="CS146" i="8" s="1"/>
  <c r="CS92" i="8"/>
  <c r="CU87" i="9"/>
  <c r="CS139" i="8" s="1"/>
  <c r="CT29" i="7"/>
  <c r="CT30" i="7" s="1"/>
  <c r="CT32" i="7" s="1"/>
  <c r="CS89" i="8"/>
  <c r="CV40" i="9"/>
  <c r="CU99" i="9"/>
  <c r="CS151" i="8" s="1"/>
  <c r="CS104" i="8"/>
  <c r="CS95" i="8"/>
  <c r="CU90" i="9"/>
  <c r="CS142" i="8" s="1"/>
  <c r="CS103" i="8"/>
  <c r="CU98" i="9"/>
  <c r="CS150" i="8" s="1"/>
  <c r="CS93" i="8"/>
  <c r="CU88" i="9"/>
  <c r="CS140" i="8" s="1"/>
  <c r="CT33" i="7"/>
  <c r="CT34" i="7" s="1"/>
  <c r="CT36" i="7" s="1"/>
  <c r="CT45" i="7"/>
  <c r="CT46" i="7" s="1"/>
  <c r="CT48" i="7" s="1"/>
  <c r="CS101" i="8"/>
  <c r="CU96" i="9"/>
  <c r="CS148" i="8" s="1"/>
  <c r="CS107" i="8"/>
  <c r="CT25" i="7"/>
  <c r="CT26" i="7" s="1"/>
  <c r="CT28" i="7" s="1"/>
  <c r="CU86" i="9"/>
  <c r="CS91" i="8"/>
  <c r="CS20" i="7"/>
  <c r="CM37" i="8"/>
  <c r="CM53" i="8"/>
  <c r="CM36" i="8"/>
  <c r="CM52" i="8"/>
  <c r="CU146" i="9"/>
  <c r="CU142" i="9" s="1"/>
  <c r="CR173" i="8"/>
  <c r="CR29" i="8" s="1"/>
  <c r="EK55" i="8" l="1"/>
  <c r="EK56" i="8" s="1"/>
  <c r="CK56" i="8"/>
  <c r="CI114" i="9"/>
  <c r="CF166" i="8"/>
  <c r="CF58" i="8" s="1"/>
  <c r="CE63" i="8"/>
  <c r="CE64" i="8" s="1"/>
  <c r="CE60" i="8"/>
  <c r="CE61" i="8" s="1"/>
  <c r="CE66" i="8"/>
  <c r="CE183" i="8" s="1"/>
  <c r="CD64" i="8"/>
  <c r="CD61" i="8"/>
  <c r="CP19" i="8"/>
  <c r="CP57" i="7"/>
  <c r="CO22" i="8"/>
  <c r="CO23" i="8" s="1"/>
  <c r="CR19" i="7"/>
  <c r="CP30" i="8"/>
  <c r="CP44" i="8"/>
  <c r="CP27" i="8"/>
  <c r="CR63" i="9"/>
  <c r="CP108" i="8"/>
  <c r="CQ51" i="7"/>
  <c r="CQ52" i="7"/>
  <c r="CR101" i="9"/>
  <c r="CR85" i="9" s="1"/>
  <c r="CP137" i="8" s="1"/>
  <c r="CP28" i="8" s="1"/>
  <c r="CP147" i="8"/>
  <c r="CP153" i="8" s="1"/>
  <c r="CS16" i="7"/>
  <c r="CS172" i="8"/>
  <c r="CS133" i="8"/>
  <c r="CS130" i="8" s="1"/>
  <c r="CT15" i="7"/>
  <c r="CS171" i="8"/>
  <c r="CV46" i="9"/>
  <c r="CS54" i="9"/>
  <c r="CV56" i="9"/>
  <c r="CV52" i="9"/>
  <c r="CV145" i="9"/>
  <c r="CT86" i="8"/>
  <c r="CV45" i="9"/>
  <c r="CV144" i="9"/>
  <c r="CV146" i="9" s="1"/>
  <c r="CV142" i="9" s="1"/>
  <c r="CV50" i="9"/>
  <c r="CV53" i="9"/>
  <c r="CV47" i="9"/>
  <c r="CV51" i="9"/>
  <c r="CV58" i="9"/>
  <c r="CV49" i="9"/>
  <c r="CV59" i="9"/>
  <c r="CV57" i="9"/>
  <c r="CV48" i="9"/>
  <c r="CV55" i="9"/>
  <c r="CV43" i="9"/>
  <c r="CV136" i="9"/>
  <c r="CV135" i="9"/>
  <c r="CV141" i="9" s="1"/>
  <c r="CV61" i="9" s="1"/>
  <c r="CS138" i="8"/>
  <c r="CP32" i="8" l="1"/>
  <c r="CS173" i="8"/>
  <c r="CS29" i="8" s="1"/>
  <c r="CG166" i="8"/>
  <c r="CG58" i="8" s="1"/>
  <c r="CJ114" i="9"/>
  <c r="CF63" i="8"/>
  <c r="CF60" i="8"/>
  <c r="CF66" i="8"/>
  <c r="CF183" i="8" s="1"/>
  <c r="CO182" i="8"/>
  <c r="CO25" i="8"/>
  <c r="CR53" i="7"/>
  <c r="CP109" i="8"/>
  <c r="CP34" i="8" s="1"/>
  <c r="CQ56" i="7"/>
  <c r="CP18" i="8"/>
  <c r="CT12" i="7"/>
  <c r="CS17" i="7"/>
  <c r="CT20" i="7"/>
  <c r="CV87" i="9"/>
  <c r="CT139" i="8" s="1"/>
  <c r="CU29" i="7"/>
  <c r="CU30" i="7" s="1"/>
  <c r="CU32" i="7" s="1"/>
  <c r="CT92" i="8"/>
  <c r="CS62" i="9"/>
  <c r="CS60" i="9"/>
  <c r="CQ106" i="8" s="1"/>
  <c r="CS64" i="9"/>
  <c r="CQ110" i="8" s="1"/>
  <c r="CQ100" i="8"/>
  <c r="CQ134" i="8" s="1"/>
  <c r="CQ26" i="8" s="1"/>
  <c r="CS95" i="9"/>
  <c r="CR41" i="7"/>
  <c r="CR42" i="7" s="1"/>
  <c r="CR44" i="7" s="1"/>
  <c r="CT102" i="8"/>
  <c r="CV97" i="9"/>
  <c r="CT149" i="8" s="1"/>
  <c r="CV93" i="9"/>
  <c r="CT145" i="8" s="1"/>
  <c r="CT98" i="8"/>
  <c r="CT33" i="8"/>
  <c r="CT129" i="8"/>
  <c r="CU9" i="7"/>
  <c r="CU10" i="7" s="1"/>
  <c r="CU25" i="7"/>
  <c r="CU26" i="7" s="1"/>
  <c r="CU28" i="7" s="1"/>
  <c r="CT91" i="8"/>
  <c r="CV86" i="9"/>
  <c r="CV91" i="9"/>
  <c r="CT143" i="8" s="1"/>
  <c r="CT96" i="8"/>
  <c r="CT99" i="8"/>
  <c r="CU37" i="7"/>
  <c r="CU38" i="7" s="1"/>
  <c r="CU40" i="7" s="1"/>
  <c r="CV94" i="9"/>
  <c r="CT146" i="8" s="1"/>
  <c r="CV88" i="9"/>
  <c r="CT140" i="8" s="1"/>
  <c r="CU33" i="7"/>
  <c r="CU34" i="7" s="1"/>
  <c r="CU36" i="7" s="1"/>
  <c r="CT93" i="8"/>
  <c r="CT97" i="8"/>
  <c r="CV92" i="9"/>
  <c r="CT144" i="8" s="1"/>
  <c r="CV99" i="9"/>
  <c r="CT151" i="8" s="1"/>
  <c r="CT104" i="8"/>
  <c r="CT95" i="8"/>
  <c r="CV90" i="9"/>
  <c r="CT142" i="8" s="1"/>
  <c r="CT105" i="8"/>
  <c r="CV100" i="9"/>
  <c r="CT152" i="8" s="1"/>
  <c r="CT103" i="8"/>
  <c r="CV98" i="9"/>
  <c r="CT150" i="8" s="1"/>
  <c r="CT94" i="8"/>
  <c r="CV89" i="9"/>
  <c r="CT141" i="8" s="1"/>
  <c r="CU45" i="7"/>
  <c r="CU46" i="7" s="1"/>
  <c r="CU48" i="7" s="1"/>
  <c r="CV96" i="9"/>
  <c r="CT148" i="8" s="1"/>
  <c r="CT101" i="8"/>
  <c r="CT89" i="8"/>
  <c r="CW40" i="9"/>
  <c r="CV44" i="9"/>
  <c r="CT107" i="8"/>
  <c r="CG63" i="8" l="1"/>
  <c r="CG64" i="8" s="1"/>
  <c r="CG60" i="8"/>
  <c r="CG61" i="8" s="1"/>
  <c r="CG66" i="8"/>
  <c r="CG183" i="8" s="1"/>
  <c r="CK114" i="9"/>
  <c r="CH166" i="8"/>
  <c r="CH58" i="8" s="1"/>
  <c r="CF64" i="8"/>
  <c r="CF61" i="8"/>
  <c r="CO37" i="8"/>
  <c r="CO36" i="8"/>
  <c r="CO53" i="8"/>
  <c r="CO52" i="8"/>
  <c r="CQ19" i="8"/>
  <c r="CQ57" i="7"/>
  <c r="CP22" i="8"/>
  <c r="CS19" i="7"/>
  <c r="CS63" i="9"/>
  <c r="CQ109" i="8" s="1"/>
  <c r="CQ34" i="8" s="1"/>
  <c r="CQ108" i="8"/>
  <c r="CQ27" i="8"/>
  <c r="CQ44" i="8"/>
  <c r="CQ30" i="8"/>
  <c r="CS101" i="9"/>
  <c r="CS85" i="9" s="1"/>
  <c r="CQ137" i="8" s="1"/>
  <c r="CQ28" i="8" s="1"/>
  <c r="CQ32" i="8" s="1"/>
  <c r="CQ147" i="8"/>
  <c r="CQ153" i="8" s="1"/>
  <c r="CR52" i="7"/>
  <c r="CR51" i="7"/>
  <c r="CT16" i="7"/>
  <c r="CT138" i="8"/>
  <c r="CU15" i="7"/>
  <c r="CT172" i="8"/>
  <c r="CT171" i="8"/>
  <c r="CT133" i="8"/>
  <c r="CT130" i="8" s="1"/>
  <c r="CW136" i="9"/>
  <c r="CU86" i="8"/>
  <c r="CW43" i="9"/>
  <c r="CW144" i="9"/>
  <c r="CW50" i="9"/>
  <c r="CT54" i="9"/>
  <c r="CW48" i="9"/>
  <c r="CW145" i="9"/>
  <c r="CW52" i="9"/>
  <c r="CW46" i="9"/>
  <c r="CW135" i="9"/>
  <c r="CW141" i="9" s="1"/>
  <c r="CW61" i="9" s="1"/>
  <c r="CW51" i="9"/>
  <c r="CW56" i="9"/>
  <c r="CW49" i="9"/>
  <c r="CW45" i="9"/>
  <c r="CW59" i="9"/>
  <c r="CW53" i="9"/>
  <c r="CW47" i="9"/>
  <c r="CW57" i="9"/>
  <c r="CW58" i="9"/>
  <c r="CW55" i="9"/>
  <c r="CT90" i="8"/>
  <c r="CT173" i="8" l="1"/>
  <c r="CT29" i="8" s="1"/>
  <c r="CL114" i="9"/>
  <c r="CI166" i="8"/>
  <c r="CI58" i="8" s="1"/>
  <c r="CH63" i="8"/>
  <c r="CH66" i="8"/>
  <c r="CH183" i="8" s="1"/>
  <c r="CH60" i="8"/>
  <c r="CP23" i="8"/>
  <c r="CS53" i="7"/>
  <c r="CQ18" i="8"/>
  <c r="CR56" i="7"/>
  <c r="CR57" i="7" s="1"/>
  <c r="CT17" i="7"/>
  <c r="CU12" i="7"/>
  <c r="CU20" i="7"/>
  <c r="CU129" i="8"/>
  <c r="CV9" i="7"/>
  <c r="CV10" i="7" s="1"/>
  <c r="CU33" i="8"/>
  <c r="CX40" i="9"/>
  <c r="CU89" i="8"/>
  <c r="CW44" i="9"/>
  <c r="CW91" i="9"/>
  <c r="CU143" i="8" s="1"/>
  <c r="CU96" i="8"/>
  <c r="CT60" i="9"/>
  <c r="CR106" i="8" s="1"/>
  <c r="CT64" i="9"/>
  <c r="CR110" i="8" s="1"/>
  <c r="CT62" i="9"/>
  <c r="CR100" i="8"/>
  <c r="CR134" i="8" s="1"/>
  <c r="CR26" i="8" s="1"/>
  <c r="CT95" i="9"/>
  <c r="CS41" i="7"/>
  <c r="CS42" i="7" s="1"/>
  <c r="CS44" i="7" s="1"/>
  <c r="CW89" i="9"/>
  <c r="CU141" i="8" s="1"/>
  <c r="CU94" i="8"/>
  <c r="CW93" i="9"/>
  <c r="CU145" i="8" s="1"/>
  <c r="CU98" i="8"/>
  <c r="CW87" i="9"/>
  <c r="CU139" i="8" s="1"/>
  <c r="CV29" i="7"/>
  <c r="CV30" i="7" s="1"/>
  <c r="CV32" i="7" s="1"/>
  <c r="CU92" i="8"/>
  <c r="CU107" i="8"/>
  <c r="CU97" i="8"/>
  <c r="CW92" i="9"/>
  <c r="CU144" i="8" s="1"/>
  <c r="CW97" i="9"/>
  <c r="CU149" i="8" s="1"/>
  <c r="CU102" i="8"/>
  <c r="CW90" i="9"/>
  <c r="CU142" i="8" s="1"/>
  <c r="CU95" i="8"/>
  <c r="CV25" i="7"/>
  <c r="CV26" i="7" s="1"/>
  <c r="CV28" i="7" s="1"/>
  <c r="CW86" i="9"/>
  <c r="CU91" i="8"/>
  <c r="CW100" i="9"/>
  <c r="CU152" i="8" s="1"/>
  <c r="CU105" i="8"/>
  <c r="CV37" i="7"/>
  <c r="CV38" i="7" s="1"/>
  <c r="CV40" i="7" s="1"/>
  <c r="CU99" i="8"/>
  <c r="CW94" i="9"/>
  <c r="CU146" i="8" s="1"/>
  <c r="CV33" i="7"/>
  <c r="CV34" i="7" s="1"/>
  <c r="CV36" i="7" s="1"/>
  <c r="CU93" i="8"/>
  <c r="CW88" i="9"/>
  <c r="CU140" i="8" s="1"/>
  <c r="CW98" i="9"/>
  <c r="CU150" i="8" s="1"/>
  <c r="CU103" i="8"/>
  <c r="CW99" i="9"/>
  <c r="CU151" i="8" s="1"/>
  <c r="CU104" i="8"/>
  <c r="CV45" i="7"/>
  <c r="CV46" i="7" s="1"/>
  <c r="CV48" i="7" s="1"/>
  <c r="CU101" i="8"/>
  <c r="CW96" i="9"/>
  <c r="CU148" i="8" s="1"/>
  <c r="CW146" i="9"/>
  <c r="CW142" i="9" s="1"/>
  <c r="CJ166" i="8" l="1"/>
  <c r="CJ58" i="8" s="1"/>
  <c r="CM114" i="9"/>
  <c r="CK166" i="8" s="1"/>
  <c r="CK58" i="8" s="1"/>
  <c r="CI63" i="8"/>
  <c r="CI64" i="8" s="1"/>
  <c r="CI60" i="8"/>
  <c r="CI61" i="8" s="1"/>
  <c r="CI66" i="8"/>
  <c r="CI183" i="8" s="1"/>
  <c r="CH64" i="8"/>
  <c r="CH61" i="8"/>
  <c r="CP182" i="8"/>
  <c r="CP25" i="8"/>
  <c r="CR19" i="8"/>
  <c r="CQ22" i="8"/>
  <c r="CQ23" i="8" s="1"/>
  <c r="CQ25" i="8" s="1"/>
  <c r="CT19" i="7"/>
  <c r="CU16" i="7"/>
  <c r="CX43" i="9"/>
  <c r="CX46" i="9"/>
  <c r="CX52" i="9"/>
  <c r="CX57" i="9"/>
  <c r="CX53" i="9"/>
  <c r="CX49" i="9"/>
  <c r="CX56" i="9"/>
  <c r="CX51" i="9"/>
  <c r="CU54" i="9"/>
  <c r="CX55" i="9"/>
  <c r="CX136" i="9"/>
  <c r="CX144" i="9"/>
  <c r="CX59" i="9"/>
  <c r="CX48" i="9"/>
  <c r="CV86" i="8"/>
  <c r="CX50" i="9"/>
  <c r="CX45" i="9"/>
  <c r="CX145" i="9"/>
  <c r="CX58" i="9"/>
  <c r="CX47" i="9"/>
  <c r="CX135" i="9"/>
  <c r="CX141" i="9" s="1"/>
  <c r="CX61" i="9" s="1"/>
  <c r="CU171" i="8"/>
  <c r="CU172" i="8"/>
  <c r="CU133" i="8"/>
  <c r="CU130" i="8" s="1"/>
  <c r="CV15" i="7"/>
  <c r="CU90" i="8"/>
  <c r="CR44" i="8"/>
  <c r="CR27" i="8"/>
  <c r="CR30" i="8"/>
  <c r="CT63" i="9"/>
  <c r="CR109" i="8" s="1"/>
  <c r="CR34" i="8" s="1"/>
  <c r="CR108" i="8"/>
  <c r="CT101" i="9"/>
  <c r="CT85" i="9" s="1"/>
  <c r="CR137" i="8" s="1"/>
  <c r="CR28" i="8" s="1"/>
  <c r="CR147" i="8"/>
  <c r="CR153" i="8" s="1"/>
  <c r="CS52" i="7"/>
  <c r="CS51" i="7"/>
  <c r="CU138" i="8"/>
  <c r="EK58" i="8" l="1"/>
  <c r="CX146" i="9"/>
  <c r="CX142" i="9" s="1"/>
  <c r="CR32" i="8"/>
  <c r="CJ63" i="8"/>
  <c r="CJ60" i="8"/>
  <c r="CJ66" i="8"/>
  <c r="CK63" i="8"/>
  <c r="CK66" i="8"/>
  <c r="CK60" i="8"/>
  <c r="CK61" i="8" s="1"/>
  <c r="CP36" i="8"/>
  <c r="CP37" i="8"/>
  <c r="CP53" i="8"/>
  <c r="CP52" i="8"/>
  <c r="CQ37" i="8"/>
  <c r="CQ52" i="8"/>
  <c r="CQ53" i="8"/>
  <c r="CQ36" i="8"/>
  <c r="CT53" i="7"/>
  <c r="CV12" i="7"/>
  <c r="CU17" i="7"/>
  <c r="CV89" i="8"/>
  <c r="CY40" i="9"/>
  <c r="CX44" i="9"/>
  <c r="CX87" i="9"/>
  <c r="CV139" i="8" s="1"/>
  <c r="CV92" i="8"/>
  <c r="CW29" i="7"/>
  <c r="CW30" i="7" s="1"/>
  <c r="CW32" i="7" s="1"/>
  <c r="CX93" i="9"/>
  <c r="CV145" i="8" s="1"/>
  <c r="CV98" i="8"/>
  <c r="CV103" i="8"/>
  <c r="CX98" i="9"/>
  <c r="CV150" i="8" s="1"/>
  <c r="CW37" i="7"/>
  <c r="CW38" i="7" s="1"/>
  <c r="CW40" i="7" s="1"/>
  <c r="CX94" i="9"/>
  <c r="CV146" i="8" s="1"/>
  <c r="CV99" i="8"/>
  <c r="CX90" i="9"/>
  <c r="CV142" i="8" s="1"/>
  <c r="CV95" i="8"/>
  <c r="CX97" i="9"/>
  <c r="CV149" i="8" s="1"/>
  <c r="CV102" i="8"/>
  <c r="CV97" i="8"/>
  <c r="CX92" i="9"/>
  <c r="CV144" i="8" s="1"/>
  <c r="CU64" i="9"/>
  <c r="CS110" i="8" s="1"/>
  <c r="CU62" i="9"/>
  <c r="CU60" i="9"/>
  <c r="CS106" i="8" s="1"/>
  <c r="CU95" i="9"/>
  <c r="CT41" i="7"/>
  <c r="CT42" i="7" s="1"/>
  <c r="CT44" i="7" s="1"/>
  <c r="CS100" i="8"/>
  <c r="CS134" i="8" s="1"/>
  <c r="CS26" i="8" s="1"/>
  <c r="CX96" i="9"/>
  <c r="CV148" i="8" s="1"/>
  <c r="CW45" i="7"/>
  <c r="CW46" i="7" s="1"/>
  <c r="CW48" i="7" s="1"/>
  <c r="CV101" i="8"/>
  <c r="CV105" i="8"/>
  <c r="CX100" i="9"/>
  <c r="CV152" i="8" s="1"/>
  <c r="CX89" i="9"/>
  <c r="CV141" i="8" s="1"/>
  <c r="CV94" i="8"/>
  <c r="CW9" i="7"/>
  <c r="CW10" i="7" s="1"/>
  <c r="CV129" i="8"/>
  <c r="CV33" i="8"/>
  <c r="CX91" i="9"/>
  <c r="CV143" i="8" s="1"/>
  <c r="CV96" i="8"/>
  <c r="CV91" i="8"/>
  <c r="CW25" i="7"/>
  <c r="CW26" i="7" s="1"/>
  <c r="CW28" i="7" s="1"/>
  <c r="CX86" i="9"/>
  <c r="CX99" i="9"/>
  <c r="CV151" i="8" s="1"/>
  <c r="CV104" i="8"/>
  <c r="CW33" i="7"/>
  <c r="CW34" i="7" s="1"/>
  <c r="CW36" i="7" s="1"/>
  <c r="CV93" i="8"/>
  <c r="CX88" i="9"/>
  <c r="CV140" i="8" s="1"/>
  <c r="CV107" i="8"/>
  <c r="CV20" i="7"/>
  <c r="CR18" i="8"/>
  <c r="CS56" i="7"/>
  <c r="CS57" i="7" s="1"/>
  <c r="CU173" i="8"/>
  <c r="CU29" i="8" s="1"/>
  <c r="CQ182" i="8"/>
  <c r="P9" i="8" l="1"/>
  <c r="P10" i="8" s="1"/>
  <c r="EK63" i="8"/>
  <c r="EK64" i="8" s="1"/>
  <c r="CJ64" i="8"/>
  <c r="EK60" i="8"/>
  <c r="EK61" i="8" s="1"/>
  <c r="CJ61" i="8"/>
  <c r="CJ183" i="8"/>
  <c r="CK183" i="8" s="1"/>
  <c r="EK66" i="8"/>
  <c r="P11" i="8"/>
  <c r="P12" i="8" s="1"/>
  <c r="CK64" i="8"/>
  <c r="CS19" i="8"/>
  <c r="CU19" i="7"/>
  <c r="CV171" i="8"/>
  <c r="CV172" i="8"/>
  <c r="CW15" i="7"/>
  <c r="CV133" i="8"/>
  <c r="CV130" i="8" s="1"/>
  <c r="CW86" i="8"/>
  <c r="CY52" i="9"/>
  <c r="CY58" i="9"/>
  <c r="CY49" i="9"/>
  <c r="CY144" i="9"/>
  <c r="CY50" i="9"/>
  <c r="CV54" i="9"/>
  <c r="CY45" i="9"/>
  <c r="CY145" i="9"/>
  <c r="CY135" i="9"/>
  <c r="CY141" i="9" s="1"/>
  <c r="CY61" i="9" s="1"/>
  <c r="CY59" i="9"/>
  <c r="CY46" i="9"/>
  <c r="CY47" i="9"/>
  <c r="CY48" i="9"/>
  <c r="CY51" i="9"/>
  <c r="CY53" i="9"/>
  <c r="CY55" i="9"/>
  <c r="CY57" i="9"/>
  <c r="CY136" i="9"/>
  <c r="CY56" i="9"/>
  <c r="CY43" i="9"/>
  <c r="CV90" i="8"/>
  <c r="CU63" i="9"/>
  <c r="CS109" i="8" s="1"/>
  <c r="CS34" i="8" s="1"/>
  <c r="CS108" i="8"/>
  <c r="CS30" i="8"/>
  <c r="CS27" i="8"/>
  <c r="CS44" i="8"/>
  <c r="CU101" i="9"/>
  <c r="CU85" i="9" s="1"/>
  <c r="CS137" i="8" s="1"/>
  <c r="CS28" i="8" s="1"/>
  <c r="CS147" i="8"/>
  <c r="CS153" i="8" s="1"/>
  <c r="CT51" i="7"/>
  <c r="CT52" i="7"/>
  <c r="CV16" i="7"/>
  <c r="CV138" i="8"/>
  <c r="CR22" i="8"/>
  <c r="CR23" i="8" s="1"/>
  <c r="CS32" i="8" l="1"/>
  <c r="CY146" i="9"/>
  <c r="CY142" i="9" s="1"/>
  <c r="CU53" i="7"/>
  <c r="CW20" i="7"/>
  <c r="CX9" i="7"/>
  <c r="CX10" i="7" s="1"/>
  <c r="CW33" i="8"/>
  <c r="EL33" i="8" s="1"/>
  <c r="CW129" i="8"/>
  <c r="CW98" i="8"/>
  <c r="CY93" i="9"/>
  <c r="CW145" i="8" s="1"/>
  <c r="CW104" i="8"/>
  <c r="CY99" i="9"/>
  <c r="CW151" i="8" s="1"/>
  <c r="CW95" i="8"/>
  <c r="CY90" i="9"/>
  <c r="CW142" i="8" s="1"/>
  <c r="CW96" i="8"/>
  <c r="CY91" i="9"/>
  <c r="CW143" i="8" s="1"/>
  <c r="CV60" i="9"/>
  <c r="CT106" i="8" s="1"/>
  <c r="CV64" i="9"/>
  <c r="CT110" i="8" s="1"/>
  <c r="CV62" i="9"/>
  <c r="CT100" i="8"/>
  <c r="CT134" i="8" s="1"/>
  <c r="CT26" i="8" s="1"/>
  <c r="CU41" i="7"/>
  <c r="CU42" i="7" s="1"/>
  <c r="CU44" i="7" s="1"/>
  <c r="CV95" i="9"/>
  <c r="CX25" i="7"/>
  <c r="CX26" i="7" s="1"/>
  <c r="CX28" i="7" s="1"/>
  <c r="EM28" i="7" s="1"/>
  <c r="CW91" i="8"/>
  <c r="CY86" i="9"/>
  <c r="CW107" i="8"/>
  <c r="CW105" i="8"/>
  <c r="CY100" i="9"/>
  <c r="CW152" i="8" s="1"/>
  <c r="CY87" i="9"/>
  <c r="CW139" i="8" s="1"/>
  <c r="CX29" i="7"/>
  <c r="CX30" i="7" s="1"/>
  <c r="CX32" i="7" s="1"/>
  <c r="EM32" i="7" s="1"/>
  <c r="CW92" i="8"/>
  <c r="CW93" i="8"/>
  <c r="CX33" i="7"/>
  <c r="CX34" i="7" s="1"/>
  <c r="CX36" i="7" s="1"/>
  <c r="EM36" i="7" s="1"/>
  <c r="CY88" i="9"/>
  <c r="CW140" i="8" s="1"/>
  <c r="CY89" i="9"/>
  <c r="CW141" i="8" s="1"/>
  <c r="CW94" i="8"/>
  <c r="CY92" i="9"/>
  <c r="CW144" i="8" s="1"/>
  <c r="CW97" i="8"/>
  <c r="CY94" i="9"/>
  <c r="CW146" i="8" s="1"/>
  <c r="CW99" i="8"/>
  <c r="CX37" i="7"/>
  <c r="CX38" i="7" s="1"/>
  <c r="CX40" i="7" s="1"/>
  <c r="EM40" i="7" s="1"/>
  <c r="CX45" i="7"/>
  <c r="CX46" i="7" s="1"/>
  <c r="CX48" i="7" s="1"/>
  <c r="EM48" i="7" s="1"/>
  <c r="CY96" i="9"/>
  <c r="CW148" i="8" s="1"/>
  <c r="CW101" i="8"/>
  <c r="CW103" i="8"/>
  <c r="CY98" i="9"/>
  <c r="CW150" i="8" s="1"/>
  <c r="CW102" i="8"/>
  <c r="CY97" i="9"/>
  <c r="CW149" i="8" s="1"/>
  <c r="CW89" i="8"/>
  <c r="CZ40" i="9"/>
  <c r="CY44" i="9"/>
  <c r="CT56" i="7"/>
  <c r="CS18" i="8"/>
  <c r="CV17" i="7"/>
  <c r="CW12" i="7"/>
  <c r="CR182" i="8"/>
  <c r="CR25" i="8"/>
  <c r="CV173" i="8"/>
  <c r="CV29" i="8" s="1"/>
  <c r="CT19" i="8" l="1"/>
  <c r="EM9" i="7"/>
  <c r="CW16" i="7"/>
  <c r="CT27" i="8"/>
  <c r="CT30" i="8"/>
  <c r="CT44" i="8"/>
  <c r="CV63" i="9"/>
  <c r="CT109" i="8" s="1"/>
  <c r="CT34" i="8" s="1"/>
  <c r="CT108" i="8"/>
  <c r="CU51" i="7"/>
  <c r="CU52" i="7"/>
  <c r="CV101" i="9"/>
  <c r="CV85" i="9" s="1"/>
  <c r="CT137" i="8" s="1"/>
  <c r="CT28" i="8" s="1"/>
  <c r="CT147" i="8"/>
  <c r="CT153" i="8" s="1"/>
  <c r="CW138" i="8"/>
  <c r="CW171" i="8"/>
  <c r="CX15" i="7"/>
  <c r="CW133" i="8"/>
  <c r="CW130" i="8" s="1"/>
  <c r="CW172" i="8"/>
  <c r="CZ43" i="9"/>
  <c r="CZ45" i="9"/>
  <c r="CZ56" i="9"/>
  <c r="CX86" i="8"/>
  <c r="CZ46" i="9"/>
  <c r="CZ136" i="9"/>
  <c r="CZ58" i="9"/>
  <c r="CZ145" i="9"/>
  <c r="CZ47" i="9"/>
  <c r="CZ135" i="9"/>
  <c r="CZ141" i="9" s="1"/>
  <c r="CZ61" i="9" s="1"/>
  <c r="CZ51" i="9"/>
  <c r="CZ53" i="9"/>
  <c r="CZ48" i="9"/>
  <c r="CZ144" i="9"/>
  <c r="CZ50" i="9"/>
  <c r="CZ57" i="9"/>
  <c r="CZ55" i="9"/>
  <c r="CW54" i="9"/>
  <c r="CZ59" i="9"/>
  <c r="CZ52" i="9"/>
  <c r="CZ49" i="9"/>
  <c r="CW90" i="8"/>
  <c r="CT57" i="7"/>
  <c r="CS22" i="8"/>
  <c r="CV19" i="7"/>
  <c r="CR52" i="8"/>
  <c r="CR37" i="8"/>
  <c r="CR36" i="8"/>
  <c r="CR53" i="8"/>
  <c r="CW173" i="8" l="1"/>
  <c r="CW29" i="8" s="1"/>
  <c r="EL29" i="8" s="1"/>
  <c r="CZ146" i="9"/>
  <c r="CZ142" i="9" s="1"/>
  <c r="CT32" i="8"/>
  <c r="CW17" i="7"/>
  <c r="EM10" i="7"/>
  <c r="CX12" i="7"/>
  <c r="CU56" i="7"/>
  <c r="CT18" i="8"/>
  <c r="CU57" i="7"/>
  <c r="EM15" i="7"/>
  <c r="CX20" i="7"/>
  <c r="CX89" i="8"/>
  <c r="DA40" i="9"/>
  <c r="CZ44" i="9"/>
  <c r="CZ86" i="9"/>
  <c r="CX91" i="8"/>
  <c r="CY25" i="7"/>
  <c r="CY26" i="7" s="1"/>
  <c r="CY28" i="7" s="1"/>
  <c r="CZ97" i="9"/>
  <c r="CX149" i="8" s="1"/>
  <c r="CX102" i="8"/>
  <c r="CX33" i="8"/>
  <c r="CX129" i="8"/>
  <c r="CY9" i="7"/>
  <c r="CY10" i="7" s="1"/>
  <c r="CZ87" i="9"/>
  <c r="CX139" i="8" s="1"/>
  <c r="CX92" i="8"/>
  <c r="CY29" i="7"/>
  <c r="CY30" i="7" s="1"/>
  <c r="CY32" i="7" s="1"/>
  <c r="CZ99" i="9"/>
  <c r="CX151" i="8" s="1"/>
  <c r="CX104" i="8"/>
  <c r="CX93" i="8"/>
  <c r="CZ88" i="9"/>
  <c r="CX140" i="8" s="1"/>
  <c r="CY33" i="7"/>
  <c r="CY34" i="7" s="1"/>
  <c r="CY36" i="7" s="1"/>
  <c r="CX107" i="8"/>
  <c r="CZ92" i="9"/>
  <c r="CX144" i="8" s="1"/>
  <c r="CX97" i="8"/>
  <c r="CZ94" i="9"/>
  <c r="CX146" i="8" s="1"/>
  <c r="CX99" i="8"/>
  <c r="CY37" i="7"/>
  <c r="CY38" i="7" s="1"/>
  <c r="CY40" i="7" s="1"/>
  <c r="CZ89" i="9"/>
  <c r="CX141" i="8" s="1"/>
  <c r="CX94" i="8"/>
  <c r="CX96" i="8"/>
  <c r="CZ91" i="9"/>
  <c r="CX143" i="8" s="1"/>
  <c r="CZ98" i="9"/>
  <c r="CX150" i="8" s="1"/>
  <c r="CX103" i="8"/>
  <c r="CZ96" i="9"/>
  <c r="CX148" i="8" s="1"/>
  <c r="CY45" i="7"/>
  <c r="CY46" i="7" s="1"/>
  <c r="CY48" i="7" s="1"/>
  <c r="CX101" i="8"/>
  <c r="CW60" i="9"/>
  <c r="CU106" i="8" s="1"/>
  <c r="CW64" i="9"/>
  <c r="CU110" i="8" s="1"/>
  <c r="CW62" i="9"/>
  <c r="CU100" i="8"/>
  <c r="CU134" i="8" s="1"/>
  <c r="CU26" i="8" s="1"/>
  <c r="CV41" i="7"/>
  <c r="CV42" i="7" s="1"/>
  <c r="CV44" i="7" s="1"/>
  <c r="CW95" i="9"/>
  <c r="CZ100" i="9"/>
  <c r="CX152" i="8" s="1"/>
  <c r="CX105" i="8"/>
  <c r="CX98" i="8"/>
  <c r="CZ93" i="9"/>
  <c r="CX145" i="8" s="1"/>
  <c r="CX95" i="8"/>
  <c r="CZ90" i="9"/>
  <c r="CX142" i="8" s="1"/>
  <c r="CS23" i="8"/>
  <c r="CV53" i="7"/>
  <c r="CW19" i="7" l="1"/>
  <c r="EM12" i="7"/>
  <c r="CT22" i="8"/>
  <c r="CT23" i="8" s="1"/>
  <c r="CT25" i="8" s="1"/>
  <c r="CX172" i="8"/>
  <c r="CX171" i="8"/>
  <c r="CX133" i="8"/>
  <c r="CX130" i="8" s="1"/>
  <c r="CY15" i="7"/>
  <c r="DA53" i="9"/>
  <c r="DA135" i="9"/>
  <c r="DA141" i="9" s="1"/>
  <c r="DA61" i="9" s="1"/>
  <c r="DA46" i="9"/>
  <c r="DA59" i="9"/>
  <c r="DA58" i="9"/>
  <c r="DA55" i="9"/>
  <c r="DA45" i="9"/>
  <c r="CY86" i="8"/>
  <c r="DA145" i="9"/>
  <c r="DA144" i="9"/>
  <c r="DA43" i="9"/>
  <c r="CX54" i="9"/>
  <c r="DA57" i="9"/>
  <c r="DA52" i="9"/>
  <c r="DA136" i="9"/>
  <c r="DA49" i="9"/>
  <c r="DA47" i="9"/>
  <c r="DA51" i="9"/>
  <c r="DA56" i="9"/>
  <c r="DA48" i="9"/>
  <c r="DA50" i="9"/>
  <c r="CX90" i="8"/>
  <c r="CX138" i="8"/>
  <c r="CX16" i="7"/>
  <c r="CU30" i="8"/>
  <c r="CU27" i="8"/>
  <c r="CU44" i="8"/>
  <c r="CW63" i="9"/>
  <c r="CU109" i="8" s="1"/>
  <c r="CU34" i="8" s="1"/>
  <c r="CU108" i="8"/>
  <c r="CV51" i="7"/>
  <c r="CV52" i="7"/>
  <c r="CW101" i="9"/>
  <c r="CW85" i="9" s="1"/>
  <c r="CU137" i="8" s="1"/>
  <c r="CU28" i="8" s="1"/>
  <c r="CU147" i="8"/>
  <c r="CU153" i="8" s="1"/>
  <c r="CS182" i="8"/>
  <c r="CS25" i="8"/>
  <c r="CU19" i="8"/>
  <c r="DA146" i="9" l="1"/>
  <c r="DA142" i="9" s="1"/>
  <c r="CX173" i="8"/>
  <c r="CX29" i="8" s="1"/>
  <c r="CU32" i="8"/>
  <c r="CW53" i="7"/>
  <c r="CT36" i="8"/>
  <c r="CT52" i="8"/>
  <c r="CT53" i="8"/>
  <c r="CT37" i="8"/>
  <c r="CY20" i="7"/>
  <c r="CZ37" i="7"/>
  <c r="CZ38" i="7" s="1"/>
  <c r="CZ40" i="7" s="1"/>
  <c r="DA94" i="9"/>
  <c r="CY146" i="8" s="1"/>
  <c r="CY99" i="8"/>
  <c r="CY107" i="8"/>
  <c r="DA87" i="9"/>
  <c r="CY139" i="8" s="1"/>
  <c r="CY92" i="8"/>
  <c r="CZ29" i="7"/>
  <c r="CZ30" i="7" s="1"/>
  <c r="CZ32" i="7" s="1"/>
  <c r="DA100" i="9"/>
  <c r="CY152" i="8" s="1"/>
  <c r="CY105" i="8"/>
  <c r="CY104" i="8"/>
  <c r="DA99" i="9"/>
  <c r="CY151" i="8" s="1"/>
  <c r="CZ45" i="7"/>
  <c r="CZ46" i="7" s="1"/>
  <c r="CZ48" i="7" s="1"/>
  <c r="CY101" i="8"/>
  <c r="DA96" i="9"/>
  <c r="CY148" i="8" s="1"/>
  <c r="CY91" i="8"/>
  <c r="CZ25" i="7"/>
  <c r="CZ26" i="7" s="1"/>
  <c r="CZ28" i="7" s="1"/>
  <c r="DA86" i="9"/>
  <c r="CY129" i="8"/>
  <c r="CY33" i="8"/>
  <c r="CZ9" i="7"/>
  <c r="CZ10" i="7" s="1"/>
  <c r="DB40" i="9"/>
  <c r="CY89" i="8"/>
  <c r="DA44" i="9"/>
  <c r="CX60" i="9"/>
  <c r="CV106" i="8" s="1"/>
  <c r="CX62" i="9"/>
  <c r="CX64" i="9"/>
  <c r="CV110" i="8" s="1"/>
  <c r="CV100" i="8"/>
  <c r="CV134" i="8" s="1"/>
  <c r="CV26" i="8" s="1"/>
  <c r="CW41" i="7"/>
  <c r="CW42" i="7" s="1"/>
  <c r="CW44" i="7" s="1"/>
  <c r="CX95" i="9"/>
  <c r="DA98" i="9"/>
  <c r="CY150" i="8" s="1"/>
  <c r="CY103" i="8"/>
  <c r="CY98" i="8"/>
  <c r="DA93" i="9"/>
  <c r="CY145" i="8" s="1"/>
  <c r="DA90" i="9"/>
  <c r="CY142" i="8" s="1"/>
  <c r="CY95" i="8"/>
  <c r="DA88" i="9"/>
  <c r="CY140" i="8" s="1"/>
  <c r="CY93" i="8"/>
  <c r="CZ33" i="7"/>
  <c r="CZ34" i="7" s="1"/>
  <c r="CZ36" i="7" s="1"/>
  <c r="CY97" i="8"/>
  <c r="DA92" i="9"/>
  <c r="CY144" i="8" s="1"/>
  <c r="CY102" i="8"/>
  <c r="DA97" i="9"/>
  <c r="CY149" i="8" s="1"/>
  <c r="CY94" i="8"/>
  <c r="DA89" i="9"/>
  <c r="CY141" i="8" s="1"/>
  <c r="DA91" i="9"/>
  <c r="CY143" i="8" s="1"/>
  <c r="CY96" i="8"/>
  <c r="CY12" i="7"/>
  <c r="EM16" i="7"/>
  <c r="CX17" i="7"/>
  <c r="CV56" i="7"/>
  <c r="CU18" i="8"/>
  <c r="CS36" i="8"/>
  <c r="CS52" i="8"/>
  <c r="CS53" i="8"/>
  <c r="CS37" i="8"/>
  <c r="CT182" i="8"/>
  <c r="CV19" i="8" l="1"/>
  <c r="CY138" i="8"/>
  <c r="CY16" i="7"/>
  <c r="DB46" i="9"/>
  <c r="CZ86" i="8"/>
  <c r="DB135" i="9"/>
  <c r="DB141" i="9" s="1"/>
  <c r="DB61" i="9" s="1"/>
  <c r="DB145" i="9"/>
  <c r="DB53" i="9"/>
  <c r="DB144" i="9"/>
  <c r="DB146" i="9" s="1"/>
  <c r="DB142" i="9" s="1"/>
  <c r="DB43" i="9"/>
  <c r="DB47" i="9"/>
  <c r="DB51" i="9"/>
  <c r="DB136" i="9"/>
  <c r="CY54" i="9"/>
  <c r="DB58" i="9"/>
  <c r="DB55" i="9"/>
  <c r="DB57" i="9"/>
  <c r="DB52" i="9"/>
  <c r="DB48" i="9"/>
  <c r="DB50" i="9"/>
  <c r="DB49" i="9"/>
  <c r="DB45" i="9"/>
  <c r="DB59" i="9"/>
  <c r="DB56" i="9"/>
  <c r="CY133" i="8"/>
  <c r="CY130" i="8" s="1"/>
  <c r="CY172" i="8"/>
  <c r="CY171" i="8"/>
  <c r="CZ15" i="7"/>
  <c r="CY90" i="8"/>
  <c r="CV44" i="8"/>
  <c r="CV30" i="8"/>
  <c r="CV27" i="8"/>
  <c r="CX63" i="9"/>
  <c r="CV109" i="8" s="1"/>
  <c r="CV34" i="8" s="1"/>
  <c r="CV108" i="8"/>
  <c r="CW52" i="7"/>
  <c r="CW51" i="7"/>
  <c r="CX101" i="9"/>
  <c r="CX85" i="9" s="1"/>
  <c r="CV137" i="8" s="1"/>
  <c r="CV28" i="8" s="1"/>
  <c r="CV147" i="8"/>
  <c r="CV153" i="8" s="1"/>
  <c r="EM17" i="7"/>
  <c r="CX19" i="7"/>
  <c r="CV57" i="7"/>
  <c r="CU22" i="8"/>
  <c r="CY173" i="8" l="1"/>
  <c r="CY29" i="8" s="1"/>
  <c r="CV32" i="8"/>
  <c r="CY17" i="7"/>
  <c r="CZ12" i="7"/>
  <c r="DB87" i="9"/>
  <c r="CZ139" i="8" s="1"/>
  <c r="DA29" i="7"/>
  <c r="DA30" i="7" s="1"/>
  <c r="DA32" i="7" s="1"/>
  <c r="CZ92" i="8"/>
  <c r="CZ33" i="8"/>
  <c r="CZ129" i="8"/>
  <c r="DA9" i="7"/>
  <c r="DA10" i="7" s="1"/>
  <c r="CZ107" i="8"/>
  <c r="CZ99" i="8"/>
  <c r="DA37" i="7"/>
  <c r="DA38" i="7" s="1"/>
  <c r="DA40" i="7" s="1"/>
  <c r="DB94" i="9"/>
  <c r="CZ146" i="8" s="1"/>
  <c r="DC40" i="9"/>
  <c r="CZ89" i="8"/>
  <c r="DB44" i="9"/>
  <c r="DB88" i="9"/>
  <c r="CZ140" i="8" s="1"/>
  <c r="CZ93" i="8"/>
  <c r="DA33" i="7"/>
  <c r="DA34" i="7" s="1"/>
  <c r="DA36" i="7" s="1"/>
  <c r="CZ97" i="8"/>
  <c r="DB92" i="9"/>
  <c r="CZ144" i="8" s="1"/>
  <c r="CY60" i="9"/>
  <c r="CW106" i="8" s="1"/>
  <c r="CY64" i="9"/>
  <c r="CW110" i="8" s="1"/>
  <c r="CY62" i="9"/>
  <c r="CY95" i="9"/>
  <c r="CW100" i="8"/>
  <c r="CW134" i="8" s="1"/>
  <c r="CW26" i="8" s="1"/>
  <c r="CX41" i="7"/>
  <c r="CX42" i="7" s="1"/>
  <c r="CX44" i="7" s="1"/>
  <c r="DB99" i="9"/>
  <c r="CZ151" i="8" s="1"/>
  <c r="CZ104" i="8"/>
  <c r="DB96" i="9"/>
  <c r="CZ148" i="8" s="1"/>
  <c r="DA45" i="7"/>
  <c r="DA46" i="7" s="1"/>
  <c r="DA48" i="7" s="1"/>
  <c r="CZ101" i="8"/>
  <c r="DB98" i="9"/>
  <c r="CZ150" i="8" s="1"/>
  <c r="CZ103" i="8"/>
  <c r="CZ98" i="8"/>
  <c r="DB93" i="9"/>
  <c r="CZ145" i="8" s="1"/>
  <c r="CZ94" i="8"/>
  <c r="DB89" i="9"/>
  <c r="CZ141" i="8" s="1"/>
  <c r="CZ96" i="8"/>
  <c r="DB91" i="9"/>
  <c r="CZ143" i="8" s="1"/>
  <c r="DB90" i="9"/>
  <c r="CZ142" i="8" s="1"/>
  <c r="CZ95" i="8"/>
  <c r="DA25" i="7"/>
  <c r="DA26" i="7" s="1"/>
  <c r="DA28" i="7" s="1"/>
  <c r="CZ91" i="8"/>
  <c r="DB86" i="9"/>
  <c r="DB100" i="9"/>
  <c r="CZ152" i="8" s="1"/>
  <c r="CZ105" i="8"/>
  <c r="DB97" i="9"/>
  <c r="CZ149" i="8" s="1"/>
  <c r="CZ102" i="8"/>
  <c r="CZ20" i="7"/>
  <c r="CV18" i="8"/>
  <c r="CW56" i="7"/>
  <c r="EM19" i="7"/>
  <c r="CX53" i="7"/>
  <c r="CU23" i="8"/>
  <c r="CY19" i="7" l="1"/>
  <c r="CZ16" i="7"/>
  <c r="DC43" i="9"/>
  <c r="DC135" i="9"/>
  <c r="DC141" i="9" s="1"/>
  <c r="DC61" i="9" s="1"/>
  <c r="DC49" i="9"/>
  <c r="DC136" i="9"/>
  <c r="DC56" i="9"/>
  <c r="DC47" i="9"/>
  <c r="CZ54" i="9"/>
  <c r="DC45" i="9"/>
  <c r="DC59" i="9"/>
  <c r="DA86" i="8"/>
  <c r="DC144" i="9"/>
  <c r="DC51" i="9"/>
  <c r="DC145" i="9"/>
  <c r="DC57" i="9"/>
  <c r="DC50" i="9"/>
  <c r="DC58" i="9"/>
  <c r="DC48" i="9"/>
  <c r="DC55" i="9"/>
  <c r="DC52" i="9"/>
  <c r="DC53" i="9"/>
  <c r="DC46" i="9"/>
  <c r="CZ172" i="8"/>
  <c r="DA15" i="7"/>
  <c r="CZ133" i="8"/>
  <c r="CZ130" i="8" s="1"/>
  <c r="CZ171" i="8"/>
  <c r="CZ90" i="8"/>
  <c r="CW30" i="8"/>
  <c r="EL30" i="8" s="1"/>
  <c r="CW44" i="8"/>
  <c r="EL44" i="8" s="1"/>
  <c r="CW27" i="8"/>
  <c r="CL35" i="8"/>
  <c r="CU35" i="8"/>
  <c r="CN35" i="8"/>
  <c r="CN39" i="8" s="1"/>
  <c r="CS35" i="8"/>
  <c r="CS39" i="8" s="1"/>
  <c r="CM35" i="8"/>
  <c r="CM39" i="8" s="1"/>
  <c r="CW35" i="8"/>
  <c r="CQ35" i="8"/>
  <c r="CQ39" i="8" s="1"/>
  <c r="CT35" i="8"/>
  <c r="CT39" i="8" s="1"/>
  <c r="CO35" i="8"/>
  <c r="CO39" i="8" s="1"/>
  <c r="CV35" i="8"/>
  <c r="CP35" i="8"/>
  <c r="CP39" i="8" s="1"/>
  <c r="CR35" i="8"/>
  <c r="CR39" i="8" s="1"/>
  <c r="CY63" i="9"/>
  <c r="CW109" i="8" s="1"/>
  <c r="CW34" i="8" s="1"/>
  <c r="EL34" i="8" s="1"/>
  <c r="CW108" i="8"/>
  <c r="CY101" i="9"/>
  <c r="CY85" i="9" s="1"/>
  <c r="CW137" i="8" s="1"/>
  <c r="CW28" i="8" s="1"/>
  <c r="EL28" i="8" s="1"/>
  <c r="CW147" i="8"/>
  <c r="CW153" i="8" s="1"/>
  <c r="EL26" i="8"/>
  <c r="EM44" i="7"/>
  <c r="CX51" i="7"/>
  <c r="CX52" i="7"/>
  <c r="CZ138" i="8"/>
  <c r="CW57" i="7"/>
  <c r="CV22" i="8"/>
  <c r="EM53" i="7"/>
  <c r="CW19" i="8"/>
  <c r="EL19" i="8" s="1"/>
  <c r="CU182" i="8"/>
  <c r="CU25" i="8"/>
  <c r="CY53" i="7" l="1"/>
  <c r="DA12" i="7"/>
  <c r="CZ17" i="7"/>
  <c r="DA89" i="8"/>
  <c r="DD40" i="9"/>
  <c r="DC44" i="9"/>
  <c r="DA107" i="8"/>
  <c r="DC90" i="9"/>
  <c r="DA142" i="8" s="1"/>
  <c r="DA95" i="8"/>
  <c r="DA102" i="8"/>
  <c r="DC97" i="9"/>
  <c r="DA149" i="8" s="1"/>
  <c r="DB33" i="7"/>
  <c r="DB34" i="7" s="1"/>
  <c r="DB36" i="7" s="1"/>
  <c r="DC88" i="9"/>
  <c r="DA140" i="8" s="1"/>
  <c r="DA93" i="8"/>
  <c r="CZ60" i="9"/>
  <c r="CX106" i="8" s="1"/>
  <c r="CZ62" i="9"/>
  <c r="CZ64" i="9"/>
  <c r="CX110" i="8" s="1"/>
  <c r="CX100" i="8"/>
  <c r="CX134" i="8" s="1"/>
  <c r="CX26" i="8" s="1"/>
  <c r="CZ95" i="9"/>
  <c r="CY41" i="7"/>
  <c r="CY42" i="7" s="1"/>
  <c r="CY44" i="7" s="1"/>
  <c r="DA91" i="8"/>
  <c r="DC86" i="9"/>
  <c r="DB25" i="7"/>
  <c r="DB26" i="7" s="1"/>
  <c r="DB28" i="7" s="1"/>
  <c r="DC100" i="9"/>
  <c r="DA152" i="8" s="1"/>
  <c r="DA105" i="8"/>
  <c r="DA129" i="8"/>
  <c r="DB9" i="7"/>
  <c r="DB10" i="7" s="1"/>
  <c r="DA33" i="8"/>
  <c r="DA97" i="8"/>
  <c r="DC92" i="9"/>
  <c r="DA144" i="8" s="1"/>
  <c r="DC98" i="9"/>
  <c r="DA150" i="8" s="1"/>
  <c r="DA103" i="8"/>
  <c r="DC91" i="9"/>
  <c r="DA143" i="8" s="1"/>
  <c r="DA96" i="8"/>
  <c r="DC99" i="9"/>
  <c r="DA151" i="8" s="1"/>
  <c r="DA104" i="8"/>
  <c r="DC89" i="9"/>
  <c r="DA141" i="8" s="1"/>
  <c r="DA94" i="8"/>
  <c r="DA101" i="8"/>
  <c r="DC96" i="9"/>
  <c r="DA148" i="8" s="1"/>
  <c r="DB45" i="7"/>
  <c r="DB46" i="7" s="1"/>
  <c r="DB48" i="7" s="1"/>
  <c r="DC93" i="9"/>
  <c r="DA145" i="8" s="1"/>
  <c r="DA98" i="8"/>
  <c r="DA99" i="8"/>
  <c r="DB37" i="7"/>
  <c r="DB38" i="7" s="1"/>
  <c r="DB40" i="7" s="1"/>
  <c r="DC94" i="9"/>
  <c r="DA146" i="8" s="1"/>
  <c r="DA92" i="8"/>
  <c r="DC87" i="9"/>
  <c r="DA139" i="8" s="1"/>
  <c r="DB29" i="7"/>
  <c r="DB30" i="7" s="1"/>
  <c r="DB32" i="7" s="1"/>
  <c r="DA20" i="7"/>
  <c r="CL39" i="8"/>
  <c r="EL35" i="8"/>
  <c r="CN41" i="8"/>
  <c r="CN46" i="8"/>
  <c r="CS41" i="8"/>
  <c r="CS46" i="8"/>
  <c r="CM41" i="8"/>
  <c r="CM46" i="8"/>
  <c r="CQ41" i="8"/>
  <c r="CQ46" i="8"/>
  <c r="CT41" i="8"/>
  <c r="CT46" i="8"/>
  <c r="CO41" i="8"/>
  <c r="CO46" i="8"/>
  <c r="CP41" i="8"/>
  <c r="CP46" i="8"/>
  <c r="CR41" i="8"/>
  <c r="CR46" i="8"/>
  <c r="EM51" i="7"/>
  <c r="CX56" i="7"/>
  <c r="EM52" i="7"/>
  <c r="CW18" i="8"/>
  <c r="EL18" i="8" s="1"/>
  <c r="CX57" i="7"/>
  <c r="EM57" i="7" s="1"/>
  <c r="CV23" i="8"/>
  <c r="CU36" i="8"/>
  <c r="CU53" i="8"/>
  <c r="CU52" i="8"/>
  <c r="CU37" i="8"/>
  <c r="CZ173" i="8"/>
  <c r="CZ29" i="8" s="1"/>
  <c r="DC146" i="9"/>
  <c r="DC142" i="9" s="1"/>
  <c r="EL27" i="8"/>
  <c r="EL32" i="8" s="1"/>
  <c r="CW32" i="8"/>
  <c r="CX19" i="8" l="1"/>
  <c r="CZ19" i="7"/>
  <c r="DA172" i="8"/>
  <c r="DA133" i="8"/>
  <c r="DA130" i="8" s="1"/>
  <c r="DA171" i="8"/>
  <c r="DB15" i="7"/>
  <c r="DD145" i="9"/>
  <c r="DD55" i="9"/>
  <c r="DD58" i="9"/>
  <c r="DD53" i="9"/>
  <c r="DD45" i="9"/>
  <c r="DD135" i="9"/>
  <c r="DD141" i="9" s="1"/>
  <c r="DD61" i="9" s="1"/>
  <c r="DD43" i="9"/>
  <c r="DD49" i="9"/>
  <c r="DD52" i="9"/>
  <c r="DB86" i="8"/>
  <c r="DD144" i="9"/>
  <c r="DD48" i="9"/>
  <c r="DD50" i="9"/>
  <c r="DD57" i="9"/>
  <c r="DD136" i="9"/>
  <c r="DD51" i="9"/>
  <c r="DD56" i="9"/>
  <c r="DD46" i="9"/>
  <c r="DA54" i="9"/>
  <c r="DD47" i="9"/>
  <c r="DD59" i="9"/>
  <c r="DA90" i="8"/>
  <c r="CX30" i="8"/>
  <c r="CX27" i="8"/>
  <c r="CX44" i="8"/>
  <c r="CZ63" i="9"/>
  <c r="CX108" i="8"/>
  <c r="CZ101" i="9"/>
  <c r="CZ85" i="9" s="1"/>
  <c r="CX137" i="8" s="1"/>
  <c r="CX28" i="8" s="1"/>
  <c r="CX147" i="8"/>
  <c r="CX153" i="8" s="1"/>
  <c r="CY52" i="7"/>
  <c r="CY51" i="7"/>
  <c r="DA138" i="8"/>
  <c r="DA16" i="7"/>
  <c r="CL41" i="8"/>
  <c r="CL46" i="8"/>
  <c r="CN48" i="8"/>
  <c r="CN42" i="8"/>
  <c r="CS42" i="8"/>
  <c r="CS48" i="8"/>
  <c r="CM42" i="8"/>
  <c r="CM48" i="8"/>
  <c r="CQ42" i="8"/>
  <c r="CQ48" i="8"/>
  <c r="CT48" i="8"/>
  <c r="CT42" i="8"/>
  <c r="CO42" i="8"/>
  <c r="CO48" i="8"/>
  <c r="CP42" i="8"/>
  <c r="CP48" i="8"/>
  <c r="CR48" i="8"/>
  <c r="CR42" i="8"/>
  <c r="EM56" i="7"/>
  <c r="CW22" i="8"/>
  <c r="CV182" i="8"/>
  <c r="CV25" i="8"/>
  <c r="CU39" i="8"/>
  <c r="DA173" i="8" l="1"/>
  <c r="DA29" i="8" s="1"/>
  <c r="CX32" i="8"/>
  <c r="DD146" i="9"/>
  <c r="DD142" i="9" s="1"/>
  <c r="CZ53" i="7"/>
  <c r="DB20" i="7"/>
  <c r="DD96" i="9"/>
  <c r="DB148" i="8" s="1"/>
  <c r="DC45" i="7"/>
  <c r="DC46" i="7" s="1"/>
  <c r="DC48" i="7" s="1"/>
  <c r="DB101" i="8"/>
  <c r="DB104" i="8"/>
  <c r="DD99" i="9"/>
  <c r="DB151" i="8" s="1"/>
  <c r="DD94" i="9"/>
  <c r="DB146" i="8" s="1"/>
  <c r="DB99" i="8"/>
  <c r="DC37" i="7"/>
  <c r="DC38" i="7" s="1"/>
  <c r="DC40" i="7" s="1"/>
  <c r="DC25" i="7"/>
  <c r="DC26" i="7" s="1"/>
  <c r="DC28" i="7" s="1"/>
  <c r="DD86" i="9"/>
  <c r="DB91" i="8"/>
  <c r="DB107" i="8"/>
  <c r="DE40" i="9"/>
  <c r="DB89" i="8"/>
  <c r="DD44" i="9"/>
  <c r="DD90" i="9"/>
  <c r="DB142" i="8" s="1"/>
  <c r="DB95" i="8"/>
  <c r="DD93" i="9"/>
  <c r="DB145" i="8" s="1"/>
  <c r="DB98" i="8"/>
  <c r="DB33" i="8"/>
  <c r="DC9" i="7"/>
  <c r="DC10" i="7" s="1"/>
  <c r="DB129" i="8"/>
  <c r="DD89" i="9"/>
  <c r="DB141" i="8" s="1"/>
  <c r="DB94" i="8"/>
  <c r="DB96" i="8"/>
  <c r="DD91" i="9"/>
  <c r="DB143" i="8" s="1"/>
  <c r="DB103" i="8"/>
  <c r="DD98" i="9"/>
  <c r="DB150" i="8" s="1"/>
  <c r="DB97" i="8"/>
  <c r="DD92" i="9"/>
  <c r="DB144" i="8" s="1"/>
  <c r="DB102" i="8"/>
  <c r="DD97" i="9"/>
  <c r="DB149" i="8" s="1"/>
  <c r="DD87" i="9"/>
  <c r="DB139" i="8" s="1"/>
  <c r="DC29" i="7"/>
  <c r="DC30" i="7" s="1"/>
  <c r="DC32" i="7" s="1"/>
  <c r="DB92" i="8"/>
  <c r="DA60" i="9"/>
  <c r="CY106" i="8" s="1"/>
  <c r="DA62" i="9"/>
  <c r="DA64" i="9"/>
  <c r="CY110" i="8" s="1"/>
  <c r="DA95" i="9"/>
  <c r="CZ41" i="7"/>
  <c r="CZ42" i="7" s="1"/>
  <c r="CZ44" i="7" s="1"/>
  <c r="CY100" i="8"/>
  <c r="CY134" i="8" s="1"/>
  <c r="CY26" i="8" s="1"/>
  <c r="DC33" i="7"/>
  <c r="DC34" i="7" s="1"/>
  <c r="DC36" i="7" s="1"/>
  <c r="DD88" i="9"/>
  <c r="DB140" i="8" s="1"/>
  <c r="DB93" i="8"/>
  <c r="DB105" i="8"/>
  <c r="DD100" i="9"/>
  <c r="DB152" i="8" s="1"/>
  <c r="CX109" i="8"/>
  <c r="CX34" i="8" s="1"/>
  <c r="CN114" i="9"/>
  <c r="CX18" i="8"/>
  <c r="CY56" i="7"/>
  <c r="CY57" i="7" s="1"/>
  <c r="DB12" i="7"/>
  <c r="DA17" i="7"/>
  <c r="CL48" i="8"/>
  <c r="CL42" i="8"/>
  <c r="CN49" i="8"/>
  <c r="CN55" i="8"/>
  <c r="CS49" i="8"/>
  <c r="CS55" i="8"/>
  <c r="CM55" i="8"/>
  <c r="CM49" i="8"/>
  <c r="CQ49" i="8"/>
  <c r="CQ55" i="8"/>
  <c r="CT49" i="8"/>
  <c r="CT55" i="8"/>
  <c r="CO55" i="8"/>
  <c r="CO49" i="8"/>
  <c r="CP49" i="8"/>
  <c r="CP55" i="8"/>
  <c r="CR49" i="8"/>
  <c r="CR55" i="8"/>
  <c r="EL22" i="8"/>
  <c r="EL23" i="8" s="1"/>
  <c r="EL25" i="8" s="1"/>
  <c r="CW23" i="8"/>
  <c r="CV53" i="8"/>
  <c r="CV36" i="8"/>
  <c r="CV52" i="8"/>
  <c r="CV37" i="8"/>
  <c r="CU41" i="8"/>
  <c r="CU46" i="8"/>
  <c r="CY19" i="8" l="1"/>
  <c r="DB138" i="8"/>
  <c r="DE144" i="9"/>
  <c r="DE58" i="9"/>
  <c r="DE56" i="9"/>
  <c r="DE43" i="9"/>
  <c r="DC86" i="8"/>
  <c r="DE48" i="9"/>
  <c r="DE52" i="9"/>
  <c r="DE57" i="9"/>
  <c r="DE46" i="9"/>
  <c r="DE55" i="9"/>
  <c r="DE47" i="9"/>
  <c r="DB54" i="9"/>
  <c r="DE136" i="9"/>
  <c r="DE50" i="9"/>
  <c r="DE59" i="9"/>
  <c r="DE135" i="9"/>
  <c r="DE141" i="9" s="1"/>
  <c r="DE61" i="9" s="1"/>
  <c r="DE145" i="9"/>
  <c r="DE49" i="9"/>
  <c r="DE51" i="9"/>
  <c r="DE53" i="9"/>
  <c r="DE45" i="9"/>
  <c r="DC15" i="7"/>
  <c r="DB133" i="8"/>
  <c r="DB130" i="8" s="1"/>
  <c r="DB171" i="8"/>
  <c r="DB172" i="8"/>
  <c r="DB90" i="8"/>
  <c r="DB16" i="7"/>
  <c r="CY30" i="8"/>
  <c r="CY44" i="8"/>
  <c r="CY27" i="8"/>
  <c r="DA63" i="9"/>
  <c r="CY108" i="8"/>
  <c r="DA101" i="9"/>
  <c r="DA85" i="9" s="1"/>
  <c r="CY137" i="8" s="1"/>
  <c r="CY28" i="8" s="1"/>
  <c r="CY147" i="8"/>
  <c r="CY153" i="8" s="1"/>
  <c r="CZ52" i="7"/>
  <c r="CZ51" i="7"/>
  <c r="CL166" i="8"/>
  <c r="CL58" i="8" s="1"/>
  <c r="CO114" i="9"/>
  <c r="CX22" i="8"/>
  <c r="CX23" i="8" s="1"/>
  <c r="DA19" i="7"/>
  <c r="CL55" i="8"/>
  <c r="CL49" i="8"/>
  <c r="CN56" i="8"/>
  <c r="CS56" i="8"/>
  <c r="CM56" i="8"/>
  <c r="CQ56" i="8"/>
  <c r="CT56" i="8"/>
  <c r="CO56" i="8"/>
  <c r="CP56" i="8"/>
  <c r="CR56" i="8"/>
  <c r="CW182" i="8"/>
  <c r="CW25" i="8"/>
  <c r="CV39" i="8"/>
  <c r="CU48" i="8"/>
  <c r="CU42" i="8"/>
  <c r="CY32" i="8" l="1"/>
  <c r="DE146" i="9"/>
  <c r="DE142" i="9" s="1"/>
  <c r="CL66" i="8"/>
  <c r="CL183" i="8" s="1"/>
  <c r="CL60" i="8"/>
  <c r="CL61" i="8" s="1"/>
  <c r="DE99" i="9"/>
  <c r="DC151" i="8" s="1"/>
  <c r="DC104" i="8"/>
  <c r="DE97" i="9"/>
  <c r="DC149" i="8" s="1"/>
  <c r="DC102" i="8"/>
  <c r="DC89" i="8"/>
  <c r="DF40" i="9"/>
  <c r="DE44" i="9"/>
  <c r="DC129" i="8"/>
  <c r="DD9" i="7"/>
  <c r="DD10" i="7" s="1"/>
  <c r="DC33" i="8"/>
  <c r="DC94" i="8"/>
  <c r="DE89" i="9"/>
  <c r="DC141" i="8" s="1"/>
  <c r="DC98" i="8"/>
  <c r="DE93" i="9"/>
  <c r="DC145" i="8" s="1"/>
  <c r="DE98" i="9"/>
  <c r="DC150" i="8" s="1"/>
  <c r="DC103" i="8"/>
  <c r="DD29" i="7"/>
  <c r="DD30" i="7" s="1"/>
  <c r="DD32" i="7" s="1"/>
  <c r="DE87" i="9"/>
  <c r="DC139" i="8" s="1"/>
  <c r="DC92" i="8"/>
  <c r="DC101" i="8"/>
  <c r="DD45" i="7"/>
  <c r="DD46" i="7" s="1"/>
  <c r="DD48" i="7" s="1"/>
  <c r="DE96" i="9"/>
  <c r="DC148" i="8" s="1"/>
  <c r="DC93" i="8"/>
  <c r="DD33" i="7"/>
  <c r="DD34" i="7" s="1"/>
  <c r="DD36" i="7" s="1"/>
  <c r="DE88" i="9"/>
  <c r="DC140" i="8" s="1"/>
  <c r="DB60" i="9"/>
  <c r="CZ106" i="8" s="1"/>
  <c r="DB64" i="9"/>
  <c r="CZ110" i="8" s="1"/>
  <c r="DB62" i="9"/>
  <c r="DA41" i="7"/>
  <c r="DA42" i="7" s="1"/>
  <c r="DA44" i="7" s="1"/>
  <c r="CZ100" i="8"/>
  <c r="CZ134" i="8" s="1"/>
  <c r="CZ26" i="8" s="1"/>
  <c r="DB95" i="9"/>
  <c r="DC96" i="8"/>
  <c r="DE91" i="9"/>
  <c r="DC143" i="8" s="1"/>
  <c r="DC105" i="8"/>
  <c r="DE100" i="9"/>
  <c r="DC152" i="8" s="1"/>
  <c r="DC107" i="8"/>
  <c r="DE90" i="9"/>
  <c r="DC142" i="8" s="1"/>
  <c r="DC95" i="8"/>
  <c r="DC97" i="8"/>
  <c r="DE92" i="9"/>
  <c r="DC144" i="8" s="1"/>
  <c r="DC99" i="8"/>
  <c r="DE94" i="9"/>
  <c r="DC146" i="8" s="1"/>
  <c r="DD37" i="7"/>
  <c r="DD38" i="7" s="1"/>
  <c r="DD40" i="7" s="1"/>
  <c r="DD25" i="7"/>
  <c r="DD26" i="7" s="1"/>
  <c r="DD28" i="7" s="1"/>
  <c r="DE86" i="9"/>
  <c r="DC91" i="8"/>
  <c r="DC20" i="7"/>
  <c r="DC12" i="7"/>
  <c r="DB17" i="7"/>
  <c r="CY109" i="8"/>
  <c r="CY34" i="8" s="1"/>
  <c r="CY18" i="8"/>
  <c r="CZ56" i="7"/>
  <c r="CP114" i="9"/>
  <c r="CM166" i="8"/>
  <c r="CM58" i="8" s="1"/>
  <c r="DA53" i="7"/>
  <c r="CL56" i="8"/>
  <c r="CL63" i="8"/>
  <c r="CW52" i="8"/>
  <c r="EL52" i="8" s="1"/>
  <c r="CW53" i="8"/>
  <c r="EL53" i="8" s="1"/>
  <c r="CW36" i="8"/>
  <c r="CW37" i="8"/>
  <c r="EL37" i="8" s="1"/>
  <c r="Q8" i="8"/>
  <c r="CV41" i="8"/>
  <c r="CV46" i="8"/>
  <c r="CU49" i="8"/>
  <c r="CU55" i="8"/>
  <c r="DB173" i="8"/>
  <c r="DB29" i="8" s="1"/>
  <c r="CX182" i="8"/>
  <c r="CX25" i="8"/>
  <c r="DC171" i="8" l="1"/>
  <c r="DC172" i="8"/>
  <c r="DC133" i="8"/>
  <c r="DC130" i="8" s="1"/>
  <c r="DD15" i="7"/>
  <c r="DF43" i="9"/>
  <c r="DF45" i="9"/>
  <c r="DF57" i="9"/>
  <c r="DF58" i="9"/>
  <c r="DF55" i="9"/>
  <c r="DF50" i="9"/>
  <c r="DF59" i="9"/>
  <c r="DF144" i="9"/>
  <c r="DF135" i="9"/>
  <c r="DF141" i="9" s="1"/>
  <c r="DF61" i="9" s="1"/>
  <c r="DD86" i="8"/>
  <c r="DF56" i="9"/>
  <c r="DF145" i="9"/>
  <c r="DF53" i="9"/>
  <c r="DF48" i="9"/>
  <c r="DF46" i="9"/>
  <c r="DC54" i="9"/>
  <c r="DF136" i="9"/>
  <c r="DF47" i="9"/>
  <c r="DF51" i="9"/>
  <c r="DF52" i="9"/>
  <c r="DF49" i="9"/>
  <c r="DC90" i="8"/>
  <c r="DC16" i="7"/>
  <c r="CZ30" i="8"/>
  <c r="CZ44" i="8"/>
  <c r="CZ27" i="8"/>
  <c r="DB63" i="9"/>
  <c r="CZ108" i="8"/>
  <c r="DA51" i="7"/>
  <c r="DA52" i="7"/>
  <c r="DB101" i="9"/>
  <c r="DB85" i="9" s="1"/>
  <c r="CZ137" i="8" s="1"/>
  <c r="CZ28" i="8" s="1"/>
  <c r="CZ147" i="8"/>
  <c r="CZ153" i="8" s="1"/>
  <c r="DC138" i="8"/>
  <c r="DB19" i="7"/>
  <c r="CZ57" i="7"/>
  <c r="CY22" i="8"/>
  <c r="CN166" i="8"/>
  <c r="CN58" i="8" s="1"/>
  <c r="CQ114" i="9"/>
  <c r="CM63" i="8"/>
  <c r="CM64" i="8" s="1"/>
  <c r="CM60" i="8"/>
  <c r="CM66" i="8"/>
  <c r="CZ19" i="8"/>
  <c r="CL64" i="8"/>
  <c r="EL36" i="8"/>
  <c r="EL39" i="8" s="1"/>
  <c r="EL46" i="8" s="1"/>
  <c r="CW39" i="8"/>
  <c r="CV48" i="8"/>
  <c r="CV42" i="8"/>
  <c r="CU56" i="8"/>
  <c r="CX52" i="8"/>
  <c r="CX53" i="8"/>
  <c r="CX37" i="8"/>
  <c r="CX36" i="8"/>
  <c r="DF146" i="9" l="1"/>
  <c r="DF142" i="9" s="1"/>
  <c r="CZ32" i="8"/>
  <c r="DD20" i="7"/>
  <c r="DD89" i="8"/>
  <c r="DG40" i="9"/>
  <c r="DF44" i="9"/>
  <c r="DF86" i="9"/>
  <c r="DD91" i="8"/>
  <c r="DE25" i="7"/>
  <c r="DE26" i="7" s="1"/>
  <c r="DE28" i="7" s="1"/>
  <c r="DF98" i="9"/>
  <c r="DD150" i="8" s="1"/>
  <c r="DD103" i="8"/>
  <c r="DF99" i="9"/>
  <c r="DD151" i="8" s="1"/>
  <c r="DD104" i="8"/>
  <c r="DE45" i="7"/>
  <c r="DE46" i="7" s="1"/>
  <c r="DE48" i="7" s="1"/>
  <c r="DD101" i="8"/>
  <c r="DF96" i="9"/>
  <c r="DD148" i="8" s="1"/>
  <c r="DD96" i="8"/>
  <c r="DF91" i="9"/>
  <c r="DD143" i="8" s="1"/>
  <c r="DD105" i="8"/>
  <c r="DF100" i="9"/>
  <c r="DD152" i="8" s="1"/>
  <c r="DD107" i="8"/>
  <c r="DD129" i="8"/>
  <c r="DD33" i="8"/>
  <c r="DE9" i="7"/>
  <c r="DE10" i="7" s="1"/>
  <c r="DD102" i="8"/>
  <c r="DF97" i="9"/>
  <c r="DD149" i="8" s="1"/>
  <c r="DF94" i="9"/>
  <c r="DD146" i="8" s="1"/>
  <c r="DE37" i="7"/>
  <c r="DE38" i="7" s="1"/>
  <c r="DE40" i="7" s="1"/>
  <c r="DD99" i="8"/>
  <c r="DF89" i="9"/>
  <c r="DD141" i="8" s="1"/>
  <c r="DD94" i="8"/>
  <c r="DE29" i="7"/>
  <c r="DE30" i="7" s="1"/>
  <c r="DE32" i="7" s="1"/>
  <c r="DD92" i="8"/>
  <c r="DF87" i="9"/>
  <c r="DD139" i="8" s="1"/>
  <c r="DC60" i="9"/>
  <c r="DA106" i="8" s="1"/>
  <c r="DC62" i="9"/>
  <c r="DC64" i="9"/>
  <c r="DA110" i="8" s="1"/>
  <c r="DA100" i="8"/>
  <c r="DA134" i="8" s="1"/>
  <c r="DA26" i="8" s="1"/>
  <c r="DB41" i="7"/>
  <c r="DB42" i="7" s="1"/>
  <c r="DB44" i="7" s="1"/>
  <c r="DC95" i="9"/>
  <c r="DE33" i="7"/>
  <c r="DE34" i="7" s="1"/>
  <c r="DE36" i="7" s="1"/>
  <c r="DF88" i="9"/>
  <c r="DD140" i="8" s="1"/>
  <c r="DD93" i="8"/>
  <c r="DF92" i="9"/>
  <c r="DD144" i="8" s="1"/>
  <c r="DD97" i="8"/>
  <c r="DD98" i="8"/>
  <c r="DF93" i="9"/>
  <c r="DD145" i="8" s="1"/>
  <c r="DD95" i="8"/>
  <c r="DF90" i="9"/>
  <c r="DD142" i="8" s="1"/>
  <c r="DD12" i="7"/>
  <c r="DC17" i="7"/>
  <c r="CZ109" i="8"/>
  <c r="CZ34" i="8" s="1"/>
  <c r="DA56" i="7"/>
  <c r="CZ18" i="8"/>
  <c r="DB53" i="7"/>
  <c r="CY23" i="8"/>
  <c r="CN63" i="8"/>
  <c r="CN60" i="8"/>
  <c r="CN61" i="8" s="1"/>
  <c r="CN66" i="8"/>
  <c r="CO166" i="8"/>
  <c r="CO58" i="8" s="1"/>
  <c r="CR114" i="9"/>
  <c r="CM61" i="8"/>
  <c r="CM183" i="8"/>
  <c r="CW41" i="8"/>
  <c r="CW46" i="8"/>
  <c r="CV49" i="8"/>
  <c r="CV55" i="8"/>
  <c r="DC173" i="8"/>
  <c r="DC29" i="8" s="1"/>
  <c r="CN183" i="8" l="1"/>
  <c r="DE15" i="7"/>
  <c r="DD172" i="8"/>
  <c r="DD133" i="8"/>
  <c r="DD130" i="8" s="1"/>
  <c r="DD171" i="8"/>
  <c r="DG57" i="9"/>
  <c r="DG51" i="9"/>
  <c r="DG56" i="9"/>
  <c r="DG58" i="9"/>
  <c r="DG135" i="9"/>
  <c r="DG141" i="9" s="1"/>
  <c r="DG61" i="9" s="1"/>
  <c r="DG50" i="9"/>
  <c r="DG145" i="9"/>
  <c r="DG48" i="9"/>
  <c r="DG59" i="9"/>
  <c r="DG46" i="9"/>
  <c r="DD54" i="9"/>
  <c r="DG43" i="9"/>
  <c r="DG136" i="9"/>
  <c r="DG52" i="9"/>
  <c r="DE86" i="8"/>
  <c r="DG55" i="9"/>
  <c r="DG47" i="9"/>
  <c r="DG49" i="9"/>
  <c r="DG53" i="9"/>
  <c r="DG45" i="9"/>
  <c r="DG144" i="9"/>
  <c r="DD90" i="8"/>
  <c r="DD138" i="8"/>
  <c r="DD16" i="7"/>
  <c r="DA27" i="8"/>
  <c r="DA44" i="8"/>
  <c r="DA30" i="8"/>
  <c r="DC63" i="9"/>
  <c r="DA108" i="8"/>
  <c r="DB52" i="7"/>
  <c r="DB51" i="7"/>
  <c r="DC101" i="9"/>
  <c r="DC85" i="9" s="1"/>
  <c r="DA137" i="8" s="1"/>
  <c r="DA28" i="8" s="1"/>
  <c r="DA147" i="8"/>
  <c r="DA153" i="8" s="1"/>
  <c r="DC19" i="7"/>
  <c r="DA57" i="7"/>
  <c r="CZ22" i="8"/>
  <c r="DA19" i="8"/>
  <c r="CY182" i="8"/>
  <c r="CY25" i="8"/>
  <c r="CN64" i="8"/>
  <c r="CO63" i="8"/>
  <c r="CO66" i="8"/>
  <c r="CO60" i="8"/>
  <c r="CS114" i="9"/>
  <c r="CP166" i="8"/>
  <c r="CP58" i="8" s="1"/>
  <c r="EL41" i="8"/>
  <c r="EL42" i="8" s="1"/>
  <c r="CW42" i="8"/>
  <c r="CW48" i="8"/>
  <c r="CV56" i="8"/>
  <c r="DA32" i="8" l="1"/>
  <c r="DD173" i="8"/>
  <c r="DD29" i="8" s="1"/>
  <c r="DG146" i="9"/>
  <c r="DG142" i="9" s="1"/>
  <c r="DE20" i="7"/>
  <c r="DG98" i="9"/>
  <c r="DE150" i="8" s="1"/>
  <c r="DE103" i="8"/>
  <c r="DE97" i="8"/>
  <c r="DG92" i="9"/>
  <c r="DE144" i="8" s="1"/>
  <c r="DE102" i="8"/>
  <c r="DG97" i="9"/>
  <c r="DE149" i="8" s="1"/>
  <c r="DE104" i="8"/>
  <c r="DG99" i="9"/>
  <c r="DE151" i="8" s="1"/>
  <c r="DE107" i="8"/>
  <c r="DG91" i="9"/>
  <c r="DE143" i="8" s="1"/>
  <c r="DE96" i="8"/>
  <c r="DE94" i="8"/>
  <c r="DG89" i="9"/>
  <c r="DE141" i="8" s="1"/>
  <c r="DG100" i="9"/>
  <c r="DE152" i="8" s="1"/>
  <c r="DE105" i="8"/>
  <c r="DG87" i="9"/>
  <c r="DE139" i="8" s="1"/>
  <c r="DE92" i="8"/>
  <c r="DF29" i="7"/>
  <c r="DF30" i="7" s="1"/>
  <c r="DF32" i="7" s="1"/>
  <c r="DD60" i="9"/>
  <c r="DB106" i="8" s="1"/>
  <c r="DD62" i="9"/>
  <c r="DD64" i="9"/>
  <c r="DB110" i="8" s="1"/>
  <c r="DD95" i="9"/>
  <c r="DB100" i="8"/>
  <c r="DB134" i="8" s="1"/>
  <c r="DB26" i="8" s="1"/>
  <c r="DC41" i="7"/>
  <c r="DC42" i="7" s="1"/>
  <c r="DC44" i="7" s="1"/>
  <c r="DE89" i="8"/>
  <c r="DH40" i="9"/>
  <c r="DG44" i="9"/>
  <c r="DG93" i="9"/>
  <c r="DE145" i="8" s="1"/>
  <c r="DE98" i="8"/>
  <c r="DE129" i="8"/>
  <c r="DE33" i="8"/>
  <c r="DF9" i="7"/>
  <c r="DF10" i="7" s="1"/>
  <c r="DE101" i="8"/>
  <c r="DG96" i="9"/>
  <c r="DE148" i="8" s="1"/>
  <c r="DF45" i="7"/>
  <c r="DF46" i="7" s="1"/>
  <c r="DF48" i="7" s="1"/>
  <c r="DG88" i="9"/>
  <c r="DE140" i="8" s="1"/>
  <c r="DE93" i="8"/>
  <c r="DF33" i="7"/>
  <c r="DF34" i="7" s="1"/>
  <c r="DF36" i="7" s="1"/>
  <c r="DE95" i="8"/>
  <c r="DG90" i="9"/>
  <c r="DE142" i="8" s="1"/>
  <c r="DF37" i="7"/>
  <c r="DF38" i="7" s="1"/>
  <c r="DF40" i="7" s="1"/>
  <c r="DE99" i="8"/>
  <c r="DG94" i="9"/>
  <c r="DE146" i="8" s="1"/>
  <c r="DE91" i="8"/>
  <c r="DF25" i="7"/>
  <c r="DF26" i="7" s="1"/>
  <c r="DF28" i="7" s="1"/>
  <c r="DG86" i="9"/>
  <c r="DD17" i="7"/>
  <c r="DE12" i="7"/>
  <c r="DA109" i="8"/>
  <c r="DA34" i="8" s="1"/>
  <c r="DA18" i="8"/>
  <c r="DB56" i="7"/>
  <c r="DB57" i="7" s="1"/>
  <c r="DC53" i="7"/>
  <c r="CZ23" i="8"/>
  <c r="CY53" i="8"/>
  <c r="CY36" i="8"/>
  <c r="CY52" i="8"/>
  <c r="CY37" i="8"/>
  <c r="CO183" i="8"/>
  <c r="CO61" i="8"/>
  <c r="CQ166" i="8"/>
  <c r="CQ58" i="8" s="1"/>
  <c r="CT114" i="9"/>
  <c r="CP63" i="8"/>
  <c r="CP64" i="8" s="1"/>
  <c r="CP60" i="8"/>
  <c r="CP66" i="8"/>
  <c r="EL48" i="8"/>
  <c r="EL49" i="8" s="1"/>
  <c r="CW49" i="8"/>
  <c r="CW55" i="8"/>
  <c r="CO64" i="8"/>
  <c r="DB27" i="8" l="1"/>
  <c r="DB44" i="8"/>
  <c r="DB30" i="8"/>
  <c r="DD63" i="9"/>
  <c r="DB109" i="8" s="1"/>
  <c r="DB34" i="8" s="1"/>
  <c r="DB108" i="8"/>
  <c r="DD101" i="9"/>
  <c r="DD85" i="9" s="1"/>
  <c r="DB137" i="8" s="1"/>
  <c r="DB28" i="8" s="1"/>
  <c r="DB147" i="8"/>
  <c r="DB153" i="8" s="1"/>
  <c r="DC51" i="7"/>
  <c r="DC52" i="7"/>
  <c r="DF15" i="7"/>
  <c r="DE133" i="8"/>
  <c r="DE130" i="8" s="1"/>
  <c r="DE172" i="8"/>
  <c r="DE171" i="8"/>
  <c r="DH43" i="9"/>
  <c r="DE54" i="9"/>
  <c r="DH144" i="9"/>
  <c r="DH58" i="9"/>
  <c r="DH49" i="9"/>
  <c r="DH51" i="9"/>
  <c r="DH50" i="9"/>
  <c r="DH52" i="9"/>
  <c r="DH135" i="9"/>
  <c r="DH141" i="9" s="1"/>
  <c r="DH61" i="9" s="1"/>
  <c r="DH47" i="9"/>
  <c r="DH145" i="9"/>
  <c r="DH55" i="9"/>
  <c r="DH48" i="9"/>
  <c r="DH45" i="9"/>
  <c r="DH46" i="9"/>
  <c r="DH56" i="9"/>
  <c r="DH59" i="9"/>
  <c r="DH136" i="9"/>
  <c r="DH53" i="9"/>
  <c r="DF86" i="8"/>
  <c r="DH57" i="9"/>
  <c r="DE90" i="8"/>
  <c r="DE16" i="7"/>
  <c r="DE138" i="8"/>
  <c r="DD19" i="7"/>
  <c r="DA22" i="8"/>
  <c r="DA23" i="8" s="1"/>
  <c r="DA25" i="8" s="1"/>
  <c r="DB19" i="8"/>
  <c r="CZ182" i="8"/>
  <c r="CZ25" i="8"/>
  <c r="CQ63" i="8"/>
  <c r="CQ66" i="8"/>
  <c r="CQ60" i="8"/>
  <c r="CQ61" i="8" s="1"/>
  <c r="CU114" i="9"/>
  <c r="CR166" i="8"/>
  <c r="CR58" i="8" s="1"/>
  <c r="EL55" i="8"/>
  <c r="EL56" i="8" s="1"/>
  <c r="CW56" i="8"/>
  <c r="CP183" i="8"/>
  <c r="CP61" i="8"/>
  <c r="DE173" i="8" l="1"/>
  <c r="DE29" i="8" s="1"/>
  <c r="DB32" i="8"/>
  <c r="CQ183" i="8"/>
  <c r="DC56" i="7"/>
  <c r="DB18" i="8"/>
  <c r="DF20" i="7"/>
  <c r="DF89" i="8"/>
  <c r="DI40" i="9"/>
  <c r="DH44" i="9"/>
  <c r="DE60" i="9"/>
  <c r="DC106" i="8" s="1"/>
  <c r="DE64" i="9"/>
  <c r="DC110" i="8" s="1"/>
  <c r="DE62" i="9"/>
  <c r="DE95" i="9"/>
  <c r="DD41" i="7"/>
  <c r="DD42" i="7" s="1"/>
  <c r="DD44" i="7" s="1"/>
  <c r="DC100" i="8"/>
  <c r="DC134" i="8" s="1"/>
  <c r="DC26" i="8" s="1"/>
  <c r="DH99" i="9"/>
  <c r="DF151" i="8" s="1"/>
  <c r="DF104" i="8"/>
  <c r="DH90" i="9"/>
  <c r="DF142" i="8" s="1"/>
  <c r="DF95" i="8"/>
  <c r="DH92" i="9"/>
  <c r="DF144" i="8" s="1"/>
  <c r="DF97" i="8"/>
  <c r="DF96" i="8"/>
  <c r="DH91" i="9"/>
  <c r="DF143" i="8" s="1"/>
  <c r="DF98" i="8"/>
  <c r="DH93" i="9"/>
  <c r="DF145" i="8" s="1"/>
  <c r="DF107" i="8"/>
  <c r="DF93" i="8"/>
  <c r="DH88" i="9"/>
  <c r="DF140" i="8" s="1"/>
  <c r="DG33" i="7"/>
  <c r="DG34" i="7" s="1"/>
  <c r="DG36" i="7" s="1"/>
  <c r="DF101" i="8"/>
  <c r="DG45" i="7"/>
  <c r="DG46" i="7" s="1"/>
  <c r="DG48" i="7" s="1"/>
  <c r="DH96" i="9"/>
  <c r="DF148" i="8" s="1"/>
  <c r="DF94" i="8"/>
  <c r="DH89" i="9"/>
  <c r="DF141" i="8" s="1"/>
  <c r="DG25" i="7"/>
  <c r="DG26" i="7" s="1"/>
  <c r="DG28" i="7" s="1"/>
  <c r="DF91" i="8"/>
  <c r="DH86" i="9"/>
  <c r="DH87" i="9"/>
  <c r="DF139" i="8" s="1"/>
  <c r="DF92" i="8"/>
  <c r="DG29" i="7"/>
  <c r="DG30" i="7" s="1"/>
  <c r="DG32" i="7" s="1"/>
  <c r="DF102" i="8"/>
  <c r="DH97" i="9"/>
  <c r="DF149" i="8" s="1"/>
  <c r="DH100" i="9"/>
  <c r="DF152" i="8" s="1"/>
  <c r="DF105" i="8"/>
  <c r="DH94" i="9"/>
  <c r="DF146" i="8" s="1"/>
  <c r="DG37" i="7"/>
  <c r="DG38" i="7" s="1"/>
  <c r="DG40" i="7" s="1"/>
  <c r="DF99" i="8"/>
  <c r="DG9" i="7"/>
  <c r="DG10" i="7" s="1"/>
  <c r="DF33" i="8"/>
  <c r="DF129" i="8"/>
  <c r="DF103" i="8"/>
  <c r="DH98" i="9"/>
  <c r="DF150" i="8" s="1"/>
  <c r="DF12" i="7"/>
  <c r="DE17" i="7"/>
  <c r="DD53" i="7"/>
  <c r="DA37" i="8"/>
  <c r="DA52" i="8"/>
  <c r="DA36" i="8"/>
  <c r="DA53" i="8"/>
  <c r="CZ52" i="8"/>
  <c r="CZ37" i="8"/>
  <c r="CZ53" i="8"/>
  <c r="CZ36" i="8"/>
  <c r="CQ64" i="8"/>
  <c r="CV114" i="9"/>
  <c r="CS166" i="8"/>
  <c r="CS58" i="8" s="1"/>
  <c r="CR63" i="8"/>
  <c r="CR60" i="8"/>
  <c r="CR66" i="8"/>
  <c r="DH146" i="9"/>
  <c r="DH142" i="9" s="1"/>
  <c r="DA182" i="8"/>
  <c r="DC57" i="7" l="1"/>
  <c r="DB22" i="8"/>
  <c r="DB23" i="8" s="1"/>
  <c r="DG15" i="7"/>
  <c r="DF171" i="8"/>
  <c r="DF133" i="8"/>
  <c r="DF130" i="8" s="1"/>
  <c r="DF172" i="8"/>
  <c r="DI53" i="9"/>
  <c r="DG86" i="8"/>
  <c r="DI47" i="9"/>
  <c r="DI51" i="9"/>
  <c r="DI49" i="9"/>
  <c r="DI58" i="9"/>
  <c r="DI59" i="9"/>
  <c r="DI135" i="9"/>
  <c r="DI141" i="9" s="1"/>
  <c r="DI61" i="9" s="1"/>
  <c r="DI48" i="9"/>
  <c r="DI43" i="9"/>
  <c r="DI52" i="9"/>
  <c r="DF54" i="9"/>
  <c r="DI136" i="9"/>
  <c r="DI57" i="9"/>
  <c r="DI145" i="9"/>
  <c r="DI45" i="9"/>
  <c r="DI50" i="9"/>
  <c r="DI144" i="9"/>
  <c r="DI46" i="9"/>
  <c r="DI55" i="9"/>
  <c r="DI56" i="9"/>
  <c r="DF90" i="8"/>
  <c r="DC27" i="8"/>
  <c r="DC44" i="8"/>
  <c r="DC30" i="8"/>
  <c r="DE63" i="9"/>
  <c r="DC109" i="8" s="1"/>
  <c r="DC34" i="8" s="1"/>
  <c r="DC108" i="8"/>
  <c r="DE101" i="9"/>
  <c r="DE85" i="9" s="1"/>
  <c r="DC137" i="8" s="1"/>
  <c r="DC28" i="8" s="1"/>
  <c r="DC147" i="8"/>
  <c r="DC153" i="8" s="1"/>
  <c r="DD51" i="7"/>
  <c r="DD52" i="7"/>
  <c r="DF138" i="8"/>
  <c r="DF16" i="7"/>
  <c r="DE19" i="7"/>
  <c r="DC19" i="8"/>
  <c r="CT166" i="8"/>
  <c r="CT58" i="8" s="1"/>
  <c r="CW114" i="9"/>
  <c r="CS63" i="8"/>
  <c r="CS64" i="8" s="1"/>
  <c r="CS66" i="8"/>
  <c r="CS60" i="8"/>
  <c r="CS61" i="8" s="1"/>
  <c r="CR61" i="8"/>
  <c r="CR183" i="8"/>
  <c r="CR64" i="8"/>
  <c r="DF173" i="8" l="1"/>
  <c r="DF29" i="8" s="1"/>
  <c r="CS183" i="8"/>
  <c r="DI146" i="9"/>
  <c r="DI142" i="9" s="1"/>
  <c r="DC32" i="8"/>
  <c r="DB182" i="8"/>
  <c r="DB25" i="8"/>
  <c r="DG20" i="7"/>
  <c r="DG99" i="8"/>
  <c r="DI94" i="9"/>
  <c r="DG146" i="8" s="1"/>
  <c r="DH37" i="7"/>
  <c r="DH38" i="7" s="1"/>
  <c r="DH40" i="7" s="1"/>
  <c r="DH9" i="7"/>
  <c r="DH10" i="7" s="1"/>
  <c r="DG33" i="8"/>
  <c r="DG129" i="8"/>
  <c r="DH33" i="7"/>
  <c r="DH34" i="7" s="1"/>
  <c r="DH36" i="7" s="1"/>
  <c r="DI88" i="9"/>
  <c r="DG140" i="8" s="1"/>
  <c r="DG93" i="8"/>
  <c r="DG97" i="8"/>
  <c r="DI92" i="9"/>
  <c r="DG144" i="8" s="1"/>
  <c r="DI90" i="9"/>
  <c r="DG142" i="8" s="1"/>
  <c r="DG95" i="8"/>
  <c r="DG104" i="8"/>
  <c r="DI99" i="9"/>
  <c r="DG151" i="8" s="1"/>
  <c r="DG105" i="8"/>
  <c r="DI100" i="9"/>
  <c r="DG152" i="8" s="1"/>
  <c r="DG107" i="8"/>
  <c r="DI89" i="9"/>
  <c r="DG141" i="8" s="1"/>
  <c r="DG94" i="8"/>
  <c r="DJ40" i="9"/>
  <c r="DG89" i="8"/>
  <c r="DI44" i="9"/>
  <c r="DG98" i="8"/>
  <c r="DI93" i="9"/>
  <c r="DG145" i="8" s="1"/>
  <c r="DF60" i="9"/>
  <c r="DD106" i="8" s="1"/>
  <c r="DF62" i="9"/>
  <c r="DF64" i="9"/>
  <c r="DD110" i="8" s="1"/>
  <c r="DE41" i="7"/>
  <c r="DE42" i="7" s="1"/>
  <c r="DE44" i="7" s="1"/>
  <c r="DF95" i="9"/>
  <c r="DD100" i="8"/>
  <c r="DD134" i="8" s="1"/>
  <c r="DD26" i="8" s="1"/>
  <c r="DG103" i="8"/>
  <c r="DI98" i="9"/>
  <c r="DG150" i="8" s="1"/>
  <c r="DH25" i="7"/>
  <c r="DH26" i="7" s="1"/>
  <c r="DH28" i="7" s="1"/>
  <c r="DG91" i="8"/>
  <c r="DI86" i="9"/>
  <c r="DI91" i="9"/>
  <c r="DG143" i="8" s="1"/>
  <c r="DG96" i="8"/>
  <c r="DI87" i="9"/>
  <c r="DG139" i="8" s="1"/>
  <c r="DH29" i="7"/>
  <c r="DH30" i="7" s="1"/>
  <c r="DH32" i="7" s="1"/>
  <c r="DG92" i="8"/>
  <c r="DG101" i="8"/>
  <c r="DI96" i="9"/>
  <c r="DG148" i="8" s="1"/>
  <c r="DH45" i="7"/>
  <c r="DH46" i="7" s="1"/>
  <c r="DH48" i="7" s="1"/>
  <c r="DI97" i="9"/>
  <c r="DG149" i="8" s="1"/>
  <c r="DG102" i="8"/>
  <c r="DD56" i="7"/>
  <c r="DC18" i="8"/>
  <c r="DD57" i="7"/>
  <c r="DF17" i="7"/>
  <c r="DG12" i="7"/>
  <c r="DE53" i="7"/>
  <c r="CT63" i="8"/>
  <c r="CT60" i="8"/>
  <c r="CT66" i="8"/>
  <c r="CU166" i="8"/>
  <c r="CU58" i="8" s="1"/>
  <c r="CX114" i="9"/>
  <c r="DB37" i="8" l="1"/>
  <c r="DB36" i="8"/>
  <c r="DB52" i="8"/>
  <c r="DB53" i="8"/>
  <c r="DG16" i="7"/>
  <c r="DJ46" i="9"/>
  <c r="DJ48" i="9"/>
  <c r="DJ53" i="9"/>
  <c r="DJ135" i="9"/>
  <c r="DJ141" i="9" s="1"/>
  <c r="DJ61" i="9" s="1"/>
  <c r="DJ55" i="9"/>
  <c r="DJ49" i="9"/>
  <c r="DJ50" i="9"/>
  <c r="DJ47" i="9"/>
  <c r="DJ56" i="9"/>
  <c r="DH86" i="8"/>
  <c r="DJ58" i="9"/>
  <c r="DJ51" i="9"/>
  <c r="DJ52" i="9"/>
  <c r="DJ136" i="9"/>
  <c r="DJ43" i="9"/>
  <c r="DJ57" i="9"/>
  <c r="DJ145" i="9"/>
  <c r="DJ144" i="9"/>
  <c r="DJ146" i="9" s="1"/>
  <c r="DJ142" i="9" s="1"/>
  <c r="DJ59" i="9"/>
  <c r="DG54" i="9"/>
  <c r="DJ45" i="9"/>
  <c r="DG172" i="8"/>
  <c r="DH15" i="7"/>
  <c r="DG171" i="8"/>
  <c r="DG133" i="8"/>
  <c r="DG130" i="8" s="1"/>
  <c r="DG90" i="8"/>
  <c r="DD30" i="8"/>
  <c r="DD44" i="8"/>
  <c r="DD27" i="8"/>
  <c r="DF63" i="9"/>
  <c r="DD109" i="8" s="1"/>
  <c r="DD34" i="8" s="1"/>
  <c r="DD108" i="8"/>
  <c r="DE51" i="7"/>
  <c r="DE52" i="7"/>
  <c r="DF101" i="9"/>
  <c r="DF85" i="9" s="1"/>
  <c r="DD137" i="8" s="1"/>
  <c r="DD28" i="8" s="1"/>
  <c r="DD147" i="8"/>
  <c r="DD153" i="8" s="1"/>
  <c r="DG138" i="8"/>
  <c r="DC22" i="8"/>
  <c r="DC23" i="8" s="1"/>
  <c r="DF19" i="7"/>
  <c r="DD19" i="8"/>
  <c r="CT64" i="8"/>
  <c r="CT61" i="8"/>
  <c r="CT183" i="8"/>
  <c r="CU63" i="8"/>
  <c r="CU64" i="8" s="1"/>
  <c r="CU60" i="8"/>
  <c r="CU61" i="8" s="1"/>
  <c r="CU66" i="8"/>
  <c r="CY114" i="9"/>
  <c r="CW166" i="8" s="1"/>
  <c r="CW58" i="8" s="1"/>
  <c r="CV166" i="8"/>
  <c r="CV58" i="8" s="1"/>
  <c r="EL58" i="8" l="1"/>
  <c r="DD32" i="8"/>
  <c r="CU183" i="8"/>
  <c r="DH12" i="7"/>
  <c r="DG17" i="7"/>
  <c r="DH92" i="8"/>
  <c r="DJ87" i="9"/>
  <c r="DH139" i="8" s="1"/>
  <c r="DI29" i="7"/>
  <c r="DI30" i="7" s="1"/>
  <c r="DI32" i="7" s="1"/>
  <c r="DJ89" i="9"/>
  <c r="DH141" i="8" s="1"/>
  <c r="DH94" i="8"/>
  <c r="DJ94" i="9"/>
  <c r="DH146" i="8" s="1"/>
  <c r="DI37" i="7"/>
  <c r="DI38" i="7" s="1"/>
  <c r="DI40" i="7" s="1"/>
  <c r="DH99" i="8"/>
  <c r="DH107" i="8"/>
  <c r="DJ96" i="9"/>
  <c r="DH148" i="8" s="1"/>
  <c r="DI45" i="7"/>
  <c r="DI46" i="7" s="1"/>
  <c r="DI48" i="7" s="1"/>
  <c r="DH101" i="8"/>
  <c r="DJ90" i="9"/>
  <c r="DH142" i="8" s="1"/>
  <c r="DH95" i="8"/>
  <c r="DJ91" i="9"/>
  <c r="DH143" i="8" s="1"/>
  <c r="DH96" i="8"/>
  <c r="DI33" i="7"/>
  <c r="DI34" i="7" s="1"/>
  <c r="DI36" i="7" s="1"/>
  <c r="DH93" i="8"/>
  <c r="DJ88" i="9"/>
  <c r="DH140" i="8" s="1"/>
  <c r="DH102" i="8"/>
  <c r="DJ97" i="9"/>
  <c r="DH149" i="8" s="1"/>
  <c r="DH129" i="8"/>
  <c r="DH33" i="8"/>
  <c r="DI9" i="7"/>
  <c r="DI10" i="7" s="1"/>
  <c r="DJ99" i="9"/>
  <c r="DH151" i="8" s="1"/>
  <c r="DH104" i="8"/>
  <c r="DH97" i="8"/>
  <c r="DJ92" i="9"/>
  <c r="DH144" i="8" s="1"/>
  <c r="DH98" i="8"/>
  <c r="DJ93" i="9"/>
  <c r="DH145" i="8" s="1"/>
  <c r="DK40" i="9"/>
  <c r="DH89" i="8"/>
  <c r="DJ44" i="9"/>
  <c r="DH103" i="8"/>
  <c r="DJ98" i="9"/>
  <c r="DH150" i="8" s="1"/>
  <c r="DJ100" i="9"/>
  <c r="DH152" i="8" s="1"/>
  <c r="DH105" i="8"/>
  <c r="DG60" i="9"/>
  <c r="DE106" i="8" s="1"/>
  <c r="DG62" i="9"/>
  <c r="DG64" i="9"/>
  <c r="DE110" i="8" s="1"/>
  <c r="DF41" i="7"/>
  <c r="DF42" i="7" s="1"/>
  <c r="DF44" i="7" s="1"/>
  <c r="DE100" i="8"/>
  <c r="DE134" i="8" s="1"/>
  <c r="DE26" i="8" s="1"/>
  <c r="DG95" i="9"/>
  <c r="DH91" i="8"/>
  <c r="DI25" i="7"/>
  <c r="DI26" i="7" s="1"/>
  <c r="DI28" i="7" s="1"/>
  <c r="DJ86" i="9"/>
  <c r="DH20" i="7"/>
  <c r="DE56" i="7"/>
  <c r="DE57" i="7" s="1"/>
  <c r="DD18" i="8"/>
  <c r="DC182" i="8"/>
  <c r="DC25" i="8"/>
  <c r="DF53" i="7"/>
  <c r="CW63" i="8"/>
  <c r="CW60" i="8"/>
  <c r="CW61" i="8" s="1"/>
  <c r="CW66" i="8"/>
  <c r="CV63" i="8"/>
  <c r="CV66" i="8"/>
  <c r="CV60" i="8"/>
  <c r="DG173" i="8"/>
  <c r="DG29" i="8" s="1"/>
  <c r="DG19" i="7" l="1"/>
  <c r="DH16" i="7"/>
  <c r="DK48" i="9"/>
  <c r="DK144" i="9"/>
  <c r="DK58" i="9"/>
  <c r="DK59" i="9"/>
  <c r="DK136" i="9"/>
  <c r="DI86" i="8"/>
  <c r="DK145" i="9"/>
  <c r="DK55" i="9"/>
  <c r="DK57" i="9"/>
  <c r="DH54" i="9"/>
  <c r="DK47" i="9"/>
  <c r="DK56" i="9"/>
  <c r="DK135" i="9"/>
  <c r="DK141" i="9" s="1"/>
  <c r="DK61" i="9" s="1"/>
  <c r="DK50" i="9"/>
  <c r="DK49" i="9"/>
  <c r="DK52" i="9"/>
  <c r="DK43" i="9"/>
  <c r="DK51" i="9"/>
  <c r="DK53" i="9"/>
  <c r="DK45" i="9"/>
  <c r="DK46" i="9"/>
  <c r="DH171" i="8"/>
  <c r="DI15" i="7"/>
  <c r="DH133" i="8"/>
  <c r="DH130" i="8" s="1"/>
  <c r="DH172" i="8"/>
  <c r="DH90" i="8"/>
  <c r="DE44" i="8"/>
  <c r="DE30" i="8"/>
  <c r="DE27" i="8"/>
  <c r="DG63" i="9"/>
  <c r="DE109" i="8" s="1"/>
  <c r="DE34" i="8" s="1"/>
  <c r="DE108" i="8"/>
  <c r="DF51" i="7"/>
  <c r="DF52" i="7"/>
  <c r="DG101" i="9"/>
  <c r="DG85" i="9" s="1"/>
  <c r="DE137" i="8" s="1"/>
  <c r="DE28" i="8" s="1"/>
  <c r="DE147" i="8"/>
  <c r="DE153" i="8" s="1"/>
  <c r="DH138" i="8"/>
  <c r="DD22" i="8"/>
  <c r="DD23" i="8" s="1"/>
  <c r="DC37" i="8"/>
  <c r="DC52" i="8"/>
  <c r="DC36" i="8"/>
  <c r="DC53" i="8"/>
  <c r="DE19" i="8"/>
  <c r="Q11" i="8"/>
  <c r="Q12" i="8" s="1"/>
  <c r="CW64" i="8"/>
  <c r="EL63" i="8"/>
  <c r="EL64" i="8" s="1"/>
  <c r="CV64" i="8"/>
  <c r="EL66" i="8"/>
  <c r="CV183" i="8"/>
  <c r="CW183" i="8" s="1"/>
  <c r="EL60" i="8"/>
  <c r="EL61" i="8" s="1"/>
  <c r="CV61" i="8"/>
  <c r="Q9" i="8"/>
  <c r="Q10" i="8" s="1"/>
  <c r="DE32" i="8" l="1"/>
  <c r="DH173" i="8"/>
  <c r="DH29" i="8" s="1"/>
  <c r="DG53" i="7"/>
  <c r="DI12" i="7"/>
  <c r="DH17" i="7"/>
  <c r="DK89" i="9"/>
  <c r="DI141" i="8" s="1"/>
  <c r="DI94" i="8"/>
  <c r="DK99" i="9"/>
  <c r="DI151" i="8" s="1"/>
  <c r="DI104" i="8"/>
  <c r="DI105" i="8"/>
  <c r="DK100" i="9"/>
  <c r="DI152" i="8" s="1"/>
  <c r="DI33" i="8"/>
  <c r="DJ9" i="7"/>
  <c r="DJ10" i="7" s="1"/>
  <c r="DI129" i="8"/>
  <c r="DK96" i="9"/>
  <c r="DI148" i="8" s="1"/>
  <c r="DJ45" i="7"/>
  <c r="DJ46" i="7" s="1"/>
  <c r="DJ48" i="7" s="1"/>
  <c r="EN48" i="7" s="1"/>
  <c r="DI101" i="8"/>
  <c r="DK98" i="9"/>
  <c r="DI150" i="8" s="1"/>
  <c r="DI103" i="8"/>
  <c r="DH60" i="9"/>
  <c r="DF106" i="8" s="1"/>
  <c r="DH64" i="9"/>
  <c r="DF110" i="8" s="1"/>
  <c r="DH62" i="9"/>
  <c r="DG41" i="7"/>
  <c r="DG42" i="7" s="1"/>
  <c r="DG44" i="7" s="1"/>
  <c r="DF100" i="8"/>
  <c r="DF134" i="8" s="1"/>
  <c r="DF26" i="8" s="1"/>
  <c r="DH95" i="9"/>
  <c r="DI93" i="8"/>
  <c r="DJ33" i="7"/>
  <c r="DJ34" i="7" s="1"/>
  <c r="DJ36" i="7" s="1"/>
  <c r="EN36" i="7" s="1"/>
  <c r="DK88" i="9"/>
  <c r="DI140" i="8" s="1"/>
  <c r="DI102" i="8"/>
  <c r="DK97" i="9"/>
  <c r="DI149" i="8" s="1"/>
  <c r="DI107" i="8"/>
  <c r="DI96" i="8"/>
  <c r="DK91" i="9"/>
  <c r="DI143" i="8" s="1"/>
  <c r="DK90" i="9"/>
  <c r="DI142" i="8" s="1"/>
  <c r="DI95" i="8"/>
  <c r="DK93" i="9"/>
  <c r="DI145" i="8" s="1"/>
  <c r="DI98" i="8"/>
  <c r="DI89" i="8"/>
  <c r="DL40" i="9"/>
  <c r="DK44" i="9"/>
  <c r="DI97" i="8"/>
  <c r="DK92" i="9"/>
  <c r="DI144" i="8" s="1"/>
  <c r="DJ37" i="7"/>
  <c r="DJ38" i="7" s="1"/>
  <c r="DJ40" i="7" s="1"/>
  <c r="EN40" i="7" s="1"/>
  <c r="DI99" i="8"/>
  <c r="DK94" i="9"/>
  <c r="DI146" i="8" s="1"/>
  <c r="DJ25" i="7"/>
  <c r="DJ26" i="7" s="1"/>
  <c r="DJ28" i="7" s="1"/>
  <c r="EN28" i="7" s="1"/>
  <c r="DI91" i="8"/>
  <c r="DK86" i="9"/>
  <c r="DK87" i="9"/>
  <c r="DI139" i="8" s="1"/>
  <c r="DJ29" i="7"/>
  <c r="DJ30" i="7" s="1"/>
  <c r="DJ32" i="7" s="1"/>
  <c r="EN32" i="7" s="1"/>
  <c r="DI92" i="8"/>
  <c r="DI20" i="7"/>
  <c r="DF56" i="7"/>
  <c r="DF57" i="7"/>
  <c r="DE18" i="8"/>
  <c r="DD182" i="8"/>
  <c r="DD25" i="8"/>
  <c r="DK146" i="9"/>
  <c r="DK142" i="9" s="1"/>
  <c r="DF19" i="8" l="1"/>
  <c r="DH19" i="7"/>
  <c r="EN9" i="7"/>
  <c r="DI16" i="7"/>
  <c r="DF30" i="8"/>
  <c r="DF27" i="8"/>
  <c r="DF44" i="8"/>
  <c r="DH63" i="9"/>
  <c r="DF109" i="8" s="1"/>
  <c r="DF34" i="8" s="1"/>
  <c r="DF108" i="8"/>
  <c r="DG51" i="7"/>
  <c r="DG52" i="7"/>
  <c r="DH101" i="9"/>
  <c r="DH85" i="9" s="1"/>
  <c r="DF137" i="8" s="1"/>
  <c r="DF28" i="8" s="1"/>
  <c r="DF147" i="8"/>
  <c r="DF153" i="8" s="1"/>
  <c r="DI171" i="8"/>
  <c r="DJ15" i="7"/>
  <c r="DI172" i="8"/>
  <c r="DI133" i="8"/>
  <c r="DJ86" i="8"/>
  <c r="DL45" i="9"/>
  <c r="DL144" i="9"/>
  <c r="DL47" i="9"/>
  <c r="DL56" i="9"/>
  <c r="DL53" i="9"/>
  <c r="DL48" i="9"/>
  <c r="DL59" i="9"/>
  <c r="DL49" i="9"/>
  <c r="DI54" i="9"/>
  <c r="DL55" i="9"/>
  <c r="DL52" i="9"/>
  <c r="DL46" i="9"/>
  <c r="DL145" i="9"/>
  <c r="DL43" i="9"/>
  <c r="DL51" i="9"/>
  <c r="DL135" i="9"/>
  <c r="DL141" i="9" s="1"/>
  <c r="DL61" i="9" s="1"/>
  <c r="DL57" i="9"/>
  <c r="DL136" i="9"/>
  <c r="DL58" i="9"/>
  <c r="DL50" i="9"/>
  <c r="DI90" i="8"/>
  <c r="DI138" i="8"/>
  <c r="DE22" i="8"/>
  <c r="DE23" i="8" s="1"/>
  <c r="DD37" i="8"/>
  <c r="DD53" i="8"/>
  <c r="DD36" i="8"/>
  <c r="DD52" i="8"/>
  <c r="EM33" i="8"/>
  <c r="DF32" i="8" l="1"/>
  <c r="DH53" i="7"/>
  <c r="DI17" i="7"/>
  <c r="EN10" i="7"/>
  <c r="DJ12" i="7"/>
  <c r="DG56" i="7"/>
  <c r="DG57" i="7" s="1"/>
  <c r="DF18" i="8"/>
  <c r="EN15" i="7"/>
  <c r="DJ20" i="7"/>
  <c r="DK9" i="7"/>
  <c r="DK10" i="7" s="1"/>
  <c r="DJ129" i="8"/>
  <c r="DJ33" i="8"/>
  <c r="DK25" i="7"/>
  <c r="DK26" i="7" s="1"/>
  <c r="DK28" i="7" s="1"/>
  <c r="DL86" i="9"/>
  <c r="DJ91" i="8"/>
  <c r="DK33" i="7"/>
  <c r="DK34" i="7" s="1"/>
  <c r="DK36" i="7" s="1"/>
  <c r="DJ93" i="8"/>
  <c r="DL88" i="9"/>
  <c r="DJ140" i="8" s="1"/>
  <c r="DL97" i="9"/>
  <c r="DJ149" i="8" s="1"/>
  <c r="DJ102" i="8"/>
  <c r="DL94" i="9"/>
  <c r="DJ146" i="8" s="1"/>
  <c r="DJ99" i="8"/>
  <c r="DK37" i="7"/>
  <c r="DK38" i="7" s="1"/>
  <c r="DK40" i="7" s="1"/>
  <c r="DJ94" i="8"/>
  <c r="DL89" i="9"/>
  <c r="DJ141" i="8" s="1"/>
  <c r="DL100" i="9"/>
  <c r="DJ152" i="8" s="1"/>
  <c r="DJ105" i="8"/>
  <c r="DJ95" i="8"/>
  <c r="DL90" i="9"/>
  <c r="DJ142" i="8" s="1"/>
  <c r="DI60" i="9"/>
  <c r="DG106" i="8" s="1"/>
  <c r="DI62" i="9"/>
  <c r="DI64" i="9"/>
  <c r="DG110" i="8" s="1"/>
  <c r="DG100" i="8"/>
  <c r="DG134" i="8" s="1"/>
  <c r="DG26" i="8" s="1"/>
  <c r="DH41" i="7"/>
  <c r="DH42" i="7" s="1"/>
  <c r="DH44" i="7" s="1"/>
  <c r="DI95" i="9"/>
  <c r="DK45" i="7"/>
  <c r="DK46" i="7" s="1"/>
  <c r="DK48" i="7" s="1"/>
  <c r="DL96" i="9"/>
  <c r="DJ148" i="8" s="1"/>
  <c r="DJ101" i="8"/>
  <c r="DJ98" i="8"/>
  <c r="DL93" i="9"/>
  <c r="DJ145" i="8" s="1"/>
  <c r="DK29" i="7"/>
  <c r="DK30" i="7" s="1"/>
  <c r="DK32" i="7" s="1"/>
  <c r="DL87" i="9"/>
  <c r="DJ139" i="8" s="1"/>
  <c r="DJ92" i="8"/>
  <c r="DJ89" i="8"/>
  <c r="DM40" i="9"/>
  <c r="DL44" i="9"/>
  <c r="DJ97" i="8"/>
  <c r="DL92" i="9"/>
  <c r="DJ144" i="8" s="1"/>
  <c r="DJ107" i="8"/>
  <c r="DJ103" i="8"/>
  <c r="DL98" i="9"/>
  <c r="DJ150" i="8" s="1"/>
  <c r="DL99" i="9"/>
  <c r="DJ151" i="8" s="1"/>
  <c r="DJ104" i="8"/>
  <c r="DL91" i="9"/>
  <c r="DJ143" i="8" s="1"/>
  <c r="DJ96" i="8"/>
  <c r="DE182" i="8"/>
  <c r="DE25" i="8"/>
  <c r="DI173" i="8"/>
  <c r="DI29" i="8" s="1"/>
  <c r="EM29" i="8" s="1"/>
  <c r="DL146" i="9"/>
  <c r="DL142" i="9" s="1"/>
  <c r="DI130" i="8"/>
  <c r="DG19" i="8" l="1"/>
  <c r="DI19" i="7"/>
  <c r="EN12" i="7"/>
  <c r="DF22" i="8"/>
  <c r="DF23" i="8" s="1"/>
  <c r="DJ16" i="7"/>
  <c r="DJ138" i="8"/>
  <c r="DG27" i="8"/>
  <c r="DG44" i="8"/>
  <c r="DG30" i="8"/>
  <c r="DI63" i="9"/>
  <c r="DG109" i="8" s="1"/>
  <c r="DG34" i="8" s="1"/>
  <c r="DG108" i="8"/>
  <c r="DH52" i="7"/>
  <c r="DH51" i="7"/>
  <c r="DI101" i="9"/>
  <c r="DI85" i="9" s="1"/>
  <c r="DG137" i="8" s="1"/>
  <c r="DG28" i="8" s="1"/>
  <c r="DG147" i="8"/>
  <c r="DG153" i="8" s="1"/>
  <c r="DJ171" i="8"/>
  <c r="DJ133" i="8"/>
  <c r="DK15" i="7"/>
  <c r="DJ172" i="8"/>
  <c r="DM57" i="9"/>
  <c r="DM49" i="9"/>
  <c r="DM55" i="9"/>
  <c r="DM48" i="9"/>
  <c r="DM145" i="9"/>
  <c r="DM144" i="9"/>
  <c r="DM43" i="9"/>
  <c r="DJ54" i="9"/>
  <c r="DM50" i="9"/>
  <c r="DK86" i="8"/>
  <c r="DM51" i="9"/>
  <c r="DM58" i="9"/>
  <c r="DM53" i="9"/>
  <c r="DM59" i="9"/>
  <c r="DM135" i="9"/>
  <c r="DM141" i="9" s="1"/>
  <c r="DM61" i="9" s="1"/>
  <c r="DM46" i="9"/>
  <c r="DM136" i="9"/>
  <c r="DM52" i="9"/>
  <c r="DM45" i="9"/>
  <c r="DM47" i="9"/>
  <c r="DM56" i="9"/>
  <c r="DJ90" i="8"/>
  <c r="DE52" i="8"/>
  <c r="DE36" i="8"/>
  <c r="DE53" i="8"/>
  <c r="DE37" i="8"/>
  <c r="DG32" i="8" l="1"/>
  <c r="DM146" i="9"/>
  <c r="DM142" i="9" s="1"/>
  <c r="DI53" i="7"/>
  <c r="DF182" i="8"/>
  <c r="DF25" i="8"/>
  <c r="DK12" i="7"/>
  <c r="EN16" i="7"/>
  <c r="DJ17" i="7"/>
  <c r="DG18" i="8"/>
  <c r="DH56" i="7"/>
  <c r="DH57" i="7" s="1"/>
  <c r="DJ130" i="8"/>
  <c r="DK20" i="7"/>
  <c r="DK103" i="8"/>
  <c r="DM98" i="9"/>
  <c r="DK150" i="8" s="1"/>
  <c r="DM90" i="9"/>
  <c r="DK142" i="8" s="1"/>
  <c r="DK95" i="8"/>
  <c r="DL45" i="7"/>
  <c r="DL46" i="7" s="1"/>
  <c r="DL48" i="7" s="1"/>
  <c r="DK101" i="8"/>
  <c r="DM96" i="9"/>
  <c r="DK148" i="8" s="1"/>
  <c r="DK94" i="8"/>
  <c r="DM89" i="9"/>
  <c r="DK141" i="8" s="1"/>
  <c r="DK89" i="8"/>
  <c r="DN40" i="9"/>
  <c r="DM44" i="9"/>
  <c r="DJ60" i="9"/>
  <c r="DH106" i="8" s="1"/>
  <c r="DJ62" i="9"/>
  <c r="DJ64" i="9"/>
  <c r="DH110" i="8" s="1"/>
  <c r="DI41" i="7"/>
  <c r="DI42" i="7" s="1"/>
  <c r="DI44" i="7" s="1"/>
  <c r="DJ95" i="9"/>
  <c r="DH100" i="8"/>
  <c r="DH134" i="8" s="1"/>
  <c r="DK96" i="8"/>
  <c r="DM91" i="9"/>
  <c r="DK143" i="8" s="1"/>
  <c r="DL9" i="7"/>
  <c r="DL10" i="7" s="1"/>
  <c r="DK33" i="8"/>
  <c r="DK129" i="8"/>
  <c r="DK97" i="8"/>
  <c r="DM92" i="9"/>
  <c r="DK144" i="8" s="1"/>
  <c r="DM99" i="9"/>
  <c r="DK151" i="8" s="1"/>
  <c r="DK104" i="8"/>
  <c r="DL37" i="7"/>
  <c r="DL38" i="7" s="1"/>
  <c r="DL40" i="7" s="1"/>
  <c r="DK99" i="8"/>
  <c r="DM94" i="9"/>
  <c r="DK146" i="8" s="1"/>
  <c r="DM100" i="9"/>
  <c r="DK152" i="8" s="1"/>
  <c r="DK105" i="8"/>
  <c r="DK107" i="8"/>
  <c r="DK92" i="8"/>
  <c r="DM87" i="9"/>
  <c r="DK139" i="8" s="1"/>
  <c r="DL29" i="7"/>
  <c r="DL30" i="7" s="1"/>
  <c r="DL32" i="7" s="1"/>
  <c r="DM93" i="9"/>
  <c r="DK145" i="8" s="1"/>
  <c r="DK98" i="8"/>
  <c r="DM86" i="9"/>
  <c r="DL25" i="7"/>
  <c r="DL26" i="7" s="1"/>
  <c r="DL28" i="7" s="1"/>
  <c r="DK91" i="8"/>
  <c r="DK93" i="8"/>
  <c r="DM88" i="9"/>
  <c r="DK140" i="8" s="1"/>
  <c r="DL33" i="7"/>
  <c r="DL34" i="7" s="1"/>
  <c r="DL36" i="7" s="1"/>
  <c r="DM97" i="9"/>
  <c r="DK149" i="8" s="1"/>
  <c r="DK102" i="8"/>
  <c r="DJ173" i="8"/>
  <c r="DJ29" i="8" s="1"/>
  <c r="DH19" i="8" l="1"/>
  <c r="DF53" i="8"/>
  <c r="DF37" i="8"/>
  <c r="DF52" i="8"/>
  <c r="DF36" i="8"/>
  <c r="EN17" i="7"/>
  <c r="DJ19" i="7"/>
  <c r="DG22" i="8"/>
  <c r="DL15" i="7"/>
  <c r="DK172" i="8"/>
  <c r="DK171" i="8"/>
  <c r="DK173" i="8" s="1"/>
  <c r="DK29" i="8" s="1"/>
  <c r="DK133" i="8"/>
  <c r="DN144" i="9"/>
  <c r="DL86" i="8"/>
  <c r="DN53" i="9"/>
  <c r="DK54" i="9"/>
  <c r="DN59" i="9"/>
  <c r="DN50" i="9"/>
  <c r="DN57" i="9"/>
  <c r="DN145" i="9"/>
  <c r="DN136" i="9"/>
  <c r="DN45" i="9"/>
  <c r="DN58" i="9"/>
  <c r="DN52" i="9"/>
  <c r="DN47" i="9"/>
  <c r="DN51" i="9"/>
  <c r="DN56" i="9"/>
  <c r="DN135" i="9"/>
  <c r="DN141" i="9" s="1"/>
  <c r="DN61" i="9" s="1"/>
  <c r="DN55" i="9"/>
  <c r="DN46" i="9"/>
  <c r="DN48" i="9"/>
  <c r="DN49" i="9"/>
  <c r="DN43" i="9"/>
  <c r="DN44" i="9" s="1"/>
  <c r="DK90" i="8"/>
  <c r="DH30" i="8"/>
  <c r="DH44" i="8"/>
  <c r="DH27" i="8"/>
  <c r="DJ63" i="9"/>
  <c r="DH109" i="8" s="1"/>
  <c r="DH34" i="8" s="1"/>
  <c r="DH108" i="8"/>
  <c r="DI52" i="7"/>
  <c r="DI51" i="7"/>
  <c r="DJ101" i="9"/>
  <c r="DJ85" i="9" s="1"/>
  <c r="DH137" i="8" s="1"/>
  <c r="DH28" i="8" s="1"/>
  <c r="DH147" i="8"/>
  <c r="DH153" i="8" s="1"/>
  <c r="DH26" i="8"/>
  <c r="DK16" i="7"/>
  <c r="DK138" i="8"/>
  <c r="EN19" i="7" l="1"/>
  <c r="DJ53" i="7"/>
  <c r="DG23" i="8"/>
  <c r="DL20" i="7"/>
  <c r="DK130" i="8"/>
  <c r="DM9" i="7"/>
  <c r="DM10" i="7" s="1"/>
  <c r="DL129" i="8"/>
  <c r="DL33" i="8"/>
  <c r="DM37" i="7"/>
  <c r="DM38" i="7" s="1"/>
  <c r="DM40" i="7" s="1"/>
  <c r="DN94" i="9"/>
  <c r="DL146" i="8" s="1"/>
  <c r="DL99" i="8"/>
  <c r="DK60" i="9"/>
  <c r="DI106" i="8" s="1"/>
  <c r="DK64" i="9"/>
  <c r="DI110" i="8" s="1"/>
  <c r="DK62" i="9"/>
  <c r="DJ41" i="7"/>
  <c r="DJ42" i="7" s="1"/>
  <c r="DJ44" i="7" s="1"/>
  <c r="DK95" i="9"/>
  <c r="DI100" i="8"/>
  <c r="DI134" i="8" s="1"/>
  <c r="DL105" i="8"/>
  <c r="DN100" i="9"/>
  <c r="DL152" i="8" s="1"/>
  <c r="DL96" i="8"/>
  <c r="DN91" i="9"/>
  <c r="DL143" i="8" s="1"/>
  <c r="DN98" i="9"/>
  <c r="DL150" i="8" s="1"/>
  <c r="DL103" i="8"/>
  <c r="DL91" i="8"/>
  <c r="DN86" i="9"/>
  <c r="DM25" i="7"/>
  <c r="DM26" i="7" s="1"/>
  <c r="DM28" i="7" s="1"/>
  <c r="DL104" i="8"/>
  <c r="DN99" i="9"/>
  <c r="DL151" i="8" s="1"/>
  <c r="DL98" i="8"/>
  <c r="DN93" i="9"/>
  <c r="DL145" i="8" s="1"/>
  <c r="DN88" i="9"/>
  <c r="DL140" i="8" s="1"/>
  <c r="DM33" i="7"/>
  <c r="DM34" i="7" s="1"/>
  <c r="DM36" i="7" s="1"/>
  <c r="DL93" i="8"/>
  <c r="DL97" i="8"/>
  <c r="DN92" i="9"/>
  <c r="DL144" i="8" s="1"/>
  <c r="DN97" i="9"/>
  <c r="DL149" i="8" s="1"/>
  <c r="DL102" i="8"/>
  <c r="DL107" i="8"/>
  <c r="DM45" i="7"/>
  <c r="DM46" i="7" s="1"/>
  <c r="DM48" i="7" s="1"/>
  <c r="DL101" i="8"/>
  <c r="DN96" i="9"/>
  <c r="DL148" i="8" s="1"/>
  <c r="DN87" i="9"/>
  <c r="DL139" i="8" s="1"/>
  <c r="DL92" i="8"/>
  <c r="DM29" i="7"/>
  <c r="DM30" i="7" s="1"/>
  <c r="DM32" i="7" s="1"/>
  <c r="DN89" i="9"/>
  <c r="DL141" i="8" s="1"/>
  <c r="DL94" i="8"/>
  <c r="DN90" i="9"/>
  <c r="DL142" i="8" s="1"/>
  <c r="DL95" i="8"/>
  <c r="DO40" i="9"/>
  <c r="DL89" i="8"/>
  <c r="DL90" i="8"/>
  <c r="DH18" i="8"/>
  <c r="DI56" i="7"/>
  <c r="DH32" i="8"/>
  <c r="DL12" i="7"/>
  <c r="DK17" i="7"/>
  <c r="DN146" i="9"/>
  <c r="DN142" i="9" s="1"/>
  <c r="EN53" i="7" l="1"/>
  <c r="DI19" i="8"/>
  <c r="EM19" i="8" s="1"/>
  <c r="DG182" i="8"/>
  <c r="DG25" i="8"/>
  <c r="DL16" i="7"/>
  <c r="DI27" i="8"/>
  <c r="EM27" i="8" s="1"/>
  <c r="DI44" i="8"/>
  <c r="DI30" i="8"/>
  <c r="DE35" i="8"/>
  <c r="DE39" i="8" s="1"/>
  <c r="DI35" i="8"/>
  <c r="DF35" i="8"/>
  <c r="DF39" i="8" s="1"/>
  <c r="DC35" i="8"/>
  <c r="DC39" i="8" s="1"/>
  <c r="CX35" i="8"/>
  <c r="CZ35" i="8"/>
  <c r="CZ39" i="8" s="1"/>
  <c r="DA35" i="8"/>
  <c r="DA39" i="8" s="1"/>
  <c r="DD35" i="8"/>
  <c r="DD39" i="8" s="1"/>
  <c r="DH35" i="8"/>
  <c r="DG35" i="8"/>
  <c r="DB35" i="8"/>
  <c r="DB39" i="8" s="1"/>
  <c r="CY35" i="8"/>
  <c r="CY39" i="8" s="1"/>
  <c r="DK63" i="9"/>
  <c r="DI109" i="8" s="1"/>
  <c r="DI34" i="8" s="1"/>
  <c r="DI108" i="8"/>
  <c r="EN44" i="7"/>
  <c r="DJ51" i="7"/>
  <c r="DJ52" i="7"/>
  <c r="DK101" i="9"/>
  <c r="DK85" i="9" s="1"/>
  <c r="DI137" i="8" s="1"/>
  <c r="DI28" i="8" s="1"/>
  <c r="EM28" i="8" s="1"/>
  <c r="DI147" i="8"/>
  <c r="DI153" i="8" s="1"/>
  <c r="DI26" i="8"/>
  <c r="DL138" i="8"/>
  <c r="DO56" i="9"/>
  <c r="DO135" i="9"/>
  <c r="DO141" i="9" s="1"/>
  <c r="DO61" i="9" s="1"/>
  <c r="DO136" i="9"/>
  <c r="DO47" i="9"/>
  <c r="DO48" i="9"/>
  <c r="DO52" i="9"/>
  <c r="DO144" i="9"/>
  <c r="DO145" i="9"/>
  <c r="DO45" i="9"/>
  <c r="DO46" i="9"/>
  <c r="DO43" i="9"/>
  <c r="DO51" i="9"/>
  <c r="DM86" i="8"/>
  <c r="DL54" i="9"/>
  <c r="DO53" i="9"/>
  <c r="DO50" i="9"/>
  <c r="DO58" i="9"/>
  <c r="DO55" i="9"/>
  <c r="DO57" i="9"/>
  <c r="DO49" i="9"/>
  <c r="DO59" i="9"/>
  <c r="DL171" i="8"/>
  <c r="DM15" i="7"/>
  <c r="DL172" i="8"/>
  <c r="DL133" i="8"/>
  <c r="DI57" i="7"/>
  <c r="DH22" i="8"/>
  <c r="DK19" i="7"/>
  <c r="DG36" i="8" l="1"/>
  <c r="DG37" i="8"/>
  <c r="DG53" i="8"/>
  <c r="DG52" i="8"/>
  <c r="DM12" i="7"/>
  <c r="DL17" i="7"/>
  <c r="EM44" i="8"/>
  <c r="EM30" i="8"/>
  <c r="DE41" i="8"/>
  <c r="DE46" i="8"/>
  <c r="DF41" i="8"/>
  <c r="DF46" i="8"/>
  <c r="DC41" i="8"/>
  <c r="DC46" i="8"/>
  <c r="CX39" i="8"/>
  <c r="EM35" i="8"/>
  <c r="CZ41" i="8"/>
  <c r="CZ46" i="8"/>
  <c r="DA41" i="8"/>
  <c r="DA46" i="8"/>
  <c r="DD41" i="8"/>
  <c r="DD46" i="8"/>
  <c r="DB41" i="8"/>
  <c r="DB46" i="8"/>
  <c r="CY41" i="8"/>
  <c r="CY46" i="8"/>
  <c r="EM34" i="8"/>
  <c r="EN51" i="7"/>
  <c r="DJ56" i="7"/>
  <c r="DJ57" i="7" s="1"/>
  <c r="EN57" i="7" s="1"/>
  <c r="EN52" i="7"/>
  <c r="DI18" i="8"/>
  <c r="EM26" i="8"/>
  <c r="DI32" i="8"/>
  <c r="DO97" i="9"/>
  <c r="DM149" i="8" s="1"/>
  <c r="DM102" i="8"/>
  <c r="DM107" i="8"/>
  <c r="DM93" i="8"/>
  <c r="DO88" i="9"/>
  <c r="DM140" i="8" s="1"/>
  <c r="DN33" i="7"/>
  <c r="DN34" i="7" s="1"/>
  <c r="DN36" i="7" s="1"/>
  <c r="DM94" i="8"/>
  <c r="DO89" i="9"/>
  <c r="DM141" i="8" s="1"/>
  <c r="DM98" i="8"/>
  <c r="DO93" i="9"/>
  <c r="DM145" i="8" s="1"/>
  <c r="DO86" i="9"/>
  <c r="DN25" i="7"/>
  <c r="DN26" i="7" s="1"/>
  <c r="DN28" i="7" s="1"/>
  <c r="DM91" i="8"/>
  <c r="DM92" i="8"/>
  <c r="DN29" i="7"/>
  <c r="DN30" i="7" s="1"/>
  <c r="DN32" i="7" s="1"/>
  <c r="DO87" i="9"/>
  <c r="DM139" i="8" s="1"/>
  <c r="DM89" i="8"/>
  <c r="DP40" i="9"/>
  <c r="DO44" i="9"/>
  <c r="DM97" i="8"/>
  <c r="DO92" i="9"/>
  <c r="DM144" i="8" s="1"/>
  <c r="DN9" i="7"/>
  <c r="DN10" i="7" s="1"/>
  <c r="DM129" i="8"/>
  <c r="DM33" i="8"/>
  <c r="DL60" i="9"/>
  <c r="DJ106" i="8" s="1"/>
  <c r="DL64" i="9"/>
  <c r="DJ110" i="8" s="1"/>
  <c r="DL62" i="9"/>
  <c r="DJ100" i="8"/>
  <c r="DJ134" i="8" s="1"/>
  <c r="DL95" i="9"/>
  <c r="DK41" i="7"/>
  <c r="DK42" i="7" s="1"/>
  <c r="DK44" i="7" s="1"/>
  <c r="DN37" i="7"/>
  <c r="DN38" i="7" s="1"/>
  <c r="DN40" i="7" s="1"/>
  <c r="DM99" i="8"/>
  <c r="DO94" i="9"/>
  <c r="DM146" i="8" s="1"/>
  <c r="DM96" i="8"/>
  <c r="DO91" i="9"/>
  <c r="DM143" i="8" s="1"/>
  <c r="DM104" i="8"/>
  <c r="DO99" i="9"/>
  <c r="DM151" i="8" s="1"/>
  <c r="DO96" i="9"/>
  <c r="DM148" i="8" s="1"/>
  <c r="DN45" i="7"/>
  <c r="DN46" i="7" s="1"/>
  <c r="DN48" i="7" s="1"/>
  <c r="DM101" i="8"/>
  <c r="DM103" i="8"/>
  <c r="DO98" i="9"/>
  <c r="DM150" i="8" s="1"/>
  <c r="DM95" i="8"/>
  <c r="DO90" i="9"/>
  <c r="DM142" i="8" s="1"/>
  <c r="DM105" i="8"/>
  <c r="DO100" i="9"/>
  <c r="DM152" i="8" s="1"/>
  <c r="DM20" i="7"/>
  <c r="DL130" i="8"/>
  <c r="DH23" i="8"/>
  <c r="DK53" i="7"/>
  <c r="DO146" i="9"/>
  <c r="DO142" i="9" s="1"/>
  <c r="DL173" i="8"/>
  <c r="DL29" i="8" s="1"/>
  <c r="DG39" i="8" l="1"/>
  <c r="DL19" i="7"/>
  <c r="DE42" i="8"/>
  <c r="DE48" i="8"/>
  <c r="DF48" i="8"/>
  <c r="DF42" i="8"/>
  <c r="DC42" i="8"/>
  <c r="DC48" i="8"/>
  <c r="CX41" i="8"/>
  <c r="CX46" i="8"/>
  <c r="CZ42" i="8"/>
  <c r="CZ48" i="8"/>
  <c r="DA42" i="8"/>
  <c r="DA48" i="8"/>
  <c r="DD42" i="8"/>
  <c r="DD48" i="8"/>
  <c r="DB48" i="8"/>
  <c r="DB42" i="8"/>
  <c r="CY48" i="8"/>
  <c r="CY42" i="8"/>
  <c r="EN56" i="7"/>
  <c r="DI22" i="8"/>
  <c r="EM18" i="8"/>
  <c r="EM32" i="8"/>
  <c r="DM138" i="8"/>
  <c r="DM172" i="8"/>
  <c r="DM133" i="8"/>
  <c r="DM171" i="8"/>
  <c r="DN15" i="7"/>
  <c r="DP53" i="9"/>
  <c r="DP46" i="9"/>
  <c r="DP47" i="9"/>
  <c r="DP144" i="9"/>
  <c r="DP55" i="9"/>
  <c r="DP57" i="9"/>
  <c r="DP50" i="9"/>
  <c r="DN86" i="8"/>
  <c r="DP49" i="9"/>
  <c r="DP43" i="9"/>
  <c r="DP48" i="9"/>
  <c r="DP59" i="9"/>
  <c r="DM54" i="9"/>
  <c r="DP145" i="9"/>
  <c r="DP51" i="9"/>
  <c r="DP135" i="9"/>
  <c r="DP141" i="9" s="1"/>
  <c r="DP61" i="9" s="1"/>
  <c r="DP52" i="9"/>
  <c r="DP58" i="9"/>
  <c r="DP56" i="9"/>
  <c r="DP136" i="9"/>
  <c r="DP45" i="9"/>
  <c r="DM90" i="8"/>
  <c r="DM16" i="7"/>
  <c r="DJ30" i="8"/>
  <c r="DJ27" i="8"/>
  <c r="DJ44" i="8"/>
  <c r="DL63" i="9"/>
  <c r="DJ108" i="8"/>
  <c r="DJ26" i="8"/>
  <c r="DL101" i="9"/>
  <c r="DL85" i="9" s="1"/>
  <c r="DJ137" i="8" s="1"/>
  <c r="DJ28" i="8" s="1"/>
  <c r="DJ147" i="8"/>
  <c r="DJ153" i="8" s="1"/>
  <c r="DK52" i="7"/>
  <c r="DK51" i="7"/>
  <c r="DH182" i="8"/>
  <c r="DH25" i="8"/>
  <c r="DJ19" i="8"/>
  <c r="DM173" i="8" l="1"/>
  <c r="DM29" i="8" s="1"/>
  <c r="DG41" i="8"/>
  <c r="DG46" i="8"/>
  <c r="DL53" i="7"/>
  <c r="DE49" i="8"/>
  <c r="DE55" i="8"/>
  <c r="DF55" i="8"/>
  <c r="DF49" i="8"/>
  <c r="DC49" i="8"/>
  <c r="DC55" i="8"/>
  <c r="CX42" i="8"/>
  <c r="CX48" i="8"/>
  <c r="CZ49" i="8"/>
  <c r="CZ55" i="8"/>
  <c r="DA55" i="8"/>
  <c r="DA49" i="8"/>
  <c r="DD49" i="8"/>
  <c r="DD55" i="8"/>
  <c r="DB55" i="8"/>
  <c r="DB49" i="8"/>
  <c r="CY49" i="8"/>
  <c r="CY55" i="8"/>
  <c r="EM22" i="8"/>
  <c r="EM23" i="8" s="1"/>
  <c r="EM25" i="8" s="1"/>
  <c r="DI23" i="8"/>
  <c r="DM130" i="8"/>
  <c r="DN20" i="7"/>
  <c r="DP94" i="9"/>
  <c r="DN146" i="8" s="1"/>
  <c r="DN99" i="8"/>
  <c r="DO37" i="7"/>
  <c r="DO38" i="7" s="1"/>
  <c r="DO40" i="7" s="1"/>
  <c r="DP87" i="9"/>
  <c r="DN139" i="8" s="1"/>
  <c r="DO29" i="7"/>
  <c r="DO30" i="7" s="1"/>
  <c r="DO32" i="7" s="1"/>
  <c r="DN92" i="8"/>
  <c r="DP88" i="9"/>
  <c r="DN140" i="8" s="1"/>
  <c r="DN93" i="8"/>
  <c r="DO33" i="7"/>
  <c r="DO34" i="7" s="1"/>
  <c r="DO36" i="7" s="1"/>
  <c r="DP96" i="9"/>
  <c r="DN148" i="8" s="1"/>
  <c r="DN101" i="8"/>
  <c r="DO45" i="7"/>
  <c r="DO46" i="7" s="1"/>
  <c r="DO48" i="7" s="1"/>
  <c r="DP98" i="9"/>
  <c r="DN150" i="8" s="1"/>
  <c r="DN103" i="8"/>
  <c r="DN96" i="8"/>
  <c r="DP91" i="9"/>
  <c r="DN143" i="8" s="1"/>
  <c r="DN33" i="8"/>
  <c r="DO9" i="7"/>
  <c r="DO10" i="7" s="1"/>
  <c r="DN129" i="8"/>
  <c r="DP90" i="9"/>
  <c r="DN142" i="8" s="1"/>
  <c r="DN95" i="8"/>
  <c r="DN89" i="8"/>
  <c r="DQ40" i="9"/>
  <c r="DP44" i="9"/>
  <c r="DP89" i="9"/>
  <c r="DN141" i="8" s="1"/>
  <c r="DN94" i="8"/>
  <c r="DP100" i="9"/>
  <c r="DN152" i="8" s="1"/>
  <c r="DN105" i="8"/>
  <c r="DM60" i="9"/>
  <c r="DK106" i="8" s="1"/>
  <c r="DM64" i="9"/>
  <c r="DK110" i="8" s="1"/>
  <c r="DM62" i="9"/>
  <c r="DK100" i="8"/>
  <c r="DK134" i="8" s="1"/>
  <c r="DL41" i="7"/>
  <c r="DL42" i="7" s="1"/>
  <c r="DL44" i="7" s="1"/>
  <c r="DM95" i="9"/>
  <c r="DP92" i="9"/>
  <c r="DN144" i="8" s="1"/>
  <c r="DN97" i="8"/>
  <c r="DN107" i="8"/>
  <c r="DP93" i="9"/>
  <c r="DN145" i="8" s="1"/>
  <c r="DN98" i="8"/>
  <c r="DN104" i="8"/>
  <c r="DP99" i="9"/>
  <c r="DN151" i="8" s="1"/>
  <c r="DN102" i="8"/>
  <c r="DP97" i="9"/>
  <c r="DN149" i="8" s="1"/>
  <c r="DP86" i="9"/>
  <c r="DO25" i="7"/>
  <c r="DO26" i="7" s="1"/>
  <c r="DO28" i="7" s="1"/>
  <c r="DN91" i="8"/>
  <c r="DM17" i="7"/>
  <c r="DN12" i="7"/>
  <c r="DJ109" i="8"/>
  <c r="DJ34" i="8" s="1"/>
  <c r="CZ114" i="9"/>
  <c r="DJ32" i="8"/>
  <c r="DJ18" i="8"/>
  <c r="DK56" i="7"/>
  <c r="DK57" i="7" s="1"/>
  <c r="DH53" i="8"/>
  <c r="DH52" i="8"/>
  <c r="DH37" i="8"/>
  <c r="DH36" i="8"/>
  <c r="DP146" i="9"/>
  <c r="DP142" i="9" s="1"/>
  <c r="DG48" i="8" l="1"/>
  <c r="DG42" i="8"/>
  <c r="DK19" i="8"/>
  <c r="DE56" i="8"/>
  <c r="DF56" i="8"/>
  <c r="DC56" i="8"/>
  <c r="CX55" i="8"/>
  <c r="CX49" i="8"/>
  <c r="CZ56" i="8"/>
  <c r="DA56" i="8"/>
  <c r="DD56" i="8"/>
  <c r="DB56" i="8"/>
  <c r="CY56" i="8"/>
  <c r="DI182" i="8"/>
  <c r="DI25" i="8"/>
  <c r="DN16" i="7"/>
  <c r="DO15" i="7"/>
  <c r="DN133" i="8"/>
  <c r="DN172" i="8"/>
  <c r="DN171" i="8"/>
  <c r="DQ135" i="9"/>
  <c r="DQ141" i="9" s="1"/>
  <c r="DQ61" i="9" s="1"/>
  <c r="DQ144" i="9"/>
  <c r="DQ53" i="9"/>
  <c r="DQ46" i="9"/>
  <c r="DQ57" i="9"/>
  <c r="DQ145" i="9"/>
  <c r="DQ59" i="9"/>
  <c r="DQ47" i="9"/>
  <c r="DQ55" i="9"/>
  <c r="DQ51" i="9"/>
  <c r="DQ43" i="9"/>
  <c r="DN54" i="9"/>
  <c r="DQ58" i="9"/>
  <c r="DQ48" i="9"/>
  <c r="DQ136" i="9"/>
  <c r="DO86" i="8"/>
  <c r="DQ52" i="9"/>
  <c r="DQ45" i="9"/>
  <c r="DQ50" i="9"/>
  <c r="DQ49" i="9"/>
  <c r="DQ56" i="9"/>
  <c r="DN90" i="8"/>
  <c r="DK44" i="8"/>
  <c r="DK30" i="8"/>
  <c r="DK27" i="8"/>
  <c r="DM63" i="9"/>
  <c r="DK108" i="8"/>
  <c r="DK26" i="8"/>
  <c r="DL51" i="7"/>
  <c r="DL52" i="7"/>
  <c r="DM101" i="9"/>
  <c r="DM85" i="9" s="1"/>
  <c r="DK137" i="8" s="1"/>
  <c r="DK28" i="8" s="1"/>
  <c r="DK147" i="8"/>
  <c r="DK153" i="8" s="1"/>
  <c r="DN138" i="8"/>
  <c r="DM19" i="7"/>
  <c r="DA114" i="9"/>
  <c r="CX166" i="8"/>
  <c r="CX58" i="8" s="1"/>
  <c r="DJ22" i="8"/>
  <c r="DJ23" i="8" s="1"/>
  <c r="DJ25" i="8" s="1"/>
  <c r="DH39" i="8"/>
  <c r="DN173" i="8" l="1"/>
  <c r="DN29" i="8" s="1"/>
  <c r="DJ182" i="8"/>
  <c r="CX60" i="8"/>
  <c r="CX61" i="8" s="1"/>
  <c r="CX66" i="8"/>
  <c r="CX183" i="8" s="1"/>
  <c r="DG49" i="8"/>
  <c r="DG55" i="8"/>
  <c r="CX63" i="8"/>
  <c r="CX56" i="8"/>
  <c r="DI52" i="8"/>
  <c r="DI36" i="8"/>
  <c r="DI53" i="8"/>
  <c r="DI37" i="8"/>
  <c r="R8" i="8"/>
  <c r="DN17" i="7"/>
  <c r="DO12" i="7"/>
  <c r="DO20" i="7"/>
  <c r="DN130" i="8"/>
  <c r="DO107" i="8"/>
  <c r="DO99" i="8"/>
  <c r="DP37" i="7"/>
  <c r="DP38" i="7" s="1"/>
  <c r="DP40" i="7" s="1"/>
  <c r="DQ94" i="9"/>
  <c r="DO146" i="8" s="1"/>
  <c r="DO92" i="8"/>
  <c r="DP29" i="7"/>
  <c r="DP30" i="7" s="1"/>
  <c r="DP32" i="7" s="1"/>
  <c r="DQ87" i="9"/>
  <c r="DO139" i="8" s="1"/>
  <c r="DO103" i="8"/>
  <c r="DQ98" i="9"/>
  <c r="DO150" i="8" s="1"/>
  <c r="DQ100" i="9"/>
  <c r="DO152" i="8" s="1"/>
  <c r="DO105" i="8"/>
  <c r="DQ88" i="9"/>
  <c r="DO140" i="8" s="1"/>
  <c r="DO93" i="8"/>
  <c r="DP33" i="7"/>
  <c r="DP34" i="7" s="1"/>
  <c r="DP36" i="7" s="1"/>
  <c r="DP45" i="7"/>
  <c r="DP46" i="7" s="1"/>
  <c r="DP48" i="7" s="1"/>
  <c r="DO101" i="8"/>
  <c r="DQ96" i="9"/>
  <c r="DO148" i="8" s="1"/>
  <c r="DQ92" i="9"/>
  <c r="DO144" i="8" s="1"/>
  <c r="DO97" i="8"/>
  <c r="DO89" i="8"/>
  <c r="DR40" i="9"/>
  <c r="DQ44" i="9"/>
  <c r="DN64" i="9"/>
  <c r="DL110" i="8" s="1"/>
  <c r="DN60" i="9"/>
  <c r="DL106" i="8" s="1"/>
  <c r="DN62" i="9"/>
  <c r="DN95" i="9"/>
  <c r="DL100" i="8"/>
  <c r="DL134" i="8" s="1"/>
  <c r="DM41" i="7"/>
  <c r="DM42" i="7" s="1"/>
  <c r="DM44" i="7" s="1"/>
  <c r="DO104" i="8"/>
  <c r="DQ99" i="9"/>
  <c r="DO151" i="8" s="1"/>
  <c r="DQ89" i="9"/>
  <c r="DO141" i="8" s="1"/>
  <c r="DO94" i="8"/>
  <c r="DO129" i="8"/>
  <c r="DO33" i="8"/>
  <c r="DP9" i="7"/>
  <c r="DP10" i="7" s="1"/>
  <c r="DO98" i="8"/>
  <c r="DQ93" i="9"/>
  <c r="DO145" i="8" s="1"/>
  <c r="DO91" i="8"/>
  <c r="DP25" i="7"/>
  <c r="DP26" i="7" s="1"/>
  <c r="DP28" i="7" s="1"/>
  <c r="DQ86" i="9"/>
  <c r="DO96" i="8"/>
  <c r="DQ91" i="9"/>
  <c r="DO143" i="8" s="1"/>
  <c r="DQ90" i="9"/>
  <c r="DO142" i="8" s="1"/>
  <c r="DO95" i="8"/>
  <c r="DO102" i="8"/>
  <c r="DQ97" i="9"/>
  <c r="DO149" i="8" s="1"/>
  <c r="DK109" i="8"/>
  <c r="DK34" i="8" s="1"/>
  <c r="DK32" i="8"/>
  <c r="DL56" i="7"/>
  <c r="DL57" i="7" s="1"/>
  <c r="DK18" i="8"/>
  <c r="DM53" i="7"/>
  <c r="CY166" i="8"/>
  <c r="CY58" i="8" s="1"/>
  <c r="DB114" i="9"/>
  <c r="DJ37" i="8"/>
  <c r="DJ36" i="8"/>
  <c r="DJ53" i="8"/>
  <c r="DJ52" i="8"/>
  <c r="DH41" i="8"/>
  <c r="DH46" i="8"/>
  <c r="DQ146" i="9"/>
  <c r="DQ142" i="9" s="1"/>
  <c r="DG56" i="8" l="1"/>
  <c r="CX64" i="8"/>
  <c r="EM52" i="8"/>
  <c r="EM36" i="8"/>
  <c r="DI39" i="8"/>
  <c r="EM53" i="8"/>
  <c r="EM37" i="8"/>
  <c r="DN19" i="7"/>
  <c r="DO133" i="8"/>
  <c r="DO172" i="8"/>
  <c r="DP15" i="7"/>
  <c r="DO171" i="8"/>
  <c r="DR47" i="9"/>
  <c r="DP86" i="8"/>
  <c r="DR59" i="9"/>
  <c r="DR43" i="9"/>
  <c r="DR52" i="9"/>
  <c r="DR135" i="9"/>
  <c r="DR141" i="9" s="1"/>
  <c r="DR61" i="9" s="1"/>
  <c r="DR50" i="9"/>
  <c r="DR46" i="9"/>
  <c r="DR56" i="9"/>
  <c r="DR48" i="9"/>
  <c r="DR45" i="9"/>
  <c r="DR53" i="9"/>
  <c r="DR55" i="9"/>
  <c r="DR51" i="9"/>
  <c r="DR57" i="9"/>
  <c r="DR49" i="9"/>
  <c r="DO54" i="9"/>
  <c r="DR58" i="9"/>
  <c r="DR144" i="9"/>
  <c r="DR136" i="9"/>
  <c r="DR145" i="9"/>
  <c r="DO90" i="8"/>
  <c r="DL30" i="8"/>
  <c r="DL44" i="8"/>
  <c r="DL27" i="8"/>
  <c r="DN63" i="9"/>
  <c r="DL108" i="8"/>
  <c r="DN101" i="9"/>
  <c r="DN85" i="9" s="1"/>
  <c r="DL137" i="8" s="1"/>
  <c r="DL28" i="8" s="1"/>
  <c r="DL147" i="8"/>
  <c r="DL153" i="8" s="1"/>
  <c r="DL26" i="8"/>
  <c r="DM52" i="7"/>
  <c r="DL18" i="8" s="1"/>
  <c r="DM51" i="7"/>
  <c r="DO16" i="7"/>
  <c r="DO138" i="8"/>
  <c r="DK22" i="8"/>
  <c r="DK23" i="8" s="1"/>
  <c r="DL19" i="8"/>
  <c r="CY63" i="8"/>
  <c r="CY64" i="8" s="1"/>
  <c r="CY60" i="8"/>
  <c r="CY66" i="8"/>
  <c r="DC114" i="9"/>
  <c r="CZ166" i="8"/>
  <c r="CZ58" i="8" s="1"/>
  <c r="DH42" i="8"/>
  <c r="DH48" i="8"/>
  <c r="DO173" i="8" l="1"/>
  <c r="DO29" i="8" s="1"/>
  <c r="EM39" i="8"/>
  <c r="EM46" i="8" s="1"/>
  <c r="DI41" i="8"/>
  <c r="DI46" i="8"/>
  <c r="DN53" i="7"/>
  <c r="DO130" i="8"/>
  <c r="DP20" i="7"/>
  <c r="DP93" i="8"/>
  <c r="DR88" i="9"/>
  <c r="DP140" i="8" s="1"/>
  <c r="DQ33" i="7"/>
  <c r="DQ34" i="7" s="1"/>
  <c r="DQ36" i="7" s="1"/>
  <c r="DP33" i="8"/>
  <c r="DP129" i="8"/>
  <c r="DQ9" i="7"/>
  <c r="DQ10" i="7" s="1"/>
  <c r="DP105" i="8"/>
  <c r="DR100" i="9"/>
  <c r="DP152" i="8" s="1"/>
  <c r="DP89" i="8"/>
  <c r="DS40" i="9"/>
  <c r="DR44" i="9"/>
  <c r="DP98" i="8"/>
  <c r="DR93" i="9"/>
  <c r="DP145" i="8" s="1"/>
  <c r="DP107" i="8"/>
  <c r="DR91" i="9"/>
  <c r="DP143" i="8" s="1"/>
  <c r="DP96" i="8"/>
  <c r="DQ29" i="7"/>
  <c r="DQ30" i="7" s="1"/>
  <c r="DQ32" i="7" s="1"/>
  <c r="DP92" i="8"/>
  <c r="DR87" i="9"/>
  <c r="DP139" i="8" s="1"/>
  <c r="DP102" i="8"/>
  <c r="DR97" i="9"/>
  <c r="DP149" i="8" s="1"/>
  <c r="DR89" i="9"/>
  <c r="DP141" i="8" s="1"/>
  <c r="DP94" i="8"/>
  <c r="DR86" i="9"/>
  <c r="DQ25" i="7"/>
  <c r="DQ26" i="7" s="1"/>
  <c r="DQ28" i="7" s="1"/>
  <c r="DP91" i="8"/>
  <c r="DP99" i="8"/>
  <c r="DQ37" i="7"/>
  <c r="DQ38" i="7" s="1"/>
  <c r="DQ40" i="7" s="1"/>
  <c r="DR94" i="9"/>
  <c r="DP146" i="8" s="1"/>
  <c r="DR96" i="9"/>
  <c r="DP148" i="8" s="1"/>
  <c r="DP101" i="8"/>
  <c r="DQ45" i="7"/>
  <c r="DQ46" i="7" s="1"/>
  <c r="DQ48" i="7" s="1"/>
  <c r="DP97" i="8"/>
  <c r="DR92" i="9"/>
  <c r="DP144" i="8" s="1"/>
  <c r="DP103" i="8"/>
  <c r="DR98" i="9"/>
  <c r="DP150" i="8" s="1"/>
  <c r="DR90" i="9"/>
  <c r="DP142" i="8" s="1"/>
  <c r="DP95" i="8"/>
  <c r="DO60" i="9"/>
  <c r="DM106" i="8" s="1"/>
  <c r="DO64" i="9"/>
  <c r="DM110" i="8" s="1"/>
  <c r="DO62" i="9"/>
  <c r="DM100" i="8"/>
  <c r="DM134" i="8" s="1"/>
  <c r="DN41" i="7"/>
  <c r="DN42" i="7" s="1"/>
  <c r="DN44" i="7" s="1"/>
  <c r="DO95" i="9"/>
  <c r="DR99" i="9"/>
  <c r="DP151" i="8" s="1"/>
  <c r="DP104" i="8"/>
  <c r="DL109" i="8"/>
  <c r="DL34" i="8" s="1"/>
  <c r="DL32" i="8"/>
  <c r="DM56" i="7"/>
  <c r="DO17" i="7"/>
  <c r="DP12" i="7"/>
  <c r="DK182" i="8"/>
  <c r="DK25" i="8"/>
  <c r="CY61" i="8"/>
  <c r="CY183" i="8"/>
  <c r="DD114" i="9"/>
  <c r="DA166" i="8"/>
  <c r="DA58" i="8" s="1"/>
  <c r="CZ63" i="8"/>
  <c r="CZ60" i="8"/>
  <c r="CZ66" i="8"/>
  <c r="DH55" i="8"/>
  <c r="DH49" i="8"/>
  <c r="DR146" i="9"/>
  <c r="DR142" i="9" s="1"/>
  <c r="EM41" i="8" l="1"/>
  <c r="DI42" i="8"/>
  <c r="DI48" i="8"/>
  <c r="DM19" i="8"/>
  <c r="DP16" i="7"/>
  <c r="DP171" i="8"/>
  <c r="DP133" i="8"/>
  <c r="DP172" i="8"/>
  <c r="DQ15" i="7"/>
  <c r="DS43" i="9"/>
  <c r="DS57" i="9"/>
  <c r="DS59" i="9"/>
  <c r="DS52" i="9"/>
  <c r="DQ86" i="8"/>
  <c r="DS51" i="9"/>
  <c r="DS58" i="9"/>
  <c r="DS136" i="9"/>
  <c r="DS49" i="9"/>
  <c r="DS145" i="9"/>
  <c r="DS55" i="9"/>
  <c r="DS50" i="9"/>
  <c r="DS144" i="9"/>
  <c r="DS146" i="9" s="1"/>
  <c r="DS142" i="9" s="1"/>
  <c r="DS47" i="9"/>
  <c r="DS135" i="9"/>
  <c r="DS141" i="9" s="1"/>
  <c r="DS61" i="9" s="1"/>
  <c r="DS48" i="9"/>
  <c r="DS56" i="9"/>
  <c r="DS45" i="9"/>
  <c r="DP54" i="9"/>
  <c r="DS53" i="9"/>
  <c r="DS46" i="9"/>
  <c r="DP90" i="8"/>
  <c r="DP138" i="8"/>
  <c r="DM27" i="8"/>
  <c r="DM30" i="8"/>
  <c r="DM44" i="8"/>
  <c r="DO63" i="9"/>
  <c r="DM108" i="8"/>
  <c r="DM26" i="8"/>
  <c r="DN51" i="7"/>
  <c r="DN52" i="7"/>
  <c r="DO101" i="9"/>
  <c r="DO85" i="9" s="1"/>
  <c r="DM137" i="8" s="1"/>
  <c r="DM28" i="8" s="1"/>
  <c r="DM147" i="8"/>
  <c r="DM153" i="8" s="1"/>
  <c r="DM57" i="7"/>
  <c r="DL22" i="8"/>
  <c r="DO19" i="7"/>
  <c r="DK52" i="8"/>
  <c r="DK53" i="8"/>
  <c r="DK36" i="8"/>
  <c r="DK37" i="8"/>
  <c r="DE114" i="9"/>
  <c r="DB166" i="8"/>
  <c r="DB58" i="8" s="1"/>
  <c r="DA63" i="8"/>
  <c r="DA60" i="8"/>
  <c r="DA61" i="8" s="1"/>
  <c r="DA66" i="8"/>
  <c r="CZ64" i="8"/>
  <c r="DH56" i="8"/>
  <c r="CZ183" i="8"/>
  <c r="CZ61" i="8"/>
  <c r="DA183" i="8" l="1"/>
  <c r="EM42" i="8"/>
  <c r="EM48" i="8"/>
  <c r="DI49" i="8"/>
  <c r="DI55" i="8"/>
  <c r="DP17" i="7"/>
  <c r="DQ12" i="7"/>
  <c r="DP130" i="8"/>
  <c r="DQ20" i="7"/>
  <c r="DT40" i="9"/>
  <c r="DQ89" i="8"/>
  <c r="DS44" i="9"/>
  <c r="DS98" i="9"/>
  <c r="DQ150" i="8" s="1"/>
  <c r="DQ103" i="8"/>
  <c r="DS100" i="9"/>
  <c r="DQ152" i="8" s="1"/>
  <c r="DQ105" i="8"/>
  <c r="DQ98" i="8"/>
  <c r="DS93" i="9"/>
  <c r="DQ145" i="8" s="1"/>
  <c r="DQ129" i="8"/>
  <c r="DQ33" i="8"/>
  <c r="DR9" i="7"/>
  <c r="DR10" i="7" s="1"/>
  <c r="DS92" i="9"/>
  <c r="DQ144" i="8" s="1"/>
  <c r="DQ97" i="8"/>
  <c r="DS99" i="9"/>
  <c r="DQ151" i="8" s="1"/>
  <c r="DQ104" i="8"/>
  <c r="DQ95" i="8"/>
  <c r="DS90" i="9"/>
  <c r="DQ142" i="8" s="1"/>
  <c r="DQ101" i="8"/>
  <c r="DR45" i="7"/>
  <c r="DR46" i="7" s="1"/>
  <c r="DR48" i="7" s="1"/>
  <c r="DS96" i="9"/>
  <c r="DQ148" i="8" s="1"/>
  <c r="DS91" i="9"/>
  <c r="DQ143" i="8" s="1"/>
  <c r="DQ96" i="8"/>
  <c r="DQ93" i="8"/>
  <c r="DR33" i="7"/>
  <c r="DR34" i="7" s="1"/>
  <c r="DR36" i="7" s="1"/>
  <c r="DS88" i="9"/>
  <c r="DQ140" i="8" s="1"/>
  <c r="DQ107" i="8"/>
  <c r="DQ94" i="8"/>
  <c r="DS89" i="9"/>
  <c r="DQ141" i="8" s="1"/>
  <c r="DS97" i="9"/>
  <c r="DQ149" i="8" s="1"/>
  <c r="DQ102" i="8"/>
  <c r="DR25" i="7"/>
  <c r="DR26" i="7" s="1"/>
  <c r="DR28" i="7" s="1"/>
  <c r="DQ91" i="8"/>
  <c r="DS86" i="9"/>
  <c r="DP60" i="9"/>
  <c r="DN106" i="8" s="1"/>
  <c r="DP62" i="9"/>
  <c r="DP64" i="9"/>
  <c r="DN110" i="8" s="1"/>
  <c r="DP95" i="9"/>
  <c r="DO41" i="7"/>
  <c r="DO42" i="7" s="1"/>
  <c r="DO44" i="7" s="1"/>
  <c r="DN100" i="8"/>
  <c r="DN134" i="8" s="1"/>
  <c r="DQ99" i="8"/>
  <c r="DR37" i="7"/>
  <c r="DR38" i="7" s="1"/>
  <c r="DR40" i="7" s="1"/>
  <c r="DS94" i="9"/>
  <c r="DQ146" i="8" s="1"/>
  <c r="DR29" i="7"/>
  <c r="DR30" i="7" s="1"/>
  <c r="DR32" i="7" s="1"/>
  <c r="DS87" i="9"/>
  <c r="DQ139" i="8" s="1"/>
  <c r="DQ92" i="8"/>
  <c r="DM109" i="8"/>
  <c r="DM34" i="8" s="1"/>
  <c r="DM32" i="8"/>
  <c r="DN56" i="7"/>
  <c r="DN57" i="7" s="1"/>
  <c r="DM18" i="8"/>
  <c r="DL23" i="8"/>
  <c r="DO53" i="7"/>
  <c r="DF114" i="9"/>
  <c r="DC166" i="8"/>
  <c r="DC58" i="8" s="1"/>
  <c r="DB63" i="8"/>
  <c r="DB64" i="8" s="1"/>
  <c r="DB60" i="8"/>
  <c r="DB66" i="8"/>
  <c r="DP173" i="8"/>
  <c r="DP29" i="8" s="1"/>
  <c r="DA64" i="8"/>
  <c r="EM49" i="8" l="1"/>
  <c r="EM55" i="8"/>
  <c r="DI56" i="8"/>
  <c r="DP19" i="7"/>
  <c r="DT136" i="9"/>
  <c r="DT51" i="9"/>
  <c r="DT53" i="9"/>
  <c r="DT55" i="9"/>
  <c r="DT145" i="9"/>
  <c r="DT52" i="9"/>
  <c r="DT48" i="9"/>
  <c r="DT144" i="9"/>
  <c r="DT56" i="9"/>
  <c r="DT43" i="9"/>
  <c r="DT59" i="9"/>
  <c r="DR86" i="8"/>
  <c r="DQ54" i="9"/>
  <c r="DT57" i="9"/>
  <c r="DT49" i="9"/>
  <c r="DT45" i="9"/>
  <c r="DT46" i="9"/>
  <c r="DT58" i="9"/>
  <c r="DT50" i="9"/>
  <c r="DT47" i="9"/>
  <c r="DT135" i="9"/>
  <c r="DT141" i="9" s="1"/>
  <c r="DT61" i="9" s="1"/>
  <c r="DQ171" i="8"/>
  <c r="DQ133" i="8"/>
  <c r="DQ172" i="8"/>
  <c r="DR15" i="7"/>
  <c r="DQ90" i="8"/>
  <c r="DQ16" i="7"/>
  <c r="DQ138" i="8"/>
  <c r="DN30" i="8"/>
  <c r="DN27" i="8"/>
  <c r="DN44" i="8"/>
  <c r="DP63" i="9"/>
  <c r="DN109" i="8" s="1"/>
  <c r="DN34" i="8" s="1"/>
  <c r="DN108" i="8"/>
  <c r="DP101" i="9"/>
  <c r="DP85" i="9" s="1"/>
  <c r="DN137" i="8" s="1"/>
  <c r="DN28" i="8" s="1"/>
  <c r="DN147" i="8"/>
  <c r="DN153" i="8" s="1"/>
  <c r="DO51" i="7"/>
  <c r="DO52" i="7"/>
  <c r="DN26" i="8"/>
  <c r="DM22" i="8"/>
  <c r="DM23" i="8" s="1"/>
  <c r="DM25" i="8" s="1"/>
  <c r="DL182" i="8"/>
  <c r="DL25" i="8"/>
  <c r="DN19" i="8"/>
  <c r="DD166" i="8"/>
  <c r="DD58" i="8" s="1"/>
  <c r="DG114" i="9"/>
  <c r="DC63" i="8"/>
  <c r="DC60" i="8"/>
  <c r="DC61" i="8" s="1"/>
  <c r="DC66" i="8"/>
  <c r="DB61" i="8"/>
  <c r="DB183" i="8"/>
  <c r="DC183" i="8" l="1"/>
  <c r="DM182" i="8"/>
  <c r="DT146" i="9"/>
  <c r="DT142" i="9" s="1"/>
  <c r="EM56" i="8"/>
  <c r="DP53" i="7"/>
  <c r="DR97" i="8"/>
  <c r="DT92" i="9"/>
  <c r="DR144" i="8" s="1"/>
  <c r="DR99" i="8"/>
  <c r="DS37" i="7"/>
  <c r="DS38" i="7" s="1"/>
  <c r="DS40" i="7" s="1"/>
  <c r="DT94" i="9"/>
  <c r="DR146" i="8" s="1"/>
  <c r="DT96" i="9"/>
  <c r="DR148" i="8" s="1"/>
  <c r="DS45" i="7"/>
  <c r="DS46" i="7" s="1"/>
  <c r="DS48" i="7" s="1"/>
  <c r="DR101" i="8"/>
  <c r="DT93" i="9"/>
  <c r="DR145" i="8" s="1"/>
  <c r="DR98" i="8"/>
  <c r="DR94" i="8"/>
  <c r="DT89" i="9"/>
  <c r="DR141" i="8" s="1"/>
  <c r="DR102" i="8"/>
  <c r="DT97" i="9"/>
  <c r="DR149" i="8" s="1"/>
  <c r="DU40" i="9"/>
  <c r="DR89" i="8"/>
  <c r="DT44" i="9"/>
  <c r="DT100" i="9"/>
  <c r="DR152" i="8" s="1"/>
  <c r="DR105" i="8"/>
  <c r="DS9" i="7"/>
  <c r="DS10" i="7" s="1"/>
  <c r="DR129" i="8"/>
  <c r="DR33" i="8"/>
  <c r="DQ60" i="9"/>
  <c r="DO106" i="8" s="1"/>
  <c r="DQ62" i="9"/>
  <c r="DQ64" i="9"/>
  <c r="DO110" i="8" s="1"/>
  <c r="DQ95" i="9"/>
  <c r="DP41" i="7"/>
  <c r="DP42" i="7" s="1"/>
  <c r="DP44" i="7" s="1"/>
  <c r="DO100" i="8"/>
  <c r="DO134" i="8" s="1"/>
  <c r="DR103" i="8"/>
  <c r="DT98" i="9"/>
  <c r="DR150" i="8" s="1"/>
  <c r="DR95" i="8"/>
  <c r="DT90" i="9"/>
  <c r="DR142" i="8" s="1"/>
  <c r="DT86" i="9"/>
  <c r="DR91" i="8"/>
  <c r="DS25" i="7"/>
  <c r="DS26" i="7" s="1"/>
  <c r="DS28" i="7" s="1"/>
  <c r="DS29" i="7"/>
  <c r="DS30" i="7" s="1"/>
  <c r="DS32" i="7" s="1"/>
  <c r="DR92" i="8"/>
  <c r="DT87" i="9"/>
  <c r="DR139" i="8" s="1"/>
  <c r="DR104" i="8"/>
  <c r="DT99" i="9"/>
  <c r="DR151" i="8" s="1"/>
  <c r="DR96" i="8"/>
  <c r="DT91" i="9"/>
  <c r="DR143" i="8" s="1"/>
  <c r="DT88" i="9"/>
  <c r="DR140" i="8" s="1"/>
  <c r="DR93" i="8"/>
  <c r="DS33" i="7"/>
  <c r="DS34" i="7" s="1"/>
  <c r="DS36" i="7" s="1"/>
  <c r="DR107" i="8"/>
  <c r="DQ130" i="8"/>
  <c r="DR20" i="7"/>
  <c r="DR12" i="7"/>
  <c r="DQ17" i="7"/>
  <c r="DO56" i="7"/>
  <c r="DO57" i="7" s="1"/>
  <c r="DN18" i="8"/>
  <c r="DN32" i="8"/>
  <c r="DM37" i="8"/>
  <c r="DM52" i="8"/>
  <c r="DM53" i="8"/>
  <c r="DM36" i="8"/>
  <c r="DL53" i="8"/>
  <c r="DL37" i="8"/>
  <c r="DL36" i="8"/>
  <c r="DL52" i="8"/>
  <c r="DD63" i="8"/>
  <c r="DD64" i="8" s="1"/>
  <c r="DD60" i="8"/>
  <c r="DD66" i="8"/>
  <c r="DH114" i="9"/>
  <c r="DE166" i="8"/>
  <c r="DE58" i="8" s="1"/>
  <c r="DC64" i="8"/>
  <c r="DQ173" i="8"/>
  <c r="DQ29" i="8" s="1"/>
  <c r="DO19" i="8" l="1"/>
  <c r="DU47" i="9"/>
  <c r="DU56" i="9"/>
  <c r="DU55" i="9"/>
  <c r="DS86" i="8"/>
  <c r="DR54" i="9"/>
  <c r="DU136" i="9"/>
  <c r="DU57" i="9"/>
  <c r="DU59" i="9"/>
  <c r="DU46" i="9"/>
  <c r="DU145" i="9"/>
  <c r="DU45" i="9"/>
  <c r="DU135" i="9"/>
  <c r="DU141" i="9" s="1"/>
  <c r="DU61" i="9" s="1"/>
  <c r="DU53" i="9"/>
  <c r="DU50" i="9"/>
  <c r="DU144" i="9"/>
  <c r="DU48" i="9"/>
  <c r="DU52" i="9"/>
  <c r="DU43" i="9"/>
  <c r="DU51" i="9"/>
  <c r="DU58" i="9"/>
  <c r="DU49" i="9"/>
  <c r="DR171" i="8"/>
  <c r="DS15" i="7"/>
  <c r="DR172" i="8"/>
  <c r="DR133" i="8"/>
  <c r="DR90" i="8"/>
  <c r="DR16" i="7"/>
  <c r="DO44" i="8"/>
  <c r="DO30" i="8"/>
  <c r="DO27" i="8"/>
  <c r="DQ63" i="9"/>
  <c r="DO109" i="8" s="1"/>
  <c r="DO34" i="8" s="1"/>
  <c r="DO108" i="8"/>
  <c r="DQ101" i="9"/>
  <c r="DQ85" i="9" s="1"/>
  <c r="DO137" i="8" s="1"/>
  <c r="DO28" i="8" s="1"/>
  <c r="DO147" i="8"/>
  <c r="DO153" i="8" s="1"/>
  <c r="DP51" i="7"/>
  <c r="DP52" i="7"/>
  <c r="DO26" i="8"/>
  <c r="DR138" i="8"/>
  <c r="DQ19" i="7"/>
  <c r="DN22" i="8"/>
  <c r="DN23" i="8" s="1"/>
  <c r="DD61" i="8"/>
  <c r="DD183" i="8"/>
  <c r="DI114" i="9"/>
  <c r="DF166" i="8"/>
  <c r="DF58" i="8" s="1"/>
  <c r="DE63" i="8"/>
  <c r="DE60" i="8"/>
  <c r="DE66" i="8"/>
  <c r="DU146" i="9" l="1"/>
  <c r="DU142" i="9" s="1"/>
  <c r="DT33" i="7"/>
  <c r="DT34" i="7" s="1"/>
  <c r="DT36" i="7" s="1"/>
  <c r="DS93" i="8"/>
  <c r="DU88" i="9"/>
  <c r="DS140" i="8" s="1"/>
  <c r="DS102" i="8"/>
  <c r="DU97" i="9"/>
  <c r="DS149" i="8" s="1"/>
  <c r="DU96" i="9"/>
  <c r="DS148" i="8" s="1"/>
  <c r="DS101" i="8"/>
  <c r="DT45" i="7"/>
  <c r="DT46" i="7" s="1"/>
  <c r="DT48" i="7" s="1"/>
  <c r="DT9" i="7"/>
  <c r="DT10" i="7" s="1"/>
  <c r="DS129" i="8"/>
  <c r="DS33" i="8"/>
  <c r="DR60" i="9"/>
  <c r="DP106" i="8" s="1"/>
  <c r="DR64" i="9"/>
  <c r="DP110" i="8" s="1"/>
  <c r="DR62" i="9"/>
  <c r="DP100" i="8"/>
  <c r="DP134" i="8" s="1"/>
  <c r="DR95" i="9"/>
  <c r="DQ41" i="7"/>
  <c r="DQ42" i="7" s="1"/>
  <c r="DQ44" i="7" s="1"/>
  <c r="DU98" i="9"/>
  <c r="DS150" i="8" s="1"/>
  <c r="DS103" i="8"/>
  <c r="DS105" i="8"/>
  <c r="DU100" i="9"/>
  <c r="DS152" i="8" s="1"/>
  <c r="DS92" i="8"/>
  <c r="DU87" i="9"/>
  <c r="DS139" i="8" s="1"/>
  <c r="DT29" i="7"/>
  <c r="DT30" i="7" s="1"/>
  <c r="DT32" i="7" s="1"/>
  <c r="DU86" i="9"/>
  <c r="DS91" i="8"/>
  <c r="DT25" i="7"/>
  <c r="DT26" i="7" s="1"/>
  <c r="DT28" i="7" s="1"/>
  <c r="DS107" i="8"/>
  <c r="DS99" i="8"/>
  <c r="DT37" i="7"/>
  <c r="DT38" i="7" s="1"/>
  <c r="DT40" i="7" s="1"/>
  <c r="DU94" i="9"/>
  <c r="DS146" i="8" s="1"/>
  <c r="DU91" i="9"/>
  <c r="DS143" i="8" s="1"/>
  <c r="DS96" i="8"/>
  <c r="DS94" i="8"/>
  <c r="DU89" i="9"/>
  <c r="DS141" i="8" s="1"/>
  <c r="DU93" i="9"/>
  <c r="DS145" i="8" s="1"/>
  <c r="DS98" i="8"/>
  <c r="DS89" i="8"/>
  <c r="DV40" i="9"/>
  <c r="DU44" i="9"/>
  <c r="DS97" i="8"/>
  <c r="DU92" i="9"/>
  <c r="DS144" i="8" s="1"/>
  <c r="DS104" i="8"/>
  <c r="DU99" i="9"/>
  <c r="DS151" i="8" s="1"/>
  <c r="DS95" i="8"/>
  <c r="DU90" i="9"/>
  <c r="DS142" i="8" s="1"/>
  <c r="DS20" i="7"/>
  <c r="DR130" i="8"/>
  <c r="DS12" i="7"/>
  <c r="DR17" i="7"/>
  <c r="DP56" i="7"/>
  <c r="DP57" i="7" s="1"/>
  <c r="DO18" i="8"/>
  <c r="DO32" i="8"/>
  <c r="DQ53" i="7"/>
  <c r="DN182" i="8"/>
  <c r="DN25" i="8"/>
  <c r="DG166" i="8"/>
  <c r="DG58" i="8" s="1"/>
  <c r="DJ114" i="9"/>
  <c r="DF63" i="8"/>
  <c r="DF66" i="8"/>
  <c r="DF60" i="8"/>
  <c r="DE64" i="8"/>
  <c r="DE183" i="8"/>
  <c r="DR173" i="8"/>
  <c r="DR29" i="8" s="1"/>
  <c r="DE61" i="8"/>
  <c r="DF183" i="8" l="1"/>
  <c r="DS16" i="7"/>
  <c r="DP27" i="8"/>
  <c r="DP44" i="8"/>
  <c r="DP30" i="8"/>
  <c r="DR63" i="9"/>
  <c r="DP109" i="8" s="1"/>
  <c r="DP34" i="8" s="1"/>
  <c r="DP108" i="8"/>
  <c r="DP26" i="8"/>
  <c r="DR101" i="9"/>
  <c r="DR85" i="9" s="1"/>
  <c r="DP137" i="8" s="1"/>
  <c r="DP28" i="8" s="1"/>
  <c r="DP147" i="8"/>
  <c r="DP153" i="8" s="1"/>
  <c r="DQ52" i="7"/>
  <c r="DQ51" i="7"/>
  <c r="DS138" i="8"/>
  <c r="DS133" i="8"/>
  <c r="DS172" i="8"/>
  <c r="DT15" i="7"/>
  <c r="DS171" i="8"/>
  <c r="DS54" i="9"/>
  <c r="DV47" i="9"/>
  <c r="DV58" i="9"/>
  <c r="DV43" i="9"/>
  <c r="DV57" i="9"/>
  <c r="DV55" i="9"/>
  <c r="DV135" i="9"/>
  <c r="DV141" i="9" s="1"/>
  <c r="DV61" i="9" s="1"/>
  <c r="DV48" i="9"/>
  <c r="DV53" i="9"/>
  <c r="DV59" i="9"/>
  <c r="DV51" i="9"/>
  <c r="DV136" i="9"/>
  <c r="DV46" i="9"/>
  <c r="DV52" i="9"/>
  <c r="DT86" i="8"/>
  <c r="DV49" i="9"/>
  <c r="DV56" i="9"/>
  <c r="DV144" i="9"/>
  <c r="DV145" i="9"/>
  <c r="DV50" i="9"/>
  <c r="DV45" i="9"/>
  <c r="DS90" i="8"/>
  <c r="DR19" i="7"/>
  <c r="DO22" i="8"/>
  <c r="DO23" i="8" s="1"/>
  <c r="DP19" i="8"/>
  <c r="DN52" i="8"/>
  <c r="DN37" i="8"/>
  <c r="DN36" i="8"/>
  <c r="DN53" i="8"/>
  <c r="DG63" i="8"/>
  <c r="DG66" i="8"/>
  <c r="DG60" i="8"/>
  <c r="DH166" i="8"/>
  <c r="DH58" i="8" s="1"/>
  <c r="DK114" i="9"/>
  <c r="DI166" i="8" s="1"/>
  <c r="DI58" i="8" s="1"/>
  <c r="DF64" i="8"/>
  <c r="DF61" i="8"/>
  <c r="DS173" i="8" l="1"/>
  <c r="DS29" i="8" s="1"/>
  <c r="DV146" i="9"/>
  <c r="DV142" i="9" s="1"/>
  <c r="EM58" i="8"/>
  <c r="DT12" i="7"/>
  <c r="DS17" i="7"/>
  <c r="DP32" i="8"/>
  <c r="DP18" i="8"/>
  <c r="DQ56" i="7"/>
  <c r="DQ57" i="7" s="1"/>
  <c r="DS130" i="8"/>
  <c r="DT20" i="7"/>
  <c r="DS60" i="9"/>
  <c r="DQ106" i="8" s="1"/>
  <c r="DS64" i="9"/>
  <c r="DQ110" i="8" s="1"/>
  <c r="DS62" i="9"/>
  <c r="DS95" i="9"/>
  <c r="DR41" i="7"/>
  <c r="DR42" i="7" s="1"/>
  <c r="DR44" i="7" s="1"/>
  <c r="DQ100" i="8"/>
  <c r="DQ134" i="8" s="1"/>
  <c r="DT93" i="8"/>
  <c r="DV88" i="9"/>
  <c r="DT140" i="8" s="1"/>
  <c r="DU33" i="7"/>
  <c r="DU34" i="7" s="1"/>
  <c r="DU36" i="7" s="1"/>
  <c r="DV99" i="9"/>
  <c r="DT151" i="8" s="1"/>
  <c r="DT104" i="8"/>
  <c r="DW40" i="9"/>
  <c r="DT89" i="8"/>
  <c r="DV44" i="9"/>
  <c r="DV98" i="9"/>
  <c r="DT150" i="8" s="1"/>
  <c r="DT103" i="8"/>
  <c r="DV96" i="9"/>
  <c r="DT148" i="8" s="1"/>
  <c r="DU45" i="7"/>
  <c r="DU46" i="7" s="1"/>
  <c r="DU48" i="7" s="1"/>
  <c r="DT101" i="8"/>
  <c r="DT107" i="8"/>
  <c r="DT94" i="8"/>
  <c r="DV89" i="9"/>
  <c r="DT141" i="8" s="1"/>
  <c r="DT99" i="8"/>
  <c r="DV94" i="9"/>
  <c r="DT146" i="8" s="1"/>
  <c r="DU37" i="7"/>
  <c r="DU38" i="7" s="1"/>
  <c r="DU40" i="7" s="1"/>
  <c r="DT105" i="8"/>
  <c r="DV100" i="9"/>
  <c r="DT152" i="8" s="1"/>
  <c r="DV92" i="9"/>
  <c r="DT144" i="8" s="1"/>
  <c r="DT97" i="8"/>
  <c r="DV87" i="9"/>
  <c r="DT139" i="8" s="1"/>
  <c r="DT92" i="8"/>
  <c r="DU29" i="7"/>
  <c r="DU30" i="7" s="1"/>
  <c r="DU32" i="7" s="1"/>
  <c r="DT98" i="8"/>
  <c r="DV93" i="9"/>
  <c r="DT145" i="8" s="1"/>
  <c r="DU9" i="7"/>
  <c r="DU10" i="7" s="1"/>
  <c r="DT129" i="8"/>
  <c r="DT33" i="8"/>
  <c r="DT95" i="8"/>
  <c r="DV90" i="9"/>
  <c r="DT142" i="8" s="1"/>
  <c r="DT102" i="8"/>
  <c r="DV97" i="9"/>
  <c r="DT149" i="8" s="1"/>
  <c r="DT96" i="8"/>
  <c r="DV91" i="9"/>
  <c r="DT143" i="8" s="1"/>
  <c r="DT91" i="8"/>
  <c r="DU25" i="7"/>
  <c r="DU26" i="7" s="1"/>
  <c r="DU28" i="7" s="1"/>
  <c r="DV86" i="9"/>
  <c r="DR53" i="7"/>
  <c r="DO182" i="8"/>
  <c r="DO25" i="8"/>
  <c r="DG64" i="8"/>
  <c r="DG183" i="8"/>
  <c r="DG61" i="8"/>
  <c r="DH63" i="8"/>
  <c r="DH66" i="8"/>
  <c r="DH60" i="8"/>
  <c r="DI63" i="8"/>
  <c r="DI66" i="8"/>
  <c r="R9" i="8" s="1"/>
  <c r="DI60" i="8"/>
  <c r="DI61" i="8" s="1"/>
  <c r="EM60" i="8" l="1"/>
  <c r="EM61" i="8" s="1"/>
  <c r="EM63" i="8"/>
  <c r="EM64" i="8" s="1"/>
  <c r="DS19" i="7"/>
  <c r="DP22" i="8"/>
  <c r="DP23" i="8" s="1"/>
  <c r="DQ30" i="8"/>
  <c r="DQ44" i="8"/>
  <c r="DQ27" i="8"/>
  <c r="DS63" i="9"/>
  <c r="DQ109" i="8" s="1"/>
  <c r="DQ34" i="8" s="1"/>
  <c r="DQ108" i="8"/>
  <c r="DS101" i="9"/>
  <c r="DS85" i="9" s="1"/>
  <c r="DQ137" i="8" s="1"/>
  <c r="DQ28" i="8" s="1"/>
  <c r="DQ147" i="8"/>
  <c r="DQ153" i="8" s="1"/>
  <c r="DR52" i="7"/>
  <c r="DQ18" i="8" s="1"/>
  <c r="DR51" i="7"/>
  <c r="DQ26" i="8"/>
  <c r="DW46" i="9"/>
  <c r="DW51" i="9"/>
  <c r="DW145" i="9"/>
  <c r="DW144" i="9"/>
  <c r="DT54" i="9"/>
  <c r="DW47" i="9"/>
  <c r="DW57" i="9"/>
  <c r="DW48" i="9"/>
  <c r="DW52" i="9"/>
  <c r="DW50" i="9"/>
  <c r="DU86" i="8"/>
  <c r="DW58" i="9"/>
  <c r="DX40" i="9"/>
  <c r="DW136" i="9"/>
  <c r="DW55" i="9"/>
  <c r="DW59" i="9"/>
  <c r="DW43" i="9"/>
  <c r="DW49" i="9"/>
  <c r="DW56" i="9"/>
  <c r="DW135" i="9"/>
  <c r="DW141" i="9" s="1"/>
  <c r="DW61" i="9" s="1"/>
  <c r="DW45" i="9"/>
  <c r="DW53" i="9"/>
  <c r="DT172" i="8"/>
  <c r="DT133" i="8"/>
  <c r="DT171" i="8"/>
  <c r="DT173" i="8" s="1"/>
  <c r="DT29" i="8" s="1"/>
  <c r="DU15" i="7"/>
  <c r="DT90" i="8"/>
  <c r="DT16" i="7"/>
  <c r="DT138" i="8"/>
  <c r="DQ19" i="8"/>
  <c r="DO36" i="8"/>
  <c r="DO37" i="8"/>
  <c r="DO53" i="8"/>
  <c r="DO52" i="8"/>
  <c r="DH64" i="8"/>
  <c r="DH61" i="8"/>
  <c r="R11" i="8"/>
  <c r="DI64" i="8"/>
  <c r="R10" i="8"/>
  <c r="DH183" i="8"/>
  <c r="DI183" i="8" s="1"/>
  <c r="EM66" i="8"/>
  <c r="DW146" i="9" l="1"/>
  <c r="DW142" i="9" s="1"/>
  <c r="DU89" i="8"/>
  <c r="DW44" i="9"/>
  <c r="DU90" i="8" s="1"/>
  <c r="DS53" i="7"/>
  <c r="DP182" i="8"/>
  <c r="DP25" i="8"/>
  <c r="DR56" i="7"/>
  <c r="DQ32" i="8"/>
  <c r="AY4" i="47"/>
  <c r="DV29" i="7"/>
  <c r="DV30" i="7" s="1"/>
  <c r="DV32" i="7" s="1"/>
  <c r="EO32" i="7" s="1"/>
  <c r="EP32" i="7" s="1"/>
  <c r="DW87" i="9"/>
  <c r="DU139" i="8" s="1"/>
  <c r="DU92" i="8"/>
  <c r="AY9" i="47"/>
  <c r="DW92" i="9"/>
  <c r="DU144" i="8" s="1"/>
  <c r="DU97" i="8"/>
  <c r="DT60" i="9"/>
  <c r="DR106" i="8" s="1"/>
  <c r="DT62" i="9"/>
  <c r="DT64" i="9"/>
  <c r="DR110" i="8" s="1"/>
  <c r="DS41" i="7"/>
  <c r="DS42" i="7" s="1"/>
  <c r="DS44" i="7" s="1"/>
  <c r="DT95" i="9"/>
  <c r="DR100" i="8"/>
  <c r="DR134" i="8" s="1"/>
  <c r="AY5" i="47"/>
  <c r="DU93" i="8"/>
  <c r="DW88" i="9"/>
  <c r="DU140" i="8" s="1"/>
  <c r="DV33" i="7"/>
  <c r="DV34" i="7" s="1"/>
  <c r="DV36" i="7" s="1"/>
  <c r="EO36" i="7" s="1"/>
  <c r="EP36" i="7" s="1"/>
  <c r="AY15" i="47"/>
  <c r="DW98" i="9"/>
  <c r="DU150" i="8" s="1"/>
  <c r="DU103" i="8"/>
  <c r="AY6" i="47"/>
  <c r="DW89" i="9"/>
  <c r="DU141" i="8" s="1"/>
  <c r="DU94" i="8"/>
  <c r="AY10" i="47"/>
  <c r="DU98" i="8"/>
  <c r="DW93" i="9"/>
  <c r="DU145" i="8" s="1"/>
  <c r="AY8" i="47"/>
  <c r="DW91" i="9"/>
  <c r="DU143" i="8" s="1"/>
  <c r="DU96" i="8"/>
  <c r="DV9" i="7"/>
  <c r="DV10" i="7" s="1"/>
  <c r="DU129" i="8"/>
  <c r="DU33" i="8"/>
  <c r="AY16" i="47"/>
  <c r="DU104" i="8"/>
  <c r="DW99" i="9"/>
  <c r="DU151" i="8" s="1"/>
  <c r="DU54" i="9"/>
  <c r="DY40" i="9"/>
  <c r="AY13" i="47"/>
  <c r="DU101" i="8"/>
  <c r="DW96" i="9"/>
  <c r="DU148" i="8" s="1"/>
  <c r="DV45" i="7"/>
  <c r="DV46" i="7" s="1"/>
  <c r="DV48" i="7" s="1"/>
  <c r="EO48" i="7" s="1"/>
  <c r="EP48" i="7" s="1"/>
  <c r="AY17" i="47"/>
  <c r="DU105" i="8"/>
  <c r="DW100" i="9"/>
  <c r="DU152" i="8" s="1"/>
  <c r="AY7" i="47"/>
  <c r="DU95" i="8"/>
  <c r="DW90" i="9"/>
  <c r="DU142" i="8" s="1"/>
  <c r="AY14" i="47"/>
  <c r="DW97" i="9"/>
  <c r="DU149" i="8" s="1"/>
  <c r="DU102" i="8"/>
  <c r="DU107" i="8"/>
  <c r="AY3" i="47"/>
  <c r="DV25" i="7"/>
  <c r="DV26" i="7" s="1"/>
  <c r="DV28" i="7" s="1"/>
  <c r="EO28" i="7" s="1"/>
  <c r="EP28" i="7" s="1"/>
  <c r="DW86" i="9"/>
  <c r="DU91" i="8"/>
  <c r="AY11" i="47"/>
  <c r="DW94" i="9"/>
  <c r="DU146" i="8" s="1"/>
  <c r="DV37" i="7"/>
  <c r="DV38" i="7" s="1"/>
  <c r="DV40" i="7" s="1"/>
  <c r="EO40" i="7" s="1"/>
  <c r="EP40" i="7" s="1"/>
  <c r="DU99" i="8"/>
  <c r="DT130" i="8"/>
  <c r="DU20" i="7"/>
  <c r="DU12" i="7"/>
  <c r="DT17" i="7"/>
  <c r="R12" i="8"/>
  <c r="DU172" i="8" l="1"/>
  <c r="DU171" i="8"/>
  <c r="DU133" i="8"/>
  <c r="DV15" i="7"/>
  <c r="DR19" i="8"/>
  <c r="DP52" i="8"/>
  <c r="DP37" i="8"/>
  <c r="DP53" i="8"/>
  <c r="DP36" i="8"/>
  <c r="DR57" i="7"/>
  <c r="DQ22" i="8"/>
  <c r="DR44" i="8"/>
  <c r="DR30" i="8"/>
  <c r="DR27" i="8"/>
  <c r="DT63" i="9"/>
  <c r="DR109" i="8" s="1"/>
  <c r="DR34" i="8" s="1"/>
  <c r="DR108" i="8"/>
  <c r="DS51" i="7"/>
  <c r="DS52" i="7"/>
  <c r="DR18" i="8" s="1"/>
  <c r="DT101" i="9"/>
  <c r="DT85" i="9" s="1"/>
  <c r="DR137" i="8" s="1"/>
  <c r="DR28" i="8" s="1"/>
  <c r="DR147" i="8"/>
  <c r="DR153" i="8" s="1"/>
  <c r="DR26" i="8"/>
  <c r="EO9" i="7"/>
  <c r="EP9" i="7" s="1"/>
  <c r="DV16" i="7"/>
  <c r="DV17" i="7" s="1"/>
  <c r="DV19" i="7" s="1"/>
  <c r="DV53" i="7" s="1"/>
  <c r="DU19" i="8" s="1"/>
  <c r="DU16" i="7"/>
  <c r="DW129" i="8"/>
  <c r="EI129" i="8" s="1"/>
  <c r="EN33" i="8"/>
  <c r="EO33" i="8" s="1"/>
  <c r="EQ33" i="8" s="1"/>
  <c r="DU60" i="9"/>
  <c r="DS106" i="8" s="1"/>
  <c r="DU64" i="9"/>
  <c r="DS110" i="8" s="1"/>
  <c r="DU62" i="9"/>
  <c r="DT41" i="7"/>
  <c r="DT42" i="7" s="1"/>
  <c r="DT44" i="7" s="1"/>
  <c r="DU95" i="9"/>
  <c r="DS100" i="8"/>
  <c r="DS134" i="8" s="1"/>
  <c r="DV54" i="9"/>
  <c r="DZ40" i="9"/>
  <c r="DU138" i="8"/>
  <c r="DT19" i="7"/>
  <c r="DU173" i="8" l="1"/>
  <c r="DU29" i="8" s="1"/>
  <c r="EN29" i="8" s="1"/>
  <c r="EO29" i="8" s="1"/>
  <c r="EQ29" i="8" s="1"/>
  <c r="EO15" i="7"/>
  <c r="DV20" i="7"/>
  <c r="DW133" i="8"/>
  <c r="DU130" i="8"/>
  <c r="DW130" i="8" s="1"/>
  <c r="EI130" i="8" s="1"/>
  <c r="DQ23" i="8"/>
  <c r="DS56" i="7"/>
  <c r="DR32" i="8"/>
  <c r="EO10" i="7"/>
  <c r="EP10" i="7" s="1"/>
  <c r="DV12" i="7"/>
  <c r="EO16" i="7"/>
  <c r="EP16" i="7" s="1"/>
  <c r="DU17" i="7"/>
  <c r="DS44" i="8"/>
  <c r="DS30" i="8"/>
  <c r="DS27" i="8"/>
  <c r="DU63" i="9"/>
  <c r="DS109" i="8" s="1"/>
  <c r="DS34" i="8" s="1"/>
  <c r="DS108" i="8"/>
  <c r="DT52" i="7"/>
  <c r="DT51" i="7"/>
  <c r="DT56" i="7" s="1"/>
  <c r="DS22" i="8" s="1"/>
  <c r="DU101" i="9"/>
  <c r="DU85" i="9" s="1"/>
  <c r="DS137" i="8" s="1"/>
  <c r="DS28" i="8" s="1"/>
  <c r="DS147" i="8"/>
  <c r="DS153" i="8" s="1"/>
  <c r="DV60" i="9"/>
  <c r="DT106" i="8" s="1"/>
  <c r="DV62" i="9"/>
  <c r="DV64" i="9"/>
  <c r="DT110" i="8" s="1"/>
  <c r="DV95" i="9"/>
  <c r="DT100" i="8"/>
  <c r="DT134" i="8" s="1"/>
  <c r="DT26" i="8" s="1"/>
  <c r="DU41" i="7"/>
  <c r="DU42" i="7" s="1"/>
  <c r="DU44" i="7" s="1"/>
  <c r="DW54" i="9"/>
  <c r="EA40" i="9"/>
  <c r="EB40" i="9" s="1"/>
  <c r="DT53" i="7"/>
  <c r="DS26" i="8"/>
  <c r="DQ182" i="8" l="1"/>
  <c r="DQ25" i="8"/>
  <c r="DS57" i="7"/>
  <c r="DR22" i="8"/>
  <c r="EO12" i="7"/>
  <c r="EP12" i="7" s="1"/>
  <c r="EO17" i="7"/>
  <c r="EP17" i="7" s="1"/>
  <c r="DU19" i="7"/>
  <c r="DS32" i="8"/>
  <c r="DS18" i="8"/>
  <c r="DT57" i="7"/>
  <c r="DT44" i="8"/>
  <c r="DT27" i="8"/>
  <c r="DT30" i="8"/>
  <c r="DV63" i="9"/>
  <c r="DT109" i="8" s="1"/>
  <c r="DT34" i="8" s="1"/>
  <c r="DT108" i="8"/>
  <c r="DV101" i="9"/>
  <c r="DV85" i="9" s="1"/>
  <c r="DT137" i="8" s="1"/>
  <c r="DT28" i="8" s="1"/>
  <c r="DT147" i="8"/>
  <c r="DT153" i="8" s="1"/>
  <c r="DU51" i="7"/>
  <c r="DU52" i="7"/>
  <c r="DT18" i="8" s="1"/>
  <c r="DW62" i="9"/>
  <c r="DW60" i="9"/>
  <c r="DU106" i="8" s="1"/>
  <c r="DW64" i="9"/>
  <c r="DU110" i="8" s="1"/>
  <c r="AY12" i="47"/>
  <c r="DW95" i="9"/>
  <c r="DU100" i="8"/>
  <c r="DU134" i="8" s="1"/>
  <c r="DV41" i="7"/>
  <c r="DV42" i="7" s="1"/>
  <c r="DV44" i="7" s="1"/>
  <c r="DS19" i="8"/>
  <c r="DQ37" i="8" l="1"/>
  <c r="DQ36" i="8"/>
  <c r="DQ53" i="8"/>
  <c r="DQ52" i="8"/>
  <c r="DR23" i="8"/>
  <c r="EO19" i="7"/>
  <c r="EP19" i="7" s="1"/>
  <c r="DU53" i="7"/>
  <c r="DS23" i="8"/>
  <c r="DS25" i="8" s="1"/>
  <c r="DU56" i="7"/>
  <c r="DW63" i="9"/>
  <c r="DU108" i="8"/>
  <c r="DU44" i="8"/>
  <c r="DU27" i="8"/>
  <c r="EN27" i="8" s="1"/>
  <c r="EO27" i="8" s="1"/>
  <c r="EQ27" i="8" s="1"/>
  <c r="DU30" i="8"/>
  <c r="EN30" i="8" s="1"/>
  <c r="EO30" i="8" s="1"/>
  <c r="EQ30" i="8" s="1"/>
  <c r="DK35" i="8"/>
  <c r="DK39" i="8" s="1"/>
  <c r="DL35" i="8"/>
  <c r="DL39" i="8" s="1"/>
  <c r="DJ35" i="8"/>
  <c r="DP35" i="8"/>
  <c r="DP39" i="8" s="1"/>
  <c r="DU35" i="8"/>
  <c r="DN35" i="8"/>
  <c r="DN39" i="8" s="1"/>
  <c r="DM35" i="8"/>
  <c r="DM39" i="8" s="1"/>
  <c r="DT35" i="8"/>
  <c r="DR35" i="8"/>
  <c r="DO35" i="8"/>
  <c r="DO39" i="8" s="1"/>
  <c r="DS35" i="8"/>
  <c r="DQ35" i="8"/>
  <c r="DW101" i="9"/>
  <c r="DW85" i="9" s="1"/>
  <c r="DU137" i="8" s="1"/>
  <c r="DU28" i="8" s="1"/>
  <c r="EN28" i="8" s="1"/>
  <c r="EO28" i="8" s="1"/>
  <c r="EQ28" i="8" s="1"/>
  <c r="DU147" i="8"/>
  <c r="DU153" i="8" s="1"/>
  <c r="DW134" i="8"/>
  <c r="EI134" i="8" s="1"/>
  <c r="DU26" i="8"/>
  <c r="DT32" i="8"/>
  <c r="DV52" i="7"/>
  <c r="DV51" i="7"/>
  <c r="EO44" i="7"/>
  <c r="EP44" i="7" s="1"/>
  <c r="DR182" i="8" l="1"/>
  <c r="DS182" i="8" s="1"/>
  <c r="DR25" i="8"/>
  <c r="EO53" i="7"/>
  <c r="EP53" i="7" s="1"/>
  <c r="DT19" i="8"/>
  <c r="DU57" i="7"/>
  <c r="DS52" i="8"/>
  <c r="DS37" i="8"/>
  <c r="DS36" i="8"/>
  <c r="DS53" i="8"/>
  <c r="DT22" i="8"/>
  <c r="DU109" i="8"/>
  <c r="DU34" i="8" s="1"/>
  <c r="DL114" i="9"/>
  <c r="DK41" i="8"/>
  <c r="DK46" i="8"/>
  <c r="DL41" i="8"/>
  <c r="DL46" i="8"/>
  <c r="DJ39" i="8"/>
  <c r="EN35" i="8"/>
  <c r="EO35" i="8" s="1"/>
  <c r="EQ35" i="8" s="1"/>
  <c r="DP41" i="8"/>
  <c r="DP46" i="8"/>
  <c r="DN41" i="8"/>
  <c r="DN46" i="8"/>
  <c r="DM41" i="8"/>
  <c r="DM46" i="8"/>
  <c r="DO41" i="8"/>
  <c r="DO46" i="8"/>
  <c r="EN26" i="8"/>
  <c r="DU32" i="8"/>
  <c r="EO52" i="7"/>
  <c r="EP52" i="7" s="1"/>
  <c r="DU18" i="8"/>
  <c r="DQ39" i="8"/>
  <c r="EN44" i="8"/>
  <c r="EO44" i="8" s="1"/>
  <c r="EQ44" i="8" s="1"/>
  <c r="DV56" i="7"/>
  <c r="EO51" i="7"/>
  <c r="EP51" i="7" s="1"/>
  <c r="DU22" i="8" l="1"/>
  <c r="EO56" i="7"/>
  <c r="EP56" i="7" s="1"/>
  <c r="DV57" i="7"/>
  <c r="EO57" i="7" s="1"/>
  <c r="EP57" i="7" s="1"/>
  <c r="DR53" i="8"/>
  <c r="DR52" i="8"/>
  <c r="DR36" i="8"/>
  <c r="DR37" i="8"/>
  <c r="EN19" i="8"/>
  <c r="EO19" i="8" s="1"/>
  <c r="EQ19" i="8" s="1"/>
  <c r="DT23" i="8"/>
  <c r="EN34" i="8"/>
  <c r="EO34" i="8" s="1"/>
  <c r="EQ34" i="8" s="1"/>
  <c r="DM114" i="9"/>
  <c r="DJ166" i="8"/>
  <c r="DJ58" i="8" s="1"/>
  <c r="DK48" i="8"/>
  <c r="DK42" i="8"/>
  <c r="DL48" i="8"/>
  <c r="DL42" i="8"/>
  <c r="DJ41" i="8"/>
  <c r="DJ46" i="8"/>
  <c r="DP42" i="8"/>
  <c r="DP48" i="8"/>
  <c r="DN42" i="8"/>
  <c r="DN48" i="8"/>
  <c r="DM48" i="8"/>
  <c r="DM42" i="8"/>
  <c r="DO42" i="8"/>
  <c r="DO48" i="8"/>
  <c r="EO26" i="8"/>
  <c r="EN32" i="8"/>
  <c r="EN18" i="8"/>
  <c r="DQ41" i="8"/>
  <c r="DQ46" i="8"/>
  <c r="DS39" i="8"/>
  <c r="EN22" i="8" l="1"/>
  <c r="DU23" i="8"/>
  <c r="DU25" i="8" s="1"/>
  <c r="DR39" i="8"/>
  <c r="DT182" i="8"/>
  <c r="DT25" i="8"/>
  <c r="DK166" i="8"/>
  <c r="DK58" i="8" s="1"/>
  <c r="DN114" i="9"/>
  <c r="DK55" i="8"/>
  <c r="DK49" i="8"/>
  <c r="DL49" i="8"/>
  <c r="DL55" i="8"/>
  <c r="DL56" i="8" s="1"/>
  <c r="DJ48" i="8"/>
  <c r="DJ42" i="8"/>
  <c r="DP49" i="8"/>
  <c r="DP55" i="8"/>
  <c r="DN49" i="8"/>
  <c r="DN55" i="8"/>
  <c r="DM49" i="8"/>
  <c r="DM55" i="8"/>
  <c r="DO55" i="8"/>
  <c r="DO49" i="8"/>
  <c r="EQ26" i="8"/>
  <c r="EO32" i="8"/>
  <c r="EO18" i="8"/>
  <c r="DQ42" i="8"/>
  <c r="DQ48" i="8"/>
  <c r="DS41" i="8"/>
  <c r="DS46" i="8"/>
  <c r="S8" i="8" l="1"/>
  <c r="T8" i="8" s="1"/>
  <c r="DU182" i="8"/>
  <c r="EO22" i="8"/>
  <c r="EN23" i="8"/>
  <c r="EN25" i="8" s="1"/>
  <c r="DU52" i="8"/>
  <c r="DU37" i="8"/>
  <c r="DU53" i="8"/>
  <c r="DU36" i="8"/>
  <c r="DK66" i="8"/>
  <c r="DK60" i="8"/>
  <c r="DK61" i="8" s="1"/>
  <c r="DR41" i="8"/>
  <c r="DR46" i="8"/>
  <c r="DT53" i="8"/>
  <c r="DT36" i="8"/>
  <c r="DT37" i="8"/>
  <c r="DT52" i="8"/>
  <c r="DL166" i="8"/>
  <c r="DL58" i="8" s="1"/>
  <c r="DO114" i="9"/>
  <c r="DK56" i="8"/>
  <c r="DK63" i="8"/>
  <c r="DK64" i="8" s="1"/>
  <c r="DJ55" i="8"/>
  <c r="DJ49" i="8"/>
  <c r="DJ66" i="8"/>
  <c r="DJ60" i="8"/>
  <c r="DP56" i="8"/>
  <c r="DN56" i="8"/>
  <c r="DM56" i="8"/>
  <c r="DO56" i="8"/>
  <c r="EQ32" i="8"/>
  <c r="EQ18" i="8"/>
  <c r="DQ49" i="8"/>
  <c r="DQ55" i="8"/>
  <c r="DS42" i="8"/>
  <c r="DS48" i="8"/>
  <c r="EQ22" i="8" l="1"/>
  <c r="EO23" i="8"/>
  <c r="DU39" i="8"/>
  <c r="DR48" i="8"/>
  <c r="DR42" i="8"/>
  <c r="EN53" i="8"/>
  <c r="EO53" i="8" s="1"/>
  <c r="EQ53" i="8" s="1"/>
  <c r="EN36" i="8"/>
  <c r="DT39" i="8"/>
  <c r="EN37" i="8"/>
  <c r="EO37" i="8" s="1"/>
  <c r="EQ37" i="8" s="1"/>
  <c r="EN52" i="8"/>
  <c r="EO52" i="8" s="1"/>
  <c r="EQ52" i="8" s="1"/>
  <c r="DL60" i="8"/>
  <c r="DL66" i="8"/>
  <c r="DL63" i="8"/>
  <c r="DL64" i="8" s="1"/>
  <c r="DP114" i="9"/>
  <c r="DM166" i="8"/>
  <c r="DM58" i="8" s="1"/>
  <c r="DJ63" i="8"/>
  <c r="DJ56" i="8"/>
  <c r="DJ183" i="8"/>
  <c r="DK183" i="8" s="1"/>
  <c r="DJ61" i="8"/>
  <c r="DQ56" i="8"/>
  <c r="DS49" i="8"/>
  <c r="DS55" i="8"/>
  <c r="EO25" i="8" l="1"/>
  <c r="EQ25" i="8" s="1"/>
  <c r="EQ23" i="8"/>
  <c r="DU41" i="8"/>
  <c r="DU46" i="8"/>
  <c r="DL183" i="8"/>
  <c r="DR49" i="8"/>
  <c r="DR55" i="8"/>
  <c r="EN39" i="8"/>
  <c r="EN46" i="8" s="1"/>
  <c r="EO36" i="8"/>
  <c r="DT41" i="8"/>
  <c r="DT46" i="8"/>
  <c r="DN166" i="8"/>
  <c r="DN58" i="8" s="1"/>
  <c r="DQ114" i="9"/>
  <c r="DM63" i="8"/>
  <c r="DM64" i="8" s="1"/>
  <c r="DM60" i="8"/>
  <c r="DM61" i="8" s="1"/>
  <c r="DM66" i="8"/>
  <c r="DJ64" i="8"/>
  <c r="DS56" i="8"/>
  <c r="DL61" i="8"/>
  <c r="DU42" i="8" l="1"/>
  <c r="DU48" i="8"/>
  <c r="DM183" i="8"/>
  <c r="DR56" i="8"/>
  <c r="EQ36" i="8"/>
  <c r="EO39" i="8"/>
  <c r="EN41" i="8"/>
  <c r="DT42" i="8"/>
  <c r="DT48" i="8"/>
  <c r="DN63" i="8"/>
  <c r="DN60" i="8"/>
  <c r="DN66" i="8"/>
  <c r="DR114" i="9"/>
  <c r="DO166" i="8"/>
  <c r="DO58" i="8" s="1"/>
  <c r="DU49" i="8" l="1"/>
  <c r="DU55" i="8"/>
  <c r="DU56" i="8" s="1"/>
  <c r="EQ39" i="8"/>
  <c r="EO46" i="8"/>
  <c r="EQ46" i="8" s="1"/>
  <c r="EO41" i="8"/>
  <c r="EO42" i="8" s="1"/>
  <c r="EN42" i="8"/>
  <c r="EN48" i="8"/>
  <c r="DT55" i="8"/>
  <c r="DT49" i="8"/>
  <c r="DN64" i="8"/>
  <c r="DN61" i="8"/>
  <c r="DN183" i="8"/>
  <c r="DS114" i="9"/>
  <c r="DP166" i="8"/>
  <c r="DP58" i="8" s="1"/>
  <c r="DO63" i="8"/>
  <c r="DO64" i="8" s="1"/>
  <c r="DO60" i="8"/>
  <c r="DO61" i="8" s="1"/>
  <c r="DO66" i="8"/>
  <c r="DO183" i="8" l="1"/>
  <c r="EO48" i="8"/>
  <c r="EN49" i="8"/>
  <c r="EN55" i="8"/>
  <c r="DT56" i="8"/>
  <c r="DT114" i="9"/>
  <c r="DQ166" i="8"/>
  <c r="DQ58" i="8" s="1"/>
  <c r="DP63" i="8"/>
  <c r="DP66" i="8"/>
  <c r="DP60" i="8"/>
  <c r="EQ48" i="8" l="1"/>
  <c r="EO49" i="8"/>
  <c r="EO55" i="8"/>
  <c r="EN56" i="8"/>
  <c r="DU114" i="9"/>
  <c r="DR166" i="8"/>
  <c r="DR58" i="8" s="1"/>
  <c r="DQ63" i="8"/>
  <c r="DQ64" i="8" s="1"/>
  <c r="DQ60" i="8"/>
  <c r="DQ61" i="8" s="1"/>
  <c r="DQ66" i="8"/>
  <c r="DP64" i="8"/>
  <c r="DP183" i="8"/>
  <c r="DP61" i="8"/>
  <c r="DQ183" i="8" l="1"/>
  <c r="EQ55" i="8"/>
  <c r="EO56" i="8"/>
  <c r="DS166" i="8"/>
  <c r="DS58" i="8" s="1"/>
  <c r="DV114" i="9"/>
  <c r="DR63" i="8"/>
  <c r="DR66" i="8"/>
  <c r="DR60" i="8"/>
  <c r="DS63" i="8" l="1"/>
  <c r="DS64" i="8" s="1"/>
  <c r="DS66" i="8"/>
  <c r="DS60" i="8"/>
  <c r="DW114" i="9"/>
  <c r="DU166" i="8" s="1"/>
  <c r="DU58" i="8" s="1"/>
  <c r="DT166" i="8"/>
  <c r="DT58" i="8" s="1"/>
  <c r="DR64" i="8"/>
  <c r="DR183" i="8"/>
  <c r="DR61" i="8"/>
  <c r="DU63" i="8" l="1"/>
  <c r="DU66" i="8"/>
  <c r="DU60" i="8"/>
  <c r="DU61" i="8" s="1"/>
  <c r="EN58" i="8"/>
  <c r="EO58" i="8" s="1"/>
  <c r="EQ58" i="8" s="1"/>
  <c r="DT63" i="8"/>
  <c r="DT60" i="8"/>
  <c r="DT66" i="8"/>
  <c r="DS183" i="8"/>
  <c r="DS61" i="8"/>
  <c r="DT183" i="8" l="1"/>
  <c r="DU183" i="8" s="1"/>
  <c r="DT61" i="8"/>
  <c r="EN60" i="8"/>
  <c r="S11" i="8"/>
  <c r="DU64" i="8"/>
  <c r="EN63" i="8"/>
  <c r="DT64" i="8"/>
  <c r="EN66" i="8"/>
  <c r="EO66" i="8" s="1"/>
  <c r="EQ66" i="8" s="1"/>
  <c r="S9" i="8"/>
  <c r="EN61" i="8" l="1"/>
  <c r="EO60" i="8"/>
  <c r="T11" i="8"/>
  <c r="T12" i="8" s="1"/>
  <c r="S12" i="8"/>
  <c r="EO63" i="8"/>
  <c r="EN64" i="8"/>
  <c r="S10" i="8"/>
  <c r="T9" i="8"/>
  <c r="T10" i="8" s="1"/>
  <c r="EQ60" i="8" l="1"/>
  <c r="EO61" i="8"/>
  <c r="EQ63" i="8"/>
  <c r="EO6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Dipanjan Sil</author>
  </authors>
  <commentList>
    <comment ref="E3" authorId="0" shapeId="0" xr:uid="{D915C986-6373-4132-94F0-83B6EC8BF1FB}">
      <text>
        <r>
          <rPr>
            <b/>
            <sz val="9"/>
            <color indexed="81"/>
            <rFont val="Tahoma"/>
            <family val="2"/>
          </rPr>
          <t>Do not Delete used for US salary cal.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Dipanjan Sil</author>
  </authors>
  <commentList>
    <comment ref="G9" authorId="0" shapeId="0" xr:uid="{15F22610-DDB6-4688-BDBA-8F94594C4E24}">
      <text>
        <r>
          <rPr>
            <sz val="9"/>
            <color indexed="81"/>
            <rFont val="Tahoma"/>
            <family val="2"/>
          </rPr>
          <t xml:space="preserve">Formula Changed for India, Since for India in cost we are considering HC as per 8.5 hrs </t>
        </r>
      </text>
    </comment>
    <comment ref="A10" authorId="0" shapeId="0" xr:uid="{83BC0F74-2DB8-431B-87DC-7F85B6FC84FB}">
      <text>
        <r>
          <rPr>
            <b/>
            <sz val="9"/>
            <color indexed="81"/>
            <rFont val="Tahoma"/>
            <family val="2"/>
          </rPr>
          <t>For Mexico Year Wise Billable Hours are different. Table provided below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Dipanjan Sil</author>
  </authors>
  <commentList>
    <comment ref="C67" authorId="0" shapeId="0" xr:uid="{9EF22EF2-53FB-4DDE-8D3D-922C4C01936A}">
      <text>
        <r>
          <rPr>
            <sz val="9"/>
            <color indexed="81"/>
            <rFont val="Tahoma"/>
            <family val="2"/>
          </rPr>
          <t xml:space="preserve">Shift Differential - Salary Premium </t>
        </r>
      </text>
    </comment>
    <comment ref="D119" authorId="0" shapeId="0" xr:uid="{58B8BD5B-B8B3-4C33-883C-6B36C214D179}">
      <text>
        <r>
          <rPr>
            <sz val="9"/>
            <color indexed="81"/>
            <rFont val="Tahoma"/>
            <family val="2"/>
          </rPr>
          <t>Added in Recruitment cost</t>
        </r>
      </text>
    </comment>
    <comment ref="C124" authorId="0" shapeId="0" xr:uid="{32AB8C49-F17E-48C1-A3C3-C35ECF13BBDD}">
      <text>
        <r>
          <rPr>
            <sz val="9"/>
            <color indexed="81"/>
            <rFont val="Tahoma"/>
            <family val="2"/>
          </rPr>
          <t xml:space="preserve">Added Contingency%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Dipanjan Sil</author>
    <author>Suraj Paul</author>
  </authors>
  <commentList>
    <comment ref="F66" authorId="0" shapeId="0" xr:uid="{BBBBC1BD-BBBC-42EB-ABF0-3F6761968148}">
      <text>
        <r>
          <rPr>
            <b/>
            <sz val="9"/>
            <color indexed="81"/>
            <rFont val="Tahoma"/>
            <family val="2"/>
          </rPr>
          <t>Dipanjan Sil:</t>
        </r>
        <r>
          <rPr>
            <sz val="9"/>
            <color indexed="81"/>
            <rFont val="Tahoma"/>
            <family val="2"/>
          </rPr>
          <t xml:space="preserve">
Only For Australia L1 and L2</t>
        </r>
      </text>
    </comment>
    <comment ref="T66" authorId="0" shapeId="0" xr:uid="{D3DFA046-7BFB-491F-9E42-67D8192C67B5}">
      <text>
        <r>
          <rPr>
            <b/>
            <sz val="9"/>
            <color indexed="81"/>
            <rFont val="Tahoma"/>
            <family val="2"/>
          </rPr>
          <t>Dipanjan Sil:</t>
        </r>
        <r>
          <rPr>
            <sz val="9"/>
            <color indexed="81"/>
            <rFont val="Tahoma"/>
            <family val="2"/>
          </rPr>
          <t xml:space="preserve">
For Australia L3 and L4</t>
        </r>
      </text>
    </comment>
    <comment ref="J144" authorId="0" shapeId="0" xr:uid="{E8A1DFBF-A8A8-47C1-8AE9-4036CB578CE6}">
      <text>
        <r>
          <rPr>
            <b/>
            <sz val="9"/>
            <color indexed="81"/>
            <rFont val="Tahoma"/>
            <family val="2"/>
          </rPr>
          <t>Not considered in Rate card</t>
        </r>
      </text>
    </comment>
    <comment ref="E158" authorId="1" shapeId="0" xr:uid="{F3E72842-07EE-401A-9419-BD2F59187776}">
      <text>
        <r>
          <rPr>
            <b/>
            <sz val="9"/>
            <color indexed="81"/>
            <rFont val="Tahoma"/>
            <family val="2"/>
          </rPr>
          <t>As on 10th Jul'24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Kishore Kuppoji</author>
    <author>Dipanjan Sil</author>
  </authors>
  <commentList>
    <comment ref="D4" authorId="0" shapeId="0" xr:uid="{474E7423-6419-4A55-8CC3-010FBB6B2748}">
      <text>
        <r>
          <rPr>
            <b/>
            <sz val="9"/>
            <color indexed="81"/>
            <rFont val="Tahoma"/>
            <family val="2"/>
          </rPr>
          <t>Revised inputs of 13% or 3300 basis update from Lokesh on Sept 13th</t>
        </r>
      </text>
    </comment>
    <comment ref="E4" authorId="0" shapeId="0" xr:uid="{81F369A5-D0D7-4C75-8ACC-2ABB795228B0}">
      <text>
        <r>
          <rPr>
            <b/>
            <sz val="9"/>
            <color indexed="81"/>
            <rFont val="Tahoma"/>
            <family val="2"/>
          </rPr>
          <t>Social Load - 23% which includes IMSS, Infonavit, ISR (ranges between 22-24.5%, average is 23%)
RCV and SAR 
Updated from 26% to 28.69% basis giudance from Lokesh (Zain's email on 26/02/2025)</t>
        </r>
      </text>
    </comment>
    <comment ref="G4" authorId="0" shapeId="0" xr:uid="{24C0C336-4F58-4A07-81D0-F30E82787470}">
      <text>
        <r>
          <rPr>
            <b/>
            <sz val="9"/>
            <color indexed="81"/>
            <rFont val="Tahoma"/>
            <family val="2"/>
          </rPr>
          <t>Payroll Taxes - 3%</t>
        </r>
      </text>
    </comment>
    <comment ref="J4" authorId="1" shapeId="0" xr:uid="{E41218AB-0AEF-43FE-BCF1-2C4AF5F021F0}">
      <text>
        <r>
          <rPr>
            <b/>
            <sz val="9"/>
            <color indexed="81"/>
            <rFont val="Tahoma"/>
            <family val="2"/>
          </rPr>
          <t>Assuming only 50% of the employee will work on holidays and will be paid at 3x of their daily salary</t>
        </r>
      </text>
    </comment>
    <comment ref="K4" authorId="1" shapeId="0" xr:uid="{FC3102FF-4EE6-4189-A457-3E20BBBA0C86}">
      <text>
        <r>
          <rPr>
            <b/>
            <sz val="9"/>
            <color indexed="81"/>
            <rFont val="Tahoma"/>
            <family val="2"/>
          </rPr>
          <t xml:space="preserve">Assuming only 50% of the employee will work on Sundays and will be paid 25% premium of their daily salary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Kishore Kuppoji</author>
  </authors>
  <commentList>
    <comment ref="R4" authorId="0" shapeId="0" xr:uid="{35920171-252C-4729-A597-550072252151}">
      <text>
        <r>
          <rPr>
            <b/>
            <sz val="9"/>
            <color indexed="81"/>
            <rFont val="Tahoma"/>
            <family val="2"/>
          </rPr>
          <t>31000 Euro for 600 hires</t>
        </r>
      </text>
    </comment>
    <comment ref="AA4" authorId="0" shapeId="0" xr:uid="{919842B4-AAE8-4EC1-BA57-974D380252BA}">
      <text>
        <r>
          <rPr>
            <b/>
            <sz val="9"/>
            <color indexed="81"/>
            <rFont val="Tahoma"/>
            <family val="2"/>
          </rPr>
          <t>31000 Euro for 600 hires</t>
        </r>
      </text>
    </comment>
    <comment ref="AJ4" authorId="0" shapeId="0" xr:uid="{B3C0FD23-E104-476F-B037-89A7E484894B}">
      <text>
        <r>
          <rPr>
            <b/>
            <sz val="9"/>
            <color indexed="81"/>
            <rFont val="Tahoma"/>
            <family val="2"/>
          </rPr>
          <t>31000 Euro for 600 hires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tc={6FDF0458-411A-415E-86AE-C5F799A4E8E9}</author>
    <author>tc={D2AE40DB-78B7-4208-B2F3-62F63A46EF39}</author>
    <author>tc={C837DDB3-545C-4FCA-82CC-747444BAB74B}</author>
  </authors>
  <commentList>
    <comment ref="C36" authorId="0" shapeId="0" xr:uid="{6FDF0458-411A-415E-86AE-C5F799A4E8E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Majorly Provider
</t>
      </text>
    </comment>
    <comment ref="C37" authorId="1" shapeId="0" xr:uid="{D2AE40DB-78B7-4208-B2F3-62F63A46EF39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HC RMO/DE with VDI only</t>
      </text>
    </comment>
    <comment ref="C40" authorId="2" shapeId="0" xr:uid="{C837DDB3-545C-4FCA-82CC-747444BAB74B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- agents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tc={5B9255E7-7C3B-4ED3-A9D0-86A46E07A2CA}</author>
    <author>tc={BA0448E5-D78D-411F-B64C-9EE8470ECDA8}</author>
    <author>tc={6449C3C3-27D9-4657-8CC7-FB9B033C83AA}</author>
  </authors>
  <commentList>
    <comment ref="C36" authorId="0" shapeId="0" xr:uid="{5B9255E7-7C3B-4ED3-A9D0-86A46E07A2C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Majorly Provider
</t>
      </text>
    </comment>
    <comment ref="C37" authorId="1" shapeId="0" xr:uid="{BA0448E5-D78D-411F-B64C-9EE8470ECDA8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HC RMO/DE with VDI only</t>
      </text>
    </comment>
    <comment ref="C40" authorId="2" shapeId="0" xr:uid="{6449C3C3-27D9-4657-8CC7-FB9B033C83AA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- agents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Suraj Paul</author>
  </authors>
  <commentList>
    <comment ref="H93" authorId="0" shapeId="0" xr:uid="{2195A453-9747-4238-AF4B-B64716B3D9B0}">
      <text>
        <r>
          <rPr>
            <b/>
            <sz val="9"/>
            <color indexed="81"/>
            <rFont val="Tahoma"/>
            <family val="2"/>
          </rPr>
          <t>14 calendar days</t>
        </r>
      </text>
    </comment>
  </commentList>
</comments>
</file>

<file path=xl/sharedStrings.xml><?xml version="1.0" encoding="utf-8"?>
<sst xmlns="http://schemas.openxmlformats.org/spreadsheetml/2006/main" count="3260" uniqueCount="955">
  <si>
    <t>Pricing Assumptions</t>
  </si>
  <si>
    <t>Particulars</t>
  </si>
  <si>
    <t>3-Yr Consol</t>
  </si>
  <si>
    <t>% to Revenue</t>
  </si>
  <si>
    <t>1-Yr Consol</t>
  </si>
  <si>
    <t>Rate</t>
  </si>
  <si>
    <t>Revenue</t>
  </si>
  <si>
    <t>Total Salary Costs</t>
  </si>
  <si>
    <t>Ops Sup Salaries</t>
  </si>
  <si>
    <t>Staff welfare Expenses</t>
  </si>
  <si>
    <t>Recruitment Costs</t>
  </si>
  <si>
    <t>Training Costs</t>
  </si>
  <si>
    <t>Conveyance &amp; Car Hire</t>
  </si>
  <si>
    <t>Total Manpower costs</t>
  </si>
  <si>
    <t>Bandwidth Costs</t>
  </si>
  <si>
    <t>Facilities Costs</t>
  </si>
  <si>
    <t>Technology Costs</t>
  </si>
  <si>
    <t>Other Direct-Travel</t>
  </si>
  <si>
    <t>Other Miscellaneous costs</t>
  </si>
  <si>
    <t>Total Direct Costs</t>
  </si>
  <si>
    <t>Gross Margin A</t>
  </si>
  <si>
    <t>Support Costs</t>
  </si>
  <si>
    <t>Total Costs</t>
  </si>
  <si>
    <t>Gross Margin B</t>
  </si>
  <si>
    <t>Unallocated Cost</t>
  </si>
  <si>
    <t>Depreciation</t>
  </si>
  <si>
    <t>Account Margin</t>
  </si>
  <si>
    <t>S&amp;GA</t>
  </si>
  <si>
    <t>EBIT</t>
  </si>
  <si>
    <t>UK</t>
  </si>
  <si>
    <t>Year1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</si>
  <si>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</si>
  <si>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</si>
  <si>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</si>
  <si>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</si>
  <si>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</si>
  <si>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</si>
  <si>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</si>
  <si>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</si>
  <si>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</si>
  <si>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 xml:space="preserve">10 year_Consol </t>
  </si>
  <si>
    <t>Unallocated</t>
  </si>
  <si>
    <t>SG&amp;A</t>
  </si>
  <si>
    <t>Account Margin %</t>
  </si>
  <si>
    <t>US</t>
  </si>
  <si>
    <t>ACCM</t>
  </si>
  <si>
    <t>Trainer</t>
  </si>
  <si>
    <t>QA</t>
  </si>
  <si>
    <t>Shrinkage %</t>
  </si>
  <si>
    <t>- Paid Absence</t>
  </si>
  <si>
    <t>Total</t>
  </si>
  <si>
    <t>- Unplanned Absence</t>
  </si>
  <si>
    <t>Overall Training Yield</t>
  </si>
  <si>
    <t>Attrition</t>
  </si>
  <si>
    <t>- Rent cost / seat / month</t>
  </si>
  <si>
    <t>- Other facility Opex / seat/month</t>
  </si>
  <si>
    <t>Facilities Costs / seat</t>
  </si>
  <si>
    <t>Technology Costs/ seat / month</t>
  </si>
  <si>
    <t>Support Costs / Emp</t>
  </si>
  <si>
    <t>Geo</t>
  </si>
  <si>
    <t>Fx</t>
  </si>
  <si>
    <t>GBP - GBP</t>
  </si>
  <si>
    <t>GBP - USD</t>
  </si>
  <si>
    <t>GBP - INR</t>
  </si>
  <si>
    <t>USD - INR</t>
  </si>
  <si>
    <t>GBP - PHP</t>
  </si>
  <si>
    <t>USD - PHP</t>
  </si>
  <si>
    <t>USD - USD</t>
  </si>
  <si>
    <t>USD - MXN</t>
  </si>
  <si>
    <t>Phil</t>
  </si>
  <si>
    <t>Agent Cost Escalation</t>
  </si>
  <si>
    <t>Support Staff &amp; Other Cost Escalation</t>
  </si>
  <si>
    <t>Price Indexation</t>
  </si>
  <si>
    <t>India</t>
  </si>
  <si>
    <t>Mexico</t>
  </si>
  <si>
    <t>Geography</t>
  </si>
  <si>
    <t>FTE</t>
  </si>
  <si>
    <t>HC</t>
  </si>
  <si>
    <t>Acc Margin (1 Yr)</t>
  </si>
  <si>
    <t>Acc Margin (3 Yrs)</t>
  </si>
  <si>
    <t>Location</t>
  </si>
  <si>
    <t>WAO %</t>
  </si>
  <si>
    <t>Service Credit</t>
  </si>
  <si>
    <t>Training Rate%</t>
  </si>
  <si>
    <t>Training  Billable</t>
  </si>
  <si>
    <t>Yes</t>
  </si>
  <si>
    <t>SU on HC (WAO)</t>
  </si>
  <si>
    <t>SU on HC (WAH)</t>
  </si>
  <si>
    <t>Full Timers</t>
  </si>
  <si>
    <t>Part Timers</t>
  </si>
  <si>
    <t>Included</t>
  </si>
  <si>
    <t>Client</t>
  </si>
  <si>
    <t>Pricing Model</t>
  </si>
  <si>
    <t>ClientX</t>
  </si>
  <si>
    <t>Rate / Paid Hr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</si>
  <si>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</si>
  <si>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</si>
  <si>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</si>
  <si>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</si>
  <si>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</si>
  <si>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</si>
  <si>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</si>
  <si>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</si>
  <si>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</si>
  <si>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</si>
  <si>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Rate / Available Hr</t>
  </si>
  <si>
    <t>Training Hr Rate</t>
  </si>
  <si>
    <t>TL/ Paid HR</t>
  </si>
  <si>
    <t>ACCM/ Paid HR</t>
  </si>
  <si>
    <t>Ops Manager/ Paid HR</t>
  </si>
  <si>
    <t>QA/ Paid HR</t>
  </si>
  <si>
    <t>Trainer/ Paid HR</t>
  </si>
  <si>
    <t>WFM/ Paid HR</t>
  </si>
  <si>
    <t>Additional Costs</t>
  </si>
  <si>
    <t>Monthly</t>
  </si>
  <si>
    <t>Transition Cost</t>
  </si>
  <si>
    <t>One-Time</t>
  </si>
  <si>
    <t>Tech Logistic cost (WAH)/Seat</t>
  </si>
  <si>
    <t>One-Time for ramp and attrition backfill</t>
  </si>
  <si>
    <t>Cost2</t>
  </si>
  <si>
    <t>Days in Month</t>
  </si>
  <si>
    <t># weeks in Month</t>
  </si>
  <si>
    <t>Pre go Live</t>
  </si>
  <si>
    <t>Revenues</t>
  </si>
  <si>
    <t>EBIT %</t>
  </si>
  <si>
    <t>Pre go live</t>
  </si>
  <si>
    <t>Q1</t>
  </si>
  <si>
    <t>Q2</t>
  </si>
  <si>
    <t>Q3</t>
  </si>
  <si>
    <t>Q4</t>
  </si>
  <si>
    <t xml:space="preserve">3 year_Consol </t>
  </si>
  <si>
    <t xml:space="preserve">5 year_Consol </t>
  </si>
  <si>
    <t>Check</t>
  </si>
  <si>
    <t>Production Revenues (Base Currency)</t>
  </si>
  <si>
    <t>Training Revenues (Base Currency)</t>
  </si>
  <si>
    <t>Tech Revenues (Base Currency)</t>
  </si>
  <si>
    <t>Other Revenues (Base Currency)</t>
  </si>
  <si>
    <t>Service Credit / Credit Notes (Base Currency)</t>
  </si>
  <si>
    <t>Total Revenues (Base Currency)</t>
  </si>
  <si>
    <t>Conversion for Revenue</t>
  </si>
  <si>
    <t>Total Revenues (GBP)</t>
  </si>
  <si>
    <t>Gross Margin A %</t>
  </si>
  <si>
    <t>Gross Margin B %</t>
  </si>
  <si>
    <t>EBITDA</t>
  </si>
  <si>
    <t>EBITDA %</t>
  </si>
  <si>
    <t>GMB - Post Dep</t>
  </si>
  <si>
    <t>GMB - Post Dep %</t>
  </si>
  <si>
    <t>Key Operational Levers</t>
  </si>
  <si>
    <t>Salaries / Month</t>
  </si>
  <si>
    <t>CSA Salary - Production</t>
  </si>
  <si>
    <t>Ops mgmt &amp; Support Salary</t>
  </si>
  <si>
    <t>FT</t>
  </si>
  <si>
    <t>PT</t>
  </si>
  <si>
    <t>Base Currency</t>
  </si>
  <si>
    <t>Client Billable FTEs</t>
  </si>
  <si>
    <t>Billable FTEs</t>
  </si>
  <si>
    <t>Billable Login Hours</t>
  </si>
  <si>
    <t>Billing Rate / Login Hr</t>
  </si>
  <si>
    <t>Production Revenues</t>
  </si>
  <si>
    <t>Remainder Week Hours</t>
  </si>
  <si>
    <t>Production Revenue for Remainder Weeks</t>
  </si>
  <si>
    <t>Total CSA (Process)</t>
  </si>
  <si>
    <t>Process Training FTE</t>
  </si>
  <si>
    <t>Process Training Hours</t>
  </si>
  <si>
    <t>Training Rate</t>
  </si>
  <si>
    <t>Ramp Training Revenues</t>
  </si>
  <si>
    <t>Backfill Training FTE</t>
  </si>
  <si>
    <t>Backfill Training Hours</t>
  </si>
  <si>
    <t>Attrition backfill training rate</t>
  </si>
  <si>
    <t>Attrition Backfill Revenues</t>
  </si>
  <si>
    <t>Billable TL</t>
  </si>
  <si>
    <t>Billable TL Login Hours</t>
  </si>
  <si>
    <t>Billing TL Rate / Login Hr</t>
  </si>
  <si>
    <t>TL Production Revenues</t>
  </si>
  <si>
    <t>Billable ACCM</t>
  </si>
  <si>
    <t>Billable ACCM Login Hours</t>
  </si>
  <si>
    <t>Billing ACCM Rate / Login Hr</t>
  </si>
  <si>
    <t>ACCM Production Revenues</t>
  </si>
  <si>
    <t>Billable Ops Manager</t>
  </si>
  <si>
    <t>Billable Ops Manager Login Hours</t>
  </si>
  <si>
    <t>Billing Ops Manager Rate / Login Hr</t>
  </si>
  <si>
    <t>Ops Manager Production Revenues</t>
  </si>
  <si>
    <t>Billable QA</t>
  </si>
  <si>
    <t>Billable QA Login Hours</t>
  </si>
  <si>
    <t>Billing QA Rate / Login Hr</t>
  </si>
  <si>
    <t>QA Production Revenues</t>
  </si>
  <si>
    <t>Billable Trainer FTEs</t>
  </si>
  <si>
    <t>Billable Trainer Login Hours</t>
  </si>
  <si>
    <t>Billing Trainer Rate / Login Hr</t>
  </si>
  <si>
    <t>Trainer Production Revenues</t>
  </si>
  <si>
    <t>Billable WFM FTEs</t>
  </si>
  <si>
    <t>Billable WFM Login Hours</t>
  </si>
  <si>
    <t>Billing WFM Rate / Login Hr</t>
  </si>
  <si>
    <t>WFM Production Revenues</t>
  </si>
  <si>
    <t>Tech Revenues</t>
  </si>
  <si>
    <t>Other Revenues</t>
  </si>
  <si>
    <t>Service Credit / Credit Notes</t>
  </si>
  <si>
    <t>Production Revenues (Base currency)</t>
  </si>
  <si>
    <t>Training Revenues (Base currency)</t>
  </si>
  <si>
    <t>Tech Revenues (Base currency)</t>
  </si>
  <si>
    <t>Other Revenues (Base currency)</t>
  </si>
  <si>
    <t>Service Credit / Credit Notes (Base currency)</t>
  </si>
  <si>
    <t>Total Revenue (Base currency)</t>
  </si>
  <si>
    <t>Support Staff</t>
  </si>
  <si>
    <t>TL</t>
  </si>
  <si>
    <t>Ops Manager</t>
  </si>
  <si>
    <t>RTA/WFM</t>
  </si>
  <si>
    <t>Salary</t>
  </si>
  <si>
    <t>Staff Welfare</t>
  </si>
  <si>
    <t>Recruitment Cost</t>
  </si>
  <si>
    <t>Facility</t>
  </si>
  <si>
    <t>Tech</t>
  </si>
  <si>
    <t>CS</t>
  </si>
  <si>
    <t>Other Misc/Sales Comm/Dep</t>
  </si>
  <si>
    <t>Total Cost/Resource</t>
  </si>
  <si>
    <t>Margin %</t>
  </si>
  <si>
    <t>Rate Per Resource</t>
  </si>
  <si>
    <t>Paid Shrink</t>
  </si>
  <si>
    <t>Rate Per FTE</t>
  </si>
  <si>
    <t>Rate/Paid hr rate</t>
  </si>
  <si>
    <t>Client Billable NET FTEs</t>
  </si>
  <si>
    <t>Net Attended FTE's</t>
  </si>
  <si>
    <t>Required HC</t>
  </si>
  <si>
    <t>Training Duration</t>
  </si>
  <si>
    <t>- Process</t>
  </si>
  <si>
    <t>- OJT</t>
  </si>
  <si>
    <t>Total Production CSA</t>
  </si>
  <si>
    <t>Total H Grade - CSAs</t>
  </si>
  <si>
    <t>Total Employees</t>
  </si>
  <si>
    <t>Production Seats</t>
  </si>
  <si>
    <t>Support Seats</t>
  </si>
  <si>
    <t>Total Seats for Facility Cost</t>
  </si>
  <si>
    <t>IT  Keats Required</t>
  </si>
  <si>
    <t>Support Recruitment Cost &amp; BGV</t>
  </si>
  <si>
    <t>Total Monthly Charge</t>
  </si>
  <si>
    <t>Staff Welfare / Emp</t>
  </si>
  <si>
    <t>Recruitment BGV / Emp</t>
  </si>
  <si>
    <t>Training / Emp</t>
  </si>
  <si>
    <t>Conveyance &amp; Car Hire/Emp</t>
  </si>
  <si>
    <t>Infra Capex / month</t>
  </si>
  <si>
    <t>Tech Capex / month</t>
  </si>
  <si>
    <t>Total Other Cost</t>
  </si>
  <si>
    <t>WAH %</t>
  </si>
  <si>
    <t>WAO HC</t>
  </si>
  <si>
    <t>WAH HC</t>
  </si>
  <si>
    <t>SU for WAO</t>
  </si>
  <si>
    <t>SU for WAH</t>
  </si>
  <si>
    <t>Seat count For Facility - Agent only</t>
  </si>
  <si>
    <t>Seat count For IT -Agent Only</t>
  </si>
  <si>
    <t>Employed</t>
  </si>
  <si>
    <t>Sr Manager</t>
  </si>
  <si>
    <t>Resource3</t>
  </si>
  <si>
    <t>Resource4</t>
  </si>
  <si>
    <t>Login Hours Daily</t>
  </si>
  <si>
    <t>Working days</t>
  </si>
  <si>
    <t>ER Allowance</t>
  </si>
  <si>
    <t>NIC</t>
  </si>
  <si>
    <t>Pension</t>
  </si>
  <si>
    <t>Bonus</t>
  </si>
  <si>
    <t>Payroll</t>
  </si>
  <si>
    <t>R&amp;R</t>
  </si>
  <si>
    <t>Other/Medical benefits</t>
  </si>
  <si>
    <t>Others</t>
  </si>
  <si>
    <t>Cost to Company</t>
  </si>
  <si>
    <t>Percentage of Population</t>
  </si>
  <si>
    <t>Role</t>
  </si>
  <si>
    <t>Voice</t>
  </si>
  <si>
    <t>AM</t>
  </si>
  <si>
    <t>Unpaid Shrinkage</t>
  </si>
  <si>
    <t>STAFF HOURS/FTE</t>
  </si>
  <si>
    <t>Unpaid</t>
  </si>
  <si>
    <t>LUNCH BREAK</t>
  </si>
  <si>
    <t>Paid</t>
  </si>
  <si>
    <t>SHORT BREAKS (2 BREAKS OF 15 MINS EACH / DAY)</t>
  </si>
  <si>
    <t>DAILY HUDDLE (15 MINS / DAY)</t>
  </si>
  <si>
    <t>Out of office Shrinkage</t>
  </si>
  <si>
    <t>TRAINING (@ 2 HOURS / MONTH)</t>
  </si>
  <si>
    <t>SKIPS / OPEN HOUSE (1 HOUR / MONTH)</t>
  </si>
  <si>
    <t>FEEDBACK PER / AGENT / WEEK (@ 30 MINS PER WEEK)</t>
  </si>
  <si>
    <t>FSL FTE DEFINITION (AVAILABLE HOURS)</t>
  </si>
  <si>
    <t>TOTAL PAID HOURS- EMPLOYEE</t>
  </si>
  <si>
    <t>TOTAL UNPAID HOURS-EMPLOYEE</t>
  </si>
  <si>
    <t>EFFECTIVE - IN OFFICE SHRINKAGE - OVERALL</t>
  </si>
  <si>
    <t>PAID - IN OFFICE SHRINKAGE</t>
  </si>
  <si>
    <t>UNPAID - IN OFFICE SHRINKAGE</t>
  </si>
  <si>
    <t>Billable FTE's</t>
  </si>
  <si>
    <t>Standard Hours/FTE/Week</t>
  </si>
  <si>
    <t>Total Weekly hours</t>
  </si>
  <si>
    <t>Hours/FTE/Week</t>
  </si>
  <si>
    <t>Actual FTE's</t>
  </si>
  <si>
    <t>OOO</t>
  </si>
  <si>
    <t>Head Count</t>
  </si>
  <si>
    <t>Total Billable Paid Hours</t>
  </si>
  <si>
    <t>Shrinkage Calculation</t>
  </si>
  <si>
    <t>Y1</t>
  </si>
  <si>
    <t>Y2</t>
  </si>
  <si>
    <t>Y3</t>
  </si>
  <si>
    <t>Y4</t>
  </si>
  <si>
    <t>Y5</t>
  </si>
  <si>
    <t>Days in a year</t>
  </si>
  <si>
    <t>Week off in 5 day working scenario</t>
  </si>
  <si>
    <t>Working days in a year</t>
  </si>
  <si>
    <t>Vacation</t>
  </si>
  <si>
    <t>Annual Leave</t>
  </si>
  <si>
    <t>Bereavement</t>
  </si>
  <si>
    <t>Total Paid Leaves</t>
  </si>
  <si>
    <t>Net Working days for CSA</t>
  </si>
  <si>
    <t>Paid Out of office Shrinkage</t>
  </si>
  <si>
    <t>Total Out of office Shrinkage</t>
  </si>
  <si>
    <t>WAO</t>
  </si>
  <si>
    <t>Business - SG&amp;A</t>
  </si>
  <si>
    <t>Sales Enablement Cost</t>
  </si>
  <si>
    <t>- Preprocess</t>
  </si>
  <si>
    <t>Fx Buffer from Spot</t>
  </si>
  <si>
    <t>Details</t>
  </si>
  <si>
    <t>AI Coach Cost/User/Month</t>
  </si>
  <si>
    <t>QA Auto. Costs/ User</t>
  </si>
  <si>
    <t>QA Auto. Costs</t>
  </si>
  <si>
    <t>WAH</t>
  </si>
  <si>
    <t>Type</t>
  </si>
  <si>
    <t>Complexity</t>
  </si>
  <si>
    <t>L1</t>
  </si>
  <si>
    <t>L2</t>
  </si>
  <si>
    <t>L3</t>
  </si>
  <si>
    <t>L4</t>
  </si>
  <si>
    <t>Non-voice</t>
  </si>
  <si>
    <t>Backoffice</t>
  </si>
  <si>
    <t>L5</t>
  </si>
  <si>
    <t>BGV</t>
  </si>
  <si>
    <t>Agency Hiring Cost</t>
  </si>
  <si>
    <t>Direct Hiring Cost</t>
  </si>
  <si>
    <t>L6</t>
  </si>
  <si>
    <t>T&amp;T</t>
  </si>
  <si>
    <t>Absence Sickness (Paid)</t>
  </si>
  <si>
    <t>Public holiday</t>
  </si>
  <si>
    <t>USD - TBT</t>
  </si>
  <si>
    <t>Sample Processes</t>
  </si>
  <si>
    <t>​Fraud response, tech L3 support, B2B sales, etc.</t>
  </si>
  <si>
    <t>Voice SME, Escalations, etc. - Speciality</t>
  </si>
  <si>
    <t>​Chat, email</t>
  </si>
  <si>
    <t>Complex Chat, email</t>
  </si>
  <si>
    <t xml:space="preserve">​KYC validation, digital intake, claims processing, etc. </t>
  </si>
  <si>
    <t>​Enrolment, claims adjustments, fraud investigation, etc.</t>
  </si>
  <si>
    <t xml:space="preserve">​Claims adjudication, subscriber acquisition, etc. </t>
  </si>
  <si>
    <t>Coding, High skill Mortgage, etc.</t>
  </si>
  <si>
    <t>Month &gt;&gt;</t>
  </si>
  <si>
    <t>Australia</t>
  </si>
  <si>
    <t>South Africa</t>
  </si>
  <si>
    <t>Philippines</t>
  </si>
  <si>
    <t>Romania</t>
  </si>
  <si>
    <t>Paid Shrinkage</t>
  </si>
  <si>
    <t>Pricing Input</t>
  </si>
  <si>
    <t>Fully loaded CTC pa</t>
  </si>
  <si>
    <t>Split</t>
  </si>
  <si>
    <t>Hiring</t>
  </si>
  <si>
    <t xml:space="preserve">Annual Base Salary </t>
  </si>
  <si>
    <t>Annual Salary Inc. Benefit</t>
  </si>
  <si>
    <t>Freshers</t>
  </si>
  <si>
    <t>Experience</t>
  </si>
  <si>
    <t>Blended CPH</t>
  </si>
  <si>
    <t>Agency Hiring %</t>
  </si>
  <si>
    <t>Direct Hiring %</t>
  </si>
  <si>
    <t>Salary Grid</t>
  </si>
  <si>
    <t>Base Salary / Annum</t>
  </si>
  <si>
    <t>Hourly Salary   (In GBP)</t>
  </si>
  <si>
    <t>Payslip Cost per Slip</t>
  </si>
  <si>
    <t>Benefit%</t>
  </si>
  <si>
    <t xml:space="preserve">​Account inquiry, claims status, transaction queries, etc. </t>
  </si>
  <si>
    <t>​Appeals and grievances, subscription upgrades, etc.</t>
  </si>
  <si>
    <t>Complex Chat, email (No voice)</t>
  </si>
  <si>
    <t>CPH</t>
  </si>
  <si>
    <t>DGM / AD</t>
  </si>
  <si>
    <t>GM / Director</t>
  </si>
  <si>
    <t>AVP / VP</t>
  </si>
  <si>
    <t>SME</t>
  </si>
  <si>
    <t>Transition Resource</t>
  </si>
  <si>
    <t>PEx Resource</t>
  </si>
  <si>
    <t>Additional Resource 1</t>
  </si>
  <si>
    <t>Additional Resource 2</t>
  </si>
  <si>
    <t>Additional Resource 3</t>
  </si>
  <si>
    <t>Voice and Back office L4 only</t>
  </si>
  <si>
    <t>Skill Type</t>
  </si>
  <si>
    <t>QA Rate / Paid Hr</t>
  </si>
  <si>
    <t>Monthly Salary (Local Currency) - Associates</t>
  </si>
  <si>
    <t>Support L1 - L3</t>
  </si>
  <si>
    <t>Support - Voice and Back office L4 only</t>
  </si>
  <si>
    <t>SPAN</t>
  </si>
  <si>
    <t>Associate Recruitment &amp; BGV</t>
  </si>
  <si>
    <t>Support Recruitment Cost</t>
  </si>
  <si>
    <t>Support BGV</t>
  </si>
  <si>
    <t>Line Items &gt;&gt;</t>
  </si>
  <si>
    <t>Sales Commission</t>
  </si>
  <si>
    <t>Payroll Taxes</t>
  </si>
  <si>
    <t>Insurance 
/Agent /annum</t>
  </si>
  <si>
    <t>401K</t>
  </si>
  <si>
    <t>WFO</t>
  </si>
  <si>
    <t>WFH</t>
  </si>
  <si>
    <t>Monthly
Fully loaded</t>
  </si>
  <si>
    <t>Blended Salary</t>
  </si>
  <si>
    <t>Basic Hourly 
Salary</t>
  </si>
  <si>
    <t>Annual 
Bonus %</t>
  </si>
  <si>
    <t>Hourly Bonus 
Component</t>
  </si>
  <si>
    <t>Annual 
Base Salary</t>
  </si>
  <si>
    <t>Payroll 
Taxes %</t>
  </si>
  <si>
    <t>Hourly Payroll
 Taxes</t>
  </si>
  <si>
    <t>Insurance 
Participation</t>
  </si>
  <si>
    <t>Hourly 
Insurance</t>
  </si>
  <si>
    <t>Company 
Contribution</t>
  </si>
  <si>
    <t>Employee 
Participation</t>
  </si>
  <si>
    <t>Hourly 401K 
Component</t>
  </si>
  <si>
    <t>Net Hourly 
Salary</t>
  </si>
  <si>
    <t>Net Monthly 
Salary</t>
  </si>
  <si>
    <t>% of Benefits Loaded - 
Excl Annual bonus</t>
  </si>
  <si>
    <t>Work from Home (customer service, Data entry)</t>
  </si>
  <si>
    <t xml:space="preserve">​Appeals and grievances, subscription upgrades, ​Account inquiry, claims status, transaction queries, Escalations, Bilingual etc. </t>
  </si>
  <si>
    <t>​Fraud response, tech L3 support, B2B sales, Collections, Tele Sales etc.</t>
  </si>
  <si>
    <t>​Chat, email - WFH</t>
  </si>
  <si>
    <t>Complex Chat/email, Dual Skills (chat/email with Voice skills)</t>
  </si>
  <si>
    <t>​KYC validation, digital intake, claims processing, data validation,</t>
  </si>
  <si>
    <t>​Enrolment, claims adjustments, fraud investigation,  Mortgage Post Closing, etc.</t>
  </si>
  <si>
    <t xml:space="preserve">​Claims adjudication, subscriber acquisition, ​Payment integrity, appeal and grievances, subscriber acquisition, Payment posting, Onsite Hospital Reps etc. </t>
  </si>
  <si>
    <t>High Skill Underwriter</t>
  </si>
  <si>
    <t>Licenced RN / Clinical Denial</t>
  </si>
  <si>
    <t>Annual Salary</t>
  </si>
  <si>
    <t>Voice, Non Voice all and Back office only L1</t>
  </si>
  <si>
    <t>Backoffice and Voice L4</t>
  </si>
  <si>
    <t>Support - Voice and Back office L5 - L6 only</t>
  </si>
  <si>
    <t>Fully loaded CTC PM</t>
  </si>
  <si>
    <t xml:space="preserve">Base  Monthly Salary </t>
  </si>
  <si>
    <t>Base Pay</t>
  </si>
  <si>
    <t>Travel - Per month</t>
  </si>
  <si>
    <t>Employer Taxes</t>
  </si>
  <si>
    <t>Enrolment</t>
  </si>
  <si>
    <t>Monthly Payroll cost</t>
  </si>
  <si>
    <t>Total CTC</t>
  </si>
  <si>
    <t>NIBTT</t>
  </si>
  <si>
    <t>Created basis discussion with Mark</t>
  </si>
  <si>
    <t>BIR</t>
  </si>
  <si>
    <t>Ascensos Healthcare
Contribution</t>
  </si>
  <si>
    <t>Skill</t>
  </si>
  <si>
    <t>Language Proficiency</t>
  </si>
  <si>
    <t>Premium</t>
  </si>
  <si>
    <t>Hourly base pay</t>
  </si>
  <si>
    <t>Paid hour / week</t>
  </si>
  <si>
    <t>Annual base pay</t>
  </si>
  <si>
    <t>Monthly base pay</t>
  </si>
  <si>
    <t>Minimum wage currently</t>
  </si>
  <si>
    <t>iQor Pays this</t>
  </si>
  <si>
    <t>Bilingual (basline iQor)</t>
  </si>
  <si>
    <t>Cx Voice</t>
  </si>
  <si>
    <t>Spanish Only</t>
  </si>
  <si>
    <t>English Only</t>
  </si>
  <si>
    <t>Spanish + English</t>
  </si>
  <si>
    <t>Complex Bilingual</t>
  </si>
  <si>
    <t>Basic Skill</t>
  </si>
  <si>
    <t>Agency Hiring Cost (tentatively) is 1 week's base monthly pay</t>
  </si>
  <si>
    <t>Minimum Wage</t>
  </si>
  <si>
    <t>Need Spanish + English speaking recruiter to reduce the agency hiring burden</t>
  </si>
  <si>
    <t>Billable Hours</t>
  </si>
  <si>
    <t>Billable hours / day - Prod</t>
  </si>
  <si>
    <t>Billable hours / day - Trg</t>
  </si>
  <si>
    <t>Billable hours / FTE/ Month</t>
  </si>
  <si>
    <t>Salaries/Month</t>
  </si>
  <si>
    <t>SDL &amp; UIF Increase</t>
  </si>
  <si>
    <t>Momentum 2025</t>
  </si>
  <si>
    <t>Funeral Benefit</t>
  </si>
  <si>
    <t>Transport Allowance</t>
  </si>
  <si>
    <t xml:space="preserve">engagement incentive 
per person </t>
  </si>
  <si>
    <t xml:space="preserve">Performance bonus </t>
  </si>
  <si>
    <t>CTC</t>
  </si>
  <si>
    <r>
      <t>​</t>
    </r>
    <r>
      <rPr>
        <sz val="11"/>
        <color rgb="FF000000"/>
        <rFont val="Calibri"/>
        <family val="2"/>
        <scheme val="minor"/>
      </rPr>
      <t xml:space="preserve">Account inquiry, claims status, transaction queries, etc. </t>
    </r>
  </si>
  <si>
    <r>
      <t>​</t>
    </r>
    <r>
      <rPr>
        <sz val="11"/>
        <color rgb="FF000000"/>
        <rFont val="Calibri"/>
        <family val="2"/>
        <scheme val="minor"/>
      </rPr>
      <t>Appeals and grievances, subscription upgrades, etc.</t>
    </r>
  </si>
  <si>
    <r>
      <t>​</t>
    </r>
    <r>
      <rPr>
        <sz val="11"/>
        <color rgb="FF000000"/>
        <rFont val="Calibri"/>
        <family val="2"/>
        <scheme val="minor"/>
      </rPr>
      <t>Fraud response, tech L3 support, B2B sales, etc.</t>
    </r>
  </si>
  <si>
    <r>
      <t>​</t>
    </r>
    <r>
      <rPr>
        <sz val="11"/>
        <color rgb="FF000000"/>
        <rFont val="Calibri"/>
        <family val="2"/>
        <scheme val="minor"/>
      </rPr>
      <t>Chat, email</t>
    </r>
  </si>
  <si>
    <r>
      <t>​</t>
    </r>
    <r>
      <rPr>
        <sz val="11"/>
        <color rgb="FF000000"/>
        <rFont val="Calibri"/>
        <family val="2"/>
        <scheme val="minor"/>
      </rPr>
      <t xml:space="preserve">KYC validation, digital intake, claims processing, etc. </t>
    </r>
  </si>
  <si>
    <r>
      <t>​</t>
    </r>
    <r>
      <rPr>
        <sz val="11"/>
        <color rgb="FF000000"/>
        <rFont val="Calibri"/>
        <family val="2"/>
        <scheme val="minor"/>
      </rPr>
      <t>Enrolment, claims adjustments, fraud investigation, etc.</t>
    </r>
  </si>
  <si>
    <r>
      <t>​</t>
    </r>
    <r>
      <rPr>
        <sz val="11"/>
        <color rgb="FF000000"/>
        <rFont val="Calibri"/>
        <family val="2"/>
        <scheme val="minor"/>
      </rPr>
      <t xml:space="preserve">Claims adjudication, subscriber acquisition, Mortgage Processing etc. </t>
    </r>
  </si>
  <si>
    <t>Hiring - Up to 3 months</t>
  </si>
  <si>
    <t>Hiring Month 4 - 12</t>
  </si>
  <si>
    <t>Hiring Month 13onwards</t>
  </si>
  <si>
    <t>Deductions</t>
  </si>
  <si>
    <t>Gross - RON</t>
  </si>
  <si>
    <t>Insurance</t>
  </si>
  <si>
    <t>Gross ER cost</t>
  </si>
  <si>
    <t>Social security</t>
  </si>
  <si>
    <t>Health Insurance</t>
  </si>
  <si>
    <t>Income after deduction</t>
  </si>
  <si>
    <t>Income tax</t>
  </si>
  <si>
    <t>Net Rem</t>
  </si>
  <si>
    <t>Gross</t>
  </si>
  <si>
    <t>Finalized FSL rate card</t>
  </si>
  <si>
    <t>Complex Chat, Escalations, Dual Skills (chat/email with Voice skills)</t>
  </si>
  <si>
    <t>Makati</t>
  </si>
  <si>
    <t>Cebu</t>
  </si>
  <si>
    <t>Ops Mgr</t>
  </si>
  <si>
    <t>SM</t>
  </si>
  <si>
    <t>AD</t>
  </si>
  <si>
    <t>Director</t>
  </si>
  <si>
    <t>Base CTC PA</t>
  </si>
  <si>
    <t xml:space="preserve">​Account inquiry, claims status, transaction queries,  etc. </t>
  </si>
  <si>
    <t>​Appeals and grievances,Collection, Healthcare call centre etc.</t>
  </si>
  <si>
    <t>Annual Salary -Voice and  Backoffice - L4</t>
  </si>
  <si>
    <t>HYD</t>
  </si>
  <si>
    <t>BLR</t>
  </si>
  <si>
    <t>​Fraud response, tech L3 support, B2B sales, Collections etc.</t>
  </si>
  <si>
    <t>Mum</t>
  </si>
  <si>
    <t>Voice SME, Escalations,  AR Callers,etc. - Speciality</t>
  </si>
  <si>
    <t>CHN</t>
  </si>
  <si>
    <t>Trichy</t>
  </si>
  <si>
    <t>Pondy</t>
  </si>
  <si>
    <t>Digital intake, data validation</t>
  </si>
  <si>
    <t>VGA</t>
  </si>
  <si>
    <t xml:space="preserve">​KYC validation, claims processing, provider data management, etc. </t>
  </si>
  <si>
    <t>Indore</t>
  </si>
  <si>
    <t>Max</t>
  </si>
  <si>
    <t xml:space="preserve">​Payment integrity, appeal and grievances, subscriber acquisition, Payment posting etc. </t>
  </si>
  <si>
    <t>Annual Salary - L5 only</t>
  </si>
  <si>
    <t>Conveyance %</t>
  </si>
  <si>
    <t>Hourly Salary   (In AUD)</t>
  </si>
  <si>
    <t>Super (PF)</t>
  </si>
  <si>
    <t>Payroll  Tax</t>
  </si>
  <si>
    <t>L3 - L4</t>
  </si>
  <si>
    <t>Base Cost - Mandatory</t>
  </si>
  <si>
    <t>User Side</t>
  </si>
  <si>
    <t>Configuration</t>
  </si>
  <si>
    <t>Cost</t>
  </si>
  <si>
    <t>Per Month Cost</t>
  </si>
  <si>
    <t>Bronze - QBSS(Non Standard Setup - Refurbished Desktop, Servers)</t>
  </si>
  <si>
    <t>BYOD</t>
  </si>
  <si>
    <t>Firstsource Side - End User Dedicated Infra</t>
  </si>
  <si>
    <t>Desktop with Monitor (8GB)</t>
  </si>
  <si>
    <t>Desktop with Monitor (16GB)</t>
  </si>
  <si>
    <t>AIO (24") -  I5/8GB/512 SSD</t>
  </si>
  <si>
    <t>AIO (24") -  I5/16GB/512 SSD</t>
  </si>
  <si>
    <t>AIO (27") -  I5/16GB/512 SSD</t>
  </si>
  <si>
    <t>Laptop - I5/8GB/512 SSD</t>
  </si>
  <si>
    <t>Laptop - I5/16GB/512 SSD</t>
  </si>
  <si>
    <t>Laptop - I7/16GB/512 SSD</t>
  </si>
  <si>
    <t>Refurbished DELL \ LENOVO \HP Corei5 6th 8GB Ram 256GB 22 inch monitor keyboard mouse SSD</t>
  </si>
  <si>
    <t>Monitor 24"</t>
  </si>
  <si>
    <t>Display port for Dual Monitor</t>
  </si>
  <si>
    <t>Headsets (Poly BW 3220 Stereo)</t>
  </si>
  <si>
    <t>Firstsource Side - 
End user Common Infra</t>
  </si>
  <si>
    <t>Network components - Core Switch, Firewall etc</t>
  </si>
  <si>
    <t>Domain Cal</t>
  </si>
  <si>
    <t>Manage Engine - Zoho Asset explorer lic</t>
  </si>
  <si>
    <t xml:space="preserve">IT Support Cost </t>
  </si>
  <si>
    <t>Antivirus  - S1</t>
  </si>
  <si>
    <t>Proxy Licenses</t>
  </si>
  <si>
    <t>CATO/Palo Alto Proxy License</t>
  </si>
  <si>
    <t>CATO/Palo Alto Remote Client License</t>
  </si>
  <si>
    <t>Thinscale</t>
  </si>
  <si>
    <t>Connectivity</t>
  </si>
  <si>
    <t>Firstsource Bandwidth - Internet Site-Site VPN to Clients</t>
  </si>
  <si>
    <t>Firstsource Bandwidth - Internet Client Whitelist Firstsource IP</t>
  </si>
  <si>
    <t>Firstsource Bandwidth - MPLS type connection.</t>
  </si>
  <si>
    <t>MPLS - provided by Clients</t>
  </si>
  <si>
    <t xml:space="preserve">Security Tools </t>
  </si>
  <si>
    <t>SOC Services</t>
  </si>
  <si>
    <t>Log Management system</t>
  </si>
  <si>
    <t>Compliance &amp; certifications</t>
  </si>
  <si>
    <t>Security Management Tools - Scanning etc</t>
  </si>
  <si>
    <t>End User Security - Client req</t>
  </si>
  <si>
    <t>2FA/MFA - Hardware tokens/Authenticators - Mobile/App</t>
  </si>
  <si>
    <t>MS Office plans</t>
  </si>
  <si>
    <t>OE1 - Email(50GB Mailbox) ,Teams ,One drive, SharePoint, Yammer, office on the web, whiteboard, Yammer, forms</t>
  </si>
  <si>
    <t>AIP - Azure information protection</t>
  </si>
  <si>
    <t>OE3 - Email(100GB),Teams ,One drive, SharePoint, Yammer, offline office, whiteboard, Yammer, forms</t>
  </si>
  <si>
    <t>MF3 -KIOSK Email(2GB),Teams ,VDI, Yammer, office on the web, Azure Active Directory Premium P1,onedrive, SharePoint</t>
  </si>
  <si>
    <t>Kiosk - Email</t>
  </si>
  <si>
    <t>Online Plan 2 - Email(100GB)+DLP</t>
  </si>
  <si>
    <t>MF1 - Teams, Yammer, office on the web(Read only),Azure Information Protection, OneDrive, SharePoint, Azure Active Directory Identity Protection Plan 1</t>
  </si>
  <si>
    <t>MultiGeo - License for mailbox residing in US</t>
  </si>
  <si>
    <t>TOTAL - User Side</t>
  </si>
  <si>
    <t>Technology Costs/ seat / month - WAO</t>
  </si>
  <si>
    <t>Technology Costs/ seat / month - WAH</t>
  </si>
  <si>
    <t>Technology Costs/ seat / month - BYOD</t>
  </si>
  <si>
    <t>Agent</t>
  </si>
  <si>
    <t xml:space="preserve">QA Auto. </t>
  </si>
  <si>
    <t>AI Coach</t>
  </si>
  <si>
    <t>Other Partner Tools</t>
  </si>
  <si>
    <t>Sanas cost per user- Voice only</t>
  </si>
  <si>
    <t>USD - AUD</t>
  </si>
  <si>
    <t>RON - EURO</t>
  </si>
  <si>
    <t>USD - ZAR</t>
  </si>
  <si>
    <t>QA Automation - One-time + QA Automation/User/Month</t>
  </si>
  <si>
    <t>Other partner tools/User/Month + SANAS (For Offshore Voice)</t>
  </si>
  <si>
    <t>All Inputs Should Be in Local Currency</t>
  </si>
  <si>
    <t>Other Costs</t>
  </si>
  <si>
    <t>Preprocess</t>
  </si>
  <si>
    <t>Process</t>
  </si>
  <si>
    <t>OJT</t>
  </si>
  <si>
    <t>System Transhipment Cost</t>
  </si>
  <si>
    <t>Additional Cost</t>
  </si>
  <si>
    <t>Employee Profit Sharing</t>
  </si>
  <si>
    <t>INDUSTRY BENCHMARK _ McK team (rates in USD)</t>
  </si>
  <si>
    <t>UK (GBP)</t>
  </si>
  <si>
    <t>Trinidad and Tobago</t>
  </si>
  <si>
    <t xml:space="preserve">​CS, Account inquiry, claims status, transaction queries, etc. </t>
  </si>
  <si>
    <t>9-10</t>
  </si>
  <si>
    <t>12-13</t>
  </si>
  <si>
    <t>34-35</t>
  </si>
  <si>
    <t>18-19</t>
  </si>
  <si>
    <t>16-18</t>
  </si>
  <si>
    <t>​Appeals and grievances, subscription upgrades, Escalations, etc. - bilingual</t>
  </si>
  <si>
    <t>11-12</t>
  </si>
  <si>
    <t>14-15</t>
  </si>
  <si>
    <t>36-38</t>
  </si>
  <si>
    <t>21-22</t>
  </si>
  <si>
    <t>19-21</t>
  </si>
  <si>
    <t>​Fraud response, tech L3 support, B2B sales, Collections, TeleSales etc.</t>
  </si>
  <si>
    <t>13-14</t>
  </si>
  <si>
    <t>16-17</t>
  </si>
  <si>
    <t>39-40</t>
  </si>
  <si>
    <t>25-26</t>
  </si>
  <si>
    <t>24-26</t>
  </si>
  <si>
    <t xml:space="preserve">​Chat, email </t>
  </si>
  <si>
    <t>8-9</t>
  </si>
  <si>
    <t>10-11</t>
  </si>
  <si>
    <t>32-33</t>
  </si>
  <si>
    <t>14-16</t>
  </si>
  <si>
    <t>8-10</t>
  </si>
  <si>
    <t>33-34</t>
  </si>
  <si>
    <t>17-18</t>
  </si>
  <si>
    <t>15-17</t>
  </si>
  <si>
    <t>19-20</t>
  </si>
  <si>
    <t>17-19</t>
  </si>
  <si>
    <t>40-41</t>
  </si>
  <si>
    <t>23-25</t>
  </si>
  <si>
    <t>High Skill Underwriter, Licenced RN / Clinical Denial</t>
  </si>
  <si>
    <t>100% - WAO - Fully loaded - (Romania - 20% WAO only)</t>
  </si>
  <si>
    <t>Std Rate Card BENCHMARK _ FSL team (rates in USD)</t>
  </si>
  <si>
    <t>Complex Chat/email, Dual Skills</t>
  </si>
  <si>
    <t>8.5-8.75</t>
  </si>
  <si>
    <t>100% - WAH - Fully loaded</t>
  </si>
  <si>
    <t xml:space="preserve"> Rate / Paid Hr</t>
  </si>
  <si>
    <t xml:space="preserve"> TL Rate / Paid Hr</t>
  </si>
  <si>
    <t>26-27</t>
  </si>
  <si>
    <t>29-30</t>
  </si>
  <si>
    <t>31-33</t>
  </si>
  <si>
    <t>28-29</t>
  </si>
  <si>
    <t>30-31</t>
  </si>
  <si>
    <t xml:space="preserve"> FTE - Paid Hr Rate </t>
  </si>
  <si>
    <t xml:space="preserve"> TL and QA Rate / Paid Hr</t>
  </si>
  <si>
    <t>TL Base Hourly Salary</t>
  </si>
  <si>
    <t>WFO%</t>
  </si>
  <si>
    <t>Associate 
Monthly Salary</t>
  </si>
  <si>
    <t>FTEs</t>
  </si>
  <si>
    <t>Training 
Rate / Hr</t>
  </si>
  <si>
    <t>3 Year Revenue</t>
  </si>
  <si>
    <t>3 Year AM%</t>
  </si>
  <si>
    <t>Peer Rates</t>
  </si>
  <si>
    <t>*Any change in Min wage, it might impact Salaries for Freshers</t>
  </si>
  <si>
    <t>* 10% outliers doesn’t include specialised skills like Underwriters are not considered</t>
  </si>
  <si>
    <t>*Assumed Sanas Cost only for Voice LOBs</t>
  </si>
  <si>
    <t xml:space="preserve"> 	*Tech Cost specifications: i5, 16gb, 500GB SSD with Dual Monitor, VDI and Telephony not included, Laptop for WFH, Desktop for WFO </t>
  </si>
  <si>
    <t xml:space="preserve"> Rate/Paid Hr </t>
  </si>
  <si>
    <t xml:space="preserve">Training Rate/Hr </t>
  </si>
  <si>
    <t>Monthly Base Salary</t>
  </si>
  <si>
    <t>Total Cost</t>
  </si>
  <si>
    <t>Excluded</t>
  </si>
  <si>
    <t>Agent Salaries - Production</t>
  </si>
  <si>
    <t>Agent Salaries - Training</t>
  </si>
  <si>
    <t>ForexSpot</t>
  </si>
  <si>
    <t>Do not change below data</t>
  </si>
  <si>
    <t>Conso</t>
  </si>
  <si>
    <t>NA</t>
  </si>
  <si>
    <t>Month 3-6</t>
  </si>
  <si>
    <t>Month 7-12</t>
  </si>
  <si>
    <t>Month 13-24</t>
  </si>
  <si>
    <t>Month 36 - Rest of the contract duration</t>
  </si>
  <si>
    <t>Month 25 - 36</t>
  </si>
  <si>
    <t>Agent Cost Escalation - Year &gt;</t>
  </si>
  <si>
    <t>Support Cost Escalation - Year &gt;</t>
  </si>
  <si>
    <t>Price Escalation - Year &gt;</t>
  </si>
  <si>
    <t>Month 3 Training</t>
  </si>
  <si>
    <t>Month 2 Training</t>
  </si>
  <si>
    <t>Month 1 Training</t>
  </si>
  <si>
    <t>CSA Salary - Training</t>
  </si>
  <si>
    <t>This is used in training salary</t>
  </si>
  <si>
    <t>Australia Rates are in AUD</t>
  </si>
  <si>
    <t>Romania Rates are in Euro</t>
  </si>
  <si>
    <t>UK rates are in GBP</t>
  </si>
  <si>
    <t>AUD - AUD</t>
  </si>
  <si>
    <t>Rest all Geo Pnls and rates are in USD</t>
  </si>
  <si>
    <t>GBP/USD/EURO/AUD/AUD</t>
  </si>
  <si>
    <t>Non Billable</t>
  </si>
  <si>
    <t>100% - WAO - Fully Loaded - (Romania - 20% WAO only)</t>
  </si>
  <si>
    <t>BackofficeL1</t>
  </si>
  <si>
    <t>Billing Currency</t>
  </si>
  <si>
    <t>SPOT on
5th Feb'26</t>
  </si>
  <si>
    <t>AUD - INR</t>
  </si>
  <si>
    <t>GBP - EUR</t>
  </si>
  <si>
    <t>EUR - INR</t>
  </si>
  <si>
    <t>Resource Billing</t>
  </si>
  <si>
    <t>Forex Adjustment</t>
  </si>
  <si>
    <t>Agent Salary Breakup in Percentage</t>
  </si>
  <si>
    <t>Trainig Duration in days</t>
  </si>
  <si>
    <t>Reosurce count</t>
  </si>
  <si>
    <t>Contract Duration changes prices should be adjusted accordingly</t>
  </si>
  <si>
    <t>Rate/Paid hr rate - As per billing currency in PnL</t>
  </si>
  <si>
    <t>Roles</t>
  </si>
  <si>
    <t>Count</t>
  </si>
  <si>
    <t>Contract Duration (In Months)</t>
  </si>
  <si>
    <t>India P&amp;L Summary</t>
  </si>
  <si>
    <t>Cumalative Revenues</t>
  </si>
  <si>
    <t>Cumalative Account Margin</t>
  </si>
  <si>
    <t>GBP</t>
  </si>
  <si>
    <t>USD</t>
  </si>
  <si>
    <t>AUD</t>
  </si>
  <si>
    <t>MXN</t>
  </si>
  <si>
    <t>TTD</t>
  </si>
  <si>
    <t>ZAR</t>
  </si>
  <si>
    <t>INR</t>
  </si>
  <si>
    <t>PHP</t>
  </si>
  <si>
    <t>Delivery Geo</t>
  </si>
  <si>
    <t>Local Currency</t>
  </si>
  <si>
    <t>USD - GBP</t>
  </si>
  <si>
    <t>GBP - AUD</t>
  </si>
  <si>
    <t>USD - EUR</t>
  </si>
  <si>
    <t>MXN - EUR</t>
  </si>
  <si>
    <t>MXN - GBP</t>
  </si>
  <si>
    <t>MXN - USD</t>
  </si>
  <si>
    <t>MXN - AUD</t>
  </si>
  <si>
    <t>AUD - GBP</t>
  </si>
  <si>
    <t>AUD - USD</t>
  </si>
  <si>
    <t>AUD - EUR</t>
  </si>
  <si>
    <t>TTD - GBP</t>
  </si>
  <si>
    <t>TTD - USD</t>
  </si>
  <si>
    <t>TTD - EUR</t>
  </si>
  <si>
    <t>ZAR - GBP</t>
  </si>
  <si>
    <t>ZAR - USD</t>
  </si>
  <si>
    <t>ZAR - EUR</t>
  </si>
  <si>
    <t>INR - GBP</t>
  </si>
  <si>
    <t>INR - USD</t>
  </si>
  <si>
    <t>INR - EUR</t>
  </si>
  <si>
    <t>PHP - GBP</t>
  </si>
  <si>
    <t>PHP - USD</t>
  </si>
  <si>
    <t>PHP - EUR</t>
  </si>
  <si>
    <t>Actually this is GBP to INR, This is aligned since we are deviding in our PnL</t>
  </si>
  <si>
    <t>Actually this is USD to INR, This is aligned since we are deviding in our PnL</t>
  </si>
  <si>
    <t>Actually this is USD to MXN, This is aligned since we are deviding in our PnL</t>
  </si>
  <si>
    <t>Actually this is EUR to MXN, This is aligned since we are deviding in our PnL</t>
  </si>
  <si>
    <t>Actually this is GBP to AUD, This is aligned since we are deviding in our PnL</t>
  </si>
  <si>
    <t>Actually this is USD to AUD, This is aligned since we are deviding in our PnL</t>
  </si>
  <si>
    <t>Actually this is EUR to AUD, This is aligned since we are deviding in our PnL</t>
  </si>
  <si>
    <t>Actually this is GBP to TTD, This is aligned since we are deviding in our PnL</t>
  </si>
  <si>
    <t>Actually this is USD to TTD, This is aligned since we are deviding in our PnL</t>
  </si>
  <si>
    <t>Actually this is USD to ZAR, This is aligned since we are deviding in our PnL</t>
  </si>
  <si>
    <t>Actually this is GBP to PHP, This is aligned since we are deviding in our PnL</t>
  </si>
  <si>
    <t>Actually this is USD to PHP, This is aligned since we are deviding in our PnL</t>
  </si>
  <si>
    <t>INR - AUD</t>
  </si>
  <si>
    <t>Actually this is AUD to INR, This is aligned since we are deviding in our PnL</t>
  </si>
  <si>
    <t>RON - GBP</t>
  </si>
  <si>
    <t>RON - USD</t>
  </si>
  <si>
    <t>PHP - AUD</t>
  </si>
  <si>
    <t>Actually this is USD to GBP, This is aligned since we are deviding in our PnL</t>
  </si>
  <si>
    <t>Actually this is GBP to USD, This is aligned since we are deviding in our PnL</t>
  </si>
  <si>
    <t>Actually this is GBP to MXN, This is aligned since we are deviding in our PnL</t>
  </si>
  <si>
    <t>Actually this is AUD to PHP, This is aligned since we are deviding in our PnL</t>
  </si>
  <si>
    <t>Actually this is GBP to RON, This is aligned since we are deviding in our PnL</t>
  </si>
  <si>
    <t>Actually this is USD to RON, This is aligned since we are deviding in our PnL</t>
  </si>
  <si>
    <t>Actually this is GBP  to ZAR, This is aligned since we are deviding in our PnL</t>
  </si>
  <si>
    <t>Actually this is EUR to RON, This is aligned since we are deviding in our PnL</t>
  </si>
  <si>
    <t>Delivery Geo - Billing Currency</t>
  </si>
  <si>
    <t>Variance From Spot</t>
  </si>
  <si>
    <t>Remarks</t>
  </si>
  <si>
    <t>RON</t>
  </si>
  <si>
    <t>In PnL</t>
  </si>
  <si>
    <t>Actually this is AUD to GBP, This is aligned since we are deviding in our PnL</t>
  </si>
  <si>
    <t>Actually this is EURO to GBP, This is aligned since we are deviding in our PnL</t>
  </si>
  <si>
    <t>Actually this is AUD to USD, This is aligned since we are deviding in our PnL</t>
  </si>
  <si>
    <t>Actually this is EUR to USD, This is aligned since we are deviding in our PnL</t>
  </si>
  <si>
    <t>Actually this is AUD to MXN, This is aligned since we are deviding in our PnL</t>
  </si>
  <si>
    <t>TTD - AUD</t>
  </si>
  <si>
    <t>Actually this is AUD to TTD, This is aligned since we are deviding in our PnL</t>
  </si>
  <si>
    <t>ZAR - AUD</t>
  </si>
  <si>
    <t>Actually this is AUD to ZAR, This is aligned since we are deviding in our PnL</t>
  </si>
  <si>
    <t>Actually this is Euro to TTD, This is aligned since we are deviding in our PnL</t>
  </si>
  <si>
    <t>Actually this is Euro to ZAR, This is aligned since we are deviding in our PnL</t>
  </si>
  <si>
    <t>Actually this is Euro to INR, This is aligned since we are deviding in our PnL</t>
  </si>
  <si>
    <t>RON - AUD</t>
  </si>
  <si>
    <t>Actually this is AUD to RON, This is aligned since we are deviding in our PnL</t>
  </si>
  <si>
    <t>This is used for calculating actual IT cost in local currency in data tab</t>
  </si>
  <si>
    <t>Used Only For IT Cost</t>
  </si>
  <si>
    <t>RON - EUR</t>
  </si>
  <si>
    <t>Sales Force ID</t>
  </si>
  <si>
    <t>Pricing Request ID</t>
  </si>
  <si>
    <t>Business Line</t>
  </si>
  <si>
    <t>Deal Duration</t>
  </si>
  <si>
    <t>Client Name</t>
  </si>
  <si>
    <t>Opportunity Name</t>
  </si>
  <si>
    <t>Opportunity Owner</t>
  </si>
  <si>
    <t>Stage</t>
  </si>
  <si>
    <t>Industry</t>
  </si>
  <si>
    <t>Sub-Industry</t>
  </si>
  <si>
    <t>Capability Unit</t>
  </si>
  <si>
    <t>Capability Line Item</t>
  </si>
  <si>
    <t>Delivery Location</t>
  </si>
  <si>
    <t>Delivery City</t>
  </si>
  <si>
    <t>Work At Office (WAO)</t>
  </si>
  <si>
    <t>Channel</t>
  </si>
  <si>
    <t xml:space="preserve"> Project Details</t>
  </si>
  <si>
    <t>Pricing Method</t>
  </si>
  <si>
    <t>Contingency</t>
  </si>
  <si>
    <t>Contingency%</t>
  </si>
  <si>
    <t>Shift Differential</t>
  </si>
  <si>
    <t>Fully loaded CTC per Month</t>
  </si>
  <si>
    <t>WAO%</t>
  </si>
  <si>
    <t>Year &gt;</t>
  </si>
  <si>
    <t>Y1 - H1</t>
  </si>
  <si>
    <t>Y1 - H2</t>
  </si>
  <si>
    <t>Prorated amounts of both are paid out upon termination</t>
  </si>
  <si>
    <t>Benefits &gt;&gt;&gt;</t>
  </si>
  <si>
    <t>Grocery Stamps</t>
  </si>
  <si>
    <t>Social Load</t>
  </si>
  <si>
    <t>Life &amp; Medical Insurance</t>
  </si>
  <si>
    <t>Local Payroll taxes</t>
  </si>
  <si>
    <t>Christmas Bonus (15 days for agents, TL, QA,TR,WFM (upto F2 grade) / 30 days for Management staff above F1)</t>
  </si>
  <si>
    <t>Vacation Premium
25% of Vacation Days Given upon Anniversary</t>
  </si>
  <si>
    <t>Mexico public holiday premium</t>
  </si>
  <si>
    <t>Sunday working premium</t>
  </si>
  <si>
    <t>Loaded Monthly Salary with Benefits &amp; Taxes</t>
  </si>
  <si>
    <t>Total Benefit% (Excluding Christmas Bonus)</t>
  </si>
  <si>
    <t>One Time Recruitment cost per hire</t>
  </si>
  <si>
    <t>BGV cost per hire</t>
  </si>
  <si>
    <t>HR Comments:</t>
  </si>
  <si>
    <t>Fresher</t>
  </si>
  <si>
    <t>Voice L1</t>
  </si>
  <si>
    <r>
      <rPr>
        <b/>
        <sz val="10"/>
        <color theme="1"/>
        <rFont val="Calibri"/>
        <family val="2"/>
      </rPr>
      <t xml:space="preserve">Base Hourly Salary </t>
    </r>
    <r>
      <rPr>
        <sz val="10"/>
        <color theme="1"/>
        <rFont val="Calibri"/>
        <family val="2"/>
      </rPr>
      <t>- Calculation is based on 8 hours a day (assuming our max billable hours to client will be 8, even though we may pay employees for a 9 hour day)</t>
    </r>
  </si>
  <si>
    <r>
      <rPr>
        <b/>
        <sz val="10"/>
        <color theme="1"/>
        <rFont val="Calibri"/>
        <family val="2"/>
      </rPr>
      <t xml:space="preserve">Daily Salary </t>
    </r>
    <r>
      <rPr>
        <sz val="10"/>
        <color theme="1"/>
        <rFont val="Calibri"/>
        <family val="2"/>
      </rPr>
      <t xml:space="preserve"> - Calculation is based on 30 days</t>
    </r>
  </si>
  <si>
    <t>Voice L4</t>
  </si>
  <si>
    <r>
      <rPr>
        <b/>
        <sz val="10"/>
        <color theme="1"/>
        <rFont val="Calibri"/>
        <family val="2"/>
      </rPr>
      <t>Grocery Stamps</t>
    </r>
    <r>
      <rPr>
        <sz val="10"/>
        <color theme="1"/>
        <rFont val="Calibri"/>
        <family val="2"/>
      </rPr>
      <t xml:space="preserve"> - Amount is is 10% of monthly salary up to a max of $2,925  </t>
    </r>
  </si>
  <si>
    <r>
      <rPr>
        <b/>
        <sz val="10"/>
        <color theme="1"/>
        <rFont val="Calibri"/>
        <family val="2"/>
      </rPr>
      <t xml:space="preserve">Payroll Taxes </t>
    </r>
    <r>
      <rPr>
        <sz val="10"/>
        <color theme="1"/>
        <rFont val="Calibri"/>
        <family val="2"/>
      </rPr>
      <t>- 3%</t>
    </r>
  </si>
  <si>
    <r>
      <rPr>
        <b/>
        <sz val="10"/>
        <color rgb="FFFF0000"/>
        <rFont val="Calibri"/>
        <family val="2"/>
      </rPr>
      <t>Grocery Stamp Admin Cost (ADD)</t>
    </r>
    <r>
      <rPr>
        <sz val="10"/>
        <color theme="1"/>
        <rFont val="Calibri"/>
        <family val="2"/>
      </rPr>
      <t xml:space="preserve"> - 1% of grocery stamp amount</t>
    </r>
  </si>
  <si>
    <r>
      <rPr>
        <b/>
        <sz val="10"/>
        <color rgb="FFFF0000"/>
        <rFont val="Calibri"/>
        <family val="2"/>
      </rPr>
      <t>Life Insurance (ADD)</t>
    </r>
    <r>
      <rPr>
        <sz val="10"/>
        <color theme="1"/>
        <rFont val="Calibri"/>
        <family val="2"/>
      </rPr>
      <t xml:space="preserve"> - 520 pesos per employee, per month</t>
    </r>
  </si>
  <si>
    <r>
      <rPr>
        <b/>
        <sz val="10"/>
        <color rgb="FFFF0000"/>
        <rFont val="Calibri"/>
        <family val="2"/>
      </rPr>
      <t>Site Labor Doctor (ADD)</t>
    </r>
    <r>
      <rPr>
        <sz val="10"/>
        <color theme="1"/>
        <rFont val="Calibri"/>
        <family val="2"/>
      </rPr>
      <t xml:space="preserve"> - Estimated 70,000 pesos/month. Needs to be factored into overall admin/facilities cost </t>
    </r>
  </si>
  <si>
    <r>
      <rPr>
        <b/>
        <sz val="10"/>
        <color theme="1"/>
        <rFont val="Calibri"/>
        <family val="2"/>
      </rPr>
      <t>Christmas Bonus &amp; Vacation Bonus</t>
    </r>
    <r>
      <rPr>
        <sz val="10"/>
        <color theme="1"/>
        <rFont val="Calibri"/>
        <family val="2"/>
      </rPr>
      <t xml:space="preserve"> - included in Column J. Note: Calculated as an additional month pay but realistically is less than that so there's buffer </t>
    </r>
  </si>
  <si>
    <t>Exp.</t>
  </si>
  <si>
    <r>
      <rPr>
        <b/>
        <sz val="10"/>
        <color theme="1"/>
        <rFont val="Calibri"/>
        <family val="2"/>
      </rPr>
      <t>Social Load -</t>
    </r>
    <r>
      <rPr>
        <sz val="10"/>
        <color theme="1"/>
        <rFont val="Calibri"/>
        <family val="2"/>
      </rPr>
      <t xml:space="preserve"> 23% which includes IMSS, Infonavit, ISR (ranges between 22-24.5%, average is 23%)</t>
    </r>
  </si>
  <si>
    <t>Compliance Manager</t>
  </si>
  <si>
    <t>Resource1</t>
  </si>
  <si>
    <t>Resource2</t>
  </si>
  <si>
    <t>for Backoffice L4</t>
  </si>
  <si>
    <t>Holiday Working</t>
  </si>
  <si>
    <t>6 days</t>
  </si>
  <si>
    <t>3X salaries</t>
  </si>
  <si>
    <t>Sunday Working</t>
  </si>
  <si>
    <t>125% of the salary of that day</t>
  </si>
  <si>
    <t>OT Charges</t>
  </si>
  <si>
    <t xml:space="preserve">May not exceed 3 hrs./day or 3 times a week mandatorily. However, if the employer asks the employee to work certain 
amount of overtime exceeding this limit, the employee could voluntarily accept to work it. </t>
  </si>
  <si>
    <t>2x pay if under 9 hours, 3x pay if it exceeds 9 hours per day</t>
  </si>
  <si>
    <t>Night Shift</t>
  </si>
  <si>
    <t>Between 20:00 and 6:00 hours</t>
  </si>
  <si>
    <t>Same salary, reduced shift - maximum 7 hours a day, 42 hrs. /week</t>
  </si>
  <si>
    <t>Vacation Premium</t>
  </si>
  <si>
    <t>25% of the # of Vacation Days compensation paid upon Anniversary</t>
  </si>
  <si>
    <t xml:space="preserve">Vacation Schedule </t>
  </si>
  <si>
    <t>Years Worked</t>
  </si>
  <si>
    <t xml:space="preserve">Vacation Days </t>
  </si>
  <si>
    <t>Vacation days are granted upon Anniversary and paid out on prorated basis if terminated</t>
  </si>
  <si>
    <t>0 up to 1 year</t>
  </si>
  <si>
    <t>1 year</t>
  </si>
  <si>
    <t>2 years</t>
  </si>
  <si>
    <t>3 years</t>
  </si>
  <si>
    <t>4 years</t>
  </si>
  <si>
    <t>5 years</t>
  </si>
  <si>
    <t>6 to 10 years</t>
  </si>
  <si>
    <t>11 to 15 years</t>
  </si>
  <si>
    <t>16 to 20 years</t>
  </si>
  <si>
    <t>21 to 25 years</t>
  </si>
  <si>
    <t>26 to 30 years</t>
  </si>
  <si>
    <t>31 to 35 years</t>
  </si>
  <si>
    <t xml:space="preserve">Holiday Calendar </t>
  </si>
  <si>
    <t>January 1st</t>
  </si>
  <si>
    <t>First Monday of February</t>
  </si>
  <si>
    <t>Third Monday of March</t>
  </si>
  <si>
    <t>May 1st</t>
  </si>
  <si>
    <t>16th of September</t>
  </si>
  <si>
    <t>Third Monday of November</t>
  </si>
  <si>
    <t>25th of December</t>
  </si>
  <si>
    <t>December 1st (every six years for change of President)</t>
  </si>
  <si>
    <t>The date for local and federal elections</t>
  </si>
  <si>
    <t>Benefits Assumptions</t>
  </si>
  <si>
    <t xml:space="preserve">Based on our discussion 6 holidays has been considered for Mexico. Employees will be paid 3 times of their daily base salary for working on Holidays. We have assumed only 50% employees of an overall project will work on holidays, same can be modified based on different project requirements.  </t>
  </si>
  <si>
    <t>Sunday Workings</t>
  </si>
  <si>
    <t>Employees will be eligible for a 25% higher payment for working on Sundays( 25% extra on base per day salary). Assumed only 50% of the employee will have to work on holidays, however same can be modified based on different project requirements.</t>
  </si>
  <si>
    <t>Employees will be eligible for a 25% higher payment for working on odd hour shifts. ( 25% extra on base per day salary), Night shift allowance has not been considered in above calculation same can be loaded on a deal to deal basis.</t>
  </si>
  <si>
    <t xml:space="preserve">Employees are entitled for an annual vacation bonus which will be equivalent to 25% of the 12 days base salary. </t>
  </si>
  <si>
    <t xml:space="preserve">Christmas Bonus </t>
  </si>
  <si>
    <t xml:space="preserve">All Associate,TL,AM,QA,Trainer, RTA/WFM resources are entitled for an annual Christmas bonus of 15 days base salary and other roles are eligible for 1 month base salary </t>
  </si>
  <si>
    <t>Shrinkage Assumptions</t>
  </si>
  <si>
    <t>Employees are not entitled to take any paid leaves in year 1 , except holidays, Marriage, Bereavement leaves. From year 2 onwards employees will be eligible for 21 paid leaves that will increase year on year. Details given in below table.</t>
  </si>
  <si>
    <t xml:space="preserve">Basis discussion with HR team yearly 8 days has been considered as unpaid leaves </t>
  </si>
  <si>
    <t xml:space="preserve">Sanas </t>
  </si>
  <si>
    <t>Cost will be excluded in data master tab</t>
  </si>
  <si>
    <t>Annual Loaded Salary</t>
  </si>
  <si>
    <t>Voice L2</t>
  </si>
  <si>
    <t>Voice L3</t>
  </si>
  <si>
    <t>Non-voice L1</t>
  </si>
  <si>
    <t>Non-voice L2</t>
  </si>
  <si>
    <t>Backoffice L1</t>
  </si>
  <si>
    <t>Backoffice L2</t>
  </si>
  <si>
    <t>Backoffice L3</t>
  </si>
  <si>
    <t>Backoffice L4</t>
  </si>
  <si>
    <t>Billable SME FTEs</t>
  </si>
  <si>
    <t>Billable SME Login Hours</t>
  </si>
  <si>
    <t>Billing SME Rate / Login Hr</t>
  </si>
  <si>
    <t>SME Production Revenues</t>
  </si>
  <si>
    <t xml:space="preserve">Blended CPH  Costing </t>
  </si>
  <si>
    <t>Monthly Number</t>
  </si>
  <si>
    <t xml:space="preserve">Recruiter Salaries </t>
  </si>
  <si>
    <t xml:space="preserve">Recruiter benefits </t>
  </si>
  <si>
    <t xml:space="preserve">Applicant Tracking System </t>
  </si>
  <si>
    <t xml:space="preserve">Linkedin Recruiter licence </t>
  </si>
  <si>
    <t xml:space="preserve">TA overhead </t>
  </si>
  <si>
    <t xml:space="preserve">Job Advertising </t>
  </si>
  <si>
    <t xml:space="preserve">Background checks </t>
  </si>
  <si>
    <t xml:space="preserve">Competency Assessment </t>
  </si>
  <si>
    <t xml:space="preserve">Recruitment Agency </t>
  </si>
  <si>
    <t xml:space="preserve">India - T2 </t>
  </si>
  <si>
    <t>India - T1</t>
  </si>
  <si>
    <t>US Cluster 1</t>
  </si>
  <si>
    <t>US Cluster 2</t>
  </si>
  <si>
    <t>US Cluster 3</t>
  </si>
  <si>
    <t>US Cluster 4</t>
  </si>
  <si>
    <t>Puerto Rico</t>
  </si>
  <si>
    <t>Ind Tier 1 - B'lore, Hyd, Chennai</t>
  </si>
  <si>
    <t>Ind Tier 1 -Mumbai</t>
  </si>
  <si>
    <t>Ind Tier 1 -Gurugram</t>
  </si>
  <si>
    <t>Ind Tier 2 - Pondi, Trichy, Vijayawada, Indore</t>
  </si>
  <si>
    <t>Work From Office (New Delivery Center)</t>
  </si>
  <si>
    <t>Work from Office (Existing Delivery Center)</t>
  </si>
  <si>
    <t>Work From Home</t>
  </si>
  <si>
    <t>Total Facility Cost</t>
  </si>
  <si>
    <t>Payslip Cost per Slip Monthly</t>
  </si>
  <si>
    <t>Payslip Cost per Slip Monthly -(1.20 USD)</t>
  </si>
  <si>
    <t>Payslip Cost per Slip  -(20USD) Monthly</t>
  </si>
  <si>
    <t>Gross -with Payslip and Payroll tax</t>
  </si>
  <si>
    <t>Payslip Cost per Slip
(2.7 USD)</t>
  </si>
  <si>
    <t>Payroll Tax</t>
  </si>
  <si>
    <t>Gross -without Payslip and Payroll tax</t>
  </si>
  <si>
    <t>Payslip Cost per Slip monthly</t>
  </si>
  <si>
    <t>Max. Weekly Hours</t>
  </si>
  <si>
    <t>Mexico Billable Hours</t>
  </si>
  <si>
    <t>TR Proposal - Tier 1</t>
  </si>
  <si>
    <t>TR Proposal - Tier 2</t>
  </si>
  <si>
    <t>Experienced</t>
  </si>
  <si>
    <t>T1</t>
  </si>
  <si>
    <t>T2</t>
  </si>
  <si>
    <t>One Time Revenue</t>
  </si>
  <si>
    <t>Currency</t>
  </si>
  <si>
    <t>EUR</t>
  </si>
  <si>
    <t>Forex</t>
  </si>
  <si>
    <t>For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</si>
</sst>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0.0%"/>
    <numFmt numFmtId="168" formatCode="0&quot; weeks&quot;"/>
    <numFmt numFmtId="169" formatCode="&quot;Month &quot;0"/>
    <numFmt numFmtId="170" formatCode="0.0"/>
    <numFmt numFmtId="171" formatCode="[$£-809]#,##0"/>
    <numFmt numFmtId="172" formatCode="#,##0.0"/>
    <numFmt numFmtId="173" formatCode="_(* #,##0_);_(* \(#,##0\);_(* &quot;-&quot;??_);_(@_)"/>
    <numFmt numFmtId="174" formatCode="[$£-809]#,##0.00"/>
    <numFmt numFmtId="175" formatCode="\£#,##0_);[Red]\(\£#,##0\)"/>
    <numFmt numFmtId="176" formatCode="0.0&quot; Hours&quot;"/>
    <numFmt numFmtId="177" formatCode="&quot;$&quot;#,##0.00"/>
    <numFmt numFmtId="178" formatCode="[$-409]dd/mmm/yy;@"/>
    <numFmt numFmtId="179" formatCode="_(&quot;$&quot;* #,##0_);_(&quot;$&quot;* \(#,##0\);_(&quot;$&quot;* &quot;-&quot;??_);_(@_)"/>
    <numFmt numFmtId="180" formatCode="0&quot; BGV&quot;"/>
    <numFmt numFmtId="181" formatCode="[$-409]d\-mmm\-yy;@"/>
    <numFmt numFmtId="182" formatCode="#,##0.0_);\(#,##0.0\)"/>
    <numFmt numFmtId="183" formatCode="_-[$£-809]* #,##0.00_-;\-[$£-809]* #,##0.00_-;_-[$£-809]* &quot;-&quot;??_-;_-@_-"/>
    <numFmt numFmtId="184" formatCode="0&quot; Year&quot;"/>
    <numFmt numFmtId="185" formatCode="&quot;Quarter&quot;0"/>
    <numFmt numFmtId="186" formatCode="&quot;Q&quot;0"/>
    <numFmt numFmtId="187" formatCode="&quot; Year&quot;0"/>
    <numFmt numFmtId="188" formatCode="_ * #,##0_ ;_ * \-#,##0_ ;_ * &quot;-&quot;??_ ;_ @_ "/>
    <numFmt numFmtId="189" formatCode="_ * #,##0.0_ ;_ * \-#,##0.0_ ;_ * &quot;-&quot;??_ ;_ @_ "/>
    <numFmt numFmtId="190" formatCode="&quot;$&quot;\ #,##0;[Red]&quot;$&quot;\ \-#,##0"/>
    <numFmt numFmtId="191" formatCode="[$INR]\ #,##0"/>
    <numFmt numFmtId="192" formatCode="&quot;1: &quot;0"/>
    <numFmt numFmtId="193" formatCode="[$£-809]#,##0;[Red][$£-809]#,##0"/>
    <numFmt numFmtId="194" formatCode="&quot;$&quot;#,##0"/>
    <numFmt numFmtId="195" formatCode="0.000%"/>
    <numFmt numFmtId="196" formatCode="&quot;Hours&quot;\ #.0"/>
    <numFmt numFmtId="197" formatCode="[$£-809]#,##0.0"/>
    <numFmt numFmtId="198" formatCode="0.0&quot; weeks&quot;"/>
    <numFmt numFmtId="199" formatCode="[$$-409]#,##0.00"/>
    <numFmt numFmtId="200" formatCode="_-&quot;£&quot;* #,##0.00_-;\-&quot;£&quot;* #,##0.00_-;_-&quot;£&quot;* &quot;-&quot;??_-;_-@_-"/>
    <numFmt numFmtId="201" formatCode="[$TTD]\ #,##0"/>
    <numFmt numFmtId="202" formatCode="[$PHP]\ #,##0;[Red][$PHP]\ #,##0"/>
    <numFmt numFmtId="203" formatCode="&quot;$&quot;\ #,##0.00;[Red]&quot;$&quot;\ \-#,##0.00"/>
    <numFmt numFmtId="204" formatCode="[$$-409]#,##0"/>
    <numFmt numFmtId="205" formatCode="[$INR]\ #,##0.00_);[Red]\([$INR]\ #,##0.00\)"/>
    <numFmt numFmtId="206" formatCode="[$ZAR]\ #,##0.00"/>
    <numFmt numFmtId="207" formatCode="[$ZAR]\ #,##0"/>
    <numFmt numFmtId="208" formatCode="[$RON]\ #,##0"/>
    <numFmt numFmtId="209" formatCode="[$€-2]\ #,##0"/>
    <numFmt numFmtId="210" formatCode="[$MXN]\ #,##0"/>
    <numFmt numFmtId="211" formatCode="[$INR]\ #,##0_);[Red]\([$INR]\ #,##0\)"/>
    <numFmt numFmtId="212" formatCode="[$AUD]\ #,##0"/>
    <numFmt numFmtId="213" formatCode="[$AUD]\ #,##0_);[Red]\([$AUD]\ #,##0\)"/>
    <numFmt numFmtId="214" formatCode="[$AUD]\ #,##0.00"/>
    <numFmt numFmtId="215" formatCode="&quot;M&quot;#"/>
    <numFmt numFmtId="216" formatCode="[$PHP]\ #,##0"/>
    <numFmt numFmtId="217" formatCode="&quot;$&quot;\ #,##0.0;[Red]&quot;$&quot;\ \-#,##0.0"/>
    <numFmt numFmtId="218" formatCode="[$€-2]\ #,##0.00"/>
    <numFmt numFmtId="219" formatCode="[$$-409]#,##0_ ;[Red]\-[$$-409]#,##0\ "/>
    <numFmt numFmtId="220" formatCode="0.00&quot; weeks&quot;"/>
    <numFmt numFmtId="221" formatCode="#,##0.000"/>
    <numFmt numFmtId="222" formatCode="[$€-2]\ #,##0.00_);[Red]\([$€-2]\ #,##0.00\)"/>
    <numFmt numFmtId="223" formatCode="[$£-809]#,##0.00;[Red]\-[$£-809]#,##0.00"/>
    <numFmt numFmtId="224" formatCode="[$AUD]\ #,##0.00_);[Red]\([$AUD]\ #,##0.00\)"/>
    <numFmt numFmtId="225" formatCode="&quot;$&quot;#,##0.0_);[Red]\(&quot;$&quot;#,##0.0\)"/>
    <numFmt numFmtId="226" formatCode="[$MXN]\ #,##0.00"/>
    <numFmt numFmtId="227" formatCode="&quot;R&quot;#,##0;[Red]\-&quot;R&quot;#,##0"/>
    <numFmt numFmtId="228" formatCode="0.000"/>
    <numFmt numFmtId="229" formatCode="[$EUR]\ #,##0;[Red][$EUR]\ #,##0"/>
    <numFmt numFmtId="230" formatCode="#,##0.0000000000000;[Red]#,##0.0000000000000"/>
    <numFmt numFmtId="231" formatCode="#\ &quot;Hours&quot;"/>
  </numFmts>
  <fonts count="6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b/>
      <sz val="11"/>
      <color theme="4" tint="-0.2499465926084170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2"/>
      <name val="Calibri"/>
      <family val="2"/>
    </font>
    <font>
      <b/>
      <sz val="11"/>
      <color rgb="FF99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2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3" tint="0.89999084444715716"/>
      <name val="Calibri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b/>
      <sz val="10"/>
      <color theme="3" tint="0.39997558519241921"/>
      <name val="Calibri"/>
      <family val="2"/>
    </font>
    <font>
      <b/>
      <sz val="10"/>
      <color rgb="FF000000"/>
      <name val="Calibri"/>
      <family val="2"/>
    </font>
    <font>
      <u/>
      <sz val="10"/>
      <color theme="1"/>
      <name val="Calibri"/>
      <family val="2"/>
    </font>
    <font>
      <b/>
      <sz val="9"/>
      <color theme="1"/>
      <name val="Calibri"/>
      <family val="2"/>
    </font>
    <font>
      <sz val="10"/>
      <color theme="0"/>
      <name val="Calibri"/>
      <family val="2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rgb="FFFF0000"/>
      <name val="Calibri"/>
      <family val="2"/>
    </font>
    <font>
      <b/>
      <sz val="10"/>
      <color theme="2"/>
      <name val="Calibri"/>
      <family val="2"/>
    </font>
    <font>
      <sz val="11"/>
      <color theme="0"/>
      <name val="Calibri"/>
      <family val="2"/>
    </font>
  </fonts>
  <fills count="6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87F7F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5E4E2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</fills>
  <borders count="1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/>
      <diagonal/>
    </border>
    <border>
      <left style="medium">
        <color indexed="64"/>
      </left>
      <right style="hair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9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5" fillId="0" borderId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" fillId="0" borderId="0"/>
    <xf numFmtId="0" fontId="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11" fillId="0" borderId="0"/>
    <xf numFmtId="0" fontId="12" fillId="0" borderId="0"/>
    <xf numFmtId="0" fontId="13" fillId="0" borderId="0"/>
    <xf numFmtId="44" fontId="1" fillId="0" borderId="0" applyFont="0" applyFill="0" applyBorder="0" applyAlignment="0" applyProtection="0"/>
    <xf numFmtId="0" fontId="2" fillId="0" borderId="0"/>
    <xf numFmtId="0" fontId="16" fillId="0" borderId="0"/>
    <xf numFmtId="16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24" fillId="0" borderId="0"/>
    <xf numFmtId="0" fontId="1" fillId="0" borderId="0"/>
    <xf numFmtId="0" fontId="30" fillId="53" borderId="110" applyNumberFormat="0" applyAlignment="0" applyProtection="0"/>
    <xf numFmtId="0" fontId="31" fillId="52" borderId="110" applyNumberFormat="0" applyAlignment="0" applyProtection="0"/>
    <xf numFmtId="200" fontId="1" fillId="0" borderId="0" applyFont="0" applyFill="0" applyBorder="0" applyAlignment="0" applyProtection="0"/>
  </cellStyleXfs>
  <cellXfs count="1662">
    <xf numFmtId="0" fontId="0" fillId="0" borderId="0" xfId="0"/>
    <xf numFmtId="178" fontId="3" fillId="25" borderId="27" xfId="5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Alignment="1" applyProtection="1">
      <alignment horizontal="center"/>
      <protection hidden="1"/>
    </xf>
    <xf numFmtId="167" fontId="3" fillId="0" borderId="31" xfId="13" applyNumberFormat="1" applyFont="1" applyFill="1" applyBorder="1" applyAlignment="1" applyProtection="1">
      <alignment horizontal="center"/>
      <protection hidden="1"/>
    </xf>
    <xf numFmtId="167" fontId="3" fillId="0" borderId="30" xfId="13" applyNumberFormat="1" applyFont="1" applyFill="1" applyBorder="1" applyAlignment="1" applyProtection="1">
      <alignment horizontal="center"/>
      <protection hidden="1"/>
    </xf>
    <xf numFmtId="6" fontId="4" fillId="0" borderId="36" xfId="0" applyNumberFormat="1" applyFont="1" applyBorder="1" applyAlignment="1" applyProtection="1">
      <alignment horizontal="center"/>
      <protection hidden="1"/>
    </xf>
    <xf numFmtId="6" fontId="4" fillId="0" borderId="37" xfId="0" applyNumberFormat="1" applyFont="1" applyBorder="1" applyAlignment="1" applyProtection="1">
      <alignment horizontal="center"/>
      <protection hidden="1"/>
    </xf>
    <xf numFmtId="175" fontId="4" fillId="0" borderId="31" xfId="14" applyNumberFormat="1" applyFont="1" applyBorder="1" applyAlignment="1" applyProtection="1">
      <alignment horizontal="center"/>
      <protection hidden="1"/>
    </xf>
    <xf numFmtId="167" fontId="3" fillId="0" borderId="27" xfId="13" applyNumberFormat="1" applyFont="1" applyFill="1" applyBorder="1" applyAlignment="1" applyProtection="1">
      <alignment horizontal="center"/>
      <protection hidden="1"/>
    </xf>
    <xf numFmtId="167" fontId="3" fillId="0" borderId="11" xfId="13" applyNumberFormat="1" applyFont="1" applyFill="1" applyBorder="1" applyAlignment="1" applyProtection="1">
      <alignment horizontal="center"/>
      <protection hidden="1"/>
    </xf>
    <xf numFmtId="6" fontId="4" fillId="0" borderId="0" xfId="0" applyNumberFormat="1" applyFont="1" applyAlignment="1" applyProtection="1">
      <alignment horizontal="center"/>
      <protection hidden="1"/>
    </xf>
    <xf numFmtId="6" fontId="4" fillId="0" borderId="9" xfId="0" applyNumberFormat="1" applyFont="1" applyBorder="1" applyAlignment="1" applyProtection="1">
      <alignment horizontal="center"/>
      <protection hidden="1"/>
    </xf>
    <xf numFmtId="0" fontId="6" fillId="23" borderId="1" xfId="0" applyFont="1" applyFill="1" applyBorder="1" applyAlignment="1">
      <alignment horizontal="left" indent="1"/>
    </xf>
    <xf numFmtId="0" fontId="9" fillId="0" borderId="0" xfId="0" applyFont="1" applyAlignment="1">
      <alignment vertical="center"/>
    </xf>
    <xf numFmtId="0" fontId="9" fillId="0" borderId="0" xfId="0" applyFont="1"/>
    <xf numFmtId="4" fontId="3" fillId="0" borderId="9" xfId="1" applyNumberFormat="1" applyFont="1" applyFill="1" applyBorder="1" applyAlignment="1" applyProtection="1">
      <alignment horizontal="center"/>
      <protection hidden="1"/>
    </xf>
    <xf numFmtId="171" fontId="4" fillId="0" borderId="9" xfId="1" applyNumberFormat="1" applyFont="1" applyBorder="1" applyAlignment="1" applyProtection="1">
      <alignment horizontal="center"/>
      <protection hidden="1"/>
    </xf>
    <xf numFmtId="171" fontId="4" fillId="0" borderId="0" xfId="1" applyNumberFormat="1" applyFont="1" applyBorder="1" applyAlignment="1" applyProtection="1">
      <alignment horizontal="center"/>
      <protection hidden="1"/>
    </xf>
    <xf numFmtId="171" fontId="3" fillId="9" borderId="26" xfId="1" applyNumberFormat="1" applyFont="1" applyFill="1" applyBorder="1" applyAlignment="1" applyProtection="1">
      <alignment horizontal="center"/>
      <protection hidden="1"/>
    </xf>
    <xf numFmtId="171" fontId="4" fillId="0" borderId="9" xfId="12" applyNumberFormat="1" applyFont="1" applyBorder="1" applyAlignment="1" applyProtection="1">
      <alignment horizontal="center"/>
      <protection hidden="1"/>
    </xf>
    <xf numFmtId="171" fontId="4" fillId="0" borderId="0" xfId="12" applyNumberFormat="1" applyFont="1" applyBorder="1" applyAlignment="1" applyProtection="1">
      <alignment horizontal="center"/>
      <protection hidden="1"/>
    </xf>
    <xf numFmtId="171" fontId="4" fillId="33" borderId="9" xfId="12" applyNumberFormat="1" applyFont="1" applyFill="1" applyBorder="1" applyAlignment="1" applyProtection="1">
      <alignment horizontal="center"/>
      <protection hidden="1"/>
    </xf>
    <xf numFmtId="171" fontId="4" fillId="0" borderId="0" xfId="12" applyNumberFormat="1" applyFont="1" applyFill="1" applyBorder="1" applyAlignment="1" applyProtection="1">
      <alignment horizontal="center"/>
      <protection hidden="1"/>
    </xf>
    <xf numFmtId="171" fontId="4" fillId="33" borderId="0" xfId="12" applyNumberFormat="1" applyFont="1" applyFill="1" applyBorder="1" applyAlignment="1" applyProtection="1">
      <alignment horizontal="center"/>
      <protection hidden="1"/>
    </xf>
    <xf numFmtId="171" fontId="4" fillId="0" borderId="30" xfId="0" applyNumberFormat="1" applyFont="1" applyBorder="1" applyAlignment="1" applyProtection="1">
      <alignment horizontal="center"/>
      <protection hidden="1"/>
    </xf>
    <xf numFmtId="171" fontId="4" fillId="0" borderId="31" xfId="0" applyNumberFormat="1" applyFont="1" applyBorder="1" applyAlignment="1" applyProtection="1">
      <alignment horizontal="center"/>
      <protection hidden="1"/>
    </xf>
    <xf numFmtId="171" fontId="4" fillId="0" borderId="32" xfId="0" applyNumberFormat="1" applyFont="1" applyBorder="1" applyAlignment="1" applyProtection="1">
      <alignment horizontal="center"/>
      <protection hidden="1"/>
    </xf>
    <xf numFmtId="171" fontId="4" fillId="0" borderId="33" xfId="0" applyNumberFormat="1" applyFont="1" applyBorder="1" applyAlignment="1" applyProtection="1">
      <alignment horizontal="center"/>
      <protection hidden="1"/>
    </xf>
    <xf numFmtId="171" fontId="3" fillId="25" borderId="33" xfId="11" applyNumberFormat="1" applyFont="1" applyFill="1" applyBorder="1" applyAlignment="1" applyProtection="1">
      <alignment horizontal="center"/>
      <protection hidden="1"/>
    </xf>
    <xf numFmtId="171" fontId="4" fillId="0" borderId="0" xfId="0" applyNumberFormat="1" applyFont="1" applyAlignment="1" applyProtection="1">
      <alignment horizontal="center"/>
      <protection hidden="1"/>
    </xf>
    <xf numFmtId="4" fontId="9" fillId="0" borderId="0" xfId="0" applyNumberFormat="1" applyFont="1"/>
    <xf numFmtId="174" fontId="9" fillId="0" borderId="0" xfId="0" applyNumberFormat="1" applyFont="1"/>
    <xf numFmtId="0" fontId="9" fillId="0" borderId="0" xfId="0" applyFont="1" applyAlignment="1">
      <alignment horizontal="left" indent="1"/>
    </xf>
    <xf numFmtId="0" fontId="9" fillId="0" borderId="1" xfId="0" applyFont="1" applyBorder="1" applyAlignment="1">
      <alignment horizontal="left" vertical="center" indent="1"/>
    </xf>
    <xf numFmtId="10" fontId="9" fillId="0" borderId="0" xfId="0" applyNumberFormat="1" applyFont="1"/>
    <xf numFmtId="10" fontId="9" fillId="0" borderId="0" xfId="2" applyNumberFormat="1" applyFont="1"/>
    <xf numFmtId="3" fontId="19" fillId="34" borderId="1" xfId="15" applyNumberFormat="1" applyFont="1" applyFill="1" applyBorder="1" applyAlignment="1" applyProtection="1">
      <alignment horizontal="left" vertical="center" indent="1"/>
      <protection locked="0" hidden="1"/>
    </xf>
    <xf numFmtId="167" fontId="9" fillId="0" borderId="0" xfId="0" applyNumberFormat="1" applyFont="1"/>
    <xf numFmtId="172" fontId="6" fillId="23" borderId="16" xfId="0" applyNumberFormat="1" applyFont="1" applyFill="1" applyBorder="1" applyAlignment="1">
      <alignment horizontal="center"/>
    </xf>
    <xf numFmtId="4" fontId="6" fillId="23" borderId="17" xfId="0" applyNumberFormat="1" applyFont="1" applyFill="1" applyBorder="1" applyAlignment="1">
      <alignment horizontal="center"/>
    </xf>
    <xf numFmtId="4" fontId="6" fillId="23" borderId="1" xfId="0" applyNumberFormat="1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left" vertical="center" indent="1"/>
      <protection hidden="1"/>
    </xf>
    <xf numFmtId="0" fontId="15" fillId="22" borderId="1" xfId="0" applyFont="1" applyFill="1" applyBorder="1" applyAlignment="1" applyProtection="1">
      <alignment horizontal="left" vertical="center" indent="1"/>
      <protection hidden="1"/>
    </xf>
    <xf numFmtId="167" fontId="15" fillId="22" borderId="1" xfId="0" applyNumberFormat="1" applyFont="1" applyFill="1" applyBorder="1" applyAlignment="1" applyProtection="1">
      <alignment horizontal="center" vertical="center"/>
      <protection hidden="1"/>
    </xf>
    <xf numFmtId="10" fontId="15" fillId="22" borderId="1" xfId="0" applyNumberFormat="1" applyFont="1" applyFill="1" applyBorder="1" applyAlignment="1" applyProtection="1">
      <alignment horizontal="center" vertical="center"/>
      <protection hidden="1"/>
    </xf>
    <xf numFmtId="0" fontId="18" fillId="19" borderId="26" xfId="0" applyFont="1" applyFill="1" applyBorder="1"/>
    <xf numFmtId="9" fontId="9" fillId="0" borderId="0" xfId="0" applyNumberFormat="1" applyFont="1"/>
    <xf numFmtId="15" fontId="15" fillId="2" borderId="17" xfId="0" applyNumberFormat="1" applyFont="1" applyFill="1" applyBorder="1" applyAlignment="1">
      <alignment horizontal="center" vertical="center"/>
    </xf>
    <xf numFmtId="15" fontId="15" fillId="2" borderId="1" xfId="0" applyNumberFormat="1" applyFont="1" applyFill="1" applyBorder="1" applyAlignment="1">
      <alignment horizontal="center" vertical="center"/>
    </xf>
    <xf numFmtId="0" fontId="9" fillId="0" borderId="13" xfId="0" applyFont="1" applyBorder="1" applyAlignment="1">
      <alignment horizontal="left" vertical="center" indent="1"/>
    </xf>
    <xf numFmtId="167" fontId="9" fillId="0" borderId="34" xfId="0" applyNumberFormat="1" applyFont="1" applyBorder="1" applyAlignment="1">
      <alignment horizontal="center" vertical="center"/>
    </xf>
    <xf numFmtId="167" fontId="9" fillId="0" borderId="6" xfId="0" applyNumberFormat="1" applyFont="1" applyBorder="1" applyAlignment="1">
      <alignment horizontal="center" vertical="center"/>
    </xf>
    <xf numFmtId="3" fontId="6" fillId="6" borderId="38" xfId="0" applyNumberFormat="1" applyFont="1" applyFill="1" applyBorder="1" applyAlignment="1">
      <alignment horizontal="center" vertical="center"/>
    </xf>
    <xf numFmtId="3" fontId="6" fillId="6" borderId="3" xfId="0" applyNumberFormat="1" applyFont="1" applyFill="1" applyBorder="1" applyAlignment="1">
      <alignment horizontal="center" vertical="center"/>
    </xf>
    <xf numFmtId="168" fontId="9" fillId="0" borderId="34" xfId="0" applyNumberFormat="1" applyFont="1" applyBorder="1" applyAlignment="1">
      <alignment horizontal="center" vertical="center"/>
    </xf>
    <xf numFmtId="168" fontId="9" fillId="0" borderId="6" xfId="0" applyNumberFormat="1" applyFont="1" applyBorder="1" applyAlignment="1">
      <alignment horizontal="center" vertical="center"/>
    </xf>
    <xf numFmtId="167" fontId="6" fillId="6" borderId="34" xfId="0" applyNumberFormat="1" applyFont="1" applyFill="1" applyBorder="1" applyAlignment="1">
      <alignment horizontal="center" vertical="center"/>
    </xf>
    <xf numFmtId="167" fontId="6" fillId="6" borderId="6" xfId="0" applyNumberFormat="1" applyFont="1" applyFill="1" applyBorder="1" applyAlignment="1">
      <alignment horizontal="center" vertical="center"/>
    </xf>
    <xf numFmtId="9" fontId="9" fillId="0" borderId="34" xfId="0" applyNumberFormat="1" applyFont="1" applyBorder="1" applyAlignment="1">
      <alignment horizontal="center" vertical="center"/>
    </xf>
    <xf numFmtId="9" fontId="9" fillId="0" borderId="6" xfId="0" applyNumberFormat="1" applyFont="1" applyBorder="1" applyAlignment="1">
      <alignment horizontal="center" vertical="center"/>
    </xf>
    <xf numFmtId="0" fontId="9" fillId="0" borderId="13" xfId="0" quotePrefix="1" applyFont="1" applyBorder="1" applyAlignment="1">
      <alignment horizontal="left" vertical="center" indent="1"/>
    </xf>
    <xf numFmtId="9" fontId="6" fillId="6" borderId="38" xfId="0" applyNumberFormat="1" applyFont="1" applyFill="1" applyBorder="1" applyAlignment="1">
      <alignment horizontal="center" vertical="center"/>
    </xf>
    <xf numFmtId="9" fontId="6" fillId="6" borderId="3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172" fontId="8" fillId="0" borderId="0" xfId="0" applyNumberFormat="1" applyFont="1" applyAlignment="1">
      <alignment horizontal="center" vertical="center"/>
    </xf>
    <xf numFmtId="37" fontId="10" fillId="31" borderId="35" xfId="0" applyNumberFormat="1" applyFont="1" applyFill="1" applyBorder="1" applyAlignment="1">
      <alignment horizontal="center" vertical="center"/>
    </xf>
    <xf numFmtId="37" fontId="10" fillId="0" borderId="4" xfId="0" applyNumberFormat="1" applyFont="1" applyBorder="1" applyAlignment="1">
      <alignment horizontal="center" vertical="center"/>
    </xf>
    <xf numFmtId="37" fontId="10" fillId="31" borderId="34" xfId="0" applyNumberFormat="1" applyFont="1" applyFill="1" applyBorder="1" applyAlignment="1">
      <alignment horizontal="center" vertical="center"/>
    </xf>
    <xf numFmtId="37" fontId="10" fillId="0" borderId="6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indent="1"/>
    </xf>
    <xf numFmtId="182" fontId="10" fillId="0" borderId="6" xfId="0" applyNumberFormat="1" applyFont="1" applyBorder="1" applyAlignment="1">
      <alignment horizontal="center" vertical="center"/>
    </xf>
    <xf numFmtId="37" fontId="10" fillId="6" borderId="34" xfId="0" applyNumberFormat="1" applyFont="1" applyFill="1" applyBorder="1" applyAlignment="1">
      <alignment horizontal="center" vertical="center"/>
    </xf>
    <xf numFmtId="37" fontId="10" fillId="6" borderId="6" xfId="0" applyNumberFormat="1" applyFont="1" applyFill="1" applyBorder="1" applyAlignment="1">
      <alignment horizontal="center" vertical="center"/>
    </xf>
    <xf numFmtId="172" fontId="8" fillId="5" borderId="34" xfId="0" applyNumberFormat="1" applyFont="1" applyFill="1" applyBorder="1" applyAlignment="1">
      <alignment horizontal="center" vertical="center"/>
    </xf>
    <xf numFmtId="172" fontId="8" fillId="0" borderId="6" xfId="0" applyNumberFormat="1" applyFont="1" applyBorder="1" applyAlignment="1">
      <alignment horizontal="center" vertical="center"/>
    </xf>
    <xf numFmtId="172" fontId="8" fillId="0" borderId="6" xfId="1" applyNumberFormat="1" applyFont="1" applyBorder="1" applyAlignment="1">
      <alignment horizontal="center" vertical="center"/>
    </xf>
    <xf numFmtId="37" fontId="10" fillId="9" borderId="38" xfId="0" applyNumberFormat="1" applyFont="1" applyFill="1" applyBorder="1" applyAlignment="1">
      <alignment horizontal="center" vertical="center"/>
    </xf>
    <xf numFmtId="37" fontId="10" fillId="9" borderId="3" xfId="0" applyNumberFormat="1" applyFont="1" applyFill="1" applyBorder="1" applyAlignment="1">
      <alignment horizontal="center" vertical="center"/>
    </xf>
    <xf numFmtId="4" fontId="6" fillId="3" borderId="0" xfId="0" applyNumberFormat="1" applyFont="1" applyFill="1" applyAlignment="1">
      <alignment horizontal="center"/>
    </xf>
    <xf numFmtId="3" fontId="8" fillId="5" borderId="34" xfId="0" applyNumberFormat="1" applyFont="1" applyFill="1" applyBorder="1" applyAlignment="1">
      <alignment horizontal="center" vertical="center"/>
    </xf>
    <xf numFmtId="3" fontId="8" fillId="0" borderId="6" xfId="0" applyNumberFormat="1" applyFont="1" applyBorder="1" applyAlignment="1">
      <alignment horizontal="center" vertical="center"/>
    </xf>
    <xf numFmtId="3" fontId="10" fillId="9" borderId="38" xfId="0" applyNumberFormat="1" applyFont="1" applyFill="1" applyBorder="1" applyAlignment="1">
      <alignment horizontal="center" vertical="center"/>
    </xf>
    <xf numFmtId="3" fontId="10" fillId="9" borderId="3" xfId="0" applyNumberFormat="1" applyFont="1" applyFill="1" applyBorder="1" applyAlignment="1">
      <alignment horizontal="center" vertical="center"/>
    </xf>
    <xf numFmtId="0" fontId="9" fillId="0" borderId="12" xfId="0" applyFont="1" applyBorder="1" applyAlignment="1">
      <alignment horizontal="left" vertical="center" indent="1"/>
    </xf>
    <xf numFmtId="0" fontId="9" fillId="0" borderId="14" xfId="0" applyFont="1" applyBorder="1" applyAlignment="1">
      <alignment horizontal="left" vertical="center" indent="1"/>
    </xf>
    <xf numFmtId="180" fontId="6" fillId="3" borderId="0" xfId="0" applyNumberFormat="1" applyFont="1" applyFill="1" applyAlignment="1">
      <alignment horizontal="center"/>
    </xf>
    <xf numFmtId="10" fontId="9" fillId="33" borderId="0" xfId="2" applyNumberFormat="1" applyFont="1" applyFill="1" applyAlignment="1">
      <alignment horizontal="center"/>
    </xf>
    <xf numFmtId="3" fontId="6" fillId="33" borderId="37" xfId="0" applyNumberFormat="1" applyFont="1" applyFill="1" applyBorder="1" applyAlignment="1">
      <alignment horizontal="center"/>
    </xf>
    <xf numFmtId="3" fontId="6" fillId="0" borderId="36" xfId="0" applyNumberFormat="1" applyFont="1" applyBorder="1" applyAlignment="1">
      <alignment horizontal="center"/>
    </xf>
    <xf numFmtId="3" fontId="9" fillId="0" borderId="9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/>
    </xf>
    <xf numFmtId="3" fontId="9" fillId="0" borderId="0" xfId="0" applyNumberFormat="1" applyFont="1"/>
    <xf numFmtId="0" fontId="9" fillId="0" borderId="0" xfId="0" applyFont="1" applyAlignment="1">
      <alignment horizontal="center"/>
    </xf>
    <xf numFmtId="3" fontId="6" fillId="6" borderId="30" xfId="0" applyNumberFormat="1" applyFont="1" applyFill="1" applyBorder="1" applyAlignment="1">
      <alignment horizontal="center"/>
    </xf>
    <xf numFmtId="3" fontId="6" fillId="6" borderId="31" xfId="0" applyNumberFormat="1" applyFont="1" applyFill="1" applyBorder="1" applyAlignment="1">
      <alignment horizontal="center"/>
    </xf>
    <xf numFmtId="0" fontId="9" fillId="0" borderId="21" xfId="0" applyFont="1" applyBorder="1" applyAlignment="1">
      <alignment horizontal="left" vertical="center" indent="1"/>
    </xf>
    <xf numFmtId="0" fontId="6" fillId="23" borderId="1" xfId="0" applyFont="1" applyFill="1" applyBorder="1" applyAlignment="1">
      <alignment horizontal="center"/>
    </xf>
    <xf numFmtId="185" fontId="9" fillId="0" borderId="0" xfId="0" applyNumberFormat="1" applyFont="1"/>
    <xf numFmtId="3" fontId="6" fillId="4" borderId="7" xfId="0" applyNumberFormat="1" applyFont="1" applyFill="1" applyBorder="1" applyAlignment="1">
      <alignment horizontal="left" vertical="center" indent="1"/>
    </xf>
    <xf numFmtId="15" fontId="15" fillId="14" borderId="17" xfId="0" applyNumberFormat="1" applyFont="1" applyFill="1" applyBorder="1" applyAlignment="1">
      <alignment horizontal="center" vertical="center"/>
    </xf>
    <xf numFmtId="15" fontId="15" fillId="14" borderId="1" xfId="0" applyNumberFormat="1" applyFont="1" applyFill="1" applyBorder="1" applyAlignment="1">
      <alignment horizontal="center" vertical="center"/>
    </xf>
    <xf numFmtId="184" fontId="15" fillId="11" borderId="1" xfId="0" applyNumberFormat="1" applyFont="1" applyFill="1" applyBorder="1" applyAlignment="1">
      <alignment horizontal="center" vertical="center"/>
    </xf>
    <xf numFmtId="17" fontId="15" fillId="13" borderId="1" xfId="0" applyNumberFormat="1" applyFont="1" applyFill="1" applyBorder="1" applyAlignment="1">
      <alignment horizontal="center" vertical="center"/>
    </xf>
    <xf numFmtId="168" fontId="6" fillId="3" borderId="2" xfId="0" applyNumberFormat="1" applyFont="1" applyFill="1" applyBorder="1" applyAlignment="1">
      <alignment horizontal="center"/>
    </xf>
    <xf numFmtId="176" fontId="6" fillId="3" borderId="2" xfId="0" applyNumberFormat="1" applyFont="1" applyFill="1" applyBorder="1" applyAlignment="1">
      <alignment horizontal="center"/>
    </xf>
    <xf numFmtId="172" fontId="9" fillId="0" borderId="0" xfId="0" applyNumberFormat="1" applyFont="1"/>
    <xf numFmtId="9" fontId="6" fillId="3" borderId="2" xfId="0" applyNumberFormat="1" applyFont="1" applyFill="1" applyBorder="1" applyAlignment="1">
      <alignment horizontal="center"/>
    </xf>
    <xf numFmtId="0" fontId="9" fillId="26" borderId="21" xfId="0" applyFont="1" applyFill="1" applyBorder="1" applyAlignment="1">
      <alignment horizontal="center" vertical="center"/>
    </xf>
    <xf numFmtId="171" fontId="9" fillId="26" borderId="17" xfId="0" applyNumberFormat="1" applyFont="1" applyFill="1" applyBorder="1" applyAlignment="1">
      <alignment horizontal="center" vertical="center"/>
    </xf>
    <xf numFmtId="171" fontId="9" fillId="26" borderId="1" xfId="0" applyNumberFormat="1" applyFont="1" applyFill="1" applyBorder="1" applyAlignment="1">
      <alignment horizontal="center" vertical="center"/>
    </xf>
    <xf numFmtId="171" fontId="9" fillId="26" borderId="42" xfId="0" applyNumberFormat="1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171" fontId="9" fillId="2" borderId="18" xfId="0" applyNumberFormat="1" applyFont="1" applyFill="1" applyBorder="1" applyAlignment="1">
      <alignment horizontal="center" vertical="center"/>
    </xf>
    <xf numFmtId="171" fontId="9" fillId="2" borderId="19" xfId="0" applyNumberFormat="1" applyFont="1" applyFill="1" applyBorder="1" applyAlignment="1">
      <alignment horizontal="center" vertical="center"/>
    </xf>
    <xf numFmtId="171" fontId="9" fillId="2" borderId="44" xfId="0" applyNumberFormat="1" applyFont="1" applyFill="1" applyBorder="1" applyAlignment="1">
      <alignment horizontal="center" vertical="center"/>
    </xf>
    <xf numFmtId="171" fontId="9" fillId="4" borderId="19" xfId="0" applyNumberFormat="1" applyFont="1" applyFill="1" applyBorder="1" applyAlignment="1">
      <alignment horizontal="center" vertical="center"/>
    </xf>
    <xf numFmtId="4" fontId="9" fillId="0" borderId="0" xfId="0" applyNumberFormat="1" applyFont="1" applyAlignment="1">
      <alignment horizontal="center"/>
    </xf>
    <xf numFmtId="167" fontId="6" fillId="6" borderId="1" xfId="0" applyNumberFormat="1" applyFont="1" applyFill="1" applyBorder="1" applyAlignment="1">
      <alignment horizontal="center"/>
    </xf>
    <xf numFmtId="0" fontId="9" fillId="0" borderId="6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indent="1"/>
    </xf>
    <xf numFmtId="9" fontId="9" fillId="0" borderId="1" xfId="0" applyNumberFormat="1" applyFont="1" applyBorder="1" applyAlignment="1">
      <alignment horizontal="center" vertical="center"/>
    </xf>
    <xf numFmtId="0" fontId="6" fillId="23" borderId="1" xfId="0" applyFont="1" applyFill="1" applyBorder="1"/>
    <xf numFmtId="172" fontId="6" fillId="23" borderId="1" xfId="0" applyNumberFormat="1" applyFont="1" applyFill="1" applyBorder="1" applyAlignment="1">
      <alignment horizontal="center"/>
    </xf>
    <xf numFmtId="172" fontId="6" fillId="6" borderId="4" xfId="0" applyNumberFormat="1" applyFont="1" applyFill="1" applyBorder="1" applyAlignment="1">
      <alignment horizontal="center" vertical="center"/>
    </xf>
    <xf numFmtId="4" fontId="6" fillId="18" borderId="3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left" vertical="center" indent="1"/>
    </xf>
    <xf numFmtId="3" fontId="8" fillId="3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4" fontId="8" fillId="18" borderId="6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indent="1"/>
      <protection locked="0"/>
    </xf>
    <xf numFmtId="0" fontId="9" fillId="0" borderId="0" xfId="0" applyFont="1" applyProtection="1">
      <protection locked="0"/>
    </xf>
    <xf numFmtId="0" fontId="6" fillId="27" borderId="1" xfId="0" quotePrefix="1" applyFont="1" applyFill="1" applyBorder="1" applyAlignment="1" applyProtection="1">
      <alignment horizontal="center" vertical="center"/>
      <protection locked="0"/>
    </xf>
    <xf numFmtId="4" fontId="8" fillId="33" borderId="6" xfId="0" applyNumberFormat="1" applyFont="1" applyFill="1" applyBorder="1" applyAlignment="1">
      <alignment horizontal="center" vertical="center"/>
    </xf>
    <xf numFmtId="0" fontId="18" fillId="19" borderId="15" xfId="0" applyFont="1" applyFill="1" applyBorder="1" applyAlignment="1">
      <alignment horizontal="center"/>
    </xf>
    <xf numFmtId="0" fontId="18" fillId="19" borderId="26" xfId="0" applyFont="1" applyFill="1" applyBorder="1" applyAlignment="1">
      <alignment horizontal="center"/>
    </xf>
    <xf numFmtId="0" fontId="18" fillId="19" borderId="24" xfId="0" applyFont="1" applyFill="1" applyBorder="1" applyAlignment="1">
      <alignment horizontal="center" vertical="center"/>
    </xf>
    <xf numFmtId="0" fontId="18" fillId="19" borderId="16" xfId="0" applyFont="1" applyFill="1" applyBorder="1" applyAlignment="1">
      <alignment horizontal="center" vertical="center"/>
    </xf>
    <xf numFmtId="178" fontId="3" fillId="25" borderId="5" xfId="5" applyNumberFormat="1" applyFont="1" applyFill="1" applyBorder="1" applyAlignment="1" applyProtection="1">
      <alignment horizontal="center"/>
      <protection hidden="1"/>
    </xf>
    <xf numFmtId="171" fontId="4" fillId="0" borderId="8" xfId="1" applyNumberFormat="1" applyFont="1" applyBorder="1" applyAlignment="1" applyProtection="1">
      <alignment horizontal="center"/>
      <protection hidden="1"/>
    </xf>
    <xf numFmtId="4" fontId="3" fillId="0" borderId="8" xfId="1" applyNumberFormat="1" applyFont="1" applyFill="1" applyBorder="1" applyAlignment="1" applyProtection="1">
      <alignment horizontal="center"/>
      <protection hidden="1"/>
    </xf>
    <xf numFmtId="171" fontId="4" fillId="0" borderId="8" xfId="12" applyNumberFormat="1" applyFont="1" applyBorder="1" applyAlignment="1" applyProtection="1">
      <alignment horizontal="center"/>
      <protection hidden="1"/>
    </xf>
    <xf numFmtId="171" fontId="4" fillId="0" borderId="48" xfId="0" applyNumberFormat="1" applyFont="1" applyBorder="1" applyAlignment="1" applyProtection="1">
      <alignment horizontal="center"/>
      <protection hidden="1"/>
    </xf>
    <xf numFmtId="171" fontId="4" fillId="0" borderId="47" xfId="0" applyNumberFormat="1" applyFont="1" applyBorder="1" applyAlignment="1" applyProtection="1">
      <alignment horizontal="center"/>
      <protection hidden="1"/>
    </xf>
    <xf numFmtId="167" fontId="3" fillId="0" borderId="48" xfId="13" applyNumberFormat="1" applyFont="1" applyFill="1" applyBorder="1" applyAlignment="1" applyProtection="1">
      <alignment horizontal="center"/>
      <protection hidden="1"/>
    </xf>
    <xf numFmtId="6" fontId="4" fillId="0" borderId="49" xfId="0" applyNumberFormat="1" applyFont="1" applyBorder="1" applyAlignment="1" applyProtection="1">
      <alignment horizontal="center"/>
      <protection hidden="1"/>
    </xf>
    <xf numFmtId="167" fontId="3" fillId="0" borderId="10" xfId="13" applyNumberFormat="1" applyFont="1" applyFill="1" applyBorder="1" applyAlignment="1" applyProtection="1">
      <alignment horizontal="center"/>
      <protection hidden="1"/>
    </xf>
    <xf numFmtId="6" fontId="4" fillId="0" borderId="8" xfId="0" applyNumberFormat="1" applyFont="1" applyBorder="1" applyAlignment="1" applyProtection="1">
      <alignment horizontal="center"/>
      <protection hidden="1"/>
    </xf>
    <xf numFmtId="178" fontId="3" fillId="25" borderId="15" xfId="5" applyNumberFormat="1" applyFont="1" applyFill="1" applyBorder="1" applyAlignment="1" applyProtection="1">
      <alignment horizontal="center"/>
      <protection hidden="1"/>
    </xf>
    <xf numFmtId="178" fontId="3" fillId="25" borderId="26" xfId="5" applyNumberFormat="1" applyFont="1" applyFill="1" applyBorder="1" applyAlignment="1" applyProtection="1">
      <alignment horizontal="center"/>
      <protection hidden="1"/>
    </xf>
    <xf numFmtId="178" fontId="3" fillId="25" borderId="50" xfId="5" applyNumberFormat="1" applyFont="1" applyFill="1" applyBorder="1" applyAlignment="1" applyProtection="1">
      <alignment horizontal="center"/>
      <protection hidden="1"/>
    </xf>
    <xf numFmtId="171" fontId="4" fillId="0" borderId="29" xfId="1" applyNumberFormat="1" applyFont="1" applyBorder="1" applyAlignment="1" applyProtection="1">
      <alignment horizontal="center"/>
      <protection hidden="1"/>
    </xf>
    <xf numFmtId="171" fontId="4" fillId="0" borderId="29" xfId="12" applyNumberFormat="1" applyFont="1" applyBorder="1" applyAlignment="1" applyProtection="1">
      <alignment horizontal="center"/>
      <protection hidden="1"/>
    </xf>
    <xf numFmtId="171" fontId="4" fillId="0" borderId="51" xfId="0" applyNumberFormat="1" applyFont="1" applyBorder="1" applyAlignment="1" applyProtection="1">
      <alignment horizontal="center"/>
      <protection hidden="1"/>
    </xf>
    <xf numFmtId="171" fontId="4" fillId="0" borderId="46" xfId="0" applyNumberFormat="1" applyFont="1" applyBorder="1" applyAlignment="1" applyProtection="1">
      <alignment horizontal="center"/>
      <protection hidden="1"/>
    </xf>
    <xf numFmtId="167" fontId="3" fillId="0" borderId="51" xfId="13" applyNumberFormat="1" applyFont="1" applyFill="1" applyBorder="1" applyAlignment="1" applyProtection="1">
      <alignment horizontal="center"/>
      <protection hidden="1"/>
    </xf>
    <xf numFmtId="6" fontId="4" fillId="0" borderId="52" xfId="0" applyNumberFormat="1" applyFont="1" applyBorder="1" applyAlignment="1" applyProtection="1">
      <alignment horizontal="center"/>
      <protection hidden="1"/>
    </xf>
    <xf numFmtId="167" fontId="3" fillId="0" borderId="28" xfId="13" applyNumberFormat="1" applyFont="1" applyFill="1" applyBorder="1" applyAlignment="1" applyProtection="1">
      <alignment horizontal="center"/>
      <protection hidden="1"/>
    </xf>
    <xf numFmtId="6" fontId="4" fillId="0" borderId="29" xfId="0" applyNumberFormat="1" applyFont="1" applyBorder="1" applyAlignment="1" applyProtection="1">
      <alignment horizontal="center"/>
      <protection hidden="1"/>
    </xf>
    <xf numFmtId="171" fontId="2" fillId="3" borderId="47" xfId="8" applyNumberFormat="1" applyFont="1" applyFill="1" applyBorder="1" applyAlignment="1">
      <alignment horizontal="center" vertical="center"/>
    </xf>
    <xf numFmtId="171" fontId="2" fillId="28" borderId="17" xfId="8" applyNumberFormat="1" applyFont="1" applyFill="1" applyBorder="1" applyAlignment="1">
      <alignment horizontal="center" vertical="center"/>
    </xf>
    <xf numFmtId="171" fontId="2" fillId="28" borderId="1" xfId="8" applyNumberFormat="1" applyFont="1" applyFill="1" applyBorder="1" applyAlignment="1">
      <alignment horizontal="center" vertical="center"/>
    </xf>
    <xf numFmtId="171" fontId="2" fillId="28" borderId="23" xfId="8" applyNumberFormat="1" applyFont="1" applyFill="1" applyBorder="1" applyAlignment="1">
      <alignment horizontal="center" vertical="center"/>
    </xf>
    <xf numFmtId="178" fontId="3" fillId="13" borderId="15" xfId="5" applyNumberFormat="1" applyFont="1" applyFill="1" applyBorder="1" applyAlignment="1" applyProtection="1">
      <alignment horizontal="center"/>
      <protection hidden="1"/>
    </xf>
    <xf numFmtId="178" fontId="3" fillId="13" borderId="26" xfId="5" applyNumberFormat="1" applyFont="1" applyFill="1" applyBorder="1" applyAlignment="1" applyProtection="1">
      <alignment horizontal="center"/>
      <protection hidden="1"/>
    </xf>
    <xf numFmtId="178" fontId="3" fillId="13" borderId="50" xfId="5" applyNumberFormat="1" applyFont="1" applyFill="1" applyBorder="1" applyAlignment="1" applyProtection="1">
      <alignment horizontal="center"/>
      <protection hidden="1"/>
    </xf>
    <xf numFmtId="186" fontId="15" fillId="25" borderId="1" xfId="5" applyNumberFormat="1" applyFont="1" applyFill="1" applyBorder="1" applyAlignment="1" applyProtection="1">
      <alignment horizontal="center"/>
      <protection hidden="1"/>
    </xf>
    <xf numFmtId="3" fontId="6" fillId="18" borderId="1" xfId="15" applyNumberFormat="1" applyFont="1" applyFill="1" applyBorder="1" applyAlignment="1" applyProtection="1">
      <alignment horizontal="center"/>
      <protection locked="0" hidden="1"/>
    </xf>
    <xf numFmtId="3" fontId="19" fillId="34" borderId="1" xfId="15" applyNumberFormat="1" applyFont="1" applyFill="1" applyBorder="1" applyAlignment="1" applyProtection="1">
      <alignment horizontal="center"/>
      <protection locked="0" hidden="1"/>
    </xf>
    <xf numFmtId="172" fontId="6" fillId="30" borderId="35" xfId="0" applyNumberFormat="1" applyFont="1" applyFill="1" applyBorder="1" applyAlignment="1">
      <alignment horizontal="center" vertical="center"/>
    </xf>
    <xf numFmtId="10" fontId="3" fillId="0" borderId="10" xfId="13" applyNumberFormat="1" applyFont="1" applyFill="1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left" indent="1"/>
      <protection locked="0"/>
    </xf>
    <xf numFmtId="0" fontId="18" fillId="39" borderId="1" xfId="0" applyFont="1" applyFill="1" applyBorder="1" applyAlignment="1" applyProtection="1">
      <alignment horizontal="center"/>
      <protection locked="0"/>
    </xf>
    <xf numFmtId="171" fontId="4" fillId="33" borderId="8" xfId="12" applyNumberFormat="1" applyFont="1" applyFill="1" applyBorder="1" applyAlignment="1" applyProtection="1">
      <alignment horizontal="center"/>
      <protection hidden="1"/>
    </xf>
    <xf numFmtId="171" fontId="4" fillId="33" borderId="29" xfId="12" applyNumberFormat="1" applyFont="1" applyFill="1" applyBorder="1" applyAlignment="1" applyProtection="1">
      <alignment horizontal="center"/>
      <protection hidden="1"/>
    </xf>
    <xf numFmtId="10" fontId="20" fillId="33" borderId="0" xfId="2" applyNumberFormat="1" applyFont="1" applyFill="1" applyAlignment="1">
      <alignment horizontal="left"/>
    </xf>
    <xf numFmtId="0" fontId="9" fillId="0" borderId="1" xfId="0" applyFont="1" applyBorder="1" applyAlignment="1">
      <alignment horizontal="center" vertical="center" wrapText="1"/>
    </xf>
    <xf numFmtId="0" fontId="6" fillId="13" borderId="1" xfId="0" applyFont="1" applyFill="1" applyBorder="1" applyAlignment="1" applyProtection="1">
      <alignment horizontal="left" vertical="center" indent="1"/>
      <protection locked="0"/>
    </xf>
    <xf numFmtId="167" fontId="6" fillId="0" borderId="1" xfId="2" applyNumberFormat="1" applyFont="1" applyFill="1" applyBorder="1" applyAlignment="1" applyProtection="1">
      <alignment horizontal="center" vertical="center"/>
      <protection locked="0"/>
    </xf>
    <xf numFmtId="171" fontId="9" fillId="0" borderId="0" xfId="0" applyNumberFormat="1" applyFont="1"/>
    <xf numFmtId="0" fontId="9" fillId="0" borderId="1" xfId="0" applyFont="1" applyBorder="1" applyAlignment="1">
      <alignment horizontal="left" vertical="center" wrapText="1" indent="1"/>
    </xf>
    <xf numFmtId="171" fontId="4" fillId="3" borderId="0" xfId="0" applyNumberFormat="1" applyFont="1" applyFill="1" applyAlignment="1" applyProtection="1">
      <alignment horizontal="center"/>
      <protection hidden="1"/>
    </xf>
    <xf numFmtId="0" fontId="18" fillId="15" borderId="1" xfId="0" applyFont="1" applyFill="1" applyBorder="1" applyAlignment="1">
      <alignment horizontal="center" vertical="center" wrapText="1"/>
    </xf>
    <xf numFmtId="188" fontId="9" fillId="0" borderId="0" xfId="1" applyNumberFormat="1" applyFont="1" applyBorder="1" applyAlignment="1">
      <alignment horizontal="center" vertical="center"/>
    </xf>
    <xf numFmtId="188" fontId="9" fillId="0" borderId="36" xfId="1" applyNumberFormat="1" applyFont="1" applyBorder="1" applyAlignment="1">
      <alignment horizontal="center" vertical="center"/>
    </xf>
    <xf numFmtId="188" fontId="9" fillId="0" borderId="57" xfId="1" applyNumberFormat="1" applyFont="1" applyBorder="1" applyAlignment="1">
      <alignment horizontal="center" vertical="center"/>
    </xf>
    <xf numFmtId="188" fontId="9" fillId="0" borderId="58" xfId="1" applyNumberFormat="1" applyFont="1" applyBorder="1" applyAlignment="1">
      <alignment horizontal="center" vertical="center"/>
    </xf>
    <xf numFmtId="188" fontId="9" fillId="0" borderId="31" xfId="1" applyNumberFormat="1" applyFont="1" applyBorder="1" applyAlignment="1">
      <alignment horizontal="center" vertical="center"/>
    </xf>
    <xf numFmtId="188" fontId="9" fillId="0" borderId="45" xfId="1" applyNumberFormat="1" applyFont="1" applyBorder="1" applyAlignment="1">
      <alignment horizontal="center" vertical="center"/>
    </xf>
    <xf numFmtId="188" fontId="9" fillId="33" borderId="59" xfId="1" applyNumberFormat="1" applyFont="1" applyFill="1" applyBorder="1" applyAlignment="1">
      <alignment horizontal="center" vertical="center"/>
    </xf>
    <xf numFmtId="189" fontId="9" fillId="3" borderId="17" xfId="1" applyNumberFormat="1" applyFont="1" applyFill="1" applyBorder="1" applyAlignment="1">
      <alignment horizontal="center" vertical="center"/>
    </xf>
    <xf numFmtId="189" fontId="9" fillId="0" borderId="1" xfId="1" applyNumberFormat="1" applyFont="1" applyBorder="1" applyAlignment="1">
      <alignment horizontal="center" vertical="center"/>
    </xf>
    <xf numFmtId="189" fontId="9" fillId="30" borderId="17" xfId="1" applyNumberFormat="1" applyFont="1" applyFill="1" applyBorder="1" applyAlignment="1">
      <alignment horizontal="center" vertical="center"/>
    </xf>
    <xf numFmtId="188" fontId="9" fillId="3" borderId="17" xfId="1" applyNumberFormat="1" applyFont="1" applyFill="1" applyBorder="1" applyAlignment="1">
      <alignment horizontal="center" vertical="center"/>
    </xf>
    <xf numFmtId="188" fontId="9" fillId="0" borderId="1" xfId="1" applyNumberFormat="1" applyFont="1" applyBorder="1" applyAlignment="1">
      <alignment horizontal="center" vertical="center"/>
    </xf>
    <xf numFmtId="189" fontId="9" fillId="13" borderId="1" xfId="1" applyNumberFormat="1" applyFont="1" applyFill="1" applyBorder="1" applyAlignment="1">
      <alignment horizontal="center" vertical="center"/>
    </xf>
    <xf numFmtId="188" fontId="9" fillId="33" borderId="1" xfId="1" applyNumberFormat="1" applyFont="1" applyFill="1" applyBorder="1" applyAlignment="1">
      <alignment horizontal="center" vertical="center"/>
    </xf>
    <xf numFmtId="2" fontId="9" fillId="0" borderId="1" xfId="1" applyNumberFormat="1" applyFont="1" applyBorder="1" applyAlignment="1">
      <alignment horizontal="center" vertical="center"/>
    </xf>
    <xf numFmtId="0" fontId="18" fillId="20" borderId="15" xfId="5" applyFont="1" applyFill="1" applyBorder="1" applyAlignment="1" applyProtection="1">
      <alignment horizontal="left" indent="1"/>
      <protection hidden="1"/>
    </xf>
    <xf numFmtId="169" fontId="15" fillId="28" borderId="17" xfId="0" applyNumberFormat="1" applyFont="1" applyFill="1" applyBorder="1" applyAlignment="1" applyProtection="1">
      <alignment horizontal="center"/>
      <protection hidden="1"/>
    </xf>
    <xf numFmtId="169" fontId="15" fillId="28" borderId="45" xfId="0" applyNumberFormat="1" applyFont="1" applyFill="1" applyBorder="1" applyAlignment="1" applyProtection="1">
      <alignment horizontal="center"/>
      <protection hidden="1"/>
    </xf>
    <xf numFmtId="169" fontId="15" fillId="28" borderId="16" xfId="0" applyNumberFormat="1" applyFont="1" applyFill="1" applyBorder="1" applyAlignment="1" applyProtection="1">
      <alignment horizontal="center"/>
      <protection hidden="1"/>
    </xf>
    <xf numFmtId="0" fontId="14" fillId="0" borderId="17" xfId="6" applyFont="1" applyBorder="1" applyAlignment="1">
      <alignment horizontal="left" vertical="center" indent="1"/>
    </xf>
    <xf numFmtId="173" fontId="14" fillId="0" borderId="14" xfId="7" applyNumberFormat="1" applyFont="1" applyFill="1" applyBorder="1" applyAlignment="1">
      <alignment horizontal="center" vertical="center"/>
    </xf>
    <xf numFmtId="4" fontId="14" fillId="0" borderId="17" xfId="8" applyNumberFormat="1" applyFont="1" applyFill="1" applyBorder="1" applyAlignment="1">
      <alignment horizontal="center" vertical="center"/>
    </xf>
    <xf numFmtId="172" fontId="14" fillId="0" borderId="42" xfId="8" applyNumberFormat="1" applyFont="1" applyFill="1" applyBorder="1" applyAlignment="1">
      <alignment horizontal="center" vertical="center"/>
    </xf>
    <xf numFmtId="172" fontId="14" fillId="7" borderId="1" xfId="8" applyNumberFormat="1" applyFont="1" applyFill="1" applyBorder="1" applyAlignment="1">
      <alignment horizontal="center" vertical="center"/>
    </xf>
    <xf numFmtId="172" fontId="14" fillId="18" borderId="1" xfId="8" applyNumberFormat="1" applyFont="1" applyFill="1" applyBorder="1" applyAlignment="1">
      <alignment horizontal="center" vertical="center"/>
    </xf>
    <xf numFmtId="172" fontId="14" fillId="35" borderId="1" xfId="8" applyNumberFormat="1" applyFont="1" applyFill="1" applyBorder="1" applyAlignment="1">
      <alignment horizontal="center" vertical="center"/>
    </xf>
    <xf numFmtId="0" fontId="15" fillId="6" borderId="17" xfId="6" applyFont="1" applyFill="1" applyBorder="1" applyAlignment="1">
      <alignment horizontal="left" vertical="center" indent="1"/>
    </xf>
    <xf numFmtId="173" fontId="15" fillId="6" borderId="21" xfId="7" applyNumberFormat="1" applyFont="1" applyFill="1" applyBorder="1" applyAlignment="1">
      <alignment horizontal="center" vertical="center"/>
    </xf>
    <xf numFmtId="172" fontId="15" fillId="6" borderId="17" xfId="8" applyNumberFormat="1" applyFont="1" applyFill="1" applyBorder="1" applyAlignment="1">
      <alignment horizontal="center" vertical="center"/>
    </xf>
    <xf numFmtId="172" fontId="15" fillId="6" borderId="42" xfId="8" applyNumberFormat="1" applyFont="1" applyFill="1" applyBorder="1" applyAlignment="1">
      <alignment horizontal="center" vertical="center"/>
    </xf>
    <xf numFmtId="172" fontId="15" fillId="6" borderId="1" xfId="8" applyNumberFormat="1" applyFont="1" applyFill="1" applyBorder="1" applyAlignment="1">
      <alignment horizontal="center" vertical="center"/>
    </xf>
    <xf numFmtId="172" fontId="15" fillId="13" borderId="1" xfId="8" applyNumberFormat="1" applyFont="1" applyFill="1" applyBorder="1" applyAlignment="1">
      <alignment horizontal="center" vertical="center"/>
    </xf>
    <xf numFmtId="3" fontId="14" fillId="0" borderId="17" xfId="8" applyNumberFormat="1" applyFont="1" applyFill="1" applyBorder="1" applyAlignment="1">
      <alignment horizontal="center" vertical="center"/>
    </xf>
    <xf numFmtId="3" fontId="14" fillId="0" borderId="42" xfId="8" applyNumberFormat="1" applyFont="1" applyFill="1" applyBorder="1" applyAlignment="1">
      <alignment horizontal="center" vertical="center"/>
    </xf>
    <xf numFmtId="3" fontId="14" fillId="7" borderId="1" xfId="8" applyNumberFormat="1" applyFont="1" applyFill="1" applyBorder="1" applyAlignment="1">
      <alignment horizontal="center" vertical="center"/>
    </xf>
    <xf numFmtId="3" fontId="14" fillId="18" borderId="1" xfId="8" applyNumberFormat="1" applyFont="1" applyFill="1" applyBorder="1" applyAlignment="1">
      <alignment horizontal="center" vertical="center"/>
    </xf>
    <xf numFmtId="3" fontId="14" fillId="35" borderId="1" xfId="8" applyNumberFormat="1" applyFont="1" applyFill="1" applyBorder="1" applyAlignment="1">
      <alignment horizontal="center" vertical="center"/>
    </xf>
    <xf numFmtId="0" fontId="15" fillId="8" borderId="17" xfId="6" applyFont="1" applyFill="1" applyBorder="1" applyAlignment="1">
      <alignment horizontal="left" vertical="center" indent="1"/>
    </xf>
    <xf numFmtId="174" fontId="15" fillId="7" borderId="21" xfId="7" applyNumberFormat="1" applyFont="1" applyFill="1" applyBorder="1" applyAlignment="1">
      <alignment horizontal="center" vertical="center"/>
    </xf>
    <xf numFmtId="174" fontId="15" fillId="31" borderId="17" xfId="8" applyNumberFormat="1" applyFont="1" applyFill="1" applyBorder="1" applyAlignment="1">
      <alignment horizontal="center" vertical="center"/>
    </xf>
    <xf numFmtId="174" fontId="15" fillId="8" borderId="42" xfId="8" applyNumberFormat="1" applyFont="1" applyFill="1" applyBorder="1" applyAlignment="1">
      <alignment horizontal="center" vertical="center"/>
    </xf>
    <xf numFmtId="183" fontId="15" fillId="8" borderId="1" xfId="8" applyNumberFormat="1" applyFont="1" applyFill="1" applyBorder="1" applyAlignment="1">
      <alignment horizontal="center" vertical="center"/>
    </xf>
    <xf numFmtId="0" fontId="15" fillId="0" borderId="17" xfId="6" applyFont="1" applyBorder="1" applyAlignment="1">
      <alignment horizontal="left" vertical="center" indent="1"/>
    </xf>
    <xf numFmtId="174" fontId="15" fillId="0" borderId="21" xfId="7" applyNumberFormat="1" applyFont="1" applyFill="1" applyBorder="1" applyAlignment="1">
      <alignment horizontal="center" vertical="center"/>
    </xf>
    <xf numFmtId="171" fontId="15" fillId="0" borderId="17" xfId="7" applyNumberFormat="1" applyFont="1" applyFill="1" applyBorder="1" applyAlignment="1">
      <alignment horizontal="center" vertical="center"/>
    </xf>
    <xf numFmtId="171" fontId="15" fillId="0" borderId="42" xfId="7" applyNumberFormat="1" applyFont="1" applyFill="1" applyBorder="1" applyAlignment="1">
      <alignment horizontal="center" vertical="center"/>
    </xf>
    <xf numFmtId="171" fontId="15" fillId="7" borderId="1" xfId="7" applyNumberFormat="1" applyFont="1" applyFill="1" applyBorder="1" applyAlignment="1">
      <alignment horizontal="center" vertical="center"/>
    </xf>
    <xf numFmtId="171" fontId="15" fillId="18" borderId="1" xfId="7" applyNumberFormat="1" applyFont="1" applyFill="1" applyBorder="1" applyAlignment="1">
      <alignment horizontal="center" vertical="center"/>
    </xf>
    <xf numFmtId="171" fontId="15" fillId="35" borderId="1" xfId="7" applyNumberFormat="1" applyFont="1" applyFill="1" applyBorder="1" applyAlignment="1">
      <alignment horizontal="center" vertical="center"/>
    </xf>
    <xf numFmtId="1" fontId="15" fillId="0" borderId="17" xfId="7" applyNumberFormat="1" applyFont="1" applyFill="1" applyBorder="1" applyAlignment="1">
      <alignment horizontal="center" vertical="center"/>
    </xf>
    <xf numFmtId="1" fontId="15" fillId="0" borderId="42" xfId="7" applyNumberFormat="1" applyFont="1" applyFill="1" applyBorder="1" applyAlignment="1">
      <alignment horizontal="center" vertical="center"/>
    </xf>
    <xf numFmtId="171" fontId="15" fillId="0" borderId="1" xfId="7" applyNumberFormat="1" applyFont="1" applyFill="1" applyBorder="1" applyAlignment="1">
      <alignment horizontal="center" vertical="center"/>
    </xf>
    <xf numFmtId="3" fontId="14" fillId="0" borderId="1" xfId="8" applyNumberFormat="1" applyFont="1" applyFill="1" applyBorder="1" applyAlignment="1">
      <alignment horizontal="center" vertical="center"/>
    </xf>
    <xf numFmtId="4" fontId="15" fillId="32" borderId="17" xfId="1" applyNumberFormat="1" applyFont="1" applyFill="1" applyBorder="1" applyAlignment="1">
      <alignment horizontal="center" vertical="center"/>
    </xf>
    <xf numFmtId="166" fontId="15" fillId="6" borderId="42" xfId="1" applyFont="1" applyFill="1" applyBorder="1" applyAlignment="1">
      <alignment horizontal="center" vertical="center"/>
    </xf>
    <xf numFmtId="4" fontId="15" fillId="6" borderId="1" xfId="1" applyNumberFormat="1" applyFont="1" applyFill="1" applyBorder="1" applyAlignment="1">
      <alignment horizontal="center" vertical="center"/>
    </xf>
    <xf numFmtId="4" fontId="15" fillId="13" borderId="1" xfId="1" applyNumberFormat="1" applyFont="1" applyFill="1" applyBorder="1" applyAlignment="1">
      <alignment horizontal="center" vertical="center"/>
    </xf>
    <xf numFmtId="166" fontId="15" fillId="6" borderId="1" xfId="1" applyFont="1" applyFill="1" applyBorder="1" applyAlignment="1">
      <alignment horizontal="center" vertical="center"/>
    </xf>
    <xf numFmtId="3" fontId="15" fillId="6" borderId="1" xfId="1" applyNumberFormat="1" applyFont="1" applyFill="1" applyBorder="1" applyAlignment="1">
      <alignment horizontal="center" vertical="center"/>
    </xf>
    <xf numFmtId="3" fontId="15" fillId="13" borderId="1" xfId="1" applyNumberFormat="1" applyFont="1" applyFill="1" applyBorder="1" applyAlignment="1">
      <alignment horizontal="center" vertical="center"/>
    </xf>
    <xf numFmtId="174" fontId="15" fillId="8" borderId="21" xfId="7" applyNumberFormat="1" applyFont="1" applyFill="1" applyBorder="1" applyAlignment="1">
      <alignment horizontal="center" vertical="center"/>
    </xf>
    <xf numFmtId="174" fontId="15" fillId="8" borderId="1" xfId="8" applyNumberFormat="1" applyFont="1" applyFill="1" applyBorder="1" applyAlignment="1">
      <alignment horizontal="center" vertical="center"/>
    </xf>
    <xf numFmtId="177" fontId="15" fillId="0" borderId="21" xfId="7" applyNumberFormat="1" applyFont="1" applyFill="1" applyBorder="1" applyAlignment="1">
      <alignment horizontal="center" vertical="center"/>
    </xf>
    <xf numFmtId="0" fontId="20" fillId="6" borderId="17" xfId="6" applyFont="1" applyFill="1" applyBorder="1" applyAlignment="1">
      <alignment horizontal="left" vertical="center" indent="1"/>
    </xf>
    <xf numFmtId="4" fontId="15" fillId="6" borderId="17" xfId="1" applyNumberFormat="1" applyFont="1" applyFill="1" applyBorder="1" applyAlignment="1">
      <alignment horizontal="center" vertical="center"/>
    </xf>
    <xf numFmtId="174" fontId="15" fillId="31" borderId="42" xfId="8" applyNumberFormat="1" applyFont="1" applyFill="1" applyBorder="1" applyAlignment="1">
      <alignment horizontal="center" vertical="center"/>
    </xf>
    <xf numFmtId="0" fontId="8" fillId="0" borderId="17" xfId="9" applyFont="1" applyBorder="1" applyAlignment="1">
      <alignment horizontal="left" vertical="center" indent="1"/>
    </xf>
    <xf numFmtId="177" fontId="14" fillId="0" borderId="21" xfId="7" applyNumberFormat="1" applyFont="1" applyFill="1" applyBorder="1" applyAlignment="1">
      <alignment horizontal="center" vertical="center"/>
    </xf>
    <xf numFmtId="171" fontId="14" fillId="0" borderId="17" xfId="7" applyNumberFormat="1" applyFont="1" applyFill="1" applyBorder="1" applyAlignment="1">
      <alignment horizontal="center" vertical="center"/>
    </xf>
    <xf numFmtId="171" fontId="14" fillId="0" borderId="42" xfId="7" applyNumberFormat="1" applyFont="1" applyFill="1" applyBorder="1" applyAlignment="1">
      <alignment horizontal="center" vertical="center"/>
    </xf>
    <xf numFmtId="171" fontId="14" fillId="7" borderId="1" xfId="7" applyNumberFormat="1" applyFont="1" applyFill="1" applyBorder="1" applyAlignment="1">
      <alignment horizontal="center" vertical="center"/>
    </xf>
    <xf numFmtId="171" fontId="14" fillId="18" borderId="1" xfId="7" applyNumberFormat="1" applyFont="1" applyFill="1" applyBorder="1" applyAlignment="1">
      <alignment horizontal="center" vertical="center"/>
    </xf>
    <xf numFmtId="171" fontId="14" fillId="35" borderId="1" xfId="7" applyNumberFormat="1" applyFont="1" applyFill="1" applyBorder="1" applyAlignment="1">
      <alignment horizontal="center" vertical="center"/>
    </xf>
    <xf numFmtId="171" fontId="14" fillId="0" borderId="1" xfId="7" applyNumberFormat="1" applyFont="1" applyFill="1" applyBorder="1" applyAlignment="1">
      <alignment horizontal="center" vertical="center"/>
    </xf>
    <xf numFmtId="0" fontId="14" fillId="26" borderId="17" xfId="10" applyFont="1" applyFill="1" applyBorder="1" applyAlignment="1">
      <alignment horizontal="left" vertical="center" indent="1"/>
    </xf>
    <xf numFmtId="0" fontId="15" fillId="2" borderId="18" xfId="10" applyFont="1" applyFill="1" applyBorder="1" applyAlignment="1">
      <alignment horizontal="left" vertical="center" indent="1"/>
    </xf>
    <xf numFmtId="4" fontId="15" fillId="3" borderId="0" xfId="7" applyNumberFormat="1" applyFont="1" applyFill="1" applyBorder="1" applyAlignment="1">
      <alignment horizontal="center" vertical="center"/>
    </xf>
    <xf numFmtId="43" fontId="9" fillId="0" borderId="0" xfId="0" applyNumberFormat="1" applyFont="1"/>
    <xf numFmtId="4" fontId="6" fillId="33" borderId="4" xfId="0" applyNumberFormat="1" applyFont="1" applyFill="1" applyBorder="1" applyAlignment="1">
      <alignment horizontal="center" vertical="center"/>
    </xf>
    <xf numFmtId="9" fontId="6" fillId="0" borderId="64" xfId="0" applyNumberFormat="1" applyFont="1" applyBorder="1" applyAlignment="1">
      <alignment horizontal="center"/>
    </xf>
    <xf numFmtId="6" fontId="9" fillId="0" borderId="59" xfId="0" applyNumberFormat="1" applyFont="1" applyBorder="1" applyAlignment="1">
      <alignment horizontal="center"/>
    </xf>
    <xf numFmtId="167" fontId="9" fillId="0" borderId="66" xfId="0" applyNumberFormat="1" applyFont="1" applyBorder="1" applyAlignment="1">
      <alignment horizontal="center"/>
    </xf>
    <xf numFmtId="10" fontId="9" fillId="0" borderId="66" xfId="0" applyNumberFormat="1" applyFont="1" applyBorder="1" applyAlignment="1">
      <alignment horizontal="center"/>
    </xf>
    <xf numFmtId="10" fontId="9" fillId="0" borderId="66" xfId="0" applyNumberFormat="1" applyFont="1" applyBorder="1"/>
    <xf numFmtId="10" fontId="9" fillId="0" borderId="68" xfId="0" applyNumberFormat="1" applyFont="1" applyBorder="1" applyAlignment="1">
      <alignment horizontal="center"/>
    </xf>
    <xf numFmtId="10" fontId="9" fillId="0" borderId="70" xfId="0" applyNumberFormat="1" applyFont="1" applyBorder="1" applyAlignment="1">
      <alignment horizontal="center"/>
    </xf>
    <xf numFmtId="10" fontId="6" fillId="4" borderId="68" xfId="0" applyNumberFormat="1" applyFont="1" applyFill="1" applyBorder="1" applyAlignment="1">
      <alignment horizontal="center"/>
    </xf>
    <xf numFmtId="10" fontId="9" fillId="0" borderId="64" xfId="0" applyNumberFormat="1" applyFont="1" applyBorder="1" applyAlignment="1">
      <alignment horizontal="center"/>
    </xf>
    <xf numFmtId="10" fontId="9" fillId="0" borderId="71" xfId="0" applyNumberFormat="1" applyFont="1" applyBorder="1" applyAlignment="1">
      <alignment horizontal="center"/>
    </xf>
    <xf numFmtId="174" fontId="9" fillId="0" borderId="0" xfId="0" applyNumberFormat="1" applyFont="1" applyAlignment="1">
      <alignment horizontal="center" vertical="center"/>
    </xf>
    <xf numFmtId="0" fontId="18" fillId="20" borderId="0" xfId="0" applyFont="1" applyFill="1" applyAlignment="1" applyProtection="1">
      <alignment horizontal="center" vertical="center"/>
      <protection locked="0"/>
    </xf>
    <xf numFmtId="0" fontId="9" fillId="45" borderId="0" xfId="0" applyFont="1" applyFill="1"/>
    <xf numFmtId="172" fontId="6" fillId="41" borderId="4" xfId="0" applyNumberFormat="1" applyFont="1" applyFill="1" applyBorder="1" applyAlignment="1">
      <alignment horizontal="center" vertical="center"/>
    </xf>
    <xf numFmtId="167" fontId="9" fillId="41" borderId="6" xfId="0" applyNumberFormat="1" applyFont="1" applyFill="1" applyBorder="1" applyAlignment="1">
      <alignment horizontal="center" vertical="center"/>
    </xf>
    <xf numFmtId="9" fontId="9" fillId="41" borderId="6" xfId="0" applyNumberFormat="1" applyFont="1" applyFill="1" applyBorder="1" applyAlignment="1">
      <alignment horizontal="center" vertical="center"/>
    </xf>
    <xf numFmtId="4" fontId="8" fillId="41" borderId="6" xfId="0" applyNumberFormat="1" applyFont="1" applyFill="1" applyBorder="1" applyAlignment="1">
      <alignment horizontal="center" vertical="center"/>
    </xf>
    <xf numFmtId="188" fontId="9" fillId="41" borderId="36" xfId="1" applyNumberFormat="1" applyFont="1" applyFill="1" applyBorder="1" applyAlignment="1">
      <alignment horizontal="center" vertical="center"/>
    </xf>
    <xf numFmtId="188" fontId="9" fillId="41" borderId="0" xfId="1" applyNumberFormat="1" applyFont="1" applyFill="1" applyBorder="1" applyAlignment="1">
      <alignment horizontal="center" vertical="center"/>
    </xf>
    <xf numFmtId="188" fontId="9" fillId="41" borderId="31" xfId="1" applyNumberFormat="1" applyFont="1" applyFill="1" applyBorder="1" applyAlignment="1">
      <alignment horizontal="center" vertical="center"/>
    </xf>
    <xf numFmtId="0" fontId="9" fillId="41" borderId="0" xfId="0" applyFont="1" applyFill="1"/>
    <xf numFmtId="3" fontId="6" fillId="41" borderId="36" xfId="0" applyNumberFormat="1" applyFont="1" applyFill="1" applyBorder="1" applyAlignment="1">
      <alignment horizontal="center"/>
    </xf>
    <xf numFmtId="3" fontId="9" fillId="41" borderId="0" xfId="0" applyNumberFormat="1" applyFont="1" applyFill="1" applyAlignment="1">
      <alignment horizontal="center"/>
    </xf>
    <xf numFmtId="3" fontId="6" fillId="41" borderId="31" xfId="0" applyNumberFormat="1" applyFont="1" applyFill="1" applyBorder="1" applyAlignment="1">
      <alignment horizontal="center"/>
    </xf>
    <xf numFmtId="189" fontId="9" fillId="41" borderId="1" xfId="0" applyNumberFormat="1" applyFont="1" applyFill="1" applyBorder="1" applyAlignment="1">
      <alignment horizontal="center" vertical="center"/>
    </xf>
    <xf numFmtId="189" fontId="9" fillId="41" borderId="1" xfId="1" applyNumberFormat="1" applyFont="1" applyFill="1" applyBorder="1" applyAlignment="1">
      <alignment horizontal="center" vertical="center"/>
    </xf>
    <xf numFmtId="188" fontId="9" fillId="41" borderId="1" xfId="1" applyNumberFormat="1" applyFont="1" applyFill="1" applyBorder="1" applyAlignment="1">
      <alignment horizontal="center" vertical="center"/>
    </xf>
    <xf numFmtId="2" fontId="9" fillId="41" borderId="1" xfId="1" applyNumberFormat="1" applyFont="1" applyFill="1" applyBorder="1" applyAlignment="1">
      <alignment horizontal="center" vertical="center"/>
    </xf>
    <xf numFmtId="167" fontId="9" fillId="0" borderId="1" xfId="0" applyNumberFormat="1" applyFont="1" applyBorder="1" applyAlignment="1">
      <alignment horizontal="center" vertical="center"/>
    </xf>
    <xf numFmtId="0" fontId="19" fillId="12" borderId="4" xfId="4" applyFont="1" applyFill="1" applyBorder="1" applyAlignment="1" applyProtection="1">
      <alignment horizontal="left" vertical="center" indent="1"/>
      <protection hidden="1"/>
    </xf>
    <xf numFmtId="192" fontId="8" fillId="33" borderId="6" xfId="0" applyNumberFormat="1" applyFont="1" applyFill="1" applyBorder="1" applyAlignment="1">
      <alignment horizontal="center" vertical="center"/>
    </xf>
    <xf numFmtId="192" fontId="8" fillId="41" borderId="6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92" fontId="8" fillId="33" borderId="4" xfId="0" applyNumberFormat="1" applyFont="1" applyFill="1" applyBorder="1" applyAlignment="1">
      <alignment horizontal="center" vertical="center"/>
    </xf>
    <xf numFmtId="192" fontId="8" fillId="41" borderId="4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 vertical="center" indent="1"/>
    </xf>
    <xf numFmtId="192" fontId="8" fillId="33" borderId="3" xfId="0" applyNumberFormat="1" applyFont="1" applyFill="1" applyBorder="1" applyAlignment="1">
      <alignment horizontal="center" vertical="center"/>
    </xf>
    <xf numFmtId="192" fontId="8" fillId="41" borderId="3" xfId="0" applyNumberFormat="1" applyFont="1" applyFill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9" fillId="41" borderId="4" xfId="0" applyNumberFormat="1" applyFont="1" applyFill="1" applyBorder="1" applyAlignment="1">
      <alignment horizontal="center" vertical="center"/>
    </xf>
    <xf numFmtId="167" fontId="9" fillId="0" borderId="3" xfId="0" applyNumberFormat="1" applyFont="1" applyBorder="1" applyAlignment="1">
      <alignment horizontal="center" vertical="center"/>
    </xf>
    <xf numFmtId="167" fontId="9" fillId="41" borderId="3" xfId="0" applyNumberFormat="1" applyFont="1" applyFill="1" applyBorder="1" applyAlignment="1">
      <alignment horizontal="center" vertical="center"/>
    </xf>
    <xf numFmtId="174" fontId="9" fillId="0" borderId="1" xfId="0" applyNumberFormat="1" applyFont="1" applyBorder="1" applyAlignment="1" applyProtection="1">
      <alignment horizontal="center"/>
      <protection locked="0"/>
    </xf>
    <xf numFmtId="10" fontId="9" fillId="27" borderId="6" xfId="0" applyNumberFormat="1" applyFont="1" applyFill="1" applyBorder="1" applyAlignment="1">
      <alignment horizontal="center" vertical="center"/>
    </xf>
    <xf numFmtId="10" fontId="9" fillId="0" borderId="6" xfId="0" applyNumberFormat="1" applyFont="1" applyBorder="1" applyAlignment="1">
      <alignment horizontal="center" vertical="center"/>
    </xf>
    <xf numFmtId="181" fontId="9" fillId="0" borderId="1" xfId="0" applyNumberFormat="1" applyFont="1" applyBorder="1" applyAlignment="1" applyProtection="1">
      <alignment horizontal="left" indent="1"/>
      <protection locked="0"/>
    </xf>
    <xf numFmtId="9" fontId="9" fillId="33" borderId="1" xfId="2" applyFont="1" applyFill="1" applyBorder="1" applyAlignment="1">
      <alignment horizontal="center" vertical="center"/>
    </xf>
    <xf numFmtId="9" fontId="9" fillId="41" borderId="1" xfId="2" applyFont="1" applyFill="1" applyBorder="1" applyAlignment="1">
      <alignment horizontal="center" vertical="center"/>
    </xf>
    <xf numFmtId="10" fontId="9" fillId="0" borderId="4" xfId="0" applyNumberFormat="1" applyFont="1" applyBorder="1" applyAlignment="1">
      <alignment horizontal="center" vertical="center"/>
    </xf>
    <xf numFmtId="10" fontId="9" fillId="41" borderId="4" xfId="0" applyNumberFormat="1" applyFont="1" applyFill="1" applyBorder="1" applyAlignment="1">
      <alignment horizontal="center" vertical="center"/>
    </xf>
    <xf numFmtId="10" fontId="9" fillId="41" borderId="6" xfId="0" applyNumberFormat="1" applyFont="1" applyFill="1" applyBorder="1" applyAlignment="1">
      <alignment horizontal="center" vertical="center"/>
    </xf>
    <xf numFmtId="10" fontId="9" fillId="0" borderId="3" xfId="0" applyNumberFormat="1" applyFont="1" applyBorder="1" applyAlignment="1">
      <alignment horizontal="center" vertical="center"/>
    </xf>
    <xf numFmtId="10" fontId="9" fillId="41" borderId="3" xfId="0" applyNumberFormat="1" applyFont="1" applyFill="1" applyBorder="1" applyAlignment="1">
      <alignment horizontal="center" vertical="center"/>
    </xf>
    <xf numFmtId="0" fontId="9" fillId="0" borderId="13" xfId="0" applyFont="1" applyBorder="1"/>
    <xf numFmtId="3" fontId="9" fillId="0" borderId="1" xfId="0" applyNumberFormat="1" applyFont="1" applyBorder="1" applyAlignment="1">
      <alignment horizontal="center"/>
    </xf>
    <xf numFmtId="171" fontId="9" fillId="0" borderId="61" xfId="0" applyNumberFormat="1" applyFont="1" applyBorder="1" applyAlignment="1">
      <alignment horizontal="center"/>
    </xf>
    <xf numFmtId="187" fontId="9" fillId="46" borderId="1" xfId="0" applyNumberFormat="1" applyFont="1" applyFill="1" applyBorder="1" applyAlignment="1">
      <alignment horizontal="left" vertical="center" indent="1"/>
    </xf>
    <xf numFmtId="15" fontId="3" fillId="37" borderId="1" xfId="5" applyNumberFormat="1" applyFont="1" applyFill="1" applyBorder="1" applyAlignment="1" applyProtection="1">
      <alignment horizontal="center"/>
      <protection hidden="1"/>
    </xf>
    <xf numFmtId="187" fontId="9" fillId="0" borderId="1" xfId="0" applyNumberFormat="1" applyFont="1" applyBorder="1" applyAlignment="1">
      <alignment horizontal="left" vertical="center" indent="1"/>
    </xf>
    <xf numFmtId="17" fontId="3" fillId="16" borderId="1" xfId="5" applyNumberFormat="1" applyFont="1" applyFill="1" applyBorder="1" applyAlignment="1" applyProtection="1">
      <alignment horizontal="center"/>
      <protection hidden="1"/>
    </xf>
    <xf numFmtId="15" fontId="3" fillId="37" borderId="23" xfId="5" applyNumberFormat="1" applyFont="1" applyFill="1" applyBorder="1" applyAlignment="1" applyProtection="1">
      <alignment horizontal="center"/>
      <protection hidden="1"/>
    </xf>
    <xf numFmtId="17" fontId="3" fillId="37" borderId="23" xfId="5" applyNumberFormat="1" applyFont="1" applyFill="1" applyBorder="1" applyAlignment="1" applyProtection="1">
      <alignment horizontal="center"/>
      <protection hidden="1"/>
    </xf>
    <xf numFmtId="0" fontId="9" fillId="0" borderId="29" xfId="0" applyFont="1" applyBorder="1"/>
    <xf numFmtId="167" fontId="6" fillId="0" borderId="66" xfId="0" applyNumberFormat="1" applyFont="1" applyBorder="1" applyAlignment="1">
      <alignment horizontal="center"/>
    </xf>
    <xf numFmtId="6" fontId="9" fillId="0" borderId="69" xfId="0" applyNumberFormat="1" applyFont="1" applyBorder="1" applyAlignment="1">
      <alignment horizontal="center"/>
    </xf>
    <xf numFmtId="193" fontId="6" fillId="4" borderId="67" xfId="0" applyNumberFormat="1" applyFont="1" applyFill="1" applyBorder="1" applyAlignment="1">
      <alignment horizontal="center"/>
    </xf>
    <xf numFmtId="174" fontId="6" fillId="0" borderId="66" xfId="0" applyNumberFormat="1" applyFont="1" applyBorder="1" applyAlignment="1">
      <alignment horizontal="center"/>
    </xf>
    <xf numFmtId="174" fontId="9" fillId="0" borderId="66" xfId="0" applyNumberFormat="1" applyFont="1" applyBorder="1" applyAlignment="1">
      <alignment horizontal="center"/>
    </xf>
    <xf numFmtId="174" fontId="9" fillId="0" borderId="66" xfId="0" applyNumberFormat="1" applyFont="1" applyBorder="1"/>
    <xf numFmtId="174" fontId="9" fillId="0" borderId="68" xfId="0" applyNumberFormat="1" applyFont="1" applyBorder="1" applyAlignment="1">
      <alignment horizontal="center"/>
    </xf>
    <xf numFmtId="174" fontId="9" fillId="0" borderId="70" xfId="0" applyNumberFormat="1" applyFont="1" applyBorder="1" applyAlignment="1">
      <alignment horizontal="center"/>
    </xf>
    <xf numFmtId="174" fontId="6" fillId="4" borderId="68" xfId="0" applyNumberFormat="1" applyFont="1" applyFill="1" applyBorder="1" applyAlignment="1">
      <alignment horizontal="center"/>
    </xf>
    <xf numFmtId="174" fontId="9" fillId="0" borderId="64" xfId="0" applyNumberFormat="1" applyFont="1" applyBorder="1" applyAlignment="1">
      <alignment horizontal="center"/>
    </xf>
    <xf numFmtId="174" fontId="6" fillId="0" borderId="77" xfId="0" applyNumberFormat="1" applyFont="1" applyBorder="1" applyAlignment="1">
      <alignment horizontal="center"/>
    </xf>
    <xf numFmtId="0" fontId="15" fillId="40" borderId="3" xfId="0" applyFont="1" applyFill="1" applyBorder="1" applyAlignment="1">
      <alignment horizontal="center"/>
    </xf>
    <xf numFmtId="174" fontId="9" fillId="0" borderId="71" xfId="0" applyNumberFormat="1" applyFont="1" applyBorder="1" applyAlignment="1">
      <alignment horizontal="center"/>
    </xf>
    <xf numFmtId="0" fontId="9" fillId="0" borderId="0" xfId="0" applyFont="1" applyAlignment="1">
      <alignment horizontal="left" vertical="top" indent="1"/>
    </xf>
    <xf numFmtId="0" fontId="6" fillId="0" borderId="38" xfId="0" applyFont="1" applyBorder="1" applyAlignment="1">
      <alignment horizontal="left" vertical="top" indent="1"/>
    </xf>
    <xf numFmtId="0" fontId="6" fillId="0" borderId="62" xfId="0" applyFont="1" applyBorder="1" applyAlignment="1">
      <alignment horizontal="left" vertical="top" indent="1"/>
    </xf>
    <xf numFmtId="0" fontId="6" fillId="0" borderId="65" xfId="0" applyFont="1" applyBorder="1" applyAlignment="1">
      <alignment horizontal="left" vertical="top" indent="1"/>
    </xf>
    <xf numFmtId="0" fontId="9" fillId="0" borderId="65" xfId="0" applyFont="1" applyBorder="1" applyAlignment="1">
      <alignment horizontal="left" vertical="top" indent="1"/>
    </xf>
    <xf numFmtId="190" fontId="3" fillId="29" borderId="17" xfId="5" applyNumberFormat="1" applyFont="1" applyFill="1" applyBorder="1" applyAlignment="1" applyProtection="1">
      <alignment horizontal="left" vertical="top" indent="1"/>
      <protection hidden="1"/>
    </xf>
    <xf numFmtId="190" fontId="3" fillId="29" borderId="34" xfId="5" applyNumberFormat="1" applyFont="1" applyFill="1" applyBorder="1" applyAlignment="1" applyProtection="1">
      <alignment horizontal="left" vertical="top" indent="1"/>
      <protection hidden="1"/>
    </xf>
    <xf numFmtId="190" fontId="3" fillId="25" borderId="17" xfId="11" applyNumberFormat="1" applyFont="1" applyFill="1" applyBorder="1" applyAlignment="1" applyProtection="1">
      <alignment horizontal="left" vertical="top" indent="1"/>
      <protection hidden="1"/>
    </xf>
    <xf numFmtId="0" fontId="4" fillId="29" borderId="35" xfId="5" applyFont="1" applyFill="1" applyBorder="1" applyAlignment="1" applyProtection="1">
      <alignment horizontal="left" vertical="top" indent="1"/>
      <protection hidden="1"/>
    </xf>
    <xf numFmtId="0" fontId="4" fillId="29" borderId="34" xfId="5" applyFont="1" applyFill="1" applyBorder="1" applyAlignment="1" applyProtection="1">
      <alignment horizontal="left" vertical="top" indent="1"/>
      <protection hidden="1"/>
    </xf>
    <xf numFmtId="0" fontId="4" fillId="29" borderId="38" xfId="5" applyFont="1" applyFill="1" applyBorder="1" applyAlignment="1" applyProtection="1">
      <alignment horizontal="left" vertical="top" indent="1"/>
      <protection hidden="1"/>
    </xf>
    <xf numFmtId="0" fontId="3" fillId="29" borderId="17" xfId="5" applyFont="1" applyFill="1" applyBorder="1" applyAlignment="1" applyProtection="1">
      <alignment horizontal="left" vertical="top" indent="1"/>
      <protection hidden="1"/>
    </xf>
    <xf numFmtId="0" fontId="3" fillId="29" borderId="34" xfId="5" applyFont="1" applyFill="1" applyBorder="1" applyAlignment="1" applyProtection="1">
      <alignment horizontal="left" vertical="top" indent="1"/>
      <protection hidden="1"/>
    </xf>
    <xf numFmtId="179" fontId="3" fillId="25" borderId="17" xfId="11" applyNumberFormat="1" applyFont="1" applyFill="1" applyBorder="1" applyAlignment="1" applyProtection="1">
      <alignment horizontal="left" vertical="top" indent="1"/>
      <protection hidden="1"/>
    </xf>
    <xf numFmtId="6" fontId="9" fillId="0" borderId="60" xfId="0" applyNumberFormat="1" applyFont="1" applyBorder="1" applyAlignment="1">
      <alignment horizontal="left" vertical="top" indent="1"/>
    </xf>
    <xf numFmtId="167" fontId="9" fillId="0" borderId="1" xfId="0" applyNumberFormat="1" applyFont="1" applyBorder="1" applyAlignment="1">
      <alignment horizontal="center"/>
    </xf>
    <xf numFmtId="0" fontId="6" fillId="0" borderId="1" xfId="0" applyFont="1" applyBorder="1"/>
    <xf numFmtId="0" fontId="9" fillId="0" borderId="0" xfId="0" applyFont="1" applyAlignment="1">
      <alignment horizontal="left" vertical="center"/>
    </xf>
    <xf numFmtId="10" fontId="9" fillId="33" borderId="0" xfId="0" applyNumberFormat="1" applyFont="1" applyFill="1" applyAlignment="1">
      <alignment horizontal="center"/>
    </xf>
    <xf numFmtId="3" fontId="6" fillId="18" borderId="1" xfId="0" applyNumberFormat="1" applyFont="1" applyFill="1" applyBorder="1" applyAlignment="1">
      <alignment horizontal="center" vertical="center"/>
    </xf>
    <xf numFmtId="3" fontId="6" fillId="41" borderId="1" xfId="0" applyNumberFormat="1" applyFont="1" applyFill="1" applyBorder="1" applyAlignment="1">
      <alignment horizontal="center" vertical="center"/>
    </xf>
    <xf numFmtId="172" fontId="6" fillId="33" borderId="4" xfId="0" applyNumberFormat="1" applyFont="1" applyFill="1" applyBorder="1" applyAlignment="1">
      <alignment horizontal="center" vertical="center"/>
    </xf>
    <xf numFmtId="172" fontId="6" fillId="18" borderId="3" xfId="0" applyNumberFormat="1" applyFont="1" applyFill="1" applyBorder="1" applyAlignment="1">
      <alignment horizontal="center" vertical="center"/>
    </xf>
    <xf numFmtId="9" fontId="9" fillId="3" borderId="0" xfId="0" applyNumberFormat="1" applyFont="1" applyFill="1"/>
    <xf numFmtId="0" fontId="6" fillId="17" borderId="1" xfId="0" applyFont="1" applyFill="1" applyBorder="1" applyAlignment="1">
      <alignment horizontal="left" vertical="center" indent="1"/>
    </xf>
    <xf numFmtId="3" fontId="6" fillId="17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172" fontId="8" fillId="40" borderId="1" xfId="1" applyNumberFormat="1" applyFont="1" applyFill="1" applyBorder="1" applyAlignment="1">
      <alignment horizontal="center" vertical="center"/>
    </xf>
    <xf numFmtId="4" fontId="9" fillId="0" borderId="21" xfId="0" applyNumberFormat="1" applyFont="1" applyBorder="1" applyAlignment="1">
      <alignment horizontal="center"/>
    </xf>
    <xf numFmtId="0" fontId="6" fillId="41" borderId="1" xfId="0" applyFont="1" applyFill="1" applyBorder="1" applyAlignment="1">
      <alignment horizontal="left" vertical="top" indent="1"/>
    </xf>
    <xf numFmtId="0" fontId="6" fillId="41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left" vertical="top" indent="1"/>
    </xf>
    <xf numFmtId="174" fontId="15" fillId="31" borderId="1" xfId="8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top" indent="1"/>
    </xf>
    <xf numFmtId="0" fontId="6" fillId="16" borderId="1" xfId="0" applyFont="1" applyFill="1" applyBorder="1" applyAlignment="1">
      <alignment horizontal="left" vertical="top" indent="1"/>
    </xf>
    <xf numFmtId="37" fontId="10" fillId="9" borderId="31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center" indent="1"/>
    </xf>
    <xf numFmtId="4" fontId="8" fillId="33" borderId="4" xfId="0" applyNumberFormat="1" applyFont="1" applyFill="1" applyBorder="1" applyAlignment="1">
      <alignment horizontal="center" vertical="center"/>
    </xf>
    <xf numFmtId="4" fontId="8" fillId="33" borderId="12" xfId="0" applyNumberFormat="1" applyFont="1" applyFill="1" applyBorder="1" applyAlignment="1">
      <alignment horizontal="center" vertical="center"/>
    </xf>
    <xf numFmtId="4" fontId="8" fillId="33" borderId="13" xfId="0" applyNumberFormat="1" applyFont="1" applyFill="1" applyBorder="1" applyAlignment="1">
      <alignment horizontal="center" vertical="center"/>
    </xf>
    <xf numFmtId="0" fontId="10" fillId="9" borderId="21" xfId="0" applyFont="1" applyFill="1" applyBorder="1" applyAlignment="1">
      <alignment horizontal="left" vertical="center" indent="1"/>
    </xf>
    <xf numFmtId="37" fontId="10" fillId="9" borderId="33" xfId="0" applyNumberFormat="1" applyFont="1" applyFill="1" applyBorder="1" applyAlignment="1">
      <alignment horizontal="center" vertical="center"/>
    </xf>
    <xf numFmtId="186" fontId="15" fillId="7" borderId="42" xfId="5" applyNumberFormat="1" applyFont="1" applyFill="1" applyBorder="1" applyAlignment="1" applyProtection="1">
      <alignment horizontal="center" vertical="center"/>
      <protection hidden="1"/>
    </xf>
    <xf numFmtId="4" fontId="3" fillId="0" borderId="29" xfId="1" applyNumberFormat="1" applyFont="1" applyFill="1" applyBorder="1" applyAlignment="1" applyProtection="1">
      <alignment horizontal="center"/>
      <protection hidden="1"/>
    </xf>
    <xf numFmtId="0" fontId="18" fillId="19" borderId="50" xfId="0" applyFont="1" applyFill="1" applyBorder="1" applyAlignment="1">
      <alignment horizontal="center"/>
    </xf>
    <xf numFmtId="178" fontId="3" fillId="25" borderId="11" xfId="5" applyNumberFormat="1" applyFont="1" applyFill="1" applyBorder="1" applyAlignment="1" applyProtection="1">
      <alignment horizontal="center"/>
      <protection hidden="1"/>
    </xf>
    <xf numFmtId="178" fontId="3" fillId="25" borderId="28" xfId="5" applyNumberFormat="1" applyFont="1" applyFill="1" applyBorder="1" applyAlignment="1" applyProtection="1">
      <alignment horizontal="center"/>
      <protection hidden="1"/>
    </xf>
    <xf numFmtId="15" fontId="15" fillId="2" borderId="21" xfId="0" applyNumberFormat="1" applyFont="1" applyFill="1" applyBorder="1" applyAlignment="1">
      <alignment horizontal="center" vertical="center"/>
    </xf>
    <xf numFmtId="172" fontId="6" fillId="6" borderId="12" xfId="0" applyNumberFormat="1" applyFont="1" applyFill="1" applyBorder="1" applyAlignment="1">
      <alignment horizontal="center" vertical="center"/>
    </xf>
    <xf numFmtId="167" fontId="9" fillId="0" borderId="13" xfId="0" applyNumberFormat="1" applyFont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  <xf numFmtId="168" fontId="9" fillId="0" borderId="13" xfId="0" applyNumberFormat="1" applyFont="1" applyBorder="1" applyAlignment="1">
      <alignment horizontal="center" vertical="center"/>
    </xf>
    <xf numFmtId="167" fontId="6" fillId="6" borderId="13" xfId="0" applyNumberFormat="1" applyFont="1" applyFill="1" applyBorder="1" applyAlignment="1">
      <alignment horizontal="center" vertical="center"/>
    </xf>
    <xf numFmtId="9" fontId="9" fillId="0" borderId="13" xfId="0" applyNumberFormat="1" applyFont="1" applyBorder="1" applyAlignment="1">
      <alignment horizontal="center" vertical="center"/>
    </xf>
    <xf numFmtId="9" fontId="6" fillId="6" borderId="14" xfId="0" applyNumberFormat="1" applyFont="1" applyFill="1" applyBorder="1" applyAlignment="1">
      <alignment horizontal="center" vertical="center"/>
    </xf>
    <xf numFmtId="37" fontId="10" fillId="0" borderId="12" xfId="0" applyNumberFormat="1" applyFont="1" applyBorder="1" applyAlignment="1">
      <alignment horizontal="center" vertical="center"/>
    </xf>
    <xf numFmtId="37" fontId="10" fillId="0" borderId="13" xfId="0" applyNumberFormat="1" applyFont="1" applyBorder="1" applyAlignment="1">
      <alignment horizontal="center" vertical="center"/>
    </xf>
    <xf numFmtId="182" fontId="10" fillId="0" borderId="13" xfId="0" applyNumberFormat="1" applyFont="1" applyBorder="1" applyAlignment="1">
      <alignment horizontal="center" vertical="center"/>
    </xf>
    <xf numFmtId="37" fontId="10" fillId="6" borderId="13" xfId="0" applyNumberFormat="1" applyFont="1" applyFill="1" applyBorder="1" applyAlignment="1">
      <alignment horizontal="center" vertical="center"/>
    </xf>
    <xf numFmtId="172" fontId="8" fillId="0" borderId="13" xfId="0" applyNumberFormat="1" applyFont="1" applyBorder="1" applyAlignment="1">
      <alignment horizontal="center" vertical="center"/>
    </xf>
    <xf numFmtId="172" fontId="8" fillId="0" borderId="13" xfId="1" applyNumberFormat="1" applyFont="1" applyBorder="1" applyAlignment="1">
      <alignment horizontal="center" vertical="center"/>
    </xf>
    <xf numFmtId="37" fontId="10" fillId="9" borderId="14" xfId="0" applyNumberFormat="1" applyFont="1" applyFill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3" fontId="10" fillId="9" borderId="14" xfId="0" applyNumberFormat="1" applyFont="1" applyFill="1" applyBorder="1" applyAlignment="1">
      <alignment horizontal="center" vertical="center"/>
    </xf>
    <xf numFmtId="172" fontId="8" fillId="16" borderId="21" xfId="1" applyNumberFormat="1" applyFont="1" applyFill="1" applyBorder="1" applyAlignment="1">
      <alignment horizontal="center" vertical="center"/>
    </xf>
    <xf numFmtId="188" fontId="9" fillId="33" borderId="82" xfId="1" applyNumberFormat="1" applyFont="1" applyFill="1" applyBorder="1" applyAlignment="1">
      <alignment horizontal="center" vertical="center"/>
    </xf>
    <xf numFmtId="189" fontId="9" fillId="0" borderId="21" xfId="1" applyNumberFormat="1" applyFont="1" applyBorder="1" applyAlignment="1">
      <alignment horizontal="center" vertical="center"/>
    </xf>
    <xf numFmtId="189" fontId="9" fillId="13" borderId="21" xfId="1" applyNumberFormat="1" applyFont="1" applyFill="1" applyBorder="1" applyAlignment="1">
      <alignment horizontal="center" vertical="center"/>
    </xf>
    <xf numFmtId="188" fontId="9" fillId="0" borderId="21" xfId="1" applyNumberFormat="1" applyFont="1" applyBorder="1" applyAlignment="1">
      <alignment horizontal="center" vertical="center"/>
    </xf>
    <xf numFmtId="188" fontId="9" fillId="33" borderId="21" xfId="1" applyNumberFormat="1" applyFont="1" applyFill="1" applyBorder="1" applyAlignment="1">
      <alignment horizontal="center" vertical="center"/>
    </xf>
    <xf numFmtId="2" fontId="9" fillId="0" borderId="21" xfId="1" applyNumberFormat="1" applyFont="1" applyBorder="1" applyAlignment="1">
      <alignment horizontal="center" vertical="center"/>
    </xf>
    <xf numFmtId="4" fontId="6" fillId="18" borderId="21" xfId="0" applyNumberFormat="1" applyFont="1" applyFill="1" applyBorder="1" applyAlignment="1">
      <alignment horizontal="center" vertical="center"/>
    </xf>
    <xf numFmtId="4" fontId="6" fillId="17" borderId="21" xfId="0" applyNumberFormat="1" applyFont="1" applyFill="1" applyBorder="1" applyAlignment="1">
      <alignment horizontal="center" vertical="center"/>
    </xf>
    <xf numFmtId="188" fontId="9" fillId="33" borderId="85" xfId="1" applyNumberFormat="1" applyFont="1" applyFill="1" applyBorder="1" applyAlignment="1">
      <alignment horizontal="center" vertical="center"/>
    </xf>
    <xf numFmtId="188" fontId="9" fillId="0" borderId="86" xfId="1" applyNumberFormat="1" applyFont="1" applyBorder="1" applyAlignment="1">
      <alignment horizontal="center" vertical="center"/>
    </xf>
    <xf numFmtId="15" fontId="15" fillId="2" borderId="23" xfId="0" applyNumberFormat="1" applyFont="1" applyFill="1" applyBorder="1" applyAlignment="1">
      <alignment horizontal="center" vertical="center"/>
    </xf>
    <xf numFmtId="172" fontId="6" fillId="6" borderId="53" xfId="0" applyNumberFormat="1" applyFont="1" applyFill="1" applyBorder="1" applyAlignment="1">
      <alignment horizontal="center" vertical="center"/>
    </xf>
    <xf numFmtId="167" fontId="9" fillId="0" borderId="87" xfId="0" applyNumberFormat="1" applyFont="1" applyBorder="1" applyAlignment="1">
      <alignment horizontal="center" vertical="center"/>
    </xf>
    <xf numFmtId="3" fontId="6" fillId="6" borderId="88" xfId="0" applyNumberFormat="1" applyFont="1" applyFill="1" applyBorder="1" applyAlignment="1">
      <alignment horizontal="center" vertical="center"/>
    </xf>
    <xf numFmtId="168" fontId="9" fillId="0" borderId="87" xfId="0" applyNumberFormat="1" applyFont="1" applyBorder="1" applyAlignment="1">
      <alignment horizontal="center" vertical="center"/>
    </xf>
    <xf numFmtId="167" fontId="6" fillId="6" borderId="87" xfId="0" applyNumberFormat="1" applyFont="1" applyFill="1" applyBorder="1" applyAlignment="1">
      <alignment horizontal="center" vertical="center"/>
    </xf>
    <xf numFmtId="9" fontId="9" fillId="0" borderId="87" xfId="0" applyNumberFormat="1" applyFont="1" applyBorder="1" applyAlignment="1">
      <alignment horizontal="center" vertical="center"/>
    </xf>
    <xf numFmtId="9" fontId="6" fillId="6" borderId="88" xfId="0" applyNumberFormat="1" applyFont="1" applyFill="1" applyBorder="1" applyAlignment="1">
      <alignment horizontal="center" vertical="center"/>
    </xf>
    <xf numFmtId="172" fontId="8" fillId="0" borderId="29" xfId="0" applyNumberFormat="1" applyFont="1" applyBorder="1" applyAlignment="1">
      <alignment horizontal="center" vertical="center"/>
    </xf>
    <xf numFmtId="37" fontId="10" fillId="0" borderId="53" xfId="0" applyNumberFormat="1" applyFont="1" applyBorder="1" applyAlignment="1">
      <alignment horizontal="center" vertical="center"/>
    </xf>
    <xf numFmtId="37" fontId="10" fillId="0" borderId="87" xfId="0" applyNumberFormat="1" applyFont="1" applyBorder="1" applyAlignment="1">
      <alignment horizontal="center" vertical="center"/>
    </xf>
    <xf numFmtId="182" fontId="10" fillId="0" borderId="87" xfId="0" applyNumberFormat="1" applyFont="1" applyBorder="1" applyAlignment="1">
      <alignment horizontal="center" vertical="center"/>
    </xf>
    <xf numFmtId="37" fontId="10" fillId="6" borderId="87" xfId="0" applyNumberFormat="1" applyFont="1" applyFill="1" applyBorder="1" applyAlignment="1">
      <alignment horizontal="center" vertical="center"/>
    </xf>
    <xf numFmtId="172" fontId="8" fillId="0" borderId="87" xfId="0" applyNumberFormat="1" applyFont="1" applyBorder="1" applyAlignment="1">
      <alignment horizontal="center" vertical="center"/>
    </xf>
    <xf numFmtId="172" fontId="8" fillId="0" borderId="87" xfId="1" applyNumberFormat="1" applyFont="1" applyBorder="1" applyAlignment="1">
      <alignment horizontal="center" vertical="center"/>
    </xf>
    <xf numFmtId="37" fontId="10" fillId="9" borderId="88" xfId="0" applyNumberFormat="1" applyFont="1" applyFill="1" applyBorder="1" applyAlignment="1">
      <alignment horizontal="center" vertical="center"/>
    </xf>
    <xf numFmtId="3" fontId="8" fillId="0" borderId="87" xfId="0" applyNumberFormat="1" applyFont="1" applyBorder="1" applyAlignment="1">
      <alignment horizontal="center" vertical="center"/>
    </xf>
    <xf numFmtId="3" fontId="10" fillId="9" borderId="88" xfId="0" applyNumberFormat="1" applyFont="1" applyFill="1" applyBorder="1" applyAlignment="1">
      <alignment horizontal="center" vertical="center"/>
    </xf>
    <xf numFmtId="172" fontId="8" fillId="16" borderId="17" xfId="1" applyNumberFormat="1" applyFont="1" applyFill="1" applyBorder="1" applyAlignment="1">
      <alignment horizontal="center" vertical="center"/>
    </xf>
    <xf numFmtId="172" fontId="8" fillId="40" borderId="23" xfId="1" applyNumberFormat="1" applyFont="1" applyFill="1" applyBorder="1" applyAlignment="1">
      <alignment horizontal="center" vertical="center"/>
    </xf>
    <xf numFmtId="188" fontId="9" fillId="3" borderId="37" xfId="1" applyNumberFormat="1" applyFont="1" applyFill="1" applyBorder="1" applyAlignment="1">
      <alignment horizontal="center" vertical="center"/>
    </xf>
    <xf numFmtId="188" fontId="9" fillId="0" borderId="52" xfId="1" applyNumberFormat="1" applyFont="1" applyBorder="1" applyAlignment="1">
      <alignment horizontal="center" vertical="center"/>
    </xf>
    <xf numFmtId="188" fontId="9" fillId="3" borderId="9" xfId="1" applyNumberFormat="1" applyFont="1" applyFill="1" applyBorder="1" applyAlignment="1">
      <alignment horizontal="center" vertical="center"/>
    </xf>
    <xf numFmtId="188" fontId="9" fillId="0" borderId="29" xfId="1" applyNumberFormat="1" applyFont="1" applyBorder="1" applyAlignment="1">
      <alignment horizontal="center" vertical="center"/>
    </xf>
    <xf numFmtId="188" fontId="9" fillId="3" borderId="30" xfId="1" applyNumberFormat="1" applyFont="1" applyFill="1" applyBorder="1" applyAlignment="1">
      <alignment horizontal="center" vertical="center"/>
    </xf>
    <xf numFmtId="188" fontId="9" fillId="0" borderId="51" xfId="1" applyNumberFormat="1" applyFont="1" applyBorder="1" applyAlignment="1">
      <alignment horizontal="center" vertical="center"/>
    </xf>
    <xf numFmtId="3" fontId="6" fillId="0" borderId="52" xfId="0" applyNumberFormat="1" applyFont="1" applyBorder="1" applyAlignment="1">
      <alignment horizontal="center"/>
    </xf>
    <xf numFmtId="3" fontId="9" fillId="0" borderId="29" xfId="0" applyNumberFormat="1" applyFont="1" applyBorder="1" applyAlignment="1">
      <alignment horizontal="center"/>
    </xf>
    <xf numFmtId="3" fontId="6" fillId="6" borderId="51" xfId="0" applyNumberFormat="1" applyFont="1" applyFill="1" applyBorder="1" applyAlignment="1">
      <alignment horizontal="center"/>
    </xf>
    <xf numFmtId="189" fontId="9" fillId="0" borderId="23" xfId="1" applyNumberFormat="1" applyFont="1" applyBorder="1" applyAlignment="1">
      <alignment horizontal="center" vertical="center"/>
    </xf>
    <xf numFmtId="188" fontId="9" fillId="0" borderId="23" xfId="1" applyNumberFormat="1" applyFont="1" applyBorder="1" applyAlignment="1">
      <alignment horizontal="center" vertical="center"/>
    </xf>
    <xf numFmtId="188" fontId="9" fillId="33" borderId="23" xfId="1" applyNumberFormat="1" applyFont="1" applyFill="1" applyBorder="1" applyAlignment="1">
      <alignment horizontal="center" vertical="center"/>
    </xf>
    <xf numFmtId="2" fontId="9" fillId="0" borderId="23" xfId="1" applyNumberFormat="1" applyFont="1" applyBorder="1" applyAlignment="1">
      <alignment horizontal="center" vertical="center"/>
    </xf>
    <xf numFmtId="3" fontId="6" fillId="18" borderId="17" xfId="0" applyNumberFormat="1" applyFont="1" applyFill="1" applyBorder="1" applyAlignment="1">
      <alignment horizontal="center" vertical="center"/>
    </xf>
    <xf numFmtId="3" fontId="6" fillId="18" borderId="23" xfId="0" applyNumberFormat="1" applyFont="1" applyFill="1" applyBorder="1" applyAlignment="1">
      <alignment horizontal="center" vertical="center"/>
    </xf>
    <xf numFmtId="3" fontId="6" fillId="17" borderId="17" xfId="0" applyNumberFormat="1" applyFont="1" applyFill="1" applyBorder="1" applyAlignment="1">
      <alignment horizontal="center" vertical="center"/>
    </xf>
    <xf numFmtId="3" fontId="6" fillId="17" borderId="23" xfId="0" applyNumberFormat="1" applyFont="1" applyFill="1" applyBorder="1" applyAlignment="1">
      <alignment horizontal="center" vertical="center"/>
    </xf>
    <xf numFmtId="172" fontId="6" fillId="23" borderId="20" xfId="0" applyNumberFormat="1" applyFont="1" applyFill="1" applyBorder="1" applyAlignment="1">
      <alignment horizontal="center"/>
    </xf>
    <xf numFmtId="4" fontId="6" fillId="23" borderId="21" xfId="0" applyNumberFormat="1" applyFont="1" applyFill="1" applyBorder="1" applyAlignment="1">
      <alignment horizontal="center"/>
    </xf>
    <xf numFmtId="172" fontId="6" fillId="3" borderId="24" xfId="0" applyNumberFormat="1" applyFont="1" applyFill="1" applyBorder="1" applyAlignment="1">
      <alignment horizontal="center"/>
    </xf>
    <xf numFmtId="172" fontId="6" fillId="23" borderId="25" xfId="0" applyNumberFormat="1" applyFont="1" applyFill="1" applyBorder="1" applyAlignment="1">
      <alignment horizontal="center"/>
    </xf>
    <xf numFmtId="4" fontId="6" fillId="23" borderId="23" xfId="0" applyNumberFormat="1" applyFont="1" applyFill="1" applyBorder="1" applyAlignment="1">
      <alignment horizontal="center"/>
    </xf>
    <xf numFmtId="186" fontId="15" fillId="25" borderId="21" xfId="5" applyNumberFormat="1" applyFont="1" applyFill="1" applyBorder="1" applyAlignment="1" applyProtection="1">
      <alignment horizontal="center"/>
      <protection hidden="1"/>
    </xf>
    <xf numFmtId="167" fontId="15" fillId="22" borderId="21" xfId="0" applyNumberFormat="1" applyFont="1" applyFill="1" applyBorder="1" applyAlignment="1" applyProtection="1">
      <alignment horizontal="center" vertical="center"/>
      <protection hidden="1"/>
    </xf>
    <xf numFmtId="186" fontId="15" fillId="25" borderId="17" xfId="5" applyNumberFormat="1" applyFont="1" applyFill="1" applyBorder="1" applyAlignment="1" applyProtection="1">
      <alignment horizontal="center"/>
      <protection hidden="1"/>
    </xf>
    <xf numFmtId="3" fontId="19" fillId="34" borderId="23" xfId="15" applyNumberFormat="1" applyFont="1" applyFill="1" applyBorder="1" applyAlignment="1" applyProtection="1">
      <alignment horizontal="center"/>
      <protection locked="0" hidden="1"/>
    </xf>
    <xf numFmtId="167" fontId="15" fillId="22" borderId="17" xfId="0" applyNumberFormat="1" applyFont="1" applyFill="1" applyBorder="1" applyAlignment="1" applyProtection="1">
      <alignment horizontal="center" vertical="center"/>
      <protection hidden="1"/>
    </xf>
    <xf numFmtId="10" fontId="15" fillId="22" borderId="23" xfId="0" applyNumberFormat="1" applyFont="1" applyFill="1" applyBorder="1" applyAlignment="1" applyProtection="1">
      <alignment horizontal="center" vertical="center"/>
      <protection hidden="1"/>
    </xf>
    <xf numFmtId="0" fontId="15" fillId="25" borderId="21" xfId="5" applyFont="1" applyFill="1" applyBorder="1" applyAlignment="1" applyProtection="1">
      <alignment horizontal="center"/>
      <protection hidden="1"/>
    </xf>
    <xf numFmtId="15" fontId="15" fillId="14" borderId="23" xfId="0" applyNumberFormat="1" applyFont="1" applyFill="1" applyBorder="1" applyAlignment="1">
      <alignment horizontal="center" vertical="center"/>
    </xf>
    <xf numFmtId="169" fontId="15" fillId="28" borderId="38" xfId="0" applyNumberFormat="1" applyFont="1" applyFill="1" applyBorder="1" applyAlignment="1" applyProtection="1">
      <alignment horizontal="center"/>
      <protection hidden="1"/>
    </xf>
    <xf numFmtId="169" fontId="15" fillId="28" borderId="51" xfId="0" applyNumberFormat="1" applyFont="1" applyFill="1" applyBorder="1" applyAlignment="1" applyProtection="1">
      <alignment horizontal="center"/>
      <protection hidden="1"/>
    </xf>
    <xf numFmtId="172" fontId="14" fillId="0" borderId="17" xfId="8" applyNumberFormat="1" applyFont="1" applyFill="1" applyBorder="1" applyAlignment="1">
      <alignment horizontal="center" vertical="center"/>
    </xf>
    <xf numFmtId="172" fontId="14" fillId="0" borderId="46" xfId="8" applyNumberFormat="1" applyFont="1" applyFill="1" applyBorder="1" applyAlignment="1">
      <alignment horizontal="center" vertical="center"/>
    </xf>
    <xf numFmtId="172" fontId="15" fillId="6" borderId="46" xfId="8" applyNumberFormat="1" applyFont="1" applyFill="1" applyBorder="1" applyAlignment="1">
      <alignment horizontal="center" vertical="center"/>
    </xf>
    <xf numFmtId="3" fontId="14" fillId="0" borderId="46" xfId="8" applyNumberFormat="1" applyFont="1" applyFill="1" applyBorder="1" applyAlignment="1">
      <alignment horizontal="center" vertical="center"/>
    </xf>
    <xf numFmtId="174" fontId="15" fillId="8" borderId="17" xfId="8" applyNumberFormat="1" applyFont="1" applyFill="1" applyBorder="1" applyAlignment="1">
      <alignment horizontal="center" vertical="center"/>
    </xf>
    <xf numFmtId="174" fontId="15" fillId="8" borderId="46" xfId="8" applyNumberFormat="1" applyFont="1" applyFill="1" applyBorder="1" applyAlignment="1">
      <alignment horizontal="center" vertical="center"/>
    </xf>
    <xf numFmtId="171" fontId="15" fillId="0" borderId="46" xfId="7" applyNumberFormat="1" applyFont="1" applyFill="1" applyBorder="1" applyAlignment="1">
      <alignment horizontal="center" vertical="center"/>
    </xf>
    <xf numFmtId="1" fontId="15" fillId="0" borderId="46" xfId="7" applyNumberFormat="1" applyFont="1" applyFill="1" applyBorder="1" applyAlignment="1">
      <alignment horizontal="center" vertical="center"/>
    </xf>
    <xf numFmtId="171" fontId="15" fillId="0" borderId="23" xfId="7" applyNumberFormat="1" applyFont="1" applyFill="1" applyBorder="1" applyAlignment="1">
      <alignment horizontal="center" vertical="center"/>
    </xf>
    <xf numFmtId="3" fontId="14" fillId="0" borderId="23" xfId="8" applyNumberFormat="1" applyFont="1" applyFill="1" applyBorder="1" applyAlignment="1">
      <alignment horizontal="center" vertical="center"/>
    </xf>
    <xf numFmtId="166" fontId="15" fillId="6" borderId="17" xfId="1" applyFont="1" applyFill="1" applyBorder="1" applyAlignment="1">
      <alignment horizontal="center" vertical="center"/>
    </xf>
    <xf numFmtId="166" fontId="15" fillId="6" borderId="46" xfId="1" applyFont="1" applyFill="1" applyBorder="1" applyAlignment="1">
      <alignment horizontal="center" vertical="center"/>
    </xf>
    <xf numFmtId="166" fontId="15" fillId="6" borderId="23" xfId="1" applyFont="1" applyFill="1" applyBorder="1" applyAlignment="1">
      <alignment horizontal="center" vertical="center"/>
    </xf>
    <xf numFmtId="171" fontId="14" fillId="0" borderId="46" xfId="7" applyNumberFormat="1" applyFont="1" applyFill="1" applyBorder="1" applyAlignment="1">
      <alignment horizontal="center" vertical="center"/>
    </xf>
    <xf numFmtId="171" fontId="14" fillId="0" borderId="23" xfId="7" applyNumberFormat="1" applyFont="1" applyFill="1" applyBorder="1" applyAlignment="1">
      <alignment horizontal="center" vertical="center"/>
    </xf>
    <xf numFmtId="171" fontId="9" fillId="26" borderId="23" xfId="0" applyNumberFormat="1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5" fontId="15" fillId="14" borderId="38" xfId="0" applyNumberFormat="1" applyFont="1" applyFill="1" applyBorder="1" applyAlignment="1">
      <alignment horizontal="center" vertical="center"/>
    </xf>
    <xf numFmtId="15" fontId="15" fillId="14" borderId="88" xfId="0" applyNumberFormat="1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8" fillId="19" borderId="25" xfId="0" applyFont="1" applyFill="1" applyBorder="1" applyAlignment="1">
      <alignment horizontal="center" vertical="center"/>
    </xf>
    <xf numFmtId="171" fontId="9" fillId="26" borderId="46" xfId="0" applyNumberFormat="1" applyFont="1" applyFill="1" applyBorder="1" applyAlignment="1">
      <alignment horizontal="center" vertical="center"/>
    </xf>
    <xf numFmtId="171" fontId="9" fillId="2" borderId="84" xfId="0" applyNumberFormat="1" applyFont="1" applyFill="1" applyBorder="1" applyAlignment="1">
      <alignment horizontal="center" vertical="center"/>
    </xf>
    <xf numFmtId="185" fontId="18" fillId="39" borderId="60" xfId="0" applyNumberFormat="1" applyFont="1" applyFill="1" applyBorder="1" applyAlignment="1">
      <alignment horizontal="center" vertical="center"/>
    </xf>
    <xf numFmtId="185" fontId="18" fillId="36" borderId="61" xfId="0" applyNumberFormat="1" applyFont="1" applyFill="1" applyBorder="1" applyAlignment="1">
      <alignment horizontal="center" vertical="center"/>
    </xf>
    <xf numFmtId="187" fontId="18" fillId="36" borderId="61" xfId="0" applyNumberFormat="1" applyFont="1" applyFill="1" applyBorder="1" applyAlignment="1">
      <alignment horizontal="center" vertical="center"/>
    </xf>
    <xf numFmtId="17" fontId="15" fillId="13" borderId="16" xfId="0" applyNumberFormat="1" applyFont="1" applyFill="1" applyBorder="1" applyAlignment="1">
      <alignment horizontal="center" vertical="center"/>
    </xf>
    <xf numFmtId="17" fontId="15" fillId="13" borderId="25" xfId="0" applyNumberFormat="1" applyFont="1" applyFill="1" applyBorder="1" applyAlignment="1">
      <alignment horizontal="center" vertical="center"/>
    </xf>
    <xf numFmtId="184" fontId="15" fillId="11" borderId="17" xfId="0" applyNumberFormat="1" applyFont="1" applyFill="1" applyBorder="1" applyAlignment="1">
      <alignment horizontal="center" vertical="center"/>
    </xf>
    <xf numFmtId="17" fontId="15" fillId="13" borderId="23" xfId="0" applyNumberFormat="1" applyFont="1" applyFill="1" applyBorder="1" applyAlignment="1">
      <alignment horizontal="center" vertical="center"/>
    </xf>
    <xf numFmtId="169" fontId="15" fillId="28" borderId="24" xfId="0" applyNumberFormat="1" applyFont="1" applyFill="1" applyBorder="1" applyAlignment="1" applyProtection="1">
      <alignment horizontal="center"/>
      <protection hidden="1"/>
    </xf>
    <xf numFmtId="169" fontId="15" fillId="28" borderId="25" xfId="0" applyNumberFormat="1" applyFont="1" applyFill="1" applyBorder="1" applyAlignment="1" applyProtection="1">
      <alignment horizontal="center"/>
      <protection hidden="1"/>
    </xf>
    <xf numFmtId="172" fontId="14" fillId="4" borderId="17" xfId="8" applyNumberFormat="1" applyFont="1" applyFill="1" applyBorder="1" applyAlignment="1">
      <alignment horizontal="center" vertical="center"/>
    </xf>
    <xf numFmtId="172" fontId="14" fillId="35" borderId="23" xfId="8" applyNumberFormat="1" applyFont="1" applyFill="1" applyBorder="1" applyAlignment="1">
      <alignment horizontal="center" vertical="center"/>
    </xf>
    <xf numFmtId="172" fontId="15" fillId="13" borderId="23" xfId="8" applyNumberFormat="1" applyFont="1" applyFill="1" applyBorder="1" applyAlignment="1">
      <alignment horizontal="center" vertical="center"/>
    </xf>
    <xf numFmtId="3" fontId="14" fillId="4" borderId="17" xfId="8" applyNumberFormat="1" applyFont="1" applyFill="1" applyBorder="1" applyAlignment="1">
      <alignment horizontal="center" vertical="center"/>
    </xf>
    <xf numFmtId="3" fontId="14" fillId="35" borderId="23" xfId="8" applyNumberFormat="1" applyFont="1" applyFill="1" applyBorder="1" applyAlignment="1">
      <alignment horizontal="center" vertical="center"/>
    </xf>
    <xf numFmtId="183" fontId="15" fillId="8" borderId="17" xfId="8" applyNumberFormat="1" applyFont="1" applyFill="1" applyBorder="1" applyAlignment="1">
      <alignment horizontal="center" vertical="center"/>
    </xf>
    <xf numFmtId="183" fontId="15" fillId="8" borderId="23" xfId="8" applyNumberFormat="1" applyFont="1" applyFill="1" applyBorder="1" applyAlignment="1">
      <alignment horizontal="center" vertical="center"/>
    </xf>
    <xf numFmtId="171" fontId="15" fillId="4" borderId="17" xfId="7" applyNumberFormat="1" applyFont="1" applyFill="1" applyBorder="1" applyAlignment="1">
      <alignment horizontal="center" vertical="center"/>
    </xf>
    <xf numFmtId="171" fontId="15" fillId="35" borderId="23" xfId="7" applyNumberFormat="1" applyFont="1" applyFill="1" applyBorder="1" applyAlignment="1">
      <alignment horizontal="center" vertical="center"/>
    </xf>
    <xf numFmtId="4" fontId="15" fillId="13" borderId="23" xfId="1" applyNumberFormat="1" applyFont="1" applyFill="1" applyBorder="1" applyAlignment="1">
      <alignment horizontal="center" vertical="center"/>
    </xf>
    <xf numFmtId="3" fontId="15" fillId="6" borderId="17" xfId="1" applyNumberFormat="1" applyFont="1" applyFill="1" applyBorder="1" applyAlignment="1">
      <alignment horizontal="center" vertical="center"/>
    </xf>
    <xf numFmtId="3" fontId="15" fillId="13" borderId="23" xfId="1" applyNumberFormat="1" applyFont="1" applyFill="1" applyBorder="1" applyAlignment="1">
      <alignment horizontal="center" vertical="center"/>
    </xf>
    <xf numFmtId="174" fontId="15" fillId="8" borderId="23" xfId="8" applyNumberFormat="1" applyFont="1" applyFill="1" applyBorder="1" applyAlignment="1">
      <alignment horizontal="center" vertical="center"/>
    </xf>
    <xf numFmtId="171" fontId="14" fillId="4" borderId="17" xfId="7" applyNumberFormat="1" applyFont="1" applyFill="1" applyBorder="1" applyAlignment="1">
      <alignment horizontal="center" vertical="center"/>
    </xf>
    <xf numFmtId="171" fontId="14" fillId="35" borderId="23" xfId="7" applyNumberFormat="1" applyFont="1" applyFill="1" applyBorder="1" applyAlignment="1">
      <alignment horizontal="center" vertical="center"/>
    </xf>
    <xf numFmtId="171" fontId="9" fillId="4" borderId="72" xfId="0" applyNumberFormat="1" applyFont="1" applyFill="1" applyBorder="1" applyAlignment="1">
      <alignment horizontal="center" vertical="center"/>
    </xf>
    <xf numFmtId="4" fontId="6" fillId="33" borderId="12" xfId="0" applyNumberFormat="1" applyFont="1" applyFill="1" applyBorder="1" applyAlignment="1">
      <alignment horizontal="center" vertical="center"/>
    </xf>
    <xf numFmtId="4" fontId="6" fillId="18" borderId="14" xfId="0" applyNumberFormat="1" applyFont="1" applyFill="1" applyBorder="1" applyAlignment="1">
      <alignment horizontal="center" vertical="center"/>
    </xf>
    <xf numFmtId="172" fontId="6" fillId="40" borderId="35" xfId="0" applyNumberFormat="1" applyFont="1" applyFill="1" applyBorder="1" applyAlignment="1">
      <alignment horizontal="center" vertical="center"/>
    </xf>
    <xf numFmtId="172" fontId="6" fillId="18" borderId="38" xfId="0" applyNumberFormat="1" applyFont="1" applyFill="1" applyBorder="1" applyAlignment="1">
      <alignment horizontal="center" vertical="center"/>
    </xf>
    <xf numFmtId="192" fontId="8" fillId="33" borderId="12" xfId="0" applyNumberFormat="1" applyFont="1" applyFill="1" applyBorder="1" applyAlignment="1">
      <alignment horizontal="center" vertical="center"/>
    </xf>
    <xf numFmtId="192" fontId="8" fillId="33" borderId="13" xfId="0" applyNumberFormat="1" applyFont="1" applyFill="1" applyBorder="1" applyAlignment="1">
      <alignment horizontal="center" vertical="center"/>
    </xf>
    <xf numFmtId="192" fontId="8" fillId="33" borderId="14" xfId="0" applyNumberFormat="1" applyFont="1" applyFill="1" applyBorder="1" applyAlignment="1">
      <alignment horizontal="center" vertical="center"/>
    </xf>
    <xf numFmtId="9" fontId="9" fillId="33" borderId="21" xfId="2" applyFont="1" applyFill="1" applyBorder="1" applyAlignment="1">
      <alignment horizontal="center" vertical="center"/>
    </xf>
    <xf numFmtId="10" fontId="9" fillId="0" borderId="12" xfId="0" applyNumberFormat="1" applyFont="1" applyBorder="1" applyAlignment="1">
      <alignment horizontal="center" vertical="center"/>
    </xf>
    <xf numFmtId="10" fontId="9" fillId="0" borderId="13" xfId="0" applyNumberFormat="1" applyFont="1" applyBorder="1" applyAlignment="1">
      <alignment horizontal="center" vertical="center"/>
    </xf>
    <xf numFmtId="10" fontId="9" fillId="0" borderId="14" xfId="0" applyNumberFormat="1" applyFont="1" applyBorder="1" applyAlignment="1">
      <alignment horizontal="center" vertical="center"/>
    </xf>
    <xf numFmtId="167" fontId="9" fillId="0" borderId="12" xfId="0" applyNumberFormat="1" applyFont="1" applyBorder="1" applyAlignment="1">
      <alignment horizontal="center" vertical="center"/>
    </xf>
    <xf numFmtId="167" fontId="9" fillId="0" borderId="14" xfId="0" applyNumberFormat="1" applyFont="1" applyBorder="1" applyAlignment="1">
      <alignment horizontal="center" vertical="center"/>
    </xf>
    <xf numFmtId="3" fontId="9" fillId="0" borderId="58" xfId="0" applyNumberFormat="1" applyFont="1" applyBorder="1" applyAlignment="1">
      <alignment horizontal="center"/>
    </xf>
    <xf numFmtId="3" fontId="6" fillId="0" borderId="33" xfId="0" applyNumberFormat="1" applyFont="1" applyBorder="1" applyAlignment="1">
      <alignment horizontal="center"/>
    </xf>
    <xf numFmtId="3" fontId="6" fillId="33" borderId="32" xfId="0" applyNumberFormat="1" applyFont="1" applyFill="1" applyBorder="1" applyAlignment="1">
      <alignment horizontal="center"/>
    </xf>
    <xf numFmtId="3" fontId="6" fillId="41" borderId="33" xfId="0" applyNumberFormat="1" applyFont="1" applyFill="1" applyBorder="1" applyAlignment="1">
      <alignment horizontal="center"/>
    </xf>
    <xf numFmtId="3" fontId="6" fillId="0" borderId="42" xfId="0" applyNumberFormat="1" applyFont="1" applyBorder="1" applyAlignment="1">
      <alignment horizontal="center"/>
    </xf>
    <xf numFmtId="3" fontId="6" fillId="6" borderId="33" xfId="0" applyNumberFormat="1" applyFont="1" applyFill="1" applyBorder="1" applyAlignment="1">
      <alignment horizontal="center"/>
    </xf>
    <xf numFmtId="3" fontId="6" fillId="6" borderId="32" xfId="0" applyNumberFormat="1" applyFont="1" applyFill="1" applyBorder="1" applyAlignment="1">
      <alignment horizontal="center"/>
    </xf>
    <xf numFmtId="3" fontId="6" fillId="6" borderId="42" xfId="0" applyNumberFormat="1" applyFont="1" applyFill="1" applyBorder="1" applyAlignment="1">
      <alignment horizontal="center"/>
    </xf>
    <xf numFmtId="0" fontId="7" fillId="12" borderId="4" xfId="4" applyFont="1" applyFill="1" applyBorder="1" applyAlignment="1" applyProtection="1">
      <alignment horizontal="left" vertical="center" indent="1"/>
      <protection hidden="1"/>
    </xf>
    <xf numFmtId="0" fontId="9" fillId="0" borderId="4" xfId="0" applyFont="1" applyBorder="1" applyAlignment="1">
      <alignment horizontal="left" vertical="center" indent="1"/>
    </xf>
    <xf numFmtId="0" fontId="9" fillId="0" borderId="3" xfId="0" applyFont="1" applyBorder="1" applyAlignment="1">
      <alignment horizontal="left" vertical="center" indent="1"/>
    </xf>
    <xf numFmtId="0" fontId="6" fillId="11" borderId="4" xfId="0" applyFont="1" applyFill="1" applyBorder="1"/>
    <xf numFmtId="0" fontId="9" fillId="18" borderId="6" xfId="0" applyFont="1" applyFill="1" applyBorder="1"/>
    <xf numFmtId="0" fontId="6" fillId="6" borderId="1" xfId="0" applyFont="1" applyFill="1" applyBorder="1"/>
    <xf numFmtId="171" fontId="3" fillId="25" borderId="26" xfId="11" applyNumberFormat="1" applyFont="1" applyFill="1" applyBorder="1" applyAlignment="1" applyProtection="1">
      <alignment horizontal="center"/>
      <protection hidden="1"/>
    </xf>
    <xf numFmtId="171" fontId="2" fillId="28" borderId="54" xfId="8" applyNumberFormat="1" applyFont="1" applyFill="1" applyBorder="1" applyAlignment="1">
      <alignment horizontal="center" vertical="center"/>
    </xf>
    <xf numFmtId="171" fontId="2" fillId="28" borderId="55" xfId="8" applyNumberFormat="1" applyFont="1" applyFill="1" applyBorder="1" applyAlignment="1">
      <alignment horizontal="center" vertical="center"/>
    </xf>
    <xf numFmtId="171" fontId="2" fillId="28" borderId="56" xfId="8" applyNumberFormat="1" applyFont="1" applyFill="1" applyBorder="1" applyAlignment="1">
      <alignment horizontal="center" vertical="center"/>
    </xf>
    <xf numFmtId="171" fontId="2" fillId="3" borderId="5" xfId="8" applyNumberFormat="1" applyFont="1" applyFill="1" applyBorder="1" applyAlignment="1">
      <alignment horizontal="center" vertical="center"/>
    </xf>
    <xf numFmtId="37" fontId="10" fillId="9" borderId="1" xfId="0" applyNumberFormat="1" applyFont="1" applyFill="1" applyBorder="1" applyAlignment="1">
      <alignment horizontal="center" vertical="center"/>
    </xf>
    <xf numFmtId="37" fontId="10" fillId="9" borderId="21" xfId="0" applyNumberFormat="1" applyFont="1" applyFill="1" applyBorder="1" applyAlignment="1">
      <alignment horizontal="center" vertical="center"/>
    </xf>
    <xf numFmtId="37" fontId="10" fillId="9" borderId="17" xfId="0" applyNumberFormat="1" applyFont="1" applyFill="1" applyBorder="1" applyAlignment="1">
      <alignment horizontal="center" vertical="center"/>
    </xf>
    <xf numFmtId="37" fontId="10" fillId="41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left" vertical="center" indent="1"/>
    </xf>
    <xf numFmtId="0" fontId="6" fillId="0" borderId="14" xfId="0" applyFont="1" applyBorder="1" applyAlignment="1">
      <alignment horizontal="center"/>
    </xf>
    <xf numFmtId="0" fontId="6" fillId="0" borderId="80" xfId="0" applyFont="1" applyBorder="1" applyAlignment="1">
      <alignment horizontal="center"/>
    </xf>
    <xf numFmtId="188" fontId="9" fillId="33" borderId="17" xfId="1" applyNumberFormat="1" applyFont="1" applyFill="1" applyBorder="1" applyAlignment="1">
      <alignment horizontal="center" vertical="center"/>
    </xf>
    <xf numFmtId="8" fontId="9" fillId="0" borderId="0" xfId="0" applyNumberFormat="1" applyFont="1" applyAlignment="1">
      <alignment horizontal="center"/>
    </xf>
    <xf numFmtId="4" fontId="9" fillId="3" borderId="0" xfId="0" applyNumberFormat="1" applyFont="1" applyFill="1"/>
    <xf numFmtId="0" fontId="6" fillId="35" borderId="1" xfId="0" applyFont="1" applyFill="1" applyBorder="1" applyAlignment="1">
      <alignment horizontal="left" vertical="top" indent="1"/>
    </xf>
    <xf numFmtId="4" fontId="6" fillId="35" borderId="1" xfId="2" applyNumberFormat="1" applyFont="1" applyFill="1" applyBorder="1" applyAlignment="1">
      <alignment horizontal="center" vertical="center"/>
    </xf>
    <xf numFmtId="172" fontId="15" fillId="6" borderId="42" xfId="1" applyNumberFormat="1" applyFont="1" applyFill="1" applyBorder="1" applyAlignment="1">
      <alignment horizontal="center" vertical="center"/>
    </xf>
    <xf numFmtId="191" fontId="9" fillId="40" borderId="1" xfId="19" applyNumberFormat="1" applyFont="1" applyFill="1" applyBorder="1" applyAlignment="1" applyProtection="1">
      <alignment horizontal="left" indent="1"/>
      <protection locked="0"/>
    </xf>
    <xf numFmtId="0" fontId="9" fillId="3" borderId="0" xfId="0" applyFont="1" applyFill="1" applyAlignment="1">
      <alignment horizontal="center"/>
    </xf>
    <xf numFmtId="172" fontId="6" fillId="23" borderId="43" xfId="0" applyNumberFormat="1" applyFont="1" applyFill="1" applyBorder="1" applyAlignment="1">
      <alignment horizontal="center"/>
    </xf>
    <xf numFmtId="4" fontId="6" fillId="23" borderId="42" xfId="0" applyNumberFormat="1" applyFont="1" applyFill="1" applyBorder="1" applyAlignment="1">
      <alignment horizontal="center"/>
    </xf>
    <xf numFmtId="186" fontId="15" fillId="25" borderId="42" xfId="5" applyNumberFormat="1" applyFont="1" applyFill="1" applyBorder="1" applyAlignment="1" applyProtection="1">
      <alignment horizontal="center"/>
      <protection hidden="1"/>
    </xf>
    <xf numFmtId="167" fontId="15" fillId="22" borderId="42" xfId="0" applyNumberFormat="1" applyFont="1" applyFill="1" applyBorder="1" applyAlignment="1" applyProtection="1">
      <alignment horizontal="center" vertical="center"/>
      <protection hidden="1"/>
    </xf>
    <xf numFmtId="4" fontId="3" fillId="0" borderId="0" xfId="1" applyNumberFormat="1" applyFont="1" applyFill="1" applyBorder="1" applyAlignment="1" applyProtection="1">
      <alignment horizontal="center"/>
      <protection hidden="1"/>
    </xf>
    <xf numFmtId="15" fontId="15" fillId="2" borderId="42" xfId="0" applyNumberFormat="1" applyFont="1" applyFill="1" applyBorder="1" applyAlignment="1">
      <alignment horizontal="center" vertical="center"/>
    </xf>
    <xf numFmtId="172" fontId="6" fillId="6" borderId="57" xfId="0" applyNumberFormat="1" applyFont="1" applyFill="1" applyBorder="1" applyAlignment="1">
      <alignment horizontal="center" vertical="center"/>
    </xf>
    <xf numFmtId="167" fontId="9" fillId="0" borderId="58" xfId="0" applyNumberFormat="1" applyFont="1" applyBorder="1" applyAlignment="1">
      <alignment horizontal="center" vertical="center"/>
    </xf>
    <xf numFmtId="3" fontId="6" fillId="6" borderId="45" xfId="0" applyNumberFormat="1" applyFont="1" applyFill="1" applyBorder="1" applyAlignment="1">
      <alignment horizontal="center" vertical="center"/>
    </xf>
    <xf numFmtId="168" fontId="9" fillId="0" borderId="58" xfId="0" applyNumberFormat="1" applyFont="1" applyBorder="1" applyAlignment="1">
      <alignment horizontal="center" vertical="center"/>
    </xf>
    <xf numFmtId="167" fontId="6" fillId="6" borderId="58" xfId="0" applyNumberFormat="1" applyFont="1" applyFill="1" applyBorder="1" applyAlignment="1">
      <alignment horizontal="center" vertical="center"/>
    </xf>
    <xf numFmtId="9" fontId="9" fillId="0" borderId="58" xfId="0" applyNumberFormat="1" applyFont="1" applyBorder="1" applyAlignment="1">
      <alignment horizontal="center" vertical="center"/>
    </xf>
    <xf numFmtId="9" fontId="6" fillId="6" borderId="45" xfId="0" applyNumberFormat="1" applyFont="1" applyFill="1" applyBorder="1" applyAlignment="1">
      <alignment horizontal="center" vertical="center"/>
    </xf>
    <xf numFmtId="37" fontId="10" fillId="0" borderId="57" xfId="0" applyNumberFormat="1" applyFont="1" applyBorder="1" applyAlignment="1">
      <alignment horizontal="center" vertical="center"/>
    </xf>
    <xf numFmtId="37" fontId="10" fillId="0" borderId="58" xfId="0" applyNumberFormat="1" applyFont="1" applyBorder="1" applyAlignment="1">
      <alignment horizontal="center" vertical="center"/>
    </xf>
    <xf numFmtId="182" fontId="10" fillId="0" borderId="58" xfId="0" applyNumberFormat="1" applyFont="1" applyBorder="1" applyAlignment="1">
      <alignment horizontal="center" vertical="center"/>
    </xf>
    <xf numFmtId="37" fontId="10" fillId="6" borderId="58" xfId="0" applyNumberFormat="1" applyFont="1" applyFill="1" applyBorder="1" applyAlignment="1">
      <alignment horizontal="center" vertical="center"/>
    </xf>
    <xf numFmtId="172" fontId="8" fillId="0" borderId="58" xfId="0" applyNumberFormat="1" applyFont="1" applyBorder="1" applyAlignment="1">
      <alignment horizontal="center" vertical="center"/>
    </xf>
    <xf numFmtId="172" fontId="8" fillId="0" borderId="58" xfId="1" applyNumberFormat="1" applyFont="1" applyBorder="1" applyAlignment="1">
      <alignment horizontal="center" vertical="center"/>
    </xf>
    <xf numFmtId="37" fontId="10" fillId="9" borderId="45" xfId="0" applyNumberFormat="1" applyFont="1" applyFill="1" applyBorder="1" applyAlignment="1">
      <alignment horizontal="center" vertical="center"/>
    </xf>
    <xf numFmtId="3" fontId="8" fillId="0" borderId="58" xfId="0" applyNumberFormat="1" applyFont="1" applyBorder="1" applyAlignment="1">
      <alignment horizontal="center" vertical="center"/>
    </xf>
    <xf numFmtId="3" fontId="10" fillId="9" borderId="45" xfId="0" applyNumberFormat="1" applyFont="1" applyFill="1" applyBorder="1" applyAlignment="1">
      <alignment horizontal="center" vertical="center"/>
    </xf>
    <xf numFmtId="189" fontId="9" fillId="0" borderId="42" xfId="1" applyNumberFormat="1" applyFont="1" applyBorder="1" applyAlignment="1">
      <alignment horizontal="center" vertical="center"/>
    </xf>
    <xf numFmtId="189" fontId="9" fillId="13" borderId="42" xfId="1" applyNumberFormat="1" applyFont="1" applyFill="1" applyBorder="1" applyAlignment="1">
      <alignment horizontal="center" vertical="center"/>
    </xf>
    <xf numFmtId="188" fontId="9" fillId="0" borderId="42" xfId="1" applyNumberFormat="1" applyFont="1" applyBorder="1" applyAlignment="1">
      <alignment horizontal="center" vertical="center"/>
    </xf>
    <xf numFmtId="188" fontId="9" fillId="33" borderId="42" xfId="1" applyNumberFormat="1" applyFont="1" applyFill="1" applyBorder="1" applyAlignment="1">
      <alignment horizontal="center" vertical="center"/>
    </xf>
    <xf numFmtId="2" fontId="9" fillId="0" borderId="42" xfId="1" applyNumberFormat="1" applyFont="1" applyBorder="1" applyAlignment="1">
      <alignment horizontal="center" vertical="center"/>
    </xf>
    <xf numFmtId="0" fontId="18" fillId="24" borderId="67" xfId="0" applyFont="1" applyFill="1" applyBorder="1" applyAlignment="1">
      <alignment horizontal="left" vertical="top" indent="1"/>
    </xf>
    <xf numFmtId="0" fontId="6" fillId="23" borderId="67" xfId="0" applyFont="1" applyFill="1" applyBorder="1" applyAlignment="1">
      <alignment horizontal="left" vertical="top" indent="1"/>
    </xf>
    <xf numFmtId="0" fontId="9" fillId="0" borderId="69" xfId="0" applyFont="1" applyBorder="1" applyAlignment="1">
      <alignment horizontal="left" vertical="top" indent="1"/>
    </xf>
    <xf numFmtId="3" fontId="19" fillId="34" borderId="67" xfId="15" applyNumberFormat="1" applyFont="1" applyFill="1" applyBorder="1" applyAlignment="1" applyProtection="1">
      <alignment horizontal="left" vertical="top" indent="1"/>
      <protection locked="0" hidden="1"/>
    </xf>
    <xf numFmtId="0" fontId="14" fillId="0" borderId="67" xfId="0" applyFont="1" applyBorder="1" applyAlignment="1" applyProtection="1">
      <alignment horizontal="left" vertical="top" indent="1"/>
      <protection hidden="1"/>
    </xf>
    <xf numFmtId="0" fontId="15" fillId="22" borderId="67" xfId="0" applyFont="1" applyFill="1" applyBorder="1" applyAlignment="1" applyProtection="1">
      <alignment horizontal="left" vertical="top" indent="1"/>
      <protection hidden="1"/>
    </xf>
    <xf numFmtId="0" fontId="18" fillId="10" borderId="93" xfId="0" applyFont="1" applyFill="1" applyBorder="1" applyAlignment="1">
      <alignment horizontal="left" vertical="top" indent="1"/>
    </xf>
    <xf numFmtId="0" fontId="3" fillId="25" borderId="94" xfId="5" applyFont="1" applyFill="1" applyBorder="1" applyAlignment="1" applyProtection="1">
      <alignment horizontal="left" vertical="top" indent="1"/>
      <protection hidden="1"/>
    </xf>
    <xf numFmtId="0" fontId="4" fillId="0" borderId="95" xfId="10" applyFont="1" applyBorder="1" applyAlignment="1" applyProtection="1">
      <alignment horizontal="left" vertical="top" indent="1"/>
      <protection hidden="1"/>
    </xf>
    <xf numFmtId="179" fontId="3" fillId="9" borderId="93" xfId="11" applyNumberFormat="1" applyFont="1" applyFill="1" applyBorder="1" applyAlignment="1" applyProtection="1">
      <alignment horizontal="left" vertical="top" indent="1"/>
      <protection hidden="1"/>
    </xf>
    <xf numFmtId="179" fontId="3" fillId="0" borderId="95" xfId="11" applyNumberFormat="1" applyFont="1" applyFill="1" applyBorder="1" applyAlignment="1" applyProtection="1">
      <alignment horizontal="left" vertical="top" indent="1"/>
      <protection hidden="1"/>
    </xf>
    <xf numFmtId="0" fontId="4" fillId="29" borderId="95" xfId="5" applyFont="1" applyFill="1" applyBorder="1" applyAlignment="1" applyProtection="1">
      <alignment horizontal="left" vertical="top" indent="1"/>
      <protection hidden="1"/>
    </xf>
    <xf numFmtId="0" fontId="4" fillId="33" borderId="95" xfId="5" applyFont="1" applyFill="1" applyBorder="1" applyAlignment="1" applyProtection="1">
      <alignment horizontal="left" vertical="top" indent="1"/>
      <protection hidden="1"/>
    </xf>
    <xf numFmtId="0" fontId="4" fillId="0" borderId="92" xfId="10" applyFont="1" applyBorder="1" applyAlignment="1" applyProtection="1">
      <alignment horizontal="left" vertical="top" indent="1"/>
      <protection hidden="1"/>
    </xf>
    <xf numFmtId="0" fontId="3" fillId="29" borderId="96" xfId="5" applyFont="1" applyFill="1" applyBorder="1" applyAlignment="1" applyProtection="1">
      <alignment horizontal="left" vertical="top" indent="1"/>
      <protection hidden="1"/>
    </xf>
    <xf numFmtId="179" fontId="3" fillId="25" borderId="97" xfId="11" applyNumberFormat="1" applyFont="1" applyFill="1" applyBorder="1" applyAlignment="1" applyProtection="1">
      <alignment horizontal="left" vertical="top" indent="1"/>
      <protection hidden="1"/>
    </xf>
    <xf numFmtId="0" fontId="3" fillId="0" borderId="96" xfId="5" applyFont="1" applyBorder="1" applyAlignment="1" applyProtection="1">
      <alignment horizontal="left" vertical="top" indent="1"/>
      <protection hidden="1"/>
    </xf>
    <xf numFmtId="0" fontId="4" fillId="29" borderId="98" xfId="5" applyFont="1" applyFill="1" applyBorder="1" applyAlignment="1" applyProtection="1">
      <alignment horizontal="left" vertical="top" indent="1"/>
      <protection hidden="1"/>
    </xf>
    <xf numFmtId="0" fontId="4" fillId="29" borderId="92" xfId="5" applyFont="1" applyFill="1" applyBorder="1" applyAlignment="1" applyProtection="1">
      <alignment horizontal="left" vertical="top" indent="1"/>
      <protection hidden="1"/>
    </xf>
    <xf numFmtId="0" fontId="3" fillId="29" borderId="99" xfId="5" applyFont="1" applyFill="1" applyBorder="1" applyAlignment="1" applyProtection="1">
      <alignment horizontal="left" vertical="top" indent="1"/>
      <protection hidden="1"/>
    </xf>
    <xf numFmtId="179" fontId="3" fillId="25" borderId="96" xfId="11" applyNumberFormat="1" applyFont="1" applyFill="1" applyBorder="1" applyAlignment="1" applyProtection="1">
      <alignment horizontal="left" vertical="top" indent="1"/>
      <protection hidden="1"/>
    </xf>
    <xf numFmtId="0" fontId="3" fillId="0" borderId="99" xfId="5" applyFont="1" applyBorder="1" applyAlignment="1" applyProtection="1">
      <alignment horizontal="left" vertical="top" indent="1"/>
      <protection hidden="1"/>
    </xf>
    <xf numFmtId="179" fontId="3" fillId="25" borderId="93" xfId="11" applyNumberFormat="1" applyFont="1" applyFill="1" applyBorder="1" applyAlignment="1" applyProtection="1">
      <alignment horizontal="left" vertical="top" indent="1"/>
      <protection hidden="1"/>
    </xf>
    <xf numFmtId="0" fontId="18" fillId="10" borderId="67" xfId="0" applyFont="1" applyFill="1" applyBorder="1" applyAlignment="1">
      <alignment horizontal="left" vertical="top" indent="1"/>
    </xf>
    <xf numFmtId="0" fontId="6" fillId="6" borderId="100" xfId="0" applyFont="1" applyFill="1" applyBorder="1" applyAlignment="1">
      <alignment horizontal="left" vertical="top" indent="1"/>
    </xf>
    <xf numFmtId="0" fontId="9" fillId="0" borderId="101" xfId="0" applyFont="1" applyBorder="1" applyAlignment="1">
      <alignment horizontal="left" vertical="top" indent="1"/>
    </xf>
    <xf numFmtId="0" fontId="6" fillId="6" borderId="102" xfId="0" applyFont="1" applyFill="1" applyBorder="1" applyAlignment="1">
      <alignment horizontal="left" vertical="top" indent="1"/>
    </xf>
    <xf numFmtId="0" fontId="6" fillId="6" borderId="101" xfId="0" applyFont="1" applyFill="1" applyBorder="1" applyAlignment="1">
      <alignment horizontal="left" vertical="top" indent="1"/>
    </xf>
    <xf numFmtId="0" fontId="9" fillId="0" borderId="101" xfId="0" quotePrefix="1" applyFont="1" applyBorder="1" applyAlignment="1">
      <alignment horizontal="left" vertical="top" indent="1"/>
    </xf>
    <xf numFmtId="0" fontId="19" fillId="12" borderId="100" xfId="4" applyFont="1" applyFill="1" applyBorder="1" applyAlignment="1" applyProtection="1">
      <alignment horizontal="left" vertical="top" indent="1"/>
      <protection hidden="1"/>
    </xf>
    <xf numFmtId="0" fontId="10" fillId="0" borderId="100" xfId="0" applyFont="1" applyBorder="1" applyAlignment="1">
      <alignment horizontal="left" vertical="top" indent="1"/>
    </xf>
    <xf numFmtId="0" fontId="10" fillId="0" borderId="101" xfId="0" applyFont="1" applyBorder="1" applyAlignment="1">
      <alignment horizontal="left" vertical="top" indent="1"/>
    </xf>
    <xf numFmtId="0" fontId="8" fillId="0" borderId="101" xfId="0" applyFont="1" applyBorder="1" applyAlignment="1">
      <alignment horizontal="left" vertical="top" indent="1"/>
    </xf>
    <xf numFmtId="0" fontId="10" fillId="6" borderId="101" xfId="0" applyFont="1" applyFill="1" applyBorder="1" applyAlignment="1">
      <alignment horizontal="left" vertical="top" indent="1"/>
    </xf>
    <xf numFmtId="0" fontId="10" fillId="9" borderId="102" xfId="0" applyFont="1" applyFill="1" applyBorder="1" applyAlignment="1">
      <alignment horizontal="left" vertical="top" indent="1"/>
    </xf>
    <xf numFmtId="0" fontId="7" fillId="12" borderId="100" xfId="4" applyFont="1" applyFill="1" applyBorder="1" applyAlignment="1" applyProtection="1">
      <alignment horizontal="left" vertical="top" indent="1"/>
      <protection hidden="1"/>
    </xf>
    <xf numFmtId="0" fontId="9" fillId="0" borderId="100" xfId="0" applyFont="1" applyBorder="1" applyAlignment="1">
      <alignment horizontal="left" vertical="top" indent="1"/>
    </xf>
    <xf numFmtId="0" fontId="9" fillId="0" borderId="102" xfId="0" applyFont="1" applyBorder="1" applyAlignment="1">
      <alignment horizontal="left" vertical="top" indent="1"/>
    </xf>
    <xf numFmtId="0" fontId="6" fillId="11" borderId="69" xfId="0" applyFont="1" applyFill="1" applyBorder="1" applyAlignment="1">
      <alignment horizontal="left" vertical="top" indent="1"/>
    </xf>
    <xf numFmtId="0" fontId="6" fillId="0" borderId="100" xfId="0" applyFont="1" applyBorder="1" applyAlignment="1">
      <alignment horizontal="left" vertical="top" indent="1"/>
    </xf>
    <xf numFmtId="0" fontId="9" fillId="18" borderId="101" xfId="0" applyFont="1" applyFill="1" applyBorder="1" applyAlignment="1">
      <alignment horizontal="left" vertical="top" indent="1"/>
    </xf>
    <xf numFmtId="0" fontId="9" fillId="0" borderId="67" xfId="0" applyFont="1" applyBorder="1" applyAlignment="1">
      <alignment horizontal="left" vertical="top" indent="1"/>
    </xf>
    <xf numFmtId="172" fontId="8" fillId="40" borderId="42" xfId="1" applyNumberFormat="1" applyFont="1" applyFill="1" applyBorder="1" applyAlignment="1">
      <alignment horizontal="center" vertical="center"/>
    </xf>
    <xf numFmtId="4" fontId="6" fillId="18" borderId="42" xfId="0" applyNumberFormat="1" applyFont="1" applyFill="1" applyBorder="1" applyAlignment="1">
      <alignment horizontal="center" vertical="center"/>
    </xf>
    <xf numFmtId="4" fontId="6" fillId="17" borderId="42" xfId="0" applyNumberFormat="1" applyFont="1" applyFill="1" applyBorder="1" applyAlignment="1">
      <alignment horizontal="center" vertical="center"/>
    </xf>
    <xf numFmtId="0" fontId="15" fillId="40" borderId="24" xfId="0" applyFont="1" applyFill="1" applyBorder="1" applyAlignment="1">
      <alignment horizontal="center"/>
    </xf>
    <xf numFmtId="0" fontId="9" fillId="45" borderId="0" xfId="0" applyFont="1" applyFill="1" applyAlignment="1">
      <alignment horizontal="center" vertical="center"/>
    </xf>
    <xf numFmtId="195" fontId="9" fillId="0" borderId="0" xfId="0" applyNumberFormat="1" applyFont="1" applyAlignment="1">
      <alignment horizontal="center" vertical="center"/>
    </xf>
    <xf numFmtId="171" fontId="2" fillId="28" borderId="21" xfId="8" applyNumberFormat="1" applyFont="1" applyFill="1" applyBorder="1" applyAlignment="1">
      <alignment horizontal="center" vertical="center"/>
    </xf>
    <xf numFmtId="171" fontId="2" fillId="28" borderId="103" xfId="8" applyNumberFormat="1" applyFont="1" applyFill="1" applyBorder="1" applyAlignment="1">
      <alignment horizontal="center" vertical="center"/>
    </xf>
    <xf numFmtId="9" fontId="9" fillId="0" borderId="0" xfId="2" applyFont="1" applyAlignment="1">
      <alignment horizontal="center"/>
    </xf>
    <xf numFmtId="171" fontId="9" fillId="2" borderId="1" xfId="0" applyNumberFormat="1" applyFont="1" applyFill="1" applyBorder="1" applyAlignment="1">
      <alignment horizontal="center" vertical="center"/>
    </xf>
    <xf numFmtId="174" fontId="15" fillId="8" borderId="33" xfId="8" applyNumberFormat="1" applyFont="1" applyFill="1" applyBorder="1" applyAlignment="1">
      <alignment horizontal="center" vertical="center"/>
    </xf>
    <xf numFmtId="170" fontId="9" fillId="0" borderId="0" xfId="0" applyNumberFormat="1" applyFont="1" applyAlignment="1" applyProtection="1">
      <alignment horizontal="center" vertical="center"/>
      <protection locked="0"/>
    </xf>
    <xf numFmtId="9" fontId="9" fillId="0" borderId="0" xfId="0" applyNumberFormat="1" applyFont="1" applyAlignment="1">
      <alignment horizontal="center"/>
    </xf>
    <xf numFmtId="181" fontId="18" fillId="39" borderId="1" xfId="0" applyNumberFormat="1" applyFont="1" applyFill="1" applyBorder="1" applyAlignment="1" applyProtection="1">
      <alignment horizontal="left" vertical="top" indent="1"/>
      <protection locked="0"/>
    </xf>
    <xf numFmtId="0" fontId="9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5" borderId="1" xfId="0" applyFont="1" applyFill="1" applyBorder="1" applyAlignment="1">
      <alignment horizontal="left" indent="1"/>
    </xf>
    <xf numFmtId="3" fontId="6" fillId="35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left" indent="1"/>
    </xf>
    <xf numFmtId="3" fontId="6" fillId="6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left" indent="1"/>
    </xf>
    <xf numFmtId="3" fontId="6" fillId="9" borderId="1" xfId="0" applyNumberFormat="1" applyFont="1" applyFill="1" applyBorder="1" applyAlignment="1">
      <alignment horizontal="center"/>
    </xf>
    <xf numFmtId="167" fontId="20" fillId="0" borderId="1" xfId="0" applyNumberFormat="1" applyFont="1" applyBorder="1" applyAlignment="1">
      <alignment horizontal="center"/>
    </xf>
    <xf numFmtId="0" fontId="6" fillId="18" borderId="1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 vertical="center"/>
    </xf>
    <xf numFmtId="0" fontId="6" fillId="7" borderId="50" xfId="0" applyFont="1" applyFill="1" applyBorder="1" applyAlignment="1">
      <alignment horizontal="center" vertical="center"/>
    </xf>
    <xf numFmtId="0" fontId="6" fillId="0" borderId="104" xfId="0" applyFont="1" applyBorder="1" applyAlignment="1">
      <alignment horizontal="left" vertical="center"/>
    </xf>
    <xf numFmtId="0" fontId="9" fillId="0" borderId="104" xfId="0" applyFont="1" applyBorder="1" applyAlignment="1">
      <alignment horizontal="center" vertical="center"/>
    </xf>
    <xf numFmtId="0" fontId="6" fillId="0" borderId="104" xfId="0" applyFont="1" applyBorder="1" applyAlignment="1">
      <alignment horizontal="center" vertical="center"/>
    </xf>
    <xf numFmtId="0" fontId="6" fillId="0" borderId="105" xfId="0" applyFont="1" applyBorder="1" applyAlignment="1">
      <alignment horizontal="left" vertical="center"/>
    </xf>
    <xf numFmtId="0" fontId="9" fillId="0" borderId="105" xfId="0" applyFont="1" applyBorder="1" applyAlignment="1">
      <alignment horizontal="center" vertical="center"/>
    </xf>
    <xf numFmtId="0" fontId="6" fillId="0" borderId="105" xfId="0" applyFont="1" applyBorder="1" applyAlignment="1">
      <alignment horizontal="center" vertical="center"/>
    </xf>
    <xf numFmtId="4" fontId="9" fillId="0" borderId="105" xfId="0" applyNumberFormat="1" applyFont="1" applyBorder="1" applyAlignment="1">
      <alignment horizontal="center" vertical="center"/>
    </xf>
    <xf numFmtId="0" fontId="6" fillId="0" borderId="106" xfId="0" applyFont="1" applyBorder="1" applyAlignment="1">
      <alignment horizontal="center" vertical="center"/>
    </xf>
    <xf numFmtId="0" fontId="6" fillId="2" borderId="105" xfId="0" applyFont="1" applyFill="1" applyBorder="1" applyAlignment="1">
      <alignment horizontal="left" vertical="center"/>
    </xf>
    <xf numFmtId="4" fontId="6" fillId="2" borderId="105" xfId="0" applyNumberFormat="1" applyFont="1" applyFill="1" applyBorder="1" applyAlignment="1">
      <alignment horizontal="center" vertical="center"/>
    </xf>
    <xf numFmtId="0" fontId="6" fillId="0" borderId="106" xfId="0" applyFont="1" applyBorder="1" applyAlignment="1">
      <alignment horizontal="left" vertical="center"/>
    </xf>
    <xf numFmtId="0" fontId="9" fillId="0" borderId="106" xfId="0" applyFont="1" applyBorder="1" applyAlignment="1">
      <alignment horizontal="center" vertical="center"/>
    </xf>
    <xf numFmtId="0" fontId="6" fillId="2" borderId="104" xfId="0" applyFont="1" applyFill="1" applyBorder="1" applyAlignment="1">
      <alignment horizontal="left" vertical="center"/>
    </xf>
    <xf numFmtId="10" fontId="6" fillId="2" borderId="10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10" fontId="20" fillId="0" borderId="105" xfId="0" applyNumberFormat="1" applyFont="1" applyBorder="1" applyAlignment="1">
      <alignment horizontal="center" vertical="center"/>
    </xf>
    <xf numFmtId="0" fontId="6" fillId="2" borderId="106" xfId="0" applyFont="1" applyFill="1" applyBorder="1" applyAlignment="1">
      <alignment horizontal="left" vertical="center"/>
    </xf>
    <xf numFmtId="10" fontId="9" fillId="2" borderId="106" xfId="0" applyNumberFormat="1" applyFont="1" applyFill="1" applyBorder="1" applyAlignment="1">
      <alignment horizontal="center" vertical="center"/>
    </xf>
    <xf numFmtId="9" fontId="9" fillId="3" borderId="0" xfId="2" applyFont="1" applyFill="1" applyAlignment="1">
      <alignment horizontal="center" vertical="center"/>
    </xf>
    <xf numFmtId="0" fontId="6" fillId="3" borderId="105" xfId="0" applyFont="1" applyFill="1" applyBorder="1" applyAlignment="1">
      <alignment horizontal="left" vertical="center"/>
    </xf>
    <xf numFmtId="0" fontId="9" fillId="3" borderId="105" xfId="0" applyFont="1" applyFill="1" applyBorder="1" applyAlignment="1">
      <alignment horizontal="center" vertical="center"/>
    </xf>
    <xf numFmtId="10" fontId="9" fillId="0" borderId="23" xfId="0" applyNumberFormat="1" applyFont="1" applyBorder="1" applyAlignment="1">
      <alignment horizontal="center"/>
    </xf>
    <xf numFmtId="10" fontId="9" fillId="0" borderId="0" xfId="2" applyNumberFormat="1" applyFont="1" applyAlignment="1">
      <alignment horizontal="center" vertical="center"/>
    </xf>
    <xf numFmtId="171" fontId="15" fillId="33" borderId="17" xfId="7" applyNumberFormat="1" applyFont="1" applyFill="1" applyBorder="1" applyAlignment="1">
      <alignment horizontal="center" vertical="center"/>
    </xf>
    <xf numFmtId="0" fontId="18" fillId="20" borderId="3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0" fontId="9" fillId="21" borderId="5" xfId="2" applyNumberFormat="1" applyFont="1" applyFill="1" applyBorder="1" applyAlignment="1">
      <alignment horizontal="center" vertical="center"/>
    </xf>
    <xf numFmtId="172" fontId="6" fillId="23" borderId="0" xfId="0" applyNumberFormat="1" applyFont="1" applyFill="1" applyAlignment="1">
      <alignment horizontal="center"/>
    </xf>
    <xf numFmtId="4" fontId="6" fillId="23" borderId="0" xfId="0" applyNumberFormat="1" applyFont="1" applyFill="1" applyAlignment="1">
      <alignment horizontal="center"/>
    </xf>
    <xf numFmtId="178" fontId="3" fillId="25" borderId="0" xfId="5" applyNumberFormat="1" applyFont="1" applyFill="1" applyAlignment="1" applyProtection="1">
      <alignment horizontal="center"/>
      <protection hidden="1"/>
    </xf>
    <xf numFmtId="15" fontId="15" fillId="2" borderId="0" xfId="0" applyNumberFormat="1" applyFont="1" applyFill="1" applyAlignment="1">
      <alignment horizontal="center" vertical="center"/>
    </xf>
    <xf numFmtId="172" fontId="6" fillId="6" borderId="0" xfId="0" applyNumberFormat="1" applyFont="1" applyFill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3" fontId="6" fillId="6" borderId="0" xfId="0" applyNumberFormat="1" applyFont="1" applyFill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7" fontId="6" fillId="6" borderId="0" xfId="0" applyNumberFormat="1" applyFont="1" applyFill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9" fontId="6" fillId="6" borderId="0" xfId="0" applyNumberFormat="1" applyFont="1" applyFill="1" applyAlignment="1">
      <alignment horizontal="center" vertical="center"/>
    </xf>
    <xf numFmtId="37" fontId="10" fillId="0" borderId="0" xfId="0" applyNumberFormat="1" applyFont="1" applyAlignment="1">
      <alignment horizontal="center" vertical="center"/>
    </xf>
    <xf numFmtId="182" fontId="10" fillId="0" borderId="0" xfId="0" applyNumberFormat="1" applyFont="1" applyAlignment="1">
      <alignment horizontal="center" vertical="center"/>
    </xf>
    <xf numFmtId="37" fontId="10" fillId="6" borderId="0" xfId="0" applyNumberFormat="1" applyFont="1" applyFill="1" applyAlignment="1">
      <alignment horizontal="center" vertical="center"/>
    </xf>
    <xf numFmtId="172" fontId="8" fillId="0" borderId="0" xfId="1" applyNumberFormat="1" applyFont="1" applyBorder="1" applyAlignment="1">
      <alignment horizontal="center" vertical="center"/>
    </xf>
    <xf numFmtId="37" fontId="10" fillId="9" borderId="0" xfId="0" applyNumberFormat="1" applyFont="1" applyFill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10" fillId="9" borderId="0" xfId="0" applyNumberFormat="1" applyFont="1" applyFill="1" applyAlignment="1">
      <alignment horizontal="center" vertical="center"/>
    </xf>
    <xf numFmtId="172" fontId="8" fillId="40" borderId="0" xfId="1" applyNumberFormat="1" applyFont="1" applyFill="1" applyBorder="1" applyAlignment="1">
      <alignment horizontal="center" vertical="center"/>
    </xf>
    <xf numFmtId="188" fontId="9" fillId="33" borderId="109" xfId="1" applyNumberFormat="1" applyFont="1" applyFill="1" applyBorder="1" applyAlignment="1">
      <alignment horizontal="center" vertical="center"/>
    </xf>
    <xf numFmtId="3" fontId="6" fillId="0" borderId="0" xfId="0" applyNumberFormat="1" applyFont="1" applyAlignment="1">
      <alignment horizontal="center"/>
    </xf>
    <xf numFmtId="3" fontId="6" fillId="6" borderId="0" xfId="0" applyNumberFormat="1" applyFont="1" applyFill="1" applyAlignment="1">
      <alignment horizontal="center"/>
    </xf>
    <xf numFmtId="189" fontId="9" fillId="0" borderId="0" xfId="1" applyNumberFormat="1" applyFont="1" applyBorder="1" applyAlignment="1">
      <alignment horizontal="center" vertical="center"/>
    </xf>
    <xf numFmtId="189" fontId="9" fillId="13" borderId="0" xfId="1" applyNumberFormat="1" applyFont="1" applyFill="1" applyBorder="1" applyAlignment="1">
      <alignment horizontal="center" vertical="center"/>
    </xf>
    <xf numFmtId="188" fontId="9" fillId="33" borderId="0" xfId="1" applyNumberFormat="1" applyFont="1" applyFill="1" applyBorder="1" applyAlignment="1">
      <alignment horizontal="center" vertical="center"/>
    </xf>
    <xf numFmtId="2" fontId="9" fillId="0" borderId="0" xfId="1" applyNumberFormat="1" applyFont="1" applyBorder="1" applyAlignment="1">
      <alignment horizontal="center" vertical="center"/>
    </xf>
    <xf numFmtId="3" fontId="6" fillId="18" borderId="0" xfId="0" applyNumberFormat="1" applyFont="1" applyFill="1" applyAlignment="1">
      <alignment horizontal="center" vertical="center"/>
    </xf>
    <xf numFmtId="3" fontId="6" fillId="17" borderId="0" xfId="0" applyNumberFormat="1" applyFont="1" applyFill="1" applyAlignment="1">
      <alignment horizontal="center" vertical="center"/>
    </xf>
    <xf numFmtId="0" fontId="18" fillId="19" borderId="61" xfId="0" applyFont="1" applyFill="1" applyBorder="1" applyAlignment="1">
      <alignment horizontal="center" vertical="center"/>
    </xf>
    <xf numFmtId="15" fontId="15" fillId="14" borderId="33" xfId="0" applyNumberFormat="1" applyFont="1" applyFill="1" applyBorder="1" applyAlignment="1">
      <alignment horizontal="center" vertical="center"/>
    </xf>
    <xf numFmtId="169" fontId="15" fillId="28" borderId="31" xfId="0" applyNumberFormat="1" applyFont="1" applyFill="1" applyBorder="1" applyAlignment="1" applyProtection="1">
      <alignment horizontal="center"/>
      <protection hidden="1"/>
    </xf>
    <xf numFmtId="172" fontId="14" fillId="0" borderId="33" xfId="8" applyNumberFormat="1" applyFont="1" applyFill="1" applyBorder="1" applyAlignment="1">
      <alignment horizontal="center" vertical="center"/>
    </xf>
    <xf numFmtId="172" fontId="15" fillId="6" borderId="33" xfId="8" applyNumberFormat="1" applyFont="1" applyFill="1" applyBorder="1" applyAlignment="1">
      <alignment horizontal="center" vertical="center"/>
    </xf>
    <xf numFmtId="3" fontId="14" fillId="0" borderId="33" xfId="8" applyNumberFormat="1" applyFont="1" applyFill="1" applyBorder="1" applyAlignment="1">
      <alignment horizontal="center" vertical="center"/>
    </xf>
    <xf numFmtId="171" fontId="15" fillId="0" borderId="33" xfId="7" applyNumberFormat="1" applyFont="1" applyFill="1" applyBorder="1" applyAlignment="1">
      <alignment horizontal="center" vertical="center"/>
    </xf>
    <xf numFmtId="1" fontId="15" fillId="0" borderId="33" xfId="7" applyNumberFormat="1" applyFont="1" applyFill="1" applyBorder="1" applyAlignment="1">
      <alignment horizontal="center" vertical="center"/>
    </xf>
    <xf numFmtId="166" fontId="15" fillId="6" borderId="33" xfId="1" applyFont="1" applyFill="1" applyBorder="1" applyAlignment="1">
      <alignment horizontal="center" vertical="center"/>
    </xf>
    <xf numFmtId="171" fontId="14" fillId="0" borderId="33" xfId="7" applyNumberFormat="1" applyFont="1" applyFill="1" applyBorder="1" applyAlignment="1">
      <alignment horizontal="center" vertical="center"/>
    </xf>
    <xf numFmtId="171" fontId="9" fillId="26" borderId="33" xfId="0" applyNumberFormat="1" applyFont="1" applyFill="1" applyBorder="1" applyAlignment="1">
      <alignment horizontal="center" vertical="center"/>
    </xf>
    <xf numFmtId="171" fontId="9" fillId="2" borderId="73" xfId="0" applyNumberFormat="1" applyFont="1" applyFill="1" applyBorder="1" applyAlignment="1">
      <alignment horizontal="center" vertical="center"/>
    </xf>
    <xf numFmtId="0" fontId="26" fillId="0" borderId="0" xfId="0" applyFont="1"/>
    <xf numFmtId="0" fontId="26" fillId="0" borderId="0" xfId="0" applyFont="1" applyAlignment="1">
      <alignment horizontal="center" vertical="center"/>
    </xf>
    <xf numFmtId="173" fontId="9" fillId="0" borderId="0" xfId="0" applyNumberFormat="1" applyFont="1" applyAlignment="1">
      <alignment vertical="center"/>
    </xf>
    <xf numFmtId="0" fontId="0" fillId="0" borderId="1" xfId="0" applyBorder="1" applyAlignment="1">
      <alignment horizontal="center" vertical="center"/>
    </xf>
    <xf numFmtId="196" fontId="9" fillId="3" borderId="0" xfId="0" applyNumberFormat="1" applyFont="1" applyFill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top" indent="1"/>
    </xf>
    <xf numFmtId="0" fontId="24" fillId="0" borderId="1" xfId="0" applyFont="1" applyBorder="1" applyAlignment="1">
      <alignment horizontal="center" vertical="center"/>
    </xf>
    <xf numFmtId="0" fontId="9" fillId="50" borderId="1" xfId="0" applyFont="1" applyFill="1" applyBorder="1" applyAlignment="1" applyProtection="1">
      <alignment horizontal="center" vertical="center"/>
      <protection locked="0"/>
    </xf>
    <xf numFmtId="9" fontId="9" fillId="50" borderId="1" xfId="0" applyNumberFormat="1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4" fontId="9" fillId="50" borderId="1" xfId="0" applyNumberFormat="1" applyFont="1" applyFill="1" applyBorder="1" applyAlignment="1">
      <alignment horizontal="center" vertical="center"/>
    </xf>
    <xf numFmtId="4" fontId="18" fillId="32" borderId="21" xfId="7" applyNumberFormat="1" applyFont="1" applyFill="1" applyBorder="1" applyAlignment="1">
      <alignment horizontal="center" vertical="center"/>
    </xf>
    <xf numFmtId="172" fontId="18" fillId="32" borderId="17" xfId="1" applyNumberFormat="1" applyFont="1" applyFill="1" applyBorder="1" applyAlignment="1">
      <alignment horizontal="center" vertical="center"/>
    </xf>
    <xf numFmtId="3" fontId="18" fillId="32" borderId="17" xfId="1" applyNumberFormat="1" applyFont="1" applyFill="1" applyBorder="1" applyAlignment="1">
      <alignment horizontal="center" vertical="center"/>
    </xf>
    <xf numFmtId="2" fontId="9" fillId="0" borderId="0" xfId="0" applyNumberFormat="1" applyFont="1"/>
    <xf numFmtId="9" fontId="9" fillId="3" borderId="0" xfId="2" applyFont="1" applyFill="1" applyProtection="1">
      <protection locked="0"/>
    </xf>
    <xf numFmtId="9" fontId="9" fillId="3" borderId="0" xfId="2" applyFont="1" applyFill="1" applyAlignment="1" applyProtection="1">
      <alignment horizontal="center"/>
      <protection locked="0"/>
    </xf>
    <xf numFmtId="198" fontId="9" fillId="0" borderId="6" xfId="0" applyNumberFormat="1" applyFont="1" applyBorder="1" applyAlignment="1">
      <alignment horizontal="center" vertical="center"/>
    </xf>
    <xf numFmtId="198" fontId="9" fillId="41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99" fontId="0" fillId="0" borderId="1" xfId="0" applyNumberFormat="1" applyBorder="1" applyAlignment="1">
      <alignment horizontal="center" vertical="center"/>
    </xf>
    <xf numFmtId="0" fontId="9" fillId="0" borderId="0" xfId="28" applyFont="1"/>
    <xf numFmtId="0" fontId="9" fillId="0" borderId="0" xfId="28" applyFont="1" applyAlignment="1">
      <alignment horizontal="center" vertical="center"/>
    </xf>
    <xf numFmtId="0" fontId="25" fillId="42" borderId="5" xfId="28" applyFont="1" applyFill="1" applyBorder="1" applyAlignment="1">
      <alignment horizontal="center" vertical="center"/>
    </xf>
    <xf numFmtId="0" fontId="25" fillId="42" borderId="50" xfId="28" applyFont="1" applyFill="1" applyBorder="1" applyAlignment="1">
      <alignment horizontal="center" vertical="center"/>
    </xf>
    <xf numFmtId="0" fontId="25" fillId="43" borderId="5" xfId="28" applyFont="1" applyFill="1" applyBorder="1" applyAlignment="1">
      <alignment horizontal="center" vertical="center"/>
    </xf>
    <xf numFmtId="10" fontId="24" fillId="43" borderId="28" xfId="28" applyNumberFormat="1" applyFont="1" applyFill="1" applyBorder="1" applyAlignment="1">
      <alignment horizontal="center" vertical="center"/>
    </xf>
    <xf numFmtId="0" fontId="24" fillId="0" borderId="10" xfId="28" applyFont="1" applyBorder="1" applyAlignment="1">
      <alignment vertical="center"/>
    </xf>
    <xf numFmtId="10" fontId="24" fillId="0" borderId="28" xfId="28" applyNumberFormat="1" applyFont="1" applyBorder="1" applyAlignment="1">
      <alignment horizontal="center" vertical="center"/>
    </xf>
    <xf numFmtId="2" fontId="9" fillId="0" borderId="0" xfId="28" applyNumberFormat="1" applyFont="1" applyAlignment="1">
      <alignment horizontal="center" vertical="center"/>
    </xf>
    <xf numFmtId="1" fontId="9" fillId="0" borderId="0" xfId="28" applyNumberFormat="1" applyFont="1" applyAlignment="1">
      <alignment horizontal="center" vertical="center"/>
    </xf>
    <xf numFmtId="4" fontId="9" fillId="0" borderId="0" xfId="28" applyNumberFormat="1" applyFont="1" applyAlignment="1">
      <alignment horizontal="center" vertical="center"/>
    </xf>
    <xf numFmtId="10" fontId="9" fillId="0" borderId="0" xfId="28" applyNumberFormat="1" applyFont="1" applyAlignment="1">
      <alignment horizontal="center" vertical="center"/>
    </xf>
    <xf numFmtId="0" fontId="6" fillId="39" borderId="108" xfId="28" applyFont="1" applyFill="1" applyBorder="1"/>
    <xf numFmtId="0" fontId="6" fillId="39" borderId="107" xfId="28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/>
    </xf>
    <xf numFmtId="3" fontId="6" fillId="35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3" fontId="6" fillId="6" borderId="1" xfId="0" applyNumberFormat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3" fontId="6" fillId="9" borderId="1" xfId="0" applyNumberFormat="1" applyFont="1" applyFill="1" applyBorder="1" applyAlignment="1">
      <alignment horizontal="center" vertical="center"/>
    </xf>
    <xf numFmtId="3" fontId="9" fillId="3" borderId="0" xfId="28" applyNumberFormat="1" applyFont="1" applyFill="1" applyAlignment="1">
      <alignment horizontal="center" vertical="center"/>
    </xf>
    <xf numFmtId="167" fontId="20" fillId="0" borderId="1" xfId="0" applyNumberFormat="1" applyFont="1" applyBorder="1" applyAlignment="1">
      <alignment horizontal="center" vertical="center"/>
    </xf>
    <xf numFmtId="167" fontId="6" fillId="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 indent="1"/>
    </xf>
    <xf numFmtId="167" fontId="9" fillId="0" borderId="0" xfId="0" applyNumberFormat="1" applyFont="1" applyAlignment="1">
      <alignment horizontal="center"/>
    </xf>
    <xf numFmtId="0" fontId="6" fillId="0" borderId="0" xfId="0" applyFont="1"/>
    <xf numFmtId="0" fontId="22" fillId="0" borderId="0" xfId="0" applyFont="1"/>
    <xf numFmtId="0" fontId="22" fillId="0" borderId="0" xfId="0" applyFont="1" applyAlignment="1">
      <alignment horizontal="left" vertical="top" indent="1"/>
    </xf>
    <xf numFmtId="1" fontId="22" fillId="0" borderId="0" xfId="0" applyNumberFormat="1" applyFont="1" applyAlignment="1">
      <alignment horizontal="center" vertical="center"/>
    </xf>
    <xf numFmtId="0" fontId="29" fillId="51" borderId="1" xfId="0" applyFont="1" applyFill="1" applyBorder="1" applyAlignment="1">
      <alignment horizontal="left" vertical="center" indent="1"/>
    </xf>
    <xf numFmtId="0" fontId="29" fillId="51" borderId="1" xfId="0" applyFont="1" applyFill="1" applyBorder="1" applyAlignment="1">
      <alignment horizontal="center" vertical="center"/>
    </xf>
    <xf numFmtId="171" fontId="9" fillId="3" borderId="4" xfId="0" applyNumberFormat="1" applyFont="1" applyFill="1" applyBorder="1" applyAlignment="1">
      <alignment horizontal="center"/>
    </xf>
    <xf numFmtId="9" fontId="9" fillId="3" borderId="4" xfId="2" applyFont="1" applyFill="1" applyBorder="1" applyAlignment="1">
      <alignment horizontal="center" vertical="center"/>
    </xf>
    <xf numFmtId="174" fontId="9" fillId="3" borderId="4" xfId="0" applyNumberFormat="1" applyFont="1" applyFill="1" applyBorder="1" applyAlignment="1">
      <alignment horizontal="center"/>
    </xf>
    <xf numFmtId="171" fontId="9" fillId="3" borderId="12" xfId="0" applyNumberFormat="1" applyFont="1" applyFill="1" applyBorder="1" applyAlignment="1">
      <alignment horizontal="center"/>
    </xf>
    <xf numFmtId="9" fontId="9" fillId="3" borderId="4" xfId="0" applyNumberFormat="1" applyFont="1" applyFill="1" applyBorder="1" applyAlignment="1">
      <alignment horizontal="center" vertical="center"/>
    </xf>
    <xf numFmtId="0" fontId="34" fillId="14" borderId="1" xfId="0" applyFont="1" applyFill="1" applyBorder="1" applyAlignment="1">
      <alignment horizontal="center" vertical="center" wrapText="1"/>
    </xf>
    <xf numFmtId="167" fontId="15" fillId="18" borderId="111" xfId="0" applyNumberFormat="1" applyFont="1" applyFill="1" applyBorder="1" applyAlignment="1">
      <alignment horizontal="center" vertical="center" wrapText="1"/>
    </xf>
    <xf numFmtId="0" fontId="15" fillId="28" borderId="112" xfId="0" applyFont="1" applyFill="1" applyBorder="1" applyAlignment="1">
      <alignment horizontal="center" vertical="center" wrapText="1"/>
    </xf>
    <xf numFmtId="167" fontId="15" fillId="18" borderId="113" xfId="0" applyNumberFormat="1" applyFont="1" applyFill="1" applyBorder="1" applyAlignment="1">
      <alignment horizontal="center" vertical="center" wrapText="1"/>
    </xf>
    <xf numFmtId="167" fontId="15" fillId="18" borderId="114" xfId="0" applyNumberFormat="1" applyFont="1" applyFill="1" applyBorder="1" applyAlignment="1">
      <alignment horizontal="center" vertical="center" wrapText="1"/>
    </xf>
    <xf numFmtId="0" fontId="15" fillId="28" borderId="115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indent="1"/>
    </xf>
    <xf numFmtId="0" fontId="29" fillId="0" borderId="1" xfId="0" applyFont="1" applyBorder="1" applyAlignment="1">
      <alignment horizontal="left" vertical="top" indent="1"/>
    </xf>
    <xf numFmtId="0" fontId="0" fillId="0" borderId="1" xfId="0" applyBorder="1" applyAlignment="1">
      <alignment horizontal="left" vertical="center" indent="1" readingOrder="1"/>
    </xf>
    <xf numFmtId="171" fontId="0" fillId="0" borderId="1" xfId="0" applyNumberFormat="1" applyBorder="1" applyAlignment="1">
      <alignment horizontal="center" vertical="center"/>
    </xf>
    <xf numFmtId="197" fontId="22" fillId="0" borderId="0" xfId="0" applyNumberFormat="1" applyFont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 vertical="center"/>
    </xf>
    <xf numFmtId="171" fontId="9" fillId="0" borderId="116" xfId="0" applyNumberFormat="1" applyFont="1" applyBorder="1" applyAlignment="1">
      <alignment horizontal="center"/>
    </xf>
    <xf numFmtId="171" fontId="9" fillId="18" borderId="117" xfId="0" applyNumberFormat="1" applyFont="1" applyFill="1" applyBorder="1" applyAlignment="1">
      <alignment horizontal="center"/>
    </xf>
    <xf numFmtId="174" fontId="9" fillId="54" borderId="42" xfId="0" applyNumberFormat="1" applyFont="1" applyFill="1" applyBorder="1" applyAlignment="1">
      <alignment horizontal="center"/>
    </xf>
    <xf numFmtId="170" fontId="9" fillId="0" borderId="1" xfId="0" applyNumberFormat="1" applyFont="1" applyBorder="1" applyAlignment="1">
      <alignment horizontal="center"/>
    </xf>
    <xf numFmtId="171" fontId="9" fillId="54" borderId="42" xfId="0" applyNumberFormat="1" applyFont="1" applyFill="1" applyBorder="1" applyAlignment="1">
      <alignment horizontal="center"/>
    </xf>
    <xf numFmtId="9" fontId="9" fillId="0" borderId="42" xfId="2" applyFont="1" applyBorder="1" applyAlignment="1">
      <alignment horizontal="center"/>
    </xf>
    <xf numFmtId="9" fontId="9" fillId="0" borderId="1" xfId="2" applyFont="1" applyBorder="1" applyAlignment="1">
      <alignment horizontal="center"/>
    </xf>
    <xf numFmtId="171" fontId="9" fillId="0" borderId="1" xfId="0" applyNumberFormat="1" applyFont="1" applyBorder="1" applyAlignment="1">
      <alignment horizontal="center"/>
    </xf>
    <xf numFmtId="171" fontId="9" fillId="18" borderId="118" xfId="0" applyNumberFormat="1" applyFont="1" applyFill="1" applyBorder="1" applyAlignment="1">
      <alignment horizontal="center"/>
    </xf>
    <xf numFmtId="9" fontId="9" fillId="18" borderId="117" xfId="2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174" fontId="9" fillId="0" borderId="42" xfId="0" applyNumberFormat="1" applyFont="1" applyBorder="1" applyAlignment="1">
      <alignment horizontal="center"/>
    </xf>
    <xf numFmtId="171" fontId="9" fillId="18" borderId="1" xfId="0" applyNumberFormat="1" applyFont="1" applyFill="1" applyBorder="1" applyAlignment="1">
      <alignment horizontal="center"/>
    </xf>
    <xf numFmtId="171" fontId="9" fillId="0" borderId="119" xfId="0" applyNumberFormat="1" applyFont="1" applyBorder="1" applyAlignment="1">
      <alignment horizontal="center"/>
    </xf>
    <xf numFmtId="171" fontId="9" fillId="18" borderId="120" xfId="0" applyNumberFormat="1" applyFont="1" applyFill="1" applyBorder="1" applyAlignment="1">
      <alignment horizontal="center"/>
    </xf>
    <xf numFmtId="174" fontId="9" fillId="0" borderId="121" xfId="0" applyNumberFormat="1" applyFont="1" applyBorder="1" applyAlignment="1">
      <alignment horizontal="center"/>
    </xf>
    <xf numFmtId="170" fontId="9" fillId="0" borderId="122" xfId="0" applyNumberFormat="1" applyFont="1" applyBorder="1" applyAlignment="1">
      <alignment horizontal="center"/>
    </xf>
    <xf numFmtId="1" fontId="9" fillId="0" borderId="122" xfId="0" applyNumberFormat="1" applyFont="1" applyBorder="1" applyAlignment="1">
      <alignment horizontal="center"/>
    </xf>
    <xf numFmtId="171" fontId="9" fillId="54" borderId="121" xfId="0" applyNumberFormat="1" applyFont="1" applyFill="1" applyBorder="1" applyAlignment="1">
      <alignment horizontal="center"/>
    </xf>
    <xf numFmtId="9" fontId="9" fillId="0" borderId="121" xfId="2" applyFont="1" applyBorder="1" applyAlignment="1">
      <alignment horizontal="center"/>
    </xf>
    <xf numFmtId="9" fontId="9" fillId="0" borderId="122" xfId="2" applyFont="1" applyBorder="1" applyAlignment="1">
      <alignment horizontal="center"/>
    </xf>
    <xf numFmtId="171" fontId="9" fillId="0" borderId="122" xfId="0" applyNumberFormat="1" applyFont="1" applyBorder="1" applyAlignment="1">
      <alignment horizontal="center"/>
    </xf>
    <xf numFmtId="171" fontId="9" fillId="18" borderId="122" xfId="0" applyNumberFormat="1" applyFont="1" applyFill="1" applyBorder="1" applyAlignment="1">
      <alignment horizontal="center"/>
    </xf>
    <xf numFmtId="9" fontId="9" fillId="18" borderId="120" xfId="2" applyFont="1" applyFill="1" applyBorder="1" applyAlignment="1">
      <alignment horizontal="center"/>
    </xf>
    <xf numFmtId="0" fontId="29" fillId="51" borderId="1" xfId="0" applyFont="1" applyFill="1" applyBorder="1" applyAlignment="1">
      <alignment horizontal="left" vertical="top" indent="1"/>
    </xf>
    <xf numFmtId="0" fontId="22" fillId="0" borderId="1" xfId="0" applyFont="1" applyBorder="1" applyAlignment="1">
      <alignment horizontal="center" vertical="center" wrapText="1"/>
    </xf>
    <xf numFmtId="167" fontId="22" fillId="0" borderId="1" xfId="0" applyNumberFormat="1" applyFont="1" applyBorder="1" applyAlignment="1">
      <alignment horizontal="center" vertical="center"/>
    </xf>
    <xf numFmtId="171" fontId="9" fillId="0" borderId="111" xfId="0" applyNumberFormat="1" applyFont="1" applyBorder="1" applyAlignment="1">
      <alignment horizontal="center"/>
    </xf>
    <xf numFmtId="171" fontId="9" fillId="18" borderId="112" xfId="0" applyNumberFormat="1" applyFont="1" applyFill="1" applyBorder="1" applyAlignment="1">
      <alignment horizontal="center"/>
    </xf>
    <xf numFmtId="174" fontId="9" fillId="0" borderId="113" xfId="0" applyNumberFormat="1" applyFont="1" applyBorder="1" applyAlignment="1">
      <alignment horizontal="center"/>
    </xf>
    <xf numFmtId="1" fontId="9" fillId="0" borderId="114" xfId="0" applyNumberFormat="1" applyFont="1" applyBorder="1" applyAlignment="1">
      <alignment horizontal="center"/>
    </xf>
    <xf numFmtId="171" fontId="9" fillId="54" borderId="113" xfId="0" applyNumberFormat="1" applyFont="1" applyFill="1" applyBorder="1" applyAlignment="1">
      <alignment horizontal="center"/>
    </xf>
    <xf numFmtId="9" fontId="9" fillId="0" borderId="113" xfId="2" applyFont="1" applyBorder="1" applyAlignment="1">
      <alignment horizontal="center"/>
    </xf>
    <xf numFmtId="9" fontId="9" fillId="0" borderId="114" xfId="2" applyFont="1" applyBorder="1" applyAlignment="1">
      <alignment horizontal="center"/>
    </xf>
    <xf numFmtId="171" fontId="9" fillId="0" borderId="114" xfId="0" applyNumberFormat="1" applyFont="1" applyBorder="1" applyAlignment="1">
      <alignment horizontal="center"/>
    </xf>
    <xf numFmtId="171" fontId="9" fillId="18" borderId="114" xfId="0" applyNumberFormat="1" applyFont="1" applyFill="1" applyBorder="1" applyAlignment="1">
      <alignment horizontal="center"/>
    </xf>
    <xf numFmtId="9" fontId="9" fillId="18" borderId="112" xfId="2" applyFont="1" applyFill="1" applyBorder="1" applyAlignment="1">
      <alignment horizontal="center"/>
    </xf>
    <xf numFmtId="9" fontId="22" fillId="3" borderId="0" xfId="0" applyNumberFormat="1" applyFont="1" applyFill="1" applyAlignment="1">
      <alignment horizontal="center" vertical="center"/>
    </xf>
    <xf numFmtId="9" fontId="9" fillId="3" borderId="42" xfId="2" applyFont="1" applyFill="1" applyBorder="1" applyAlignment="1">
      <alignment horizontal="center"/>
    </xf>
    <xf numFmtId="9" fontId="9" fillId="3" borderId="1" xfId="2" applyFont="1" applyFill="1" applyBorder="1" applyAlignment="1">
      <alignment horizontal="center"/>
    </xf>
    <xf numFmtId="171" fontId="9" fillId="0" borderId="123" xfId="0" applyNumberFormat="1" applyFont="1" applyBorder="1" applyAlignment="1">
      <alignment horizontal="center"/>
    </xf>
    <xf numFmtId="171" fontId="9" fillId="18" borderId="124" xfId="0" applyNumberFormat="1" applyFont="1" applyFill="1" applyBorder="1" applyAlignment="1">
      <alignment horizontal="center"/>
    </xf>
    <xf numFmtId="174" fontId="9" fillId="0" borderId="57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9" fillId="18" borderId="4" xfId="0" applyNumberFormat="1" applyFont="1" applyFill="1" applyBorder="1" applyAlignment="1">
      <alignment horizontal="center"/>
    </xf>
    <xf numFmtId="0" fontId="29" fillId="3" borderId="0" xfId="0" applyFont="1" applyFill="1" applyAlignment="1">
      <alignment horizontal="left" vertical="top" indent="1"/>
    </xf>
    <xf numFmtId="171" fontId="0" fillId="3" borderId="1" xfId="0" applyNumberFormat="1" applyFill="1" applyBorder="1" applyAlignment="1">
      <alignment horizontal="center" vertical="center"/>
    </xf>
    <xf numFmtId="0" fontId="27" fillId="50" borderId="0" xfId="0" applyFont="1" applyFill="1"/>
    <xf numFmtId="0" fontId="36" fillId="0" borderId="0" xfId="0" applyFont="1"/>
    <xf numFmtId="171" fontId="0" fillId="6" borderId="1" xfId="0" applyNumberForma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7" fillId="51" borderId="21" xfId="0" applyFont="1" applyFill="1" applyBorder="1" applyAlignment="1">
      <alignment horizontal="center" vertical="center" wrapText="1"/>
    </xf>
    <xf numFmtId="0" fontId="27" fillId="51" borderId="42" xfId="0" applyFont="1" applyFill="1" applyBorder="1" applyAlignment="1">
      <alignment horizontal="center" vertical="center" wrapText="1"/>
    </xf>
    <xf numFmtId="0" fontId="37" fillId="13" borderId="1" xfId="0" applyFont="1" applyFill="1" applyBorder="1" applyAlignment="1">
      <alignment horizontal="center" vertical="center" wrapText="1"/>
    </xf>
    <xf numFmtId="0" fontId="35" fillId="13" borderId="1" xfId="0" applyFont="1" applyFill="1" applyBorder="1" applyAlignment="1">
      <alignment horizontal="center" vertical="center" wrapText="1"/>
    </xf>
    <xf numFmtId="190" fontId="0" fillId="0" borderId="1" xfId="0" applyNumberFormat="1" applyBorder="1" applyAlignment="1">
      <alignment horizontal="center" vertical="center"/>
    </xf>
    <xf numFmtId="202" fontId="22" fillId="0" borderId="0" xfId="0" applyNumberFormat="1" applyFont="1"/>
    <xf numFmtId="203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203" fontId="22" fillId="0" borderId="1" xfId="0" applyNumberFormat="1" applyFont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/>
    </xf>
    <xf numFmtId="204" fontId="0" fillId="0" borderId="1" xfId="0" applyNumberFormat="1" applyBorder="1" applyAlignment="1">
      <alignment horizontal="center" vertical="center"/>
    </xf>
    <xf numFmtId="167" fontId="39" fillId="0" borderId="1" xfId="0" applyNumberFormat="1" applyFont="1" applyBorder="1" applyAlignment="1">
      <alignment horizontal="center" vertical="center"/>
    </xf>
    <xf numFmtId="9" fontId="39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99" fontId="32" fillId="45" borderId="1" xfId="0" applyNumberFormat="1" applyFont="1" applyFill="1" applyBorder="1" applyAlignment="1">
      <alignment horizontal="center" vertical="center"/>
    </xf>
    <xf numFmtId="204" fontId="32" fillId="45" borderId="1" xfId="0" applyNumberFormat="1" applyFont="1" applyFill="1" applyBorder="1" applyAlignment="1">
      <alignment horizontal="center" vertical="center"/>
    </xf>
    <xf numFmtId="167" fontId="33" fillId="0" borderId="1" xfId="2" applyNumberFormat="1" applyFont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8" fontId="22" fillId="6" borderId="125" xfId="0" applyNumberFormat="1" applyFont="1" applyFill="1" applyBorder="1" applyAlignment="1">
      <alignment horizontal="center" vertical="center"/>
    </xf>
    <xf numFmtId="8" fontId="22" fillId="6" borderId="126" xfId="0" applyNumberFormat="1" applyFont="1" applyFill="1" applyBorder="1" applyAlignment="1">
      <alignment horizontal="center" vertical="center"/>
    </xf>
    <xf numFmtId="9" fontId="22" fillId="6" borderId="126" xfId="0" applyNumberFormat="1" applyFont="1" applyFill="1" applyBorder="1" applyAlignment="1">
      <alignment horizontal="center" vertical="center"/>
    </xf>
    <xf numFmtId="9" fontId="22" fillId="0" borderId="126" xfId="0" applyNumberFormat="1" applyFont="1" applyBorder="1" applyAlignment="1">
      <alignment horizontal="center" vertical="center"/>
    </xf>
    <xf numFmtId="4" fontId="22" fillId="0" borderId="0" xfId="0" applyNumberFormat="1" applyFont="1"/>
    <xf numFmtId="9" fontId="22" fillId="6" borderId="127" xfId="0" applyNumberFormat="1" applyFont="1" applyFill="1" applyBorder="1" applyAlignment="1">
      <alignment horizontal="center" vertical="center"/>
    </xf>
    <xf numFmtId="205" fontId="22" fillId="0" borderId="0" xfId="0" applyNumberFormat="1" applyFont="1"/>
    <xf numFmtId="190" fontId="22" fillId="0" borderId="0" xfId="0" applyNumberFormat="1" applyFont="1"/>
    <xf numFmtId="3" fontId="22" fillId="0" borderId="0" xfId="0" applyNumberFormat="1" applyFont="1"/>
    <xf numFmtId="3" fontId="29" fillId="18" borderId="1" xfId="0" applyNumberFormat="1" applyFont="1" applyFill="1" applyBorder="1" applyAlignment="1">
      <alignment horizontal="left" vertical="center"/>
    </xf>
    <xf numFmtId="0" fontId="22" fillId="3" borderId="0" xfId="0" applyFont="1" applyFill="1" applyAlignment="1">
      <alignment horizontal="left" vertical="top"/>
    </xf>
    <xf numFmtId="0" fontId="6" fillId="51" borderId="1" xfId="0" applyFont="1" applyFill="1" applyBorder="1" applyAlignment="1">
      <alignment horizontal="center" vertical="center"/>
    </xf>
    <xf numFmtId="167" fontId="9" fillId="0" borderId="0" xfId="2" applyNumberFormat="1" applyFont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194" fontId="40" fillId="0" borderId="0" xfId="0" applyNumberFormat="1" applyFont="1" applyAlignment="1">
      <alignment horizontal="center" vertical="center"/>
    </xf>
    <xf numFmtId="0" fontId="41" fillId="14" borderId="1" xfId="0" applyFont="1" applyFill="1" applyBorder="1" applyAlignment="1">
      <alignment horizontal="center" vertical="center" wrapText="1"/>
    </xf>
    <xf numFmtId="188" fontId="6" fillId="22" borderId="1" xfId="30" applyNumberFormat="1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top" indent="1"/>
    </xf>
    <xf numFmtId="0" fontId="9" fillId="0" borderId="1" xfId="0" applyFont="1" applyBorder="1" applyAlignment="1">
      <alignment horizontal="left" vertical="center" indent="1" readingOrder="1"/>
    </xf>
    <xf numFmtId="201" fontId="9" fillId="0" borderId="1" xfId="30" applyNumberFormat="1" applyFont="1" applyBorder="1" applyAlignment="1">
      <alignment horizontal="center" vertical="center"/>
    </xf>
    <xf numFmtId="201" fontId="9" fillId="0" borderId="0" xfId="0" applyNumberFormat="1" applyFont="1" applyAlignment="1">
      <alignment horizontal="center" vertical="center"/>
    </xf>
    <xf numFmtId="201" fontId="9" fillId="0" borderId="1" xfId="0" applyNumberFormat="1" applyFont="1" applyBorder="1" applyAlignment="1">
      <alignment horizontal="center" vertical="center"/>
    </xf>
    <xf numFmtId="167" fontId="9" fillId="0" borderId="1" xfId="2" applyNumberFormat="1" applyFont="1" applyBorder="1" applyAlignment="1">
      <alignment horizontal="center" vertical="center"/>
    </xf>
    <xf numFmtId="206" fontId="9" fillId="0" borderId="0" xfId="0" applyNumberFormat="1" applyFont="1"/>
    <xf numFmtId="0" fontId="6" fillId="51" borderId="1" xfId="0" applyFont="1" applyFill="1" applyBorder="1" applyAlignment="1">
      <alignment horizontal="left" vertical="top" indent="1"/>
    </xf>
    <xf numFmtId="207" fontId="9" fillId="0" borderId="0" xfId="0" applyNumberFormat="1" applyFont="1"/>
    <xf numFmtId="9" fontId="9" fillId="3" borderId="0" xfId="0" applyNumberFormat="1" applyFont="1" applyFill="1" applyAlignment="1">
      <alignment horizontal="center" vertical="center"/>
    </xf>
    <xf numFmtId="3" fontId="9" fillId="0" borderId="0" xfId="0" applyNumberFormat="1" applyFont="1" applyAlignment="1">
      <alignment vertical="center"/>
    </xf>
    <xf numFmtId="0" fontId="18" fillId="15" borderId="1" xfId="0" applyFont="1" applyFill="1" applyBorder="1" applyAlignment="1">
      <alignment horizontal="left" vertical="center" wrapText="1" indent="1"/>
    </xf>
    <xf numFmtId="3" fontId="18" fillId="15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left" vertical="center" indent="1"/>
    </xf>
    <xf numFmtId="0" fontId="9" fillId="0" borderId="1" xfId="0" applyFont="1" applyBorder="1" applyAlignment="1">
      <alignment vertical="center"/>
    </xf>
    <xf numFmtId="167" fontId="0" fillId="0" borderId="0" xfId="2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88" fontId="29" fillId="22" borderId="1" xfId="30" applyNumberFormat="1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207" fontId="0" fillId="0" borderId="1" xfId="0" applyNumberFormat="1" applyBorder="1" applyAlignment="1">
      <alignment horizontal="center" vertical="center"/>
    </xf>
    <xf numFmtId="207" fontId="0" fillId="0" borderId="0" xfId="0" applyNumberFormat="1" applyAlignment="1">
      <alignment horizontal="center" vertical="center"/>
    </xf>
    <xf numFmtId="207" fontId="0" fillId="0" borderId="1" xfId="30" applyNumberFormat="1" applyFont="1" applyBorder="1" applyAlignment="1">
      <alignment horizontal="center" vertical="center"/>
    </xf>
    <xf numFmtId="206" fontId="0" fillId="0" borderId="0" xfId="0" applyNumberFormat="1"/>
    <xf numFmtId="0" fontId="0" fillId="0" borderId="0" xfId="0" applyAlignment="1">
      <alignment horizontal="center"/>
    </xf>
    <xf numFmtId="207" fontId="0" fillId="0" borderId="0" xfId="0" applyNumberFormat="1"/>
    <xf numFmtId="0" fontId="0" fillId="0" borderId="1" xfId="0" applyBorder="1" applyAlignment="1">
      <alignment horizontal="center" vertical="center" wrapText="1"/>
    </xf>
    <xf numFmtId="207" fontId="0" fillId="16" borderId="1" xfId="0" applyNumberFormat="1" applyFill="1" applyBorder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29" fillId="22" borderId="21" xfId="0" applyFont="1" applyFill="1" applyBorder="1" applyAlignment="1">
      <alignment horizontal="center" vertical="center"/>
    </xf>
    <xf numFmtId="0" fontId="29" fillId="22" borderId="130" xfId="0" applyFont="1" applyFill="1" applyBorder="1" applyAlignment="1">
      <alignment horizontal="center" vertical="center"/>
    </xf>
    <xf numFmtId="0" fontId="29" fillId="22" borderId="118" xfId="0" applyFont="1" applyFill="1" applyBorder="1" applyAlignment="1">
      <alignment horizontal="center" vertical="center"/>
    </xf>
    <xf numFmtId="0" fontId="29" fillId="22" borderId="42" xfId="0" applyFont="1" applyFill="1" applyBorder="1" applyAlignment="1">
      <alignment horizontal="center" vertical="center" wrapText="1"/>
    </xf>
    <xf numFmtId="208" fontId="0" fillId="0" borderId="1" xfId="0" applyNumberFormat="1" applyBorder="1" applyAlignment="1">
      <alignment horizontal="center" vertical="center"/>
    </xf>
    <xf numFmtId="208" fontId="0" fillId="0" borderId="0" xfId="0" applyNumberFormat="1" applyAlignment="1">
      <alignment horizontal="center" vertical="center"/>
    </xf>
    <xf numFmtId="208" fontId="0" fillId="0" borderId="1" xfId="30" applyNumberFormat="1" applyFont="1" applyBorder="1" applyAlignment="1">
      <alignment horizontal="center" vertical="center"/>
    </xf>
    <xf numFmtId="208" fontId="0" fillId="0" borderId="21" xfId="2" applyNumberFormat="1" applyFont="1" applyBorder="1" applyAlignment="1">
      <alignment horizontal="center" vertical="center"/>
    </xf>
    <xf numFmtId="208" fontId="0" fillId="0" borderId="130" xfId="30" applyNumberFormat="1" applyFont="1" applyBorder="1" applyAlignment="1">
      <alignment horizontal="center" vertical="center"/>
    </xf>
    <xf numFmtId="208" fontId="0" fillId="0" borderId="118" xfId="30" applyNumberFormat="1" applyFont="1" applyBorder="1" applyAlignment="1">
      <alignment horizontal="center" vertical="center"/>
    </xf>
    <xf numFmtId="208" fontId="0" fillId="0" borderId="42" xfId="30" applyNumberFormat="1" applyFont="1" applyBorder="1" applyAlignment="1">
      <alignment horizontal="center" vertical="center"/>
    </xf>
    <xf numFmtId="209" fontId="0" fillId="0" borderId="1" xfId="0" applyNumberFormat="1" applyBorder="1" applyAlignment="1">
      <alignment horizontal="center" vertical="center"/>
    </xf>
    <xf numFmtId="208" fontId="0" fillId="55" borderId="1" xfId="0" applyNumberFormat="1" applyFill="1" applyBorder="1" applyAlignment="1">
      <alignment horizontal="center" vertical="center"/>
    </xf>
    <xf numFmtId="208" fontId="0" fillId="0" borderId="131" xfId="30" applyNumberFormat="1" applyFont="1" applyBorder="1" applyAlignment="1">
      <alignment horizontal="center" vertical="center"/>
    </xf>
    <xf numFmtId="208" fontId="0" fillId="0" borderId="132" xfId="30" applyNumberFormat="1" applyFont="1" applyBorder="1" applyAlignment="1">
      <alignment horizontal="center" vertical="center"/>
    </xf>
    <xf numFmtId="201" fontId="0" fillId="0" borderId="1" xfId="30" applyNumberFormat="1" applyFont="1" applyBorder="1" applyAlignment="1">
      <alignment horizontal="center" vertical="center"/>
    </xf>
    <xf numFmtId="208" fontId="0" fillId="0" borderId="133" xfId="30" applyNumberFormat="1" applyFont="1" applyBorder="1" applyAlignment="1">
      <alignment horizontal="center" vertical="center"/>
    </xf>
    <xf numFmtId="208" fontId="0" fillId="0" borderId="115" xfId="30" applyNumberFormat="1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9" fontId="9" fillId="0" borderId="1" xfId="2" applyFont="1" applyBorder="1" applyAlignment="1">
      <alignment horizontal="center" vertical="center"/>
    </xf>
    <xf numFmtId="10" fontId="9" fillId="0" borderId="1" xfId="2" applyNumberFormat="1" applyFont="1" applyBorder="1" applyAlignment="1">
      <alignment horizontal="center" vertical="center"/>
    </xf>
    <xf numFmtId="167" fontId="26" fillId="0" borderId="0" xfId="0" applyNumberFormat="1" applyFont="1" applyAlignment="1">
      <alignment horizontal="center" vertical="center"/>
    </xf>
    <xf numFmtId="202" fontId="0" fillId="0" borderId="1" xfId="0" applyNumberFormat="1" applyBorder="1" applyAlignment="1">
      <alignment horizontal="center" vertical="center"/>
    </xf>
    <xf numFmtId="3" fontId="0" fillId="0" borderId="0" xfId="0" applyNumberFormat="1"/>
    <xf numFmtId="3" fontId="32" fillId="44" borderId="1" xfId="0" applyNumberFormat="1" applyFont="1" applyFill="1" applyBorder="1" applyAlignment="1">
      <alignment horizontal="center" vertical="center"/>
    </xf>
    <xf numFmtId="0" fontId="29" fillId="56" borderId="1" xfId="0" applyFont="1" applyFill="1" applyBorder="1" applyAlignment="1">
      <alignment horizontal="center" vertical="center"/>
    </xf>
    <xf numFmtId="3" fontId="29" fillId="18" borderId="1" xfId="0" applyNumberFormat="1" applyFont="1" applyFill="1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/>
    </xf>
    <xf numFmtId="210" fontId="22" fillId="0" borderId="1" xfId="0" applyNumberFormat="1" applyFont="1" applyBorder="1" applyAlignment="1">
      <alignment horizontal="center"/>
    </xf>
    <xf numFmtId="210" fontId="22" fillId="0" borderId="0" xfId="0" applyNumberFormat="1" applyFont="1"/>
    <xf numFmtId="3" fontId="6" fillId="18" borderId="1" xfId="0" applyNumberFormat="1" applyFont="1" applyFill="1" applyBorder="1" applyAlignment="1">
      <alignment horizontal="center"/>
    </xf>
    <xf numFmtId="3" fontId="6" fillId="23" borderId="1" xfId="0" applyNumberFormat="1" applyFont="1" applyFill="1" applyBorder="1" applyAlignment="1">
      <alignment horizontal="center"/>
    </xf>
    <xf numFmtId="211" fontId="0" fillId="0" borderId="1" xfId="0" applyNumberFormat="1" applyBorder="1" applyAlignment="1">
      <alignment horizontal="center" vertical="center"/>
    </xf>
    <xf numFmtId="211" fontId="22" fillId="0" borderId="0" xfId="0" applyNumberFormat="1" applyFont="1" applyAlignment="1">
      <alignment horizontal="center" vertical="center"/>
    </xf>
    <xf numFmtId="0" fontId="6" fillId="56" borderId="1" xfId="0" applyFont="1" applyFill="1" applyBorder="1" applyAlignment="1">
      <alignment horizontal="center" vertical="center"/>
    </xf>
    <xf numFmtId="3" fontId="9" fillId="27" borderId="1" xfId="0" applyNumberFormat="1" applyFont="1" applyFill="1" applyBorder="1" applyAlignment="1">
      <alignment horizontal="center"/>
    </xf>
    <xf numFmtId="3" fontId="9" fillId="33" borderId="1" xfId="0" applyNumberFormat="1" applyFont="1" applyFill="1" applyBorder="1" applyAlignment="1">
      <alignment horizontal="center"/>
    </xf>
    <xf numFmtId="0" fontId="6" fillId="56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/>
    </xf>
    <xf numFmtId="211" fontId="0" fillId="3" borderId="1" xfId="0" applyNumberFormat="1" applyFill="1" applyBorder="1" applyAlignment="1">
      <alignment horizontal="center" vertical="center"/>
    </xf>
    <xf numFmtId="211" fontId="22" fillId="0" borderId="0" xfId="0" applyNumberFormat="1" applyFont="1"/>
    <xf numFmtId="212" fontId="0" fillId="0" borderId="1" xfId="0" applyNumberFormat="1" applyBorder="1" applyAlignment="1">
      <alignment horizontal="center" vertical="center"/>
    </xf>
    <xf numFmtId="167" fontId="9" fillId="3" borderId="4" xfId="0" applyNumberFormat="1" applyFont="1" applyFill="1" applyBorder="1" applyAlignment="1">
      <alignment horizontal="center"/>
    </xf>
    <xf numFmtId="167" fontId="9" fillId="3" borderId="4" xfId="2" applyNumberFormat="1" applyFont="1" applyFill="1" applyBorder="1" applyAlignment="1">
      <alignment horizontal="center" vertical="center"/>
    </xf>
    <xf numFmtId="213" fontId="9" fillId="3" borderId="1" xfId="0" applyNumberFormat="1" applyFont="1" applyFill="1" applyBorder="1" applyAlignment="1">
      <alignment horizontal="center" vertical="center"/>
    </xf>
    <xf numFmtId="167" fontId="15" fillId="18" borderId="3" xfId="0" applyNumberFormat="1" applyFont="1" applyFill="1" applyBorder="1" applyAlignment="1">
      <alignment horizontal="center" vertical="center" wrapText="1"/>
    </xf>
    <xf numFmtId="214" fontId="22" fillId="0" borderId="0" xfId="0" applyNumberFormat="1" applyFont="1"/>
    <xf numFmtId="212" fontId="9" fillId="18" borderId="117" xfId="0" applyNumberFormat="1" applyFont="1" applyFill="1" applyBorder="1" applyAlignment="1">
      <alignment horizontal="center"/>
    </xf>
    <xf numFmtId="214" fontId="9" fillId="54" borderId="42" xfId="0" applyNumberFormat="1" applyFont="1" applyFill="1" applyBorder="1" applyAlignment="1">
      <alignment horizontal="center"/>
    </xf>
    <xf numFmtId="212" fontId="9" fillId="54" borderId="42" xfId="0" applyNumberFormat="1" applyFont="1" applyFill="1" applyBorder="1" applyAlignment="1">
      <alignment horizontal="center"/>
    </xf>
    <xf numFmtId="9" fontId="9" fillId="33" borderId="42" xfId="0" applyNumberFormat="1" applyFont="1" applyFill="1" applyBorder="1" applyAlignment="1">
      <alignment horizontal="center"/>
    </xf>
    <xf numFmtId="212" fontId="9" fillId="18" borderId="118" xfId="0" applyNumberFormat="1" applyFont="1" applyFill="1" applyBorder="1" applyAlignment="1">
      <alignment horizontal="center"/>
    </xf>
    <xf numFmtId="167" fontId="9" fillId="18" borderId="117" xfId="2" applyNumberFormat="1" applyFont="1" applyFill="1" applyBorder="1" applyAlignment="1">
      <alignment horizontal="center"/>
    </xf>
    <xf numFmtId="214" fontId="9" fillId="0" borderId="42" xfId="0" applyNumberFormat="1" applyFont="1" applyBorder="1" applyAlignment="1">
      <alignment horizontal="center"/>
    </xf>
    <xf numFmtId="212" fontId="9" fillId="18" borderId="1" xfId="0" applyNumberFormat="1" applyFont="1" applyFill="1" applyBorder="1" applyAlignment="1">
      <alignment horizontal="center"/>
    </xf>
    <xf numFmtId="212" fontId="9" fillId="18" borderId="120" xfId="0" applyNumberFormat="1" applyFont="1" applyFill="1" applyBorder="1" applyAlignment="1">
      <alignment horizontal="center"/>
    </xf>
    <xf numFmtId="214" fontId="9" fillId="0" borderId="121" xfId="0" applyNumberFormat="1" applyFont="1" applyBorder="1" applyAlignment="1">
      <alignment horizontal="center"/>
    </xf>
    <xf numFmtId="212" fontId="9" fillId="54" borderId="121" xfId="0" applyNumberFormat="1" applyFont="1" applyFill="1" applyBorder="1" applyAlignment="1">
      <alignment horizontal="center"/>
    </xf>
    <xf numFmtId="9" fontId="9" fillId="33" borderId="121" xfId="0" applyNumberFormat="1" applyFont="1" applyFill="1" applyBorder="1" applyAlignment="1">
      <alignment horizontal="center"/>
    </xf>
    <xf numFmtId="212" fontId="9" fillId="18" borderId="122" xfId="0" applyNumberFormat="1" applyFont="1" applyFill="1" applyBorder="1" applyAlignment="1">
      <alignment horizontal="center"/>
    </xf>
    <xf numFmtId="167" fontId="9" fillId="18" borderId="120" xfId="2" applyNumberFormat="1" applyFont="1" applyFill="1" applyBorder="1" applyAlignment="1">
      <alignment horizontal="center"/>
    </xf>
    <xf numFmtId="213" fontId="0" fillId="0" borderId="1" xfId="0" applyNumberFormat="1" applyBorder="1" applyAlignment="1">
      <alignment horizontal="center" vertical="center"/>
    </xf>
    <xf numFmtId="212" fontId="9" fillId="18" borderId="112" xfId="0" applyNumberFormat="1" applyFont="1" applyFill="1" applyBorder="1" applyAlignment="1">
      <alignment horizontal="center"/>
    </xf>
    <xf numFmtId="214" fontId="9" fillId="0" borderId="113" xfId="0" applyNumberFormat="1" applyFont="1" applyBorder="1" applyAlignment="1">
      <alignment horizontal="center"/>
    </xf>
    <xf numFmtId="170" fontId="9" fillId="0" borderId="114" xfId="0" applyNumberFormat="1" applyFont="1" applyBorder="1" applyAlignment="1">
      <alignment horizontal="center"/>
    </xf>
    <xf numFmtId="212" fontId="9" fillId="54" borderId="113" xfId="0" applyNumberFormat="1" applyFont="1" applyFill="1" applyBorder="1" applyAlignment="1">
      <alignment horizontal="center"/>
    </xf>
    <xf numFmtId="9" fontId="9" fillId="33" borderId="113" xfId="0" applyNumberFormat="1" applyFont="1" applyFill="1" applyBorder="1" applyAlignment="1">
      <alignment horizontal="center"/>
    </xf>
    <xf numFmtId="212" fontId="9" fillId="18" borderId="114" xfId="0" applyNumberFormat="1" applyFont="1" applyFill="1" applyBorder="1" applyAlignment="1">
      <alignment horizontal="center"/>
    </xf>
    <xf numFmtId="167" fontId="9" fillId="18" borderId="112" xfId="2" applyNumberFormat="1" applyFont="1" applyFill="1" applyBorder="1" applyAlignment="1">
      <alignment horizontal="center"/>
    </xf>
    <xf numFmtId="212" fontId="9" fillId="18" borderId="124" xfId="0" applyNumberFormat="1" applyFont="1" applyFill="1" applyBorder="1" applyAlignment="1">
      <alignment horizontal="center"/>
    </xf>
    <xf numFmtId="214" fontId="9" fillId="0" borderId="57" xfId="0" applyNumberFormat="1" applyFont="1" applyBorder="1" applyAlignment="1">
      <alignment horizontal="center"/>
    </xf>
    <xf numFmtId="212" fontId="9" fillId="18" borderId="4" xfId="0" applyNumberFormat="1" applyFont="1" applyFill="1" applyBorder="1" applyAlignment="1">
      <alignment horizontal="center"/>
    </xf>
    <xf numFmtId="9" fontId="22" fillId="0" borderId="0" xfId="0" applyNumberFormat="1" applyFont="1"/>
    <xf numFmtId="0" fontId="0" fillId="0" borderId="0" xfId="0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44" borderId="1" xfId="0" applyFont="1" applyFill="1" applyBorder="1" applyAlignment="1">
      <alignment horizontal="center" vertical="center"/>
    </xf>
    <xf numFmtId="0" fontId="15" fillId="58" borderId="1" xfId="0" applyFont="1" applyFill="1" applyBorder="1" applyAlignment="1">
      <alignment horizontal="center" vertical="center" wrapText="1"/>
    </xf>
    <xf numFmtId="0" fontId="15" fillId="59" borderId="1" xfId="0" applyFont="1" applyFill="1" applyBorder="1" applyAlignment="1">
      <alignment horizontal="center" vertical="center" wrapText="1"/>
    </xf>
    <xf numFmtId="0" fontId="15" fillId="60" borderId="1" xfId="0" applyFont="1" applyFill="1" applyBorder="1" applyAlignment="1">
      <alignment horizontal="center" vertical="center" wrapText="1"/>
    </xf>
    <xf numFmtId="0" fontId="15" fillId="61" borderId="1" xfId="0" applyFont="1" applyFill="1" applyBorder="1" applyAlignment="1">
      <alignment horizontal="center" vertical="center" wrapText="1"/>
    </xf>
    <xf numFmtId="0" fontId="18" fillId="44" borderId="1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9" fillId="30" borderId="1" xfId="0" applyFont="1" applyFill="1" applyBorder="1" applyAlignment="1">
      <alignment horizontal="left" vertical="center"/>
    </xf>
    <xf numFmtId="199" fontId="0" fillId="33" borderId="1" xfId="0" applyNumberFormat="1" applyFill="1" applyBorder="1" applyAlignment="1">
      <alignment horizontal="center" vertical="center"/>
    </xf>
    <xf numFmtId="8" fontId="9" fillId="33" borderId="1" xfId="27" applyNumberFormat="1" applyFont="1" applyFill="1" applyBorder="1" applyAlignment="1">
      <alignment horizontal="center" vertical="center"/>
    </xf>
    <xf numFmtId="8" fontId="0" fillId="3" borderId="1" xfId="0" applyNumberFormat="1" applyFill="1" applyBorder="1" applyAlignment="1">
      <alignment horizontal="center" vertical="center"/>
    </xf>
    <xf numFmtId="199" fontId="0" fillId="33" borderId="4" xfId="0" applyNumberFormat="1" applyFill="1" applyBorder="1" applyAlignment="1">
      <alignment horizontal="center" vertical="center"/>
    </xf>
    <xf numFmtId="8" fontId="9" fillId="33" borderId="4" xfId="27" applyNumberFormat="1" applyFont="1" applyFill="1" applyBorder="1" applyAlignment="1">
      <alignment horizontal="center" vertical="center"/>
    </xf>
    <xf numFmtId="199" fontId="0" fillId="33" borderId="1" xfId="0" applyNumberFormat="1" applyFill="1" applyBorder="1" applyAlignment="1">
      <alignment horizontal="center" vertical="center" wrapText="1"/>
    </xf>
    <xf numFmtId="8" fontId="0" fillId="3" borderId="3" xfId="0" applyNumberFormat="1" applyFill="1" applyBorder="1" applyAlignment="1">
      <alignment horizontal="center" vertical="center"/>
    </xf>
    <xf numFmtId="8" fontId="9" fillId="0" borderId="1" xfId="27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left" vertical="center" wrapText="1"/>
    </xf>
    <xf numFmtId="0" fontId="18" fillId="33" borderId="31" xfId="0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8" fontId="6" fillId="4" borderId="1" xfId="27" applyNumberFormat="1" applyFont="1" applyFill="1" applyBorder="1" applyAlignment="1">
      <alignment horizontal="center" vertical="center"/>
    </xf>
    <xf numFmtId="0" fontId="6" fillId="33" borderId="0" xfId="0" applyFont="1" applyFill="1" applyAlignment="1">
      <alignment horizontal="center" vertical="center"/>
    </xf>
    <xf numFmtId="0" fontId="6" fillId="33" borderId="0" xfId="0" applyFont="1" applyFill="1" applyAlignment="1">
      <alignment horizontal="left" vertical="center"/>
    </xf>
    <xf numFmtId="8" fontId="6" fillId="33" borderId="0" xfId="27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7" fontId="6" fillId="0" borderId="61" xfId="0" applyNumberFormat="1" applyFont="1" applyBorder="1" applyAlignment="1">
      <alignment horizontal="center"/>
    </xf>
    <xf numFmtId="167" fontId="6" fillId="0" borderId="71" xfId="0" applyNumberFormat="1" applyFont="1" applyBorder="1" applyAlignment="1">
      <alignment horizontal="center"/>
    </xf>
    <xf numFmtId="9" fontId="9" fillId="0" borderId="61" xfId="0" applyNumberFormat="1" applyFont="1" applyBorder="1" applyAlignment="1">
      <alignment horizontal="center"/>
    </xf>
    <xf numFmtId="9" fontId="9" fillId="0" borderId="71" xfId="0" applyNumberFormat="1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6" fillId="18" borderId="61" xfId="0" applyFont="1" applyFill="1" applyBorder="1" applyAlignment="1">
      <alignment horizontal="center"/>
    </xf>
    <xf numFmtId="0" fontId="6" fillId="18" borderId="71" xfId="0" applyFont="1" applyFill="1" applyBorder="1" applyAlignment="1">
      <alignment horizontal="center"/>
    </xf>
    <xf numFmtId="167" fontId="6" fillId="18" borderId="61" xfId="0" applyNumberFormat="1" applyFont="1" applyFill="1" applyBorder="1" applyAlignment="1">
      <alignment horizontal="center"/>
    </xf>
    <xf numFmtId="167" fontId="9" fillId="18" borderId="61" xfId="0" applyNumberFormat="1" applyFont="1" applyFill="1" applyBorder="1" applyAlignment="1">
      <alignment horizontal="center"/>
    </xf>
    <xf numFmtId="167" fontId="9" fillId="18" borderId="71" xfId="0" applyNumberFormat="1" applyFont="1" applyFill="1" applyBorder="1" applyAlignment="1">
      <alignment horizontal="center"/>
    </xf>
    <xf numFmtId="167" fontId="6" fillId="18" borderId="0" xfId="0" applyNumberFormat="1" applyFont="1" applyFill="1" applyAlignment="1">
      <alignment horizontal="center"/>
    </xf>
    <xf numFmtId="167" fontId="9" fillId="18" borderId="0" xfId="0" applyNumberFormat="1" applyFont="1" applyFill="1" applyAlignment="1">
      <alignment horizontal="center"/>
    </xf>
    <xf numFmtId="167" fontId="6" fillId="18" borderId="29" xfId="0" applyNumberFormat="1" applyFont="1" applyFill="1" applyBorder="1" applyAlignment="1">
      <alignment horizontal="center"/>
    </xf>
    <xf numFmtId="6" fontId="9" fillId="0" borderId="1" xfId="0" applyNumberFormat="1" applyFont="1" applyBorder="1" applyAlignment="1">
      <alignment horizontal="center"/>
    </xf>
    <xf numFmtId="167" fontId="9" fillId="0" borderId="4" xfId="0" applyNumberFormat="1" applyFont="1" applyBorder="1" applyAlignment="1">
      <alignment horizontal="center"/>
    </xf>
    <xf numFmtId="167" fontId="9" fillId="0" borderId="6" xfId="0" applyNumberFormat="1" applyFont="1" applyBorder="1" applyAlignment="1">
      <alignment horizontal="center"/>
    </xf>
    <xf numFmtId="167" fontId="9" fillId="0" borderId="3" xfId="0" applyNumberFormat="1" applyFont="1" applyBorder="1" applyAlignment="1">
      <alignment horizontal="center"/>
    </xf>
    <xf numFmtId="167" fontId="6" fillId="35" borderId="61" xfId="0" applyNumberFormat="1" applyFont="1" applyFill="1" applyBorder="1" applyAlignment="1">
      <alignment horizontal="center"/>
    </xf>
    <xf numFmtId="167" fontId="6" fillId="35" borderId="61" xfId="0" applyNumberFormat="1" applyFont="1" applyFill="1" applyBorder="1" applyAlignment="1">
      <alignment horizontal="left"/>
    </xf>
    <xf numFmtId="167" fontId="9" fillId="35" borderId="61" xfId="0" applyNumberFormat="1" applyFont="1" applyFill="1" applyBorder="1" applyAlignment="1">
      <alignment horizontal="center"/>
    </xf>
    <xf numFmtId="9" fontId="9" fillId="0" borderId="1" xfId="0" applyNumberFormat="1" applyFont="1" applyBorder="1" applyAlignment="1">
      <alignment horizontal="center"/>
    </xf>
    <xf numFmtId="6" fontId="9" fillId="22" borderId="1" xfId="0" applyNumberFormat="1" applyFont="1" applyFill="1" applyBorder="1" applyAlignment="1">
      <alignment horizontal="center"/>
    </xf>
    <xf numFmtId="9" fontId="9" fillId="22" borderId="1" xfId="0" applyNumberFormat="1" applyFont="1" applyFill="1" applyBorder="1" applyAlignment="1">
      <alignment horizontal="center"/>
    </xf>
    <xf numFmtId="201" fontId="9" fillId="22" borderId="1" xfId="30" applyNumberFormat="1" applyFont="1" applyFill="1" applyBorder="1" applyAlignment="1">
      <alignment horizontal="center" vertical="center"/>
    </xf>
    <xf numFmtId="201" fontId="9" fillId="27" borderId="1" xfId="30" applyNumberFormat="1" applyFont="1" applyFill="1" applyBorder="1" applyAlignment="1">
      <alignment horizontal="center" vertical="center"/>
    </xf>
    <xf numFmtId="0" fontId="6" fillId="18" borderId="36" xfId="0" applyFont="1" applyFill="1" applyBorder="1" applyAlignment="1">
      <alignment horizontal="center"/>
    </xf>
    <xf numFmtId="0" fontId="6" fillId="18" borderId="57" xfId="0" applyFont="1" applyFill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18" fillId="32" borderId="0" xfId="0" applyFont="1" applyFill="1" applyAlignment="1">
      <alignment horizontal="center"/>
    </xf>
    <xf numFmtId="0" fontId="46" fillId="0" borderId="0" xfId="0" applyFont="1"/>
    <xf numFmtId="0" fontId="46" fillId="0" borderId="0" xfId="0" applyFont="1" applyAlignment="1">
      <alignment horizontal="center"/>
    </xf>
    <xf numFmtId="4" fontId="8" fillId="33" borderId="6" xfId="1" applyNumberFormat="1" applyFont="1" applyFill="1" applyBorder="1" applyAlignment="1">
      <alignment horizontal="center" vertical="center"/>
    </xf>
    <xf numFmtId="4" fontId="8" fillId="41" borderId="6" xfId="1" applyNumberFormat="1" applyFont="1" applyFill="1" applyBorder="1" applyAlignment="1">
      <alignment horizontal="center" vertical="center"/>
    </xf>
    <xf numFmtId="4" fontId="8" fillId="18" borderId="6" xfId="1" applyNumberFormat="1" applyFont="1" applyFill="1" applyBorder="1" applyAlignment="1">
      <alignment horizontal="center" vertical="center"/>
    </xf>
    <xf numFmtId="39" fontId="10" fillId="9" borderId="1" xfId="0" applyNumberFormat="1" applyFont="1" applyFill="1" applyBorder="1" applyAlignment="1">
      <alignment horizontal="center" vertical="center"/>
    </xf>
    <xf numFmtId="39" fontId="10" fillId="41" borderId="1" xfId="0" applyNumberFormat="1" applyFont="1" applyFill="1" applyBorder="1" applyAlignment="1">
      <alignment horizontal="center" vertical="center"/>
    </xf>
    <xf numFmtId="167" fontId="9" fillId="8" borderId="4" xfId="0" applyNumberFormat="1" applyFont="1" applyFill="1" applyBorder="1" applyAlignment="1">
      <alignment horizontal="center"/>
    </xf>
    <xf numFmtId="167" fontId="9" fillId="8" borderId="6" xfId="0" applyNumberFormat="1" applyFont="1" applyFill="1" applyBorder="1" applyAlignment="1">
      <alignment horizontal="center"/>
    </xf>
    <xf numFmtId="167" fontId="9" fillId="8" borderId="3" xfId="0" applyNumberFormat="1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188" fontId="9" fillId="41" borderId="1" xfId="0" applyNumberFormat="1" applyFont="1" applyFill="1" applyBorder="1" applyAlignment="1">
      <alignment horizontal="center" vertical="center"/>
    </xf>
    <xf numFmtId="188" fontId="9" fillId="13" borderId="17" xfId="1" applyNumberFormat="1" applyFont="1" applyFill="1" applyBorder="1" applyAlignment="1">
      <alignment horizontal="center" vertical="center"/>
    </xf>
    <xf numFmtId="188" fontId="9" fillId="13" borderId="1" xfId="1" applyNumberFormat="1" applyFont="1" applyFill="1" applyBorder="1" applyAlignment="1">
      <alignment horizontal="center" vertical="center"/>
    </xf>
    <xf numFmtId="189" fontId="9" fillId="13" borderId="1" xfId="1" applyNumberFormat="1" applyFont="1" applyFill="1" applyBorder="1" applyAlignment="1">
      <alignment horizontal="left" vertical="center" indent="1"/>
    </xf>
    <xf numFmtId="0" fontId="6" fillId="62" borderId="1" xfId="0" applyFont="1" applyFill="1" applyBorder="1" applyAlignment="1">
      <alignment horizontal="center"/>
    </xf>
    <xf numFmtId="0" fontId="9" fillId="13" borderId="0" xfId="0" applyFont="1" applyFill="1"/>
    <xf numFmtId="1" fontId="9" fillId="13" borderId="0" xfId="0" applyNumberFormat="1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0" xfId="0" applyFont="1" applyFill="1" applyAlignment="1">
      <alignment wrapText="1"/>
    </xf>
    <xf numFmtId="0" fontId="9" fillId="13" borderId="0" xfId="0" applyFont="1" applyFill="1" applyAlignment="1">
      <alignment horizontal="center" vertical="center"/>
    </xf>
    <xf numFmtId="4" fontId="14" fillId="0" borderId="1" xfId="0" applyNumberFormat="1" applyFont="1" applyBorder="1" applyAlignment="1" applyProtection="1">
      <alignment horizontal="center" vertical="center"/>
      <protection hidden="1"/>
    </xf>
    <xf numFmtId="1" fontId="9" fillId="0" borderId="1" xfId="0" applyNumberFormat="1" applyFont="1" applyBorder="1" applyAlignment="1">
      <alignment horizontal="center" vertical="center"/>
    </xf>
    <xf numFmtId="0" fontId="18" fillId="32" borderId="21" xfId="0" applyFont="1" applyFill="1" applyBorder="1" applyAlignment="1">
      <alignment horizontal="left" vertical="center" indent="1"/>
    </xf>
    <xf numFmtId="0" fontId="6" fillId="32" borderId="1" xfId="0" quotePrefix="1" applyFont="1" applyFill="1" applyBorder="1" applyAlignment="1" applyProtection="1">
      <alignment horizontal="center" vertical="center"/>
      <protection locked="0"/>
    </xf>
    <xf numFmtId="4" fontId="14" fillId="32" borderId="1" xfId="0" applyNumberFormat="1" applyFont="1" applyFill="1" applyBorder="1" applyAlignment="1" applyProtection="1">
      <alignment horizontal="center" vertical="center"/>
      <protection hidden="1"/>
    </xf>
    <xf numFmtId="0" fontId="6" fillId="18" borderId="1" xfId="0" applyFont="1" applyFill="1" applyBorder="1" applyAlignment="1">
      <alignment horizontal="left" indent="1"/>
    </xf>
    <xf numFmtId="198" fontId="9" fillId="0" borderId="1" xfId="0" applyNumberFormat="1" applyFont="1" applyBorder="1" applyAlignment="1">
      <alignment horizontal="center" vertical="center"/>
    </xf>
    <xf numFmtId="0" fontId="18" fillId="32" borderId="0" xfId="0" applyFont="1" applyFill="1" applyAlignment="1">
      <alignment horizontal="left" indent="1"/>
    </xf>
    <xf numFmtId="0" fontId="6" fillId="18" borderId="60" xfId="0" applyFont="1" applyFill="1" applyBorder="1" applyAlignment="1">
      <alignment horizontal="left" indent="1"/>
    </xf>
    <xf numFmtId="0" fontId="9" fillId="0" borderId="9" xfId="0" applyFont="1" applyBorder="1" applyAlignment="1">
      <alignment horizontal="left" indent="1"/>
    </xf>
    <xf numFmtId="0" fontId="9" fillId="0" borderId="11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6" fillId="3" borderId="60" xfId="0" applyFont="1" applyFill="1" applyBorder="1" applyAlignment="1">
      <alignment horizontal="left" indent="1"/>
    </xf>
    <xf numFmtId="0" fontId="9" fillId="0" borderId="61" xfId="0" applyFont="1" applyBorder="1" applyAlignment="1">
      <alignment horizontal="left" indent="1"/>
    </xf>
    <xf numFmtId="0" fontId="6" fillId="3" borderId="0" xfId="0" applyFont="1" applyFill="1" applyAlignment="1">
      <alignment horizontal="left" indent="1"/>
    </xf>
    <xf numFmtId="0" fontId="6" fillId="18" borderId="11" xfId="0" applyFont="1" applyFill="1" applyBorder="1" applyAlignment="1">
      <alignment horizontal="left" indent="1"/>
    </xf>
    <xf numFmtId="0" fontId="6" fillId="18" borderId="12" xfId="0" applyFont="1" applyFill="1" applyBorder="1" applyAlignment="1">
      <alignment horizontal="left" indent="2"/>
    </xf>
    <xf numFmtId="0" fontId="6" fillId="18" borderId="1" xfId="0" applyFont="1" applyFill="1" applyBorder="1" applyAlignment="1">
      <alignment horizontal="left" indent="2"/>
    </xf>
    <xf numFmtId="0" fontId="6" fillId="3" borderId="1" xfId="0" applyFont="1" applyFill="1" applyBorder="1" applyAlignment="1">
      <alignment horizontal="left" indent="1"/>
    </xf>
    <xf numFmtId="0" fontId="9" fillId="0" borderId="1" xfId="0" applyFont="1" applyBorder="1" applyAlignment="1">
      <alignment horizontal="center"/>
    </xf>
    <xf numFmtId="0" fontId="6" fillId="18" borderId="24" xfId="0" applyFont="1" applyFill="1" applyBorder="1" applyAlignment="1">
      <alignment horizontal="left" indent="1"/>
    </xf>
    <xf numFmtId="215" fontId="6" fillId="18" borderId="16" xfId="0" applyNumberFormat="1" applyFont="1" applyFill="1" applyBorder="1" applyAlignment="1">
      <alignment horizontal="center"/>
    </xf>
    <xf numFmtId="215" fontId="6" fillId="18" borderId="25" xfId="0" applyNumberFormat="1" applyFont="1" applyFill="1" applyBorder="1" applyAlignment="1">
      <alignment horizontal="center"/>
    </xf>
    <xf numFmtId="0" fontId="6" fillId="3" borderId="17" xfId="0" applyFont="1" applyFill="1" applyBorder="1" applyAlignment="1">
      <alignment horizontal="left" indent="1"/>
    </xf>
    <xf numFmtId="0" fontId="9" fillId="0" borderId="23" xfId="0" applyFont="1" applyBorder="1" applyAlignment="1">
      <alignment horizontal="center"/>
    </xf>
    <xf numFmtId="0" fontId="9" fillId="0" borderId="17" xfId="0" applyFont="1" applyBorder="1" applyAlignment="1">
      <alignment horizontal="left" indent="1"/>
    </xf>
    <xf numFmtId="167" fontId="9" fillId="0" borderId="23" xfId="0" applyNumberFormat="1" applyFont="1" applyBorder="1" applyAlignment="1">
      <alignment horizontal="center"/>
    </xf>
    <xf numFmtId="0" fontId="9" fillId="0" borderId="18" xfId="0" applyFont="1" applyBorder="1" applyAlignment="1">
      <alignment horizontal="left" indent="1"/>
    </xf>
    <xf numFmtId="167" fontId="9" fillId="0" borderId="19" xfId="0" applyNumberFormat="1" applyFont="1" applyBorder="1" applyAlignment="1">
      <alignment horizontal="center"/>
    </xf>
    <xf numFmtId="167" fontId="9" fillId="0" borderId="72" xfId="0" applyNumberFormat="1" applyFont="1" applyBorder="1" applyAlignment="1">
      <alignment horizontal="center"/>
    </xf>
    <xf numFmtId="167" fontId="9" fillId="0" borderId="16" xfId="0" applyNumberFormat="1" applyFont="1" applyBorder="1" applyAlignment="1">
      <alignment horizontal="center"/>
    </xf>
    <xf numFmtId="167" fontId="9" fillId="0" borderId="25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indent="1"/>
    </xf>
    <xf numFmtId="9" fontId="9" fillId="0" borderId="16" xfId="0" applyNumberFormat="1" applyFont="1" applyBorder="1" applyAlignment="1">
      <alignment horizontal="center"/>
    </xf>
    <xf numFmtId="9" fontId="9" fillId="0" borderId="25" xfId="0" applyNumberFormat="1" applyFont="1" applyBorder="1" applyAlignment="1">
      <alignment horizontal="center"/>
    </xf>
    <xf numFmtId="9" fontId="9" fillId="0" borderId="23" xfId="0" applyNumberFormat="1" applyFont="1" applyBorder="1" applyAlignment="1">
      <alignment horizontal="center"/>
    </xf>
    <xf numFmtId="9" fontId="9" fillId="0" borderId="19" xfId="0" applyNumberFormat="1" applyFont="1" applyBorder="1" applyAlignment="1">
      <alignment horizontal="center"/>
    </xf>
    <xf numFmtId="9" fontId="9" fillId="0" borderId="72" xfId="0" applyNumberFormat="1" applyFont="1" applyBorder="1" applyAlignment="1">
      <alignment horizontal="center"/>
    </xf>
    <xf numFmtId="0" fontId="8" fillId="0" borderId="24" xfId="0" applyFont="1" applyBorder="1" applyAlignment="1">
      <alignment horizontal="left" vertical="center" indent="2"/>
    </xf>
    <xf numFmtId="192" fontId="9" fillId="0" borderId="16" xfId="0" applyNumberFormat="1" applyFont="1" applyBorder="1" applyAlignment="1">
      <alignment horizontal="center"/>
    </xf>
    <xf numFmtId="192" fontId="9" fillId="0" borderId="25" xfId="0" applyNumberFormat="1" applyFont="1" applyBorder="1" applyAlignment="1">
      <alignment horizontal="center"/>
    </xf>
    <xf numFmtId="0" fontId="8" fillId="0" borderId="17" xfId="0" applyFont="1" applyBorder="1" applyAlignment="1">
      <alignment horizontal="left" vertical="center" indent="2"/>
    </xf>
    <xf numFmtId="192" fontId="9" fillId="0" borderId="1" xfId="0" applyNumberFormat="1" applyFont="1" applyBorder="1" applyAlignment="1">
      <alignment horizontal="center"/>
    </xf>
    <xf numFmtId="192" fontId="9" fillId="0" borderId="23" xfId="0" applyNumberFormat="1" applyFont="1" applyBorder="1" applyAlignment="1">
      <alignment horizontal="center"/>
    </xf>
    <xf numFmtId="0" fontId="8" fillId="0" borderId="18" xfId="0" applyFont="1" applyBorder="1" applyAlignment="1">
      <alignment horizontal="left" vertical="center" indent="2"/>
    </xf>
    <xf numFmtId="192" fontId="9" fillId="0" borderId="19" xfId="0" applyNumberFormat="1" applyFont="1" applyBorder="1" applyAlignment="1">
      <alignment horizontal="center"/>
    </xf>
    <xf numFmtId="192" fontId="9" fillId="0" borderId="72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 vertical="center"/>
    </xf>
    <xf numFmtId="10" fontId="9" fillId="13" borderId="0" xfId="0" applyNumberFormat="1" applyFont="1" applyFill="1" applyAlignment="1">
      <alignment horizontal="center"/>
    </xf>
    <xf numFmtId="3" fontId="14" fillId="0" borderId="1" xfId="0" applyNumberFormat="1" applyFont="1" applyBorder="1" applyAlignment="1" applyProtection="1">
      <alignment horizontal="center" vertical="center"/>
      <protection hidden="1"/>
    </xf>
    <xf numFmtId="0" fontId="6" fillId="18" borderId="24" xfId="0" applyFont="1" applyFill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170" fontId="9" fillId="0" borderId="1" xfId="0" applyNumberFormat="1" applyFont="1" applyBorder="1" applyAlignment="1">
      <alignment horizontal="center" vertical="center"/>
    </xf>
    <xf numFmtId="167" fontId="9" fillId="18" borderId="1" xfId="0" applyNumberFormat="1" applyFont="1" applyFill="1" applyBorder="1" applyAlignment="1">
      <alignment horizontal="center" vertical="center"/>
    </xf>
    <xf numFmtId="17" fontId="4" fillId="0" borderId="1" xfId="5" applyNumberFormat="1" applyFont="1" applyBorder="1" applyAlignment="1" applyProtection="1">
      <alignment horizontal="center"/>
      <protection hidden="1"/>
    </xf>
    <xf numFmtId="187" fontId="6" fillId="46" borderId="17" xfId="0" applyNumberFormat="1" applyFont="1" applyFill="1" applyBorder="1" applyAlignment="1">
      <alignment horizontal="left" vertical="center" indent="1"/>
    </xf>
    <xf numFmtId="187" fontId="6" fillId="0" borderId="17" xfId="0" applyNumberFormat="1" applyFont="1" applyBorder="1" applyAlignment="1">
      <alignment horizontal="left" vertical="center" indent="1"/>
    </xf>
    <xf numFmtId="187" fontId="9" fillId="0" borderId="18" xfId="0" applyNumberFormat="1" applyFont="1" applyBorder="1" applyAlignment="1">
      <alignment horizontal="left" vertical="center" indent="1"/>
    </xf>
    <xf numFmtId="167" fontId="9" fillId="0" borderId="19" xfId="0" applyNumberFormat="1" applyFont="1" applyBorder="1" applyAlignment="1">
      <alignment horizontal="center" vertical="center"/>
    </xf>
    <xf numFmtId="17" fontId="3" fillId="0" borderId="19" xfId="5" applyNumberFormat="1" applyFont="1" applyBorder="1" applyAlignment="1" applyProtection="1">
      <alignment horizontal="center"/>
      <protection hidden="1"/>
    </xf>
    <xf numFmtId="0" fontId="9" fillId="0" borderId="27" xfId="0" applyFont="1" applyBorder="1"/>
    <xf numFmtId="187" fontId="9" fillId="0" borderId="19" xfId="0" applyNumberFormat="1" applyFont="1" applyBorder="1" applyAlignment="1">
      <alignment horizontal="left" vertical="center" indent="1"/>
    </xf>
    <xf numFmtId="17" fontId="3" fillId="0" borderId="72" xfId="5" applyNumberFormat="1" applyFont="1" applyBorder="1" applyAlignment="1" applyProtection="1">
      <alignment horizontal="center"/>
      <protection hidden="1"/>
    </xf>
    <xf numFmtId="0" fontId="9" fillId="0" borderId="1" xfId="0" applyFont="1" applyBorder="1" applyAlignment="1">
      <alignment horizontal="left" vertical="top" indent="2"/>
    </xf>
    <xf numFmtId="217" fontId="9" fillId="0" borderId="1" xfId="0" applyNumberFormat="1" applyFont="1" applyBorder="1" applyAlignment="1">
      <alignment horizontal="center" vertical="center"/>
    </xf>
    <xf numFmtId="171" fontId="9" fillId="0" borderId="1" xfId="0" applyNumberFormat="1" applyFont="1" applyBorder="1" applyAlignment="1">
      <alignment horizontal="center" vertical="center"/>
    </xf>
    <xf numFmtId="212" fontId="9" fillId="0" borderId="1" xfId="0" applyNumberFormat="1" applyFont="1" applyBorder="1" applyAlignment="1">
      <alignment horizontal="center" vertical="center"/>
    </xf>
    <xf numFmtId="207" fontId="9" fillId="0" borderId="1" xfId="0" applyNumberFormat="1" applyFont="1" applyBorder="1" applyAlignment="1">
      <alignment horizontal="center" vertical="center"/>
    </xf>
    <xf numFmtId="191" fontId="9" fillId="0" borderId="1" xfId="0" applyNumberFormat="1" applyFont="1" applyBorder="1" applyAlignment="1">
      <alignment horizontal="center" vertical="center"/>
    </xf>
    <xf numFmtId="216" fontId="9" fillId="0" borderId="1" xfId="0" applyNumberFormat="1" applyFont="1" applyBorder="1" applyAlignment="1">
      <alignment horizontal="center" vertical="center"/>
    </xf>
    <xf numFmtId="210" fontId="9" fillId="0" borderId="1" xfId="0" applyNumberFormat="1" applyFont="1" applyBorder="1" applyAlignment="1">
      <alignment horizontal="center"/>
    </xf>
    <xf numFmtId="208" fontId="9" fillId="0" borderId="1" xfId="0" applyNumberFormat="1" applyFont="1" applyBorder="1" applyAlignment="1">
      <alignment horizontal="center" vertical="center"/>
    </xf>
    <xf numFmtId="211" fontId="9" fillId="0" borderId="1" xfId="0" applyNumberFormat="1" applyFont="1" applyBorder="1" applyAlignment="1">
      <alignment horizontal="center" vertical="center"/>
    </xf>
    <xf numFmtId="202" fontId="9" fillId="0" borderId="1" xfId="0" applyNumberFormat="1" applyFont="1" applyBorder="1" applyAlignment="1">
      <alignment horizontal="center" vertical="center"/>
    </xf>
    <xf numFmtId="8" fontId="9" fillId="0" borderId="1" xfId="0" applyNumberFormat="1" applyFont="1" applyBorder="1" applyAlignment="1">
      <alignment horizontal="center" vertical="center"/>
    </xf>
    <xf numFmtId="8" fontId="9" fillId="27" borderId="1" xfId="0" applyNumberFormat="1" applyFont="1" applyFill="1" applyBorder="1" applyAlignment="1">
      <alignment horizontal="center" vertical="center"/>
    </xf>
    <xf numFmtId="8" fontId="9" fillId="22" borderId="1" xfId="0" applyNumberFormat="1" applyFont="1" applyFill="1" applyBorder="1" applyAlignment="1">
      <alignment horizontal="center" vertical="center"/>
    </xf>
    <xf numFmtId="8" fontId="9" fillId="62" borderId="1" xfId="0" applyNumberFormat="1" applyFont="1" applyFill="1" applyBorder="1" applyAlignment="1">
      <alignment horizontal="center" vertical="center"/>
    </xf>
    <xf numFmtId="171" fontId="9" fillId="22" borderId="1" xfId="0" applyNumberFormat="1" applyFont="1" applyFill="1" applyBorder="1" applyAlignment="1">
      <alignment horizontal="center" vertical="center"/>
    </xf>
    <xf numFmtId="171" fontId="9" fillId="27" borderId="1" xfId="0" applyNumberFormat="1" applyFont="1" applyFill="1" applyBorder="1" applyAlignment="1">
      <alignment horizontal="center" vertical="center"/>
    </xf>
    <xf numFmtId="210" fontId="9" fillId="22" borderId="1" xfId="0" applyNumberFormat="1" applyFont="1" applyFill="1" applyBorder="1" applyAlignment="1">
      <alignment horizontal="center"/>
    </xf>
    <xf numFmtId="210" fontId="9" fillId="27" borderId="1" xfId="0" applyNumberFormat="1" applyFont="1" applyFill="1" applyBorder="1" applyAlignment="1">
      <alignment horizontal="center"/>
    </xf>
    <xf numFmtId="212" fontId="9" fillId="22" borderId="1" xfId="0" applyNumberFormat="1" applyFont="1" applyFill="1" applyBorder="1" applyAlignment="1">
      <alignment horizontal="center" vertical="center"/>
    </xf>
    <xf numFmtId="212" fontId="9" fillId="27" borderId="1" xfId="0" applyNumberFormat="1" applyFont="1" applyFill="1" applyBorder="1" applyAlignment="1">
      <alignment horizontal="center" vertical="center"/>
    </xf>
    <xf numFmtId="207" fontId="9" fillId="22" borderId="1" xfId="0" applyNumberFormat="1" applyFont="1" applyFill="1" applyBorder="1" applyAlignment="1">
      <alignment horizontal="center" vertical="center"/>
    </xf>
    <xf numFmtId="207" fontId="9" fillId="27" borderId="1" xfId="0" applyNumberFormat="1" applyFont="1" applyFill="1" applyBorder="1" applyAlignment="1">
      <alignment horizontal="center" vertical="center"/>
    </xf>
    <xf numFmtId="208" fontId="9" fillId="22" borderId="1" xfId="0" applyNumberFormat="1" applyFont="1" applyFill="1" applyBorder="1" applyAlignment="1">
      <alignment horizontal="center" vertical="center"/>
    </xf>
    <xf numFmtId="208" fontId="9" fillId="27" borderId="1" xfId="0" applyNumberFormat="1" applyFont="1" applyFill="1" applyBorder="1" applyAlignment="1">
      <alignment horizontal="center" vertical="center"/>
    </xf>
    <xf numFmtId="211" fontId="9" fillId="22" borderId="1" xfId="0" applyNumberFormat="1" applyFont="1" applyFill="1" applyBorder="1" applyAlignment="1">
      <alignment horizontal="center" vertical="center"/>
    </xf>
    <xf numFmtId="211" fontId="9" fillId="27" borderId="1" xfId="0" applyNumberFormat="1" applyFont="1" applyFill="1" applyBorder="1" applyAlignment="1">
      <alignment horizontal="center" vertical="center"/>
    </xf>
    <xf numFmtId="202" fontId="9" fillId="22" borderId="1" xfId="0" applyNumberFormat="1" applyFont="1" applyFill="1" applyBorder="1" applyAlignment="1">
      <alignment horizontal="center" vertical="center"/>
    </xf>
    <xf numFmtId="202" fontId="9" fillId="27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left" vertical="center" indent="1"/>
      <protection locked="0"/>
    </xf>
    <xf numFmtId="181" fontId="6" fillId="32" borderId="1" xfId="0" applyNumberFormat="1" applyFont="1" applyFill="1" applyBorder="1" applyAlignment="1" applyProtection="1">
      <alignment horizontal="left" vertical="center" indent="1"/>
      <protection locked="0"/>
    </xf>
    <xf numFmtId="15" fontId="18" fillId="20" borderId="1" xfId="0" applyNumberFormat="1" applyFont="1" applyFill="1" applyBorder="1" applyAlignment="1">
      <alignment horizontal="left" vertical="top" indent="1"/>
    </xf>
    <xf numFmtId="15" fontId="18" fillId="20" borderId="1" xfId="0" applyNumberFormat="1" applyFont="1" applyFill="1" applyBorder="1" applyAlignment="1">
      <alignment horizontal="center" vertical="center"/>
    </xf>
    <xf numFmtId="15" fontId="18" fillId="20" borderId="21" xfId="0" applyNumberFormat="1" applyFont="1" applyFill="1" applyBorder="1" applyAlignment="1">
      <alignment horizontal="center" vertical="center"/>
    </xf>
    <xf numFmtId="15" fontId="18" fillId="20" borderId="17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center" indent="1"/>
    </xf>
    <xf numFmtId="0" fontId="6" fillId="18" borderId="14" xfId="0" applyFont="1" applyFill="1" applyBorder="1" applyAlignment="1">
      <alignment horizontal="left" vertical="center" indent="1"/>
    </xf>
    <xf numFmtId="0" fontId="6" fillId="18" borderId="13" xfId="0" applyFont="1" applyFill="1" applyBorder="1" applyAlignment="1">
      <alignment horizontal="left" vertical="center" indent="1"/>
    </xf>
    <xf numFmtId="168" fontId="6" fillId="18" borderId="6" xfId="0" applyNumberFormat="1" applyFont="1" applyFill="1" applyBorder="1" applyAlignment="1">
      <alignment horizontal="center" vertical="center"/>
    </xf>
    <xf numFmtId="168" fontId="6" fillId="18" borderId="13" xfId="0" applyNumberFormat="1" applyFont="1" applyFill="1" applyBorder="1" applyAlignment="1">
      <alignment horizontal="center" vertical="center"/>
    </xf>
    <xf numFmtId="198" fontId="6" fillId="18" borderId="34" xfId="0" applyNumberFormat="1" applyFont="1" applyFill="1" applyBorder="1" applyAlignment="1">
      <alignment horizontal="center" vertical="center"/>
    </xf>
    <xf numFmtId="198" fontId="6" fillId="18" borderId="6" xfId="0" applyNumberFormat="1" applyFont="1" applyFill="1" applyBorder="1" applyAlignment="1">
      <alignment horizontal="center" vertical="center"/>
    </xf>
    <xf numFmtId="167" fontId="6" fillId="18" borderId="6" xfId="0" applyNumberFormat="1" applyFont="1" applyFill="1" applyBorder="1" applyAlignment="1">
      <alignment horizontal="center" vertical="center"/>
    </xf>
    <xf numFmtId="167" fontId="6" fillId="18" borderId="13" xfId="0" applyNumberFormat="1" applyFont="1" applyFill="1" applyBorder="1" applyAlignment="1">
      <alignment horizontal="center" vertical="center"/>
    </xf>
    <xf numFmtId="167" fontId="6" fillId="18" borderId="34" xfId="0" applyNumberFormat="1" applyFont="1" applyFill="1" applyBorder="1" applyAlignment="1">
      <alignment horizontal="center" vertical="center"/>
    </xf>
    <xf numFmtId="0" fontId="6" fillId="18" borderId="12" xfId="0" applyFont="1" applyFill="1" applyBorder="1" applyAlignment="1">
      <alignment horizontal="left" vertical="center" indent="1"/>
    </xf>
    <xf numFmtId="172" fontId="6" fillId="18" borderId="4" xfId="0" applyNumberFormat="1" applyFont="1" applyFill="1" applyBorder="1" applyAlignment="1">
      <alignment horizontal="center" vertical="center"/>
    </xf>
    <xf numFmtId="172" fontId="6" fillId="18" borderId="12" xfId="0" applyNumberFormat="1" applyFont="1" applyFill="1" applyBorder="1" applyAlignment="1">
      <alignment horizontal="center" vertical="center"/>
    </xf>
    <xf numFmtId="172" fontId="6" fillId="50" borderId="35" xfId="0" applyNumberFormat="1" applyFont="1" applyFill="1" applyBorder="1" applyAlignment="1">
      <alignment horizontal="center" vertical="center"/>
    </xf>
    <xf numFmtId="198" fontId="9" fillId="50" borderId="34" xfId="0" applyNumberFormat="1" applyFont="1" applyFill="1" applyBorder="1" applyAlignment="1">
      <alignment horizontal="center" vertical="center"/>
    </xf>
    <xf numFmtId="198" fontId="9" fillId="50" borderId="6" xfId="0" applyNumberFormat="1" applyFont="1" applyFill="1" applyBorder="1" applyAlignment="1">
      <alignment horizontal="center" vertical="center"/>
    </xf>
    <xf numFmtId="9" fontId="9" fillId="50" borderId="34" xfId="0" applyNumberFormat="1" applyFont="1" applyFill="1" applyBorder="1" applyAlignment="1">
      <alignment horizontal="center" vertical="center"/>
    </xf>
    <xf numFmtId="9" fontId="6" fillId="18" borderId="3" xfId="0" applyNumberFormat="1" applyFont="1" applyFill="1" applyBorder="1" applyAlignment="1">
      <alignment horizontal="center" vertical="center"/>
    </xf>
    <xf numFmtId="9" fontId="6" fillId="18" borderId="14" xfId="0" applyNumberFormat="1" applyFont="1" applyFill="1" applyBorder="1" applyAlignment="1">
      <alignment horizontal="center" vertical="center"/>
    </xf>
    <xf numFmtId="167" fontId="6" fillId="18" borderId="3" xfId="0" applyNumberFormat="1" applyFont="1" applyFill="1" applyBorder="1" applyAlignment="1">
      <alignment horizontal="center" vertical="center"/>
    </xf>
    <xf numFmtId="167" fontId="6" fillId="50" borderId="3" xfId="0" applyNumberFormat="1" applyFont="1" applyFill="1" applyBorder="1" applyAlignment="1">
      <alignment horizontal="center" vertical="center"/>
    </xf>
    <xf numFmtId="192" fontId="8" fillId="50" borderId="35" xfId="0" applyNumberFormat="1" applyFont="1" applyFill="1" applyBorder="1" applyAlignment="1">
      <alignment horizontal="center" vertical="center"/>
    </xf>
    <xf numFmtId="192" fontId="8" fillId="50" borderId="34" xfId="0" applyNumberFormat="1" applyFont="1" applyFill="1" applyBorder="1" applyAlignment="1">
      <alignment horizontal="center" vertical="center"/>
    </xf>
    <xf numFmtId="192" fontId="8" fillId="50" borderId="38" xfId="0" applyNumberFormat="1" applyFont="1" applyFill="1" applyBorder="1" applyAlignment="1">
      <alignment horizontal="center" vertical="center"/>
    </xf>
    <xf numFmtId="0" fontId="10" fillId="18" borderId="6" xfId="0" applyFont="1" applyFill="1" applyBorder="1" applyAlignment="1">
      <alignment horizontal="left" vertical="center" indent="1"/>
    </xf>
    <xf numFmtId="37" fontId="10" fillId="18" borderId="6" xfId="0" applyNumberFormat="1" applyFont="1" applyFill="1" applyBorder="1" applyAlignment="1">
      <alignment horizontal="center" vertical="center"/>
    </xf>
    <xf numFmtId="37" fontId="10" fillId="18" borderId="13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 indent="1"/>
    </xf>
    <xf numFmtId="0" fontId="10" fillId="0" borderId="6" xfId="0" applyFont="1" applyBorder="1" applyAlignment="1">
      <alignment horizontal="left" vertical="center" indent="1"/>
    </xf>
    <xf numFmtId="4" fontId="8" fillId="50" borderId="34" xfId="0" applyNumberFormat="1" applyFont="1" applyFill="1" applyBorder="1" applyAlignment="1">
      <alignment horizontal="center" vertical="center"/>
    </xf>
    <xf numFmtId="172" fontId="8" fillId="50" borderId="35" xfId="1" applyNumberFormat="1" applyFont="1" applyFill="1" applyBorder="1" applyAlignment="1">
      <alignment horizontal="center" vertical="center"/>
    </xf>
    <xf numFmtId="39" fontId="10" fillId="50" borderId="17" xfId="0" applyNumberFormat="1" applyFont="1" applyFill="1" applyBorder="1" applyAlignment="1">
      <alignment horizontal="center" vertical="center"/>
    </xf>
    <xf numFmtId="188" fontId="9" fillId="50" borderId="37" xfId="1" applyNumberFormat="1" applyFont="1" applyFill="1" applyBorder="1" applyAlignment="1">
      <alignment horizontal="center" vertical="center"/>
    </xf>
    <xf numFmtId="188" fontId="9" fillId="50" borderId="9" xfId="1" applyNumberFormat="1" applyFont="1" applyFill="1" applyBorder="1" applyAlignment="1">
      <alignment horizontal="center" vertical="center"/>
    </xf>
    <xf numFmtId="188" fontId="9" fillId="50" borderId="30" xfId="1" applyNumberFormat="1" applyFont="1" applyFill="1" applyBorder="1" applyAlignment="1">
      <alignment horizontal="center" vertical="center"/>
    </xf>
    <xf numFmtId="188" fontId="9" fillId="50" borderId="17" xfId="1" applyNumberFormat="1" applyFont="1" applyFill="1" applyBorder="1" applyAlignment="1">
      <alignment horizontal="center" vertical="center"/>
    </xf>
    <xf numFmtId="9" fontId="9" fillId="50" borderId="17" xfId="2" applyFont="1" applyFill="1" applyBorder="1" applyAlignment="1">
      <alignment horizontal="right" vertical="center"/>
    </xf>
    <xf numFmtId="188" fontId="9" fillId="50" borderId="17" xfId="1" applyNumberFormat="1" applyFont="1" applyFill="1" applyBorder="1" applyAlignment="1">
      <alignment horizontal="right" vertical="center"/>
    </xf>
    <xf numFmtId="10" fontId="9" fillId="50" borderId="35" xfId="0" applyNumberFormat="1" applyFont="1" applyFill="1" applyBorder="1" applyAlignment="1">
      <alignment horizontal="center" vertical="center"/>
    </xf>
    <xf numFmtId="10" fontId="9" fillId="50" borderId="34" xfId="0" applyNumberFormat="1" applyFont="1" applyFill="1" applyBorder="1" applyAlignment="1">
      <alignment horizontal="center" vertical="center"/>
    </xf>
    <xf numFmtId="0" fontId="9" fillId="13" borderId="21" xfId="0" applyFont="1" applyFill="1" applyBorder="1" applyAlignment="1">
      <alignment horizontal="left" vertical="center" indent="1"/>
    </xf>
    <xf numFmtId="188" fontId="9" fillId="13" borderId="21" xfId="1" applyNumberFormat="1" applyFont="1" applyFill="1" applyBorder="1" applyAlignment="1">
      <alignment horizontal="center" vertical="center"/>
    </xf>
    <xf numFmtId="188" fontId="9" fillId="13" borderId="17" xfId="1" applyNumberFormat="1" applyFont="1" applyFill="1" applyBorder="1" applyAlignment="1">
      <alignment horizontal="right" vertical="center"/>
    </xf>
    <xf numFmtId="10" fontId="9" fillId="50" borderId="38" xfId="0" applyNumberFormat="1" applyFont="1" applyFill="1" applyBorder="1" applyAlignment="1">
      <alignment horizontal="center" vertical="center"/>
    </xf>
    <xf numFmtId="167" fontId="9" fillId="50" borderId="35" xfId="0" applyNumberFormat="1" applyFont="1" applyFill="1" applyBorder="1" applyAlignment="1">
      <alignment horizontal="center" vertical="center"/>
    </xf>
    <xf numFmtId="167" fontId="9" fillId="50" borderId="34" xfId="0" applyNumberFormat="1" applyFont="1" applyFill="1" applyBorder="1" applyAlignment="1">
      <alignment horizontal="center" vertical="center"/>
    </xf>
    <xf numFmtId="167" fontId="9" fillId="50" borderId="38" xfId="0" applyNumberFormat="1" applyFont="1" applyFill="1" applyBorder="1" applyAlignment="1">
      <alignment horizontal="center" vertical="center"/>
    </xf>
    <xf numFmtId="9" fontId="9" fillId="50" borderId="1" xfId="0" applyNumberFormat="1" applyFont="1" applyFill="1" applyBorder="1" applyAlignment="1">
      <alignment horizontal="center"/>
    </xf>
    <xf numFmtId="1" fontId="9" fillId="50" borderId="17" xfId="0" applyNumberFormat="1" applyFont="1" applyFill="1" applyBorder="1" applyAlignment="1">
      <alignment horizontal="center"/>
    </xf>
    <xf numFmtId="4" fontId="9" fillId="50" borderId="17" xfId="0" applyNumberFormat="1" applyFont="1" applyFill="1" applyBorder="1" applyAlignment="1">
      <alignment horizontal="center"/>
    </xf>
    <xf numFmtId="1" fontId="9" fillId="0" borderId="21" xfId="0" applyNumberFormat="1" applyFont="1" applyBorder="1" applyAlignment="1">
      <alignment horizontal="center"/>
    </xf>
    <xf numFmtId="9" fontId="9" fillId="13" borderId="0" xfId="0" applyNumberFormat="1" applyFont="1" applyFill="1"/>
    <xf numFmtId="4" fontId="9" fillId="0" borderId="1" xfId="0" applyNumberFormat="1" applyFont="1" applyBorder="1" applyAlignment="1">
      <alignment horizontal="center" vertical="center"/>
    </xf>
    <xf numFmtId="4" fontId="9" fillId="0" borderId="21" xfId="0" applyNumberFormat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left" vertical="center" indent="1"/>
    </xf>
    <xf numFmtId="4" fontId="9" fillId="13" borderId="1" xfId="0" applyNumberFormat="1" applyFont="1" applyFill="1" applyBorder="1" applyAlignment="1">
      <alignment horizontal="center" vertical="center"/>
    </xf>
    <xf numFmtId="4" fontId="9" fillId="13" borderId="21" xfId="0" applyNumberFormat="1" applyFont="1" applyFill="1" applyBorder="1" applyAlignment="1">
      <alignment horizontal="center" vertical="center"/>
    </xf>
    <xf numFmtId="3" fontId="9" fillId="13" borderId="1" xfId="0" applyNumberFormat="1" applyFont="1" applyFill="1" applyBorder="1" applyAlignment="1">
      <alignment horizontal="center" vertical="center"/>
    </xf>
    <xf numFmtId="3" fontId="9" fillId="50" borderId="17" xfId="0" applyNumberFormat="1" applyFont="1" applyFill="1" applyBorder="1" applyAlignment="1">
      <alignment horizontal="center" vertical="center"/>
    </xf>
    <xf numFmtId="10" fontId="6" fillId="3" borderId="0" xfId="2" applyNumberFormat="1" applyFont="1" applyFill="1" applyAlignment="1">
      <alignment horizontal="center"/>
    </xf>
    <xf numFmtId="0" fontId="20" fillId="0" borderId="0" xfId="0" applyFont="1"/>
    <xf numFmtId="2" fontId="9" fillId="3" borderId="0" xfId="0" applyNumberFormat="1" applyFont="1" applyFill="1" applyAlignment="1" applyProtection="1">
      <alignment horizontal="center"/>
      <protection locked="0"/>
    </xf>
    <xf numFmtId="181" fontId="14" fillId="0" borderId="1" xfId="5" quotePrefix="1" applyNumberFormat="1" applyFont="1" applyBorder="1" applyAlignment="1" applyProtection="1">
      <alignment horizontal="center" vertical="center" wrapText="1"/>
      <protection hidden="1"/>
    </xf>
    <xf numFmtId="181" fontId="14" fillId="50" borderId="1" xfId="5" quotePrefix="1" applyNumberFormat="1" applyFont="1" applyFill="1" applyBorder="1" applyAlignment="1" applyProtection="1">
      <alignment horizontal="center" vertical="center" wrapText="1"/>
      <protection hidden="1"/>
    </xf>
    <xf numFmtId="174" fontId="9" fillId="50" borderId="1" xfId="0" applyNumberFormat="1" applyFont="1" applyFill="1" applyBorder="1" applyAlignment="1" applyProtection="1">
      <alignment horizontal="center"/>
      <protection locked="0"/>
    </xf>
    <xf numFmtId="3" fontId="15" fillId="0" borderId="42" xfId="0" applyNumberFormat="1" applyFont="1" applyBorder="1" applyAlignment="1" applyProtection="1">
      <alignment horizontal="center" vertical="center"/>
      <protection hidden="1"/>
    </xf>
    <xf numFmtId="3" fontId="15" fillId="0" borderId="21" xfId="0" applyNumberFormat="1" applyFont="1" applyBorder="1" applyAlignment="1" applyProtection="1">
      <alignment horizontal="center" vertical="center"/>
      <protection hidden="1"/>
    </xf>
    <xf numFmtId="3" fontId="15" fillId="0" borderId="17" xfId="0" applyNumberFormat="1" applyFont="1" applyBorder="1" applyAlignment="1" applyProtection="1">
      <alignment horizontal="center" vertical="center"/>
      <protection hidden="1"/>
    </xf>
    <xf numFmtId="3" fontId="15" fillId="0" borderId="1" xfId="0" applyNumberFormat="1" applyFont="1" applyBorder="1" applyAlignment="1" applyProtection="1">
      <alignment horizontal="center" vertical="center"/>
      <protection hidden="1"/>
    </xf>
    <xf numFmtId="3" fontId="15" fillId="16" borderId="1" xfId="0" applyNumberFormat="1" applyFont="1" applyFill="1" applyBorder="1" applyAlignment="1" applyProtection="1">
      <alignment horizontal="center" vertical="center"/>
      <protection hidden="1"/>
    </xf>
    <xf numFmtId="3" fontId="15" fillId="6" borderId="1" xfId="0" applyNumberFormat="1" applyFont="1" applyFill="1" applyBorder="1" applyAlignment="1" applyProtection="1">
      <alignment horizontal="center" vertical="center"/>
      <protection hidden="1"/>
    </xf>
    <xf numFmtId="3" fontId="15" fillId="6" borderId="23" xfId="0" applyNumberFormat="1" applyFont="1" applyFill="1" applyBorder="1" applyAlignment="1" applyProtection="1">
      <alignment horizontal="center" vertical="center"/>
      <protection hidden="1"/>
    </xf>
    <xf numFmtId="3" fontId="4" fillId="0" borderId="9" xfId="1" applyNumberFormat="1" applyFont="1" applyBorder="1" applyAlignment="1" applyProtection="1">
      <alignment horizontal="center"/>
      <protection hidden="1"/>
    </xf>
    <xf numFmtId="3" fontId="4" fillId="0" borderId="0" xfId="1" applyNumberFormat="1" applyFont="1" applyBorder="1" applyAlignment="1" applyProtection="1">
      <alignment horizontal="center"/>
      <protection hidden="1"/>
    </xf>
    <xf numFmtId="3" fontId="4" fillId="0" borderId="29" xfId="1" applyNumberFormat="1" applyFont="1" applyBorder="1" applyAlignment="1" applyProtection="1">
      <alignment horizontal="center"/>
      <protection hidden="1"/>
    </xf>
    <xf numFmtId="3" fontId="4" fillId="0" borderId="8" xfId="1" applyNumberFormat="1" applyFont="1" applyBorder="1" applyAlignment="1" applyProtection="1">
      <alignment horizontal="center"/>
      <protection hidden="1"/>
    </xf>
    <xf numFmtId="3" fontId="3" fillId="9" borderId="15" xfId="1" applyNumberFormat="1" applyFont="1" applyFill="1" applyBorder="1" applyAlignment="1" applyProtection="1">
      <alignment horizontal="center"/>
      <protection hidden="1"/>
    </xf>
    <xf numFmtId="3" fontId="3" fillId="9" borderId="26" xfId="1" applyNumberFormat="1" applyFont="1" applyFill="1" applyBorder="1" applyAlignment="1" applyProtection="1">
      <alignment horizontal="center"/>
      <protection hidden="1"/>
    </xf>
    <xf numFmtId="3" fontId="3" fillId="9" borderId="50" xfId="1" applyNumberFormat="1" applyFont="1" applyFill="1" applyBorder="1" applyAlignment="1" applyProtection="1">
      <alignment horizontal="center"/>
      <protection hidden="1"/>
    </xf>
    <xf numFmtId="3" fontId="3" fillId="9" borderId="29" xfId="1" applyNumberFormat="1" applyFont="1" applyFill="1" applyBorder="1" applyAlignment="1" applyProtection="1">
      <alignment horizontal="center"/>
      <protection hidden="1"/>
    </xf>
    <xf numFmtId="3" fontId="2" fillId="13" borderId="46" xfId="8" applyNumberFormat="1" applyFont="1" applyFill="1" applyBorder="1" applyAlignment="1">
      <alignment horizontal="center" vertical="center"/>
    </xf>
    <xf numFmtId="3" fontId="2" fillId="7" borderId="17" xfId="8" applyNumberFormat="1" applyFont="1" applyFill="1" applyBorder="1" applyAlignment="1">
      <alignment horizontal="center" vertical="center"/>
    </xf>
    <xf numFmtId="3" fontId="2" fillId="7" borderId="1" xfId="8" applyNumberFormat="1" applyFont="1" applyFill="1" applyBorder="1" applyAlignment="1">
      <alignment horizontal="center" vertical="center"/>
    </xf>
    <xf numFmtId="3" fontId="2" fillId="7" borderId="23" xfId="8" applyNumberFormat="1" applyFont="1" applyFill="1" applyBorder="1" applyAlignment="1">
      <alignment horizontal="center" vertical="center"/>
    </xf>
    <xf numFmtId="3" fontId="2" fillId="28" borderId="17" xfId="8" applyNumberFormat="1" applyFont="1" applyFill="1" applyBorder="1" applyAlignment="1">
      <alignment horizontal="center" vertical="center"/>
    </xf>
    <xf numFmtId="3" fontId="2" fillId="28" borderId="1" xfId="8" applyNumberFormat="1" applyFont="1" applyFill="1" applyBorder="1" applyAlignment="1">
      <alignment horizontal="center" vertical="center"/>
    </xf>
    <xf numFmtId="3" fontId="2" fillId="28" borderId="23" xfId="8" applyNumberFormat="1" applyFont="1" applyFill="1" applyBorder="1" applyAlignment="1">
      <alignment horizontal="center" vertical="center"/>
    </xf>
    <xf numFmtId="3" fontId="2" fillId="3" borderId="47" xfId="8" applyNumberFormat="1" applyFont="1" applyFill="1" applyBorder="1" applyAlignment="1">
      <alignment horizontal="center" vertical="center"/>
    </xf>
    <xf numFmtId="3" fontId="2" fillId="28" borderId="21" xfId="8" applyNumberFormat="1" applyFont="1" applyFill="1" applyBorder="1" applyAlignment="1">
      <alignment horizontal="center" vertical="center"/>
    </xf>
    <xf numFmtId="3" fontId="4" fillId="0" borderId="9" xfId="12" applyNumberFormat="1" applyFont="1" applyBorder="1" applyAlignment="1" applyProtection="1">
      <alignment horizontal="center"/>
      <protection hidden="1"/>
    </xf>
    <xf numFmtId="3" fontId="4" fillId="0" borderId="0" xfId="12" applyNumberFormat="1" applyFont="1" applyBorder="1" applyAlignment="1" applyProtection="1">
      <alignment horizontal="center"/>
      <protection hidden="1"/>
    </xf>
    <xf numFmtId="3" fontId="4" fillId="0" borderId="29" xfId="12" applyNumberFormat="1" applyFont="1" applyBorder="1" applyAlignment="1" applyProtection="1">
      <alignment horizontal="center"/>
      <protection hidden="1"/>
    </xf>
    <xf numFmtId="3" fontId="4" fillId="33" borderId="9" xfId="12" applyNumberFormat="1" applyFont="1" applyFill="1" applyBorder="1" applyAlignment="1" applyProtection="1">
      <alignment horizontal="center"/>
      <protection hidden="1"/>
    </xf>
    <xf numFmtId="3" fontId="4" fillId="0" borderId="0" xfId="12" applyNumberFormat="1" applyFont="1" applyFill="1" applyBorder="1" applyAlignment="1" applyProtection="1">
      <alignment horizontal="center"/>
      <protection hidden="1"/>
    </xf>
    <xf numFmtId="3" fontId="4" fillId="0" borderId="29" xfId="12" applyNumberFormat="1" applyFont="1" applyFill="1" applyBorder="1" applyAlignment="1" applyProtection="1">
      <alignment horizontal="center"/>
      <protection hidden="1"/>
    </xf>
    <xf numFmtId="3" fontId="4" fillId="0" borderId="9" xfId="12" applyNumberFormat="1" applyFont="1" applyFill="1" applyBorder="1" applyAlignment="1" applyProtection="1">
      <alignment horizontal="center"/>
      <protection hidden="1"/>
    </xf>
    <xf numFmtId="3" fontId="4" fillId="0" borderId="8" xfId="12" applyNumberFormat="1" applyFont="1" applyBorder="1" applyAlignment="1" applyProtection="1">
      <alignment horizontal="center"/>
      <protection hidden="1"/>
    </xf>
    <xf numFmtId="3" fontId="4" fillId="33" borderId="9" xfId="0" applyNumberFormat="1" applyFont="1" applyFill="1" applyBorder="1" applyAlignment="1" applyProtection="1">
      <alignment horizontal="center"/>
      <protection hidden="1"/>
    </xf>
    <xf numFmtId="3" fontId="4" fillId="3" borderId="0" xfId="0" applyNumberFormat="1" applyFont="1" applyFill="1" applyAlignment="1" applyProtection="1">
      <alignment horizontal="center"/>
      <protection hidden="1"/>
    </xf>
    <xf numFmtId="3" fontId="4" fillId="35" borderId="0" xfId="0" applyNumberFormat="1" applyFont="1" applyFill="1" applyAlignment="1" applyProtection="1">
      <alignment horizontal="center"/>
      <protection hidden="1"/>
    </xf>
    <xf numFmtId="3" fontId="4" fillId="21" borderId="0" xfId="0" applyNumberFormat="1" applyFont="1" applyFill="1" applyAlignment="1" applyProtection="1">
      <alignment horizontal="center"/>
      <protection hidden="1"/>
    </xf>
    <xf numFmtId="3" fontId="4" fillId="38" borderId="0" xfId="0" applyNumberFormat="1" applyFont="1" applyFill="1" applyAlignment="1" applyProtection="1">
      <alignment horizontal="center"/>
      <protection hidden="1"/>
    </xf>
    <xf numFmtId="3" fontId="4" fillId="40" borderId="0" xfId="0" applyNumberFormat="1" applyFont="1" applyFill="1" applyAlignment="1" applyProtection="1">
      <alignment horizontal="center"/>
      <protection hidden="1"/>
    </xf>
    <xf numFmtId="3" fontId="4" fillId="2" borderId="0" xfId="0" applyNumberFormat="1" applyFont="1" applyFill="1" applyAlignment="1" applyProtection="1">
      <alignment horizontal="center"/>
      <protection hidden="1"/>
    </xf>
    <xf numFmtId="3" fontId="4" fillId="37" borderId="0" xfId="0" applyNumberFormat="1" applyFont="1" applyFill="1" applyAlignment="1" applyProtection="1">
      <alignment horizontal="center"/>
      <protection hidden="1"/>
    </xf>
    <xf numFmtId="3" fontId="4" fillId="48" borderId="0" xfId="0" applyNumberFormat="1" applyFont="1" applyFill="1" applyAlignment="1" applyProtection="1">
      <alignment horizontal="center"/>
      <protection hidden="1"/>
    </xf>
    <xf numFmtId="3" fontId="4" fillId="14" borderId="0" xfId="0" applyNumberFormat="1" applyFont="1" applyFill="1" applyAlignment="1" applyProtection="1">
      <alignment horizontal="center"/>
      <protection hidden="1"/>
    </xf>
    <xf numFmtId="3" fontId="4" fillId="14" borderId="29" xfId="0" applyNumberFormat="1" applyFont="1" applyFill="1" applyBorder="1" applyAlignment="1" applyProtection="1">
      <alignment horizontal="center"/>
      <protection hidden="1"/>
    </xf>
    <xf numFmtId="3" fontId="4" fillId="30" borderId="9" xfId="0" applyNumberFormat="1" applyFont="1" applyFill="1" applyBorder="1" applyAlignment="1" applyProtection="1">
      <alignment horizontal="center"/>
      <protection hidden="1"/>
    </xf>
    <xf numFmtId="3" fontId="4" fillId="40" borderId="9" xfId="12" applyNumberFormat="1" applyFont="1" applyFill="1" applyBorder="1" applyAlignment="1" applyProtection="1">
      <alignment horizontal="center"/>
      <protection hidden="1"/>
    </xf>
    <xf numFmtId="3" fontId="4" fillId="40" borderId="0" xfId="12" applyNumberFormat="1" applyFont="1" applyFill="1" applyBorder="1" applyAlignment="1" applyProtection="1">
      <alignment horizontal="center"/>
      <protection hidden="1"/>
    </xf>
    <xf numFmtId="3" fontId="4" fillId="2" borderId="0" xfId="12" applyNumberFormat="1" applyFont="1" applyFill="1" applyBorder="1" applyAlignment="1" applyProtection="1">
      <alignment horizontal="center"/>
      <protection hidden="1"/>
    </xf>
    <xf numFmtId="3" fontId="4" fillId="37" borderId="0" xfId="12" applyNumberFormat="1" applyFont="1" applyFill="1" applyBorder="1" applyAlignment="1" applyProtection="1">
      <alignment horizontal="center"/>
      <protection hidden="1"/>
    </xf>
    <xf numFmtId="3" fontId="4" fillId="35" borderId="0" xfId="12" applyNumberFormat="1" applyFont="1" applyFill="1" applyBorder="1" applyAlignment="1" applyProtection="1">
      <alignment horizontal="center"/>
      <protection hidden="1"/>
    </xf>
    <xf numFmtId="3" fontId="4" fillId="48" borderId="0" xfId="12" applyNumberFormat="1" applyFont="1" applyFill="1" applyBorder="1" applyAlignment="1" applyProtection="1">
      <alignment horizontal="center"/>
      <protection hidden="1"/>
    </xf>
    <xf numFmtId="3" fontId="4" fillId="14" borderId="0" xfId="12" applyNumberFormat="1" applyFont="1" applyFill="1" applyBorder="1" applyAlignment="1" applyProtection="1">
      <alignment horizontal="center"/>
      <protection hidden="1"/>
    </xf>
    <xf numFmtId="3" fontId="4" fillId="14" borderId="29" xfId="12" applyNumberFormat="1" applyFont="1" applyFill="1" applyBorder="1" applyAlignment="1" applyProtection="1">
      <alignment horizontal="center"/>
      <protection hidden="1"/>
    </xf>
    <xf numFmtId="3" fontId="4" fillId="33" borderId="29" xfId="12" applyNumberFormat="1" applyFont="1" applyFill="1" applyBorder="1" applyAlignment="1" applyProtection="1">
      <alignment horizontal="center"/>
      <protection hidden="1"/>
    </xf>
    <xf numFmtId="3" fontId="4" fillId="33" borderId="0" xfId="12" applyNumberFormat="1" applyFont="1" applyFill="1" applyBorder="1" applyAlignment="1" applyProtection="1">
      <alignment horizontal="center"/>
      <protection hidden="1"/>
    </xf>
    <xf numFmtId="3" fontId="4" fillId="33" borderId="8" xfId="12" applyNumberFormat="1" applyFont="1" applyFill="1" applyBorder="1" applyAlignment="1" applyProtection="1">
      <alignment horizontal="center"/>
      <protection hidden="1"/>
    </xf>
    <xf numFmtId="3" fontId="4" fillId="0" borderId="30" xfId="0" applyNumberFormat="1" applyFont="1" applyBorder="1" applyAlignment="1" applyProtection="1">
      <alignment horizontal="center"/>
      <protection hidden="1"/>
    </xf>
    <xf numFmtId="3" fontId="4" fillId="0" borderId="31" xfId="0" applyNumberFormat="1" applyFont="1" applyBorder="1" applyAlignment="1" applyProtection="1">
      <alignment horizontal="center"/>
      <protection hidden="1"/>
    </xf>
    <xf numFmtId="3" fontId="4" fillId="0" borderId="51" xfId="0" applyNumberFormat="1" applyFont="1" applyBorder="1" applyAlignment="1" applyProtection="1">
      <alignment horizontal="center"/>
      <protection hidden="1"/>
    </xf>
    <xf numFmtId="3" fontId="4" fillId="0" borderId="48" xfId="0" applyNumberFormat="1" applyFont="1" applyBorder="1" applyAlignment="1" applyProtection="1">
      <alignment horizontal="center"/>
      <protection hidden="1"/>
    </xf>
    <xf numFmtId="3" fontId="4" fillId="0" borderId="32" xfId="0" applyNumberFormat="1" applyFont="1" applyBorder="1" applyAlignment="1" applyProtection="1">
      <alignment horizontal="center"/>
      <protection hidden="1"/>
    </xf>
    <xf numFmtId="3" fontId="4" fillId="0" borderId="33" xfId="0" applyNumberFormat="1" applyFont="1" applyBorder="1" applyAlignment="1" applyProtection="1">
      <alignment horizontal="center"/>
      <protection hidden="1"/>
    </xf>
    <xf numFmtId="3" fontId="4" fillId="0" borderId="46" xfId="0" applyNumberFormat="1" applyFont="1" applyBorder="1" applyAlignment="1" applyProtection="1">
      <alignment horizontal="center"/>
      <protection hidden="1"/>
    </xf>
    <xf numFmtId="3" fontId="4" fillId="0" borderId="47" xfId="0" applyNumberFormat="1" applyFont="1" applyBorder="1" applyAlignment="1" applyProtection="1">
      <alignment horizontal="center"/>
      <protection hidden="1"/>
    </xf>
    <xf numFmtId="3" fontId="3" fillId="25" borderId="32" xfId="11" applyNumberFormat="1" applyFont="1" applyFill="1" applyBorder="1" applyAlignment="1" applyProtection="1">
      <alignment horizontal="center"/>
      <protection hidden="1"/>
    </xf>
    <xf numFmtId="3" fontId="3" fillId="25" borderId="33" xfId="11" applyNumberFormat="1" applyFont="1" applyFill="1" applyBorder="1" applyAlignment="1" applyProtection="1">
      <alignment horizontal="center"/>
      <protection hidden="1"/>
    </xf>
    <xf numFmtId="3" fontId="3" fillId="25" borderId="46" xfId="11" applyNumberFormat="1" applyFont="1" applyFill="1" applyBorder="1" applyAlignment="1" applyProtection="1">
      <alignment horizontal="center"/>
      <protection hidden="1"/>
    </xf>
    <xf numFmtId="3" fontId="4" fillId="0" borderId="0" xfId="0" applyNumberFormat="1" applyFont="1" applyAlignment="1" applyProtection="1">
      <alignment horizontal="center"/>
      <protection hidden="1"/>
    </xf>
    <xf numFmtId="3" fontId="4" fillId="0" borderId="29" xfId="0" applyNumberFormat="1" applyFont="1" applyBorder="1" applyAlignment="1" applyProtection="1">
      <alignment horizontal="center"/>
      <protection hidden="1"/>
    </xf>
    <xf numFmtId="3" fontId="9" fillId="0" borderId="0" xfId="2" applyNumberFormat="1" applyFont="1" applyAlignment="1">
      <alignment horizontal="center"/>
    </xf>
    <xf numFmtId="3" fontId="4" fillId="0" borderId="30" xfId="14" applyNumberFormat="1" applyFont="1" applyBorder="1" applyAlignment="1" applyProtection="1">
      <alignment horizontal="center"/>
      <protection hidden="1"/>
    </xf>
    <xf numFmtId="3" fontId="4" fillId="0" borderId="31" xfId="14" applyNumberFormat="1" applyFont="1" applyBorder="1" applyAlignment="1" applyProtection="1">
      <alignment horizontal="center"/>
      <protection hidden="1"/>
    </xf>
    <xf numFmtId="3" fontId="4" fillId="0" borderId="51" xfId="14" applyNumberFormat="1" applyFont="1" applyBorder="1" applyAlignment="1" applyProtection="1">
      <alignment horizontal="center"/>
      <protection hidden="1"/>
    </xf>
    <xf numFmtId="3" fontId="4" fillId="0" borderId="48" xfId="14" applyNumberFormat="1" applyFont="1" applyBorder="1" applyAlignment="1" applyProtection="1">
      <alignment horizontal="center"/>
      <protection hidden="1"/>
    </xf>
    <xf numFmtId="3" fontId="4" fillId="49" borderId="0" xfId="0" applyNumberFormat="1" applyFont="1" applyFill="1" applyAlignment="1" applyProtection="1">
      <alignment horizontal="center"/>
      <protection hidden="1"/>
    </xf>
    <xf numFmtId="3" fontId="4" fillId="47" borderId="0" xfId="0" applyNumberFormat="1" applyFont="1" applyFill="1" applyAlignment="1" applyProtection="1">
      <alignment horizontal="center"/>
      <protection hidden="1"/>
    </xf>
    <xf numFmtId="3" fontId="4" fillId="47" borderId="29" xfId="0" applyNumberFormat="1" applyFont="1" applyFill="1" applyBorder="1" applyAlignment="1" applyProtection="1">
      <alignment horizontal="center"/>
      <protection hidden="1"/>
    </xf>
    <xf numFmtId="3" fontId="4" fillId="0" borderId="9" xfId="0" applyNumberFormat="1" applyFont="1" applyBorder="1" applyAlignment="1" applyProtection="1">
      <alignment horizontal="center"/>
      <protection hidden="1"/>
    </xf>
    <xf numFmtId="3" fontId="4" fillId="0" borderId="8" xfId="0" applyNumberFormat="1" applyFont="1" applyBorder="1" applyAlignment="1" applyProtection="1">
      <alignment horizontal="center"/>
      <protection hidden="1"/>
    </xf>
    <xf numFmtId="3" fontId="3" fillId="25" borderId="15" xfId="11" applyNumberFormat="1" applyFont="1" applyFill="1" applyBorder="1" applyAlignment="1" applyProtection="1">
      <alignment horizontal="center"/>
      <protection hidden="1"/>
    </xf>
    <xf numFmtId="3" fontId="3" fillId="25" borderId="26" xfId="11" applyNumberFormat="1" applyFont="1" applyFill="1" applyBorder="1" applyAlignment="1" applyProtection="1">
      <alignment horizontal="center"/>
      <protection hidden="1"/>
    </xf>
    <xf numFmtId="3" fontId="3" fillId="25" borderId="50" xfId="11" applyNumberFormat="1" applyFont="1" applyFill="1" applyBorder="1" applyAlignment="1" applyProtection="1">
      <alignment horizontal="center"/>
      <protection hidden="1"/>
    </xf>
    <xf numFmtId="3" fontId="2" fillId="13" borderId="50" xfId="8" applyNumberFormat="1" applyFont="1" applyFill="1" applyBorder="1" applyAlignment="1">
      <alignment horizontal="center" vertical="center"/>
    </xf>
    <xf numFmtId="3" fontId="2" fillId="7" borderId="54" xfId="8" applyNumberFormat="1" applyFont="1" applyFill="1" applyBorder="1" applyAlignment="1">
      <alignment horizontal="center" vertical="center"/>
    </xf>
    <xf numFmtId="3" fontId="2" fillId="7" borderId="55" xfId="8" applyNumberFormat="1" applyFont="1" applyFill="1" applyBorder="1" applyAlignment="1">
      <alignment horizontal="center" vertical="center"/>
    </xf>
    <xf numFmtId="3" fontId="2" fillId="7" borderId="56" xfId="8" applyNumberFormat="1" applyFont="1" applyFill="1" applyBorder="1" applyAlignment="1">
      <alignment horizontal="center" vertical="center"/>
    </xf>
    <xf numFmtId="3" fontId="2" fillId="28" borderId="54" xfId="8" applyNumberFormat="1" applyFont="1" applyFill="1" applyBorder="1" applyAlignment="1">
      <alignment horizontal="center" vertical="center"/>
    </xf>
    <xf numFmtId="3" fontId="2" fillId="28" borderId="55" xfId="8" applyNumberFormat="1" applyFont="1" applyFill="1" applyBorder="1" applyAlignment="1">
      <alignment horizontal="center" vertical="center"/>
    </xf>
    <xf numFmtId="3" fontId="2" fillId="28" borderId="56" xfId="8" applyNumberFormat="1" applyFont="1" applyFill="1" applyBorder="1" applyAlignment="1">
      <alignment horizontal="center" vertical="center"/>
    </xf>
    <xf numFmtId="3" fontId="2" fillId="3" borderId="5" xfId="8" applyNumberFormat="1" applyFont="1" applyFill="1" applyBorder="1" applyAlignment="1">
      <alignment horizontal="center" vertical="center"/>
    </xf>
    <xf numFmtId="0" fontId="47" fillId="0" borderId="0" xfId="0" applyFont="1"/>
    <xf numFmtId="0" fontId="47" fillId="0" borderId="0" xfId="0" applyFont="1" applyAlignment="1">
      <alignment horizontal="left" indent="1"/>
    </xf>
    <xf numFmtId="174" fontId="49" fillId="44" borderId="0" xfId="0" applyNumberFormat="1" applyFont="1" applyFill="1" applyAlignment="1">
      <alignment horizontal="center" vertical="center"/>
    </xf>
    <xf numFmtId="0" fontId="50" fillId="63" borderId="0" xfId="0" applyFont="1" applyFill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left" vertical="center" wrapText="1" indent="1"/>
    </xf>
    <xf numFmtId="203" fontId="48" fillId="0" borderId="1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left" vertical="center" wrapText="1" indent="1"/>
    </xf>
    <xf numFmtId="203" fontId="48" fillId="0" borderId="0" xfId="0" applyNumberFormat="1" applyFont="1" applyAlignment="1">
      <alignment horizontal="center" vertical="center"/>
    </xf>
    <xf numFmtId="0" fontId="48" fillId="0" borderId="0" xfId="0" applyFont="1"/>
    <xf numFmtId="174" fontId="3" fillId="64" borderId="1" xfId="0" applyNumberFormat="1" applyFont="1" applyFill="1" applyBorder="1" applyAlignment="1">
      <alignment horizontal="center" vertical="center"/>
    </xf>
    <xf numFmtId="218" fontId="3" fillId="27" borderId="1" xfId="0" applyNumberFormat="1" applyFont="1" applyFill="1" applyBorder="1" applyAlignment="1">
      <alignment horizontal="center" vertical="center"/>
    </xf>
    <xf numFmtId="203" fontId="48" fillId="0" borderId="1" xfId="0" quotePrefix="1" applyNumberFormat="1" applyFont="1" applyBorder="1" applyAlignment="1">
      <alignment horizontal="center" vertical="center"/>
    </xf>
    <xf numFmtId="174" fontId="48" fillId="64" borderId="1" xfId="0" applyNumberFormat="1" applyFont="1" applyFill="1" applyBorder="1" applyAlignment="1">
      <alignment horizontal="center" vertical="center"/>
    </xf>
    <xf numFmtId="0" fontId="47" fillId="0" borderId="0" xfId="0" applyFont="1" applyAlignment="1">
      <alignment vertical="center"/>
    </xf>
    <xf numFmtId="174" fontId="32" fillId="44" borderId="1" xfId="0" applyNumberFormat="1" applyFont="1" applyFill="1" applyBorder="1" applyAlignment="1">
      <alignment horizontal="center" vertical="center"/>
    </xf>
    <xf numFmtId="0" fontId="32" fillId="44" borderId="1" xfId="0" applyFont="1" applyFill="1" applyBorder="1" applyAlignment="1">
      <alignment horizontal="center" vertical="center"/>
    </xf>
    <xf numFmtId="174" fontId="32" fillId="44" borderId="1" xfId="0" applyNumberFormat="1" applyFont="1" applyFill="1" applyBorder="1" applyAlignment="1">
      <alignment horizontal="center" vertical="center" wrapText="1"/>
    </xf>
    <xf numFmtId="0" fontId="32" fillId="44" borderId="1" xfId="0" applyFont="1" applyFill="1" applyBorder="1" applyAlignment="1">
      <alignment horizontal="center" vertical="center" wrapText="1"/>
    </xf>
    <xf numFmtId="203" fontId="32" fillId="44" borderId="1" xfId="0" applyNumberFormat="1" applyFont="1" applyFill="1" applyBorder="1" applyAlignment="1">
      <alignment horizontal="center" vertical="center"/>
    </xf>
    <xf numFmtId="9" fontId="0" fillId="0" borderId="0" xfId="0" applyNumberFormat="1"/>
    <xf numFmtId="0" fontId="0" fillId="0" borderId="1" xfId="0" applyBorder="1" applyAlignment="1">
      <alignment horizontal="left" vertical="center" indent="1"/>
    </xf>
    <xf numFmtId="9" fontId="0" fillId="6" borderId="1" xfId="0" applyNumberFormat="1" applyFill="1" applyBorder="1" applyAlignment="1">
      <alignment horizontal="center" vertical="center"/>
    </xf>
    <xf numFmtId="216" fontId="0" fillId="0" borderId="1" xfId="0" applyNumberFormat="1" applyBorder="1" applyAlignment="1">
      <alignment horizontal="center" vertical="center"/>
    </xf>
    <xf numFmtId="172" fontId="0" fillId="0" borderId="1" xfId="0" applyNumberFormat="1" applyBorder="1" applyAlignment="1">
      <alignment horizontal="center" vertical="center"/>
    </xf>
    <xf numFmtId="203" fontId="35" fillId="27" borderId="1" xfId="0" applyNumberFormat="1" applyFont="1" applyFill="1" applyBorder="1" applyAlignment="1">
      <alignment horizontal="center" vertical="center"/>
    </xf>
    <xf numFmtId="203" fontId="35" fillId="0" borderId="1" xfId="0" applyNumberFormat="1" applyFont="1" applyBorder="1" applyAlignment="1">
      <alignment horizontal="center" vertical="center"/>
    </xf>
    <xf numFmtId="219" fontId="35" fillId="0" borderId="1" xfId="0" applyNumberFormat="1" applyFont="1" applyBorder="1" applyAlignment="1">
      <alignment horizontal="center" vertical="center"/>
    </xf>
    <xf numFmtId="167" fontId="35" fillId="27" borderId="1" xfId="2" applyNumberFormat="1" applyFont="1" applyFill="1" applyBorder="1" applyAlignment="1">
      <alignment horizontal="center" vertical="center"/>
    </xf>
    <xf numFmtId="203" fontId="29" fillId="3" borderId="1" xfId="0" applyNumberFormat="1" applyFont="1" applyFill="1" applyBorder="1" applyAlignment="1">
      <alignment horizontal="center" vertical="center"/>
    </xf>
    <xf numFmtId="190" fontId="0" fillId="0" borderId="0" xfId="0" applyNumberFormat="1"/>
    <xf numFmtId="190" fontId="0" fillId="3" borderId="0" xfId="0" applyNumberFormat="1" applyFill="1"/>
    <xf numFmtId="6" fontId="6" fillId="0" borderId="63" xfId="0" applyNumberFormat="1" applyFont="1" applyBorder="1" applyAlignment="1">
      <alignment horizontal="center"/>
    </xf>
    <xf numFmtId="6" fontId="6" fillId="0" borderId="59" xfId="0" applyNumberFormat="1" applyFont="1" applyBorder="1" applyAlignment="1">
      <alignment horizontal="center"/>
    </xf>
    <xf numFmtId="6" fontId="9" fillId="0" borderId="67" xfId="0" applyNumberFormat="1" applyFont="1" applyBorder="1" applyAlignment="1">
      <alignment horizontal="center"/>
    </xf>
    <xf numFmtId="6" fontId="9" fillId="0" borderId="69" xfId="0" applyNumberFormat="1" applyFont="1" applyBorder="1"/>
    <xf numFmtId="6" fontId="6" fillId="4" borderId="67" xfId="0" applyNumberFormat="1" applyFont="1" applyFill="1" applyBorder="1" applyAlignment="1">
      <alignment horizontal="center"/>
    </xf>
    <xf numFmtId="6" fontId="9" fillId="0" borderId="63" xfId="0" applyNumberFormat="1" applyFont="1" applyBorder="1" applyAlignment="1">
      <alignment horizontal="center"/>
    </xf>
    <xf numFmtId="6" fontId="6" fillId="3" borderId="0" xfId="0" applyNumberFormat="1" applyFont="1" applyFill="1"/>
    <xf numFmtId="10" fontId="6" fillId="0" borderId="66" xfId="0" applyNumberFormat="1" applyFont="1" applyBorder="1" applyAlignment="1">
      <alignment horizontal="center"/>
    </xf>
    <xf numFmtId="6" fontId="6" fillId="0" borderId="67" xfId="0" applyNumberFormat="1" applyFont="1" applyBorder="1" applyAlignment="1">
      <alignment horizontal="center"/>
    </xf>
    <xf numFmtId="10" fontId="6" fillId="0" borderId="68" xfId="0" applyNumberFormat="1" applyFont="1" applyBorder="1" applyAlignment="1">
      <alignment horizontal="center"/>
    </xf>
    <xf numFmtId="174" fontId="6" fillId="0" borderId="68" xfId="0" applyNumberFormat="1" applyFont="1" applyBorder="1" applyAlignment="1">
      <alignment horizontal="center"/>
    </xf>
    <xf numFmtId="10" fontId="20" fillId="0" borderId="0" xfId="0" applyNumberFormat="1" applyFont="1"/>
    <xf numFmtId="39" fontId="10" fillId="21" borderId="34" xfId="0" applyNumberFormat="1" applyFont="1" applyFill="1" applyBorder="1" applyAlignment="1">
      <alignment horizontal="center" vertical="center"/>
    </xf>
    <xf numFmtId="220" fontId="9" fillId="0" borderId="34" xfId="0" applyNumberFormat="1" applyFont="1" applyBorder="1" applyAlignment="1">
      <alignment horizontal="center" vertical="center"/>
    </xf>
    <xf numFmtId="39" fontId="10" fillId="6" borderId="6" xfId="0" applyNumberFormat="1" applyFont="1" applyFill="1" applyBorder="1" applyAlignment="1">
      <alignment horizontal="center" vertical="center"/>
    </xf>
    <xf numFmtId="39" fontId="10" fillId="9" borderId="3" xfId="0" applyNumberFormat="1" applyFont="1" applyFill="1" applyBorder="1" applyAlignment="1">
      <alignment horizontal="center" vertical="center"/>
    </xf>
    <xf numFmtId="0" fontId="6" fillId="41" borderId="0" xfId="0" applyFont="1" applyFill="1"/>
    <xf numFmtId="9" fontId="9" fillId="13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0" fontId="15" fillId="4" borderId="17" xfId="6" applyFont="1" applyFill="1" applyBorder="1" applyAlignment="1">
      <alignment horizontal="left" vertical="center" indent="1"/>
    </xf>
    <xf numFmtId="173" fontId="15" fillId="4" borderId="21" xfId="7" applyNumberFormat="1" applyFont="1" applyFill="1" applyBorder="1" applyAlignment="1">
      <alignment horizontal="center" vertical="center"/>
    </xf>
    <xf numFmtId="172" fontId="15" fillId="4" borderId="17" xfId="8" applyNumberFormat="1" applyFont="1" applyFill="1" applyBorder="1" applyAlignment="1">
      <alignment horizontal="center" vertical="center"/>
    </xf>
    <xf numFmtId="172" fontId="15" fillId="4" borderId="46" xfId="8" applyNumberFormat="1" applyFont="1" applyFill="1" applyBorder="1" applyAlignment="1">
      <alignment horizontal="center" vertical="center"/>
    </xf>
    <xf numFmtId="172" fontId="15" fillId="4" borderId="42" xfId="8" applyNumberFormat="1" applyFont="1" applyFill="1" applyBorder="1" applyAlignment="1">
      <alignment horizontal="center" vertical="center"/>
    </xf>
    <xf numFmtId="173" fontId="9" fillId="0" borderId="0" xfId="0" applyNumberFormat="1" applyFont="1"/>
    <xf numFmtId="1" fontId="9" fillId="0" borderId="0" xfId="0" applyNumberFormat="1" applyFont="1"/>
    <xf numFmtId="221" fontId="6" fillId="3" borderId="24" xfId="0" applyNumberFormat="1" applyFont="1" applyFill="1" applyBorder="1" applyAlignment="1">
      <alignment horizontal="center"/>
    </xf>
    <xf numFmtId="4" fontId="8" fillId="0" borderId="6" xfId="0" applyNumberFormat="1" applyFont="1" applyBorder="1" applyAlignment="1">
      <alignment horizontal="center" vertical="center"/>
    </xf>
    <xf numFmtId="4" fontId="8" fillId="0" borderId="6" xfId="1" applyNumberFormat="1" applyFont="1" applyBorder="1" applyAlignment="1">
      <alignment horizontal="center" vertical="center"/>
    </xf>
    <xf numFmtId="188" fontId="9" fillId="13" borderId="23" xfId="1" applyNumberFormat="1" applyFont="1" applyFill="1" applyBorder="1" applyAlignment="1">
      <alignment horizontal="center" vertical="center"/>
    </xf>
    <xf numFmtId="172" fontId="9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 indent="1"/>
    </xf>
    <xf numFmtId="172" fontId="6" fillId="0" borderId="1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203" fontId="48" fillId="9" borderId="1" xfId="0" applyNumberFormat="1" applyFont="1" applyFill="1" applyBorder="1" applyAlignment="1">
      <alignment horizontal="center" vertical="center"/>
    </xf>
    <xf numFmtId="203" fontId="48" fillId="9" borderId="1" xfId="0" quotePrefix="1" applyNumberFormat="1" applyFont="1" applyFill="1" applyBorder="1" applyAlignment="1">
      <alignment horizontal="center" vertical="center"/>
    </xf>
    <xf numFmtId="174" fontId="3" fillId="33" borderId="1" xfId="0" applyNumberFormat="1" applyFont="1" applyFill="1" applyBorder="1" applyAlignment="1">
      <alignment horizontal="center" vertical="center"/>
    </xf>
    <xf numFmtId="203" fontId="48" fillId="33" borderId="1" xfId="0" applyNumberFormat="1" applyFont="1" applyFill="1" applyBorder="1" applyAlignment="1">
      <alignment horizontal="center" vertical="center"/>
    </xf>
    <xf numFmtId="174" fontId="48" fillId="33" borderId="1" xfId="0" applyNumberFormat="1" applyFont="1" applyFill="1" applyBorder="1" applyAlignment="1">
      <alignment horizontal="center" vertical="center"/>
    </xf>
    <xf numFmtId="218" fontId="3" fillId="9" borderId="1" xfId="0" applyNumberFormat="1" applyFont="1" applyFill="1" applyBorder="1" applyAlignment="1">
      <alignment horizontal="center" vertical="center"/>
    </xf>
    <xf numFmtId="9" fontId="6" fillId="50" borderId="0" xfId="0" applyNumberFormat="1" applyFont="1" applyFill="1" applyAlignment="1">
      <alignment horizontal="center" vertical="center"/>
    </xf>
    <xf numFmtId="174" fontId="49" fillId="44" borderId="0" xfId="0" applyNumberFormat="1" applyFont="1" applyFill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9" fontId="3" fillId="33" borderId="1" xfId="0" applyNumberFormat="1" applyFont="1" applyFill="1" applyBorder="1" applyAlignment="1">
      <alignment horizontal="center" vertical="center" wrapText="1"/>
    </xf>
    <xf numFmtId="9" fontId="48" fillId="33" borderId="1" xfId="0" applyNumberFormat="1" applyFont="1" applyFill="1" applyBorder="1" applyAlignment="1">
      <alignment horizontal="center" vertical="center" wrapText="1"/>
    </xf>
    <xf numFmtId="167" fontId="9" fillId="50" borderId="1" xfId="0" applyNumberFormat="1" applyFont="1" applyFill="1" applyBorder="1" applyAlignment="1">
      <alignment horizontal="center"/>
    </xf>
    <xf numFmtId="1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92" fontId="21" fillId="65" borderId="6" xfId="0" applyNumberFormat="1" applyFont="1" applyFill="1" applyBorder="1" applyAlignment="1">
      <alignment horizontal="center" vertical="center"/>
    </xf>
    <xf numFmtId="208" fontId="21" fillId="65" borderId="1" xfId="0" applyNumberFormat="1" applyFont="1" applyFill="1" applyBorder="1" applyAlignment="1">
      <alignment horizontal="center" vertical="center"/>
    </xf>
    <xf numFmtId="0" fontId="53" fillId="0" borderId="0" xfId="0" applyFont="1"/>
    <xf numFmtId="0" fontId="54" fillId="0" borderId="0" xfId="0" applyFont="1"/>
    <xf numFmtId="37" fontId="9" fillId="0" borderId="0" xfId="0" applyNumberFormat="1" applyFont="1"/>
    <xf numFmtId="198" fontId="9" fillId="0" borderId="0" xfId="0" applyNumberFormat="1" applyFont="1"/>
    <xf numFmtId="188" fontId="9" fillId="33" borderId="69" xfId="1" applyNumberFormat="1" applyFont="1" applyFill="1" applyBorder="1" applyAlignment="1">
      <alignment horizontal="center" vertical="center"/>
    </xf>
    <xf numFmtId="188" fontId="9" fillId="33" borderId="95" xfId="1" applyNumberFormat="1" applyFont="1" applyFill="1" applyBorder="1" applyAlignment="1">
      <alignment horizontal="center" vertical="center"/>
    </xf>
    <xf numFmtId="188" fontId="9" fillId="41" borderId="69" xfId="1" applyNumberFormat="1" applyFont="1" applyFill="1" applyBorder="1" applyAlignment="1">
      <alignment horizontal="center" vertical="center"/>
    </xf>
    <xf numFmtId="188" fontId="9" fillId="33" borderId="29" xfId="1" applyNumberFormat="1" applyFont="1" applyFill="1" applyBorder="1" applyAlignment="1">
      <alignment horizontal="center" vertical="center"/>
    </xf>
    <xf numFmtId="0" fontId="6" fillId="0" borderId="78" xfId="0" applyFont="1" applyBorder="1" applyAlignment="1">
      <alignment horizontal="left" vertical="top" indent="1"/>
    </xf>
    <xf numFmtId="188" fontId="6" fillId="33" borderId="59" xfId="1" applyNumberFormat="1" applyFont="1" applyFill="1" applyBorder="1" applyAlignment="1">
      <alignment horizontal="center" vertical="center"/>
    </xf>
    <xf numFmtId="188" fontId="6" fillId="33" borderId="82" xfId="1" applyNumberFormat="1" applyFont="1" applyFill="1" applyBorder="1" applyAlignment="1">
      <alignment horizontal="center" vertical="center"/>
    </xf>
    <xf numFmtId="188" fontId="6" fillId="33" borderId="41" xfId="1" applyNumberFormat="1" applyFont="1" applyFill="1" applyBorder="1" applyAlignment="1">
      <alignment horizontal="center" vertical="center"/>
    </xf>
    <xf numFmtId="188" fontId="6" fillId="41" borderId="59" xfId="1" applyNumberFormat="1" applyFont="1" applyFill="1" applyBorder="1" applyAlignment="1">
      <alignment horizontal="center" vertical="center"/>
    </xf>
    <xf numFmtId="188" fontId="6" fillId="33" borderId="91" xfId="1" applyNumberFormat="1" applyFont="1" applyFill="1" applyBorder="1" applyAlignment="1">
      <alignment horizontal="center" vertical="center"/>
    </xf>
    <xf numFmtId="0" fontId="9" fillId="0" borderId="1" xfId="0" applyFont="1" applyBorder="1"/>
    <xf numFmtId="0" fontId="6" fillId="0" borderId="102" xfId="0" applyFont="1" applyBorder="1" applyAlignment="1">
      <alignment horizontal="left" vertical="top" indent="1"/>
    </xf>
    <xf numFmtId="188" fontId="6" fillId="0" borderId="86" xfId="1" applyNumberFormat="1" applyFont="1" applyBorder="1" applyAlignment="1">
      <alignment horizontal="center" vertical="center"/>
    </xf>
    <xf numFmtId="188" fontId="6" fillId="0" borderId="83" xfId="1" applyNumberFormat="1" applyFont="1" applyBorder="1" applyAlignment="1">
      <alignment horizontal="center" vertical="center"/>
    </xf>
    <xf numFmtId="188" fontId="6" fillId="0" borderId="92" xfId="1" applyNumberFormat="1" applyFont="1" applyFill="1" applyBorder="1" applyAlignment="1">
      <alignment horizontal="center" vertical="center"/>
    </xf>
    <xf numFmtId="188" fontId="6" fillId="0" borderId="40" xfId="1" applyNumberFormat="1" applyFont="1" applyBorder="1" applyAlignment="1">
      <alignment horizontal="center" vertical="center"/>
    </xf>
    <xf numFmtId="188" fontId="6" fillId="41" borderId="40" xfId="1" applyNumberFormat="1" applyFont="1" applyFill="1" applyBorder="1" applyAlignment="1">
      <alignment horizontal="center" vertical="center"/>
    </xf>
    <xf numFmtId="188" fontId="6" fillId="0" borderId="77" xfId="1" applyNumberFormat="1" applyFont="1" applyBorder="1" applyAlignment="1">
      <alignment horizontal="center" vertical="center"/>
    </xf>
    <xf numFmtId="0" fontId="20" fillId="0" borderId="69" xfId="0" applyFont="1" applyBorder="1" applyAlignment="1">
      <alignment horizontal="left" vertical="top" indent="1"/>
    </xf>
    <xf numFmtId="0" fontId="6" fillId="0" borderId="79" xfId="0" applyFont="1" applyBorder="1" applyAlignment="1">
      <alignment horizontal="left" vertical="top" indent="1"/>
    </xf>
    <xf numFmtId="188" fontId="6" fillId="33" borderId="85" xfId="1" applyNumberFormat="1" applyFont="1" applyFill="1" applyBorder="1" applyAlignment="1">
      <alignment horizontal="center" vertical="center"/>
    </xf>
    <xf numFmtId="188" fontId="6" fillId="33" borderId="81" xfId="1" applyNumberFormat="1" applyFont="1" applyFill="1" applyBorder="1" applyAlignment="1">
      <alignment horizontal="center" vertical="center"/>
    </xf>
    <xf numFmtId="188" fontId="6" fillId="33" borderId="89" xfId="1" applyNumberFormat="1" applyFont="1" applyFill="1" applyBorder="1" applyAlignment="1">
      <alignment horizontal="center" vertical="center"/>
    </xf>
    <xf numFmtId="188" fontId="6" fillId="33" borderId="39" xfId="1" applyNumberFormat="1" applyFont="1" applyFill="1" applyBorder="1" applyAlignment="1">
      <alignment horizontal="center" vertical="center"/>
    </xf>
    <xf numFmtId="188" fontId="6" fillId="41" borderId="39" xfId="1" applyNumberFormat="1" applyFont="1" applyFill="1" applyBorder="1" applyAlignment="1">
      <alignment horizontal="center" vertical="center"/>
    </xf>
    <xf numFmtId="188" fontId="6" fillId="33" borderId="90" xfId="1" applyNumberFormat="1" applyFont="1" applyFill="1" applyBorder="1" applyAlignment="1">
      <alignment horizontal="center" vertical="center"/>
    </xf>
    <xf numFmtId="4" fontId="8" fillId="5" borderId="34" xfId="0" applyNumberFormat="1" applyFont="1" applyFill="1" applyBorder="1" applyAlignment="1">
      <alignment horizontal="center" vertical="center"/>
    </xf>
    <xf numFmtId="4" fontId="8" fillId="0" borderId="87" xfId="0" applyNumberFormat="1" applyFont="1" applyBorder="1" applyAlignment="1">
      <alignment horizontal="center" vertical="center"/>
    </xf>
    <xf numFmtId="4" fontId="10" fillId="9" borderId="3" xfId="0" applyNumberFormat="1" applyFont="1" applyFill="1" applyBorder="1" applyAlignment="1">
      <alignment horizontal="center" vertical="center"/>
    </xf>
    <xf numFmtId="6" fontId="9" fillId="0" borderId="0" xfId="0" applyNumberFormat="1" applyFont="1"/>
    <xf numFmtId="213" fontId="18" fillId="32" borderId="1" xfId="0" applyNumberFormat="1" applyFont="1" applyFill="1" applyBorder="1" applyAlignment="1">
      <alignment horizontal="center" vertical="center"/>
    </xf>
    <xf numFmtId="222" fontId="48" fillId="0" borderId="1" xfId="0" applyNumberFormat="1" applyFont="1" applyBorder="1" applyAlignment="1">
      <alignment horizontal="center" vertical="center"/>
    </xf>
    <xf numFmtId="8" fontId="47" fillId="0" borderId="0" xfId="0" applyNumberFormat="1" applyFont="1"/>
    <xf numFmtId="0" fontId="6" fillId="3" borderId="0" xfId="0" applyFont="1" applyFill="1" applyAlignment="1">
      <alignment horizontal="left" vertical="top"/>
    </xf>
    <xf numFmtId="223" fontId="48" fillId="0" borderId="1" xfId="0" applyNumberFormat="1" applyFont="1" applyBorder="1" applyAlignment="1">
      <alignment horizontal="center" vertical="center"/>
    </xf>
    <xf numFmtId="224" fontId="48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6" fontId="9" fillId="27" borderId="1" xfId="0" applyNumberFormat="1" applyFon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9" fillId="54" borderId="1" xfId="0" applyFont="1" applyFill="1" applyBorder="1" applyAlignment="1">
      <alignment horizontal="left" vertical="top" indent="2"/>
    </xf>
    <xf numFmtId="198" fontId="9" fillId="54" borderId="1" xfId="0" applyNumberFormat="1" applyFont="1" applyFill="1" applyBorder="1" applyAlignment="1">
      <alignment horizontal="center" vertical="center"/>
    </xf>
    <xf numFmtId="0" fontId="9" fillId="35" borderId="0" xfId="0" applyFont="1" applyFill="1" applyAlignment="1">
      <alignment horizontal="center"/>
    </xf>
    <xf numFmtId="4" fontId="9" fillId="5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Font="1"/>
    <xf numFmtId="3" fontId="9" fillId="0" borderId="1" xfId="19" applyNumberFormat="1" applyFont="1" applyBorder="1" applyAlignment="1" applyProtection="1">
      <alignment horizontal="center"/>
      <protection locked="0"/>
    </xf>
    <xf numFmtId="3" fontId="9" fillId="40" borderId="1" xfId="19" applyNumberFormat="1" applyFont="1" applyFill="1" applyBorder="1" applyAlignment="1" applyProtection="1">
      <alignment horizontal="center"/>
      <protection locked="0"/>
    </xf>
    <xf numFmtId="3" fontId="9" fillId="0" borderId="1" xfId="2" applyNumberFormat="1" applyFont="1" applyBorder="1" applyAlignment="1" applyProtection="1">
      <alignment horizontal="center"/>
      <protection locked="0"/>
    </xf>
    <xf numFmtId="3" fontId="6" fillId="35" borderId="1" xfId="2" applyNumberFormat="1" applyFont="1" applyFill="1" applyBorder="1" applyAlignment="1">
      <alignment horizontal="center" vertical="center"/>
    </xf>
    <xf numFmtId="9" fontId="9" fillId="3" borderId="1" xfId="2" applyFont="1" applyFill="1" applyBorder="1" applyAlignment="1">
      <alignment horizontal="center" vertical="center"/>
    </xf>
    <xf numFmtId="225" fontId="9" fillId="0" borderId="0" xfId="0" applyNumberFormat="1" applyFont="1" applyAlignment="1">
      <alignment horizontal="center"/>
    </xf>
    <xf numFmtId="0" fontId="6" fillId="18" borderId="0" xfId="0" applyFont="1" applyFill="1"/>
    <xf numFmtId="4" fontId="8" fillId="50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67" fontId="9" fillId="18" borderId="1" xfId="0" applyNumberFormat="1" applyFont="1" applyFill="1" applyBorder="1" applyAlignment="1">
      <alignment horizontal="center"/>
    </xf>
    <xf numFmtId="167" fontId="9" fillId="18" borderId="19" xfId="0" applyNumberFormat="1" applyFont="1" applyFill="1" applyBorder="1" applyAlignment="1">
      <alignment horizontal="center"/>
    </xf>
    <xf numFmtId="167" fontId="9" fillId="18" borderId="16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2" fontId="9" fillId="0" borderId="0" xfId="0" applyNumberFormat="1" applyFont="1" applyAlignment="1">
      <alignment horizontal="center"/>
    </xf>
    <xf numFmtId="170" fontId="9" fillId="0" borderId="0" xfId="0" applyNumberFormat="1" applyFont="1" applyAlignment="1">
      <alignment horizontal="center"/>
    </xf>
    <xf numFmtId="10" fontId="9" fillId="0" borderId="0" xfId="2" applyNumberFormat="1" applyFont="1" applyAlignment="1">
      <alignment horizontal="left" vertical="center"/>
    </xf>
    <xf numFmtId="170" fontId="9" fillId="0" borderId="0" xfId="0" applyNumberFormat="1" applyFont="1" applyAlignment="1">
      <alignment horizontal="center" vertical="center"/>
    </xf>
    <xf numFmtId="0" fontId="55" fillId="18" borderId="1" xfId="0" applyFont="1" applyFill="1" applyBorder="1" applyAlignment="1">
      <alignment horizontal="left" vertical="center" indent="1"/>
    </xf>
    <xf numFmtId="0" fontId="55" fillId="18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left" vertical="center" indent="1"/>
    </xf>
    <xf numFmtId="0" fontId="56" fillId="0" borderId="1" xfId="0" applyFont="1" applyBorder="1" applyAlignment="1">
      <alignment horizontal="center" vertical="center"/>
    </xf>
    <xf numFmtId="173" fontId="9" fillId="13" borderId="0" xfId="0" applyNumberFormat="1" applyFont="1" applyFill="1" applyAlignment="1">
      <alignment vertical="center"/>
    </xf>
    <xf numFmtId="0" fontId="6" fillId="13" borderId="1" xfId="0" applyFont="1" applyFill="1" applyBorder="1" applyAlignment="1">
      <alignment horizontal="center"/>
    </xf>
    <xf numFmtId="1" fontId="6" fillId="13" borderId="0" xfId="0" applyNumberFormat="1" applyFont="1" applyFill="1" applyAlignment="1">
      <alignment horizontal="center"/>
    </xf>
    <xf numFmtId="188" fontId="9" fillId="50" borderId="1" xfId="1" applyNumberFormat="1" applyFont="1" applyFill="1" applyBorder="1" applyAlignment="1">
      <alignment horizontal="center" vertical="center"/>
    </xf>
    <xf numFmtId="188" fontId="18" fillId="65" borderId="17" xfId="1" applyNumberFormat="1" applyFont="1" applyFill="1" applyBorder="1" applyAlignment="1">
      <alignment horizontal="center" vertical="center"/>
    </xf>
    <xf numFmtId="188" fontId="21" fillId="65" borderId="1" xfId="1" applyNumberFormat="1" applyFont="1" applyFill="1" applyBorder="1" applyAlignment="1">
      <alignment horizontal="center" vertical="center"/>
    </xf>
    <xf numFmtId="0" fontId="18" fillId="9" borderId="3" xfId="0" applyFont="1" applyFill="1" applyBorder="1" applyAlignment="1">
      <alignment horizontal="center" vertical="center"/>
    </xf>
    <xf numFmtId="9" fontId="9" fillId="9" borderId="1" xfId="0" applyNumberFormat="1" applyFont="1" applyFill="1" applyBorder="1" applyAlignment="1">
      <alignment horizontal="center" vertical="center"/>
    </xf>
    <xf numFmtId="203" fontId="22" fillId="3" borderId="1" xfId="0" applyNumberFormat="1" applyFont="1" applyFill="1" applyBorder="1" applyAlignment="1">
      <alignment horizontal="center" vertical="center"/>
    </xf>
    <xf numFmtId="1" fontId="47" fillId="0" borderId="0" xfId="0" applyNumberFormat="1" applyFont="1"/>
    <xf numFmtId="0" fontId="47" fillId="0" borderId="0" xfId="0" applyFont="1" applyAlignment="1">
      <alignment horizontal="center"/>
    </xf>
    <xf numFmtId="9" fontId="48" fillId="6" borderId="0" xfId="0" applyNumberFormat="1" applyFont="1" applyFill="1" applyAlignment="1">
      <alignment horizontal="center"/>
    </xf>
    <xf numFmtId="9" fontId="48" fillId="0" borderId="0" xfId="0" applyNumberFormat="1" applyFont="1" applyAlignment="1">
      <alignment horizontal="center"/>
    </xf>
    <xf numFmtId="9" fontId="47" fillId="6" borderId="1" xfId="0" applyNumberFormat="1" applyFont="1" applyFill="1" applyBorder="1" applyAlignment="1">
      <alignment horizontal="center"/>
    </xf>
    <xf numFmtId="167" fontId="47" fillId="0" borderId="0" xfId="2" applyNumberFormat="1" applyFont="1"/>
    <xf numFmtId="0" fontId="47" fillId="6" borderId="0" xfId="0" applyFont="1" applyFill="1" applyAlignment="1">
      <alignment horizontal="center"/>
    </xf>
    <xf numFmtId="0" fontId="48" fillId="0" borderId="1" xfId="0" applyFont="1" applyBorder="1" applyAlignment="1">
      <alignment horizontal="center"/>
    </xf>
    <xf numFmtId="9" fontId="48" fillId="6" borderId="1" xfId="0" applyNumberFormat="1" applyFont="1" applyFill="1" applyBorder="1" applyAlignment="1">
      <alignment horizontal="center" vertical="center"/>
    </xf>
    <xf numFmtId="167" fontId="48" fillId="6" borderId="1" xfId="0" applyNumberFormat="1" applyFont="1" applyFill="1" applyBorder="1" applyAlignment="1">
      <alignment horizontal="center" vertical="center"/>
    </xf>
    <xf numFmtId="210" fontId="58" fillId="6" borderId="1" xfId="27" applyNumberFormat="1" applyFont="1" applyFill="1" applyBorder="1" applyAlignment="1">
      <alignment horizontal="center" vertical="center" wrapText="1"/>
    </xf>
    <xf numFmtId="4" fontId="59" fillId="6" borderId="1" xfId="0" applyNumberFormat="1" applyFont="1" applyFill="1" applyBorder="1" applyAlignment="1">
      <alignment horizontal="center" vertical="center"/>
    </xf>
    <xf numFmtId="167" fontId="59" fillId="6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55" borderId="1" xfId="0" applyFont="1" applyFill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194" fontId="60" fillId="0" borderId="1" xfId="30" applyNumberFormat="1" applyFont="1" applyFill="1" applyBorder="1" applyAlignment="1">
      <alignment horizontal="center" vertical="center" wrapText="1"/>
    </xf>
    <xf numFmtId="194" fontId="60" fillId="0" borderId="1" xfId="27" applyNumberFormat="1" applyFont="1" applyFill="1" applyBorder="1" applyAlignment="1">
      <alignment horizontal="center" vertical="center" wrapText="1"/>
    </xf>
    <xf numFmtId="194" fontId="60" fillId="56" borderId="1" xfId="30" applyNumberFormat="1" applyFont="1" applyFill="1" applyBorder="1" applyAlignment="1">
      <alignment horizontal="center" vertical="center" wrapText="1"/>
    </xf>
    <xf numFmtId="194" fontId="60" fillId="13" borderId="1" xfId="30" applyNumberFormat="1" applyFont="1" applyFill="1" applyBorder="1" applyAlignment="1">
      <alignment horizontal="center" vertical="center" wrapText="1"/>
    </xf>
    <xf numFmtId="0" fontId="61" fillId="0" borderId="0" xfId="0" applyFont="1" applyAlignment="1">
      <alignment horizontal="left"/>
    </xf>
    <xf numFmtId="0" fontId="47" fillId="0" borderId="1" xfId="0" applyFont="1" applyBorder="1" applyAlignment="1">
      <alignment horizontal="left" indent="1"/>
    </xf>
    <xf numFmtId="210" fontId="58" fillId="0" borderId="1" xfId="30" applyNumberFormat="1" applyFont="1" applyFill="1" applyBorder="1" applyAlignment="1">
      <alignment horizontal="center" vertical="center" wrapText="1"/>
    </xf>
    <xf numFmtId="210" fontId="58" fillId="0" borderId="1" xfId="27" applyNumberFormat="1" applyFont="1" applyFill="1" applyBorder="1" applyAlignment="1">
      <alignment horizontal="center" vertical="center" wrapText="1"/>
    </xf>
    <xf numFmtId="210" fontId="47" fillId="0" borderId="1" xfId="0" applyNumberFormat="1" applyFont="1" applyBorder="1" applyAlignment="1">
      <alignment horizontal="center"/>
    </xf>
    <xf numFmtId="210" fontId="48" fillId="13" borderId="1" xfId="0" applyNumberFormat="1" applyFont="1" applyFill="1" applyBorder="1" applyAlignment="1">
      <alignment horizontal="center"/>
    </xf>
    <xf numFmtId="167" fontId="60" fillId="55" borderId="1" xfId="30" applyNumberFormat="1" applyFont="1" applyFill="1" applyBorder="1" applyAlignment="1">
      <alignment horizontal="center" vertical="center" wrapText="1"/>
    </xf>
    <xf numFmtId="210" fontId="47" fillId="0" borderId="0" xfId="0" applyNumberFormat="1" applyFont="1"/>
    <xf numFmtId="210" fontId="47" fillId="6" borderId="1" xfId="0" applyNumberFormat="1" applyFont="1" applyFill="1" applyBorder="1" applyAlignment="1">
      <alignment horizontal="center"/>
    </xf>
    <xf numFmtId="0" fontId="47" fillId="6" borderId="0" xfId="0" applyFont="1" applyFill="1"/>
    <xf numFmtId="210" fontId="47" fillId="13" borderId="1" xfId="0" applyNumberFormat="1" applyFont="1" applyFill="1" applyBorder="1" applyAlignment="1">
      <alignment horizontal="center"/>
    </xf>
    <xf numFmtId="210" fontId="47" fillId="3" borderId="1" xfId="0" applyNumberFormat="1" applyFont="1" applyFill="1" applyBorder="1" applyAlignment="1">
      <alignment horizontal="center"/>
    </xf>
    <xf numFmtId="0" fontId="63" fillId="0" borderId="0" xfId="0" applyFont="1"/>
    <xf numFmtId="177" fontId="63" fillId="0" borderId="0" xfId="0" applyNumberFormat="1" applyFont="1"/>
    <xf numFmtId="0" fontId="60" fillId="55" borderId="1" xfId="30" applyNumberFormat="1" applyFont="1" applyFill="1" applyBorder="1" applyAlignment="1">
      <alignment horizontal="center" vertical="center" wrapText="1"/>
    </xf>
    <xf numFmtId="210" fontId="47" fillId="0" borderId="0" xfId="0" applyNumberFormat="1" applyFont="1" applyAlignment="1">
      <alignment horizontal="center"/>
    </xf>
    <xf numFmtId="194" fontId="63" fillId="0" borderId="0" xfId="0" applyNumberFormat="1" applyFont="1"/>
    <xf numFmtId="9" fontId="47" fillId="0" borderId="0" xfId="0" applyNumberFormat="1" applyFont="1" applyAlignment="1">
      <alignment horizontal="center" vertical="center"/>
    </xf>
    <xf numFmtId="226" fontId="47" fillId="0" borderId="0" xfId="0" applyNumberFormat="1" applyFont="1" applyAlignment="1">
      <alignment horizontal="center"/>
    </xf>
    <xf numFmtId="177" fontId="47" fillId="0" borderId="0" xfId="0" applyNumberFormat="1" applyFont="1"/>
    <xf numFmtId="0" fontId="48" fillId="0" borderId="1" xfId="0" applyFont="1" applyBorder="1"/>
    <xf numFmtId="0" fontId="47" fillId="0" borderId="1" xfId="0" applyFont="1" applyBorder="1" applyAlignment="1">
      <alignment horizontal="center" wrapText="1"/>
    </xf>
    <xf numFmtId="3" fontId="47" fillId="0" borderId="0" xfId="0" applyNumberFormat="1" applyFont="1" applyAlignment="1">
      <alignment horizontal="center"/>
    </xf>
    <xf numFmtId="0" fontId="47" fillId="0" borderId="1" xfId="0" applyFont="1" applyBorder="1" applyAlignment="1">
      <alignment horizontal="center"/>
    </xf>
    <xf numFmtId="0" fontId="47" fillId="0" borderId="1" xfId="0" applyFont="1" applyBorder="1"/>
    <xf numFmtId="16" fontId="47" fillId="0" borderId="1" xfId="0" applyNumberFormat="1" applyFont="1" applyBorder="1"/>
    <xf numFmtId="210" fontId="58" fillId="3" borderId="1" xfId="30" applyNumberFormat="1" applyFont="1" applyFill="1" applyBorder="1" applyAlignment="1">
      <alignment horizontal="center" vertical="center" wrapText="1"/>
    </xf>
    <xf numFmtId="212" fontId="0" fillId="3" borderId="1" xfId="0" applyNumberFormat="1" applyFill="1" applyBorder="1" applyAlignment="1">
      <alignment horizontal="center" vertical="center"/>
    </xf>
    <xf numFmtId="201" fontId="9" fillId="3" borderId="1" xfId="30" applyNumberFormat="1" applyFont="1" applyFill="1" applyBorder="1" applyAlignment="1">
      <alignment horizontal="center" vertical="center"/>
    </xf>
    <xf numFmtId="207" fontId="0" fillId="3" borderId="1" xfId="0" applyNumberFormat="1" applyFill="1" applyBorder="1" applyAlignment="1">
      <alignment horizontal="center" vertical="center"/>
    </xf>
    <xf numFmtId="208" fontId="0" fillId="3" borderId="1" xfId="0" applyNumberFormat="1" applyFill="1" applyBorder="1" applyAlignment="1">
      <alignment horizontal="center" vertical="center"/>
    </xf>
    <xf numFmtId="202" fontId="0" fillId="3" borderId="1" xfId="0" applyNumberFormat="1" applyFill="1" applyBorder="1" applyAlignment="1">
      <alignment horizontal="center" vertical="center"/>
    </xf>
    <xf numFmtId="195" fontId="0" fillId="0" borderId="0" xfId="0" applyNumberFormat="1"/>
    <xf numFmtId="208" fontId="20" fillId="0" borderId="1" xfId="0" applyNumberFormat="1" applyFont="1" applyBorder="1" applyAlignment="1">
      <alignment horizontal="center" vertical="center"/>
    </xf>
    <xf numFmtId="210" fontId="22" fillId="28" borderId="1" xfId="0" applyNumberFormat="1" applyFont="1" applyFill="1" applyBorder="1" applyAlignment="1">
      <alignment horizontal="center"/>
    </xf>
    <xf numFmtId="210" fontId="58" fillId="18" borderId="1" xfId="30" applyNumberFormat="1" applyFont="1" applyFill="1" applyBorder="1" applyAlignment="1">
      <alignment horizontal="center" vertical="center" wrapText="1"/>
    </xf>
    <xf numFmtId="9" fontId="0" fillId="18" borderId="1" xfId="0" applyNumberFormat="1" applyFill="1" applyBorder="1" applyAlignment="1">
      <alignment horizontal="center" vertical="center"/>
    </xf>
    <xf numFmtId="0" fontId="27" fillId="0" borderId="0" xfId="0" applyFont="1"/>
    <xf numFmtId="210" fontId="22" fillId="18" borderId="1" xfId="0" applyNumberFormat="1" applyFont="1" applyFill="1" applyBorder="1" applyAlignment="1">
      <alignment horizontal="center"/>
    </xf>
    <xf numFmtId="226" fontId="22" fillId="0" borderId="0" xfId="0" applyNumberFormat="1" applyFont="1"/>
    <xf numFmtId="0" fontId="65" fillId="0" borderId="0" xfId="0" applyFont="1"/>
    <xf numFmtId="0" fontId="29" fillId="0" borderId="1" xfId="0" applyFont="1" applyBorder="1"/>
    <xf numFmtId="227" fontId="29" fillId="0" borderId="1" xfId="0" applyNumberFormat="1" applyFont="1" applyBorder="1"/>
    <xf numFmtId="0" fontId="0" fillId="0" borderId="1" xfId="0" applyBorder="1"/>
    <xf numFmtId="227" fontId="29" fillId="0" borderId="1" xfId="0" applyNumberFormat="1" applyFont="1" applyBorder="1" applyAlignment="1">
      <alignment horizontal="right"/>
    </xf>
    <xf numFmtId="227" fontId="0" fillId="0" borderId="1" xfId="0" applyNumberFormat="1" applyBorder="1"/>
    <xf numFmtId="227" fontId="0" fillId="0" borderId="0" xfId="0" applyNumberFormat="1"/>
    <xf numFmtId="207" fontId="64" fillId="65" borderId="1" xfId="0" applyNumberFormat="1" applyFont="1" applyFill="1" applyBorder="1" applyAlignment="1">
      <alignment horizontal="center" vertical="center"/>
    </xf>
    <xf numFmtId="170" fontId="9" fillId="28" borderId="17" xfId="0" applyNumberFormat="1" applyFont="1" applyFill="1" applyBorder="1" applyAlignment="1">
      <alignment horizontal="center"/>
    </xf>
    <xf numFmtId="170" fontId="9" fillId="28" borderId="1" xfId="0" applyNumberFormat="1" applyFont="1" applyFill="1" applyBorder="1" applyAlignment="1">
      <alignment horizontal="center"/>
    </xf>
    <xf numFmtId="172" fontId="8" fillId="28" borderId="34" xfId="1" applyNumberFormat="1" applyFont="1" applyFill="1" applyBorder="1" applyAlignment="1">
      <alignment horizontal="center" vertical="center"/>
    </xf>
    <xf numFmtId="4" fontId="8" fillId="28" borderId="6" xfId="1" applyNumberFormat="1" applyFont="1" applyFill="1" applyBorder="1" applyAlignment="1">
      <alignment horizontal="center" vertical="center"/>
    </xf>
    <xf numFmtId="0" fontId="9" fillId="66" borderId="1" xfId="0" applyFont="1" applyFill="1" applyBorder="1" applyAlignment="1">
      <alignment horizontal="center"/>
    </xf>
    <xf numFmtId="172" fontId="9" fillId="66" borderId="1" xfId="0" applyNumberFormat="1" applyFont="1" applyFill="1" applyBorder="1" applyAlignment="1">
      <alignment horizontal="center"/>
    </xf>
    <xf numFmtId="228" fontId="9" fillId="0" borderId="0" xfId="0" applyNumberFormat="1" applyFont="1" applyAlignment="1">
      <alignment horizontal="center"/>
    </xf>
    <xf numFmtId="0" fontId="66" fillId="0" borderId="0" xfId="0" applyFont="1"/>
    <xf numFmtId="0" fontId="66" fillId="0" borderId="0" xfId="0" applyFont="1" applyAlignment="1">
      <alignment horizontal="left" indent="1"/>
    </xf>
    <xf numFmtId="6" fontId="9" fillId="27" borderId="1" xfId="30" applyNumberFormat="1" applyFont="1" applyFill="1" applyBorder="1" applyAlignment="1">
      <alignment horizontal="center" vertical="center"/>
    </xf>
    <xf numFmtId="229" fontId="9" fillId="27" borderId="1" xfId="0" applyNumberFormat="1" applyFont="1" applyFill="1" applyBorder="1" applyAlignment="1">
      <alignment horizontal="center" vertical="center"/>
    </xf>
    <xf numFmtId="9" fontId="9" fillId="18" borderId="1" xfId="0" applyNumberFormat="1" applyFont="1" applyFill="1" applyBorder="1" applyAlignment="1">
      <alignment horizontal="center"/>
    </xf>
    <xf numFmtId="230" fontId="0" fillId="0" borderId="0" xfId="0" applyNumberFormat="1" applyAlignment="1">
      <alignment horizontal="center" vertical="center"/>
    </xf>
    <xf numFmtId="10" fontId="9" fillId="3" borderId="0" xfId="2" applyNumberFormat="1" applyFont="1" applyFill="1" applyAlignment="1">
      <alignment horizontal="left" vertical="center"/>
    </xf>
    <xf numFmtId="190" fontId="0" fillId="3" borderId="1" xfId="0" applyNumberFormat="1" applyFill="1" applyBorder="1" applyAlignment="1">
      <alignment horizontal="center" vertical="center"/>
    </xf>
    <xf numFmtId="9" fontId="22" fillId="3" borderId="1" xfId="0" applyNumberFormat="1" applyFont="1" applyFill="1" applyBorder="1" applyAlignment="1">
      <alignment horizontal="center" vertical="center"/>
    </xf>
    <xf numFmtId="207" fontId="29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0" fontId="32" fillId="65" borderId="1" xfId="0" applyFont="1" applyFill="1" applyBorder="1" applyAlignment="1">
      <alignment horizontal="center" vertical="center" wrapText="1"/>
    </xf>
    <xf numFmtId="206" fontId="9" fillId="0" borderId="0" xfId="0" applyNumberFormat="1" applyFont="1" applyAlignment="1">
      <alignment horizontal="center"/>
    </xf>
    <xf numFmtId="0" fontId="6" fillId="18" borderId="1" xfId="0" applyFont="1" applyFill="1" applyBorder="1" applyAlignment="1">
      <alignment horizontal="left" vertical="center" indent="1"/>
    </xf>
    <xf numFmtId="181" fontId="6" fillId="18" borderId="1" xfId="0" applyNumberFormat="1" applyFont="1" applyFill="1" applyBorder="1" applyAlignment="1">
      <alignment horizontal="center" vertical="center"/>
    </xf>
    <xf numFmtId="231" fontId="9" fillId="0" borderId="1" xfId="0" applyNumberFormat="1" applyFont="1" applyBorder="1" applyAlignment="1">
      <alignment horizontal="center" vertical="top" wrapText="1"/>
    </xf>
    <xf numFmtId="0" fontId="67" fillId="14" borderId="1" xfId="0" applyFont="1" applyFill="1" applyBorder="1" applyAlignment="1">
      <alignment horizontal="center" vertical="center" wrapText="1"/>
    </xf>
    <xf numFmtId="0" fontId="68" fillId="65" borderId="0" xfId="0" applyFont="1" applyFill="1" applyAlignment="1">
      <alignment horizontal="center"/>
    </xf>
    <xf numFmtId="211" fontId="47" fillId="3" borderId="126" xfId="0" applyNumberFormat="1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center" vertical="center"/>
    </xf>
    <xf numFmtId="174" fontId="49" fillId="44" borderId="0" xfId="0" applyNumberFormat="1" applyFont="1" applyFill="1" applyAlignment="1">
      <alignment horizontal="center" vertical="center"/>
    </xf>
    <xf numFmtId="0" fontId="50" fillId="63" borderId="0" xfId="0" applyFont="1" applyFill="1" applyAlignment="1">
      <alignment horizontal="center" vertical="center"/>
    </xf>
    <xf numFmtId="0" fontId="21" fillId="20" borderId="15" xfId="0" applyFont="1" applyFill="1" applyBorder="1" applyAlignment="1">
      <alignment horizontal="center" vertical="center"/>
    </xf>
    <xf numFmtId="0" fontId="21" fillId="20" borderId="26" xfId="0" applyFont="1" applyFill="1" applyBorder="1" applyAlignment="1">
      <alignment horizontal="center" vertical="center"/>
    </xf>
    <xf numFmtId="0" fontId="21" fillId="20" borderId="50" xfId="0" applyFont="1" applyFill="1" applyBorder="1" applyAlignment="1">
      <alignment horizontal="center" vertical="center"/>
    </xf>
    <xf numFmtId="0" fontId="6" fillId="28" borderId="30" xfId="0" applyFont="1" applyFill="1" applyBorder="1" applyAlignment="1">
      <alignment horizontal="center" vertical="center"/>
    </xf>
    <xf numFmtId="0" fontId="6" fillId="28" borderId="31" xfId="0" applyFont="1" applyFill="1" applyBorder="1" applyAlignment="1">
      <alignment horizontal="center" vertical="center"/>
    </xf>
    <xf numFmtId="0" fontId="6" fillId="28" borderId="45" xfId="0" applyFont="1" applyFill="1" applyBorder="1" applyAlignment="1">
      <alignment horizontal="center" vertical="center"/>
    </xf>
    <xf numFmtId="0" fontId="6" fillId="28" borderId="14" xfId="0" applyFont="1" applyFill="1" applyBorder="1" applyAlignment="1">
      <alignment horizontal="center" vertical="center"/>
    </xf>
    <xf numFmtId="0" fontId="6" fillId="28" borderId="51" xfId="0" applyFont="1" applyFill="1" applyBorder="1" applyAlignment="1">
      <alignment horizontal="center" vertical="center"/>
    </xf>
    <xf numFmtId="0" fontId="6" fillId="0" borderId="74" xfId="0" applyFont="1" applyBorder="1" applyAlignment="1">
      <alignment horizontal="center"/>
    </xf>
    <xf numFmtId="0" fontId="6" fillId="0" borderId="75" xfId="0" applyFont="1" applyBorder="1" applyAlignment="1">
      <alignment horizontal="center"/>
    </xf>
    <xf numFmtId="0" fontId="6" fillId="0" borderId="76" xfId="0" applyFont="1" applyBorder="1" applyAlignment="1">
      <alignment horizontal="center"/>
    </xf>
    <xf numFmtId="0" fontId="29" fillId="51" borderId="21" xfId="0" applyFont="1" applyFill="1" applyBorder="1" applyAlignment="1">
      <alignment horizontal="center" vertical="center"/>
    </xf>
    <xf numFmtId="0" fontId="29" fillId="51" borderId="42" xfId="0" applyFont="1" applyFill="1" applyBorder="1" applyAlignment="1">
      <alignment horizontal="center" vertical="center"/>
    </xf>
    <xf numFmtId="0" fontId="29" fillId="51" borderId="1" xfId="0" applyFont="1" applyFill="1" applyBorder="1" applyAlignment="1">
      <alignment horizontal="left" vertical="center" indent="1"/>
    </xf>
    <xf numFmtId="0" fontId="29" fillId="51" borderId="1" xfId="0" applyFont="1" applyFill="1" applyBorder="1" applyAlignment="1">
      <alignment horizontal="center" vertical="center" wrapText="1"/>
    </xf>
    <xf numFmtId="0" fontId="38" fillId="14" borderId="21" xfId="0" applyFont="1" applyFill="1" applyBorder="1" applyAlignment="1">
      <alignment horizontal="center" vertical="center" wrapText="1"/>
    </xf>
    <xf numFmtId="0" fontId="38" fillId="14" borderId="42" xfId="0" applyFont="1" applyFill="1" applyBorder="1" applyAlignment="1">
      <alignment horizontal="center" vertical="center" wrapText="1"/>
    </xf>
    <xf numFmtId="0" fontId="27" fillId="16" borderId="1" xfId="0" applyFont="1" applyFill="1" applyBorder="1" applyAlignment="1">
      <alignment horizontal="center"/>
    </xf>
    <xf numFmtId="0" fontId="27" fillId="16" borderId="1" xfId="0" applyFont="1" applyFill="1" applyBorder="1" applyAlignment="1">
      <alignment horizontal="center" wrapText="1"/>
    </xf>
    <xf numFmtId="0" fontId="38" fillId="14" borderId="33" xfId="0" applyFont="1" applyFill="1" applyBorder="1" applyAlignment="1">
      <alignment horizontal="center" vertical="center" wrapText="1"/>
    </xf>
    <xf numFmtId="0" fontId="48" fillId="16" borderId="21" xfId="0" applyFont="1" applyFill="1" applyBorder="1" applyAlignment="1">
      <alignment horizontal="center"/>
    </xf>
    <xf numFmtId="0" fontId="48" fillId="16" borderId="42" xfId="0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 wrapText="1"/>
    </xf>
    <xf numFmtId="0" fontId="48" fillId="0" borderId="5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58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 wrapText="1"/>
    </xf>
    <xf numFmtId="0" fontId="48" fillId="0" borderId="45" xfId="0" applyFont="1" applyBorder="1" applyAlignment="1">
      <alignment horizontal="center" vertical="center" wrapText="1"/>
    </xf>
    <xf numFmtId="0" fontId="62" fillId="27" borderId="1" xfId="0" applyFont="1" applyFill="1" applyBorder="1" applyAlignment="1">
      <alignment horizontal="center" vertical="center" textRotation="255"/>
    </xf>
    <xf numFmtId="0" fontId="48" fillId="27" borderId="1" xfId="0" applyFont="1" applyFill="1" applyBorder="1" applyAlignment="1">
      <alignment horizontal="center" vertical="center" textRotation="255"/>
    </xf>
    <xf numFmtId="0" fontId="48" fillId="0" borderId="21" xfId="0" applyFont="1" applyBorder="1" applyAlignment="1">
      <alignment horizontal="center" vertical="center" wrapText="1"/>
    </xf>
    <xf numFmtId="0" fontId="48" fillId="0" borderId="42" xfId="0" applyFont="1" applyBorder="1" applyAlignment="1">
      <alignment horizontal="center" vertical="center" wrapText="1"/>
    </xf>
    <xf numFmtId="0" fontId="6" fillId="51" borderId="21" xfId="0" applyFont="1" applyFill="1" applyBorder="1" applyAlignment="1">
      <alignment horizontal="center" vertical="center"/>
    </xf>
    <xf numFmtId="0" fontId="6" fillId="51" borderId="42" xfId="0" applyFont="1" applyFill="1" applyBorder="1" applyAlignment="1">
      <alignment horizontal="center" vertical="center"/>
    </xf>
    <xf numFmtId="0" fontId="6" fillId="51" borderId="1" xfId="0" applyFont="1" applyFill="1" applyBorder="1" applyAlignment="1">
      <alignment horizontal="left" vertical="center" indent="1"/>
    </xf>
    <xf numFmtId="0" fontId="6" fillId="51" borderId="1" xfId="0" applyFont="1" applyFill="1" applyBorder="1" applyAlignment="1">
      <alignment horizontal="center" vertical="center" wrapText="1"/>
    </xf>
    <xf numFmtId="0" fontId="9" fillId="0" borderId="128" xfId="0" applyFont="1" applyBorder="1" applyAlignment="1">
      <alignment horizontal="center" vertical="center"/>
    </xf>
    <xf numFmtId="0" fontId="9" fillId="0" borderId="129" xfId="0" applyFont="1" applyBorder="1" applyAlignment="1">
      <alignment horizontal="center" vertical="center"/>
    </xf>
    <xf numFmtId="0" fontId="48" fillId="51" borderId="1" xfId="0" applyFont="1" applyFill="1" applyBorder="1" applyAlignment="1">
      <alignment horizontal="center" vertical="center" wrapText="1"/>
    </xf>
    <xf numFmtId="3" fontId="43" fillId="44" borderId="1" xfId="0" applyNumberFormat="1" applyFont="1" applyFill="1" applyBorder="1" applyAlignment="1">
      <alignment horizontal="center" vertical="center"/>
    </xf>
    <xf numFmtId="0" fontId="18" fillId="57" borderId="21" xfId="0" applyFont="1" applyFill="1" applyBorder="1" applyAlignment="1">
      <alignment horizontal="center" vertical="center"/>
    </xf>
    <xf numFmtId="0" fontId="18" fillId="57" borderId="3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4" fillId="3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8" fontId="9" fillId="0" borderId="4" xfId="27" applyNumberFormat="1" applyFont="1" applyFill="1" applyBorder="1" applyAlignment="1">
      <alignment horizontal="center" vertical="center"/>
    </xf>
    <xf numFmtId="8" fontId="9" fillId="0" borderId="6" xfId="27" applyNumberFormat="1" applyFont="1" applyFill="1" applyBorder="1" applyAlignment="1">
      <alignment horizontal="center" vertical="center"/>
    </xf>
    <xf numFmtId="8" fontId="9" fillId="0" borderId="3" xfId="27" applyNumberFormat="1" applyFont="1" applyFill="1" applyBorder="1" applyAlignment="1">
      <alignment horizontal="center" vertical="center"/>
    </xf>
    <xf numFmtId="8" fontId="0" fillId="3" borderId="4" xfId="0" applyNumberFormat="1" applyFill="1" applyBorder="1" applyAlignment="1">
      <alignment horizontal="center" vertical="center"/>
    </xf>
    <xf numFmtId="8" fontId="0" fillId="3" borderId="6" xfId="0" applyNumberFormat="1" applyFill="1" applyBorder="1" applyAlignment="1">
      <alignment horizontal="center" vertical="center"/>
    </xf>
    <xf numFmtId="8" fontId="0" fillId="3" borderId="3" xfId="0" applyNumberForma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0" borderId="4" xfId="0" applyFont="1" applyFill="1" applyBorder="1" applyAlignment="1">
      <alignment horizontal="center" vertical="center" wrapText="1"/>
    </xf>
    <xf numFmtId="0" fontId="6" fillId="30" borderId="6" xfId="0" applyFont="1" applyFill="1" applyBorder="1" applyAlignment="1">
      <alignment horizontal="center" vertical="center" wrapText="1"/>
    </xf>
    <xf numFmtId="0" fontId="6" fillId="30" borderId="4" xfId="0" applyFont="1" applyFill="1" applyBorder="1" applyAlignment="1">
      <alignment horizontal="center" vertical="center"/>
    </xf>
    <xf numFmtId="0" fontId="6" fillId="30" borderId="6" xfId="0" applyFont="1" applyFill="1" applyBorder="1" applyAlignment="1">
      <alignment horizontal="center" vertical="center"/>
    </xf>
    <xf numFmtId="0" fontId="6" fillId="30" borderId="3" xfId="0" applyFont="1" applyFill="1" applyBorder="1" applyAlignment="1">
      <alignment horizontal="center" vertical="center"/>
    </xf>
    <xf numFmtId="0" fontId="15" fillId="30" borderId="4" xfId="0" applyFont="1" applyFill="1" applyBorder="1" applyAlignment="1">
      <alignment horizontal="center" vertical="center"/>
    </xf>
    <xf numFmtId="0" fontId="15" fillId="30" borderId="6" xfId="0" applyFont="1" applyFill="1" applyBorder="1" applyAlignment="1">
      <alignment horizontal="center" vertical="center"/>
    </xf>
    <xf numFmtId="0" fontId="15" fillId="30" borderId="3" xfId="0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horizontal="center" vertical="center"/>
    </xf>
    <xf numFmtId="172" fontId="9" fillId="50" borderId="1" xfId="0" applyNumberFormat="1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left" vertical="center" indent="1"/>
    </xf>
    <xf numFmtId="6" fontId="9" fillId="50" borderId="1" xfId="0" applyNumberFormat="1" applyFont="1" applyFill="1" applyBorder="1" applyAlignment="1">
      <alignment horizontal="left" vertical="center" indent="1"/>
    </xf>
    <xf numFmtId="2" fontId="9" fillId="0" borderId="1" xfId="0" applyNumberFormat="1" applyFont="1" applyBorder="1" applyAlignment="1">
      <alignment horizontal="center"/>
    </xf>
    <xf numFmtId="3" fontId="15" fillId="50" borderId="17" xfId="7" applyNumberFormat="1" applyFont="1" applyFill="1" applyBorder="1" applyAlignment="1">
      <alignment horizontal="center" vertical="center"/>
    </xf>
    <xf numFmtId="39" fontId="10" fillId="0" borderId="35" xfId="0" applyNumberFormat="1" applyFont="1" applyBorder="1" applyAlignment="1">
      <alignment horizontal="center" vertical="center"/>
    </xf>
    <xf numFmtId="39" fontId="10" fillId="0" borderId="4" xfId="0" applyNumberFormat="1" applyFont="1" applyBorder="1" applyAlignment="1">
      <alignment horizontal="center" vertical="center"/>
    </xf>
    <xf numFmtId="39" fontId="10" fillId="0" borderId="34" xfId="0" applyNumberFormat="1" applyFont="1" applyBorder="1" applyAlignment="1">
      <alignment horizontal="center" vertical="center"/>
    </xf>
    <xf numFmtId="39" fontId="10" fillId="0" borderId="6" xfId="0" applyNumberFormat="1" applyFont="1" applyBorder="1" applyAlignment="1">
      <alignment horizontal="center" vertical="center"/>
    </xf>
    <xf numFmtId="39" fontId="10" fillId="18" borderId="34" xfId="0" applyNumberFormat="1" applyFont="1" applyFill="1" applyBorder="1" applyAlignment="1">
      <alignment horizontal="center" vertical="center"/>
    </xf>
    <xf numFmtId="39" fontId="10" fillId="18" borderId="6" xfId="0" applyNumberFormat="1" applyFont="1" applyFill="1" applyBorder="1" applyAlignment="1">
      <alignment horizontal="center" vertical="center"/>
    </xf>
    <xf numFmtId="172" fontId="9" fillId="50" borderId="1" xfId="0" applyNumberFormat="1" applyFont="1" applyFill="1" applyBorder="1" applyAlignment="1" applyProtection="1">
      <alignment horizontal="center" vertical="center"/>
      <protection locked="0"/>
    </xf>
    <xf numFmtId="172" fontId="9" fillId="0" borderId="1" xfId="0" applyNumberFormat="1" applyFont="1" applyBorder="1" applyAlignment="1" applyProtection="1">
      <alignment horizontal="center" vertical="center"/>
      <protection locked="0"/>
    </xf>
  </cellXfs>
  <cellStyles count="39">
    <cellStyle name="Calculation 2" xfId="37" xr:uid="{A20281B6-3C50-4307-A86C-D534B9A5B40D}"/>
    <cellStyle name="Comma" xfId="1" builtinId="3"/>
    <cellStyle name="Comma 2" xfId="8" xr:uid="{00000000-0005-0000-0000-000001000000}"/>
    <cellStyle name="Comma 2 2" xfId="30" xr:uid="{00000000-0005-0000-0000-000002000000}"/>
    <cellStyle name="Comma 3" xfId="7" xr:uid="{00000000-0005-0000-0000-000003000000}"/>
    <cellStyle name="Comma 4" xfId="22" xr:uid="{00000000-0005-0000-0000-000004000000}"/>
    <cellStyle name="Comma 4 2" xfId="32" xr:uid="{00000000-0005-0000-0000-000005000000}"/>
    <cellStyle name="Comma 5" xfId="27" xr:uid="{00000000-0005-0000-0000-000006000000}"/>
    <cellStyle name="Currency" xfId="19" builtinId="4"/>
    <cellStyle name="Currency 2" xfId="11" xr:uid="{00000000-0005-0000-0000-000008000000}"/>
    <cellStyle name="Currency 3" xfId="12" xr:uid="{00000000-0005-0000-0000-000009000000}"/>
    <cellStyle name="Currency 3 2" xfId="31" xr:uid="{00000000-0005-0000-0000-00000A000000}"/>
    <cellStyle name="Currency 4" xfId="38" xr:uid="{7F92BB0E-572E-4AE9-9932-18B4F4132919}"/>
    <cellStyle name="Input 2" xfId="36" xr:uid="{62627C0A-936B-4917-BA5B-AAAD37C1E9B0}"/>
    <cellStyle name="Normal" xfId="0" builtinId="0"/>
    <cellStyle name="Normal 10" xfId="3" xr:uid="{00000000-0005-0000-0000-00000D000000}"/>
    <cellStyle name="Normal 12 2" xfId="33" xr:uid="{E06632AF-1B19-4E95-ACE8-233224300705}"/>
    <cellStyle name="Normal 2" xfId="16" xr:uid="{00000000-0005-0000-0000-00000E000000}"/>
    <cellStyle name="Normal 2 2" xfId="20" xr:uid="{00000000-0005-0000-0000-00000F000000}"/>
    <cellStyle name="Normal 2 2 2" xfId="34" xr:uid="{20C2B39E-D16F-4ACB-9562-A288FDEFFF11}"/>
    <cellStyle name="Normal 3" xfId="17" xr:uid="{00000000-0005-0000-0000-000010000000}"/>
    <cellStyle name="Normal 3 2" xfId="24" xr:uid="{00000000-0005-0000-0000-000011000000}"/>
    <cellStyle name="Normal 3 3" xfId="35" xr:uid="{98766564-3442-4A4D-AF39-DEDB65C5E9C3}"/>
    <cellStyle name="Normal 3_Revenue Template" xfId="9" xr:uid="{00000000-0005-0000-0000-000012000000}"/>
    <cellStyle name="Normal 4" xfId="18" xr:uid="{00000000-0005-0000-0000-000013000000}"/>
    <cellStyle name="Normal 4 2" xfId="25" xr:uid="{00000000-0005-0000-0000-000014000000}"/>
    <cellStyle name="Normal 5" xfId="21" xr:uid="{00000000-0005-0000-0000-000015000000}"/>
    <cellStyle name="Normal 5 2" xfId="26" xr:uid="{00000000-0005-0000-0000-000016000000}"/>
    <cellStyle name="Normal 6" xfId="28" xr:uid="{00000000-0005-0000-0000-000017000000}"/>
    <cellStyle name="Normal_Genband Locked Forecast Q2_FY 11-12_Post Span,Support Cost &amp; Metrics Correction_Revenue Template" xfId="6" xr:uid="{00000000-0005-0000-0000-000018000000}"/>
    <cellStyle name="Normal_Project Prof report - alternative methodology V3" xfId="5" xr:uid="{00000000-0005-0000-0000-000019000000}"/>
    <cellStyle name="Normal_Project Profitability report FY 2006 07" xfId="4" xr:uid="{00000000-0005-0000-0000-00001A000000}"/>
    <cellStyle name="Normal_Project Profitability report FY 2006 07_Foxtel Forecast P  L FY 2011 -12" xfId="15" xr:uid="{00000000-0005-0000-0000-00001B000000}"/>
    <cellStyle name="Percent" xfId="2" builtinId="5"/>
    <cellStyle name="Percent 2" xfId="13" xr:uid="{00000000-0005-0000-0000-00001D000000}"/>
    <cellStyle name="Percent 2 2" xfId="23" xr:uid="{00000000-0005-0000-0000-00001E000000}"/>
    <cellStyle name="Percent 3" xfId="14" xr:uid="{00000000-0005-0000-0000-00001F000000}"/>
    <cellStyle name="Percent 4" xfId="29" xr:uid="{00000000-0005-0000-0000-000020000000}"/>
    <cellStyle name="Style 1 2" xfId="10" xr:uid="{00000000-0005-0000-0000-000021000000}"/>
  </cellStyles>
  <dxfs count="108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  <color rgb="FF87F7FD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211667</xdr:colOff>
      <xdr:row>1</xdr:row>
      <xdr:rowOff>105833</xdr:rowOff>
    </xdr:from>
    <xdr:to>
      <xdr:col>14</xdr:col>
      <xdr:colOff>502708</xdr:colOff>
      <xdr:row>1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A42E6D-57ED-4A10-AB49-0EEA3394ADB9}"/>
            </a:ext>
          </a:extLst>
        </xdr:cNvPr>
        <xdr:cNvSpPr/>
      </xdr:nvSpPr>
      <xdr:spPr>
        <a:xfrm>
          <a:off x="13178367" y="289983"/>
          <a:ext cx="291041" cy="1799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4</xdr:row>
          <xdr:rowOff>127000</xdr:rowOff>
        </xdr:from>
        <xdr:to>
          <xdr:col>12</xdr:col>
          <xdr:colOff>793750</xdr:colOff>
          <xdr:row>6</xdr:row>
          <xdr:rowOff>6350</xdr:rowOff>
        </xdr:to>
        <xdr:sp macro="" textlink="">
          <xdr:nvSpPr>
            <xdr:cNvPr id="399363" name="Button 3" hidden="1">
              <a:extLst>
                <a:ext uri="{63B3BB69-23CF-44E3-9099-C40C66FF867C}">
                  <a14:compatExt spid="_x0000_s399363"/>
                </a:ext>
                <a:ext uri="{FF2B5EF4-FFF2-40B4-BE49-F238E27FC236}">
                  <a16:creationId xmlns:a16="http://schemas.microsoft.com/office/drawing/2014/main" id="{00000000-0008-0000-0600-0000031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Margin %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Vivekanandhan R" id="{DA93649F-E65F-4AA9-AACB-C93447350CB8}" userId="S::vivekanandhan@firstsource.com::58ede9d9-5b03-427a-ac07-67c8ef2a5f0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6" dT="2024-09-19T14:55:39.13" personId="{DA93649F-E65F-4AA9-AACB-C93447350CB8}" id="{6FDF0458-411A-415E-86AE-C5F799A4E8E9}">
    <text xml:space="preserve">Majorly Provider
</text>
  </threadedComment>
  <threadedComment ref="C37" dT="2024-09-19T14:55:25.90" personId="{DA93649F-E65F-4AA9-AACB-C93447350CB8}" id="{D2AE40DB-78B7-4208-B2F3-62F63A46EF39}">
    <text>For HC RMO/DE with VDI only</text>
  </threadedComment>
  <threadedComment ref="C40" dT="2024-09-19T14:57:40.01" personId="{DA93649F-E65F-4AA9-AACB-C93447350CB8}" id="{C837DDB3-545C-4FCA-82CC-747444BAB74B}">
    <text>Default - agents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36" dT="2024-09-19T14:55:39.13" personId="{DA93649F-E65F-4AA9-AACB-C93447350CB8}" id="{5B9255E7-7C3B-4ED3-A9D0-86A46E07A2CA}">
    <text xml:space="preserve">Majorly Provider
</text>
  </threadedComment>
  <threadedComment ref="C37" dT="2024-09-19T14:55:25.90" personId="{DA93649F-E65F-4AA9-AACB-C93447350CB8}" id="{BA0448E5-D78D-411F-B64C-9EE8470ECDA8}">
    <text>For HC RMO/DE with VDI only</text>
  </threadedComment>
  <threadedComment ref="C40" dT="2024-09-19T14:57:40.01" personId="{DA93649F-E65F-4AA9-AACB-C93447350CB8}" id="{6449C3C3-27D9-4657-8CC7-FB9B033C83AA}">
    <text>Default - agents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E1B0CA4-60E3-4AC2-8781-E547B62A438A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b71091c1-1b10-47ef-ac13-56c2e8823f9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9DF5-238B-42DD-B552-43B9B598C1CC}">
  <sheetPr codeName="Sheet1"/>
  <dimension ref="B2:V76"/>
  <sheetViews>
    <sheetView showGridLines="0" topLeftCell="G5" zoomScaleNormal="100" workbookViewId="0">
      <selection activeCell="E18" sqref="E18:Q18"/>
    </sheetView>
  </sheetViews>
  <sheetFormatPr defaultColWidth="9.1796875" defaultRowHeight="13" x14ac:dyDescent="0.3"/>
  <cols>
    <col min="1" max="1" width="2.26953125" style="1328" customWidth="1"/>
    <col min="2" max="2" width="10.1796875" style="1328" bestFit="1" customWidth="1"/>
    <col min="3" max="3" width="11.1796875" style="1328" bestFit="1" customWidth="1"/>
    <col min="4" max="4" width="66" style="1329" customWidth="1"/>
    <col min="5" max="5" width="15.453125" style="1343" bestFit="1" customWidth="1"/>
    <col min="6" max="6" width="20.54296875" style="1328" bestFit="1" customWidth="1"/>
    <col min="7" max="7" width="14.54296875" style="1328" bestFit="1" customWidth="1"/>
    <col min="8" max="9" width="12.1796875" style="1328" customWidth="1"/>
    <col min="10" max="10" width="17.54296875" style="1328" bestFit="1" customWidth="1"/>
    <col min="11" max="11" width="11.7265625" style="1328" bestFit="1" customWidth="1"/>
    <col min="12" max="12" width="10.453125" style="1328" bestFit="1" customWidth="1"/>
    <col min="13" max="13" width="19.1796875" style="1328" bestFit="1" customWidth="1"/>
    <col min="14" max="14" width="14.54296875" style="1328" bestFit="1" customWidth="1"/>
    <col min="15" max="15" width="14.81640625" style="1328" bestFit="1" customWidth="1"/>
    <col min="16" max="16" width="12.26953125" style="1328" bestFit="1" customWidth="1"/>
    <col min="17" max="17" width="14.54296875" style="1328" bestFit="1" customWidth="1"/>
    <col min="18" max="18" width="14.81640625" style="1328" bestFit="1" customWidth="1"/>
    <col min="19" max="19" width="12.26953125" style="1328" bestFit="1" customWidth="1"/>
    <col min="20" max="20" width="14.54296875" style="1328" bestFit="1" customWidth="1"/>
    <col min="21" max="21" width="14.81640625" style="1328" bestFit="1" customWidth="1"/>
    <col min="22" max="22" width="12.26953125" style="1328" bestFit="1" customWidth="1"/>
    <col min="23" max="23" width="14.54296875" style="1328" bestFit="1" customWidth="1"/>
    <col min="24" max="24" width="14.81640625" style="1328" bestFit="1" customWidth="1"/>
    <col min="25" max="25" width="16.7265625" style="1328" bestFit="1" customWidth="1"/>
    <col min="26" max="26" width="14.54296875" style="1328" bestFit="1" customWidth="1"/>
    <col min="27" max="27" width="14.81640625" style="1328" bestFit="1" customWidth="1"/>
    <col min="28" max="16384" width="9.1796875" style="1328"/>
  </cols>
  <sheetData>
    <row r="2" spans="2:13" x14ac:dyDescent="0.3">
      <c r="E2" s="1583" t="s">
        <v>595</v>
      </c>
      <c r="F2" s="1583"/>
      <c r="G2" s="1583"/>
      <c r="H2" s="1583"/>
      <c r="I2" s="1583"/>
      <c r="J2" s="1583"/>
    </row>
    <row r="3" spans="2:13" x14ac:dyDescent="0.3">
      <c r="B3" s="1330" t="s">
        <v>381</v>
      </c>
      <c r="C3" s="1330" t="s">
        <v>320</v>
      </c>
      <c r="D3" s="1330" t="s">
        <v>336</v>
      </c>
      <c r="E3" s="1330" t="s">
        <v>73</v>
      </c>
      <c r="F3" s="1330" t="s">
        <v>348</v>
      </c>
      <c r="G3" s="1330" t="s">
        <v>596</v>
      </c>
      <c r="H3" s="1330" t="s">
        <v>44</v>
      </c>
      <c r="I3" s="1330" t="s">
        <v>74</v>
      </c>
      <c r="J3" s="1330" t="s">
        <v>347</v>
      </c>
      <c r="K3" s="1331" t="s">
        <v>346</v>
      </c>
      <c r="L3" s="1331" t="s">
        <v>349</v>
      </c>
      <c r="M3" s="1331" t="s">
        <v>597</v>
      </c>
    </row>
    <row r="4" spans="2:13" x14ac:dyDescent="0.3">
      <c r="B4" s="1332" t="s">
        <v>266</v>
      </c>
      <c r="C4" s="1332" t="s">
        <v>321</v>
      </c>
      <c r="D4" s="1333" t="s">
        <v>598</v>
      </c>
      <c r="E4" s="1334" t="s">
        <v>599</v>
      </c>
      <c r="F4" s="1334" t="s">
        <v>600</v>
      </c>
      <c r="G4" s="1334" t="s">
        <v>637</v>
      </c>
      <c r="H4" s="1334" t="s">
        <v>601</v>
      </c>
      <c r="I4" s="1334" t="s">
        <v>602</v>
      </c>
      <c r="J4" s="1334" t="s">
        <v>603</v>
      </c>
      <c r="K4" s="1334"/>
      <c r="L4" s="1334"/>
      <c r="M4" s="1334"/>
    </row>
    <row r="5" spans="2:13" x14ac:dyDescent="0.3">
      <c r="B5" s="1332" t="s">
        <v>266</v>
      </c>
      <c r="C5" s="1332" t="s">
        <v>322</v>
      </c>
      <c r="D5" s="1333" t="s">
        <v>604</v>
      </c>
      <c r="E5" s="1334" t="s">
        <v>605</v>
      </c>
      <c r="F5" s="1334" t="s">
        <v>606</v>
      </c>
      <c r="G5" s="1334" t="s">
        <v>638</v>
      </c>
      <c r="H5" s="1334" t="s">
        <v>607</v>
      </c>
      <c r="I5" s="1334" t="s">
        <v>608</v>
      </c>
      <c r="J5" s="1334" t="s">
        <v>609</v>
      </c>
      <c r="K5" s="1334"/>
      <c r="L5" s="1334"/>
      <c r="M5" s="1334"/>
    </row>
    <row r="6" spans="2:13" x14ac:dyDescent="0.3">
      <c r="B6" s="1332" t="s">
        <v>266</v>
      </c>
      <c r="C6" s="1332" t="s">
        <v>323</v>
      </c>
      <c r="D6" s="1333" t="s">
        <v>610</v>
      </c>
      <c r="E6" s="1334" t="s">
        <v>611</v>
      </c>
      <c r="F6" s="1334" t="s">
        <v>612</v>
      </c>
      <c r="G6" s="1334" t="s">
        <v>639</v>
      </c>
      <c r="H6" s="1334" t="s">
        <v>613</v>
      </c>
      <c r="I6" s="1334" t="s">
        <v>614</v>
      </c>
      <c r="J6" s="1334" t="s">
        <v>615</v>
      </c>
      <c r="K6" s="1334"/>
      <c r="L6" s="1334"/>
      <c r="M6" s="1334"/>
    </row>
    <row r="7" spans="2:13" x14ac:dyDescent="0.3">
      <c r="B7" s="1332" t="s">
        <v>266</v>
      </c>
      <c r="C7" s="1332" t="s">
        <v>324</v>
      </c>
      <c r="D7" s="1333" t="s">
        <v>338</v>
      </c>
      <c r="E7" s="1334"/>
      <c r="F7" s="1334"/>
      <c r="G7" s="1334"/>
      <c r="H7" s="1334"/>
      <c r="I7" s="1334"/>
      <c r="J7" s="1334"/>
      <c r="K7" s="1334"/>
      <c r="L7" s="1334"/>
      <c r="M7" s="1334"/>
    </row>
    <row r="8" spans="2:13" x14ac:dyDescent="0.3">
      <c r="B8" s="1332" t="s">
        <v>325</v>
      </c>
      <c r="C8" s="1332" t="s">
        <v>321</v>
      </c>
      <c r="D8" s="1333" t="s">
        <v>616</v>
      </c>
      <c r="E8" s="1334" t="s">
        <v>617</v>
      </c>
      <c r="F8" s="1334" t="s">
        <v>618</v>
      </c>
      <c r="G8" s="1334" t="s">
        <v>614</v>
      </c>
      <c r="H8" s="1334" t="s">
        <v>619</v>
      </c>
      <c r="I8" s="1334" t="s">
        <v>612</v>
      </c>
      <c r="J8" s="1334" t="s">
        <v>620</v>
      </c>
      <c r="K8" s="1334"/>
      <c r="L8" s="1334"/>
      <c r="M8" s="1334"/>
    </row>
    <row r="9" spans="2:13" x14ac:dyDescent="0.3">
      <c r="B9" s="1332" t="s">
        <v>325</v>
      </c>
      <c r="C9" s="1332" t="s">
        <v>322</v>
      </c>
      <c r="D9" s="1333" t="s">
        <v>417</v>
      </c>
      <c r="E9" s="1334"/>
      <c r="F9" s="1334"/>
      <c r="G9" s="1334"/>
      <c r="H9" s="1334"/>
      <c r="I9" s="1334"/>
      <c r="J9" s="1334"/>
      <c r="K9" s="1334"/>
      <c r="L9" s="1334"/>
      <c r="M9" s="1334"/>
    </row>
    <row r="10" spans="2:13" x14ac:dyDescent="0.3">
      <c r="B10" s="1332" t="s">
        <v>326</v>
      </c>
      <c r="C10" s="1332" t="s">
        <v>321</v>
      </c>
      <c r="D10" s="1333" t="s">
        <v>418</v>
      </c>
      <c r="E10" s="1334" t="s">
        <v>621</v>
      </c>
      <c r="F10" s="1334" t="s">
        <v>605</v>
      </c>
      <c r="G10" s="1334" t="s">
        <v>637</v>
      </c>
      <c r="H10" s="1334" t="s">
        <v>622</v>
      </c>
      <c r="I10" s="1334" t="s">
        <v>623</v>
      </c>
      <c r="J10" s="1334" t="s">
        <v>624</v>
      </c>
      <c r="K10" s="1334"/>
      <c r="L10" s="1334"/>
      <c r="M10" s="1334"/>
    </row>
    <row r="11" spans="2:13" x14ac:dyDescent="0.3">
      <c r="B11" s="1332" t="s">
        <v>326</v>
      </c>
      <c r="C11" s="1332" t="s">
        <v>322</v>
      </c>
      <c r="D11" s="1333" t="s">
        <v>419</v>
      </c>
      <c r="E11" s="1334" t="s">
        <v>621</v>
      </c>
      <c r="F11" s="1334" t="s">
        <v>606</v>
      </c>
      <c r="G11" s="1334" t="s">
        <v>640</v>
      </c>
      <c r="H11" s="1334" t="s">
        <v>607</v>
      </c>
      <c r="I11" s="1334" t="s">
        <v>625</v>
      </c>
      <c r="J11" s="1334" t="s">
        <v>626</v>
      </c>
      <c r="K11" s="1334"/>
      <c r="L11" s="1334"/>
      <c r="M11" s="1334"/>
    </row>
    <row r="12" spans="2:13" ht="26" x14ac:dyDescent="0.3">
      <c r="B12" s="1332" t="s">
        <v>326</v>
      </c>
      <c r="C12" s="1332" t="s">
        <v>323</v>
      </c>
      <c r="D12" s="1333" t="s">
        <v>420</v>
      </c>
      <c r="E12" s="1334" t="s">
        <v>605</v>
      </c>
      <c r="F12" s="1334" t="s">
        <v>612</v>
      </c>
      <c r="G12" s="1334" t="s">
        <v>641</v>
      </c>
      <c r="H12" s="1334" t="s">
        <v>627</v>
      </c>
      <c r="I12" s="1334" t="s">
        <v>615</v>
      </c>
      <c r="J12" s="1334" t="s">
        <v>628</v>
      </c>
      <c r="K12" s="1334"/>
      <c r="L12" s="1334"/>
      <c r="M12" s="1334"/>
    </row>
    <row r="13" spans="2:13" x14ac:dyDescent="0.3">
      <c r="B13" s="1332" t="s">
        <v>326</v>
      </c>
      <c r="C13" s="1332" t="s">
        <v>324</v>
      </c>
      <c r="D13" s="1333" t="s">
        <v>344</v>
      </c>
      <c r="E13" s="1334" t="s">
        <v>611</v>
      </c>
      <c r="F13" s="1334"/>
      <c r="G13" s="1334"/>
      <c r="H13" s="1334"/>
      <c r="I13" s="1334"/>
      <c r="J13" s="1334"/>
      <c r="K13" s="1334"/>
      <c r="L13" s="1334"/>
      <c r="M13" s="1334"/>
    </row>
    <row r="14" spans="2:13" x14ac:dyDescent="0.3">
      <c r="B14" s="1332" t="s">
        <v>326</v>
      </c>
      <c r="C14" s="1332" t="s">
        <v>327</v>
      </c>
      <c r="D14" s="1333" t="s">
        <v>629</v>
      </c>
      <c r="E14" s="1334"/>
      <c r="F14" s="1334"/>
      <c r="G14" s="1334"/>
      <c r="H14" s="1334"/>
      <c r="I14" s="1334"/>
      <c r="J14" s="1334"/>
      <c r="K14" s="1334"/>
      <c r="L14" s="1334"/>
      <c r="M14" s="1334"/>
    </row>
    <row r="15" spans="2:13" x14ac:dyDescent="0.3">
      <c r="B15" s="1335"/>
      <c r="C15" s="1335"/>
      <c r="D15" s="1336"/>
      <c r="E15" s="1337"/>
      <c r="F15" s="1337"/>
      <c r="G15" s="1337"/>
      <c r="H15" s="1337"/>
      <c r="I15" s="1337"/>
      <c r="J15" s="1337"/>
      <c r="K15" s="1337"/>
      <c r="L15" s="1337"/>
      <c r="M15" s="1337"/>
    </row>
    <row r="17" spans="2:17" x14ac:dyDescent="0.3">
      <c r="B17" s="1338" t="s">
        <v>630</v>
      </c>
      <c r="E17" s="1583" t="s">
        <v>631</v>
      </c>
      <c r="F17" s="1583"/>
      <c r="G17" s="1583"/>
      <c r="H17" s="1583"/>
      <c r="I17" s="1583"/>
      <c r="J17" s="1583"/>
    </row>
    <row r="18" spans="2:17" x14ac:dyDescent="0.3">
      <c r="B18" s="1330" t="s">
        <v>381</v>
      </c>
      <c r="C18" s="1330" t="s">
        <v>320</v>
      </c>
      <c r="D18" s="1330" t="s">
        <v>336</v>
      </c>
      <c r="E18" s="1330" t="s">
        <v>921</v>
      </c>
      <c r="F18" s="1330" t="s">
        <v>348</v>
      </c>
      <c r="G18" s="1330" t="s">
        <v>29</v>
      </c>
      <c r="H18" s="1330" t="s">
        <v>922</v>
      </c>
      <c r="I18" s="1330" t="s">
        <v>74</v>
      </c>
      <c r="J18" s="1330" t="s">
        <v>347</v>
      </c>
      <c r="K18" s="1331" t="s">
        <v>346</v>
      </c>
      <c r="L18" s="1331" t="s">
        <v>349</v>
      </c>
      <c r="M18" s="1331" t="s">
        <v>597</v>
      </c>
      <c r="N18" s="1331" t="s">
        <v>920</v>
      </c>
      <c r="O18" s="1330" t="s">
        <v>923</v>
      </c>
      <c r="P18" s="1330" t="s">
        <v>924</v>
      </c>
      <c r="Q18" s="1330" t="s">
        <v>925</v>
      </c>
    </row>
    <row r="19" spans="2:17" x14ac:dyDescent="0.3">
      <c r="B19" s="1332" t="s">
        <v>266</v>
      </c>
      <c r="C19" s="1332" t="s">
        <v>321</v>
      </c>
      <c r="D19" s="1333" t="s">
        <v>598</v>
      </c>
      <c r="E19" s="1334">
        <v>10.1</v>
      </c>
      <c r="F19" s="1334">
        <v>12.703933855749812</v>
      </c>
      <c r="G19" s="1339">
        <v>30.6</v>
      </c>
      <c r="H19" s="1334">
        <v>40.35</v>
      </c>
      <c r="I19" s="1334">
        <v>20.3</v>
      </c>
      <c r="J19" s="1334">
        <v>14.9</v>
      </c>
      <c r="K19" s="1334">
        <v>75.97</v>
      </c>
      <c r="L19" s="1340">
        <v>21.9</v>
      </c>
      <c r="M19" s="1334">
        <v>17.600000000000001</v>
      </c>
      <c r="N19" s="1334"/>
    </row>
    <row r="20" spans="2:17" x14ac:dyDescent="0.3">
      <c r="B20" s="1332" t="s">
        <v>266</v>
      </c>
      <c r="C20" s="1332" t="s">
        <v>322</v>
      </c>
      <c r="D20" s="1333" t="s">
        <v>604</v>
      </c>
      <c r="E20" s="1334">
        <v>11.25</v>
      </c>
      <c r="F20" s="1334">
        <v>13.269335587159405</v>
      </c>
      <c r="G20" s="1339">
        <v>30.95</v>
      </c>
      <c r="H20" s="1334">
        <v>42.3</v>
      </c>
      <c r="I20" s="1334">
        <v>21.2</v>
      </c>
      <c r="J20" s="1334">
        <v>15.55</v>
      </c>
      <c r="K20" s="1334">
        <v>82.3</v>
      </c>
      <c r="L20" s="1340">
        <v>22.65</v>
      </c>
      <c r="M20" s="1334">
        <v>17.850000000000001</v>
      </c>
      <c r="N20" s="1334"/>
    </row>
    <row r="21" spans="2:17" x14ac:dyDescent="0.3">
      <c r="B21" s="1332" t="s">
        <v>266</v>
      </c>
      <c r="C21" s="1332" t="s">
        <v>323</v>
      </c>
      <c r="D21" s="1333" t="s">
        <v>610</v>
      </c>
      <c r="E21" s="1334">
        <v>12.35</v>
      </c>
      <c r="F21" s="1334">
        <v>13.996322572474462</v>
      </c>
      <c r="G21" s="1339">
        <v>32.65</v>
      </c>
      <c r="H21" s="1334">
        <v>46.2</v>
      </c>
      <c r="I21" s="1334">
        <v>22.8</v>
      </c>
      <c r="J21" s="1334">
        <v>17.95</v>
      </c>
      <c r="K21" s="1334">
        <v>89.99</v>
      </c>
      <c r="L21" s="1340">
        <v>23.4</v>
      </c>
      <c r="M21" s="1334">
        <v>19.05</v>
      </c>
      <c r="N21" s="1334"/>
    </row>
    <row r="22" spans="2:17" x14ac:dyDescent="0.3">
      <c r="B22" s="1332" t="s">
        <v>266</v>
      </c>
      <c r="C22" s="1332" t="s">
        <v>324</v>
      </c>
      <c r="D22" s="1333" t="s">
        <v>338</v>
      </c>
      <c r="E22" s="1334">
        <v>14.2</v>
      </c>
      <c r="F22" s="1334">
        <v>16.418779120605972</v>
      </c>
      <c r="G22" s="1339">
        <v>35.450000000000003</v>
      </c>
      <c r="H22" s="1334">
        <v>52.1</v>
      </c>
      <c r="I22" s="1334">
        <v>25.45</v>
      </c>
      <c r="J22" s="1334">
        <v>18.399999999999999</v>
      </c>
      <c r="K22" s="1334">
        <v>101.05</v>
      </c>
      <c r="L22" s="1340">
        <v>25.1</v>
      </c>
      <c r="M22" s="1334">
        <v>19.05</v>
      </c>
      <c r="N22" s="1334"/>
    </row>
    <row r="23" spans="2:17" x14ac:dyDescent="0.3">
      <c r="B23" s="1332" t="s">
        <v>325</v>
      </c>
      <c r="C23" s="1332" t="s">
        <v>321</v>
      </c>
      <c r="D23" s="1333" t="s">
        <v>616</v>
      </c>
      <c r="E23" s="1334">
        <v>9.9</v>
      </c>
      <c r="F23" s="1334">
        <v>12.435385755287571</v>
      </c>
      <c r="G23" s="1339">
        <v>30.6</v>
      </c>
      <c r="H23" s="1334">
        <v>40.4</v>
      </c>
      <c r="I23" s="1334">
        <v>20.3</v>
      </c>
      <c r="J23" s="1334">
        <v>14.9</v>
      </c>
      <c r="K23" s="1334">
        <v>75.989999999999995</v>
      </c>
      <c r="L23" s="1340">
        <v>21.2</v>
      </c>
      <c r="M23" s="1334">
        <v>17.600000000000001</v>
      </c>
      <c r="N23" s="1334"/>
    </row>
    <row r="24" spans="2:17" x14ac:dyDescent="0.3">
      <c r="B24" s="1332" t="s">
        <v>325</v>
      </c>
      <c r="C24" s="1332" t="s">
        <v>322</v>
      </c>
      <c r="D24" s="1333" t="s">
        <v>632</v>
      </c>
      <c r="E24" s="1334">
        <v>11.65</v>
      </c>
      <c r="F24" s="1334">
        <v>13.289580375067574</v>
      </c>
      <c r="G24" s="1339">
        <v>30.95</v>
      </c>
      <c r="H24" s="1334">
        <v>41.5</v>
      </c>
      <c r="I24" s="1334">
        <v>21.2</v>
      </c>
      <c r="J24" s="1334">
        <v>15.3</v>
      </c>
      <c r="K24" s="1334">
        <v>82.3</v>
      </c>
      <c r="L24" s="1340">
        <v>22.65</v>
      </c>
      <c r="M24" s="1334">
        <v>17.850000000000001</v>
      </c>
      <c r="N24" s="1334"/>
    </row>
    <row r="25" spans="2:17" x14ac:dyDescent="0.3">
      <c r="B25" s="1332" t="s">
        <v>326</v>
      </c>
      <c r="C25" s="1332" t="s">
        <v>321</v>
      </c>
      <c r="D25" s="1333" t="s">
        <v>418</v>
      </c>
      <c r="E25" s="1341" t="s">
        <v>633</v>
      </c>
      <c r="F25" s="1334">
        <v>12.435385755287571</v>
      </c>
      <c r="G25" s="1339">
        <v>30.6</v>
      </c>
      <c r="H25" s="1334">
        <v>42.8</v>
      </c>
      <c r="I25" s="1334">
        <v>18.899999999999999</v>
      </c>
      <c r="J25" s="1334">
        <v>14.65</v>
      </c>
      <c r="K25" s="1334">
        <v>75.989999999999995</v>
      </c>
      <c r="L25" s="1340">
        <v>21.55</v>
      </c>
      <c r="M25" s="1334">
        <v>16.649999999999999</v>
      </c>
      <c r="N25" s="1334"/>
    </row>
    <row r="26" spans="2:17" x14ac:dyDescent="0.3">
      <c r="B26" s="1332" t="s">
        <v>326</v>
      </c>
      <c r="C26" s="1332" t="s">
        <v>322</v>
      </c>
      <c r="D26" s="1333" t="s">
        <v>419</v>
      </c>
      <c r="E26" s="1334">
        <v>10.8</v>
      </c>
      <c r="F26" s="1334">
        <v>12.760840078861827</v>
      </c>
      <c r="G26" s="1339">
        <v>30.75</v>
      </c>
      <c r="H26" s="1334">
        <v>41.5</v>
      </c>
      <c r="I26" s="1334">
        <v>19.95</v>
      </c>
      <c r="J26" s="1334">
        <v>15.3</v>
      </c>
      <c r="K26" s="1334">
        <v>82.3</v>
      </c>
      <c r="L26" s="1340">
        <v>22.3</v>
      </c>
      <c r="M26" s="1334">
        <v>16.899999999999999</v>
      </c>
      <c r="N26" s="1334"/>
    </row>
    <row r="27" spans="2:17" ht="26" x14ac:dyDescent="0.3">
      <c r="B27" s="1332" t="s">
        <v>326</v>
      </c>
      <c r="C27" s="1332" t="s">
        <v>323</v>
      </c>
      <c r="D27" s="1333" t="s">
        <v>420</v>
      </c>
      <c r="E27" s="1334">
        <v>11.45</v>
      </c>
      <c r="F27" s="1334">
        <v>13.289580375067574</v>
      </c>
      <c r="G27" s="1339">
        <v>32.65</v>
      </c>
      <c r="H27" s="1334">
        <v>43.1</v>
      </c>
      <c r="I27" s="1334">
        <v>22.8</v>
      </c>
      <c r="J27" s="1334">
        <v>17.649999999999999</v>
      </c>
      <c r="K27" s="1334">
        <v>89.99</v>
      </c>
      <c r="L27" s="1340">
        <v>23</v>
      </c>
      <c r="M27" s="1334">
        <v>19.05</v>
      </c>
      <c r="N27" s="1334"/>
    </row>
    <row r="28" spans="2:17" x14ac:dyDescent="0.3">
      <c r="B28" s="1332" t="s">
        <v>326</v>
      </c>
      <c r="C28" s="1332" t="s">
        <v>324</v>
      </c>
      <c r="D28" s="1333" t="s">
        <v>344</v>
      </c>
      <c r="E28" s="1334">
        <v>16.399999999999999</v>
      </c>
      <c r="F28" s="1334">
        <v>16.150231341557483</v>
      </c>
      <c r="G28" s="1339">
        <v>35.450000000000003</v>
      </c>
      <c r="H28" s="1334">
        <v>58.5</v>
      </c>
      <c r="I28" s="1334">
        <v>25.45</v>
      </c>
      <c r="J28" s="1334">
        <v>18.399999999999999</v>
      </c>
      <c r="K28" s="1334">
        <v>101.05</v>
      </c>
      <c r="L28" s="1340">
        <v>24.65</v>
      </c>
      <c r="M28" s="1334">
        <v>19.05</v>
      </c>
      <c r="N28" s="1334"/>
    </row>
    <row r="29" spans="2:17" x14ac:dyDescent="0.3">
      <c r="B29" s="1332" t="s">
        <v>326</v>
      </c>
      <c r="C29" s="1332" t="s">
        <v>327</v>
      </c>
      <c r="D29" s="1333" t="s">
        <v>629</v>
      </c>
      <c r="E29" s="1334"/>
      <c r="F29" s="1334"/>
      <c r="G29" s="1342"/>
      <c r="H29" s="1334">
        <v>66.98</v>
      </c>
      <c r="I29" s="1334"/>
      <c r="J29" s="1334"/>
      <c r="K29" s="1334"/>
      <c r="L29" s="1334"/>
      <c r="M29" s="1334"/>
    </row>
    <row r="30" spans="2:17" x14ac:dyDescent="0.3">
      <c r="B30" s="1335"/>
      <c r="C30" s="1335"/>
      <c r="D30" s="1336"/>
      <c r="E30" s="1336"/>
      <c r="F30" s="1336"/>
      <c r="G30" s="1336"/>
      <c r="H30" s="1336"/>
      <c r="I30" s="1337"/>
      <c r="J30" s="1337"/>
      <c r="K30" s="1337"/>
      <c r="L30" s="1337"/>
      <c r="M30" s="1337"/>
    </row>
    <row r="31" spans="2:17" x14ac:dyDescent="0.3">
      <c r="D31" s="1328"/>
      <c r="E31" s="1328"/>
    </row>
    <row r="32" spans="2:17" x14ac:dyDescent="0.3">
      <c r="B32" s="1338" t="s">
        <v>634</v>
      </c>
    </row>
    <row r="33" spans="2:22" x14ac:dyDescent="0.3">
      <c r="B33" s="1330" t="s">
        <v>381</v>
      </c>
      <c r="C33" s="1330" t="s">
        <v>320</v>
      </c>
      <c r="D33" s="1330" t="s">
        <v>336</v>
      </c>
      <c r="E33" s="1330" t="s">
        <v>73</v>
      </c>
      <c r="F33" s="1330" t="s">
        <v>348</v>
      </c>
      <c r="G33" s="1330" t="s">
        <v>29</v>
      </c>
      <c r="H33" s="1330" t="s">
        <v>44</v>
      </c>
      <c r="I33" s="1330" t="s">
        <v>74</v>
      </c>
      <c r="J33" s="1330" t="s">
        <v>347</v>
      </c>
      <c r="K33" s="1331" t="s">
        <v>346</v>
      </c>
      <c r="L33" s="1331" t="s">
        <v>349</v>
      </c>
      <c r="M33" s="1331" t="s">
        <v>597</v>
      </c>
    </row>
    <row r="34" spans="2:22" x14ac:dyDescent="0.3">
      <c r="B34" s="1332" t="s">
        <v>266</v>
      </c>
      <c r="C34" s="1332" t="s">
        <v>321</v>
      </c>
      <c r="D34" s="1333" t="s">
        <v>598</v>
      </c>
      <c r="E34" s="1334"/>
      <c r="F34" s="1334"/>
      <c r="G34" s="1339">
        <v>28.25</v>
      </c>
      <c r="H34" s="1334">
        <v>34.9</v>
      </c>
      <c r="I34" s="1334">
        <v>17.350000000000001</v>
      </c>
      <c r="J34" s="1334"/>
      <c r="K34" s="1334">
        <v>71.75</v>
      </c>
      <c r="L34" s="1340"/>
      <c r="M34" s="1334">
        <v>14.5</v>
      </c>
    </row>
    <row r="35" spans="2:22" x14ac:dyDescent="0.3">
      <c r="B35" s="1332" t="s">
        <v>266</v>
      </c>
      <c r="C35" s="1332" t="s">
        <v>322</v>
      </c>
      <c r="D35" s="1333" t="s">
        <v>604</v>
      </c>
      <c r="E35" s="1334"/>
      <c r="F35" s="1334"/>
      <c r="G35" s="1339">
        <v>28.6</v>
      </c>
      <c r="H35" s="1334">
        <v>36.299999999999997</v>
      </c>
      <c r="I35" s="1334">
        <v>18.2</v>
      </c>
      <c r="J35" s="1334"/>
      <c r="K35" s="1334">
        <v>78.05</v>
      </c>
      <c r="L35" s="1340"/>
      <c r="M35" s="1334">
        <v>14.75</v>
      </c>
    </row>
    <row r="36" spans="2:22" x14ac:dyDescent="0.3">
      <c r="B36" s="1332" t="s">
        <v>266</v>
      </c>
      <c r="C36" s="1332" t="s">
        <v>323</v>
      </c>
      <c r="D36" s="1333" t="s">
        <v>610</v>
      </c>
      <c r="E36" s="1334"/>
      <c r="F36" s="1334"/>
      <c r="G36" s="1339">
        <v>30.3</v>
      </c>
      <c r="H36" s="1334">
        <v>42.8</v>
      </c>
      <c r="I36" s="1334">
        <v>19.850000000000001</v>
      </c>
      <c r="J36" s="1334"/>
      <c r="K36" s="1334">
        <v>85.7</v>
      </c>
      <c r="L36" s="1340"/>
      <c r="M36" s="1334">
        <v>15.95</v>
      </c>
    </row>
    <row r="37" spans="2:22" x14ac:dyDescent="0.3">
      <c r="B37" s="1332" t="s">
        <v>266</v>
      </c>
      <c r="C37" s="1332" t="s">
        <v>324</v>
      </c>
      <c r="D37" s="1333" t="s">
        <v>338</v>
      </c>
      <c r="E37" s="1334"/>
      <c r="F37" s="1334"/>
      <c r="G37" s="1339">
        <v>33.049999999999997</v>
      </c>
      <c r="H37" s="1334">
        <v>48.5</v>
      </c>
      <c r="I37" s="1334">
        <v>22.5</v>
      </c>
      <c r="J37" s="1334"/>
      <c r="K37" s="1334">
        <v>96.8</v>
      </c>
      <c r="L37" s="1340"/>
      <c r="M37" s="1334">
        <v>15.95</v>
      </c>
    </row>
    <row r="38" spans="2:22" x14ac:dyDescent="0.3">
      <c r="B38" s="1332" t="s">
        <v>325</v>
      </c>
      <c r="C38" s="1332" t="s">
        <v>321</v>
      </c>
      <c r="D38" s="1333" t="s">
        <v>616</v>
      </c>
      <c r="E38" s="1334"/>
      <c r="F38" s="1334"/>
      <c r="G38" s="1339">
        <v>28.25</v>
      </c>
      <c r="H38" s="1334">
        <v>34.9</v>
      </c>
      <c r="I38" s="1334">
        <v>17.350000000000001</v>
      </c>
      <c r="J38" s="1334"/>
      <c r="K38" s="1334">
        <v>71.75</v>
      </c>
      <c r="L38" s="1340"/>
      <c r="M38" s="1334">
        <v>14.5</v>
      </c>
    </row>
    <row r="39" spans="2:22" x14ac:dyDescent="0.3">
      <c r="B39" s="1332" t="s">
        <v>325</v>
      </c>
      <c r="C39" s="1332" t="s">
        <v>322</v>
      </c>
      <c r="D39" s="1333" t="s">
        <v>632</v>
      </c>
      <c r="E39" s="1334"/>
      <c r="F39" s="1334"/>
      <c r="G39" s="1339">
        <v>28.6</v>
      </c>
      <c r="H39" s="1334">
        <v>36.25</v>
      </c>
      <c r="I39" s="1334">
        <v>18.2</v>
      </c>
      <c r="J39" s="1334"/>
      <c r="K39" s="1334">
        <v>78.05</v>
      </c>
      <c r="L39" s="1340"/>
      <c r="M39" s="1334">
        <v>14.75</v>
      </c>
    </row>
    <row r="40" spans="2:22" x14ac:dyDescent="0.3">
      <c r="B40" s="1332" t="s">
        <v>326</v>
      </c>
      <c r="C40" s="1332" t="s">
        <v>321</v>
      </c>
      <c r="D40" s="1333" t="s">
        <v>418</v>
      </c>
      <c r="E40" s="1341"/>
      <c r="F40" s="1334"/>
      <c r="G40" s="1339">
        <v>28.25</v>
      </c>
      <c r="H40" s="1334">
        <v>34.25</v>
      </c>
      <c r="I40" s="1334">
        <v>15.95</v>
      </c>
      <c r="J40" s="1334"/>
      <c r="K40" s="1334">
        <v>71.75</v>
      </c>
      <c r="L40" s="1340"/>
      <c r="M40" s="1334">
        <v>13.55</v>
      </c>
    </row>
    <row r="41" spans="2:22" x14ac:dyDescent="0.3">
      <c r="B41" s="1332" t="s">
        <v>326</v>
      </c>
      <c r="C41" s="1332" t="s">
        <v>322</v>
      </c>
      <c r="D41" s="1333" t="s">
        <v>419</v>
      </c>
      <c r="E41" s="1334"/>
      <c r="F41" s="1334"/>
      <c r="G41" s="1339">
        <v>28.4</v>
      </c>
      <c r="H41" s="1334">
        <v>36.450000000000003</v>
      </c>
      <c r="I41" s="1334">
        <v>16.989999999999998</v>
      </c>
      <c r="J41" s="1334"/>
      <c r="K41" s="1334">
        <v>78.05</v>
      </c>
      <c r="L41" s="1340"/>
      <c r="M41" s="1334">
        <v>13.8</v>
      </c>
    </row>
    <row r="42" spans="2:22" ht="26" x14ac:dyDescent="0.3">
      <c r="B42" s="1332" t="s">
        <v>326</v>
      </c>
      <c r="C42" s="1332" t="s">
        <v>323</v>
      </c>
      <c r="D42" s="1333" t="s">
        <v>420</v>
      </c>
      <c r="E42" s="1334"/>
      <c r="F42" s="1334"/>
      <c r="G42" s="1339">
        <v>30.3</v>
      </c>
      <c r="H42" s="1334">
        <v>38.35</v>
      </c>
      <c r="I42" s="1334">
        <v>19.850000000000001</v>
      </c>
      <c r="J42" s="1334"/>
      <c r="K42" s="1334">
        <v>85.7</v>
      </c>
      <c r="L42" s="1340"/>
      <c r="M42" s="1334">
        <v>15.95</v>
      </c>
    </row>
    <row r="43" spans="2:22" x14ac:dyDescent="0.3">
      <c r="B43" s="1332" t="s">
        <v>326</v>
      </c>
      <c r="C43" s="1332" t="s">
        <v>324</v>
      </c>
      <c r="D43" s="1333" t="s">
        <v>344</v>
      </c>
      <c r="E43" s="1334"/>
      <c r="F43" s="1334"/>
      <c r="G43" s="1339">
        <v>33.049999999999997</v>
      </c>
      <c r="H43" s="1334">
        <v>55.7</v>
      </c>
      <c r="I43" s="1334">
        <v>22.5</v>
      </c>
      <c r="J43" s="1334"/>
      <c r="K43" s="1334">
        <v>96.8</v>
      </c>
      <c r="L43" s="1340"/>
      <c r="M43" s="1334">
        <v>15.95</v>
      </c>
    </row>
    <row r="44" spans="2:22" x14ac:dyDescent="0.3">
      <c r="B44" s="1332" t="s">
        <v>326</v>
      </c>
      <c r="C44" s="1332" t="s">
        <v>327</v>
      </c>
      <c r="D44" s="1333" t="s">
        <v>421</v>
      </c>
      <c r="E44" s="1334"/>
      <c r="F44" s="1334"/>
      <c r="G44" s="1342"/>
      <c r="H44" s="1334">
        <v>64.2</v>
      </c>
      <c r="I44" s="1334"/>
      <c r="J44" s="1334"/>
      <c r="K44" s="1334"/>
      <c r="L44" s="1334"/>
      <c r="M44" s="1334"/>
    </row>
    <row r="45" spans="2:22" x14ac:dyDescent="0.3">
      <c r="B45" s="1332" t="s">
        <v>326</v>
      </c>
      <c r="C45" s="1332" t="s">
        <v>331</v>
      </c>
      <c r="D45" s="1333" t="s">
        <v>422</v>
      </c>
      <c r="E45" s="1334"/>
      <c r="F45" s="1334"/>
      <c r="G45" s="1342"/>
      <c r="H45" s="1334">
        <v>64.2</v>
      </c>
      <c r="I45" s="1334"/>
      <c r="J45" s="1334"/>
      <c r="K45" s="1334"/>
      <c r="L45" s="1334"/>
      <c r="M45" s="1334"/>
    </row>
    <row r="47" spans="2:22" x14ac:dyDescent="0.3">
      <c r="B47" s="1338" t="s">
        <v>630</v>
      </c>
      <c r="E47" s="1584" t="s">
        <v>29</v>
      </c>
      <c r="F47" s="1584"/>
      <c r="G47" s="1584"/>
      <c r="H47" s="1584" t="s">
        <v>44</v>
      </c>
      <c r="I47" s="1584"/>
      <c r="J47" s="1584"/>
      <c r="K47" s="1584" t="s">
        <v>74</v>
      </c>
      <c r="L47" s="1584"/>
      <c r="M47" s="1584"/>
      <c r="N47" s="1585" t="s">
        <v>346</v>
      </c>
      <c r="O47" s="1585"/>
      <c r="P47" s="1585"/>
      <c r="Q47" s="1585" t="s">
        <v>349</v>
      </c>
      <c r="R47" s="1585"/>
      <c r="S47" s="1585"/>
      <c r="T47" s="1585" t="s">
        <v>597</v>
      </c>
      <c r="U47" s="1585"/>
      <c r="V47" s="1585"/>
    </row>
    <row r="48" spans="2:22" x14ac:dyDescent="0.3">
      <c r="B48" s="1330" t="s">
        <v>381</v>
      </c>
      <c r="C48" s="1330" t="s">
        <v>320</v>
      </c>
      <c r="D48" s="1330" t="s">
        <v>336</v>
      </c>
      <c r="E48" s="1330" t="s">
        <v>642</v>
      </c>
      <c r="F48" s="1330" t="s">
        <v>643</v>
      </c>
      <c r="G48" s="1330" t="s">
        <v>382</v>
      </c>
      <c r="H48" s="1330" t="s">
        <v>635</v>
      </c>
      <c r="I48" s="1330" t="s">
        <v>636</v>
      </c>
      <c r="J48" s="1330" t="s">
        <v>382</v>
      </c>
      <c r="K48" s="1330" t="s">
        <v>635</v>
      </c>
      <c r="L48" s="1330" t="s">
        <v>636</v>
      </c>
      <c r="M48" s="1330" t="s">
        <v>382</v>
      </c>
      <c r="N48" s="1331" t="s">
        <v>635</v>
      </c>
      <c r="O48" s="1331" t="s">
        <v>636</v>
      </c>
      <c r="P48" s="1331" t="s">
        <v>382</v>
      </c>
      <c r="Q48" s="1331" t="s">
        <v>635</v>
      </c>
      <c r="R48" s="1331" t="s">
        <v>636</v>
      </c>
      <c r="S48" s="1331" t="s">
        <v>382</v>
      </c>
      <c r="T48" s="1331" t="s">
        <v>635</v>
      </c>
      <c r="U48" s="1331" t="s">
        <v>636</v>
      </c>
      <c r="V48" s="1331" t="s">
        <v>382</v>
      </c>
    </row>
    <row r="49" spans="2:22" x14ac:dyDescent="0.3">
      <c r="B49" s="1332" t="s">
        <v>266</v>
      </c>
      <c r="C49" s="1332" t="s">
        <v>321</v>
      </c>
      <c r="D49" s="1333" t="s">
        <v>598</v>
      </c>
      <c r="E49" s="1339">
        <v>28.05</v>
      </c>
      <c r="F49" s="1339">
        <v>33.549584836926734</v>
      </c>
      <c r="G49" s="1339">
        <v>33.549584836926734</v>
      </c>
      <c r="H49" s="1334">
        <v>36.85</v>
      </c>
      <c r="I49" s="1334">
        <v>43.293098159509199</v>
      </c>
      <c r="J49" s="1334">
        <v>43.293098159509199</v>
      </c>
      <c r="K49" s="1334">
        <v>18.75</v>
      </c>
      <c r="L49" s="1334">
        <v>24.0234375</v>
      </c>
      <c r="M49" s="1334">
        <v>24.0234375</v>
      </c>
      <c r="N49" s="1334">
        <v>69.8</v>
      </c>
      <c r="O49" s="1334">
        <v>80.3509185456913</v>
      </c>
      <c r="P49" s="1334">
        <v>80.3509185456913</v>
      </c>
      <c r="Q49" s="1340">
        <v>19.850000000000001</v>
      </c>
      <c r="R49" s="1340">
        <v>27.611116153130546</v>
      </c>
      <c r="S49" s="1340">
        <v>27.611116153130546</v>
      </c>
      <c r="T49" s="1334">
        <v>15.97</v>
      </c>
      <c r="U49" s="1334">
        <v>25.324577597986938</v>
      </c>
      <c r="V49" s="1334">
        <v>25.324577597986938</v>
      </c>
    </row>
    <row r="50" spans="2:22" x14ac:dyDescent="0.3">
      <c r="B50" s="1332" t="s">
        <v>266</v>
      </c>
      <c r="C50" s="1332" t="s">
        <v>322</v>
      </c>
      <c r="D50" s="1333" t="s">
        <v>604</v>
      </c>
      <c r="E50" s="1339">
        <v>28.4</v>
      </c>
      <c r="F50" s="1339">
        <v>33.549584836926734</v>
      </c>
      <c r="G50" s="1339">
        <v>33.549584836926734</v>
      </c>
      <c r="H50" s="1334">
        <v>38.700000000000003</v>
      </c>
      <c r="I50" s="1334">
        <v>43.293098159509199</v>
      </c>
      <c r="J50" s="1334">
        <v>43.293098159509199</v>
      </c>
      <c r="K50" s="1334">
        <v>19.600000000000001</v>
      </c>
      <c r="L50" s="1334">
        <v>24.0234375</v>
      </c>
      <c r="M50" s="1334">
        <v>24.0234375</v>
      </c>
      <c r="N50" s="1334">
        <v>76.150000000000006</v>
      </c>
      <c r="O50" s="1334">
        <v>80.3509185456913</v>
      </c>
      <c r="P50" s="1334">
        <v>80.3509185456913</v>
      </c>
      <c r="Q50" s="1340">
        <v>20.6</v>
      </c>
      <c r="R50" s="1340">
        <v>27.611116153130546</v>
      </c>
      <c r="S50" s="1340">
        <v>27.611116153130546</v>
      </c>
      <c r="T50" s="1334">
        <v>16.25</v>
      </c>
      <c r="U50" s="1334">
        <v>25.324577597986938</v>
      </c>
      <c r="V50" s="1334">
        <v>25.324577597986938</v>
      </c>
    </row>
    <row r="51" spans="2:22" x14ac:dyDescent="0.3">
      <c r="B51" s="1332" t="s">
        <v>266</v>
      </c>
      <c r="C51" s="1332" t="s">
        <v>323</v>
      </c>
      <c r="D51" s="1333" t="s">
        <v>610</v>
      </c>
      <c r="E51" s="1339">
        <v>30.1</v>
      </c>
      <c r="F51" s="1339">
        <v>33.549584836926734</v>
      </c>
      <c r="G51" s="1339">
        <v>33.549584836926734</v>
      </c>
      <c r="H51" s="1334">
        <v>42.65</v>
      </c>
      <c r="I51" s="1334">
        <v>43.293098159509199</v>
      </c>
      <c r="J51" s="1334">
        <v>43.293098159509199</v>
      </c>
      <c r="K51" s="1334">
        <v>21.25</v>
      </c>
      <c r="L51" s="1334">
        <v>24.0234375</v>
      </c>
      <c r="M51" s="1334">
        <v>24.0234375</v>
      </c>
      <c r="N51" s="1334">
        <v>82.6</v>
      </c>
      <c r="O51" s="1334">
        <v>104.70169965700555</v>
      </c>
      <c r="P51" s="1334">
        <v>104.70169965700555</v>
      </c>
      <c r="Q51" s="1340">
        <v>21.35</v>
      </c>
      <c r="R51" s="1340">
        <v>27.611116153130546</v>
      </c>
      <c r="S51" s="1340">
        <v>27.611116153130546</v>
      </c>
      <c r="T51" s="1334">
        <v>17.45</v>
      </c>
      <c r="U51" s="1334">
        <v>25.324577597986938</v>
      </c>
      <c r="V51" s="1334">
        <v>25.324577597986938</v>
      </c>
    </row>
    <row r="52" spans="2:22" x14ac:dyDescent="0.3">
      <c r="B52" s="1332" t="s">
        <v>266</v>
      </c>
      <c r="C52" s="1332" t="s">
        <v>324</v>
      </c>
      <c r="D52" s="1333" t="s">
        <v>338</v>
      </c>
      <c r="E52" s="1339">
        <v>32.549999999999997</v>
      </c>
      <c r="F52" s="1339">
        <v>38.333256690081264</v>
      </c>
      <c r="G52" s="1339">
        <v>38.333256690081264</v>
      </c>
      <c r="H52" s="1334">
        <v>47.7</v>
      </c>
      <c r="I52" s="1334">
        <v>57.068174846625759</v>
      </c>
      <c r="J52" s="1334">
        <v>57.068174846625759</v>
      </c>
      <c r="K52" s="1334">
        <v>23.6</v>
      </c>
      <c r="L52" s="1334">
        <v>28.882723721590907</v>
      </c>
      <c r="M52" s="1334">
        <v>28.882723721590907</v>
      </c>
      <c r="N52" s="1334">
        <v>93.7</v>
      </c>
      <c r="O52" s="1334">
        <v>104.70169965700555</v>
      </c>
      <c r="P52" s="1334">
        <v>104.70169965700555</v>
      </c>
      <c r="Q52" s="1340">
        <v>23</v>
      </c>
      <c r="R52" s="1340">
        <v>27.611116153130546</v>
      </c>
      <c r="S52" s="1340">
        <v>27.611116153130546</v>
      </c>
      <c r="T52" s="1334">
        <v>17.5</v>
      </c>
      <c r="U52" s="1334">
        <v>25.324577597986938</v>
      </c>
      <c r="V52" s="1334">
        <v>25.324577597986938</v>
      </c>
    </row>
    <row r="53" spans="2:22" x14ac:dyDescent="0.3">
      <c r="B53" s="1332" t="s">
        <v>325</v>
      </c>
      <c r="C53" s="1332" t="s">
        <v>321</v>
      </c>
      <c r="D53" s="1333" t="s">
        <v>616</v>
      </c>
      <c r="E53" s="1339">
        <v>28.05</v>
      </c>
      <c r="F53" s="1339">
        <v>33.549584836926734</v>
      </c>
      <c r="G53" s="1339">
        <v>33.549584836926734</v>
      </c>
      <c r="H53" s="1334">
        <v>36.799999999999997</v>
      </c>
      <c r="I53" s="1334">
        <v>43.293098159509199</v>
      </c>
      <c r="J53" s="1334">
        <v>43.293098159509199</v>
      </c>
      <c r="K53" s="1334">
        <v>18.75</v>
      </c>
      <c r="L53" s="1334">
        <v>24.0234375</v>
      </c>
      <c r="M53" s="1334">
        <v>24.0234375</v>
      </c>
      <c r="N53" s="1334">
        <v>69.8</v>
      </c>
      <c r="O53" s="1334">
        <v>80.3509185456913</v>
      </c>
      <c r="P53" s="1334">
        <v>80.3509185456913</v>
      </c>
      <c r="Q53" s="1340">
        <v>19.100000000000001</v>
      </c>
      <c r="R53" s="1340">
        <v>27.611116153130546</v>
      </c>
      <c r="S53" s="1340">
        <v>27.611116153130546</v>
      </c>
      <c r="T53" s="1334">
        <v>15.97</v>
      </c>
      <c r="U53" s="1334">
        <v>25.324577597986938</v>
      </c>
      <c r="V53" s="1334">
        <v>25.324577597986938</v>
      </c>
    </row>
    <row r="54" spans="2:22" x14ac:dyDescent="0.3">
      <c r="B54" s="1332" t="s">
        <v>325</v>
      </c>
      <c r="C54" s="1332" t="s">
        <v>322</v>
      </c>
      <c r="D54" s="1333" t="s">
        <v>632</v>
      </c>
      <c r="E54" s="1339">
        <v>28.4</v>
      </c>
      <c r="F54" s="1339">
        <v>33.549584836926734</v>
      </c>
      <c r="G54" s="1339">
        <v>33.549584836926734</v>
      </c>
      <c r="H54" s="1334">
        <v>37.950000000000003</v>
      </c>
      <c r="I54" s="1334">
        <v>43.293098159509199</v>
      </c>
      <c r="J54" s="1334">
        <v>43.293098159509199</v>
      </c>
      <c r="K54" s="1334">
        <v>19.600000000000001</v>
      </c>
      <c r="L54" s="1334">
        <v>24.0234375</v>
      </c>
      <c r="M54" s="1334">
        <v>24.0234375</v>
      </c>
      <c r="N54" s="1334">
        <v>76.150000000000006</v>
      </c>
      <c r="O54" s="1334">
        <v>80.3509185456913</v>
      </c>
      <c r="P54" s="1334">
        <v>80.3509185456913</v>
      </c>
      <c r="Q54" s="1340">
        <v>20.6</v>
      </c>
      <c r="R54" s="1340">
        <v>27.611116153130546</v>
      </c>
      <c r="S54" s="1340">
        <v>27.611116153130546</v>
      </c>
      <c r="T54" s="1334">
        <v>16.25</v>
      </c>
      <c r="U54" s="1334">
        <v>25.324577597986938</v>
      </c>
      <c r="V54" s="1334">
        <v>25.324577597986938</v>
      </c>
    </row>
    <row r="55" spans="2:22" x14ac:dyDescent="0.3">
      <c r="B55" s="1332" t="s">
        <v>326</v>
      </c>
      <c r="C55" s="1332" t="s">
        <v>321</v>
      </c>
      <c r="D55" s="1333" t="s">
        <v>418</v>
      </c>
      <c r="E55" s="1339">
        <v>28.05</v>
      </c>
      <c r="F55" s="1339">
        <v>33.549584836926734</v>
      </c>
      <c r="G55" s="1339">
        <v>33.549584836926734</v>
      </c>
      <c r="H55" s="1334">
        <v>39.049999999999997</v>
      </c>
      <c r="I55" s="1334">
        <v>43.293098159509199</v>
      </c>
      <c r="J55" s="1334">
        <v>43.293098159509199</v>
      </c>
      <c r="K55" s="1334">
        <v>17.3</v>
      </c>
      <c r="L55" s="1334">
        <v>24.0234375</v>
      </c>
      <c r="M55" s="1334">
        <v>24.0234375</v>
      </c>
      <c r="N55" s="1334">
        <v>69.8</v>
      </c>
      <c r="O55" s="1334">
        <v>80.3509185456913</v>
      </c>
      <c r="P55" s="1334">
        <v>80.3509185456913</v>
      </c>
      <c r="Q55" s="1340">
        <v>19.5</v>
      </c>
      <c r="R55" s="1340">
        <v>27.611116153130546</v>
      </c>
      <c r="S55" s="1340">
        <v>27.611116153130546</v>
      </c>
      <c r="T55" s="1334">
        <v>15.05</v>
      </c>
      <c r="U55" s="1334">
        <v>25.324577597986938</v>
      </c>
      <c r="V55" s="1334">
        <v>25.324577597986938</v>
      </c>
    </row>
    <row r="56" spans="2:22" x14ac:dyDescent="0.3">
      <c r="B56" s="1332" t="s">
        <v>326</v>
      </c>
      <c r="C56" s="1332" t="s">
        <v>322</v>
      </c>
      <c r="D56" s="1333" t="s">
        <v>419</v>
      </c>
      <c r="E56" s="1339">
        <v>28.25</v>
      </c>
      <c r="F56" s="1339">
        <v>33.549584836926734</v>
      </c>
      <c r="G56" s="1339">
        <v>33.549584836926734</v>
      </c>
      <c r="H56" s="1334">
        <v>37.950000000000003</v>
      </c>
      <c r="I56" s="1334">
        <v>43.293098159509199</v>
      </c>
      <c r="J56" s="1334">
        <v>43.293098159509199</v>
      </c>
      <c r="K56" s="1334">
        <v>18.399999999999999</v>
      </c>
      <c r="L56" s="1334">
        <v>24.0234375</v>
      </c>
      <c r="M56" s="1334">
        <v>24.0234375</v>
      </c>
      <c r="N56" s="1334">
        <v>76.150000000000006</v>
      </c>
      <c r="O56" s="1334">
        <v>80.3509185456913</v>
      </c>
      <c r="P56" s="1334">
        <v>80.3509185456913</v>
      </c>
      <c r="Q56" s="1340">
        <v>20.25</v>
      </c>
      <c r="R56" s="1340">
        <v>27.611116153130546</v>
      </c>
      <c r="S56" s="1340">
        <v>27.611116153130546</v>
      </c>
      <c r="T56" s="1334">
        <v>15.25</v>
      </c>
      <c r="U56" s="1334">
        <v>25.324577597986938</v>
      </c>
      <c r="V56" s="1334">
        <v>25.324577597986938</v>
      </c>
    </row>
    <row r="57" spans="2:22" ht="26" x14ac:dyDescent="0.3">
      <c r="B57" s="1332" t="s">
        <v>326</v>
      </c>
      <c r="C57" s="1332" t="s">
        <v>323</v>
      </c>
      <c r="D57" s="1333" t="s">
        <v>420</v>
      </c>
      <c r="E57" s="1339">
        <v>30.1</v>
      </c>
      <c r="F57" s="1339">
        <v>33.549584836926734</v>
      </c>
      <c r="G57" s="1339">
        <v>33.549584836926734</v>
      </c>
      <c r="H57" s="1334">
        <v>39.5</v>
      </c>
      <c r="I57" s="1334">
        <v>43.293098159509199</v>
      </c>
      <c r="J57" s="1334">
        <v>43.293098159509199</v>
      </c>
      <c r="K57" s="1334">
        <v>21.25</v>
      </c>
      <c r="L57" s="1334">
        <v>28.882723721590907</v>
      </c>
      <c r="M57" s="1334">
        <v>28.882723721590907</v>
      </c>
      <c r="N57" s="1334">
        <v>82.6</v>
      </c>
      <c r="O57" s="1334">
        <v>104.70169965700555</v>
      </c>
      <c r="P57" s="1334">
        <v>104.70169965700555</v>
      </c>
      <c r="Q57" s="1340">
        <v>21</v>
      </c>
      <c r="R57" s="1340">
        <v>27.611116153130546</v>
      </c>
      <c r="S57" s="1340">
        <v>27.611116153130546</v>
      </c>
      <c r="T57" s="1334">
        <v>17.45</v>
      </c>
      <c r="U57" s="1334">
        <v>25.324577597986938</v>
      </c>
      <c r="V57" s="1334">
        <v>25.324577597986938</v>
      </c>
    </row>
    <row r="58" spans="2:22" x14ac:dyDescent="0.3">
      <c r="B58" s="1332" t="s">
        <v>326</v>
      </c>
      <c r="C58" s="1332" t="s">
        <v>324</v>
      </c>
      <c r="D58" s="1333" t="s">
        <v>344</v>
      </c>
      <c r="E58" s="1339">
        <v>32.549999999999997</v>
      </c>
      <c r="F58" s="1339">
        <v>38.333256690081264</v>
      </c>
      <c r="G58" s="1339">
        <v>38.333256690081264</v>
      </c>
      <c r="H58" s="1334">
        <v>54.05</v>
      </c>
      <c r="I58" s="1334">
        <v>54.05</v>
      </c>
      <c r="J58" s="1334">
        <v>54.05</v>
      </c>
      <c r="K58" s="1334">
        <v>23.6</v>
      </c>
      <c r="L58" s="1334">
        <v>28.882723721590907</v>
      </c>
      <c r="M58" s="1334">
        <v>28.882723721590907</v>
      </c>
      <c r="N58" s="1334">
        <v>93.65</v>
      </c>
      <c r="O58" s="1334">
        <v>104.70169965700555</v>
      </c>
      <c r="P58" s="1334">
        <v>104.70169965700555</v>
      </c>
      <c r="Q58" s="1340">
        <v>22.65</v>
      </c>
      <c r="R58" s="1340">
        <v>27.611116153130546</v>
      </c>
      <c r="S58" s="1340">
        <v>27.611116153130546</v>
      </c>
      <c r="T58" s="1334">
        <v>17.45</v>
      </c>
      <c r="U58" s="1334">
        <v>25.324577597986938</v>
      </c>
      <c r="V58" s="1334">
        <v>25.324577597986938</v>
      </c>
    </row>
    <row r="59" spans="2:22" x14ac:dyDescent="0.3">
      <c r="B59" s="1332" t="s">
        <v>326</v>
      </c>
      <c r="C59" s="1332" t="s">
        <v>327</v>
      </c>
      <c r="D59" s="1333" t="s">
        <v>421</v>
      </c>
      <c r="E59" s="1339"/>
      <c r="F59" s="1339"/>
      <c r="G59" s="1339"/>
      <c r="H59" s="1334">
        <v>62.2</v>
      </c>
      <c r="I59" s="1334">
        <v>62.971779141104292</v>
      </c>
      <c r="J59" s="1334">
        <v>62.971779141104292</v>
      </c>
      <c r="K59" s="1334"/>
      <c r="L59" s="1334"/>
      <c r="M59" s="1334"/>
      <c r="N59" s="1334"/>
      <c r="O59" s="1334"/>
      <c r="P59" s="1334"/>
      <c r="Q59" s="1334"/>
      <c r="R59" s="1334"/>
      <c r="S59" s="1334"/>
      <c r="T59" s="1334"/>
      <c r="U59" s="1334"/>
      <c r="V59" s="1334"/>
    </row>
    <row r="60" spans="2:22" x14ac:dyDescent="0.3">
      <c r="B60" s="1332" t="s">
        <v>326</v>
      </c>
      <c r="C60" s="1332" t="s">
        <v>331</v>
      </c>
      <c r="D60" s="1333" t="s">
        <v>422</v>
      </c>
      <c r="E60" s="1339"/>
      <c r="F60" s="1339"/>
      <c r="G60" s="1339"/>
      <c r="H60" s="1334">
        <v>62.2</v>
      </c>
      <c r="I60" s="1334">
        <v>62.971779141104292</v>
      </c>
      <c r="J60" s="1334">
        <v>62.971779141104292</v>
      </c>
      <c r="K60" s="1334"/>
      <c r="L60" s="1334"/>
      <c r="M60" s="1334"/>
      <c r="N60" s="1334"/>
      <c r="O60" s="1334"/>
      <c r="P60" s="1334"/>
      <c r="Q60" s="1334"/>
      <c r="R60" s="1334"/>
      <c r="S60" s="1334"/>
      <c r="T60" s="1334"/>
      <c r="U60" s="1334"/>
      <c r="V60" s="1334"/>
    </row>
    <row r="61" spans="2:22" x14ac:dyDescent="0.3">
      <c r="D61" s="1328"/>
      <c r="E61" s="1328"/>
    </row>
    <row r="62" spans="2:22" x14ac:dyDescent="0.3">
      <c r="E62" s="1328"/>
    </row>
    <row r="63" spans="2:22" x14ac:dyDescent="0.3">
      <c r="B63" s="1338" t="s">
        <v>634</v>
      </c>
      <c r="E63" s="1584" t="s">
        <v>29</v>
      </c>
      <c r="F63" s="1584"/>
      <c r="G63" s="1584"/>
      <c r="H63" s="1584" t="s">
        <v>44</v>
      </c>
      <c r="I63" s="1584"/>
      <c r="J63" s="1584"/>
      <c r="K63" s="1584" t="s">
        <v>74</v>
      </c>
      <c r="L63" s="1584"/>
      <c r="M63" s="1584"/>
      <c r="N63" s="1585" t="s">
        <v>346</v>
      </c>
      <c r="O63" s="1585"/>
      <c r="P63" s="1585"/>
      <c r="Q63" s="1585" t="s">
        <v>349</v>
      </c>
      <c r="R63" s="1585"/>
      <c r="S63" s="1585"/>
      <c r="T63" s="1585" t="s">
        <v>597</v>
      </c>
      <c r="U63" s="1585"/>
      <c r="V63" s="1585"/>
    </row>
    <row r="64" spans="2:22" x14ac:dyDescent="0.3">
      <c r="B64" s="1330" t="s">
        <v>381</v>
      </c>
      <c r="C64" s="1330" t="s">
        <v>320</v>
      </c>
      <c r="D64" s="1330" t="s">
        <v>336</v>
      </c>
      <c r="E64" s="1330" t="s">
        <v>642</v>
      </c>
      <c r="F64" s="1330" t="s">
        <v>644</v>
      </c>
      <c r="G64" s="1330" t="s">
        <v>643</v>
      </c>
      <c r="H64" s="1330" t="s">
        <v>635</v>
      </c>
      <c r="I64" s="1330" t="s">
        <v>636</v>
      </c>
      <c r="J64" s="1330" t="s">
        <v>382</v>
      </c>
      <c r="K64" s="1330" t="s">
        <v>635</v>
      </c>
      <c r="L64" s="1330" t="s">
        <v>636</v>
      </c>
      <c r="M64" s="1330" t="s">
        <v>382</v>
      </c>
      <c r="N64" s="1331" t="s">
        <v>635</v>
      </c>
      <c r="O64" s="1331" t="s">
        <v>636</v>
      </c>
      <c r="P64" s="1331" t="s">
        <v>382</v>
      </c>
      <c r="Q64" s="1331" t="s">
        <v>635</v>
      </c>
      <c r="R64" s="1331" t="s">
        <v>636</v>
      </c>
      <c r="S64" s="1331" t="s">
        <v>382</v>
      </c>
      <c r="T64" s="1331" t="s">
        <v>635</v>
      </c>
      <c r="U64" s="1331" t="s">
        <v>636</v>
      </c>
      <c r="V64" s="1331" t="s">
        <v>382</v>
      </c>
    </row>
    <row r="65" spans="2:22" x14ac:dyDescent="0.3">
      <c r="B65" s="1332" t="s">
        <v>266</v>
      </c>
      <c r="C65" s="1332" t="s">
        <v>321</v>
      </c>
      <c r="D65" s="1333" t="s">
        <v>598</v>
      </c>
      <c r="E65" s="1339">
        <v>25.85</v>
      </c>
      <c r="F65" s="1339">
        <v>30.918244849716793</v>
      </c>
      <c r="G65" s="1339">
        <v>30.918244849716793</v>
      </c>
      <c r="H65" s="1334">
        <v>31.55</v>
      </c>
      <c r="I65" s="1334">
        <v>39.545547945205477</v>
      </c>
      <c r="J65" s="1334">
        <v>39.545547945205477</v>
      </c>
      <c r="K65" s="1334">
        <v>15.98</v>
      </c>
      <c r="L65" s="1334">
        <v>20.474375000000002</v>
      </c>
      <c r="M65" s="1334">
        <v>20.474375000000002</v>
      </c>
      <c r="N65" s="1334">
        <v>65.900000000000006</v>
      </c>
      <c r="O65" s="1334">
        <v>75.861397308897679</v>
      </c>
      <c r="P65" s="1334">
        <v>75.861397308897679</v>
      </c>
      <c r="Q65" s="1340"/>
      <c r="R65" s="1340"/>
      <c r="S65" s="1340"/>
      <c r="T65" s="1334">
        <v>13.108443964163223</v>
      </c>
      <c r="U65" s="1334">
        <v>20.786838219118039</v>
      </c>
      <c r="V65" s="1334">
        <v>20.786838219118039</v>
      </c>
    </row>
    <row r="66" spans="2:22" x14ac:dyDescent="0.3">
      <c r="B66" s="1332" t="s">
        <v>266</v>
      </c>
      <c r="C66" s="1332" t="s">
        <v>322</v>
      </c>
      <c r="D66" s="1333" t="s">
        <v>604</v>
      </c>
      <c r="E66" s="1339">
        <v>26.2</v>
      </c>
      <c r="F66" s="1339">
        <v>30.918244849716793</v>
      </c>
      <c r="G66" s="1339">
        <v>30.918244849716793</v>
      </c>
      <c r="H66" s="1334">
        <v>32.950000000000003</v>
      </c>
      <c r="I66" s="1334">
        <v>39.545547945205477</v>
      </c>
      <c r="J66" s="1334">
        <v>39.545547945205477</v>
      </c>
      <c r="K66" s="1334">
        <v>16.850000000000001</v>
      </c>
      <c r="L66" s="1334">
        <v>20.474375000000002</v>
      </c>
      <c r="M66" s="1334">
        <v>20.474375000000002</v>
      </c>
      <c r="N66" s="1334">
        <v>72.2</v>
      </c>
      <c r="O66" s="1334">
        <v>75.861397308897679</v>
      </c>
      <c r="P66" s="1334">
        <v>75.861397308897679</v>
      </c>
      <c r="Q66" s="1340"/>
      <c r="R66" s="1340"/>
      <c r="S66" s="1340"/>
      <c r="T66" s="1334">
        <v>13.34160183271101</v>
      </c>
      <c r="U66" s="1334">
        <v>20.786838219118039</v>
      </c>
      <c r="V66" s="1334">
        <v>20.786838219118039</v>
      </c>
    </row>
    <row r="67" spans="2:22" x14ac:dyDescent="0.3">
      <c r="B67" s="1332" t="s">
        <v>266</v>
      </c>
      <c r="C67" s="1332" t="s">
        <v>323</v>
      </c>
      <c r="D67" s="1333" t="s">
        <v>610</v>
      </c>
      <c r="E67" s="1339">
        <v>27.9</v>
      </c>
      <c r="F67" s="1339">
        <v>30.918244849716793</v>
      </c>
      <c r="G67" s="1339">
        <v>30.918244849716793</v>
      </c>
      <c r="H67" s="1334">
        <v>39.450000000000003</v>
      </c>
      <c r="I67" s="1334">
        <v>39.545547945205477</v>
      </c>
      <c r="J67" s="1334">
        <v>39.545547945205477</v>
      </c>
      <c r="K67" s="1334">
        <v>18.5</v>
      </c>
      <c r="L67" s="1334">
        <v>20.474375000000002</v>
      </c>
      <c r="M67" s="1334">
        <v>20.474375000000002</v>
      </c>
      <c r="N67" s="1334">
        <v>78.7</v>
      </c>
      <c r="O67" s="1334">
        <v>98.851604690496657</v>
      </c>
      <c r="P67" s="1334">
        <v>98.851604690496657</v>
      </c>
      <c r="Q67" s="1340"/>
      <c r="R67" s="1340"/>
      <c r="S67" s="1340"/>
      <c r="T67" s="1334">
        <v>14.543929671160175</v>
      </c>
      <c r="U67" s="1334">
        <v>20.786838219118039</v>
      </c>
      <c r="V67" s="1334">
        <v>20.786838219118039</v>
      </c>
    </row>
    <row r="68" spans="2:22" x14ac:dyDescent="0.3">
      <c r="B68" s="1332" t="s">
        <v>266</v>
      </c>
      <c r="C68" s="1332" t="s">
        <v>324</v>
      </c>
      <c r="D68" s="1333" t="s">
        <v>338</v>
      </c>
      <c r="E68" s="1339">
        <v>30.4</v>
      </c>
      <c r="F68" s="1339">
        <v>35.326726753604298</v>
      </c>
      <c r="G68" s="1339">
        <v>35.326726753604298</v>
      </c>
      <c r="H68" s="1334">
        <v>44.25</v>
      </c>
      <c r="I68" s="1334">
        <v>52.128222291407219</v>
      </c>
      <c r="J68" s="1334">
        <v>52.128222291407219</v>
      </c>
      <c r="K68" s="1334">
        <v>20.85</v>
      </c>
      <c r="L68" s="1334">
        <v>24.615782670454546</v>
      </c>
      <c r="M68" s="1334">
        <v>24.615782670454546</v>
      </c>
      <c r="N68" s="1334">
        <v>89.75</v>
      </c>
      <c r="O68" s="1334">
        <v>98.851604690496657</v>
      </c>
      <c r="P68" s="1334">
        <v>98.851604690496657</v>
      </c>
      <c r="Q68" s="1340"/>
      <c r="R68" s="1340"/>
      <c r="S68" s="1340"/>
      <c r="T68" s="1334">
        <v>14.543929671160175</v>
      </c>
      <c r="U68" s="1334">
        <v>20.786838219118039</v>
      </c>
      <c r="V68" s="1334">
        <v>20.786838219118039</v>
      </c>
    </row>
    <row r="69" spans="2:22" x14ac:dyDescent="0.3">
      <c r="B69" s="1332" t="s">
        <v>325</v>
      </c>
      <c r="C69" s="1332" t="s">
        <v>321</v>
      </c>
      <c r="D69" s="1333" t="s">
        <v>616</v>
      </c>
      <c r="E69" s="1339">
        <v>25.85</v>
      </c>
      <c r="F69" s="1339">
        <v>30.918244849716793</v>
      </c>
      <c r="G69" s="1339">
        <v>30.918244849716793</v>
      </c>
      <c r="H69" s="1334">
        <v>31.55</v>
      </c>
      <c r="I69" s="1334">
        <v>39.545547945205477</v>
      </c>
      <c r="J69" s="1334">
        <v>39.545547945205477</v>
      </c>
      <c r="K69" s="1334">
        <v>15.98</v>
      </c>
      <c r="L69" s="1334">
        <v>20.474375000000002</v>
      </c>
      <c r="M69" s="1334">
        <v>20.474375000000002</v>
      </c>
      <c r="N69" s="1334">
        <v>65.900000000000006</v>
      </c>
      <c r="O69" s="1334">
        <v>75.861397308897679</v>
      </c>
      <c r="P69" s="1334">
        <v>75.861397308897679</v>
      </c>
      <c r="Q69" s="1340"/>
      <c r="R69" s="1340"/>
      <c r="S69" s="1340"/>
      <c r="T69" s="1334">
        <v>13.100351531900936</v>
      </c>
      <c r="U69" s="1334">
        <v>20.786838219118039</v>
      </c>
      <c r="V69" s="1334">
        <v>20.786838219118039</v>
      </c>
    </row>
    <row r="70" spans="2:22" x14ac:dyDescent="0.3">
      <c r="B70" s="1332" t="s">
        <v>325</v>
      </c>
      <c r="C70" s="1332" t="s">
        <v>322</v>
      </c>
      <c r="D70" s="1333" t="s">
        <v>632</v>
      </c>
      <c r="E70" s="1339">
        <v>26.2</v>
      </c>
      <c r="F70" s="1339">
        <v>30.918244849716793</v>
      </c>
      <c r="G70" s="1339">
        <v>30.918244849716793</v>
      </c>
      <c r="H70" s="1334">
        <v>32.950000000000003</v>
      </c>
      <c r="I70" s="1334">
        <v>39.545547945205477</v>
      </c>
      <c r="J70" s="1334">
        <v>39.545547945205477</v>
      </c>
      <c r="K70" s="1334">
        <v>16.850000000000001</v>
      </c>
      <c r="L70" s="1334">
        <v>20.474375000000002</v>
      </c>
      <c r="M70" s="1334">
        <v>20.474375000000002</v>
      </c>
      <c r="N70" s="1334">
        <v>72.2</v>
      </c>
      <c r="O70" s="1334">
        <v>75.861397308897679</v>
      </c>
      <c r="P70" s="1334">
        <v>75.861397308897679</v>
      </c>
      <c r="Q70" s="1340"/>
      <c r="R70" s="1340"/>
      <c r="S70" s="1340"/>
      <c r="T70" s="1334">
        <v>13.34160183271101</v>
      </c>
      <c r="U70" s="1334">
        <v>20.786838219118039</v>
      </c>
      <c r="V70" s="1334">
        <v>20.786838219118039</v>
      </c>
    </row>
    <row r="71" spans="2:22" x14ac:dyDescent="0.3">
      <c r="B71" s="1332" t="s">
        <v>326</v>
      </c>
      <c r="C71" s="1332" t="s">
        <v>321</v>
      </c>
      <c r="D71" s="1333" t="s">
        <v>418</v>
      </c>
      <c r="E71" s="1339">
        <v>25.85</v>
      </c>
      <c r="F71" s="1339">
        <v>30.918244849716793</v>
      </c>
      <c r="G71" s="1339">
        <v>30.918244849716793</v>
      </c>
      <c r="H71" s="1334">
        <v>30.9</v>
      </c>
      <c r="I71" s="1334">
        <v>39.545547945205477</v>
      </c>
      <c r="J71" s="1334">
        <v>39.545547945205477</v>
      </c>
      <c r="K71" s="1334">
        <v>14.55</v>
      </c>
      <c r="L71" s="1334">
        <v>20.474375000000002</v>
      </c>
      <c r="M71" s="1334">
        <v>20.474375000000002</v>
      </c>
      <c r="N71" s="1334">
        <v>65.900000000000006</v>
      </c>
      <c r="O71" s="1334">
        <v>75.861397308897679</v>
      </c>
      <c r="P71" s="1334">
        <v>75.861397308897679</v>
      </c>
      <c r="Q71" s="1340"/>
      <c r="R71" s="1340"/>
      <c r="S71" s="1340"/>
      <c r="T71" s="1334">
        <v>12.171839837462173</v>
      </c>
      <c r="U71" s="1334">
        <v>20.786838219118039</v>
      </c>
      <c r="V71" s="1334">
        <v>20.786838219118039</v>
      </c>
    </row>
    <row r="72" spans="2:22" x14ac:dyDescent="0.3">
      <c r="B72" s="1332" t="s">
        <v>326</v>
      </c>
      <c r="C72" s="1332" t="s">
        <v>322</v>
      </c>
      <c r="D72" s="1333" t="s">
        <v>419</v>
      </c>
      <c r="E72" s="1339">
        <v>26.05</v>
      </c>
      <c r="F72" s="1339">
        <v>30.918244849716793</v>
      </c>
      <c r="G72" s="1339">
        <v>30.918244849716793</v>
      </c>
      <c r="H72" s="1334">
        <v>33.1</v>
      </c>
      <c r="I72" s="1334">
        <v>39.545547945205477</v>
      </c>
      <c r="J72" s="1334">
        <v>39.545547945205477</v>
      </c>
      <c r="K72" s="1334">
        <v>15.6</v>
      </c>
      <c r="L72" s="1334">
        <v>20.474375000000002</v>
      </c>
      <c r="M72" s="1334">
        <v>20.474375000000002</v>
      </c>
      <c r="N72" s="1334">
        <v>72.2</v>
      </c>
      <c r="O72" s="1334">
        <v>75.861397308897679</v>
      </c>
      <c r="P72" s="1334">
        <v>75.861397308897679</v>
      </c>
      <c r="Q72" s="1340"/>
      <c r="R72" s="1340"/>
      <c r="S72" s="1340"/>
      <c r="T72" s="1334">
        <v>12.389006906998013</v>
      </c>
      <c r="U72" s="1334">
        <v>20.786838219118039</v>
      </c>
      <c r="V72" s="1334">
        <v>20.786838219118039</v>
      </c>
    </row>
    <row r="73" spans="2:22" ht="26" x14ac:dyDescent="0.3">
      <c r="B73" s="1332" t="s">
        <v>326</v>
      </c>
      <c r="C73" s="1332" t="s">
        <v>323</v>
      </c>
      <c r="D73" s="1333" t="s">
        <v>420</v>
      </c>
      <c r="E73" s="1339">
        <v>27.9</v>
      </c>
      <c r="F73" s="1339">
        <v>30.918244849716793</v>
      </c>
      <c r="G73" s="1339">
        <v>30.918244849716793</v>
      </c>
      <c r="H73" s="1334">
        <v>34.99</v>
      </c>
      <c r="I73" s="1334">
        <v>39.545547945205477</v>
      </c>
      <c r="J73" s="1334">
        <v>39.545547945205477</v>
      </c>
      <c r="K73" s="1334">
        <v>18.5</v>
      </c>
      <c r="L73" s="1334">
        <v>24.615782670454546</v>
      </c>
      <c r="M73" s="1334">
        <v>24.615782670454546</v>
      </c>
      <c r="N73" s="1334">
        <v>78.7</v>
      </c>
      <c r="O73" s="1334">
        <v>98.851604690496657</v>
      </c>
      <c r="P73" s="1334">
        <v>98.851604690496657</v>
      </c>
      <c r="Q73" s="1340"/>
      <c r="R73" s="1340"/>
      <c r="S73" s="1340"/>
      <c r="T73" s="1334">
        <v>14.543929671160175</v>
      </c>
      <c r="U73" s="1334">
        <v>20.786838219118039</v>
      </c>
      <c r="V73" s="1334">
        <v>20.786838219118039</v>
      </c>
    </row>
    <row r="74" spans="2:22" x14ac:dyDescent="0.3">
      <c r="B74" s="1332" t="s">
        <v>326</v>
      </c>
      <c r="C74" s="1332" t="s">
        <v>324</v>
      </c>
      <c r="D74" s="1333" t="s">
        <v>344</v>
      </c>
      <c r="E74" s="1339">
        <v>30.4</v>
      </c>
      <c r="F74" s="1339">
        <v>35.326726753604298</v>
      </c>
      <c r="G74" s="1339">
        <v>35.326726753604298</v>
      </c>
      <c r="H74" s="1334">
        <v>51.45</v>
      </c>
      <c r="I74" s="1334">
        <v>51.45</v>
      </c>
      <c r="J74" s="1334">
        <v>51.45</v>
      </c>
      <c r="K74" s="1334">
        <v>20.85</v>
      </c>
      <c r="L74" s="1334">
        <v>24.615782670454546</v>
      </c>
      <c r="M74" s="1334">
        <v>24.615782670454546</v>
      </c>
      <c r="N74" s="1334">
        <v>89.75</v>
      </c>
      <c r="O74" s="1334">
        <v>98.851604690496657</v>
      </c>
      <c r="P74" s="1334">
        <v>98.851604690496657</v>
      </c>
      <c r="Q74" s="1340"/>
      <c r="R74" s="1340"/>
      <c r="S74" s="1340"/>
      <c r="T74" s="1334">
        <v>14.543929671160175</v>
      </c>
      <c r="U74" s="1334">
        <v>20.786838219118039</v>
      </c>
      <c r="V74" s="1334">
        <v>20.786838219118039</v>
      </c>
    </row>
    <row r="75" spans="2:22" x14ac:dyDescent="0.3">
      <c r="B75" s="1332" t="s">
        <v>326</v>
      </c>
      <c r="C75" s="1332" t="s">
        <v>327</v>
      </c>
      <c r="D75" s="1333" t="s">
        <v>421</v>
      </c>
      <c r="E75" s="1339"/>
      <c r="F75" s="1339"/>
      <c r="G75" s="1339"/>
      <c r="H75" s="1334">
        <v>59.6</v>
      </c>
      <c r="I75" s="1334">
        <v>59.6</v>
      </c>
      <c r="J75" s="1334">
        <v>59.6</v>
      </c>
      <c r="K75" s="1334"/>
      <c r="L75" s="1334"/>
      <c r="M75" s="1334"/>
      <c r="N75" s="1334"/>
      <c r="O75" s="1334"/>
      <c r="P75" s="1334"/>
      <c r="Q75" s="1334"/>
      <c r="R75" s="1334"/>
      <c r="S75" s="1334"/>
      <c r="T75" s="1334"/>
      <c r="U75" s="1334"/>
      <c r="V75" s="1334"/>
    </row>
    <row r="76" spans="2:22" x14ac:dyDescent="0.3">
      <c r="B76" s="1332" t="s">
        <v>326</v>
      </c>
      <c r="C76" s="1332" t="s">
        <v>331</v>
      </c>
      <c r="D76" s="1333" t="s">
        <v>422</v>
      </c>
      <c r="E76" s="1339"/>
      <c r="F76" s="1339"/>
      <c r="G76" s="1339"/>
      <c r="H76" s="1334">
        <v>59.6</v>
      </c>
      <c r="I76" s="1334">
        <v>59.6</v>
      </c>
      <c r="J76" s="1334">
        <v>59.6</v>
      </c>
      <c r="K76" s="1334"/>
      <c r="L76" s="1334"/>
      <c r="M76" s="1334"/>
      <c r="N76" s="1334"/>
      <c r="O76" s="1334"/>
      <c r="P76" s="1334"/>
      <c r="Q76" s="1334"/>
      <c r="R76" s="1334"/>
      <c r="S76" s="1334"/>
      <c r="T76" s="1334"/>
      <c r="U76" s="1334"/>
      <c r="V76" s="1334"/>
    </row>
  </sheetData>
  <mergeCells count="14">
    <mergeCell ref="Q47:S47"/>
    <mergeCell ref="T47:V47"/>
    <mergeCell ref="E63:G63"/>
    <mergeCell ref="H63:J63"/>
    <mergeCell ref="K63:M63"/>
    <mergeCell ref="N63:P63"/>
    <mergeCell ref="Q63:S63"/>
    <mergeCell ref="T63:V63"/>
    <mergeCell ref="N47:P47"/>
    <mergeCell ref="E2:J2"/>
    <mergeCell ref="E17:J17"/>
    <mergeCell ref="E47:G47"/>
    <mergeCell ref="H47:J47"/>
    <mergeCell ref="K47:M4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T40"/>
  <sheetViews>
    <sheetView showGridLines="0" zoomScale="80" zoomScaleNormal="80" workbookViewId="0">
      <selection activeCell="S15" sqref="S15"/>
    </sheetView>
  </sheetViews>
  <sheetFormatPr defaultColWidth="9.1796875" defaultRowHeight="13" x14ac:dyDescent="0.3"/>
  <cols>
    <col min="1" max="1" width="2.7265625" style="14" customWidth="1"/>
    <col min="2" max="2" width="28.7265625" style="338" bestFit="1" customWidth="1"/>
    <col min="3" max="3" width="12.7265625" style="14" bestFit="1" customWidth="1"/>
    <col min="4" max="4" width="11.7265625" style="14" bestFit="1" customWidth="1"/>
    <col min="5" max="5" width="12.453125" style="14" bestFit="1" customWidth="1"/>
    <col min="6" max="6" width="11.7265625" style="14" bestFit="1" customWidth="1"/>
    <col min="7" max="7" width="11.7265625" style="31" bestFit="1" customWidth="1"/>
    <col min="8" max="8" width="5.26953125" style="14" bestFit="1" customWidth="1"/>
    <col min="9" max="9" width="2.7265625" style="274" customWidth="1"/>
    <col min="10" max="10" width="9.54296875" style="14" hidden="1" customWidth="1"/>
    <col min="11" max="11" width="10.453125" style="14" hidden="1" customWidth="1"/>
    <col min="12" max="12" width="9.54296875" style="1386" hidden="1" customWidth="1"/>
    <col min="13" max="13" width="0" style="14" hidden="1" customWidth="1"/>
    <col min="14" max="14" width="9.1796875" style="14"/>
    <col min="15" max="15" width="10.81640625" style="14" bestFit="1" customWidth="1"/>
    <col min="16" max="16" width="9.54296875" style="14" bestFit="1" customWidth="1"/>
    <col min="17" max="17" width="9.1796875" style="14"/>
    <col min="18" max="18" width="20" style="14" bestFit="1" customWidth="1"/>
    <col min="19" max="19" width="19.6328125" style="14" bestFit="1" customWidth="1"/>
    <col min="20" max="16384" width="9.1796875" style="14"/>
  </cols>
  <sheetData>
    <row r="1" spans="2:20" ht="3" customHeight="1" thickBot="1" x14ac:dyDescent="0.35"/>
    <row r="2" spans="2:20" ht="15" customHeight="1" thickBot="1" x14ac:dyDescent="0.35">
      <c r="B2" s="1586" t="str">
        <f>Summary!B3</f>
        <v>Ind Tier 1 -Mumbai</v>
      </c>
      <c r="C2" s="1587"/>
      <c r="D2" s="1587"/>
      <c r="E2" s="1587"/>
      <c r="F2" s="1587"/>
      <c r="G2" s="1588"/>
      <c r="J2" s="1234"/>
    </row>
    <row r="3" spans="2:20" x14ac:dyDescent="0.3">
      <c r="B3" s="339" t="s">
        <v>1</v>
      </c>
      <c r="C3" s="336" t="s">
        <v>2</v>
      </c>
      <c r="D3" s="551" t="s">
        <v>3</v>
      </c>
      <c r="E3" s="633" t="s">
        <v>4</v>
      </c>
      <c r="F3" s="551" t="s">
        <v>3</v>
      </c>
      <c r="G3" s="552" t="s">
        <v>5</v>
      </c>
      <c r="O3" s="336" t="s">
        <v>2</v>
      </c>
    </row>
    <row r="4" spans="2:20" x14ac:dyDescent="0.3">
      <c r="B4" s="340" t="s">
        <v>6</v>
      </c>
      <c r="C4" s="1361">
        <f>'P&amp;L'!$EE$25</f>
        <v>3814626.6160714291</v>
      </c>
      <c r="D4" s="262"/>
      <c r="E4" s="1361">
        <f>'P&amp;L'!$EB$25</f>
        <v>1260620.6785714286</v>
      </c>
      <c r="F4" s="262"/>
      <c r="G4" s="335">
        <f>Summary!$AC$6</f>
        <v>10.1</v>
      </c>
      <c r="H4" s="272" t="b">
        <f>SUM(G6:G35)=G4</f>
        <v>0</v>
      </c>
      <c r="L4" s="1408">
        <v>7314898.1600000001</v>
      </c>
      <c r="M4" s="769">
        <f>(C4-L4)/C4</f>
        <v>-0.91759217774593016</v>
      </c>
      <c r="O4" s="1361">
        <v>3390930.7142857141</v>
      </c>
      <c r="P4" s="1386">
        <f>O4-C4</f>
        <v>-423695.90178571502</v>
      </c>
      <c r="Q4" s="34"/>
    </row>
    <row r="5" spans="2:20" x14ac:dyDescent="0.3">
      <c r="B5" s="341" t="s">
        <v>7</v>
      </c>
      <c r="C5" s="1362">
        <f>'P&amp;L'!$EE26</f>
        <v>1035368.4636034768</v>
      </c>
      <c r="D5" s="325">
        <f>C5/C$4</f>
        <v>0.27142065733022436</v>
      </c>
      <c r="E5" s="1362">
        <f>'P&amp;L'!$EB26</f>
        <v>358221.60739528254</v>
      </c>
      <c r="F5" s="325">
        <f>E5/E$4</f>
        <v>0.28416288379564697</v>
      </c>
      <c r="G5" s="328"/>
      <c r="H5" s="64"/>
      <c r="O5" s="1362">
        <v>941113.98676681868</v>
      </c>
      <c r="P5" s="1386">
        <f t="shared" ref="P5:P35" si="0">O5-C5</f>
        <v>-94254.476836658083</v>
      </c>
    </row>
    <row r="6" spans="2:20" x14ac:dyDescent="0.3">
      <c r="B6" s="342" t="s">
        <v>661</v>
      </c>
      <c r="C6" s="263">
        <f>SUM('P&amp;L'!$C$129:$AO$129)/'P&amp;L'!$E$5</f>
        <v>710369.40920701239</v>
      </c>
      <c r="D6" s="264">
        <f t="shared" ref="D6:F12" si="1">C6/C$4</f>
        <v>0.18622252731477054</v>
      </c>
      <c r="E6" s="263">
        <f>SUM('P&amp;L'!$C$129:$Q$129)/'P&amp;L'!$E$5</f>
        <v>225335.26065250201</v>
      </c>
      <c r="F6" s="264">
        <f t="shared" si="1"/>
        <v>0.17874945610749329</v>
      </c>
      <c r="G6" s="329">
        <f t="shared" ref="G6:G14" si="2">$G$4*F6</f>
        <v>1.8053695066856823</v>
      </c>
      <c r="H6" s="64"/>
      <c r="L6" s="1408">
        <v>3324556.0139177907</v>
      </c>
      <c r="M6" s="769">
        <f>(C6-L6)/C6</f>
        <v>-3.6800382601342632</v>
      </c>
      <c r="O6" s="263">
        <v>634061.06400000025</v>
      </c>
      <c r="P6" s="1386">
        <f t="shared" si="0"/>
        <v>-76308.345207012142</v>
      </c>
      <c r="Q6" s="34"/>
      <c r="R6" s="37"/>
    </row>
    <row r="7" spans="2:20" x14ac:dyDescent="0.3">
      <c r="B7" s="342" t="s">
        <v>662</v>
      </c>
      <c r="C7" s="263">
        <f>SUM('P&amp;L'!$C$130:$AO$130)/'P&amp;L'!$E$5</f>
        <v>49607.532595397235</v>
      </c>
      <c r="D7" s="264">
        <f t="shared" si="1"/>
        <v>1.3004557873736687E-2</v>
      </c>
      <c r="E7" s="263">
        <f>SUM('P&amp;L'!$C$130:$Q$130)/'P&amp;L'!$E$5</f>
        <v>31380.198028179446</v>
      </c>
      <c r="F7" s="264">
        <f t="shared" si="1"/>
        <v>2.4892656896395179E-2</v>
      </c>
      <c r="G7" s="329">
        <f t="shared" si="2"/>
        <v>0.2514158346535913</v>
      </c>
      <c r="H7" s="64"/>
      <c r="L7" s="1408">
        <v>256775.56086684472</v>
      </c>
      <c r="M7" s="769">
        <f t="shared" ref="M7:M12" si="3">(C7-L7)/C7</f>
        <v>-4.1761405462578738</v>
      </c>
      <c r="O7" s="263">
        <v>45860.892465838944</v>
      </c>
      <c r="P7" s="1386">
        <f t="shared" si="0"/>
        <v>-3746.6401295582909</v>
      </c>
      <c r="Q7" s="34"/>
      <c r="R7" s="37"/>
      <c r="S7" s="34"/>
    </row>
    <row r="8" spans="2:20" x14ac:dyDescent="0.3">
      <c r="B8" s="342" t="s">
        <v>8</v>
      </c>
      <c r="C8" s="263">
        <f>SUM('P&amp;L'!$C$134:$AO$134)/'P&amp;L'!$E$5</f>
        <v>275391.52180106647</v>
      </c>
      <c r="D8" s="264">
        <f t="shared" si="1"/>
        <v>7.2193572141716983E-2</v>
      </c>
      <c r="E8" s="263">
        <f>SUM('P&amp;L'!$C$134:$Q$134)/'P&amp;L'!$E$5</f>
        <v>101506.14871460102</v>
      </c>
      <c r="F8" s="264">
        <f t="shared" si="1"/>
        <v>8.0520770791758456E-2</v>
      </c>
      <c r="G8" s="329">
        <f t="shared" si="2"/>
        <v>0.81325978499676033</v>
      </c>
      <c r="H8" s="64"/>
      <c r="L8" s="1408">
        <v>717068.20313440904</v>
      </c>
      <c r="M8" s="1024">
        <f t="shared" si="3"/>
        <v>-1.6038136484549981</v>
      </c>
      <c r="O8" s="263">
        <v>261192.03030097997</v>
      </c>
      <c r="P8" s="1386">
        <f t="shared" si="0"/>
        <v>-14199.4915000865</v>
      </c>
      <c r="Q8" s="34"/>
      <c r="R8" s="37"/>
    </row>
    <row r="9" spans="2:20" x14ac:dyDescent="0.3">
      <c r="B9" s="342" t="s">
        <v>9</v>
      </c>
      <c r="C9" s="263">
        <f>'P&amp;L'!$EE27</f>
        <v>77269.681445258568</v>
      </c>
      <c r="D9" s="264">
        <f t="shared" si="1"/>
        <v>2.0256158524064493E-2</v>
      </c>
      <c r="E9" s="263">
        <f>'P&amp;L'!$EB27</f>
        <v>25064.526469811364</v>
      </c>
      <c r="F9" s="264">
        <f t="shared" si="1"/>
        <v>1.9882687073018032E-2</v>
      </c>
      <c r="G9" s="329">
        <f t="shared" si="2"/>
        <v>0.20081513943748211</v>
      </c>
      <c r="H9" s="64"/>
      <c r="L9" s="1408">
        <v>23476.908515623509</v>
      </c>
      <c r="M9" s="769">
        <f t="shared" si="3"/>
        <v>0.69616920794146608</v>
      </c>
      <c r="O9" s="263">
        <v>111937.44923484939</v>
      </c>
      <c r="P9" s="1386">
        <f t="shared" si="0"/>
        <v>34667.767789590827</v>
      </c>
      <c r="Q9" s="34"/>
      <c r="R9" s="37"/>
    </row>
    <row r="10" spans="2:20" x14ac:dyDescent="0.3">
      <c r="B10" s="342" t="s">
        <v>10</v>
      </c>
      <c r="C10" s="263">
        <f>'P&amp;L'!$EE28</f>
        <v>25570.89404911887</v>
      </c>
      <c r="D10" s="265">
        <f t="shared" ref="D10:D12" si="4">C10/C$4</f>
        <v>6.7033805986111365E-3</v>
      </c>
      <c r="E10" s="263">
        <f>'P&amp;L'!$EB28</f>
        <v>18339.948546655363</v>
      </c>
      <c r="F10" s="265">
        <f t="shared" si="1"/>
        <v>1.4548348173566943E-2</v>
      </c>
      <c r="G10" s="329">
        <f t="shared" si="2"/>
        <v>0.14693831655302611</v>
      </c>
      <c r="H10" s="64"/>
      <c r="L10" s="1408">
        <v>64527.779389750918</v>
      </c>
      <c r="M10" s="769">
        <f t="shared" si="3"/>
        <v>-1.5234854622525189</v>
      </c>
      <c r="O10" s="263">
        <v>38285.824605474918</v>
      </c>
      <c r="P10" s="1386">
        <f t="shared" si="0"/>
        <v>12714.930556356048</v>
      </c>
      <c r="Q10" s="34"/>
      <c r="R10" s="37"/>
    </row>
    <row r="11" spans="2:20" x14ac:dyDescent="0.3">
      <c r="B11" s="342" t="s">
        <v>11</v>
      </c>
      <c r="C11" s="263">
        <f>'P&amp;L'!$EE29</f>
        <v>641.59676767676842</v>
      </c>
      <c r="D11" s="265">
        <f t="shared" si="4"/>
        <v>1.6819385807608346E-4</v>
      </c>
      <c r="E11" s="263">
        <f>'P&amp;L'!$EB29</f>
        <v>386.94949494949515</v>
      </c>
      <c r="F11" s="265">
        <f t="shared" si="1"/>
        <v>3.0695156880021783E-4</v>
      </c>
      <c r="G11" s="329">
        <f t="shared" si="2"/>
        <v>3.1002108448822002E-3</v>
      </c>
      <c r="L11" s="1408">
        <v>0</v>
      </c>
      <c r="M11" s="769">
        <f t="shared" si="3"/>
        <v>1</v>
      </c>
      <c r="O11" s="263">
        <v>646.84941176470636</v>
      </c>
      <c r="P11" s="1386">
        <f t="shared" si="0"/>
        <v>5.2526440879379379</v>
      </c>
      <c r="Q11" s="34"/>
      <c r="R11" s="37"/>
    </row>
    <row r="12" spans="2:20" x14ac:dyDescent="0.3">
      <c r="B12" s="342" t="s">
        <v>12</v>
      </c>
      <c r="C12" s="263">
        <f>'P&amp;L'!$EE30</f>
        <v>111334.21912714574</v>
      </c>
      <c r="D12" s="265">
        <f t="shared" si="4"/>
        <v>2.918613807655061E-2</v>
      </c>
      <c r="E12" s="263">
        <f>'P&amp;L'!$EB30</f>
        <v>37752.711133865276</v>
      </c>
      <c r="F12" s="265">
        <f t="shared" si="1"/>
        <v>2.9947716847424498E-2</v>
      </c>
      <c r="G12" s="329">
        <f t="shared" si="2"/>
        <v>0.30247194015898743</v>
      </c>
      <c r="L12" s="1408">
        <v>0</v>
      </c>
      <c r="M12" s="769">
        <f t="shared" si="3"/>
        <v>1</v>
      </c>
      <c r="O12" s="263">
        <v>93828.969923417317</v>
      </c>
      <c r="P12" s="1386">
        <f t="shared" si="0"/>
        <v>-17505.249203728425</v>
      </c>
      <c r="R12" s="37"/>
    </row>
    <row r="13" spans="2:20" ht="4.5" customHeight="1" x14ac:dyDescent="0.3">
      <c r="B13" s="342"/>
      <c r="C13" s="263"/>
      <c r="D13" s="266"/>
      <c r="E13" s="263"/>
      <c r="F13" s="266"/>
      <c r="G13" s="330"/>
      <c r="L13" s="1408"/>
      <c r="M13" s="769"/>
      <c r="O13" s="263"/>
      <c r="P13" s="1386">
        <f t="shared" si="0"/>
        <v>0</v>
      </c>
      <c r="R13" s="37"/>
    </row>
    <row r="14" spans="2:20" x14ac:dyDescent="0.3">
      <c r="B14" s="341" t="s">
        <v>13</v>
      </c>
      <c r="C14" s="1362">
        <f>'P&amp;L'!$EE32</f>
        <v>1250184.854992677</v>
      </c>
      <c r="D14" s="1368">
        <f t="shared" ref="D14:D19" si="5">C14/C$4</f>
        <v>0.32773452838752676</v>
      </c>
      <c r="E14" s="1362">
        <f>'P&amp;L'!$EB32</f>
        <v>439765.74304056406</v>
      </c>
      <c r="F14" s="1368">
        <f t="shared" ref="F14:F19" si="6">E14/E$4</f>
        <v>0.3488485874584567</v>
      </c>
      <c r="G14" s="328">
        <f t="shared" si="2"/>
        <v>3.5233707333304127</v>
      </c>
      <c r="L14" s="1408"/>
      <c r="M14" s="769"/>
      <c r="O14" s="1362">
        <v>1185813.0799423249</v>
      </c>
      <c r="P14" s="1386">
        <f t="shared" si="0"/>
        <v>-64371.775050352095</v>
      </c>
      <c r="R14" s="37"/>
    </row>
    <row r="15" spans="2:20" x14ac:dyDescent="0.3">
      <c r="B15" s="342" t="s">
        <v>14</v>
      </c>
      <c r="C15" s="263">
        <f>'P&amp;L'!$EE33</f>
        <v>88393.417509090912</v>
      </c>
      <c r="D15" s="265">
        <f t="shared" si="5"/>
        <v>2.3172233197524501E-2</v>
      </c>
      <c r="E15" s="263">
        <f>'P&amp;L'!$EB33</f>
        <v>28039.149090909083</v>
      </c>
      <c r="F15" s="265">
        <f t="shared" si="6"/>
        <v>2.2242336309034567E-2</v>
      </c>
      <c r="G15" s="329">
        <f>$G$4*F15</f>
        <v>0.22464759672124912</v>
      </c>
      <c r="L15" s="1408">
        <v>35635.626966926022</v>
      </c>
      <c r="M15" s="769">
        <f t="shared" ref="M15:M19" si="7">(C15-L15)/C15</f>
        <v>0.59685202845267249</v>
      </c>
      <c r="O15" s="263">
        <v>56934.150000000009</v>
      </c>
      <c r="P15" s="1386">
        <f t="shared" si="0"/>
        <v>-31459.267509090903</v>
      </c>
      <c r="R15" s="37"/>
      <c r="T15" s="34"/>
    </row>
    <row r="16" spans="2:20" x14ac:dyDescent="0.3">
      <c r="B16" s="342" t="s">
        <v>15</v>
      </c>
      <c r="C16" s="263">
        <f>'P&amp;L'!$EE34</f>
        <v>429438.08395211317</v>
      </c>
      <c r="D16" s="265">
        <f t="shared" si="5"/>
        <v>0.11257670204020616</v>
      </c>
      <c r="E16" s="263">
        <f>'P&amp;L'!$EB34</f>
        <v>144389.8498183201</v>
      </c>
      <c r="F16" s="265">
        <f t="shared" si="6"/>
        <v>0.11453869690757953</v>
      </c>
      <c r="G16" s="329">
        <f>$G$4*F16</f>
        <v>1.1568408387665532</v>
      </c>
      <c r="L16" s="1408">
        <v>146710.41745447909</v>
      </c>
      <c r="M16" s="769">
        <f t="shared" si="7"/>
        <v>0.65836654237950909</v>
      </c>
      <c r="O16" s="263">
        <v>341073.46117295261</v>
      </c>
      <c r="P16" s="1386">
        <f t="shared" si="0"/>
        <v>-88364.622779160563</v>
      </c>
      <c r="Q16" s="34"/>
      <c r="R16" s="37"/>
      <c r="T16" s="1444"/>
    </row>
    <row r="17" spans="2:18" x14ac:dyDescent="0.3">
      <c r="B17" s="342" t="s">
        <v>16</v>
      </c>
      <c r="C17" s="263">
        <f>'P&amp;L'!$EE35</f>
        <v>176882.75880218853</v>
      </c>
      <c r="D17" s="265">
        <f t="shared" si="5"/>
        <v>4.6369612705202283E-2</v>
      </c>
      <c r="E17" s="263">
        <f>'P&amp;L'!$EB35</f>
        <v>59773.845186518243</v>
      </c>
      <c r="F17" s="265">
        <f t="shared" si="6"/>
        <v>4.7416202353792632E-2</v>
      </c>
      <c r="G17" s="329">
        <f>$G$4*F17</f>
        <v>0.47890364377330558</v>
      </c>
      <c r="L17" s="1408">
        <v>180499.07002060564</v>
      </c>
      <c r="M17" s="769">
        <f t="shared" si="7"/>
        <v>-2.044467896648591E-2</v>
      </c>
      <c r="O17" s="263">
        <v>173092.0760541615</v>
      </c>
      <c r="P17" s="1386">
        <f t="shared" si="0"/>
        <v>-3790.6827480270294</v>
      </c>
      <c r="Q17" s="34"/>
      <c r="R17" s="37"/>
    </row>
    <row r="18" spans="2:18" x14ac:dyDescent="0.3">
      <c r="B18" s="342" t="s">
        <v>17</v>
      </c>
      <c r="C18" s="263">
        <f>'P&amp;L'!$EE36</f>
        <v>19073.13308035714</v>
      </c>
      <c r="D18" s="265">
        <f t="shared" si="5"/>
        <v>4.9999999999999984E-3</v>
      </c>
      <c r="E18" s="263">
        <f>'P&amp;L'!$EB36</f>
        <v>6303.1033928571414</v>
      </c>
      <c r="F18" s="265">
        <f t="shared" si="6"/>
        <v>4.9999999999999984E-3</v>
      </c>
      <c r="G18" s="329">
        <f>$G$4*F18</f>
        <v>5.0499999999999982E-2</v>
      </c>
      <c r="L18" s="1408">
        <v>17774.025399999999</v>
      </c>
      <c r="M18" s="769">
        <f t="shared" si="7"/>
        <v>6.8111918208920499E-2</v>
      </c>
      <c r="O18" s="263">
        <v>16954.653571428571</v>
      </c>
      <c r="P18" s="1386">
        <f t="shared" si="0"/>
        <v>-2118.479508928569</v>
      </c>
      <c r="Q18" s="34"/>
      <c r="R18" s="37"/>
    </row>
    <row r="19" spans="2:18" x14ac:dyDescent="0.3">
      <c r="B19" s="342" t="s">
        <v>18</v>
      </c>
      <c r="C19" s="263">
        <f>'P&amp;L'!$EE37</f>
        <v>19073.13308035714</v>
      </c>
      <c r="D19" s="265">
        <f t="shared" si="5"/>
        <v>4.9999999999999984E-3</v>
      </c>
      <c r="E19" s="263">
        <f>'P&amp;L'!$EB37</f>
        <v>6303.1033928571414</v>
      </c>
      <c r="F19" s="265">
        <f t="shared" si="6"/>
        <v>4.9999999999999984E-3</v>
      </c>
      <c r="G19" s="329">
        <f>$G$4*F19</f>
        <v>5.0499999999999982E-2</v>
      </c>
      <c r="L19" s="1408">
        <v>17774.025399999999</v>
      </c>
      <c r="M19" s="769">
        <f t="shared" si="7"/>
        <v>6.8111918208920499E-2</v>
      </c>
      <c r="O19" s="263">
        <v>16954.653571428571</v>
      </c>
      <c r="P19" s="1386">
        <f t="shared" si="0"/>
        <v>-2118.479508928569</v>
      </c>
      <c r="Q19" s="34"/>
      <c r="R19" s="37"/>
    </row>
    <row r="20" spans="2:18" ht="4.5" customHeight="1" x14ac:dyDescent="0.3">
      <c r="B20" s="342"/>
      <c r="C20" s="263"/>
      <c r="D20" s="266"/>
      <c r="E20" s="263"/>
      <c r="F20" s="266"/>
      <c r="G20" s="330"/>
      <c r="L20" s="1408"/>
      <c r="M20" s="769"/>
      <c r="O20" s="263"/>
      <c r="P20" s="1386">
        <f t="shared" si="0"/>
        <v>0</v>
      </c>
      <c r="R20" s="37"/>
    </row>
    <row r="21" spans="2:18" x14ac:dyDescent="0.3">
      <c r="B21" s="343" t="s">
        <v>19</v>
      </c>
      <c r="C21" s="1369">
        <f>SUM(C14:C19)</f>
        <v>1983045.3814167841</v>
      </c>
      <c r="D21" s="1370">
        <f>C21/C$4</f>
        <v>0.51985307633045974</v>
      </c>
      <c r="E21" s="1369">
        <f>SUM(E14:E19)</f>
        <v>684574.79392202583</v>
      </c>
      <c r="F21" s="1370">
        <f>E21/E$4</f>
        <v>0.54304582302886351</v>
      </c>
      <c r="G21" s="1371"/>
      <c r="L21" s="1408"/>
      <c r="M21" s="769"/>
      <c r="O21" s="1369">
        <v>1790822.0743122958</v>
      </c>
      <c r="P21" s="1386">
        <f t="shared" si="0"/>
        <v>-192223.30710448837</v>
      </c>
      <c r="R21" s="37"/>
    </row>
    <row r="22" spans="2:18" ht="3" customHeight="1" x14ac:dyDescent="0.3">
      <c r="B22" s="344"/>
      <c r="C22" s="1364"/>
      <c r="D22" s="268"/>
      <c r="E22" s="1364"/>
      <c r="F22" s="268"/>
      <c r="G22" s="332"/>
      <c r="L22" s="1408"/>
      <c r="M22" s="769"/>
      <c r="O22" s="1364"/>
      <c r="P22" s="1386">
        <f t="shared" si="0"/>
        <v>0</v>
      </c>
      <c r="R22" s="37"/>
    </row>
    <row r="23" spans="2:18" x14ac:dyDescent="0.3">
      <c r="B23" s="345" t="s">
        <v>20</v>
      </c>
      <c r="C23" s="1365">
        <f>C4-C21</f>
        <v>1831581.234654645</v>
      </c>
      <c r="D23" s="269">
        <f>C23/C$4</f>
        <v>0.4801469236695402</v>
      </c>
      <c r="E23" s="1365">
        <f>E4-E21</f>
        <v>576045.88464940281</v>
      </c>
      <c r="F23" s="269">
        <f>E23/E$4</f>
        <v>0.45695417697113649</v>
      </c>
      <c r="G23" s="333"/>
      <c r="L23" s="1408"/>
      <c r="M23" s="769"/>
      <c r="O23" s="1365">
        <v>1600108.6399734183</v>
      </c>
      <c r="P23" s="1386">
        <f t="shared" si="0"/>
        <v>-231472.59468122665</v>
      </c>
      <c r="R23" s="37"/>
    </row>
    <row r="24" spans="2:18" ht="3" customHeight="1" x14ac:dyDescent="0.3">
      <c r="B24" s="346"/>
      <c r="C24" s="1366"/>
      <c r="D24" s="270"/>
      <c r="E24" s="1366"/>
      <c r="F24" s="270"/>
      <c r="G24" s="334"/>
      <c r="L24" s="1408"/>
      <c r="M24" s="769"/>
      <c r="O24" s="1366"/>
      <c r="P24" s="1386">
        <f t="shared" si="0"/>
        <v>0</v>
      </c>
      <c r="R24" s="37"/>
    </row>
    <row r="25" spans="2:18" x14ac:dyDescent="0.3">
      <c r="B25" s="347" t="s">
        <v>21</v>
      </c>
      <c r="C25" s="263">
        <f>'P&amp;L'!$EE44</f>
        <v>121719.84272001946</v>
      </c>
      <c r="D25" s="265">
        <f>C25/C$4</f>
        <v>3.1908717410820964E-2</v>
      </c>
      <c r="E25" s="263">
        <f>'P&amp;L'!$EB44</f>
        <v>41274.408690292628</v>
      </c>
      <c r="F25" s="265">
        <f>E25/E$4</f>
        <v>3.2741338764223644E-2</v>
      </c>
      <c r="G25" s="329">
        <f>$G$4*F25</f>
        <v>0.33068752151865882</v>
      </c>
      <c r="L25" s="1408">
        <v>254385.61629493022</v>
      </c>
      <c r="M25" s="769">
        <f t="shared" ref="M25" si="8">(C25-L25)/C25</f>
        <v>-1.0899272510569142</v>
      </c>
      <c r="O25" s="263">
        <v>115826.29414500509</v>
      </c>
      <c r="P25" s="1386">
        <f t="shared" si="0"/>
        <v>-5893.5485750143707</v>
      </c>
      <c r="Q25" s="34"/>
      <c r="R25" s="37"/>
    </row>
    <row r="26" spans="2:18" ht="2.25" customHeight="1" x14ac:dyDescent="0.3">
      <c r="B26" s="348"/>
      <c r="C26" s="263"/>
      <c r="D26" s="265"/>
      <c r="E26" s="263"/>
      <c r="F26" s="265"/>
      <c r="G26" s="329"/>
      <c r="L26" s="1408"/>
      <c r="M26" s="769"/>
      <c r="O26" s="263"/>
      <c r="P26" s="1386">
        <f t="shared" si="0"/>
        <v>0</v>
      </c>
      <c r="R26" s="37"/>
    </row>
    <row r="27" spans="2:18" x14ac:dyDescent="0.3">
      <c r="B27" s="349" t="s">
        <v>22</v>
      </c>
      <c r="C27" s="1363">
        <f>SUM(C25,C21)</f>
        <v>2104765.2241368038</v>
      </c>
      <c r="D27" s="267">
        <f>C27/C$4</f>
        <v>0.55176179374128076</v>
      </c>
      <c r="E27" s="1363">
        <f>SUM(E25,E21)</f>
        <v>725849.20261231845</v>
      </c>
      <c r="F27" s="267">
        <f>E27/E$4</f>
        <v>0.57578716179308709</v>
      </c>
      <c r="G27" s="331"/>
      <c r="L27" s="1408"/>
      <c r="M27" s="769"/>
      <c r="O27" s="1363">
        <v>1906648.3684573008</v>
      </c>
      <c r="P27" s="1386">
        <f t="shared" si="0"/>
        <v>-198116.85567950294</v>
      </c>
      <c r="R27" s="37"/>
    </row>
    <row r="28" spans="2:18" ht="3" customHeight="1" x14ac:dyDescent="0.3">
      <c r="B28" s="350"/>
      <c r="C28" s="263"/>
      <c r="D28" s="265"/>
      <c r="E28" s="263"/>
      <c r="F28" s="265"/>
      <c r="G28" s="329"/>
      <c r="L28" s="1408"/>
      <c r="M28" s="769"/>
      <c r="O28" s="263"/>
      <c r="P28" s="1386">
        <f t="shared" si="0"/>
        <v>0</v>
      </c>
      <c r="R28" s="37"/>
    </row>
    <row r="29" spans="2:18" x14ac:dyDescent="0.3">
      <c r="B29" s="351" t="s">
        <v>23</v>
      </c>
      <c r="C29" s="1365">
        <f>C4-C27</f>
        <v>1709861.3919346253</v>
      </c>
      <c r="D29" s="269">
        <f>C29/C$4</f>
        <v>0.44823820625871919</v>
      </c>
      <c r="E29" s="1365">
        <f>E4-E27</f>
        <v>534771.47595911019</v>
      </c>
      <c r="F29" s="269">
        <f>E29/E$4</f>
        <v>0.42421283820691291</v>
      </c>
      <c r="G29" s="333"/>
      <c r="L29" s="1408"/>
      <c r="M29" s="769"/>
      <c r="O29" s="1365">
        <v>1484282.3458284133</v>
      </c>
      <c r="P29" s="1386">
        <f t="shared" si="0"/>
        <v>-225579.04610621207</v>
      </c>
      <c r="R29" s="37"/>
    </row>
    <row r="30" spans="2:18" ht="3.65" customHeight="1" x14ac:dyDescent="0.3">
      <c r="B30" s="342"/>
      <c r="C30" s="263"/>
      <c r="D30" s="265"/>
      <c r="E30" s="263"/>
      <c r="F30" s="265"/>
      <c r="G30" s="329"/>
      <c r="L30" s="1408"/>
      <c r="M30" s="769"/>
      <c r="O30" s="263"/>
      <c r="P30" s="1386">
        <f t="shared" si="0"/>
        <v>0</v>
      </c>
      <c r="R30" s="37"/>
    </row>
    <row r="31" spans="2:18" x14ac:dyDescent="0.3">
      <c r="B31" s="342" t="s">
        <v>24</v>
      </c>
      <c r="C31" s="263">
        <f>'P&amp;L'!$EE51</f>
        <v>0</v>
      </c>
      <c r="D31" s="265">
        <f>C31/C$4</f>
        <v>0</v>
      </c>
      <c r="E31" s="263">
        <f>'P&amp;L'!$EB51</f>
        <v>0</v>
      </c>
      <c r="F31" s="265">
        <f>E31/E$4</f>
        <v>0</v>
      </c>
      <c r="G31" s="329">
        <f>$G$4*F31</f>
        <v>0</v>
      </c>
      <c r="L31" s="1408"/>
      <c r="M31" s="769"/>
      <c r="O31" s="263">
        <v>0</v>
      </c>
      <c r="P31" s="1386">
        <f t="shared" si="0"/>
        <v>0</v>
      </c>
      <c r="R31" s="37"/>
    </row>
    <row r="32" spans="2:18" x14ac:dyDescent="0.3">
      <c r="B32" s="342" t="s">
        <v>310</v>
      </c>
      <c r="C32" s="263">
        <f>'P&amp;L'!$EE52</f>
        <v>81614.889642857132</v>
      </c>
      <c r="D32" s="265">
        <f>C32/C$4</f>
        <v>2.1395249878193814E-2</v>
      </c>
      <c r="E32" s="263">
        <f>'P&amp;L'!$EB52</f>
        <v>50424.827142857132</v>
      </c>
      <c r="F32" s="265">
        <f>E32/E$4</f>
        <v>3.9999999999999987E-2</v>
      </c>
      <c r="G32" s="329">
        <f>$G$4*F32</f>
        <v>0.40399999999999986</v>
      </c>
      <c r="L32" s="1408">
        <v>150315.75999999998</v>
      </c>
      <c r="M32" s="769">
        <f t="shared" ref="M32:M35" si="9">(C32-L32)/C32</f>
        <v>-0.84176883235123623</v>
      </c>
      <c r="O32" s="263">
        <v>72470.818571428579</v>
      </c>
      <c r="P32" s="1386">
        <f t="shared" si="0"/>
        <v>-9144.0710714285524</v>
      </c>
      <c r="Q32" s="34"/>
      <c r="R32" s="37"/>
    </row>
    <row r="33" spans="2:18" x14ac:dyDescent="0.3">
      <c r="B33" s="342" t="s">
        <v>25</v>
      </c>
      <c r="C33" s="263">
        <f>'P&amp;L'!$EE58</f>
        <v>48625.242623476137</v>
      </c>
      <c r="D33" s="265">
        <f>C33/C$4</f>
        <v>1.2747051682230916E-2</v>
      </c>
      <c r="E33" s="263">
        <f>'P&amp;L'!$EB58</f>
        <v>17240.478268199236</v>
      </c>
      <c r="F33" s="265">
        <f>E33/E$4</f>
        <v>1.367618234514179E-2</v>
      </c>
      <c r="G33" s="329">
        <f>$G$4*F33</f>
        <v>0.13812944168593208</v>
      </c>
      <c r="L33" s="1408">
        <v>92941.381845075026</v>
      </c>
      <c r="M33" s="769">
        <f t="shared" si="9"/>
        <v>-0.91138134908149904</v>
      </c>
      <c r="O33" s="263">
        <v>45018.973185391515</v>
      </c>
      <c r="P33" s="1386">
        <f t="shared" si="0"/>
        <v>-3606.2694380846224</v>
      </c>
      <c r="Q33" s="34"/>
      <c r="R33" s="37"/>
    </row>
    <row r="34" spans="2:18" ht="3" customHeight="1" x14ac:dyDescent="0.3">
      <c r="B34" s="350"/>
      <c r="C34" s="326"/>
      <c r="D34" s="268"/>
      <c r="E34" s="326"/>
      <c r="F34" s="268"/>
      <c r="G34" s="332"/>
      <c r="O34" s="326"/>
      <c r="P34" s="1386">
        <f t="shared" si="0"/>
        <v>0</v>
      </c>
    </row>
    <row r="35" spans="2:18" x14ac:dyDescent="0.3">
      <c r="B35" s="351" t="s">
        <v>26</v>
      </c>
      <c r="C35" s="1365">
        <f>C29-SUM(C31:C33)</f>
        <v>1579621.259668292</v>
      </c>
      <c r="D35" s="269">
        <f>C35/C$4</f>
        <v>0.41409590469829444</v>
      </c>
      <c r="E35" s="1365">
        <f>E29-SUM(E31:E33)</f>
        <v>467106.17054805381</v>
      </c>
      <c r="F35" s="269">
        <f>E35/E$4</f>
        <v>0.37053665586177109</v>
      </c>
      <c r="G35" s="333">
        <f>$G$4*F35</f>
        <v>3.742420224203888</v>
      </c>
      <c r="J35" s="1377" t="s">
        <v>659</v>
      </c>
      <c r="K35" s="1367">
        <f>SUM(C27,C31:C33)</f>
        <v>2235005.3564031371</v>
      </c>
      <c r="L35" s="1367">
        <f>SUM(L6:L33)</f>
        <v>5282440.3892064346</v>
      </c>
      <c r="M35" s="14">
        <f t="shared" si="9"/>
        <v>-2.3441183175235976</v>
      </c>
      <c r="O35" s="1365">
        <v>1366792.5540715931</v>
      </c>
      <c r="P35" s="1386">
        <f t="shared" si="0"/>
        <v>-212828.70559669891</v>
      </c>
    </row>
    <row r="36" spans="2:18" hidden="1" x14ac:dyDescent="0.3">
      <c r="B36" s="352" t="s">
        <v>27</v>
      </c>
      <c r="C36" s="317">
        <f>'P&amp;L'!$EE53</f>
        <v>0</v>
      </c>
      <c r="D36" s="271">
        <f>C36/C$4</f>
        <v>0</v>
      </c>
      <c r="E36" s="317">
        <f>'P&amp;L'!$EB53</f>
        <v>0</v>
      </c>
      <c r="F36" s="271">
        <f>E36/E$4</f>
        <v>0</v>
      </c>
      <c r="G36" s="337">
        <f>$G$4*F36</f>
        <v>0</v>
      </c>
    </row>
    <row r="37" spans="2:18" hidden="1" x14ac:dyDescent="0.3">
      <c r="B37" s="351" t="s">
        <v>28</v>
      </c>
      <c r="C37" s="327">
        <f>C35-C36</f>
        <v>1579621.259668292</v>
      </c>
      <c r="D37" s="269">
        <f>C37/C$4</f>
        <v>0.41409590469829444</v>
      </c>
      <c r="E37" s="327">
        <f>E35-E36</f>
        <v>467106.17054805381</v>
      </c>
      <c r="F37" s="269">
        <f>E37/E$4</f>
        <v>0.37053665586177109</v>
      </c>
      <c r="G37" s="333"/>
    </row>
    <row r="38" spans="2:18" x14ac:dyDescent="0.3">
      <c r="B38" s="14"/>
      <c r="G38" s="14"/>
      <c r="P38" s="1444"/>
    </row>
    <row r="39" spans="2:18" x14ac:dyDescent="0.3">
      <c r="D39" s="1372">
        <f>D35-Summary!L3</f>
        <v>0</v>
      </c>
      <c r="F39" s="272">
        <f>G4/10.4</f>
        <v>0.97115384615384603</v>
      </c>
      <c r="P39" s="34"/>
    </row>
    <row r="40" spans="2:18" s="64" customFormat="1" x14ac:dyDescent="0.35">
      <c r="F40" s="635"/>
      <c r="G40" s="272"/>
      <c r="I40" s="634"/>
      <c r="L40" s="1407"/>
    </row>
  </sheetData>
  <customSheetViews>
    <customSheetView guid="{8575BA2F-1C78-4E30-AE5C-07AED6245426}" scale="80" showGridLines="0" hiddenRows="1" topLeftCell="AA1">
      <selection activeCell="C1" sqref="C1"/>
      <pageMargins left="0" right="0" top="0" bottom="0" header="0" footer="0"/>
      <pageSetup orientation="portrait" r:id="rId1"/>
    </customSheetView>
  </customSheetViews>
  <mergeCells count="1">
    <mergeCell ref="B2:G2"/>
  </mergeCell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1611-D87D-48C9-89BF-F9D3085065E3}">
  <sheetPr codeName="Sheet10"/>
  <dimension ref="A2:P17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2" sqref="I2:I12"/>
    </sheetView>
  </sheetViews>
  <sheetFormatPr defaultRowHeight="14.5" x14ac:dyDescent="0.35"/>
  <cols>
    <col min="1" max="1" width="3.1796875" customWidth="1"/>
    <col min="2" max="2" width="10.1796875" bestFit="1" customWidth="1"/>
    <col min="3" max="3" width="11.1796875" bestFit="1" customWidth="1"/>
    <col min="4" max="4" width="51.453125" style="768" bestFit="1" customWidth="1"/>
    <col min="5" max="5" width="8.453125" bestFit="1" customWidth="1"/>
    <col min="6" max="6" width="7" bestFit="1" customWidth="1"/>
    <col min="7" max="7" width="15.54296875" customWidth="1"/>
    <col min="8" max="8" width="8.453125" customWidth="1"/>
    <col min="9" max="9" width="13.54296875" bestFit="1" customWidth="1"/>
    <col min="10" max="11" width="14.81640625" bestFit="1" customWidth="1"/>
    <col min="12" max="12" width="11.54296875" bestFit="1" customWidth="1"/>
    <col min="13" max="13" width="1.7265625" customWidth="1"/>
    <col min="14" max="14" width="13.7265625" style="990" customWidth="1"/>
    <col min="15" max="15" width="17.7265625" customWidth="1"/>
    <col min="16" max="16" width="11.7265625" bestFit="1" customWidth="1"/>
    <col min="17" max="17" width="11.7265625" customWidth="1"/>
    <col min="18" max="18" width="3.453125" customWidth="1"/>
    <col min="19" max="19" width="25.1796875" customWidth="1"/>
    <col min="20" max="20" width="8.26953125" customWidth="1"/>
    <col min="21" max="21" width="12.54296875" customWidth="1"/>
    <col min="22" max="22" width="16.54296875" bestFit="1" customWidth="1"/>
  </cols>
  <sheetData>
    <row r="2" spans="1:16" ht="29" x14ac:dyDescent="0.35">
      <c r="B2" s="1344" t="s">
        <v>381</v>
      </c>
      <c r="C2" s="1344" t="s">
        <v>320</v>
      </c>
      <c r="D2" s="1344" t="s">
        <v>336</v>
      </c>
      <c r="E2" s="1345" t="s">
        <v>80</v>
      </c>
      <c r="F2" s="1345" t="s">
        <v>645</v>
      </c>
      <c r="G2" s="1346" t="s">
        <v>646</v>
      </c>
      <c r="H2" s="1345" t="s">
        <v>647</v>
      </c>
      <c r="I2" s="1347" t="s">
        <v>642</v>
      </c>
      <c r="J2" s="1347" t="s">
        <v>648</v>
      </c>
      <c r="K2" s="1345" t="s">
        <v>649</v>
      </c>
      <c r="L2" s="1345" t="s">
        <v>650</v>
      </c>
      <c r="N2" s="1348" t="s">
        <v>651</v>
      </c>
    </row>
    <row r="3" spans="1:16" x14ac:dyDescent="0.35">
      <c r="A3" s="1349"/>
      <c r="B3" s="726" t="s">
        <v>266</v>
      </c>
      <c r="C3" s="726" t="s">
        <v>321</v>
      </c>
      <c r="D3" s="1350" t="s">
        <v>367</v>
      </c>
      <c r="E3" s="726" t="s">
        <v>69</v>
      </c>
      <c r="F3" s="1351">
        <v>1</v>
      </c>
      <c r="G3" s="1352">
        <v>26216.666666666668</v>
      </c>
      <c r="H3" s="1353">
        <v>50</v>
      </c>
      <c r="I3" s="1354">
        <v>12.703933855749812</v>
      </c>
      <c r="J3" s="1355">
        <f>I3</f>
        <v>12.703933855749812</v>
      </c>
      <c r="K3" s="1356">
        <v>3284452.6666666665</v>
      </c>
      <c r="L3" s="1357">
        <v>0.40345030354638356</v>
      </c>
      <c r="N3" s="1358" t="s">
        <v>600</v>
      </c>
      <c r="P3" s="1359">
        <f>G3*12</f>
        <v>314600</v>
      </c>
    </row>
    <row r="4" spans="1:16" x14ac:dyDescent="0.35">
      <c r="A4" s="1349"/>
      <c r="B4" s="726" t="s">
        <v>266</v>
      </c>
      <c r="C4" s="726" t="s">
        <v>322</v>
      </c>
      <c r="D4" s="1350" t="s">
        <v>368</v>
      </c>
      <c r="E4" s="726" t="s">
        <v>69</v>
      </c>
      <c r="F4" s="1351">
        <v>1</v>
      </c>
      <c r="G4" s="1352">
        <v>28894.358333333334</v>
      </c>
      <c r="H4" s="1353">
        <v>50</v>
      </c>
      <c r="I4" s="1354">
        <v>13.269335587159405</v>
      </c>
      <c r="J4" s="1355">
        <f>I4</f>
        <v>13.269335587159405</v>
      </c>
      <c r="K4" s="1356">
        <v>3658425</v>
      </c>
      <c r="L4" s="1357">
        <v>0.45171293558570669</v>
      </c>
      <c r="N4" s="1358" t="s">
        <v>606</v>
      </c>
      <c r="P4" s="1359">
        <f t="shared" ref="P4:P12" si="0">G4*12</f>
        <v>346732.3</v>
      </c>
    </row>
    <row r="5" spans="1:16" x14ac:dyDescent="0.35">
      <c r="A5" s="1349"/>
      <c r="B5" s="726" t="s">
        <v>266</v>
      </c>
      <c r="C5" s="726" t="s">
        <v>323</v>
      </c>
      <c r="D5" s="1350" t="s">
        <v>337</v>
      </c>
      <c r="E5" s="726" t="s">
        <v>69</v>
      </c>
      <c r="F5" s="1351">
        <v>1</v>
      </c>
      <c r="G5" s="1352">
        <v>32181.441666666666</v>
      </c>
      <c r="H5" s="1353">
        <v>50</v>
      </c>
      <c r="I5" s="1354">
        <v>13.996322572474462</v>
      </c>
      <c r="J5" s="1355">
        <f>I5</f>
        <v>13.996322572474462</v>
      </c>
      <c r="K5" s="1356">
        <v>4016137.666666666</v>
      </c>
      <c r="L5" s="1357">
        <v>0.45247428373506288</v>
      </c>
      <c r="N5" s="1358" t="s">
        <v>612</v>
      </c>
      <c r="P5" s="1360">
        <f t="shared" si="0"/>
        <v>386177.3</v>
      </c>
    </row>
    <row r="6" spans="1:16" x14ac:dyDescent="0.35">
      <c r="A6" s="1349"/>
      <c r="B6" s="726" t="s">
        <v>266</v>
      </c>
      <c r="C6" s="726" t="s">
        <v>324</v>
      </c>
      <c r="D6" s="1350" t="s">
        <v>338</v>
      </c>
      <c r="E6" s="726" t="s">
        <v>69</v>
      </c>
      <c r="F6" s="1351">
        <v>1</v>
      </c>
      <c r="G6" s="1352">
        <v>43419.880000000005</v>
      </c>
      <c r="H6" s="1353">
        <v>50</v>
      </c>
      <c r="I6" s="1354">
        <v>16.418779120605972</v>
      </c>
      <c r="J6" s="1355">
        <f t="shared" ref="J6:J12" si="1">I6</f>
        <v>16.418779120605972</v>
      </c>
      <c r="K6" s="1356">
        <v>4617745.333333333</v>
      </c>
      <c r="L6" s="1357">
        <v>0.45243623730602678</v>
      </c>
      <c r="N6" s="1358"/>
      <c r="P6" s="1360">
        <f t="shared" si="0"/>
        <v>521038.56000000006</v>
      </c>
    </row>
    <row r="7" spans="1:16" x14ac:dyDescent="0.35">
      <c r="A7" s="1349"/>
      <c r="B7" s="726" t="s">
        <v>325</v>
      </c>
      <c r="C7" s="726" t="s">
        <v>321</v>
      </c>
      <c r="D7" s="1350" t="s">
        <v>339</v>
      </c>
      <c r="E7" s="726" t="s">
        <v>69</v>
      </c>
      <c r="F7" s="1351">
        <v>1</v>
      </c>
      <c r="G7" s="1352">
        <v>26216.666666666668</v>
      </c>
      <c r="H7" s="1353">
        <v>50</v>
      </c>
      <c r="I7" s="1354">
        <v>12.435385755287571</v>
      </c>
      <c r="J7" s="1355">
        <f t="shared" si="1"/>
        <v>12.435385755287571</v>
      </c>
      <c r="K7" s="1356">
        <v>3219414</v>
      </c>
      <c r="L7" s="1357">
        <v>0.40229975508886184</v>
      </c>
      <c r="N7" s="1358" t="s">
        <v>618</v>
      </c>
      <c r="P7" s="1359">
        <f t="shared" si="0"/>
        <v>314600</v>
      </c>
    </row>
    <row r="8" spans="1:16" x14ac:dyDescent="0.35">
      <c r="A8" s="1349"/>
      <c r="B8" s="726" t="s">
        <v>325</v>
      </c>
      <c r="C8" s="726" t="s">
        <v>322</v>
      </c>
      <c r="D8" s="1350" t="s">
        <v>491</v>
      </c>
      <c r="E8" s="726" t="s">
        <v>69</v>
      </c>
      <c r="F8" s="1351">
        <v>1</v>
      </c>
      <c r="G8" s="1352">
        <v>30105.791666666668</v>
      </c>
      <c r="H8" s="1353">
        <v>50</v>
      </c>
      <c r="I8" s="1354">
        <v>13.289580375067574</v>
      </c>
      <c r="J8" s="1355">
        <f t="shared" si="1"/>
        <v>13.289580375067574</v>
      </c>
      <c r="K8" s="1356">
        <v>3788502.333333334</v>
      </c>
      <c r="L8" s="1357">
        <v>0.45169863927579568</v>
      </c>
      <c r="N8" s="1358"/>
      <c r="P8" s="1359">
        <f t="shared" si="0"/>
        <v>361269.5</v>
      </c>
    </row>
    <row r="9" spans="1:16" x14ac:dyDescent="0.35">
      <c r="A9" s="1349"/>
      <c r="B9" s="726" t="s">
        <v>326</v>
      </c>
      <c r="C9" s="726" t="s">
        <v>321</v>
      </c>
      <c r="D9" s="1350" t="s">
        <v>341</v>
      </c>
      <c r="E9" s="726" t="s">
        <v>69</v>
      </c>
      <c r="F9" s="1351">
        <v>1</v>
      </c>
      <c r="G9" s="1352">
        <v>26216.666666666668</v>
      </c>
      <c r="H9" s="1353">
        <v>50</v>
      </c>
      <c r="I9" s="1354">
        <v>12.435385755287571</v>
      </c>
      <c r="J9" s="1355">
        <f t="shared" si="1"/>
        <v>12.435385755287571</v>
      </c>
      <c r="K9" s="1356">
        <v>2991778.6666666665</v>
      </c>
      <c r="L9" s="1357">
        <v>0.40261698400200518</v>
      </c>
      <c r="N9" s="1358" t="s">
        <v>605</v>
      </c>
      <c r="P9" s="1359">
        <f t="shared" si="0"/>
        <v>314600</v>
      </c>
    </row>
    <row r="10" spans="1:16" x14ac:dyDescent="0.35">
      <c r="A10" s="1349"/>
      <c r="B10" s="726" t="s">
        <v>326</v>
      </c>
      <c r="C10" s="726" t="s">
        <v>322</v>
      </c>
      <c r="D10" s="1350" t="s">
        <v>342</v>
      </c>
      <c r="E10" s="726" t="s">
        <v>69</v>
      </c>
      <c r="F10" s="1351">
        <v>1</v>
      </c>
      <c r="G10" s="1352">
        <v>27757.875</v>
      </c>
      <c r="H10" s="1353">
        <v>50</v>
      </c>
      <c r="I10" s="1354">
        <v>12.760840078861827</v>
      </c>
      <c r="J10" s="1355">
        <f t="shared" si="1"/>
        <v>12.760840078861827</v>
      </c>
      <c r="K10" s="1356">
        <v>3430789.666666667</v>
      </c>
      <c r="L10" s="1357">
        <v>0.45121300000381992</v>
      </c>
      <c r="N10" s="1358" t="s">
        <v>606</v>
      </c>
      <c r="P10" s="1359">
        <f t="shared" si="0"/>
        <v>333094.5</v>
      </c>
    </row>
    <row r="11" spans="1:16" x14ac:dyDescent="0.35">
      <c r="A11" s="1349"/>
      <c r="B11" s="726" t="s">
        <v>326</v>
      </c>
      <c r="C11" s="726" t="s">
        <v>323</v>
      </c>
      <c r="D11" s="1350" t="s">
        <v>343</v>
      </c>
      <c r="E11" s="726" t="s">
        <v>69</v>
      </c>
      <c r="F11" s="1351">
        <v>1</v>
      </c>
      <c r="G11" s="1352">
        <v>30105.791666666668</v>
      </c>
      <c r="H11" s="1353">
        <v>50</v>
      </c>
      <c r="I11" s="1354">
        <v>13.289580375067574</v>
      </c>
      <c r="J11" s="1355">
        <f t="shared" si="1"/>
        <v>13.289580375067574</v>
      </c>
      <c r="K11" s="1356">
        <v>3512088</v>
      </c>
      <c r="L11" s="1357">
        <v>0.45135013539463942</v>
      </c>
      <c r="N11" s="1358" t="s">
        <v>612</v>
      </c>
      <c r="P11" s="1359">
        <f t="shared" si="0"/>
        <v>361269.5</v>
      </c>
    </row>
    <row r="12" spans="1:16" x14ac:dyDescent="0.35">
      <c r="A12" s="1349"/>
      <c r="B12" s="726" t="s">
        <v>326</v>
      </c>
      <c r="C12" s="726" t="s">
        <v>324</v>
      </c>
      <c r="D12" s="1350" t="s">
        <v>344</v>
      </c>
      <c r="E12" s="726" t="s">
        <v>69</v>
      </c>
      <c r="F12" s="1351">
        <v>1</v>
      </c>
      <c r="G12" s="1352">
        <v>43419.880000000005</v>
      </c>
      <c r="H12" s="1353">
        <v>50</v>
      </c>
      <c r="I12" s="1354">
        <v>16.150231341557483</v>
      </c>
      <c r="J12" s="1355">
        <f t="shared" si="1"/>
        <v>16.150231341557483</v>
      </c>
      <c r="K12" s="1356">
        <v>3723463.666666666</v>
      </c>
      <c r="L12" s="1357">
        <v>0.45061322509260565</v>
      </c>
      <c r="N12" s="1358"/>
      <c r="P12" s="1359">
        <f t="shared" si="0"/>
        <v>521038.56000000006</v>
      </c>
    </row>
    <row r="14" spans="1:16" x14ac:dyDescent="0.35">
      <c r="B14" t="s">
        <v>652</v>
      </c>
    </row>
    <row r="15" spans="1:16" x14ac:dyDescent="0.35">
      <c r="B15" t="s">
        <v>653</v>
      </c>
    </row>
    <row r="16" spans="1:16" x14ac:dyDescent="0.35">
      <c r="B16" t="s">
        <v>654</v>
      </c>
    </row>
    <row r="17" spans="2:2" x14ac:dyDescent="0.35">
      <c r="B17" t="s">
        <v>655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45DD-A6DB-4B8E-B996-0281595B2BE0}">
  <sheetPr codeName="Sheet9"/>
  <dimension ref="B2:V94"/>
  <sheetViews>
    <sheetView showGridLines="0" zoomScaleNormal="100" workbookViewId="0">
      <pane xSplit="3" ySplit="3" topLeftCell="D18" activePane="bottomRight" state="frozen"/>
      <selection activeCell="F4" sqref="F4"/>
      <selection pane="topRight" activeCell="F4" sqref="F4"/>
      <selection pane="bottomLeft" activeCell="F4" sqref="F4"/>
      <selection pane="bottomRight" activeCell="C1" sqref="C1"/>
    </sheetView>
  </sheetViews>
  <sheetFormatPr defaultColWidth="9.1796875" defaultRowHeight="13" x14ac:dyDescent="0.3"/>
  <cols>
    <col min="1" max="1" width="2.26953125" style="1328" customWidth="1"/>
    <col min="2" max="2" width="10.1796875" style="1328" bestFit="1" customWidth="1"/>
    <col min="3" max="3" width="16.7265625" style="1328" bestFit="1" customWidth="1"/>
    <col min="4" max="4" width="18.1796875" style="1329" bestFit="1" customWidth="1"/>
    <col min="5" max="5" width="15.453125" style="1343" customWidth="1"/>
    <col min="6" max="6" width="20.54296875" style="1328" bestFit="1" customWidth="1"/>
    <col min="7" max="7" width="14.54296875" style="1328" customWidth="1"/>
    <col min="8" max="9" width="12.1796875" style="1328" customWidth="1"/>
    <col min="10" max="10" width="17.54296875" style="1328" customWidth="1"/>
    <col min="11" max="11" width="11.7265625" style="1328" customWidth="1"/>
    <col min="12" max="12" width="10.453125" style="1328" customWidth="1"/>
    <col min="13" max="13" width="19.1796875" style="1328" customWidth="1"/>
    <col min="14" max="14" width="15.453125" style="1328" bestFit="1" customWidth="1"/>
    <col min="15" max="17" width="10" style="1328" bestFit="1" customWidth="1"/>
    <col min="18" max="18" width="16.7265625" style="1328" bestFit="1" customWidth="1"/>
    <col min="19" max="19" width="35.54296875" style="1328" bestFit="1" customWidth="1"/>
    <col min="20" max="20" width="14.54296875" style="1328" bestFit="1" customWidth="1"/>
    <col min="21" max="21" width="14.81640625" style="1328" bestFit="1" customWidth="1"/>
    <col min="22" max="22" width="12.26953125" style="1328" bestFit="1" customWidth="1"/>
    <col min="23" max="23" width="14.54296875" style="1328" bestFit="1" customWidth="1"/>
    <col min="24" max="24" width="14.81640625" style="1328" bestFit="1" customWidth="1"/>
    <col min="25" max="25" width="16.7265625" style="1328" bestFit="1" customWidth="1"/>
    <col min="26" max="26" width="14.54296875" style="1328" bestFit="1" customWidth="1"/>
    <col min="27" max="27" width="14.81640625" style="1328" bestFit="1" customWidth="1"/>
    <col min="28" max="16384" width="9.1796875" style="1328"/>
  </cols>
  <sheetData>
    <row r="2" spans="2:13" hidden="1" x14ac:dyDescent="0.3">
      <c r="E2" s="1583" t="s">
        <v>595</v>
      </c>
      <c r="F2" s="1583"/>
      <c r="G2" s="1583"/>
      <c r="H2" s="1583"/>
      <c r="I2" s="1583"/>
      <c r="J2" s="1583"/>
    </row>
    <row r="3" spans="2:13" hidden="1" x14ac:dyDescent="0.3">
      <c r="B3" s="1330" t="s">
        <v>381</v>
      </c>
      <c r="C3" s="1330" t="s">
        <v>320</v>
      </c>
      <c r="D3" s="1330" t="s">
        <v>336</v>
      </c>
      <c r="E3" s="1330" t="s">
        <v>73</v>
      </c>
      <c r="F3" s="1330" t="s">
        <v>348</v>
      </c>
      <c r="G3" s="1330" t="s">
        <v>596</v>
      </c>
      <c r="H3" s="1330" t="s">
        <v>44</v>
      </c>
      <c r="I3" s="1330" t="s">
        <v>74</v>
      </c>
      <c r="J3" s="1330" t="s">
        <v>347</v>
      </c>
      <c r="K3" s="1331" t="s">
        <v>346</v>
      </c>
      <c r="L3" s="1331" t="s">
        <v>349</v>
      </c>
      <c r="M3" s="1331" t="s">
        <v>597</v>
      </c>
    </row>
    <row r="4" spans="2:13" ht="52" hidden="1" x14ac:dyDescent="0.3">
      <c r="B4" s="1332" t="s">
        <v>266</v>
      </c>
      <c r="C4" s="1332" t="s">
        <v>321</v>
      </c>
      <c r="D4" s="1333" t="s">
        <v>598</v>
      </c>
      <c r="E4" s="1334" t="s">
        <v>599</v>
      </c>
      <c r="F4" s="1334" t="s">
        <v>600</v>
      </c>
      <c r="G4" s="1334" t="s">
        <v>637</v>
      </c>
      <c r="H4" s="1334" t="s">
        <v>601</v>
      </c>
      <c r="I4" s="1334" t="s">
        <v>602</v>
      </c>
      <c r="J4" s="1334" t="s">
        <v>603</v>
      </c>
      <c r="K4" s="1334"/>
      <c r="L4" s="1334"/>
      <c r="M4" s="1334"/>
    </row>
    <row r="5" spans="2:13" ht="78" hidden="1" x14ac:dyDescent="0.3">
      <c r="B5" s="1332" t="s">
        <v>266</v>
      </c>
      <c r="C5" s="1332" t="s">
        <v>322</v>
      </c>
      <c r="D5" s="1333" t="s">
        <v>604</v>
      </c>
      <c r="E5" s="1334" t="s">
        <v>605</v>
      </c>
      <c r="F5" s="1334" t="s">
        <v>606</v>
      </c>
      <c r="G5" s="1334" t="s">
        <v>638</v>
      </c>
      <c r="H5" s="1334" t="s">
        <v>607</v>
      </c>
      <c r="I5" s="1334" t="s">
        <v>608</v>
      </c>
      <c r="J5" s="1334" t="s">
        <v>609</v>
      </c>
      <c r="K5" s="1334"/>
      <c r="L5" s="1334"/>
      <c r="M5" s="1334"/>
    </row>
    <row r="6" spans="2:13" ht="52" hidden="1" x14ac:dyDescent="0.3">
      <c r="B6" s="1332" t="s">
        <v>266</v>
      </c>
      <c r="C6" s="1332" t="s">
        <v>323</v>
      </c>
      <c r="D6" s="1333" t="s">
        <v>610</v>
      </c>
      <c r="E6" s="1334" t="s">
        <v>611</v>
      </c>
      <c r="F6" s="1334" t="s">
        <v>612</v>
      </c>
      <c r="G6" s="1334" t="s">
        <v>639</v>
      </c>
      <c r="H6" s="1334" t="s">
        <v>613</v>
      </c>
      <c r="I6" s="1334" t="s">
        <v>614</v>
      </c>
      <c r="J6" s="1334" t="s">
        <v>615</v>
      </c>
      <c r="K6" s="1334"/>
      <c r="L6" s="1334"/>
      <c r="M6" s="1334"/>
    </row>
    <row r="7" spans="2:13" ht="39" hidden="1" x14ac:dyDescent="0.3">
      <c r="B7" s="1332" t="s">
        <v>266</v>
      </c>
      <c r="C7" s="1332" t="s">
        <v>324</v>
      </c>
      <c r="D7" s="1333" t="s">
        <v>338</v>
      </c>
      <c r="E7" s="1334"/>
      <c r="F7" s="1334"/>
      <c r="G7" s="1334"/>
      <c r="H7" s="1334"/>
      <c r="I7" s="1334"/>
      <c r="J7" s="1334"/>
      <c r="K7" s="1334"/>
      <c r="L7" s="1334"/>
      <c r="M7" s="1334"/>
    </row>
    <row r="8" spans="2:13" hidden="1" x14ac:dyDescent="0.3">
      <c r="B8" s="1332" t="s">
        <v>325</v>
      </c>
      <c r="C8" s="1332" t="s">
        <v>321</v>
      </c>
      <c r="D8" s="1333" t="s">
        <v>616</v>
      </c>
      <c r="E8" s="1334" t="s">
        <v>617</v>
      </c>
      <c r="F8" s="1334" t="s">
        <v>618</v>
      </c>
      <c r="G8" s="1334" t="s">
        <v>614</v>
      </c>
      <c r="H8" s="1334" t="s">
        <v>619</v>
      </c>
      <c r="I8" s="1334" t="s">
        <v>612</v>
      </c>
      <c r="J8" s="1334" t="s">
        <v>620</v>
      </c>
      <c r="K8" s="1334"/>
      <c r="L8" s="1334"/>
      <c r="M8" s="1334"/>
    </row>
    <row r="9" spans="2:13" ht="52" hidden="1" x14ac:dyDescent="0.3">
      <c r="B9" s="1332" t="s">
        <v>325</v>
      </c>
      <c r="C9" s="1332" t="s">
        <v>322</v>
      </c>
      <c r="D9" s="1333" t="s">
        <v>417</v>
      </c>
      <c r="E9" s="1334"/>
      <c r="F9" s="1334"/>
      <c r="G9" s="1334"/>
      <c r="H9" s="1334"/>
      <c r="I9" s="1334"/>
      <c r="J9" s="1334"/>
      <c r="K9" s="1334"/>
      <c r="L9" s="1334"/>
      <c r="M9" s="1334"/>
    </row>
    <row r="10" spans="2:13" ht="52" hidden="1" x14ac:dyDescent="0.3">
      <c r="B10" s="1332" t="s">
        <v>326</v>
      </c>
      <c r="C10" s="1332" t="s">
        <v>321</v>
      </c>
      <c r="D10" s="1333" t="s">
        <v>418</v>
      </c>
      <c r="E10" s="1334" t="s">
        <v>621</v>
      </c>
      <c r="F10" s="1334" t="s">
        <v>605</v>
      </c>
      <c r="G10" s="1334" t="s">
        <v>637</v>
      </c>
      <c r="H10" s="1334" t="s">
        <v>622</v>
      </c>
      <c r="I10" s="1334" t="s">
        <v>623</v>
      </c>
      <c r="J10" s="1334" t="s">
        <v>624</v>
      </c>
      <c r="K10" s="1334"/>
      <c r="L10" s="1334"/>
      <c r="M10" s="1334"/>
    </row>
    <row r="11" spans="2:13" ht="65" hidden="1" x14ac:dyDescent="0.3">
      <c r="B11" s="1332" t="s">
        <v>326</v>
      </c>
      <c r="C11" s="1332" t="s">
        <v>322</v>
      </c>
      <c r="D11" s="1333" t="s">
        <v>419</v>
      </c>
      <c r="E11" s="1334" t="s">
        <v>621</v>
      </c>
      <c r="F11" s="1334" t="s">
        <v>606</v>
      </c>
      <c r="G11" s="1334" t="s">
        <v>640</v>
      </c>
      <c r="H11" s="1334" t="s">
        <v>607</v>
      </c>
      <c r="I11" s="1334" t="s">
        <v>625</v>
      </c>
      <c r="J11" s="1334" t="s">
        <v>626</v>
      </c>
      <c r="K11" s="1334"/>
      <c r="L11" s="1334"/>
      <c r="M11" s="1334"/>
    </row>
    <row r="12" spans="2:13" ht="117" hidden="1" x14ac:dyDescent="0.3">
      <c r="B12" s="1332" t="s">
        <v>326</v>
      </c>
      <c r="C12" s="1332" t="s">
        <v>323</v>
      </c>
      <c r="D12" s="1333" t="s">
        <v>420</v>
      </c>
      <c r="E12" s="1334" t="s">
        <v>605</v>
      </c>
      <c r="F12" s="1334" t="s">
        <v>612</v>
      </c>
      <c r="G12" s="1334" t="s">
        <v>641</v>
      </c>
      <c r="H12" s="1334" t="s">
        <v>627</v>
      </c>
      <c r="I12" s="1334" t="s">
        <v>615</v>
      </c>
      <c r="J12" s="1334" t="s">
        <v>628</v>
      </c>
      <c r="K12" s="1334"/>
      <c r="L12" s="1334"/>
      <c r="M12" s="1334"/>
    </row>
    <row r="13" spans="2:13" ht="26" hidden="1" x14ac:dyDescent="0.3">
      <c r="B13" s="1332" t="s">
        <v>326</v>
      </c>
      <c r="C13" s="1332" t="s">
        <v>324</v>
      </c>
      <c r="D13" s="1333" t="s">
        <v>344</v>
      </c>
      <c r="E13" s="1334" t="s">
        <v>611</v>
      </c>
      <c r="F13" s="1334"/>
      <c r="G13" s="1334"/>
      <c r="H13" s="1334"/>
      <c r="I13" s="1334"/>
      <c r="J13" s="1334"/>
      <c r="K13" s="1334"/>
      <c r="L13" s="1334"/>
      <c r="M13" s="1334"/>
    </row>
    <row r="14" spans="2:13" ht="52" hidden="1" x14ac:dyDescent="0.3">
      <c r="B14" s="1332" t="s">
        <v>326</v>
      </c>
      <c r="C14" s="1332" t="s">
        <v>327</v>
      </c>
      <c r="D14" s="1333" t="s">
        <v>629</v>
      </c>
      <c r="E14" s="1334"/>
      <c r="F14" s="1334"/>
      <c r="G14" s="1334"/>
      <c r="H14" s="1334"/>
      <c r="I14" s="1334"/>
      <c r="J14" s="1334"/>
      <c r="K14" s="1334"/>
      <c r="L14" s="1334"/>
      <c r="M14" s="1334"/>
    </row>
    <row r="15" spans="2:13" hidden="1" x14ac:dyDescent="0.3">
      <c r="B15" s="1335"/>
      <c r="C15" s="1335"/>
      <c r="D15" s="1336"/>
      <c r="E15" s="1337"/>
      <c r="F15" s="1337"/>
      <c r="G15" s="1337"/>
      <c r="H15" s="1337"/>
      <c r="I15" s="1337"/>
      <c r="J15" s="1337"/>
      <c r="K15" s="1337"/>
      <c r="L15" s="1337"/>
      <c r="M15" s="1337"/>
    </row>
    <row r="17" spans="2:19" x14ac:dyDescent="0.3">
      <c r="B17" s="1338" t="s">
        <v>630</v>
      </c>
      <c r="E17" s="1583" t="s">
        <v>631</v>
      </c>
      <c r="F17" s="1583"/>
      <c r="G17" s="1583"/>
      <c r="H17" s="1583"/>
      <c r="I17" s="1583"/>
      <c r="J17" s="1583"/>
    </row>
    <row r="18" spans="2:19" x14ac:dyDescent="0.3">
      <c r="B18" s="1330" t="s">
        <v>381</v>
      </c>
      <c r="C18" s="1330" t="s">
        <v>320</v>
      </c>
      <c r="D18" s="1330" t="s">
        <v>336</v>
      </c>
      <c r="E18" s="1330" t="s">
        <v>927</v>
      </c>
      <c r="F18" s="1330" t="s">
        <v>348</v>
      </c>
      <c r="G18" s="1330" t="s">
        <v>29</v>
      </c>
      <c r="H18" s="1330" t="s">
        <v>922</v>
      </c>
      <c r="I18" s="1330" t="s">
        <v>74</v>
      </c>
      <c r="J18" s="1330" t="s">
        <v>347</v>
      </c>
      <c r="K18" s="1331" t="s">
        <v>346</v>
      </c>
      <c r="L18" s="1331" t="s">
        <v>349</v>
      </c>
      <c r="M18" s="1331" t="s">
        <v>597</v>
      </c>
      <c r="N18" s="1330" t="s">
        <v>928</v>
      </c>
      <c r="O18" s="1330" t="s">
        <v>923</v>
      </c>
      <c r="P18" s="1330" t="s">
        <v>924</v>
      </c>
      <c r="Q18" s="1330" t="s">
        <v>925</v>
      </c>
      <c r="R18" s="1330" t="s">
        <v>929</v>
      </c>
      <c r="S18" s="1330" t="s">
        <v>930</v>
      </c>
    </row>
    <row r="19" spans="2:19" ht="52" x14ac:dyDescent="0.3">
      <c r="B19" s="1332" t="s">
        <v>266</v>
      </c>
      <c r="C19" s="1332" t="s">
        <v>321</v>
      </c>
      <c r="D19" s="1333" t="s">
        <v>598</v>
      </c>
      <c r="E19" s="1334">
        <v>7.4844258134663102</v>
      </c>
      <c r="F19" s="1334">
        <v>9.5473041589170293</v>
      </c>
      <c r="G19" s="1449">
        <v>35.554194825951747</v>
      </c>
      <c r="H19" s="1334">
        <v>33.021401547481396</v>
      </c>
      <c r="I19" s="1334">
        <v>17.382354153912736</v>
      </c>
      <c r="J19" s="1334">
        <v>13.089739048511401</v>
      </c>
      <c r="K19" s="1450">
        <v>44.434837472630768</v>
      </c>
      <c r="L19" s="1446">
        <v>20.399606948891293</v>
      </c>
      <c r="M19" s="1334">
        <v>14.046798726695169</v>
      </c>
      <c r="R19" s="1447"/>
    </row>
    <row r="20" spans="2:19" ht="78" x14ac:dyDescent="0.3">
      <c r="B20" s="1332" t="s">
        <v>266</v>
      </c>
      <c r="C20" s="1332" t="s">
        <v>322</v>
      </c>
      <c r="D20" s="1333" t="s">
        <v>604</v>
      </c>
      <c r="E20" s="1334">
        <v>8.3390705644342109</v>
      </c>
      <c r="F20" s="1334">
        <v>9.9573584129915815</v>
      </c>
      <c r="G20" s="1449">
        <v>35.909736774211261</v>
      </c>
      <c r="H20" s="1334">
        <v>34.571581311001573</v>
      </c>
      <c r="I20" s="1334">
        <v>18.107166850189859</v>
      </c>
      <c r="J20" s="1334">
        <v>13.643125762823693</v>
      </c>
      <c r="K20" s="1450">
        <v>48.171575748247697</v>
      </c>
      <c r="L20" s="1446">
        <v>21.064832414344231</v>
      </c>
      <c r="M20" s="1334">
        <v>14.233281474115463</v>
      </c>
      <c r="R20" s="1447"/>
    </row>
    <row r="21" spans="2:19" ht="52" x14ac:dyDescent="0.3">
      <c r="B21" s="1332" t="s">
        <v>266</v>
      </c>
      <c r="C21" s="1332" t="s">
        <v>323</v>
      </c>
      <c r="D21" s="1333" t="s">
        <v>610</v>
      </c>
      <c r="E21" s="1334">
        <v>9.1429652237610686</v>
      </c>
      <c r="F21" s="1334">
        <v>10.517194380495699</v>
      </c>
      <c r="G21" s="1449">
        <v>37.894913635973069</v>
      </c>
      <c r="H21" s="1334">
        <v>37.793364869702074</v>
      </c>
      <c r="I21" s="1334">
        <v>19.531173070828039</v>
      </c>
      <c r="J21" s="1334">
        <v>15.762616885572678</v>
      </c>
      <c r="K21" s="1450">
        <v>52.678552016496013</v>
      </c>
      <c r="L21" s="1446">
        <v>21.7454093381109</v>
      </c>
      <c r="M21" s="1334">
        <v>15.193274435845993</v>
      </c>
      <c r="R21" s="1447"/>
    </row>
    <row r="22" spans="2:19" ht="39" x14ac:dyDescent="0.3">
      <c r="B22" s="1332" t="s">
        <v>266</v>
      </c>
      <c r="C22" s="1332" t="s">
        <v>324</v>
      </c>
      <c r="D22" s="1333" t="s">
        <v>338</v>
      </c>
      <c r="E22" s="1334">
        <v>10.516720125395789</v>
      </c>
      <c r="F22" s="1334">
        <v>12.3362577498351</v>
      </c>
      <c r="G22" s="1449">
        <v>41.223784362984745</v>
      </c>
      <c r="H22" s="1334">
        <v>42.663396633434942</v>
      </c>
      <c r="I22" s="1334">
        <v>21.743879971444493</v>
      </c>
      <c r="J22" s="1334">
        <v>16.147671487950049</v>
      </c>
      <c r="K22" s="1450">
        <v>59.206420880787896</v>
      </c>
      <c r="L22" s="1446">
        <v>23.320988456984843</v>
      </c>
      <c r="M22" s="1334">
        <v>15.193274435845993</v>
      </c>
      <c r="R22" s="1447"/>
    </row>
    <row r="23" spans="2:19" x14ac:dyDescent="0.3">
      <c r="B23" s="1332" t="s">
        <v>325</v>
      </c>
      <c r="C23" s="1332" t="s">
        <v>321</v>
      </c>
      <c r="D23" s="1333" t="s">
        <v>616</v>
      </c>
      <c r="E23" s="1334">
        <v>7.3397114154927019</v>
      </c>
      <c r="F23" s="1334">
        <v>9.3493785519817472</v>
      </c>
      <c r="G23" s="1449">
        <v>35.561216915033583</v>
      </c>
      <c r="H23" s="1334">
        <v>33.027553975187132</v>
      </c>
      <c r="I23" s="1334">
        <v>17.39865634995866</v>
      </c>
      <c r="J23" s="1334">
        <v>13.080801250519377</v>
      </c>
      <c r="K23" s="1450">
        <v>44.513939774413423</v>
      </c>
      <c r="L23" s="1446">
        <v>19.724311086495494</v>
      </c>
      <c r="M23" s="1334">
        <v>14.046656326798997</v>
      </c>
      <c r="R23" s="1447"/>
    </row>
    <row r="24" spans="2:19" ht="39" x14ac:dyDescent="0.3">
      <c r="B24" s="1332" t="s">
        <v>325</v>
      </c>
      <c r="C24" s="1332" t="s">
        <v>322</v>
      </c>
      <c r="D24" s="1333" t="s">
        <v>632</v>
      </c>
      <c r="E24" s="1334">
        <v>8.6398056005391339</v>
      </c>
      <c r="F24" s="1334">
        <v>9.9854056611006268</v>
      </c>
      <c r="G24" s="1449">
        <v>35.916829084183917</v>
      </c>
      <c r="H24" s="1334">
        <v>33.910715569286182</v>
      </c>
      <c r="I24" s="1334">
        <v>18.108348567825693</v>
      </c>
      <c r="J24" s="1334">
        <v>13.433987925616959</v>
      </c>
      <c r="K24" s="1450">
        <v>48.172775976497874</v>
      </c>
      <c r="L24" s="1446">
        <v>21.056365258359374</v>
      </c>
      <c r="M24" s="1334">
        <v>14.233279115725281</v>
      </c>
      <c r="R24" s="1447"/>
    </row>
    <row r="25" spans="2:19" ht="52" x14ac:dyDescent="0.3">
      <c r="B25" s="1332" t="s">
        <v>326</v>
      </c>
      <c r="C25" s="1332" t="s">
        <v>321</v>
      </c>
      <c r="D25" s="1333" t="s">
        <v>418</v>
      </c>
      <c r="E25" s="1341">
        <v>6.8188677746781989</v>
      </c>
      <c r="F25" s="1334">
        <v>9.3468131725856622</v>
      </c>
      <c r="G25" s="1449">
        <v>35.55766079334208</v>
      </c>
      <c r="H25" s="1334">
        <v>34.94237371462431</v>
      </c>
      <c r="I25" s="1334">
        <v>16.180850773453251</v>
      </c>
      <c r="J25" s="1334">
        <v>12.831811948124727</v>
      </c>
      <c r="K25" s="1450">
        <v>44.504895841285553</v>
      </c>
      <c r="L25" s="1446">
        <v>20.058751828506438</v>
      </c>
      <c r="M25" s="1334">
        <v>13.300723057736027</v>
      </c>
      <c r="R25" s="1447"/>
    </row>
    <row r="26" spans="2:19" ht="65" x14ac:dyDescent="0.3">
      <c r="B26" s="1332" t="s">
        <v>326</v>
      </c>
      <c r="C26" s="1332" t="s">
        <v>322</v>
      </c>
      <c r="D26" s="1333" t="s">
        <v>419</v>
      </c>
      <c r="E26" s="1334">
        <v>7.8350131844149544</v>
      </c>
      <c r="F26" s="1334">
        <v>9.5858515111306026</v>
      </c>
      <c r="G26" s="1449">
        <v>35.751981015913245</v>
      </c>
      <c r="H26" s="1334">
        <v>33.905758196779431</v>
      </c>
      <c r="I26" s="1334">
        <v>17.089839008700537</v>
      </c>
      <c r="J26" s="1334">
        <v>13.439320324486873</v>
      </c>
      <c r="K26" s="1450">
        <v>48.172641579682413</v>
      </c>
      <c r="L26" s="1446">
        <v>20.724081412104823</v>
      </c>
      <c r="M26" s="1334">
        <v>13.470697369302679</v>
      </c>
      <c r="R26" s="1447"/>
    </row>
    <row r="27" spans="2:19" ht="27.5" customHeight="1" x14ac:dyDescent="0.3">
      <c r="B27" s="1332" t="s">
        <v>326</v>
      </c>
      <c r="C27" s="1332" t="s">
        <v>323</v>
      </c>
      <c r="D27" s="1333" t="s">
        <v>420</v>
      </c>
      <c r="E27" s="1334">
        <v>8.0169658257778504</v>
      </c>
      <c r="F27" s="1334">
        <v>9.9750177405696121</v>
      </c>
      <c r="G27" s="1449">
        <v>37.893807773778136</v>
      </c>
      <c r="H27" s="1334">
        <v>35.184816831533624</v>
      </c>
      <c r="I27" s="1334">
        <v>19.535095599348971</v>
      </c>
      <c r="J27" s="1334">
        <v>15.486243726136538</v>
      </c>
      <c r="K27" s="1450">
        <v>52.678572549673028</v>
      </c>
      <c r="L27" s="1446">
        <v>21.402839801924252</v>
      </c>
      <c r="M27" s="1334">
        <v>15.195672339745101</v>
      </c>
      <c r="R27" s="1447"/>
    </row>
    <row r="28" spans="2:19" ht="26" x14ac:dyDescent="0.3">
      <c r="B28" s="1332" t="s">
        <v>326</v>
      </c>
      <c r="C28" s="1332" t="s">
        <v>324</v>
      </c>
      <c r="D28" s="1333" t="s">
        <v>344</v>
      </c>
      <c r="E28" s="1334">
        <v>8.5119002109919144</v>
      </c>
      <c r="F28" s="1334">
        <v>12.124239546317664</v>
      </c>
      <c r="G28" s="1449">
        <v>41.223765591048462</v>
      </c>
      <c r="H28" s="1334">
        <v>47.878489396788254</v>
      </c>
      <c r="I28" s="1334">
        <v>21.743990190978725</v>
      </c>
      <c r="J28" s="1334">
        <v>16.132156682931516</v>
      </c>
      <c r="K28" s="1450">
        <v>59.206420941273436</v>
      </c>
      <c r="L28" s="1446">
        <v>22.942082270809561</v>
      </c>
      <c r="M28" s="1334">
        <v>15.195672339745101</v>
      </c>
      <c r="R28" s="1447"/>
    </row>
    <row r="29" spans="2:19" ht="52" x14ac:dyDescent="0.3">
      <c r="B29" s="1332" t="s">
        <v>326</v>
      </c>
      <c r="C29" s="1332" t="s">
        <v>327</v>
      </c>
      <c r="D29" s="1333" t="s">
        <v>629</v>
      </c>
      <c r="E29" s="1334">
        <v>12.16480101468688</v>
      </c>
      <c r="F29" s="1334" t="s">
        <v>666</v>
      </c>
      <c r="G29" s="1449" t="s">
        <v>666</v>
      </c>
      <c r="H29" s="1334">
        <v>54.877242725453677</v>
      </c>
      <c r="I29" s="1334" t="s">
        <v>666</v>
      </c>
      <c r="J29" s="1334" t="s">
        <v>666</v>
      </c>
      <c r="K29" s="1450" t="s">
        <v>666</v>
      </c>
      <c r="L29" s="1446" t="s">
        <v>666</v>
      </c>
      <c r="M29" s="1334" t="s">
        <v>666</v>
      </c>
      <c r="P29" s="1447"/>
    </row>
    <row r="30" spans="2:19" x14ac:dyDescent="0.3">
      <c r="B30" s="1335"/>
      <c r="C30" s="1335"/>
      <c r="D30" s="1336"/>
      <c r="E30" s="1336"/>
      <c r="F30" s="1336"/>
      <c r="G30" s="1336"/>
      <c r="H30" s="1336"/>
      <c r="I30" s="1337"/>
      <c r="J30" s="1337"/>
      <c r="K30" s="1337"/>
      <c r="L30" s="1337"/>
      <c r="M30" s="1337"/>
    </row>
    <row r="31" spans="2:19" x14ac:dyDescent="0.3">
      <c r="D31" s="1328"/>
      <c r="E31" s="1328"/>
    </row>
    <row r="32" spans="2:19" x14ac:dyDescent="0.3">
      <c r="B32" s="1338" t="s">
        <v>634</v>
      </c>
      <c r="F32" s="1343"/>
      <c r="G32" s="1343"/>
      <c r="H32" s="1343"/>
      <c r="I32" s="1343"/>
      <c r="J32" s="1343"/>
      <c r="K32" s="1343"/>
      <c r="L32" s="1343"/>
      <c r="M32" s="1343"/>
    </row>
    <row r="33" spans="2:22" x14ac:dyDescent="0.3">
      <c r="B33" s="1330" t="s">
        <v>381</v>
      </c>
      <c r="C33" s="1330" t="s">
        <v>320</v>
      </c>
      <c r="D33" s="1330" t="s">
        <v>336</v>
      </c>
      <c r="E33" s="1330" t="s">
        <v>73</v>
      </c>
      <c r="F33" s="1330" t="s">
        <v>348</v>
      </c>
      <c r="G33" s="1330" t="s">
        <v>29</v>
      </c>
      <c r="H33" s="1330" t="s">
        <v>44</v>
      </c>
      <c r="I33" s="1330" t="s">
        <v>74</v>
      </c>
      <c r="J33" s="1330" t="s">
        <v>347</v>
      </c>
      <c r="K33" s="1331" t="s">
        <v>346</v>
      </c>
      <c r="L33" s="1331" t="s">
        <v>349</v>
      </c>
      <c r="M33" s="1331" t="s">
        <v>597</v>
      </c>
    </row>
    <row r="34" spans="2:22" ht="52" x14ac:dyDescent="0.3">
      <c r="B34" s="1332" t="s">
        <v>266</v>
      </c>
      <c r="C34" s="1332" t="s">
        <v>321</v>
      </c>
      <c r="D34" s="1333" t="s">
        <v>598</v>
      </c>
      <c r="E34" s="1395">
        <v>7.5919373507076591</v>
      </c>
      <c r="F34" s="1395">
        <v>10.32711237072993</v>
      </c>
      <c r="G34" s="1397">
        <v>27.679800055787801</v>
      </c>
      <c r="H34" s="1398">
        <v>32.876395535863274</v>
      </c>
      <c r="I34" s="1398">
        <v>16.681308705989903</v>
      </c>
      <c r="J34" s="1395">
        <v>10.507898635765926</v>
      </c>
      <c r="K34" s="1334">
        <v>67.936997747315715</v>
      </c>
      <c r="L34" s="1400">
        <v>20.592605773156858</v>
      </c>
      <c r="M34" s="1398">
        <v>13.950729247952612</v>
      </c>
    </row>
    <row r="35" spans="2:22" ht="78" x14ac:dyDescent="0.3">
      <c r="B35" s="1332" t="s">
        <v>266</v>
      </c>
      <c r="C35" s="1332" t="s">
        <v>322</v>
      </c>
      <c r="D35" s="1333" t="s">
        <v>604</v>
      </c>
      <c r="E35" s="1395">
        <v>8.5103039163417105</v>
      </c>
      <c r="F35" s="1395">
        <v>10.87031303014003</v>
      </c>
      <c r="G35" s="1397">
        <v>28.0217242130636</v>
      </c>
      <c r="H35" s="1398">
        <v>34.181551918717297</v>
      </c>
      <c r="I35" s="1398">
        <v>17.503139913497083</v>
      </c>
      <c r="J35" s="1395">
        <v>11.140772123713523</v>
      </c>
      <c r="K35" s="1334">
        <v>73.915463854554588</v>
      </c>
      <c r="L35" s="1400">
        <v>21.288695556667648</v>
      </c>
      <c r="M35" s="1398">
        <v>14.171299522573921</v>
      </c>
    </row>
    <row r="36" spans="2:22" ht="52" x14ac:dyDescent="0.3">
      <c r="B36" s="1332" t="s">
        <v>266</v>
      </c>
      <c r="C36" s="1332" t="s">
        <v>323</v>
      </c>
      <c r="D36" s="1333" t="s">
        <v>610</v>
      </c>
      <c r="E36" s="1395">
        <v>9.5556373339004743</v>
      </c>
      <c r="F36" s="1395">
        <v>11.57380059377595</v>
      </c>
      <c r="G36" s="1397">
        <v>29.662851281075259</v>
      </c>
      <c r="H36" s="1398">
        <v>40.324945703645852</v>
      </c>
      <c r="I36" s="1398">
        <v>19.084080220038665</v>
      </c>
      <c r="J36" s="1395">
        <v>13.436914611213872</v>
      </c>
      <c r="K36" s="1334">
        <v>81.199750254768915</v>
      </c>
      <c r="L36" s="1400">
        <v>22.001314985151083</v>
      </c>
      <c r="M36" s="1398">
        <v>15.328383687483337</v>
      </c>
    </row>
    <row r="37" spans="2:22" ht="39" x14ac:dyDescent="0.3">
      <c r="B37" s="1332" t="s">
        <v>266</v>
      </c>
      <c r="C37" s="1332" t="s">
        <v>324</v>
      </c>
      <c r="D37" s="1333" t="s">
        <v>338</v>
      </c>
      <c r="E37" s="1395">
        <v>11.353300329821577</v>
      </c>
      <c r="F37" s="1395">
        <v>13.910682472019278</v>
      </c>
      <c r="G37" s="1397">
        <v>32.463141450564358</v>
      </c>
      <c r="H37" s="1398">
        <v>45.786329267730295</v>
      </c>
      <c r="I37" s="1398">
        <v>21.606747126711475</v>
      </c>
      <c r="J37" s="1395">
        <v>13.867368048465131</v>
      </c>
      <c r="K37" s="1334">
        <v>91.750858796757953</v>
      </c>
      <c r="L37" s="1400">
        <v>23.649192256467867</v>
      </c>
      <c r="M37" s="1398">
        <v>15.328383687483337</v>
      </c>
    </row>
    <row r="38" spans="2:22" x14ac:dyDescent="0.3">
      <c r="B38" s="1332" t="s">
        <v>325</v>
      </c>
      <c r="C38" s="1332" t="s">
        <v>321</v>
      </c>
      <c r="D38" s="1333" t="s">
        <v>616</v>
      </c>
      <c r="E38" s="1395">
        <v>7.421624312000894</v>
      </c>
      <c r="F38" s="1395">
        <v>10.06887448686593</v>
      </c>
      <c r="G38" s="1397">
        <v>27.702282873847185</v>
      </c>
      <c r="H38" s="1398">
        <v>32.889460062398726</v>
      </c>
      <c r="I38" s="1398">
        <v>16.680037320004089</v>
      </c>
      <c r="J38" s="1395">
        <v>10.50944825963615</v>
      </c>
      <c r="K38" s="1334">
        <v>68.025349822640464</v>
      </c>
      <c r="L38" s="1400">
        <v>19.889833645473161</v>
      </c>
      <c r="M38" s="1398">
        <v>13.950478333722943</v>
      </c>
    </row>
    <row r="39" spans="2:22" ht="39" x14ac:dyDescent="0.3">
      <c r="B39" s="1332" t="s">
        <v>325</v>
      </c>
      <c r="C39" s="1332" t="s">
        <v>322</v>
      </c>
      <c r="D39" s="1333" t="s">
        <v>632</v>
      </c>
      <c r="E39" s="1395">
        <v>8.9005624608571736</v>
      </c>
      <c r="F39" s="1395">
        <v>10.888031297156845</v>
      </c>
      <c r="G39" s="1397">
        <v>28.022184847541158</v>
      </c>
      <c r="H39" s="1398">
        <v>34.183190237901265</v>
      </c>
      <c r="I39" s="1398">
        <v>17.503127285552168</v>
      </c>
      <c r="J39" s="1395">
        <v>10.888664137445808</v>
      </c>
      <c r="K39" s="1334">
        <v>73.916784289255261</v>
      </c>
      <c r="L39" s="1400">
        <v>21.280446713194014</v>
      </c>
      <c r="M39" s="1398">
        <v>14.171283575891662</v>
      </c>
    </row>
    <row r="40" spans="2:22" ht="52" x14ac:dyDescent="0.3">
      <c r="B40" s="1332" t="s">
        <v>326</v>
      </c>
      <c r="C40" s="1332" t="s">
        <v>321</v>
      </c>
      <c r="D40" s="1333" t="s">
        <v>418</v>
      </c>
      <c r="E40" s="1396">
        <v>6.7340223855702241</v>
      </c>
      <c r="F40" s="1395">
        <v>10.068252312764953</v>
      </c>
      <c r="G40" s="1397">
        <v>27.693519008289751</v>
      </c>
      <c r="H40" s="1398">
        <v>32.28460202294545</v>
      </c>
      <c r="I40" s="1398">
        <v>15.294497128548542</v>
      </c>
      <c r="J40" s="1395">
        <v>10.232713841114434</v>
      </c>
      <c r="K40" s="1334">
        <v>67.997263027721431</v>
      </c>
      <c r="L40" s="1400">
        <v>20.237567516252994</v>
      </c>
      <c r="M40" s="1398">
        <v>13.048773202047693</v>
      </c>
    </row>
    <row r="41" spans="2:22" ht="65" x14ac:dyDescent="0.3">
      <c r="B41" s="1332" t="s">
        <v>326</v>
      </c>
      <c r="C41" s="1332" t="s">
        <v>322</v>
      </c>
      <c r="D41" s="1333" t="s">
        <v>419</v>
      </c>
      <c r="E41" s="1395">
        <v>7.8492431577341675</v>
      </c>
      <c r="F41" s="1395">
        <v>10.372995175783149</v>
      </c>
      <c r="G41" s="1397">
        <v>27.859077088023007</v>
      </c>
      <c r="H41" s="1398">
        <v>34.365649084130048</v>
      </c>
      <c r="I41" s="1398">
        <v>16.327053522491898</v>
      </c>
      <c r="J41" s="1395">
        <v>10.897261817906246</v>
      </c>
      <c r="K41" s="1334">
        <v>73.916552757837067</v>
      </c>
      <c r="L41" s="1400">
        <v>20.93256228882943</v>
      </c>
      <c r="M41" s="1398">
        <v>13.25086380739107</v>
      </c>
    </row>
    <row r="42" spans="2:22" ht="143" x14ac:dyDescent="0.3">
      <c r="B42" s="1332" t="s">
        <v>326</v>
      </c>
      <c r="C42" s="1332" t="s">
        <v>323</v>
      </c>
      <c r="D42" s="1333" t="s">
        <v>420</v>
      </c>
      <c r="E42" s="1395">
        <v>8.0864460636744049</v>
      </c>
      <c r="F42" s="1395">
        <v>10.890898372057364</v>
      </c>
      <c r="G42" s="1397">
        <v>29.661543425041536</v>
      </c>
      <c r="H42" s="1398">
        <v>36.160759624026632</v>
      </c>
      <c r="I42" s="1398">
        <v>19.08614259213056</v>
      </c>
      <c r="J42" s="1395">
        <v>13.133715933028656</v>
      </c>
      <c r="K42" s="1334">
        <v>81.19952527386252</v>
      </c>
      <c r="L42" s="1400">
        <v>21.642271450221237</v>
      </c>
      <c r="M42" s="1398">
        <v>15.33044115571046</v>
      </c>
    </row>
    <row r="43" spans="2:22" ht="26" x14ac:dyDescent="0.3">
      <c r="B43" s="1332" t="s">
        <v>326</v>
      </c>
      <c r="C43" s="1332" t="s">
        <v>324</v>
      </c>
      <c r="D43" s="1333" t="s">
        <v>344</v>
      </c>
      <c r="E43" s="1395">
        <v>8.7345467032984541</v>
      </c>
      <c r="F43" s="1395">
        <v>13.664241481546515</v>
      </c>
      <c r="G43" s="1397">
        <v>32.463104628543761</v>
      </c>
      <c r="H43" s="1398">
        <v>52.568898963456029</v>
      </c>
      <c r="I43" s="1398">
        <v>21.606780561585701</v>
      </c>
      <c r="J43" s="1395">
        <v>13.875192059191347</v>
      </c>
      <c r="K43" s="1334">
        <v>91.750856970930769</v>
      </c>
      <c r="L43" s="1400">
        <v>23.253004188248216</v>
      </c>
      <c r="M43" s="1398">
        <v>15.33044115571046</v>
      </c>
    </row>
    <row r="44" spans="2:22" ht="26" x14ac:dyDescent="0.3">
      <c r="B44" s="1332" t="s">
        <v>326</v>
      </c>
      <c r="C44" s="1332" t="s">
        <v>327</v>
      </c>
      <c r="D44" s="1333" t="s">
        <v>421</v>
      </c>
      <c r="E44" s="1395">
        <v>13.536762407106881</v>
      </c>
      <c r="F44" s="1395" t="s">
        <v>666</v>
      </c>
      <c r="G44" s="1399" t="s">
        <v>666</v>
      </c>
      <c r="H44" s="1398">
        <v>60.614587810293166</v>
      </c>
      <c r="I44" s="1398" t="s">
        <v>666</v>
      </c>
      <c r="J44" s="1395" t="s">
        <v>666</v>
      </c>
      <c r="K44" s="1334" t="s">
        <v>666</v>
      </c>
      <c r="L44" s="1395" t="s">
        <v>666</v>
      </c>
      <c r="M44" s="1398" t="s">
        <v>666</v>
      </c>
    </row>
    <row r="45" spans="2:22" ht="26" x14ac:dyDescent="0.3">
      <c r="B45" s="1332" t="s">
        <v>326</v>
      </c>
      <c r="C45" s="1332" t="s">
        <v>331</v>
      </c>
      <c r="D45" s="1333" t="s">
        <v>422</v>
      </c>
      <c r="E45" s="1395" t="s">
        <v>666</v>
      </c>
      <c r="F45" s="1395" t="s">
        <v>666</v>
      </c>
      <c r="G45" s="1399" t="s">
        <v>666</v>
      </c>
      <c r="H45" s="1398">
        <v>60.614587810293166</v>
      </c>
      <c r="I45" s="1398" t="s">
        <v>666</v>
      </c>
      <c r="J45" s="1395" t="s">
        <v>666</v>
      </c>
      <c r="K45" s="1334" t="s">
        <v>666</v>
      </c>
      <c r="L45" s="1395" t="s">
        <v>666</v>
      </c>
      <c r="M45" s="1398" t="s">
        <v>666</v>
      </c>
    </row>
    <row r="47" spans="2:22" x14ac:dyDescent="0.3">
      <c r="B47" s="1338" t="s">
        <v>630</v>
      </c>
      <c r="E47" s="1584" t="s">
        <v>29</v>
      </c>
      <c r="F47" s="1584"/>
      <c r="G47" s="1584"/>
      <c r="H47" s="1584" t="s">
        <v>44</v>
      </c>
      <c r="I47" s="1584"/>
      <c r="J47" s="1584"/>
      <c r="K47" s="1584" t="s">
        <v>74</v>
      </c>
      <c r="L47" s="1584"/>
      <c r="M47" s="1584"/>
      <c r="N47" s="1585" t="s">
        <v>346</v>
      </c>
      <c r="O47" s="1585"/>
      <c r="P47" s="1585"/>
      <c r="Q47" s="1585" t="s">
        <v>349</v>
      </c>
      <c r="R47" s="1585"/>
      <c r="S47" s="1585"/>
      <c r="T47" s="1585" t="s">
        <v>597</v>
      </c>
      <c r="U47" s="1585"/>
      <c r="V47" s="1585"/>
    </row>
    <row r="48" spans="2:22" x14ac:dyDescent="0.3">
      <c r="B48" s="1330" t="s">
        <v>381</v>
      </c>
      <c r="C48" s="1330" t="s">
        <v>320</v>
      </c>
      <c r="D48" s="1330" t="s">
        <v>336</v>
      </c>
      <c r="E48" s="1330" t="s">
        <v>642</v>
      </c>
      <c r="F48" s="1330" t="s">
        <v>636</v>
      </c>
      <c r="G48" s="1330" t="s">
        <v>382</v>
      </c>
      <c r="H48" s="1330" t="s">
        <v>635</v>
      </c>
      <c r="I48" s="1330" t="s">
        <v>636</v>
      </c>
      <c r="J48" s="1330" t="s">
        <v>382</v>
      </c>
      <c r="K48" s="1330" t="s">
        <v>635</v>
      </c>
      <c r="L48" s="1330" t="s">
        <v>636</v>
      </c>
      <c r="M48" s="1330" t="s">
        <v>382</v>
      </c>
      <c r="N48" s="1331" t="s">
        <v>635</v>
      </c>
      <c r="O48" s="1331" t="s">
        <v>636</v>
      </c>
      <c r="P48" s="1331" t="s">
        <v>382</v>
      </c>
      <c r="Q48" s="1331" t="s">
        <v>635</v>
      </c>
      <c r="R48" s="1331" t="s">
        <v>636</v>
      </c>
      <c r="S48" s="1331" t="s">
        <v>382</v>
      </c>
      <c r="T48" s="1331" t="s">
        <v>635</v>
      </c>
      <c r="U48" s="1331" t="s">
        <v>636</v>
      </c>
      <c r="V48" s="1331" t="s">
        <v>382</v>
      </c>
    </row>
    <row r="49" spans="2:22" ht="52" x14ac:dyDescent="0.3">
      <c r="B49" s="1332" t="s">
        <v>266</v>
      </c>
      <c r="C49" s="1332" t="s">
        <v>321</v>
      </c>
      <c r="D49" s="1333" t="s">
        <v>598</v>
      </c>
      <c r="E49" s="1339">
        <v>28.174581542208262</v>
      </c>
      <c r="F49" s="1339">
        <v>28.174581542208262</v>
      </c>
      <c r="G49" s="1339">
        <v>28.174581542208262</v>
      </c>
      <c r="H49" s="1334">
        <v>35.837198252967546</v>
      </c>
      <c r="I49" s="1334">
        <v>35.837198252967546</v>
      </c>
      <c r="J49" s="1334">
        <v>35.837198252967546</v>
      </c>
      <c r="K49" s="1334">
        <v>18.583850264610714</v>
      </c>
      <c r="L49" s="1334">
        <v>18.583850264610714</v>
      </c>
      <c r="M49" s="1334">
        <v>18.583850264610714</v>
      </c>
      <c r="N49" s="1334">
        <v>67.963013751155842</v>
      </c>
      <c r="O49" s="1334">
        <v>67.963013751155842</v>
      </c>
      <c r="P49" s="1334">
        <v>67.963013751155842</v>
      </c>
      <c r="Q49" s="1340">
        <v>20.167390363704044</v>
      </c>
      <c r="R49" s="1340">
        <v>20.167390363704044</v>
      </c>
      <c r="S49" s="1340">
        <v>20.167390363704044</v>
      </c>
      <c r="T49" s="1334">
        <v>16.056292570103111</v>
      </c>
      <c r="U49" s="1334">
        <v>16.056292570103111</v>
      </c>
      <c r="V49" s="1334">
        <v>16.056292570103111</v>
      </c>
    </row>
    <row r="50" spans="2:22" ht="78" x14ac:dyDescent="0.3">
      <c r="B50" s="1332" t="s">
        <v>266</v>
      </c>
      <c r="C50" s="1332" t="s">
        <v>322</v>
      </c>
      <c r="D50" s="1333" t="s">
        <v>604</v>
      </c>
      <c r="E50" s="1339">
        <v>28.456327357630343</v>
      </c>
      <c r="F50" s="1339">
        <v>28.456327357630343</v>
      </c>
      <c r="G50" s="1339">
        <v>28.456327357630343</v>
      </c>
      <c r="H50" s="1334">
        <v>37.543755531182505</v>
      </c>
      <c r="I50" s="1334">
        <v>37.543755531182505</v>
      </c>
      <c r="J50" s="1334">
        <v>37.543755531182505</v>
      </c>
      <c r="K50" s="1334">
        <v>19.35306994141926</v>
      </c>
      <c r="L50" s="1334">
        <v>19.35306994141926</v>
      </c>
      <c r="M50" s="1334">
        <v>19.35306994141926</v>
      </c>
      <c r="N50" s="1334">
        <v>73.598112216389069</v>
      </c>
      <c r="O50" s="1334">
        <v>73.598112216389069</v>
      </c>
      <c r="P50" s="1334">
        <v>73.598112216389069</v>
      </c>
      <c r="Q50" s="1340">
        <v>20.825922329985104</v>
      </c>
      <c r="R50" s="1340">
        <v>20.825922329985104</v>
      </c>
      <c r="S50" s="1340">
        <v>20.825922329985104</v>
      </c>
      <c r="T50" s="1334">
        <v>16.273682346226668</v>
      </c>
      <c r="U50" s="1334">
        <v>16.273682346226668</v>
      </c>
      <c r="V50" s="1334">
        <v>16.273682346226668</v>
      </c>
    </row>
    <row r="51" spans="2:22" ht="52" x14ac:dyDescent="0.3">
      <c r="B51" s="1332" t="s">
        <v>266</v>
      </c>
      <c r="C51" s="1332" t="s">
        <v>323</v>
      </c>
      <c r="D51" s="1333" t="s">
        <v>610</v>
      </c>
      <c r="E51" s="1339">
        <v>30.031679148389884</v>
      </c>
      <c r="F51" s="1339">
        <v>30.031679148389884</v>
      </c>
      <c r="G51" s="1339">
        <v>30.031679148389884</v>
      </c>
      <c r="H51" s="1334">
        <v>41.042323740617448</v>
      </c>
      <c r="I51" s="1334">
        <v>41.042323740617448</v>
      </c>
      <c r="J51" s="1334">
        <v>41.042323740617448</v>
      </c>
      <c r="K51" s="1334">
        <v>20.875455722673841</v>
      </c>
      <c r="L51" s="1334">
        <v>20.875455722673841</v>
      </c>
      <c r="M51" s="1334">
        <v>20.875455722673841</v>
      </c>
      <c r="N51" s="1334">
        <v>80.487157979028567</v>
      </c>
      <c r="O51" s="1334">
        <v>80.487157979028567</v>
      </c>
      <c r="P51" s="1334">
        <v>80.487157979028567</v>
      </c>
      <c r="Q51" s="1340">
        <v>21.498466836645651</v>
      </c>
      <c r="R51" s="1340">
        <v>21.498466836645651</v>
      </c>
      <c r="S51" s="1340">
        <v>21.498466836645651</v>
      </c>
      <c r="T51" s="1334">
        <v>17.371599501405843</v>
      </c>
      <c r="U51" s="1334">
        <v>17.371599501405843</v>
      </c>
      <c r="V51" s="1334">
        <v>17.371599501405843</v>
      </c>
    </row>
    <row r="52" spans="2:22" ht="39" x14ac:dyDescent="0.3">
      <c r="B52" s="1332" t="s">
        <v>266</v>
      </c>
      <c r="C52" s="1332" t="s">
        <v>324</v>
      </c>
      <c r="D52" s="1333" t="s">
        <v>338</v>
      </c>
      <c r="E52" s="1339">
        <v>32.670125843188139</v>
      </c>
      <c r="F52" s="1339">
        <v>32.670125843188139</v>
      </c>
      <c r="G52" s="1339">
        <v>32.670125843188139</v>
      </c>
      <c r="H52" s="1334">
        <v>46.331309203216037</v>
      </c>
      <c r="I52" s="1334">
        <v>46.331309203216037</v>
      </c>
      <c r="J52" s="1334">
        <v>46.331309203216037</v>
      </c>
      <c r="K52" s="1334">
        <v>23.240878032974909</v>
      </c>
      <c r="L52" s="1334">
        <v>23.240878032974909</v>
      </c>
      <c r="M52" s="1334">
        <v>23.240878032974909</v>
      </c>
      <c r="N52" s="1334">
        <v>90.460209112994093</v>
      </c>
      <c r="O52" s="1334">
        <v>90.460209112994093</v>
      </c>
      <c r="P52" s="1334">
        <v>90.460209112994093</v>
      </c>
      <c r="Q52" s="1340">
        <v>23.056555503009228</v>
      </c>
      <c r="R52" s="1340">
        <v>23.056555503009228</v>
      </c>
      <c r="S52" s="1340">
        <v>23.056555503009228</v>
      </c>
      <c r="T52" s="1334">
        <v>17.371599501405843</v>
      </c>
      <c r="U52" s="1334">
        <v>17.371599501405843</v>
      </c>
      <c r="V52" s="1334">
        <v>17.371599501405843</v>
      </c>
    </row>
    <row r="53" spans="2:22" x14ac:dyDescent="0.3">
      <c r="B53" s="1332" t="s">
        <v>325</v>
      </c>
      <c r="C53" s="1332" t="s">
        <v>321</v>
      </c>
      <c r="D53" s="1333" t="s">
        <v>616</v>
      </c>
      <c r="E53" s="1339">
        <v>28.182122447216578</v>
      </c>
      <c r="F53" s="1339">
        <v>28.182122447216578</v>
      </c>
      <c r="G53" s="1339">
        <v>28.182122447216578</v>
      </c>
      <c r="H53" s="1334">
        <v>35.866788846363924</v>
      </c>
      <c r="I53" s="1334">
        <v>35.866788846363924</v>
      </c>
      <c r="J53" s="1334">
        <v>35.866788846363924</v>
      </c>
      <c r="K53" s="1334">
        <v>18.594564946189887</v>
      </c>
      <c r="L53" s="1334">
        <v>18.594564946189887</v>
      </c>
      <c r="M53" s="1334">
        <v>18.594564946189887</v>
      </c>
      <c r="N53" s="1334">
        <v>68.009144235736954</v>
      </c>
      <c r="O53" s="1334">
        <v>68.009144235736954</v>
      </c>
      <c r="P53" s="1334">
        <v>68.009144235736954</v>
      </c>
      <c r="Q53" s="1340">
        <v>19.500505787046606</v>
      </c>
      <c r="R53" s="1340">
        <v>19.500505787046606</v>
      </c>
      <c r="S53" s="1340">
        <v>19.500505787046606</v>
      </c>
      <c r="T53" s="1334">
        <v>16.060394462076079</v>
      </c>
      <c r="U53" s="1334">
        <v>16.060394462076079</v>
      </c>
      <c r="V53" s="1334">
        <v>16.060394462076079</v>
      </c>
    </row>
    <row r="54" spans="2:22" ht="39" x14ac:dyDescent="0.3">
      <c r="B54" s="1332" t="s">
        <v>325</v>
      </c>
      <c r="C54" s="1332" t="s">
        <v>322</v>
      </c>
      <c r="D54" s="1333" t="s">
        <v>632</v>
      </c>
      <c r="E54" s="1339">
        <v>28.463943671688742</v>
      </c>
      <c r="F54" s="1339">
        <v>28.463943671688742</v>
      </c>
      <c r="G54" s="1339">
        <v>28.463943671688742</v>
      </c>
      <c r="H54" s="1334">
        <v>36.82612575157804</v>
      </c>
      <c r="I54" s="1334">
        <v>36.82612575157804</v>
      </c>
      <c r="J54" s="1334">
        <v>36.82612575157804</v>
      </c>
      <c r="K54" s="1334">
        <v>19.353956399720186</v>
      </c>
      <c r="L54" s="1334">
        <v>19.353956399720186</v>
      </c>
      <c r="M54" s="1334">
        <v>19.353956399720186</v>
      </c>
      <c r="N54" s="1334">
        <v>73.598605848533154</v>
      </c>
      <c r="O54" s="1334">
        <v>73.598605848533154</v>
      </c>
      <c r="P54" s="1334">
        <v>73.598605848533154</v>
      </c>
      <c r="Q54" s="1340">
        <v>20.81760593299505</v>
      </c>
      <c r="R54" s="1340">
        <v>20.81760593299505</v>
      </c>
      <c r="S54" s="1340">
        <v>20.81760593299505</v>
      </c>
      <c r="T54" s="1334">
        <v>16.274062966399832</v>
      </c>
      <c r="U54" s="1334">
        <v>16.274062966399832</v>
      </c>
      <c r="V54" s="1334">
        <v>16.274062966399832</v>
      </c>
    </row>
    <row r="55" spans="2:22" ht="52" x14ac:dyDescent="0.3">
      <c r="B55" s="1332" t="s">
        <v>326</v>
      </c>
      <c r="C55" s="1332" t="s">
        <v>321</v>
      </c>
      <c r="D55" s="1333" t="s">
        <v>418</v>
      </c>
      <c r="E55" s="1339">
        <v>28.179304234971855</v>
      </c>
      <c r="F55" s="1339">
        <v>28.179304234971855</v>
      </c>
      <c r="G55" s="1339">
        <v>28.179304234971855</v>
      </c>
      <c r="H55" s="1334">
        <v>37.947043749317324</v>
      </c>
      <c r="I55" s="1334">
        <v>37.947043749317324</v>
      </c>
      <c r="J55" s="1334">
        <v>37.947043749317324</v>
      </c>
      <c r="K55" s="1334">
        <v>17.292405192230355</v>
      </c>
      <c r="L55" s="1334">
        <v>17.292405192230355</v>
      </c>
      <c r="M55" s="1334">
        <v>17.292405192230355</v>
      </c>
      <c r="N55" s="1334">
        <v>67.995422001992992</v>
      </c>
      <c r="O55" s="1334">
        <v>67.995422001992992</v>
      </c>
      <c r="P55" s="1334">
        <v>67.995422001992992</v>
      </c>
      <c r="Q55" s="1340">
        <v>19.831521242568336</v>
      </c>
      <c r="R55" s="1340">
        <v>19.831521242568336</v>
      </c>
      <c r="S55" s="1340">
        <v>19.831521242568336</v>
      </c>
      <c r="T55" s="1334">
        <v>15.2080879051589</v>
      </c>
      <c r="U55" s="1334">
        <v>15.2080879051589</v>
      </c>
      <c r="V55" s="1334">
        <v>15.2080879051589</v>
      </c>
    </row>
    <row r="56" spans="2:22" ht="65" x14ac:dyDescent="0.3">
      <c r="B56" s="1332" t="s">
        <v>326</v>
      </c>
      <c r="C56" s="1332" t="s">
        <v>322</v>
      </c>
      <c r="D56" s="1333" t="s">
        <v>419</v>
      </c>
      <c r="E56" s="1339">
        <v>28.333956264896333</v>
      </c>
      <c r="F56" s="1339">
        <v>28.333956264896333</v>
      </c>
      <c r="G56" s="1339">
        <v>28.333956264896333</v>
      </c>
      <c r="H56" s="1334">
        <v>36.821930772620235</v>
      </c>
      <c r="I56" s="1334">
        <v>36.821930772620235</v>
      </c>
      <c r="J56" s="1334">
        <v>36.821930772620235</v>
      </c>
      <c r="K56" s="1334">
        <v>18.264667462217368</v>
      </c>
      <c r="L56" s="1334">
        <v>18.264667462217368</v>
      </c>
      <c r="M56" s="1334">
        <v>18.264667462217368</v>
      </c>
      <c r="N56" s="1334">
        <v>73.598748940017856</v>
      </c>
      <c r="O56" s="1334">
        <v>73.598748940017856</v>
      </c>
      <c r="P56" s="1334">
        <v>73.598748940017856</v>
      </c>
      <c r="Q56" s="1340">
        <v>20.488510740929058</v>
      </c>
      <c r="R56" s="1340">
        <v>20.488510740929058</v>
      </c>
      <c r="S56" s="1340">
        <v>20.488510740929058</v>
      </c>
      <c r="T56" s="1334">
        <v>15.401850636624438</v>
      </c>
      <c r="U56" s="1334">
        <v>15.401850636624438</v>
      </c>
      <c r="V56" s="1334">
        <v>15.401850636624438</v>
      </c>
    </row>
    <row r="57" spans="2:22" ht="143" x14ac:dyDescent="0.3">
      <c r="B57" s="1332" t="s">
        <v>326</v>
      </c>
      <c r="C57" s="1332" t="s">
        <v>323</v>
      </c>
      <c r="D57" s="1333" t="s">
        <v>420</v>
      </c>
      <c r="E57" s="1339">
        <v>30.031027282761549</v>
      </c>
      <c r="F57" s="1339">
        <v>30.031027282761549</v>
      </c>
      <c r="G57" s="1339">
        <v>30.031027282761549</v>
      </c>
      <c r="H57" s="1334">
        <v>38.209557921785887</v>
      </c>
      <c r="I57" s="1334">
        <v>38.209557921785887</v>
      </c>
      <c r="J57" s="1334">
        <v>38.209557921785887</v>
      </c>
      <c r="K57" s="1334">
        <v>20.879655954406193</v>
      </c>
      <c r="L57" s="1334">
        <v>20.879655954406193</v>
      </c>
      <c r="M57" s="1334">
        <v>20.879655954406193</v>
      </c>
      <c r="N57" s="1334">
        <v>80.487180885692567</v>
      </c>
      <c r="O57" s="1334">
        <v>80.487180885692567</v>
      </c>
      <c r="P57" s="1334">
        <v>80.487180885692567</v>
      </c>
      <c r="Q57" s="1340">
        <v>21.160741721517308</v>
      </c>
      <c r="R57" s="1340">
        <v>21.160741721517308</v>
      </c>
      <c r="S57" s="1340">
        <v>21.160741721517308</v>
      </c>
      <c r="T57" s="1334">
        <v>17.374371446965643</v>
      </c>
      <c r="U57" s="1334">
        <v>17.374371446965643</v>
      </c>
      <c r="V57" s="1334">
        <v>17.374371446965643</v>
      </c>
    </row>
    <row r="58" spans="2:22" ht="26" x14ac:dyDescent="0.3">
      <c r="B58" s="1332" t="s">
        <v>326</v>
      </c>
      <c r="C58" s="1332" t="s">
        <v>324</v>
      </c>
      <c r="D58" s="1333" t="s">
        <v>344</v>
      </c>
      <c r="E58" s="1339">
        <v>32.67010357300498</v>
      </c>
      <c r="F58" s="1339">
        <v>32.67010357300498</v>
      </c>
      <c r="G58" s="1339">
        <v>32.67010357300498</v>
      </c>
      <c r="H58" s="1334">
        <v>51.994647543296097</v>
      </c>
      <c r="I58" s="1334">
        <v>51.994647543296097</v>
      </c>
      <c r="J58" s="1334">
        <v>51.994647543296097</v>
      </c>
      <c r="K58" s="1334">
        <v>23.240692311248598</v>
      </c>
      <c r="L58" s="1334">
        <v>23.240692311248598</v>
      </c>
      <c r="M58" s="1334">
        <v>23.240692311248598</v>
      </c>
      <c r="N58" s="1334">
        <v>90.460209376822178</v>
      </c>
      <c r="O58" s="1334">
        <v>90.460209376822178</v>
      </c>
      <c r="P58" s="1334">
        <v>90.460209376822178</v>
      </c>
      <c r="Q58" s="1340">
        <v>22.681973381387152</v>
      </c>
      <c r="R58" s="1340">
        <v>22.681973381387152</v>
      </c>
      <c r="S58" s="1340">
        <v>22.681973381387152</v>
      </c>
      <c r="T58" s="1334">
        <v>17.374371446965643</v>
      </c>
      <c r="U58" s="1334">
        <v>17.374371446965643</v>
      </c>
      <c r="V58" s="1334">
        <v>17.374371446965643</v>
      </c>
    </row>
    <row r="59" spans="2:22" ht="26" x14ac:dyDescent="0.3">
      <c r="B59" s="1332" t="s">
        <v>326</v>
      </c>
      <c r="C59" s="1332" t="s">
        <v>327</v>
      </c>
      <c r="D59" s="1333" t="s">
        <v>421</v>
      </c>
      <c r="E59" s="1339" t="s">
        <v>666</v>
      </c>
      <c r="F59" s="1339" t="s">
        <v>666</v>
      </c>
      <c r="G59" s="1339" t="s">
        <v>666</v>
      </c>
      <c r="H59" s="1334">
        <v>59.595359326609163</v>
      </c>
      <c r="I59" s="1334">
        <v>59.595359326609163</v>
      </c>
      <c r="J59" s="1334">
        <v>59.595359326609163</v>
      </c>
      <c r="K59" s="1334" t="s">
        <v>666</v>
      </c>
      <c r="L59" s="1334" t="s">
        <v>666</v>
      </c>
      <c r="M59" s="1334" t="s">
        <v>666</v>
      </c>
      <c r="N59" s="1334" t="s">
        <v>666</v>
      </c>
      <c r="O59" s="1334" t="s">
        <v>666</v>
      </c>
      <c r="P59" s="1334" t="s">
        <v>666</v>
      </c>
      <c r="Q59" s="1334" t="s">
        <v>666</v>
      </c>
      <c r="R59" s="1334" t="s">
        <v>666</v>
      </c>
      <c r="S59" s="1334" t="s">
        <v>666</v>
      </c>
      <c r="T59" s="1334" t="s">
        <v>666</v>
      </c>
      <c r="U59" s="1334" t="s">
        <v>666</v>
      </c>
      <c r="V59" s="1334" t="s">
        <v>666</v>
      </c>
    </row>
    <row r="60" spans="2:22" ht="26" x14ac:dyDescent="0.3">
      <c r="B60" s="1332" t="s">
        <v>326</v>
      </c>
      <c r="C60" s="1332" t="s">
        <v>331</v>
      </c>
      <c r="D60" s="1333" t="s">
        <v>422</v>
      </c>
      <c r="E60" s="1339" t="s">
        <v>666</v>
      </c>
      <c r="F60" s="1339" t="s">
        <v>666</v>
      </c>
      <c r="G60" s="1339" t="s">
        <v>666</v>
      </c>
      <c r="H60" s="1334">
        <v>59.595359326609163</v>
      </c>
      <c r="I60" s="1334">
        <v>59.595359326609163</v>
      </c>
      <c r="J60" s="1334">
        <v>59.595359326609163</v>
      </c>
      <c r="K60" s="1334" t="s">
        <v>666</v>
      </c>
      <c r="L60" s="1334" t="s">
        <v>666</v>
      </c>
      <c r="M60" s="1334" t="s">
        <v>666</v>
      </c>
      <c r="N60" s="1334" t="s">
        <v>666</v>
      </c>
      <c r="O60" s="1334" t="s">
        <v>666</v>
      </c>
      <c r="P60" s="1334" t="s">
        <v>666</v>
      </c>
      <c r="Q60" s="1334" t="s">
        <v>666</v>
      </c>
      <c r="R60" s="1334" t="s">
        <v>666</v>
      </c>
      <c r="S60" s="1334" t="s">
        <v>666</v>
      </c>
      <c r="T60" s="1334" t="s">
        <v>666</v>
      </c>
      <c r="U60" s="1334" t="s">
        <v>666</v>
      </c>
      <c r="V60" s="1334" t="s">
        <v>666</v>
      </c>
    </row>
    <row r="61" spans="2:22" x14ac:dyDescent="0.3">
      <c r="D61" s="1328"/>
      <c r="E61" s="1328"/>
    </row>
    <row r="62" spans="2:22" x14ac:dyDescent="0.3">
      <c r="E62" s="1328"/>
    </row>
    <row r="63" spans="2:22" x14ac:dyDescent="0.3">
      <c r="B63" s="1338" t="s">
        <v>634</v>
      </c>
      <c r="E63" s="1584" t="s">
        <v>29</v>
      </c>
      <c r="F63" s="1584"/>
      <c r="G63" s="1584"/>
      <c r="H63" s="1584" t="s">
        <v>44</v>
      </c>
      <c r="I63" s="1584"/>
      <c r="J63" s="1584"/>
      <c r="K63" s="1584" t="s">
        <v>74</v>
      </c>
      <c r="L63" s="1584"/>
      <c r="M63" s="1584"/>
      <c r="N63" s="1585" t="s">
        <v>346</v>
      </c>
      <c r="O63" s="1585"/>
      <c r="P63" s="1585"/>
      <c r="Q63" s="1585" t="s">
        <v>349</v>
      </c>
      <c r="R63" s="1585"/>
      <c r="S63" s="1585"/>
      <c r="T63" s="1585" t="s">
        <v>597</v>
      </c>
      <c r="U63" s="1585"/>
      <c r="V63" s="1585"/>
    </row>
    <row r="64" spans="2:22" x14ac:dyDescent="0.3">
      <c r="B64" s="1330" t="s">
        <v>381</v>
      </c>
      <c r="C64" s="1330" t="s">
        <v>320</v>
      </c>
      <c r="D64" s="1330" t="s">
        <v>336</v>
      </c>
      <c r="E64" s="1330" t="s">
        <v>635</v>
      </c>
      <c r="F64" s="1330" t="s">
        <v>636</v>
      </c>
      <c r="G64" s="1330" t="s">
        <v>382</v>
      </c>
      <c r="H64" s="1330" t="s">
        <v>635</v>
      </c>
      <c r="I64" s="1330" t="s">
        <v>636</v>
      </c>
      <c r="J64" s="1330" t="s">
        <v>382</v>
      </c>
      <c r="K64" s="1330" t="s">
        <v>635</v>
      </c>
      <c r="L64" s="1330" t="s">
        <v>636</v>
      </c>
      <c r="M64" s="1330" t="s">
        <v>382</v>
      </c>
      <c r="N64" s="1331" t="s">
        <v>635</v>
      </c>
      <c r="O64" s="1331" t="s">
        <v>636</v>
      </c>
      <c r="P64" s="1331" t="s">
        <v>382</v>
      </c>
      <c r="Q64" s="1331" t="s">
        <v>635</v>
      </c>
      <c r="R64" s="1331" t="s">
        <v>636</v>
      </c>
      <c r="S64" s="1331" t="s">
        <v>382</v>
      </c>
      <c r="T64" s="1331" t="s">
        <v>635</v>
      </c>
      <c r="U64" s="1331" t="s">
        <v>636</v>
      </c>
      <c r="V64" s="1331" t="s">
        <v>382</v>
      </c>
    </row>
    <row r="65" spans="2:22" ht="52" x14ac:dyDescent="0.3">
      <c r="B65" s="1332" t="s">
        <v>266</v>
      </c>
      <c r="C65" s="1332" t="s">
        <v>321</v>
      </c>
      <c r="D65" s="1333" t="s">
        <v>598</v>
      </c>
      <c r="E65" s="1339">
        <v>26.066059815043445</v>
      </c>
      <c r="F65" s="1339">
        <v>26.066059815043445</v>
      </c>
      <c r="G65" s="1339">
        <v>26.066059815043445</v>
      </c>
      <c r="H65" s="1334">
        <v>30.967748075853944</v>
      </c>
      <c r="I65" s="1334">
        <v>30.967748075853944</v>
      </c>
      <c r="J65" s="1334">
        <v>30.967748075853944</v>
      </c>
      <c r="K65" s="1334">
        <v>15.787933325178974</v>
      </c>
      <c r="L65" s="1334">
        <v>15.787933325178974</v>
      </c>
      <c r="M65" s="1334">
        <v>15.787933325178974</v>
      </c>
      <c r="N65" s="1334">
        <v>64.252900280572746</v>
      </c>
      <c r="O65" s="1334">
        <v>64.252900280572746</v>
      </c>
      <c r="P65" s="1334">
        <v>64.252900280572746</v>
      </c>
      <c r="Q65" s="1340">
        <v>19.463332002979662</v>
      </c>
      <c r="R65" s="1340">
        <v>19.463332002979662</v>
      </c>
      <c r="S65" s="1340">
        <v>19.463332002979662</v>
      </c>
      <c r="T65" s="1334">
        <v>13.21674687257836</v>
      </c>
      <c r="U65" s="1334">
        <v>13.21674687257836</v>
      </c>
      <c r="V65" s="1334">
        <v>13.21674687257836</v>
      </c>
    </row>
    <row r="66" spans="2:22" ht="78" x14ac:dyDescent="0.3">
      <c r="B66" s="1332" t="s">
        <v>266</v>
      </c>
      <c r="C66" s="1332" t="s">
        <v>322</v>
      </c>
      <c r="D66" s="1333" t="s">
        <v>604</v>
      </c>
      <c r="E66" s="1339">
        <v>26.378326318545707</v>
      </c>
      <c r="F66" s="1339">
        <v>26.378326318545707</v>
      </c>
      <c r="G66" s="1339">
        <v>26.378326318545707</v>
      </c>
      <c r="H66" s="1334">
        <v>32.19675678486351</v>
      </c>
      <c r="I66" s="1334">
        <v>32.19675678486351</v>
      </c>
      <c r="J66" s="1334">
        <v>32.19675678486351</v>
      </c>
      <c r="K66" s="1334">
        <v>16.567156615643267</v>
      </c>
      <c r="L66" s="1334">
        <v>16.567156615643267</v>
      </c>
      <c r="M66" s="1334">
        <v>16.567156615643267</v>
      </c>
      <c r="N66" s="1334">
        <v>69.88964222605081</v>
      </c>
      <c r="O66" s="1334">
        <v>69.88964222605081</v>
      </c>
      <c r="P66" s="1334">
        <v>69.88964222605081</v>
      </c>
      <c r="Q66" s="1340">
        <v>20.121177788579342</v>
      </c>
      <c r="R66" s="1340">
        <v>20.121177788579342</v>
      </c>
      <c r="S66" s="1340">
        <v>20.121177788579342</v>
      </c>
      <c r="T66" s="1334">
        <v>13.42603382703439</v>
      </c>
      <c r="U66" s="1334">
        <v>13.42603382703439</v>
      </c>
      <c r="V66" s="1334">
        <v>13.42603382703439</v>
      </c>
    </row>
    <row r="67" spans="2:22" ht="52" x14ac:dyDescent="0.3">
      <c r="B67" s="1332" t="s">
        <v>266</v>
      </c>
      <c r="C67" s="1332" t="s">
        <v>323</v>
      </c>
      <c r="D67" s="1333" t="s">
        <v>610</v>
      </c>
      <c r="E67" s="1339">
        <v>27.923197257068896</v>
      </c>
      <c r="F67" s="1339">
        <v>27.923197257068896</v>
      </c>
      <c r="G67" s="1339">
        <v>27.923197257068896</v>
      </c>
      <c r="H67" s="1334">
        <v>37.983704697871076</v>
      </c>
      <c r="I67" s="1334">
        <v>37.983704697871076</v>
      </c>
      <c r="J67" s="1334">
        <v>37.983704697871076</v>
      </c>
      <c r="K67" s="1334">
        <v>18.063666615268424</v>
      </c>
      <c r="L67" s="1334">
        <v>18.063666615268424</v>
      </c>
      <c r="M67" s="1334">
        <v>18.063666615268424</v>
      </c>
      <c r="N67" s="1334">
        <v>76.777571027796313</v>
      </c>
      <c r="O67" s="1334">
        <v>76.777571027796313</v>
      </c>
      <c r="P67" s="1334">
        <v>76.777571027796313</v>
      </c>
      <c r="Q67" s="1340">
        <v>20.793649571628549</v>
      </c>
      <c r="R67" s="1340">
        <v>20.793649571628549</v>
      </c>
      <c r="S67" s="1340">
        <v>20.793649571628549</v>
      </c>
      <c r="T67" s="1334">
        <v>14.522748535421909</v>
      </c>
      <c r="U67" s="1334">
        <v>14.522748535421909</v>
      </c>
      <c r="V67" s="1334">
        <v>14.522748535421909</v>
      </c>
    </row>
    <row r="68" spans="2:22" ht="39" x14ac:dyDescent="0.3">
      <c r="B68" s="1332" t="s">
        <v>266</v>
      </c>
      <c r="C68" s="1332" t="s">
        <v>324</v>
      </c>
      <c r="D68" s="1333" t="s">
        <v>338</v>
      </c>
      <c r="E68" s="1339">
        <v>30.558993410890103</v>
      </c>
      <c r="F68" s="1339">
        <v>30.558993410890103</v>
      </c>
      <c r="G68" s="1339">
        <v>30.558993410890103</v>
      </c>
      <c r="H68" s="1334">
        <v>43.128636345735607</v>
      </c>
      <c r="I68" s="1334">
        <v>43.128636345735607</v>
      </c>
      <c r="J68" s="1334">
        <v>43.128636345735607</v>
      </c>
      <c r="K68" s="1334">
        <v>20.450877569015347</v>
      </c>
      <c r="L68" s="1334">
        <v>20.450877569015347</v>
      </c>
      <c r="M68" s="1334">
        <v>20.450877569015347</v>
      </c>
      <c r="N68" s="1334">
        <v>86.753548834989346</v>
      </c>
      <c r="O68" s="1334">
        <v>86.753548834989346</v>
      </c>
      <c r="P68" s="1334">
        <v>86.753548834989346</v>
      </c>
      <c r="Q68" s="1340">
        <v>22.352000599414001</v>
      </c>
      <c r="R68" s="1340">
        <v>22.352000599414001</v>
      </c>
      <c r="S68" s="1340">
        <v>22.352000599414001</v>
      </c>
      <c r="T68" s="1334">
        <v>14.522748535421909</v>
      </c>
      <c r="U68" s="1334">
        <v>14.522748535421909</v>
      </c>
      <c r="V68" s="1334">
        <v>14.522748535421909</v>
      </c>
    </row>
    <row r="69" spans="2:22" x14ac:dyDescent="0.3">
      <c r="B69" s="1332" t="s">
        <v>325</v>
      </c>
      <c r="C69" s="1332" t="s">
        <v>321</v>
      </c>
      <c r="D69" s="1333" t="s">
        <v>616</v>
      </c>
      <c r="E69" s="1339">
        <v>26.077241105280024</v>
      </c>
      <c r="F69" s="1339">
        <v>26.077241105280024</v>
      </c>
      <c r="G69" s="1339">
        <v>26.077241105280024</v>
      </c>
      <c r="H69" s="1334">
        <v>30.979822651478191</v>
      </c>
      <c r="I69" s="1334">
        <v>30.979822651478191</v>
      </c>
      <c r="J69" s="1334">
        <v>30.979822651478191</v>
      </c>
      <c r="K69" s="1334">
        <v>15.788339198873462</v>
      </c>
      <c r="L69" s="1334">
        <v>15.788339198873462</v>
      </c>
      <c r="M69" s="1334">
        <v>15.788339198873462</v>
      </c>
      <c r="N69" s="1334">
        <v>64.320583206990889</v>
      </c>
      <c r="O69" s="1334">
        <v>64.320583206990889</v>
      </c>
      <c r="P69" s="1334">
        <v>64.320583206990889</v>
      </c>
      <c r="Q69" s="1340">
        <v>18.799268181414433</v>
      </c>
      <c r="R69" s="1340">
        <v>18.799268181414433</v>
      </c>
      <c r="S69" s="1340">
        <v>18.799268181414433</v>
      </c>
      <c r="T69" s="1334">
        <v>13.21724433248106</v>
      </c>
      <c r="U69" s="1334">
        <v>13.21724433248106</v>
      </c>
      <c r="V69" s="1334">
        <v>13.21724433248106</v>
      </c>
    </row>
    <row r="70" spans="2:22" ht="39" x14ac:dyDescent="0.3">
      <c r="B70" s="1332" t="s">
        <v>325</v>
      </c>
      <c r="C70" s="1332" t="s">
        <v>322</v>
      </c>
      <c r="D70" s="1333" t="s">
        <v>632</v>
      </c>
      <c r="E70" s="1339">
        <v>26.378601563364803</v>
      </c>
      <c r="F70" s="1339">
        <v>26.378601563364803</v>
      </c>
      <c r="G70" s="1339">
        <v>26.378601563364803</v>
      </c>
      <c r="H70" s="1334">
        <v>32.197811238332676</v>
      </c>
      <c r="I70" s="1334">
        <v>32.197811238332676</v>
      </c>
      <c r="J70" s="1334">
        <v>32.197811238332676</v>
      </c>
      <c r="K70" s="1334">
        <v>16.567163186554776</v>
      </c>
      <c r="L70" s="1334">
        <v>16.567163186554776</v>
      </c>
      <c r="M70" s="1334">
        <v>16.567163186554776</v>
      </c>
      <c r="N70" s="1334">
        <v>69.891433758585407</v>
      </c>
      <c r="O70" s="1334">
        <v>69.891433758585407</v>
      </c>
      <c r="P70" s="1334">
        <v>69.891433758585407</v>
      </c>
      <c r="Q70" s="1340">
        <v>20.11352531372161</v>
      </c>
      <c r="R70" s="1340">
        <v>20.11352531372161</v>
      </c>
      <c r="S70" s="1340">
        <v>20.11352531372161</v>
      </c>
      <c r="T70" s="1334">
        <v>13.426082313145852</v>
      </c>
      <c r="U70" s="1334">
        <v>13.426082313145852</v>
      </c>
      <c r="V70" s="1334">
        <v>13.426082313145852</v>
      </c>
    </row>
    <row r="71" spans="2:22" ht="52" x14ac:dyDescent="0.3">
      <c r="B71" s="1332" t="s">
        <v>326</v>
      </c>
      <c r="C71" s="1332" t="s">
        <v>321</v>
      </c>
      <c r="D71" s="1333" t="s">
        <v>418</v>
      </c>
      <c r="E71" s="1339">
        <v>26.069064521923728</v>
      </c>
      <c r="F71" s="1339">
        <v>26.069064521923728</v>
      </c>
      <c r="G71" s="1339">
        <v>26.069064521923728</v>
      </c>
      <c r="H71" s="1334">
        <v>30.410021990266738</v>
      </c>
      <c r="I71" s="1334">
        <v>30.410021990266738</v>
      </c>
      <c r="J71" s="1334">
        <v>30.410021990266738</v>
      </c>
      <c r="K71" s="1334">
        <v>14.476723642684192</v>
      </c>
      <c r="L71" s="1334">
        <v>14.476723642684192</v>
      </c>
      <c r="M71" s="1334">
        <v>14.476723642684192</v>
      </c>
      <c r="N71" s="1334">
        <v>64.293955271685903</v>
      </c>
      <c r="O71" s="1334">
        <v>64.293955271685903</v>
      </c>
      <c r="P71" s="1334">
        <v>64.293955271685903</v>
      </c>
      <c r="Q71" s="1340">
        <v>19.127410827780043</v>
      </c>
      <c r="R71" s="1340">
        <v>19.127410827780043</v>
      </c>
      <c r="S71" s="1340">
        <v>19.127410827780043</v>
      </c>
      <c r="T71" s="1334">
        <v>12.362826995650071</v>
      </c>
      <c r="U71" s="1334">
        <v>12.362826995650071</v>
      </c>
      <c r="V71" s="1334">
        <v>12.362826995650071</v>
      </c>
    </row>
    <row r="72" spans="2:22" ht="65" x14ac:dyDescent="0.3">
      <c r="B72" s="1332" t="s">
        <v>326</v>
      </c>
      <c r="C72" s="1332" t="s">
        <v>322</v>
      </c>
      <c r="D72" s="1333" t="s">
        <v>419</v>
      </c>
      <c r="E72" s="1339">
        <v>26.225003707403932</v>
      </c>
      <c r="F72" s="1339">
        <v>26.225003707403932</v>
      </c>
      <c r="G72" s="1339">
        <v>26.225003707403932</v>
      </c>
      <c r="H72" s="1334">
        <v>32.370507873750839</v>
      </c>
      <c r="I72" s="1334">
        <v>32.370507873750839</v>
      </c>
      <c r="J72" s="1334">
        <v>32.370507873750839</v>
      </c>
      <c r="K72" s="1334">
        <v>15.453988455697557</v>
      </c>
      <c r="L72" s="1334">
        <v>15.453988455697557</v>
      </c>
      <c r="M72" s="1334">
        <v>15.453988455697557</v>
      </c>
      <c r="N72" s="1334">
        <v>69.890670859111736</v>
      </c>
      <c r="O72" s="1334">
        <v>69.890670859111736</v>
      </c>
      <c r="P72" s="1334">
        <v>69.890670859111736</v>
      </c>
      <c r="Q72" s="1340">
        <v>19.784919351611734</v>
      </c>
      <c r="R72" s="1340">
        <v>19.784919351611734</v>
      </c>
      <c r="S72" s="1340">
        <v>19.784919351611734</v>
      </c>
      <c r="T72" s="1334">
        <v>12.554076453526648</v>
      </c>
      <c r="U72" s="1334">
        <v>12.554076453526648</v>
      </c>
      <c r="V72" s="1334">
        <v>12.554076453526648</v>
      </c>
    </row>
    <row r="73" spans="2:22" ht="143" x14ac:dyDescent="0.3">
      <c r="B73" s="1332" t="s">
        <v>326</v>
      </c>
      <c r="C73" s="1332" t="s">
        <v>323</v>
      </c>
      <c r="D73" s="1333" t="s">
        <v>420</v>
      </c>
      <c r="E73" s="1339">
        <v>27.921938518111673</v>
      </c>
      <c r="F73" s="1339">
        <v>27.921938518111673</v>
      </c>
      <c r="G73" s="1339">
        <v>27.921938518111673</v>
      </c>
      <c r="H73" s="1334">
        <v>34.061583880599429</v>
      </c>
      <c r="I73" s="1334">
        <v>34.061583880599429</v>
      </c>
      <c r="J73" s="1334">
        <v>34.061583880599429</v>
      </c>
      <c r="K73" s="1334">
        <v>18.065580741515369</v>
      </c>
      <c r="L73" s="1334">
        <v>18.065580741515369</v>
      </c>
      <c r="M73" s="1334">
        <v>18.065580741515369</v>
      </c>
      <c r="N73" s="1334">
        <v>76.777610648331489</v>
      </c>
      <c r="O73" s="1334">
        <v>76.777610648331489</v>
      </c>
      <c r="P73" s="1334">
        <v>76.777610648331489</v>
      </c>
      <c r="Q73" s="1340">
        <v>20.456082018853131</v>
      </c>
      <c r="R73" s="1340">
        <v>20.456082018853131</v>
      </c>
      <c r="S73" s="1340">
        <v>20.456082018853131</v>
      </c>
      <c r="T73" s="1334">
        <v>14.52484006548069</v>
      </c>
      <c r="U73" s="1334">
        <v>14.52484006548069</v>
      </c>
      <c r="V73" s="1334">
        <v>14.52484006548069</v>
      </c>
    </row>
    <row r="74" spans="2:22" ht="26" x14ac:dyDescent="0.3">
      <c r="B74" s="1332" t="s">
        <v>326</v>
      </c>
      <c r="C74" s="1332" t="s">
        <v>324</v>
      </c>
      <c r="D74" s="1333" t="s">
        <v>344</v>
      </c>
      <c r="E74" s="1339">
        <v>30.558946030438449</v>
      </c>
      <c r="F74" s="1339">
        <v>30.558946030438449</v>
      </c>
      <c r="G74" s="1339">
        <v>30.558946030438449</v>
      </c>
      <c r="H74" s="1334">
        <v>49.516426609385498</v>
      </c>
      <c r="I74" s="1334">
        <v>49.516426609385498</v>
      </c>
      <c r="J74" s="1334">
        <v>49.516426609385498</v>
      </c>
      <c r="K74" s="1334">
        <v>20.450922820557903</v>
      </c>
      <c r="L74" s="1334">
        <v>20.450922820557903</v>
      </c>
      <c r="M74" s="1334">
        <v>20.450922820557903</v>
      </c>
      <c r="N74" s="1334">
        <v>86.753549381977194</v>
      </c>
      <c r="O74" s="1334">
        <v>86.753549381977194</v>
      </c>
      <c r="P74" s="1334">
        <v>86.753549381977194</v>
      </c>
      <c r="Q74" s="1340">
        <v>21.97771422398041</v>
      </c>
      <c r="R74" s="1340">
        <v>21.97771422398041</v>
      </c>
      <c r="S74" s="1340">
        <v>21.97771422398041</v>
      </c>
      <c r="T74" s="1334">
        <v>14.52484006548069</v>
      </c>
      <c r="U74" s="1334">
        <v>14.52484006548069</v>
      </c>
      <c r="V74" s="1334">
        <v>14.52484006548069</v>
      </c>
    </row>
    <row r="75" spans="2:22" ht="26" x14ac:dyDescent="0.3">
      <c r="B75" s="1332" t="s">
        <v>326</v>
      </c>
      <c r="C75" s="1332" t="s">
        <v>327</v>
      </c>
      <c r="D75" s="1333" t="s">
        <v>421</v>
      </c>
      <c r="E75" s="1339" t="s">
        <v>666</v>
      </c>
      <c r="F75" s="1339" t="s">
        <v>666</v>
      </c>
      <c r="G75" s="1339" t="s">
        <v>666</v>
      </c>
      <c r="H75" s="1334">
        <v>57.095444251765834</v>
      </c>
      <c r="I75" s="1334">
        <v>57.095444251765834</v>
      </c>
      <c r="J75" s="1334">
        <v>57.095444251765834</v>
      </c>
      <c r="K75" s="1334" t="s">
        <v>666</v>
      </c>
      <c r="L75" s="1334" t="s">
        <v>666</v>
      </c>
      <c r="M75" s="1334" t="s">
        <v>666</v>
      </c>
      <c r="N75" s="1334" t="s">
        <v>666</v>
      </c>
      <c r="O75" s="1334" t="s">
        <v>666</v>
      </c>
      <c r="P75" s="1334" t="s">
        <v>666</v>
      </c>
      <c r="Q75" s="1334" t="s">
        <v>666</v>
      </c>
      <c r="R75" s="1334" t="s">
        <v>666</v>
      </c>
      <c r="S75" s="1334" t="s">
        <v>666</v>
      </c>
      <c r="T75" s="1334" t="s">
        <v>666</v>
      </c>
      <c r="U75" s="1334" t="s">
        <v>666</v>
      </c>
      <c r="V75" s="1334" t="s">
        <v>666</v>
      </c>
    </row>
    <row r="76" spans="2:22" ht="26" x14ac:dyDescent="0.3">
      <c r="B76" s="1332" t="s">
        <v>326</v>
      </c>
      <c r="C76" s="1332" t="s">
        <v>331</v>
      </c>
      <c r="D76" s="1333" t="s">
        <v>422</v>
      </c>
      <c r="E76" s="1339" t="s">
        <v>666</v>
      </c>
      <c r="F76" s="1339" t="s">
        <v>666</v>
      </c>
      <c r="G76" s="1339" t="s">
        <v>666</v>
      </c>
      <c r="H76" s="1334">
        <v>57.095444251765834</v>
      </c>
      <c r="I76" s="1334">
        <v>57.095444251765834</v>
      </c>
      <c r="J76" s="1334">
        <v>57.095444251765834</v>
      </c>
      <c r="K76" s="1334" t="s">
        <v>666</v>
      </c>
      <c r="L76" s="1334" t="s">
        <v>666</v>
      </c>
      <c r="M76" s="1334" t="s">
        <v>666</v>
      </c>
      <c r="N76" s="1334" t="s">
        <v>666</v>
      </c>
      <c r="O76" s="1334" t="s">
        <v>666</v>
      </c>
      <c r="P76" s="1334" t="s">
        <v>666</v>
      </c>
      <c r="Q76" s="1334" t="s">
        <v>666</v>
      </c>
      <c r="R76" s="1334" t="s">
        <v>666</v>
      </c>
      <c r="S76" s="1334" t="s">
        <v>666</v>
      </c>
      <c r="T76" s="1334" t="s">
        <v>666</v>
      </c>
      <c r="U76" s="1334" t="s">
        <v>666</v>
      </c>
      <c r="V76" s="1334" t="s">
        <v>666</v>
      </c>
    </row>
    <row r="79" spans="2:22" x14ac:dyDescent="0.3">
      <c r="C79" s="1564" t="s">
        <v>927</v>
      </c>
      <c r="D79" s="1565" t="s">
        <v>73</v>
      </c>
      <c r="E79" s="1565"/>
    </row>
    <row r="80" spans="2:22" x14ac:dyDescent="0.3">
      <c r="C80" s="1564" t="s">
        <v>928</v>
      </c>
      <c r="D80" s="1565" t="s">
        <v>73</v>
      </c>
      <c r="E80" s="1565"/>
    </row>
    <row r="81" spans="3:5" x14ac:dyDescent="0.3">
      <c r="C81" s="1564" t="s">
        <v>929</v>
      </c>
      <c r="D81" s="1565" t="s">
        <v>73</v>
      </c>
      <c r="E81" s="1565"/>
    </row>
    <row r="82" spans="3:5" x14ac:dyDescent="0.3">
      <c r="C82" s="1564" t="s">
        <v>930</v>
      </c>
      <c r="D82" s="1565" t="s">
        <v>73</v>
      </c>
      <c r="E82" s="1565"/>
    </row>
    <row r="83" spans="3:5" x14ac:dyDescent="0.3">
      <c r="C83" s="1564" t="s">
        <v>922</v>
      </c>
      <c r="D83" s="1565" t="s">
        <v>44</v>
      </c>
      <c r="E83" s="1565"/>
    </row>
    <row r="84" spans="3:5" x14ac:dyDescent="0.3">
      <c r="C84" s="1564" t="s">
        <v>923</v>
      </c>
      <c r="D84" s="1565" t="s">
        <v>44</v>
      </c>
      <c r="E84" s="1565"/>
    </row>
    <row r="85" spans="3:5" x14ac:dyDescent="0.3">
      <c r="C85" s="1564" t="s">
        <v>924</v>
      </c>
      <c r="D85" s="1565" t="s">
        <v>44</v>
      </c>
      <c r="E85" s="1565"/>
    </row>
    <row r="86" spans="3:5" x14ac:dyDescent="0.3">
      <c r="C86" s="1564" t="s">
        <v>925</v>
      </c>
      <c r="D86" s="1565" t="s">
        <v>44</v>
      </c>
      <c r="E86" s="1565"/>
    </row>
    <row r="87" spans="3:5" x14ac:dyDescent="0.3">
      <c r="C87" s="1564" t="s">
        <v>348</v>
      </c>
      <c r="D87" s="1565" t="s">
        <v>348</v>
      </c>
      <c r="E87" s="1565"/>
    </row>
    <row r="88" spans="3:5" x14ac:dyDescent="0.3">
      <c r="C88" s="1564" t="s">
        <v>29</v>
      </c>
      <c r="D88" s="1565" t="s">
        <v>29</v>
      </c>
      <c r="E88" s="1565"/>
    </row>
    <row r="89" spans="3:5" x14ac:dyDescent="0.3">
      <c r="C89" s="1564" t="s">
        <v>74</v>
      </c>
      <c r="D89" s="1565" t="s">
        <v>74</v>
      </c>
      <c r="E89" s="1565"/>
    </row>
    <row r="90" spans="3:5" x14ac:dyDescent="0.3">
      <c r="C90" s="1564" t="s">
        <v>347</v>
      </c>
      <c r="D90" s="1565" t="s">
        <v>347</v>
      </c>
      <c r="E90" s="1565"/>
    </row>
    <row r="91" spans="3:5" x14ac:dyDescent="0.3">
      <c r="C91" s="1564" t="s">
        <v>346</v>
      </c>
      <c r="D91" s="1565" t="s">
        <v>346</v>
      </c>
      <c r="E91" s="1565"/>
    </row>
    <row r="92" spans="3:5" x14ac:dyDescent="0.3">
      <c r="C92" s="1564" t="s">
        <v>349</v>
      </c>
      <c r="D92" s="1565" t="s">
        <v>349</v>
      </c>
    </row>
    <row r="93" spans="3:5" x14ac:dyDescent="0.3">
      <c r="C93" s="1564" t="s">
        <v>597</v>
      </c>
      <c r="D93" s="1565" t="s">
        <v>597</v>
      </c>
    </row>
    <row r="94" spans="3:5" x14ac:dyDescent="0.3">
      <c r="C94" s="1564" t="s">
        <v>926</v>
      </c>
      <c r="D94" s="1565" t="s">
        <v>926</v>
      </c>
    </row>
  </sheetData>
  <mergeCells count="14">
    <mergeCell ref="Q47:S47"/>
    <mergeCell ref="T47:V47"/>
    <mergeCell ref="E63:G63"/>
    <mergeCell ref="H63:J63"/>
    <mergeCell ref="K63:M63"/>
    <mergeCell ref="N63:P63"/>
    <mergeCell ref="Q63:S63"/>
    <mergeCell ref="T63:V63"/>
    <mergeCell ref="N47:P47"/>
    <mergeCell ref="E2:J2"/>
    <mergeCell ref="E17:J17"/>
    <mergeCell ref="E47:G47"/>
    <mergeCell ref="H47:J47"/>
    <mergeCell ref="K47:M4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5426-4586-47EE-B2EE-FB5517C0590C}">
  <sheetPr codeName="Sheet25">
    <tabColor theme="4"/>
  </sheetPr>
  <dimension ref="A2:Y14"/>
  <sheetViews>
    <sheetView showGridLines="0" topLeftCell="M1" workbookViewId="0">
      <selection activeCell="Y14" sqref="Y14"/>
    </sheetView>
  </sheetViews>
  <sheetFormatPr defaultRowHeight="14.5" x14ac:dyDescent="0.35"/>
  <cols>
    <col min="1" max="1" width="11.08984375" style="1412" bestFit="1" customWidth="1"/>
    <col min="2" max="2" width="8.453125" bestFit="1" customWidth="1"/>
    <col min="3" max="3" width="9.36328125" bestFit="1" customWidth="1"/>
    <col min="4" max="4" width="12.08984375" customWidth="1"/>
    <col min="5" max="5" width="9.26953125" bestFit="1" customWidth="1"/>
    <col min="6" max="6" width="4" bestFit="1" customWidth="1"/>
    <col min="7" max="7" width="10.26953125" customWidth="1"/>
    <col min="8" max="8" width="6.26953125" bestFit="1" customWidth="1"/>
    <col min="9" max="9" width="10.08984375" bestFit="1" customWidth="1"/>
    <col min="10" max="10" width="7.6328125" bestFit="1" customWidth="1"/>
    <col min="11" max="11" width="7.54296875" bestFit="1" customWidth="1"/>
    <col min="12" max="12" width="16.7265625" bestFit="1" customWidth="1"/>
    <col min="13" max="13" width="15.453125" bestFit="1" customWidth="1"/>
    <col min="14" max="16" width="10" bestFit="1" customWidth="1"/>
    <col min="17" max="17" width="16.7265625" bestFit="1" customWidth="1"/>
    <col min="18" max="18" width="35.54296875" bestFit="1" customWidth="1"/>
  </cols>
  <sheetData>
    <row r="2" spans="1:25" ht="39" x14ac:dyDescent="0.35">
      <c r="A2" s="1411" t="s">
        <v>665</v>
      </c>
      <c r="B2" s="1402" t="s">
        <v>381</v>
      </c>
      <c r="C2" s="1402" t="s">
        <v>320</v>
      </c>
      <c r="D2" s="1402" t="s">
        <v>927</v>
      </c>
      <c r="E2" s="1402" t="s">
        <v>348</v>
      </c>
      <c r="F2" s="1402" t="s">
        <v>29</v>
      </c>
      <c r="G2" s="1402" t="s">
        <v>922</v>
      </c>
      <c r="H2" s="1402" t="s">
        <v>74</v>
      </c>
      <c r="I2" s="1402" t="s">
        <v>347</v>
      </c>
      <c r="J2" s="1402" t="s">
        <v>346</v>
      </c>
      <c r="K2" s="1402" t="s">
        <v>349</v>
      </c>
      <c r="L2" s="1402" t="s">
        <v>597</v>
      </c>
      <c r="M2" s="1330" t="s">
        <v>928</v>
      </c>
      <c r="N2" s="1330" t="s">
        <v>923</v>
      </c>
      <c r="O2" s="1330" t="s">
        <v>924</v>
      </c>
      <c r="P2" s="1330" t="s">
        <v>925</v>
      </c>
      <c r="Q2" s="1330" t="s">
        <v>929</v>
      </c>
      <c r="R2" s="1330" t="s">
        <v>930</v>
      </c>
    </row>
    <row r="3" spans="1:25" x14ac:dyDescent="0.35">
      <c r="A3" s="1412" t="str">
        <f>B3&amp;C3</f>
        <v>VoiceL1</v>
      </c>
      <c r="B3" s="1403" t="s">
        <v>266</v>
      </c>
      <c r="C3" s="1403" t="s">
        <v>321</v>
      </c>
      <c r="D3" s="1405">
        <v>0.40100000000000002</v>
      </c>
      <c r="E3" s="1405">
        <v>0.32100000000000001</v>
      </c>
      <c r="F3" s="1404">
        <v>0.161</v>
      </c>
      <c r="G3" s="1405">
        <v>0.161</v>
      </c>
      <c r="H3" s="1405">
        <v>0.20100000000000001</v>
      </c>
      <c r="I3" s="1405">
        <v>0.27100000000000002</v>
      </c>
      <c r="J3" s="1405">
        <v>0.161</v>
      </c>
      <c r="K3" s="1404">
        <v>0.251</v>
      </c>
      <c r="L3" s="1405">
        <v>0.251</v>
      </c>
      <c r="M3" s="1405">
        <v>0.40100000000000002</v>
      </c>
      <c r="N3" s="1405">
        <v>0.161</v>
      </c>
      <c r="O3" s="1405">
        <v>0.161</v>
      </c>
      <c r="P3" s="1405">
        <v>0.161</v>
      </c>
      <c r="Q3" s="1405">
        <v>0.40100000000000002</v>
      </c>
      <c r="R3" s="1405">
        <v>0.40100000000000002</v>
      </c>
      <c r="S3" s="1541"/>
      <c r="T3" s="1541"/>
      <c r="U3" s="1541"/>
      <c r="V3" s="1541"/>
      <c r="W3" s="1541"/>
      <c r="X3" s="1541"/>
      <c r="Y3" s="1541"/>
    </row>
    <row r="4" spans="1:25" x14ac:dyDescent="0.35">
      <c r="A4" s="1412" t="str">
        <f t="shared" ref="A4:A14" si="0">B4&amp;C4</f>
        <v>VoiceL2</v>
      </c>
      <c r="B4" s="1403" t="s">
        <v>266</v>
      </c>
      <c r="C4" s="1403" t="s">
        <v>322</v>
      </c>
      <c r="D4" s="1405">
        <v>0.45100000000000001</v>
      </c>
      <c r="E4" s="1405">
        <v>0.32100000000000001</v>
      </c>
      <c r="F4" s="1404">
        <v>0.161</v>
      </c>
      <c r="G4" s="1405">
        <v>0.161</v>
      </c>
      <c r="H4" s="1405">
        <v>0.20100000000000001</v>
      </c>
      <c r="I4" s="1405">
        <v>0.27100000000000002</v>
      </c>
      <c r="J4" s="1405">
        <v>0.161</v>
      </c>
      <c r="K4" s="1404">
        <v>0.251</v>
      </c>
      <c r="L4" s="1405">
        <v>0.251</v>
      </c>
      <c r="M4" s="1405">
        <v>0.45100000000000001</v>
      </c>
      <c r="N4" s="1405">
        <v>0.161</v>
      </c>
      <c r="O4" s="1405">
        <v>0.161</v>
      </c>
      <c r="P4" s="1405">
        <v>0.161</v>
      </c>
      <c r="Q4" s="1405">
        <v>0.45100000000000001</v>
      </c>
      <c r="R4" s="1405">
        <v>0.45100000000000001</v>
      </c>
      <c r="S4" s="1541"/>
      <c r="T4" s="1541"/>
      <c r="U4" s="1541"/>
      <c r="V4" s="1541"/>
      <c r="W4" s="1541"/>
      <c r="X4" s="1541"/>
      <c r="Y4" s="1541"/>
    </row>
    <row r="5" spans="1:25" x14ac:dyDescent="0.35">
      <c r="A5" s="1412" t="str">
        <f t="shared" si="0"/>
        <v>VoiceL3</v>
      </c>
      <c r="B5" s="1403" t="s">
        <v>266</v>
      </c>
      <c r="C5" s="1403" t="s">
        <v>323</v>
      </c>
      <c r="D5" s="1405">
        <v>0.45100000000000001</v>
      </c>
      <c r="E5" s="1405">
        <v>0.32100000000000001</v>
      </c>
      <c r="F5" s="1404">
        <v>0.161</v>
      </c>
      <c r="G5" s="1405">
        <v>0.161</v>
      </c>
      <c r="H5" s="1405">
        <v>0.20100000000000001</v>
      </c>
      <c r="I5" s="1405">
        <v>0.27100000000000002</v>
      </c>
      <c r="J5" s="1405">
        <v>0.161</v>
      </c>
      <c r="K5" s="1404">
        <v>0.251</v>
      </c>
      <c r="L5" s="1405">
        <v>0.251</v>
      </c>
      <c r="M5" s="1405">
        <v>0.45100000000000001</v>
      </c>
      <c r="N5" s="1405">
        <v>0.161</v>
      </c>
      <c r="O5" s="1405">
        <v>0.161</v>
      </c>
      <c r="P5" s="1405">
        <v>0.161</v>
      </c>
      <c r="Q5" s="1405">
        <v>0.45100000000000001</v>
      </c>
      <c r="R5" s="1405">
        <v>0.45100000000000001</v>
      </c>
      <c r="S5" s="1541"/>
      <c r="T5" s="1541"/>
      <c r="U5" s="1541"/>
      <c r="V5" s="1541"/>
      <c r="W5" s="1541"/>
      <c r="X5" s="1541"/>
      <c r="Y5" s="1541"/>
    </row>
    <row r="6" spans="1:25" x14ac:dyDescent="0.35">
      <c r="A6" s="1412" t="str">
        <f t="shared" si="0"/>
        <v>VoiceL4</v>
      </c>
      <c r="B6" s="1403" t="s">
        <v>266</v>
      </c>
      <c r="C6" s="1403" t="s">
        <v>324</v>
      </c>
      <c r="D6" s="1405">
        <v>0.45100000000000001</v>
      </c>
      <c r="E6" s="1405">
        <v>0.32100000000000001</v>
      </c>
      <c r="F6" s="1404">
        <v>0.161</v>
      </c>
      <c r="G6" s="1405">
        <v>0.161</v>
      </c>
      <c r="H6" s="1405">
        <v>0.20100000000000001</v>
      </c>
      <c r="I6" s="1405">
        <v>0.27100000000000002</v>
      </c>
      <c r="J6" s="1405">
        <v>0.161</v>
      </c>
      <c r="K6" s="1404">
        <v>0.251</v>
      </c>
      <c r="L6" s="1405">
        <v>0.251</v>
      </c>
      <c r="M6" s="1405">
        <v>0.45100000000000001</v>
      </c>
      <c r="N6" s="1405">
        <v>0.161</v>
      </c>
      <c r="O6" s="1405">
        <v>0.161</v>
      </c>
      <c r="P6" s="1405">
        <v>0.161</v>
      </c>
      <c r="Q6" s="1405">
        <v>0.45100000000000001</v>
      </c>
      <c r="R6" s="1405">
        <v>0.45100000000000001</v>
      </c>
      <c r="S6" s="1541"/>
      <c r="T6" s="1541"/>
      <c r="U6" s="1541"/>
      <c r="V6" s="1541"/>
      <c r="W6" s="1541"/>
      <c r="X6" s="1541"/>
      <c r="Y6" s="1541"/>
    </row>
    <row r="7" spans="1:25" x14ac:dyDescent="0.35">
      <c r="A7" s="1412" t="str">
        <f t="shared" si="0"/>
        <v>Non-voiceL1</v>
      </c>
      <c r="B7" s="1403" t="s">
        <v>325</v>
      </c>
      <c r="C7" s="1403" t="s">
        <v>321</v>
      </c>
      <c r="D7" s="1405">
        <v>0.40100000000000002</v>
      </c>
      <c r="E7" s="1405">
        <v>0.32100000000000001</v>
      </c>
      <c r="F7" s="1404">
        <v>0.161</v>
      </c>
      <c r="G7" s="1405">
        <v>0.161</v>
      </c>
      <c r="H7" s="1405">
        <v>0.20100000000000001</v>
      </c>
      <c r="I7" s="1405">
        <v>0.27100000000000002</v>
      </c>
      <c r="J7" s="1405">
        <v>0.161</v>
      </c>
      <c r="K7" s="1404">
        <v>0.251</v>
      </c>
      <c r="L7" s="1405">
        <v>0.251</v>
      </c>
      <c r="M7" s="1405">
        <v>0.40100000000000002</v>
      </c>
      <c r="N7" s="1405">
        <v>0.161</v>
      </c>
      <c r="O7" s="1405">
        <v>0.161</v>
      </c>
      <c r="P7" s="1405">
        <v>0.161</v>
      </c>
      <c r="Q7" s="1405">
        <v>0.40100000000000002</v>
      </c>
      <c r="R7" s="1405">
        <v>0.40100000000000002</v>
      </c>
      <c r="S7" s="1541"/>
      <c r="T7" s="1541"/>
      <c r="U7" s="1541"/>
      <c r="V7" s="1541"/>
      <c r="W7" s="1541"/>
      <c r="X7" s="1541"/>
      <c r="Y7" s="1541"/>
    </row>
    <row r="8" spans="1:25" x14ac:dyDescent="0.35">
      <c r="A8" s="1412" t="str">
        <f t="shared" si="0"/>
        <v>Non-voiceL2</v>
      </c>
      <c r="B8" s="1403" t="s">
        <v>325</v>
      </c>
      <c r="C8" s="1403" t="s">
        <v>322</v>
      </c>
      <c r="D8" s="1405">
        <v>0.45100000000000001</v>
      </c>
      <c r="E8" s="1405">
        <v>0.32100000000000001</v>
      </c>
      <c r="F8" s="1404">
        <v>0.161</v>
      </c>
      <c r="G8" s="1405">
        <v>0.161</v>
      </c>
      <c r="H8" s="1405">
        <v>0.20100000000000001</v>
      </c>
      <c r="I8" s="1405">
        <v>0.27100000000000002</v>
      </c>
      <c r="J8" s="1405">
        <v>0.161</v>
      </c>
      <c r="K8" s="1404">
        <v>0.251</v>
      </c>
      <c r="L8" s="1405">
        <v>0.251</v>
      </c>
      <c r="M8" s="1405">
        <v>0.45100000000000001</v>
      </c>
      <c r="N8" s="1405">
        <v>0.161</v>
      </c>
      <c r="O8" s="1405">
        <v>0.161</v>
      </c>
      <c r="P8" s="1405">
        <v>0.161</v>
      </c>
      <c r="Q8" s="1405">
        <v>0.45100000000000001</v>
      </c>
      <c r="R8" s="1405">
        <v>0.45100000000000001</v>
      </c>
      <c r="S8" s="1541"/>
      <c r="T8" s="1541"/>
      <c r="U8" s="1541"/>
      <c r="V8" s="1541"/>
      <c r="W8" s="1541"/>
      <c r="X8" s="1541"/>
      <c r="Y8" s="1541"/>
    </row>
    <row r="9" spans="1:25" x14ac:dyDescent="0.35">
      <c r="A9" s="1412" t="str">
        <f t="shared" si="0"/>
        <v>BackofficeL1</v>
      </c>
      <c r="B9" s="1403" t="s">
        <v>326</v>
      </c>
      <c r="C9" s="1403" t="s">
        <v>321</v>
      </c>
      <c r="D9" s="1405">
        <v>0.40100000000000002</v>
      </c>
      <c r="E9" s="1405">
        <v>0.32100000000000001</v>
      </c>
      <c r="F9" s="1404">
        <v>0.161</v>
      </c>
      <c r="G9" s="1405">
        <v>0.161</v>
      </c>
      <c r="H9" s="1405">
        <v>0.20100000000000001</v>
      </c>
      <c r="I9" s="1405">
        <v>0.27100000000000002</v>
      </c>
      <c r="J9" s="1405">
        <v>0.161</v>
      </c>
      <c r="K9" s="1404">
        <v>0.251</v>
      </c>
      <c r="L9" s="1405">
        <v>0.251</v>
      </c>
      <c r="M9" s="1405">
        <v>0.40100000000000002</v>
      </c>
      <c r="N9" s="1405">
        <v>0.161</v>
      </c>
      <c r="O9" s="1405">
        <v>0.161</v>
      </c>
      <c r="P9" s="1405">
        <v>0.161</v>
      </c>
      <c r="Q9" s="1405">
        <v>0.40100000000000002</v>
      </c>
      <c r="R9" s="1405">
        <v>0.40100000000000002</v>
      </c>
      <c r="S9" s="1541"/>
      <c r="T9" s="1541"/>
      <c r="U9" s="1541"/>
      <c r="V9" s="1541"/>
      <c r="W9" s="1541"/>
      <c r="X9" s="1541"/>
      <c r="Y9" s="1541"/>
    </row>
    <row r="10" spans="1:25" x14ac:dyDescent="0.35">
      <c r="A10" s="1412" t="str">
        <f t="shared" si="0"/>
        <v>BackofficeL2</v>
      </c>
      <c r="B10" s="1403" t="s">
        <v>326</v>
      </c>
      <c r="C10" s="1403" t="s">
        <v>322</v>
      </c>
      <c r="D10" s="1405">
        <v>0.45100000000000001</v>
      </c>
      <c r="E10" s="1405">
        <v>0.32100000000000001</v>
      </c>
      <c r="F10" s="1404">
        <v>0.161</v>
      </c>
      <c r="G10" s="1405">
        <v>0.161</v>
      </c>
      <c r="H10" s="1405">
        <v>0.20100000000000001</v>
      </c>
      <c r="I10" s="1405">
        <v>0.27100000000000002</v>
      </c>
      <c r="J10" s="1405">
        <v>0.161</v>
      </c>
      <c r="K10" s="1404">
        <v>0.251</v>
      </c>
      <c r="L10" s="1405">
        <v>0.251</v>
      </c>
      <c r="M10" s="1405">
        <v>0.45100000000000001</v>
      </c>
      <c r="N10" s="1405">
        <v>0.161</v>
      </c>
      <c r="O10" s="1405">
        <v>0.161</v>
      </c>
      <c r="P10" s="1405">
        <v>0.161</v>
      </c>
      <c r="Q10" s="1405">
        <v>0.45100000000000001</v>
      </c>
      <c r="R10" s="1405">
        <v>0.45100000000000001</v>
      </c>
      <c r="S10" s="1541"/>
      <c r="T10" s="1541"/>
      <c r="U10" s="1541"/>
      <c r="V10" s="1541"/>
      <c r="W10" s="1541"/>
      <c r="X10" s="1541"/>
      <c r="Y10" s="1541"/>
    </row>
    <row r="11" spans="1:25" x14ac:dyDescent="0.35">
      <c r="A11" s="1412" t="str">
        <f t="shared" si="0"/>
        <v>BackofficeL3</v>
      </c>
      <c r="B11" s="1403" t="s">
        <v>326</v>
      </c>
      <c r="C11" s="1403" t="s">
        <v>323</v>
      </c>
      <c r="D11" s="1405">
        <v>0.45100000000000001</v>
      </c>
      <c r="E11" s="1405">
        <v>0.32100000000000001</v>
      </c>
      <c r="F11" s="1404">
        <v>0.161</v>
      </c>
      <c r="G11" s="1405">
        <v>0.161</v>
      </c>
      <c r="H11" s="1405">
        <v>0.20100000000000001</v>
      </c>
      <c r="I11" s="1405">
        <v>0.27100000000000002</v>
      </c>
      <c r="J11" s="1405">
        <v>0.161</v>
      </c>
      <c r="K11" s="1404">
        <v>0.251</v>
      </c>
      <c r="L11" s="1405">
        <v>0.251</v>
      </c>
      <c r="M11" s="1405">
        <v>0.45100000000000001</v>
      </c>
      <c r="N11" s="1405">
        <v>0.161</v>
      </c>
      <c r="O11" s="1405">
        <v>0.161</v>
      </c>
      <c r="P11" s="1405">
        <v>0.161</v>
      </c>
      <c r="Q11" s="1405">
        <v>0.45100000000000001</v>
      </c>
      <c r="R11" s="1405">
        <v>0.45100000000000001</v>
      </c>
      <c r="S11" s="1541"/>
      <c r="T11" s="1541"/>
      <c r="U11" s="1541"/>
      <c r="V11" s="1541"/>
      <c r="W11" s="1541"/>
      <c r="X11" s="1541"/>
      <c r="Y11" s="1541"/>
    </row>
    <row r="12" spans="1:25" x14ac:dyDescent="0.35">
      <c r="A12" s="1412" t="str">
        <f t="shared" si="0"/>
        <v>BackofficeL4</v>
      </c>
      <c r="B12" s="1403" t="s">
        <v>326</v>
      </c>
      <c r="C12" s="1403" t="s">
        <v>324</v>
      </c>
      <c r="D12" s="1405">
        <v>0.45100000000000001</v>
      </c>
      <c r="E12" s="1405">
        <v>0.32100000000000001</v>
      </c>
      <c r="F12" s="1404">
        <v>0.161</v>
      </c>
      <c r="G12" s="1405">
        <v>0.161</v>
      </c>
      <c r="H12" s="1405">
        <v>0.20100000000000001</v>
      </c>
      <c r="I12" s="1405">
        <v>0.27100000000000002</v>
      </c>
      <c r="J12" s="1405">
        <v>0.161</v>
      </c>
      <c r="K12" s="1404">
        <v>0.251</v>
      </c>
      <c r="L12" s="1405">
        <v>0.251</v>
      </c>
      <c r="M12" s="1405">
        <v>0.45100000000000001</v>
      </c>
      <c r="N12" s="1405">
        <v>0.161</v>
      </c>
      <c r="O12" s="1405">
        <v>0.161</v>
      </c>
      <c r="P12" s="1405">
        <v>0.161</v>
      </c>
      <c r="Q12" s="1405">
        <v>0.45100000000000001</v>
      </c>
      <c r="R12" s="1405">
        <v>0.45100000000000001</v>
      </c>
      <c r="S12" s="1541"/>
      <c r="T12" s="1541"/>
      <c r="U12" s="1541"/>
      <c r="V12" s="1541"/>
      <c r="W12" s="1541"/>
      <c r="X12" s="1541"/>
      <c r="Y12" s="1541"/>
    </row>
    <row r="13" spans="1:25" x14ac:dyDescent="0.35">
      <c r="A13" s="1412" t="str">
        <f t="shared" si="0"/>
        <v>BackofficeL5</v>
      </c>
      <c r="B13" s="1403" t="s">
        <v>326</v>
      </c>
      <c r="C13" s="1403" t="s">
        <v>327</v>
      </c>
      <c r="D13" s="1405">
        <v>0.45100000000000001</v>
      </c>
      <c r="E13" s="1405">
        <v>0.32100000000000001</v>
      </c>
      <c r="F13" s="1405">
        <v>0.161</v>
      </c>
      <c r="G13" s="1405">
        <v>0.161</v>
      </c>
      <c r="H13" s="1405">
        <v>0.20100000000000001</v>
      </c>
      <c r="I13" s="1405">
        <v>0.27100000000000002</v>
      </c>
      <c r="J13" s="1405">
        <v>0.161</v>
      </c>
      <c r="K13" s="1405">
        <v>0.251</v>
      </c>
      <c r="L13" s="1405">
        <v>0.251</v>
      </c>
      <c r="M13" s="1405">
        <v>0.45100000000000001</v>
      </c>
      <c r="N13" s="1405">
        <v>0.161</v>
      </c>
      <c r="O13" s="1405">
        <v>0.161</v>
      </c>
      <c r="P13" s="1405">
        <v>0.161</v>
      </c>
      <c r="Q13" s="1405">
        <v>0.45100000000000001</v>
      </c>
      <c r="R13" s="1405">
        <v>0.45100000000000001</v>
      </c>
      <c r="S13" s="1541"/>
      <c r="T13" s="1541"/>
      <c r="U13" s="1541"/>
      <c r="V13" s="1541"/>
      <c r="W13" s="1541"/>
      <c r="X13" s="1541"/>
      <c r="Y13" s="1541"/>
    </row>
    <row r="14" spans="1:25" x14ac:dyDescent="0.35">
      <c r="A14" s="1412" t="str">
        <f t="shared" si="0"/>
        <v>BackofficeL6</v>
      </c>
      <c r="B14" s="1403" t="s">
        <v>326</v>
      </c>
      <c r="C14" s="1403" t="s">
        <v>331</v>
      </c>
      <c r="D14" s="1405">
        <v>0.45100000000000001</v>
      </c>
      <c r="E14" s="1405">
        <v>0.32100000000000001</v>
      </c>
      <c r="F14" s="1405">
        <v>0.161</v>
      </c>
      <c r="G14" s="1405">
        <v>0.161</v>
      </c>
      <c r="H14" s="1405">
        <v>0.20100000000000001</v>
      </c>
      <c r="I14" s="1405">
        <v>0.27100000000000002</v>
      </c>
      <c r="J14" s="1405">
        <v>0.161</v>
      </c>
      <c r="K14" s="1405">
        <v>0.251</v>
      </c>
      <c r="L14" s="1405">
        <v>0.251</v>
      </c>
      <c r="M14" s="1405">
        <v>0.45100000000000001</v>
      </c>
      <c r="N14" s="1405">
        <v>0.161</v>
      </c>
      <c r="O14" s="1405">
        <v>0.161</v>
      </c>
      <c r="P14" s="1405">
        <v>0.161</v>
      </c>
      <c r="Q14" s="1405">
        <v>0.45100000000000001</v>
      </c>
      <c r="R14" s="1405">
        <v>0.45100000000000001</v>
      </c>
      <c r="S14" s="1541"/>
      <c r="T14" s="1541"/>
      <c r="U14" s="1541"/>
      <c r="V14" s="1541"/>
      <c r="W14" s="1541"/>
      <c r="X14" s="1541"/>
      <c r="Y14" s="15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ECFF9-C55D-4911-A848-B04447340C36}">
  <sheetPr codeName="Sheet26"/>
  <dimension ref="B2:C23"/>
  <sheetViews>
    <sheetView showGridLines="0" workbookViewId="0">
      <selection activeCell="B23" sqref="B23"/>
    </sheetView>
  </sheetViews>
  <sheetFormatPr defaultRowHeight="14.5" x14ac:dyDescent="0.35"/>
  <cols>
    <col min="2" max="2" width="17.7265625" bestFit="1" customWidth="1"/>
    <col min="3" max="3" width="16.81640625" bestFit="1" customWidth="1"/>
  </cols>
  <sheetData>
    <row r="2" spans="2:3" x14ac:dyDescent="0.35">
      <c r="B2" s="1476" t="s">
        <v>802</v>
      </c>
      <c r="C2" s="1477" t="s">
        <v>314</v>
      </c>
    </row>
    <row r="3" spans="2:3" x14ac:dyDescent="0.35">
      <c r="B3" s="1478" t="s">
        <v>786</v>
      </c>
      <c r="C3" s="1479"/>
    </row>
    <row r="4" spans="2:3" x14ac:dyDescent="0.35">
      <c r="B4" s="1478" t="s">
        <v>787</v>
      </c>
      <c r="C4" s="1479"/>
    </row>
    <row r="5" spans="2:3" x14ac:dyDescent="0.35">
      <c r="B5" s="1478" t="s">
        <v>788</v>
      </c>
      <c r="C5" s="1479"/>
    </row>
    <row r="6" spans="2:3" x14ac:dyDescent="0.35">
      <c r="B6" s="1478" t="s">
        <v>789</v>
      </c>
      <c r="C6" s="1479"/>
    </row>
    <row r="7" spans="2:3" x14ac:dyDescent="0.35">
      <c r="B7" s="1478" t="s">
        <v>790</v>
      </c>
      <c r="C7" s="1479"/>
    </row>
    <row r="8" spans="2:3" x14ac:dyDescent="0.35">
      <c r="B8" s="1478" t="s">
        <v>791</v>
      </c>
      <c r="C8" s="1479"/>
    </row>
    <row r="9" spans="2:3" x14ac:dyDescent="0.35">
      <c r="B9" s="1478" t="s">
        <v>792</v>
      </c>
      <c r="C9" s="1479"/>
    </row>
    <row r="10" spans="2:3" x14ac:dyDescent="0.35">
      <c r="B10" s="1478" t="s">
        <v>793</v>
      </c>
      <c r="C10" s="1479"/>
    </row>
    <row r="11" spans="2:3" x14ac:dyDescent="0.35">
      <c r="B11" s="1478" t="s">
        <v>794</v>
      </c>
      <c r="C11" s="1479"/>
    </row>
    <row r="12" spans="2:3" x14ac:dyDescent="0.35">
      <c r="B12" s="1478" t="s">
        <v>795</v>
      </c>
      <c r="C12" s="1479"/>
    </row>
    <row r="13" spans="2:3" x14ac:dyDescent="0.35">
      <c r="B13" s="1478" t="s">
        <v>796</v>
      </c>
      <c r="C13" s="1479"/>
    </row>
    <row r="14" spans="2:3" x14ac:dyDescent="0.35">
      <c r="B14" s="1478" t="s">
        <v>797</v>
      </c>
      <c r="C14" s="1479"/>
    </row>
    <row r="15" spans="2:3" x14ac:dyDescent="0.35">
      <c r="B15" s="1478" t="s">
        <v>798</v>
      </c>
      <c r="C15" s="1479"/>
    </row>
    <row r="16" spans="2:3" x14ac:dyDescent="0.35">
      <c r="B16" s="1478" t="s">
        <v>799</v>
      </c>
      <c r="C16" s="1479"/>
    </row>
    <row r="17" spans="2:3" x14ac:dyDescent="0.35">
      <c r="B17" s="1478" t="s">
        <v>800</v>
      </c>
      <c r="C17" s="1479"/>
    </row>
    <row r="18" spans="2:3" x14ac:dyDescent="0.35">
      <c r="B18" s="1478" t="s">
        <v>801</v>
      </c>
      <c r="C18" s="1479"/>
    </row>
    <row r="19" spans="2:3" x14ac:dyDescent="0.35">
      <c r="B19" s="1478" t="s">
        <v>320</v>
      </c>
      <c r="C19" s="1479"/>
    </row>
    <row r="20" spans="2:3" x14ac:dyDescent="0.35">
      <c r="B20" s="1478" t="s">
        <v>76</v>
      </c>
      <c r="C20" s="1479"/>
    </row>
    <row r="21" spans="2:3" x14ac:dyDescent="0.35">
      <c r="B21" s="1478" t="s">
        <v>793</v>
      </c>
      <c r="C21" s="1479"/>
    </row>
    <row r="22" spans="2:3" x14ac:dyDescent="0.35">
      <c r="B22" s="1478" t="s">
        <v>92</v>
      </c>
      <c r="C22" s="1479"/>
    </row>
    <row r="23" spans="2:3" x14ac:dyDescent="0.35">
      <c r="B23" s="1478" t="s">
        <v>803</v>
      </c>
      <c r="C23" s="147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7" tint="0.59999389629810485"/>
  </sheetPr>
  <dimension ref="A2:AY27"/>
  <sheetViews>
    <sheetView showGridLines="0" tabSelected="1" zoomScaleNormal="100" workbookViewId="0">
      <selection activeCell="I14" sqref="I14"/>
    </sheetView>
  </sheetViews>
  <sheetFormatPr defaultColWidth="8.7265625" defaultRowHeight="13" x14ac:dyDescent="0.3"/>
  <cols>
    <col min="1" max="1" width="5.90625" style="93" customWidth="1"/>
    <col min="2" max="2" width="19.453125" style="14" bestFit="1" customWidth="1"/>
    <col min="3" max="3" width="9.453125" style="14" bestFit="1" customWidth="1"/>
    <col min="4" max="4" width="15.54296875" style="14" bestFit="1" customWidth="1"/>
    <col min="5" max="5" width="11.36328125" style="14" customWidth="1"/>
    <col min="6" max="6" width="10.54296875" style="14" customWidth="1"/>
    <col min="7" max="7" width="4.453125" style="14" customWidth="1"/>
    <col min="8" max="8" width="4.7265625" style="14" customWidth="1"/>
    <col min="9" max="9" width="13.81640625" style="14" bestFit="1" customWidth="1"/>
    <col min="10" max="10" width="16.36328125" style="14" bestFit="1" customWidth="1"/>
    <col min="11" max="11" width="14.1796875" style="14" bestFit="1" customWidth="1"/>
    <col min="12" max="12" width="19.08984375" style="14" bestFit="1" customWidth="1"/>
    <col min="13" max="13" width="14.90625" style="14" customWidth="1"/>
    <col min="14" max="14" width="24.36328125" style="14" bestFit="1" customWidth="1"/>
    <col min="15" max="15" width="11.81640625" style="14" customWidth="1"/>
    <col min="16" max="16" width="4.26953125" style="14" customWidth="1"/>
    <col min="17" max="17" width="24.08984375" style="14" bestFit="1" customWidth="1"/>
    <col min="18" max="18" width="11.81640625" style="14" customWidth="1"/>
    <col min="19" max="20" width="8.7265625" style="14" customWidth="1"/>
    <col min="21" max="21" width="17.6328125" style="14" customWidth="1"/>
    <col min="22" max="22" width="12" style="14" bestFit="1" customWidth="1"/>
    <col min="23" max="25" width="10.6328125" style="14" bestFit="1" customWidth="1"/>
    <col min="26" max="26" width="8.7265625" style="14" customWidth="1"/>
    <col min="27" max="27" width="4.7265625" style="14" customWidth="1"/>
    <col min="28" max="28" width="16.54296875" style="14" customWidth="1"/>
    <col min="29" max="29" width="10.81640625" style="14" customWidth="1"/>
    <col min="30" max="30" width="13.1796875" style="14" customWidth="1"/>
    <col min="31" max="37" width="5.81640625" style="14" customWidth="1"/>
    <col min="38" max="38" width="6.453125" style="14" customWidth="1"/>
    <col min="39" max="41" width="8.7265625" style="14" customWidth="1"/>
    <col min="42" max="42" width="50.36328125" style="14" customWidth="1"/>
    <col min="43" max="43" width="32.1796875" style="14" customWidth="1"/>
    <col min="44" max="44" width="7.1796875" style="14" customWidth="1"/>
    <col min="45" max="49" width="8.7265625" style="14" customWidth="1"/>
    <col min="50" max="50" width="10.81640625" style="14" customWidth="1"/>
    <col min="51" max="60" width="8.7265625" style="14" customWidth="1"/>
    <col min="61" max="16384" width="8.7265625" style="14"/>
  </cols>
  <sheetData>
    <row r="2" spans="1:51" x14ac:dyDescent="0.3">
      <c r="A2" s="1379" t="str">
        <f>C3&amp;D3</f>
        <v>BackofficeL1</v>
      </c>
      <c r="B2" s="729" t="s">
        <v>75</v>
      </c>
      <c r="C2" s="680" t="s">
        <v>381</v>
      </c>
      <c r="D2" s="680" t="s">
        <v>320</v>
      </c>
      <c r="E2" s="1486" t="s">
        <v>808</v>
      </c>
      <c r="F2" s="680" t="s">
        <v>658</v>
      </c>
      <c r="G2" s="680" t="s">
        <v>76</v>
      </c>
      <c r="H2" s="680" t="s">
        <v>77</v>
      </c>
      <c r="I2" s="680" t="s">
        <v>656</v>
      </c>
      <c r="J2" s="680" t="s">
        <v>657</v>
      </c>
      <c r="K2" s="680" t="s">
        <v>78</v>
      </c>
      <c r="L2" s="680" t="s">
        <v>79</v>
      </c>
      <c r="M2" s="680" t="s">
        <v>689</v>
      </c>
      <c r="N2" s="680" t="s">
        <v>703</v>
      </c>
      <c r="Q2" s="1081" t="s">
        <v>314</v>
      </c>
      <c r="R2" s="653" t="str">
        <f>$B$3</f>
        <v>Ind Tier 1 -Mumbai</v>
      </c>
      <c r="U2" s="36" t="str">
        <f>'P&amp;L'!B7</f>
        <v>Ind Tier 1 -Mumbai P&amp;L Summary</v>
      </c>
      <c r="V2" s="167" t="str">
        <f>'P&amp;L'!H7</f>
        <v>Year1</v>
      </c>
      <c r="W2" s="167" t="str">
        <f>'P&amp;L'!I7</f>
        <v>Year2</v>
      </c>
      <c r="X2" s="167" t="str">
        <f>'P&amp;L'!J7</f>
        <v>Year3</v>
      </c>
      <c r="Y2" s="168" t="str">
        <f>'P&amp;L'!K7</f>
        <v xml:space="preserve">3 year_Consol </v>
      </c>
      <c r="AA2" s="131"/>
      <c r="AB2" s="273" t="s">
        <v>91</v>
      </c>
      <c r="AC2" s="273" t="s">
        <v>75</v>
      </c>
      <c r="AD2" s="273" t="s">
        <v>92</v>
      </c>
      <c r="AE2" s="131"/>
      <c r="AF2" s="131"/>
      <c r="AG2" s="131"/>
      <c r="AH2" s="131"/>
      <c r="AI2" s="131"/>
      <c r="AJ2" s="131"/>
      <c r="AK2" s="131"/>
      <c r="AL2" s="131"/>
      <c r="AM2" s="131"/>
      <c r="AO2" s="131"/>
      <c r="AP2" s="177" t="s">
        <v>113</v>
      </c>
      <c r="AQ2" s="177" t="s">
        <v>587</v>
      </c>
      <c r="AR2" s="177"/>
      <c r="AS2" s="131"/>
      <c r="AT2" s="131"/>
      <c r="AX2" s="354" t="s">
        <v>701</v>
      </c>
      <c r="AY2" s="1467" t="s">
        <v>702</v>
      </c>
    </row>
    <row r="3" spans="1:51" x14ac:dyDescent="0.3">
      <c r="A3" s="1401">
        <f>VLOOKUP(C3&amp;D3,'Threshold Guidance'!$A:$R,MATCH($B3,'Threshold Guidance'!$A$2:$R$2,0),0)</f>
        <v>0.40100000000000002</v>
      </c>
      <c r="B3" s="370" t="s">
        <v>928</v>
      </c>
      <c r="C3" s="733" t="s">
        <v>326</v>
      </c>
      <c r="D3" s="733" t="s">
        <v>321</v>
      </c>
      <c r="E3" s="1487">
        <f>AVERAGE(C14:E14)</f>
        <v>1</v>
      </c>
      <c r="F3" s="730"/>
      <c r="G3" s="1649">
        <v>50</v>
      </c>
      <c r="H3" s="733">
        <f>AVERAGE(Data!$H$12:$S$12)</f>
        <v>61</v>
      </c>
      <c r="I3" s="1660">
        <v>10.1</v>
      </c>
      <c r="J3" s="1661">
        <f>IF($R$6="No",0,$I$3*$R$5)</f>
        <v>10.1</v>
      </c>
      <c r="K3" s="290">
        <f>$V$5</f>
        <v>0.37053665586177137</v>
      </c>
      <c r="L3" s="290">
        <f>V10</f>
        <v>0.41409590469829466</v>
      </c>
      <c r="M3" s="290" t="s">
        <v>708</v>
      </c>
      <c r="N3" s="1226">
        <v>36</v>
      </c>
      <c r="Q3" s="886"/>
      <c r="R3" s="121"/>
      <c r="U3" s="41" t="str">
        <f>'P&amp;L'!B8</f>
        <v>Revenues</v>
      </c>
      <c r="V3" s="1243">
        <f>'P&amp;L'!H8</f>
        <v>1260620.6785714284</v>
      </c>
      <c r="W3" s="1243">
        <f>'P&amp;L'!I8</f>
        <v>1247602.5</v>
      </c>
      <c r="X3" s="1243">
        <f>'P&amp;L'!J8</f>
        <v>1306403.4375000002</v>
      </c>
      <c r="Y3" s="1244">
        <f>'P&amp;L'!K8</f>
        <v>3814626.6160714282</v>
      </c>
      <c r="AA3" s="131"/>
      <c r="AB3" s="1236" t="s">
        <v>93</v>
      </c>
      <c r="AC3" s="1236" t="s">
        <v>29</v>
      </c>
      <c r="AD3" s="1237" t="s">
        <v>94</v>
      </c>
      <c r="AE3" s="131"/>
      <c r="AF3" s="131"/>
      <c r="AG3" s="131"/>
      <c r="AH3" s="131"/>
      <c r="AI3" s="131"/>
      <c r="AJ3" s="131"/>
      <c r="AK3" s="131"/>
      <c r="AL3" s="131"/>
      <c r="AM3" s="131"/>
      <c r="AO3" s="131"/>
      <c r="AP3" s="1168" t="s">
        <v>311</v>
      </c>
      <c r="AQ3" s="132" t="s">
        <v>90</v>
      </c>
      <c r="AR3" s="178">
        <v>0</v>
      </c>
      <c r="AS3" s="131" t="s">
        <v>114</v>
      </c>
      <c r="AT3" s="131"/>
      <c r="AX3" s="1425" t="s">
        <v>204</v>
      </c>
      <c r="AY3" s="1466">
        <f>AVERAGE(Data!H45:DW45)</f>
        <v>3.3899999999999908</v>
      </c>
    </row>
    <row r="4" spans="1:51" x14ac:dyDescent="0.3">
      <c r="B4" s="338"/>
      <c r="L4" s="37"/>
      <c r="M4" s="37"/>
      <c r="Q4" s="886" t="s">
        <v>82</v>
      </c>
      <c r="R4" s="732">
        <v>0</v>
      </c>
      <c r="U4" s="41" t="str">
        <f>'P&amp;L'!B9</f>
        <v>Account Margin</v>
      </c>
      <c r="V4" s="1243">
        <f>'P&amp;L'!H9</f>
        <v>467106.17054805404</v>
      </c>
      <c r="W4" s="1243">
        <f>'P&amp;L'!I9</f>
        <v>528060.63415188156</v>
      </c>
      <c r="X4" s="1243">
        <f>'P&amp;L'!J9</f>
        <v>584454.45496835758</v>
      </c>
      <c r="Y4" s="1244">
        <f>'P&amp;L'!K9</f>
        <v>1579621.2596682932</v>
      </c>
      <c r="AA4" s="131"/>
      <c r="AB4" s="130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O4" s="131"/>
      <c r="AP4" s="1168" t="s">
        <v>115</v>
      </c>
      <c r="AQ4" s="1079" t="s">
        <v>90</v>
      </c>
      <c r="AR4" s="1080"/>
      <c r="AS4" s="131" t="s">
        <v>116</v>
      </c>
      <c r="AT4" s="131"/>
      <c r="AX4" s="1425" t="s">
        <v>267</v>
      </c>
      <c r="AY4" s="1466">
        <f>AVERAGE(Data!H46:DW46)</f>
        <v>6.0999999999999933E-6</v>
      </c>
    </row>
    <row r="5" spans="1:51" x14ac:dyDescent="0.3">
      <c r="A5" s="1464"/>
      <c r="B5" s="171" t="s">
        <v>107</v>
      </c>
      <c r="C5" s="1457">
        <f>IF(D5="Billable",(HLOOKUP(E5,'Rev.'!$C$59:$H$74,16,0)),0)</f>
        <v>0</v>
      </c>
      <c r="D5" s="730" t="s">
        <v>686</v>
      </c>
      <c r="E5" s="14" t="s">
        <v>204</v>
      </c>
      <c r="J5" s="1448" t="s">
        <v>687</v>
      </c>
      <c r="Q5" s="886" t="s">
        <v>83</v>
      </c>
      <c r="R5" s="732">
        <v>1</v>
      </c>
      <c r="U5" s="42" t="str">
        <f>'P&amp;L'!B10</f>
        <v>Account Margin %</v>
      </c>
      <c r="V5" s="43">
        <f>'P&amp;L'!H10</f>
        <v>0.37053665586177137</v>
      </c>
      <c r="W5" s="43">
        <f>'P&amp;L'!I10</f>
        <v>0.42326032061644758</v>
      </c>
      <c r="X5" s="43">
        <f>'P&amp;L'!J10</f>
        <v>0.44737669711494271</v>
      </c>
      <c r="Y5" s="44">
        <f>'P&amp;L'!K10</f>
        <v>0.41409590469829488</v>
      </c>
      <c r="AA5" s="131"/>
      <c r="AB5" s="643" t="str">
        <f>AC3</f>
        <v>UK</v>
      </c>
      <c r="AC5" s="172" t="s">
        <v>95</v>
      </c>
      <c r="AD5" s="172" t="s">
        <v>96</v>
      </c>
      <c r="AE5" s="172" t="s">
        <v>97</v>
      </c>
      <c r="AF5" s="172" t="s">
        <v>98</v>
      </c>
      <c r="AG5" s="172" t="s">
        <v>99</v>
      </c>
      <c r="AH5" s="172" t="s">
        <v>100</v>
      </c>
      <c r="AI5" s="172" t="s">
        <v>101</v>
      </c>
      <c r="AJ5" s="172" t="s">
        <v>102</v>
      </c>
      <c r="AK5" s="172" t="s">
        <v>103</v>
      </c>
      <c r="AL5" s="172" t="s">
        <v>104</v>
      </c>
      <c r="AM5" s="131"/>
      <c r="AO5" s="131"/>
      <c r="AP5" s="1169" t="s">
        <v>117</v>
      </c>
      <c r="AQ5" s="1079" t="s">
        <v>90</v>
      </c>
      <c r="AR5" s="1125">
        <f>Data!C119</f>
        <v>0</v>
      </c>
      <c r="AS5" s="131" t="s">
        <v>118</v>
      </c>
      <c r="AT5" s="131"/>
      <c r="AX5" s="1425" t="s">
        <v>205</v>
      </c>
      <c r="AY5" s="1466">
        <f>AVERAGE(Data!H47:DW47)</f>
        <v>0.50833333333333297</v>
      </c>
    </row>
    <row r="6" spans="1:51" x14ac:dyDescent="0.3">
      <c r="A6" s="1464"/>
      <c r="B6" s="171" t="s">
        <v>108</v>
      </c>
      <c r="C6" s="1457">
        <f>IF(D6="Billable",(HLOOKUP(E6,'Rev.'!$C$59:$H$74,16,0)),0)</f>
        <v>0</v>
      </c>
      <c r="D6" s="730" t="s">
        <v>686</v>
      </c>
      <c r="E6" s="14" t="s">
        <v>45</v>
      </c>
      <c r="Q6" s="886" t="s">
        <v>84</v>
      </c>
      <c r="R6" s="731" t="s">
        <v>85</v>
      </c>
      <c r="AA6" s="1235">
        <f>VLOOKUP(Data!$D$4,'Data Master'!$C$101:$D$110,2,0)</f>
        <v>9</v>
      </c>
      <c r="AB6" s="307" t="s">
        <v>94</v>
      </c>
      <c r="AC6" s="304">
        <f>Summary!$I$3</f>
        <v>10.1</v>
      </c>
      <c r="AD6" s="304">
        <f>AC6*(1+Data!$T$130)</f>
        <v>10.605</v>
      </c>
      <c r="AE6" s="304">
        <f>AD6*(1+Data!$AF$130)</f>
        <v>11.135250000000001</v>
      </c>
      <c r="AF6" s="304">
        <f>AE6*(1+Data!$AR$130)</f>
        <v>11.692012500000002</v>
      </c>
      <c r="AG6" s="304">
        <f>AF6*(1+Data!$BD$130)</f>
        <v>12.276613125000003</v>
      </c>
      <c r="AH6" s="304">
        <f>AG6*(1+Data!$BP$130)</f>
        <v>12.890443781250003</v>
      </c>
      <c r="AI6" s="304">
        <f>AH6*(1+Data!$CB$130)</f>
        <v>13.534965970312504</v>
      </c>
      <c r="AJ6" s="304">
        <f>AI6*(1+Data!$CN$130)</f>
        <v>14.21171426882813</v>
      </c>
      <c r="AK6" s="304">
        <f>AJ6*(1+Data!$CZ$130)</f>
        <v>14.922299982269537</v>
      </c>
      <c r="AL6" s="304">
        <f>AK6*(1+Data!$DL$130)</f>
        <v>15.668414981383014</v>
      </c>
      <c r="AM6" s="131"/>
      <c r="AO6" s="131"/>
      <c r="AP6" s="1168" t="s">
        <v>119</v>
      </c>
      <c r="AQ6" s="132" t="s">
        <v>90</v>
      </c>
      <c r="AR6" s="1076">
        <v>0</v>
      </c>
      <c r="AS6" s="131" t="s">
        <v>116</v>
      </c>
      <c r="AT6" s="131"/>
      <c r="AX6" s="1425" t="s">
        <v>250</v>
      </c>
      <c r="AY6" s="1466">
        <f>AVERAGE(Data!H48:DW48)</f>
        <v>6.0999999999999933E-6</v>
      </c>
    </row>
    <row r="7" spans="1:51" x14ac:dyDescent="0.3">
      <c r="A7" s="1464"/>
      <c r="B7" s="171" t="s">
        <v>109</v>
      </c>
      <c r="C7" s="1457">
        <f>IF(D7="Billable",(HLOOKUP(E7,'Rev.'!$C$59:$H$74,16,0)),0)</f>
        <v>0</v>
      </c>
      <c r="D7" s="730" t="s">
        <v>686</v>
      </c>
      <c r="E7" s="14" t="s">
        <v>205</v>
      </c>
      <c r="I7" s="1458"/>
      <c r="K7" s="1379">
        <v>1</v>
      </c>
      <c r="L7" s="1451" t="s">
        <v>680</v>
      </c>
      <c r="Q7" s="886" t="s">
        <v>86</v>
      </c>
      <c r="R7" s="734">
        <f>1/(1-Data!G9)</f>
        <v>1.201657458563536</v>
      </c>
      <c r="U7" s="36" t="s">
        <v>704</v>
      </c>
      <c r="V7" s="168" t="s">
        <v>130</v>
      </c>
      <c r="AA7" s="1235">
        <f>AA6*(1-Shrinkage!$E$10)</f>
        <v>7.8879807692307695</v>
      </c>
      <c r="AB7" s="171" t="s">
        <v>105</v>
      </c>
      <c r="AC7" s="304">
        <f>AC6/(1-Shrinkage!$E$10)</f>
        <v>11.523861766319254</v>
      </c>
      <c r="AD7" s="304">
        <f>AC7*(1+Data!$T$130)</f>
        <v>12.100054854635216</v>
      </c>
      <c r="AE7" s="304">
        <f>AD7*(1+Data!$AF$130)</f>
        <v>12.705057597366977</v>
      </c>
      <c r="AF7" s="304">
        <f>AE7*(1+Data!$AR$130)</f>
        <v>13.340310477235327</v>
      </c>
      <c r="AG7" s="304">
        <f>AF7*(1+Data!$BD$130)</f>
        <v>14.007326001097095</v>
      </c>
      <c r="AH7" s="304">
        <f>AG7*(1+Data!$BP$130)</f>
        <v>14.707692301151949</v>
      </c>
      <c r="AI7" s="304">
        <f>AH7*(1+Data!$CB$130)</f>
        <v>15.443076916209547</v>
      </c>
      <c r="AJ7" s="304">
        <f>AI7*(1+Data!$CN$130)</f>
        <v>16.215230762020024</v>
      </c>
      <c r="AK7" s="304">
        <f>AJ7*(1+Data!$CZ$130)</f>
        <v>17.025992300121025</v>
      </c>
      <c r="AL7" s="304">
        <f>AK7*(1+Data!$DL$130)</f>
        <v>17.877291915127078</v>
      </c>
      <c r="AM7" s="131"/>
      <c r="AO7" s="131"/>
      <c r="AP7" s="33" t="str">
        <f>Data!B103</f>
        <v>Other partner tools/User/Month + SANAS (For Offshore Voice)</v>
      </c>
      <c r="AQ7" s="132" t="s">
        <v>90</v>
      </c>
      <c r="AR7" s="1077">
        <f>Data!C103</f>
        <v>1083.48</v>
      </c>
      <c r="AS7" s="131" t="s">
        <v>114</v>
      </c>
      <c r="AT7" s="641"/>
      <c r="AX7" s="1425" t="s">
        <v>371</v>
      </c>
      <c r="AY7" s="1466">
        <f>AVERAGE(Data!H49:DW49)</f>
        <v>0.12708333333333324</v>
      </c>
    </row>
    <row r="8" spans="1:51" x14ac:dyDescent="0.3">
      <c r="A8" s="1464"/>
      <c r="B8" s="171" t="s">
        <v>110</v>
      </c>
      <c r="C8" s="1457">
        <f>IF(D8="Billable",(HLOOKUP(E8,'Rev.'!$C$59:$H$74,16,0)),0)</f>
        <v>0</v>
      </c>
      <c r="D8" s="730" t="s">
        <v>686</v>
      </c>
      <c r="E8" s="14" t="s">
        <v>47</v>
      </c>
      <c r="I8" s="1458"/>
      <c r="K8" s="1379">
        <v>2</v>
      </c>
      <c r="L8" s="1451" t="s">
        <v>681</v>
      </c>
      <c r="Q8" s="886" t="s">
        <v>87</v>
      </c>
      <c r="R8" s="734">
        <v>1</v>
      </c>
      <c r="U8" s="41" t="s">
        <v>123</v>
      </c>
      <c r="V8" s="1244">
        <f>HLOOKUP($N$3,'P&amp;L'!$F$16:$DU$183,167,0)</f>
        <v>3814626.6160714286</v>
      </c>
      <c r="AA8" s="131"/>
      <c r="AB8" s="171" t="s">
        <v>106</v>
      </c>
      <c r="AC8" s="304">
        <f>Summary!$J$3</f>
        <v>10.1</v>
      </c>
      <c r="AD8" s="304">
        <f>ROUND(AC8*(1+Data!$T$130),2)</f>
        <v>10.61</v>
      </c>
      <c r="AE8" s="304">
        <f>ROUND(AD8*(1+Data!$AF$130),2)</f>
        <v>11.14</v>
      </c>
      <c r="AF8" s="304">
        <f>ROUND(AE8*(1+Data!$AR$130),2)</f>
        <v>11.7</v>
      </c>
      <c r="AG8" s="304">
        <f>ROUND(AF8*(1+Data!$BD$130),2)</f>
        <v>12.29</v>
      </c>
      <c r="AH8" s="304">
        <f>AG8*(1+Data!$BP$130)</f>
        <v>12.904500000000001</v>
      </c>
      <c r="AI8" s="304">
        <f>AH8*(1+Data!$CB$130)</f>
        <v>13.549725</v>
      </c>
      <c r="AJ8" s="304">
        <f>AI8*(1+Data!$CN$130)</f>
        <v>14.227211250000002</v>
      </c>
      <c r="AK8" s="304">
        <f>AJ8*(1+Data!$CZ$130)</f>
        <v>14.938571812500003</v>
      </c>
      <c r="AL8" s="304">
        <f>AK8*(1+Data!$DL$130)</f>
        <v>15.685500403125003</v>
      </c>
      <c r="AM8" s="131"/>
      <c r="AO8" s="739">
        <f>IF(AQ8="Included",20%,0)</f>
        <v>0.2</v>
      </c>
      <c r="AP8" s="33" t="str">
        <f>Data!B104</f>
        <v>AI Coach Cost/User/Month</v>
      </c>
      <c r="AQ8" s="132" t="s">
        <v>90</v>
      </c>
      <c r="AR8" s="1077">
        <f>Data!C104</f>
        <v>1083.48</v>
      </c>
      <c r="AS8" s="131" t="s">
        <v>114</v>
      </c>
      <c r="AT8" s="641"/>
      <c r="AX8" s="1425" t="s">
        <v>372</v>
      </c>
      <c r="AY8" s="1466">
        <f>AVERAGE(Data!H50:DW50)</f>
        <v>6.3541666666666621E-2</v>
      </c>
    </row>
    <row r="9" spans="1:51" x14ac:dyDescent="0.3">
      <c r="A9" s="1464"/>
      <c r="B9" s="171" t="s">
        <v>111</v>
      </c>
      <c r="C9" s="1457">
        <f>IF(D9="Billable",(HLOOKUP(E9,'Rev.'!$C$59:$H$74,16,0)),0)</f>
        <v>0</v>
      </c>
      <c r="D9" s="730" t="s">
        <v>686</v>
      </c>
      <c r="E9" s="14" t="s">
        <v>46</v>
      </c>
      <c r="K9" s="1379">
        <v>3</v>
      </c>
      <c r="L9" s="1451" t="s">
        <v>682</v>
      </c>
      <c r="Q9" s="886" t="s">
        <v>88</v>
      </c>
      <c r="R9" s="732">
        <v>1</v>
      </c>
      <c r="U9" s="41" t="s">
        <v>26</v>
      </c>
      <c r="V9" s="1244">
        <f>HLOOKUP($N$3,'P&amp;L'!$F$16:$DU$183,168,0)</f>
        <v>1579621.2596682925</v>
      </c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O9" s="739">
        <f>IF(AQ9="Included",30%,0)</f>
        <v>0.3</v>
      </c>
      <c r="AP9" s="33" t="str">
        <f>Data!B107</f>
        <v>QA Automation - One-time + QA Automation/User/Month</v>
      </c>
      <c r="AQ9" s="132" t="s">
        <v>90</v>
      </c>
      <c r="AR9" s="1077">
        <f>Data!C107</f>
        <v>3160.15</v>
      </c>
      <c r="AS9" s="131" t="s">
        <v>114</v>
      </c>
      <c r="AT9" s="641"/>
      <c r="AX9" s="1425" t="s">
        <v>373</v>
      </c>
      <c r="AY9" s="1466">
        <f>AVERAGE(Data!H51:DW51)</f>
        <v>6.0999999999999933E-6</v>
      </c>
    </row>
    <row r="10" spans="1:51" x14ac:dyDescent="0.3">
      <c r="A10" s="1464"/>
      <c r="B10" s="171" t="s">
        <v>112</v>
      </c>
      <c r="C10" s="1457">
        <f>IF(D10="Billable",(HLOOKUP(E10,'Rev.'!$C$59:$H$74,16,0)),0)</f>
        <v>0</v>
      </c>
      <c r="D10" s="730" t="s">
        <v>686</v>
      </c>
      <c r="E10" s="14" t="s">
        <v>206</v>
      </c>
      <c r="K10" s="1379">
        <v>4</v>
      </c>
      <c r="L10" s="1451" t="s">
        <v>684</v>
      </c>
      <c r="Q10" s="886" t="s">
        <v>89</v>
      </c>
      <c r="R10" s="732">
        <f>(1-Summary!R9)</f>
        <v>0</v>
      </c>
      <c r="U10" s="42" t="s">
        <v>43</v>
      </c>
      <c r="V10" s="44">
        <f>V9/V8</f>
        <v>0.41409590469829466</v>
      </c>
      <c r="AA10" s="131"/>
      <c r="AB10" s="171" t="s">
        <v>107</v>
      </c>
      <c r="AC10" s="1238">
        <f>Summary!C5</f>
        <v>0</v>
      </c>
      <c r="AD10" s="304">
        <f>ROUND(AC10*(1+Data!$T$130),2)</f>
        <v>0</v>
      </c>
      <c r="AE10" s="304">
        <f>ROUND(AD10*(1+Data!$AF$130),2)</f>
        <v>0</v>
      </c>
      <c r="AF10" s="304">
        <f>ROUND(AE10*(1+Data!$AR$130),2)</f>
        <v>0</v>
      </c>
      <c r="AG10" s="304">
        <f>ROUND(AF10*(1+Data!$BD$130),2)</f>
        <v>0</v>
      </c>
      <c r="AH10" s="304">
        <f>AG10*(1+Data!$BP$130)</f>
        <v>0</v>
      </c>
      <c r="AI10" s="304">
        <f>AH10*(1+Data!$CB$130)</f>
        <v>0</v>
      </c>
      <c r="AJ10" s="304">
        <f>AI10*(1+Data!$CN$130)</f>
        <v>0</v>
      </c>
      <c r="AK10" s="304">
        <f>AJ10*(1+Data!$CZ$130)</f>
        <v>0</v>
      </c>
      <c r="AL10" s="304">
        <f>AK10*(1+Data!$DL$130)</f>
        <v>0</v>
      </c>
      <c r="AM10" s="131"/>
      <c r="AP10" s="33" t="s">
        <v>894</v>
      </c>
      <c r="AQ10" s="132" t="s">
        <v>90</v>
      </c>
      <c r="AR10" s="14" t="s">
        <v>895</v>
      </c>
      <c r="AX10" s="1425" t="s">
        <v>374</v>
      </c>
      <c r="AY10" s="1466">
        <f>AVERAGE(Data!H52:DW52)</f>
        <v>6.0999999999999933E-6</v>
      </c>
    </row>
    <row r="11" spans="1:51" x14ac:dyDescent="0.3">
      <c r="B11" s="171" t="s">
        <v>374</v>
      </c>
      <c r="C11" s="1457">
        <f>IF(D11="Billable",(HLOOKUP(E11,'Rev.'!$C$59:$I$74,16,0)),0)</f>
        <v>0</v>
      </c>
      <c r="D11" s="730" t="s">
        <v>686</v>
      </c>
      <c r="E11" s="14" t="s">
        <v>374</v>
      </c>
      <c r="Q11" s="886" t="s">
        <v>24</v>
      </c>
      <c r="R11" s="132" t="s">
        <v>660</v>
      </c>
      <c r="AA11" s="131"/>
      <c r="AB11" s="171" t="s">
        <v>108</v>
      </c>
      <c r="AC11" s="1238">
        <f>Summary!C6</f>
        <v>0</v>
      </c>
      <c r="AD11" s="304">
        <f>ROUND(AC11*(1+Data!$T$130),2)</f>
        <v>0</v>
      </c>
      <c r="AE11" s="304">
        <f>ROUND(AD11*(1+Data!$AF$130),2)</f>
        <v>0</v>
      </c>
      <c r="AF11" s="304">
        <f>ROUND(AE11*(1+Data!$AR$130),2)</f>
        <v>0</v>
      </c>
      <c r="AG11" s="304">
        <f>ROUND(AF11*(1+Data!$BD$130),2)</f>
        <v>0</v>
      </c>
      <c r="AH11" s="304">
        <f>AG11*(1+Data!$BP$130)</f>
        <v>0</v>
      </c>
      <c r="AI11" s="304">
        <f>AH11*(1+Data!$CB$130)</f>
        <v>0</v>
      </c>
      <c r="AJ11" s="304">
        <f>AI11*(1+Data!$CN$130)</f>
        <v>0</v>
      </c>
      <c r="AK11" s="304">
        <f>AJ11*(1+Data!$CZ$130)</f>
        <v>0</v>
      </c>
      <c r="AL11" s="304">
        <f>AK11*(1+Data!$DL$130)</f>
        <v>0</v>
      </c>
      <c r="AM11" s="131"/>
      <c r="AX11" s="1425" t="s">
        <v>47</v>
      </c>
      <c r="AY11" s="1466">
        <f>AVERAGE(Data!H53:DW53)</f>
        <v>1.1877403846153836</v>
      </c>
    </row>
    <row r="12" spans="1:51" x14ac:dyDescent="0.3">
      <c r="Q12" s="886" t="s">
        <v>804</v>
      </c>
      <c r="R12" s="732">
        <v>0</v>
      </c>
      <c r="AA12" s="131"/>
      <c r="AB12" s="171" t="s">
        <v>109</v>
      </c>
      <c r="AC12" s="1238">
        <f>Summary!C7</f>
        <v>0</v>
      </c>
      <c r="AD12" s="304">
        <f>ROUND(AC12*(1+Data!$T$130),2)</f>
        <v>0</v>
      </c>
      <c r="AE12" s="304">
        <f>ROUND(AD12*(1+Data!$AF$130),2)</f>
        <v>0</v>
      </c>
      <c r="AF12" s="304">
        <f>ROUND(AE12*(1+Data!$AR$130),2)</f>
        <v>0</v>
      </c>
      <c r="AG12" s="304">
        <f>ROUND(AF12*(1+Data!$BD$130),2)</f>
        <v>0</v>
      </c>
      <c r="AH12" s="304">
        <f>AG12*(1+Data!$BP$130)</f>
        <v>0</v>
      </c>
      <c r="AI12" s="304">
        <f>AH12*(1+Data!$CB$130)</f>
        <v>0</v>
      </c>
      <c r="AJ12" s="304">
        <f>AI12*(1+Data!$CN$130)</f>
        <v>0</v>
      </c>
      <c r="AK12" s="304">
        <f>AJ12*(1+Data!$CZ$130)</f>
        <v>0</v>
      </c>
      <c r="AL12" s="304">
        <f>AK12*(1+Data!$DL$130)</f>
        <v>0</v>
      </c>
      <c r="AM12" s="131"/>
      <c r="AX12" s="1425" t="s">
        <v>46</v>
      </c>
      <c r="AY12" s="1466">
        <f>AVERAGE(Data!H54:DW54)</f>
        <v>0.80810879629629562</v>
      </c>
    </row>
    <row r="13" spans="1:51" x14ac:dyDescent="0.3">
      <c r="B13" s="1650" t="s">
        <v>809</v>
      </c>
      <c r="C13" s="1481" t="s">
        <v>810</v>
      </c>
      <c r="D13" s="1481" t="s">
        <v>811</v>
      </c>
      <c r="E13" s="1481" t="s">
        <v>295</v>
      </c>
      <c r="G13" s="131"/>
      <c r="K13" s="1379">
        <v>1</v>
      </c>
      <c r="L13" s="770" t="s">
        <v>695</v>
      </c>
      <c r="Q13" s="886" t="s">
        <v>806</v>
      </c>
      <c r="R13" s="732">
        <v>0</v>
      </c>
      <c r="AA13" s="131"/>
      <c r="AB13" s="171" t="s">
        <v>110</v>
      </c>
      <c r="AC13" s="1238">
        <f>Summary!C8</f>
        <v>0</v>
      </c>
      <c r="AD13" s="304">
        <f>ROUND(AC13*(1+Data!$T$130),2)</f>
        <v>0</v>
      </c>
      <c r="AE13" s="304">
        <f>ROUND(AD13*(1+Data!$AF$130),2)</f>
        <v>0</v>
      </c>
      <c r="AF13" s="304">
        <f>ROUND(AE13*(1+Data!$AR$130),2)</f>
        <v>0</v>
      </c>
      <c r="AG13" s="304">
        <f>ROUND(AF13*(1+Data!$BD$130),2)</f>
        <v>0</v>
      </c>
      <c r="AH13" s="304">
        <f>AG13*(1+Data!$BP$130)</f>
        <v>0</v>
      </c>
      <c r="AI13" s="304">
        <f>AH13*(1+Data!$CB$130)</f>
        <v>0</v>
      </c>
      <c r="AJ13" s="304">
        <f>AI13*(1+Data!$CN$130)</f>
        <v>0</v>
      </c>
      <c r="AK13" s="304">
        <f>AJ13*(1+Data!$CZ$130)</f>
        <v>0</v>
      </c>
      <c r="AL13" s="304">
        <f>AK13*(1+Data!$DL$130)</f>
        <v>0</v>
      </c>
      <c r="AM13" s="131"/>
      <c r="AX13" s="1425" t="s">
        <v>206</v>
      </c>
      <c r="AY13" s="1466">
        <f>AVERAGE(Data!H55:DW55)</f>
        <v>0.60999999999999954</v>
      </c>
    </row>
    <row r="14" spans="1:51" x14ac:dyDescent="0.3">
      <c r="B14" s="120" t="s">
        <v>808</v>
      </c>
      <c r="C14" s="732">
        <v>1</v>
      </c>
      <c r="D14" s="732">
        <v>1</v>
      </c>
      <c r="E14" s="732">
        <v>1</v>
      </c>
      <c r="G14" s="131"/>
      <c r="K14" s="1379">
        <f>K13+1</f>
        <v>2</v>
      </c>
      <c r="L14" s="1465" t="s">
        <v>694</v>
      </c>
      <c r="AA14" s="131"/>
      <c r="AB14" s="171" t="s">
        <v>111</v>
      </c>
      <c r="AC14" s="1238">
        <f>Summary!C9</f>
        <v>0</v>
      </c>
      <c r="AD14" s="304">
        <f>ROUND(AC14*(1+Data!$T$130),2)</f>
        <v>0</v>
      </c>
      <c r="AE14" s="304">
        <f>ROUND(AD14*(1+Data!$AF$130),2)</f>
        <v>0</v>
      </c>
      <c r="AF14" s="304">
        <f>ROUND(AE14*(1+Data!$AR$130),2)</f>
        <v>0</v>
      </c>
      <c r="AG14" s="304">
        <f>ROUND(AF14*(1+Data!$BD$130),2)</f>
        <v>0</v>
      </c>
      <c r="AH14" s="304">
        <f>AG14*(1+Data!$BP$130)</f>
        <v>0</v>
      </c>
      <c r="AI14" s="304">
        <f>AH14*(1+Data!$CB$130)</f>
        <v>0</v>
      </c>
      <c r="AJ14" s="304">
        <f>AI14*(1+Data!$CN$130)</f>
        <v>0</v>
      </c>
      <c r="AK14" s="304">
        <f>AJ14*(1+Data!$CZ$130)</f>
        <v>0</v>
      </c>
      <c r="AL14" s="304">
        <f>AK14*(1+Data!$DL$130)</f>
        <v>0</v>
      </c>
      <c r="AM14" s="131"/>
      <c r="AX14" s="1425" t="s">
        <v>375</v>
      </c>
      <c r="AY14" s="1466">
        <f>AVERAGE(Data!H56:DW56)</f>
        <v>2.5422512499999789E-2</v>
      </c>
    </row>
    <row r="15" spans="1:51" x14ac:dyDescent="0.3">
      <c r="B15" s="32"/>
      <c r="C15" s="93"/>
      <c r="D15" s="93"/>
      <c r="E15" s="93"/>
      <c r="F15" s="93"/>
      <c r="G15" s="131"/>
      <c r="K15" s="1379">
        <f t="shared" ref="K15:K18" si="0">K14+1</f>
        <v>3</v>
      </c>
      <c r="L15" s="1465" t="s">
        <v>696</v>
      </c>
      <c r="AA15" s="131"/>
      <c r="AB15" s="171" t="s">
        <v>112</v>
      </c>
      <c r="AC15" s="1238">
        <f>Summary!C10</f>
        <v>0</v>
      </c>
      <c r="AD15" s="304">
        <f>ROUND(AC15*(1+Data!$T$130),2)</f>
        <v>0</v>
      </c>
      <c r="AE15" s="304">
        <f>ROUND(AD15*(1+Data!$AF$130),2)</f>
        <v>0</v>
      </c>
      <c r="AF15" s="304">
        <f>ROUND(AE15*(1+Data!$AR$130),2)</f>
        <v>0</v>
      </c>
      <c r="AG15" s="304">
        <f>ROUND(AF15*(1+Data!$BD$130),2)</f>
        <v>0</v>
      </c>
      <c r="AH15" s="304">
        <f>AG15*(1+Data!$BP$130)</f>
        <v>0</v>
      </c>
      <c r="AI15" s="304">
        <f>AH15*(1+Data!$CB$130)</f>
        <v>0</v>
      </c>
      <c r="AJ15" s="304">
        <f>AI15*(1+Data!$CN$130)</f>
        <v>0</v>
      </c>
      <c r="AK15" s="304">
        <f>AJ15*(1+Data!$CZ$130)</f>
        <v>0</v>
      </c>
      <c r="AL15" s="304">
        <f>AK15*(1+Data!$DL$130)</f>
        <v>0</v>
      </c>
      <c r="AM15" s="131"/>
      <c r="AX15" s="1425" t="s">
        <v>376</v>
      </c>
      <c r="AY15" s="1466">
        <f>AVERAGE(Data!H57:DW57)</f>
        <v>0.15249999999999989</v>
      </c>
    </row>
    <row r="16" spans="1:51" x14ac:dyDescent="0.3">
      <c r="B16" s="1650" t="s">
        <v>950</v>
      </c>
      <c r="C16" s="934" t="s">
        <v>951</v>
      </c>
      <c r="D16" s="934" t="s">
        <v>953</v>
      </c>
      <c r="E16" s="934" t="s">
        <v>954</v>
      </c>
      <c r="G16" s="131"/>
      <c r="K16" s="1379">
        <f t="shared" si="0"/>
        <v>4</v>
      </c>
      <c r="L16" s="1465" t="s">
        <v>697</v>
      </c>
      <c r="AB16" s="171" t="s">
        <v>374</v>
      </c>
      <c r="AC16" s="1238">
        <f>Summary!C11</f>
        <v>0</v>
      </c>
      <c r="AD16" s="304">
        <f>ROUND(AC16*(1+Data!$T$130),2)</f>
        <v>0</v>
      </c>
      <c r="AE16" s="304">
        <f>ROUND(AD16*(1+Data!$T$130),2)</f>
        <v>0</v>
      </c>
      <c r="AF16" s="304">
        <f>ROUND(AE16*(1+Data!$T$130),2)</f>
        <v>0</v>
      </c>
      <c r="AG16" s="304">
        <f>ROUND(AF16*(1+Data!$T$130),2)</f>
        <v>0</v>
      </c>
      <c r="AH16" s="304">
        <f>ROUND(AG16*(1+Data!$T$130),2)</f>
        <v>0</v>
      </c>
      <c r="AI16" s="304">
        <f>ROUND(AH16*(1+Data!$T$130),2)</f>
        <v>0</v>
      </c>
      <c r="AJ16" s="304">
        <f>ROUND(AI16*(1+Data!$T$130),2)</f>
        <v>0</v>
      </c>
      <c r="AK16" s="304">
        <f>ROUND(AJ16*(1+Data!$T$130),2)</f>
        <v>0</v>
      </c>
      <c r="AL16" s="304">
        <f>ROUND(AK16*(1+Data!$T$130),2)</f>
        <v>0</v>
      </c>
      <c r="AX16" s="1425" t="s">
        <v>251</v>
      </c>
      <c r="AY16" s="1466">
        <f>AVERAGE(Data!H58:DW58)</f>
        <v>6.0999999999999933E-6</v>
      </c>
    </row>
    <row r="17" spans="2:51" x14ac:dyDescent="0.3">
      <c r="B17" s="1651">
        <v>0</v>
      </c>
      <c r="C17" s="290" t="str">
        <f>M3</f>
        <v>USD</v>
      </c>
      <c r="D17" s="1652">
        <f>VLOOKUP(C17,B19:C22,2,0)</f>
        <v>1</v>
      </c>
      <c r="E17" s="316">
        <f>B17*D17</f>
        <v>0</v>
      </c>
      <c r="G17" s="131"/>
      <c r="K17" s="1379">
        <f t="shared" si="0"/>
        <v>5</v>
      </c>
      <c r="L17" s="1465" t="s">
        <v>698</v>
      </c>
      <c r="AX17" s="1425" t="s">
        <v>252</v>
      </c>
      <c r="AY17" s="1466">
        <f>AVERAGE(Data!H59:DW59)</f>
        <v>6.0999999999999933E-6</v>
      </c>
    </row>
    <row r="18" spans="2:51" x14ac:dyDescent="0.3">
      <c r="B18" s="32"/>
      <c r="G18" s="131"/>
      <c r="K18" s="1379">
        <f t="shared" si="0"/>
        <v>6</v>
      </c>
      <c r="L18" s="1465" t="s">
        <v>699</v>
      </c>
    </row>
    <row r="19" spans="2:51" x14ac:dyDescent="0.3">
      <c r="B19" s="1392" t="s">
        <v>707</v>
      </c>
      <c r="C19" s="1095">
        <v>0.8</v>
      </c>
    </row>
    <row r="20" spans="2:51" x14ac:dyDescent="0.3">
      <c r="B20" s="1392" t="s">
        <v>708</v>
      </c>
      <c r="C20" s="798">
        <v>1</v>
      </c>
    </row>
    <row r="21" spans="2:51" x14ac:dyDescent="0.3">
      <c r="B21" s="1392" t="s">
        <v>709</v>
      </c>
      <c r="C21" s="798">
        <v>1.5277777777777777</v>
      </c>
    </row>
    <row r="22" spans="2:51" x14ac:dyDescent="0.3">
      <c r="B22" s="1392" t="s">
        <v>952</v>
      </c>
      <c r="C22" s="798">
        <f>'Data Master'!E166*(1+5%)</f>
        <v>0.90300000000000002</v>
      </c>
    </row>
    <row r="27" spans="2:51" ht="17.5" customHeight="1" x14ac:dyDescent="0.3"/>
  </sheetData>
  <conditionalFormatting sqref="V3:V5">
    <cfRule type="cellIs" dxfId="1080" priority="37" stopIfTrue="1" operator="lessThan">
      <formula>0</formula>
    </cfRule>
  </conditionalFormatting>
  <conditionalFormatting sqref="W3:Y5">
    <cfRule type="cellIs" dxfId="1079" priority="36" stopIfTrue="1" operator="lessThan">
      <formula>0</formula>
    </cfRule>
  </conditionalFormatting>
  <conditionalFormatting sqref="R11">
    <cfRule type="cellIs" dxfId="1078" priority="24" operator="equal">
      <formula>"Included"</formula>
    </cfRule>
    <cfRule type="cellIs" dxfId="1077" priority="25" operator="equal">
      <formula>"Excluded"</formula>
    </cfRule>
  </conditionalFormatting>
  <conditionalFormatting sqref="R3">
    <cfRule type="cellIs" dxfId="1076" priority="23" operator="greaterThan">
      <formula>0</formula>
    </cfRule>
  </conditionalFormatting>
  <conditionalFormatting sqref="AQ6:AQ10">
    <cfRule type="cellIs" dxfId="1075" priority="11" operator="equal">
      <formula>"Included"</formula>
    </cfRule>
    <cfRule type="cellIs" dxfId="1074" priority="12" operator="equal">
      <formula>"Excluded"</formula>
    </cfRule>
  </conditionalFormatting>
  <conditionalFormatting sqref="AR4:AR6">
    <cfRule type="cellIs" dxfId="1073" priority="10" stopIfTrue="1" operator="lessThan">
      <formula>0</formula>
    </cfRule>
  </conditionalFormatting>
  <conditionalFormatting sqref="AQ3:AQ5">
    <cfRule type="cellIs" dxfId="1072" priority="8" operator="equal">
      <formula>"Included"</formula>
    </cfRule>
    <cfRule type="cellIs" dxfId="1071" priority="9" operator="equal">
      <formula>"Excluded"</formula>
    </cfRule>
  </conditionalFormatting>
  <conditionalFormatting sqref="AY3">
    <cfRule type="cellIs" dxfId="1070" priority="6" stopIfTrue="1" operator="lessThan">
      <formula>0</formula>
    </cfRule>
  </conditionalFormatting>
  <conditionalFormatting sqref="AY4">
    <cfRule type="cellIs" dxfId="1069" priority="5" stopIfTrue="1" operator="lessThan">
      <formula>0</formula>
    </cfRule>
  </conditionalFormatting>
  <conditionalFormatting sqref="AY6 AY8:AY17">
    <cfRule type="cellIs" dxfId="1068" priority="4" stopIfTrue="1" operator="lessThan">
      <formula>0</formula>
    </cfRule>
  </conditionalFormatting>
  <conditionalFormatting sqref="AY5">
    <cfRule type="cellIs" dxfId="1067" priority="3" stopIfTrue="1" operator="lessThan">
      <formula>0</formula>
    </cfRule>
  </conditionalFormatting>
  <conditionalFormatting sqref="AY7">
    <cfRule type="cellIs" dxfId="1066" priority="2" stopIfTrue="1" operator="lessThan">
      <formula>0</formula>
    </cfRule>
  </conditionalFormatting>
  <conditionalFormatting sqref="V8:V10">
    <cfRule type="cellIs" dxfId="1065" priority="1" stopIfTrue="1" operator="lessThan">
      <formula>0</formula>
    </cfRule>
  </conditionalFormatting>
  <dataValidations disablePrompts="1" count="7">
    <dataValidation type="list" allowBlank="1" showInputMessage="1" showErrorMessage="1" sqref="R6" xr:uid="{00000000-0002-0000-0500-000000000000}">
      <formula1>"Yes, No"</formula1>
    </dataValidation>
    <dataValidation type="list" allowBlank="1" showInputMessage="1" showErrorMessage="1" sqref="R11 AQ3:AQ10" xr:uid="{BA7F5866-98FD-4058-BCDF-65F7074320A2}">
      <formula1>"Included, Excluded"</formula1>
    </dataValidation>
    <dataValidation type="list" allowBlank="1" showInputMessage="1" showErrorMessage="1" sqref="AD3" xr:uid="{00000000-0002-0000-0600-000001000000}">
      <formula1>$B$6:$B$7</formula1>
    </dataValidation>
    <dataValidation type="list" allowBlank="1" showInputMessage="1" showErrorMessage="1" sqref="D3" xr:uid="{C7DDE636-6AA9-45F7-BCFB-92D738E1B45A}">
      <formula1>"L1,L2,L3,L4,L5,L6"</formula1>
    </dataValidation>
    <dataValidation type="list" allowBlank="1" showInputMessage="1" showErrorMessage="1" sqref="D5:D11" xr:uid="{63DDB9DB-9799-4B5D-8B8E-2F72EBE2E19B}">
      <formula1>"Billable,Non Billable,Unaffected"</formula1>
    </dataValidation>
    <dataValidation type="list" allowBlank="1" showInputMessage="1" showErrorMessage="1" sqref="J5" xr:uid="{67348F7E-E153-49E1-8EA5-4695F17173E0}">
      <formula1>"100% - WAO - Fully Loaded - (Romania - 20% WAO only),100% - WAO - Ala Carte rate - (Romania - 20% WAO only),100% - WAH - Fully Loaded,100% - WAH - Ala Carte rate,ALL"</formula1>
    </dataValidation>
    <dataValidation type="list" allowBlank="1" showInputMessage="1" showErrorMessage="1" sqref="M3" xr:uid="{F1AD91E4-6044-4C6B-8E65-10C91936E0E3}">
      <formula1>"GBP,USD,AUD,EUR"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63" r:id="rId4" name="Button 3">
              <controlPr defaultSize="0" print="0" autoFill="0" autoPict="0" macro="[0]!Macro_Single">
                <anchor moveWithCells="1" sizeWithCells="1">
                  <from>
                    <xdr:col>12</xdr:col>
                    <xdr:colOff>165100</xdr:colOff>
                    <xdr:row>4</xdr:row>
                    <xdr:rowOff>127000</xdr:rowOff>
                  </from>
                  <to>
                    <xdr:col>12</xdr:col>
                    <xdr:colOff>793750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7442905-CE93-4197-9DEE-38BF23F36320}">
          <x14:formula1>
            <xm:f>PPT!$E$18:$S$18</xm:f>
          </x14:formula1>
          <xm:sqref>B3</xm:sqref>
        </x14:dataValidation>
        <x14:dataValidation type="list" allowBlank="1" showInputMessage="1" showErrorMessage="1" xr:uid="{5004415E-ACA0-4B25-AEC6-58D4E0379993}">
          <x14:formula1>
            <xm:f>PPT!$B$4:$B$14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EQ183"/>
  <sheetViews>
    <sheetView showGridLines="0" zoomScale="80" zoomScaleNormal="80" workbookViewId="0"/>
  </sheetViews>
  <sheetFormatPr defaultColWidth="9.1796875" defaultRowHeight="13" outlineLevelRow="1" x14ac:dyDescent="0.3"/>
  <cols>
    <col min="1" max="1" width="10.7265625" style="14" customWidth="1"/>
    <col min="2" max="2" width="39.54296875" style="590" bestFit="1" customWidth="1"/>
    <col min="3" max="4" width="13.453125" style="14" customWidth="1"/>
    <col min="5" max="5" width="13.54296875" style="14" bestFit="1" customWidth="1"/>
    <col min="6" max="9" width="13.453125" style="14" customWidth="1"/>
    <col min="10" max="10" width="16.81640625" style="14" bestFit="1" customWidth="1"/>
    <col min="11" max="125" width="13.453125" style="14" customWidth="1"/>
    <col min="126" max="126" width="2.54296875" style="14" customWidth="1"/>
    <col min="127" max="127" width="12.1796875" style="14" bestFit="1" customWidth="1"/>
    <col min="128" max="131" width="10.81640625" style="14" bestFit="1" customWidth="1"/>
    <col min="132" max="134" width="12.1796875" style="14" bestFit="1" customWidth="1"/>
    <col min="135" max="135" width="17.54296875" style="14" customWidth="1"/>
    <col min="136" max="137" width="12.1796875" style="14" bestFit="1" customWidth="1"/>
    <col min="138" max="138" width="17.54296875" style="14" customWidth="1"/>
    <col min="139" max="139" width="9.453125" style="93" bestFit="1" customWidth="1"/>
    <col min="140" max="140" width="12.1796875" style="14" bestFit="1" customWidth="1"/>
    <col min="141" max="144" width="10.1796875" style="14" bestFit="1" customWidth="1"/>
    <col min="145" max="145" width="13.1796875" style="14" bestFit="1" customWidth="1"/>
    <col min="146" max="146" width="9.1796875" style="14"/>
    <col min="147" max="147" width="12.81640625" style="14" bestFit="1" customWidth="1"/>
    <col min="148" max="16384" width="9.1796875" style="14"/>
  </cols>
  <sheetData>
    <row r="1" spans="1:145" x14ac:dyDescent="0.3">
      <c r="C1" s="14" t="str">
        <f>VLOOKUP(A5,'Data Master'!$B$149:$C$165,2,0)</f>
        <v>USD - INR</v>
      </c>
      <c r="D1" s="14" t="s">
        <v>663</v>
      </c>
      <c r="E1" s="93">
        <f>VLOOKUP(C1,'Data Master'!C149:E165,3,0)</f>
        <v>86.28</v>
      </c>
      <c r="F1" s="1458" t="s">
        <v>783</v>
      </c>
    </row>
    <row r="2" spans="1:145" ht="13.5" thickBot="1" x14ac:dyDescent="0.35">
      <c r="B2" s="588" t="str">
        <f>Summary!$B$3</f>
        <v>Ind Tier 1 -Mumbai</v>
      </c>
    </row>
    <row r="3" spans="1:145" x14ac:dyDescent="0.3">
      <c r="B3" s="589" t="s">
        <v>120</v>
      </c>
      <c r="C3" s="561"/>
      <c r="D3" s="451"/>
      <c r="E3" s="453">
        <f>31-DAY(E17)+1</f>
        <v>31</v>
      </c>
      <c r="F3" s="38">
        <f t="shared" ref="F3:M3" si="0">DAY(F17)</f>
        <v>28</v>
      </c>
      <c r="G3" s="38">
        <f t="shared" si="0"/>
        <v>31</v>
      </c>
      <c r="H3" s="38">
        <f t="shared" si="0"/>
        <v>30</v>
      </c>
      <c r="I3" s="38">
        <f t="shared" si="0"/>
        <v>31</v>
      </c>
      <c r="J3" s="38">
        <f t="shared" si="0"/>
        <v>30</v>
      </c>
      <c r="K3" s="38">
        <f t="shared" si="0"/>
        <v>31</v>
      </c>
      <c r="L3" s="38">
        <f t="shared" si="0"/>
        <v>31</v>
      </c>
      <c r="M3" s="38">
        <f t="shared" si="0"/>
        <v>30</v>
      </c>
      <c r="N3" s="38">
        <f t="shared" ref="N3:AO3" si="1">DAY(N17)</f>
        <v>31</v>
      </c>
      <c r="O3" s="38">
        <f t="shared" si="1"/>
        <v>30</v>
      </c>
      <c r="P3" s="38">
        <f t="shared" si="1"/>
        <v>31</v>
      </c>
      <c r="Q3" s="38">
        <f t="shared" si="1"/>
        <v>31</v>
      </c>
      <c r="R3" s="38">
        <f t="shared" si="1"/>
        <v>29</v>
      </c>
      <c r="S3" s="38">
        <f t="shared" si="1"/>
        <v>31</v>
      </c>
      <c r="T3" s="38">
        <f t="shared" si="1"/>
        <v>30</v>
      </c>
      <c r="U3" s="38">
        <f t="shared" si="1"/>
        <v>31</v>
      </c>
      <c r="V3" s="38">
        <f t="shared" si="1"/>
        <v>30</v>
      </c>
      <c r="W3" s="38">
        <f t="shared" si="1"/>
        <v>31</v>
      </c>
      <c r="X3" s="38">
        <f t="shared" si="1"/>
        <v>31</v>
      </c>
      <c r="Y3" s="38">
        <f t="shared" si="1"/>
        <v>30</v>
      </c>
      <c r="Z3" s="38">
        <f t="shared" si="1"/>
        <v>31</v>
      </c>
      <c r="AA3" s="38">
        <f t="shared" si="1"/>
        <v>30</v>
      </c>
      <c r="AB3" s="38">
        <f t="shared" si="1"/>
        <v>31</v>
      </c>
      <c r="AC3" s="38">
        <f t="shared" si="1"/>
        <v>31</v>
      </c>
      <c r="AD3" s="38">
        <f t="shared" si="1"/>
        <v>28</v>
      </c>
      <c r="AE3" s="38">
        <f t="shared" si="1"/>
        <v>31</v>
      </c>
      <c r="AF3" s="38">
        <f t="shared" si="1"/>
        <v>30</v>
      </c>
      <c r="AG3" s="38">
        <f t="shared" si="1"/>
        <v>31</v>
      </c>
      <c r="AH3" s="38">
        <f t="shared" si="1"/>
        <v>30</v>
      </c>
      <c r="AI3" s="38">
        <f t="shared" si="1"/>
        <v>31</v>
      </c>
      <c r="AJ3" s="38">
        <f t="shared" si="1"/>
        <v>31</v>
      </c>
      <c r="AK3" s="38">
        <f t="shared" si="1"/>
        <v>30</v>
      </c>
      <c r="AL3" s="38">
        <f t="shared" si="1"/>
        <v>31</v>
      </c>
      <c r="AM3" s="38">
        <f t="shared" si="1"/>
        <v>30</v>
      </c>
      <c r="AN3" s="38">
        <f t="shared" si="1"/>
        <v>31</v>
      </c>
      <c r="AO3" s="38">
        <f t="shared" si="1"/>
        <v>31</v>
      </c>
      <c r="AP3" s="38">
        <f t="shared" ref="AP3:BM3" si="2">DAY(AP17)</f>
        <v>28</v>
      </c>
      <c r="AQ3" s="38">
        <f t="shared" si="2"/>
        <v>31</v>
      </c>
      <c r="AR3" s="38">
        <f t="shared" si="2"/>
        <v>30</v>
      </c>
      <c r="AS3" s="38">
        <f t="shared" si="2"/>
        <v>31</v>
      </c>
      <c r="AT3" s="38">
        <f t="shared" si="2"/>
        <v>30</v>
      </c>
      <c r="AU3" s="38">
        <f t="shared" si="2"/>
        <v>31</v>
      </c>
      <c r="AV3" s="38">
        <f t="shared" si="2"/>
        <v>31</v>
      </c>
      <c r="AW3" s="38">
        <f t="shared" si="2"/>
        <v>30</v>
      </c>
      <c r="AX3" s="38">
        <f t="shared" si="2"/>
        <v>31</v>
      </c>
      <c r="AY3" s="38">
        <f t="shared" si="2"/>
        <v>30</v>
      </c>
      <c r="AZ3" s="38">
        <f t="shared" si="2"/>
        <v>31</v>
      </c>
      <c r="BA3" s="38">
        <f t="shared" si="2"/>
        <v>31</v>
      </c>
      <c r="BB3" s="38">
        <f t="shared" si="2"/>
        <v>28</v>
      </c>
      <c r="BC3" s="38">
        <f t="shared" si="2"/>
        <v>31</v>
      </c>
      <c r="BD3" s="38">
        <f t="shared" si="2"/>
        <v>30</v>
      </c>
      <c r="BE3" s="38">
        <f t="shared" si="2"/>
        <v>31</v>
      </c>
      <c r="BF3" s="38">
        <f t="shared" si="2"/>
        <v>30</v>
      </c>
      <c r="BG3" s="38">
        <f t="shared" si="2"/>
        <v>31</v>
      </c>
      <c r="BH3" s="38">
        <f t="shared" si="2"/>
        <v>31</v>
      </c>
      <c r="BI3" s="38">
        <f t="shared" si="2"/>
        <v>30</v>
      </c>
      <c r="BJ3" s="38">
        <f t="shared" si="2"/>
        <v>31</v>
      </c>
      <c r="BK3" s="38">
        <f t="shared" si="2"/>
        <v>30</v>
      </c>
      <c r="BL3" s="38">
        <f t="shared" si="2"/>
        <v>31</v>
      </c>
      <c r="BM3" s="454">
        <f t="shared" si="2"/>
        <v>31</v>
      </c>
      <c r="BN3" s="454">
        <f t="shared" ref="BN3:DU3" si="3">DAY(BN17)</f>
        <v>29</v>
      </c>
      <c r="BO3" s="454">
        <f t="shared" si="3"/>
        <v>31</v>
      </c>
      <c r="BP3" s="454">
        <f t="shared" si="3"/>
        <v>30</v>
      </c>
      <c r="BQ3" s="454">
        <f t="shared" si="3"/>
        <v>31</v>
      </c>
      <c r="BR3" s="454">
        <f t="shared" si="3"/>
        <v>30</v>
      </c>
      <c r="BS3" s="454">
        <f t="shared" si="3"/>
        <v>31</v>
      </c>
      <c r="BT3" s="454">
        <f t="shared" si="3"/>
        <v>31</v>
      </c>
      <c r="BU3" s="454">
        <f t="shared" si="3"/>
        <v>30</v>
      </c>
      <c r="BV3" s="454">
        <f t="shared" si="3"/>
        <v>31</v>
      </c>
      <c r="BW3" s="454">
        <f t="shared" si="3"/>
        <v>30</v>
      </c>
      <c r="BX3" s="454">
        <f t="shared" si="3"/>
        <v>31</v>
      </c>
      <c r="BY3" s="454">
        <f t="shared" si="3"/>
        <v>31</v>
      </c>
      <c r="BZ3" s="454">
        <f t="shared" si="3"/>
        <v>28</v>
      </c>
      <c r="CA3" s="454">
        <f t="shared" si="3"/>
        <v>31</v>
      </c>
      <c r="CB3" s="454">
        <f t="shared" si="3"/>
        <v>30</v>
      </c>
      <c r="CC3" s="454">
        <f t="shared" si="3"/>
        <v>31</v>
      </c>
      <c r="CD3" s="454">
        <f t="shared" si="3"/>
        <v>30</v>
      </c>
      <c r="CE3" s="454">
        <f t="shared" si="3"/>
        <v>31</v>
      </c>
      <c r="CF3" s="454">
        <f t="shared" si="3"/>
        <v>31</v>
      </c>
      <c r="CG3" s="454">
        <f t="shared" si="3"/>
        <v>30</v>
      </c>
      <c r="CH3" s="454">
        <f t="shared" si="3"/>
        <v>31</v>
      </c>
      <c r="CI3" s="454">
        <f t="shared" si="3"/>
        <v>30</v>
      </c>
      <c r="CJ3" s="454">
        <f t="shared" si="3"/>
        <v>31</v>
      </c>
      <c r="CK3" s="454">
        <f t="shared" si="3"/>
        <v>31</v>
      </c>
      <c r="CL3" s="454">
        <f t="shared" si="3"/>
        <v>28</v>
      </c>
      <c r="CM3" s="454">
        <f t="shared" si="3"/>
        <v>31</v>
      </c>
      <c r="CN3" s="454">
        <f t="shared" si="3"/>
        <v>30</v>
      </c>
      <c r="CO3" s="454">
        <f t="shared" si="3"/>
        <v>31</v>
      </c>
      <c r="CP3" s="454">
        <f t="shared" si="3"/>
        <v>30</v>
      </c>
      <c r="CQ3" s="454">
        <f t="shared" si="3"/>
        <v>31</v>
      </c>
      <c r="CR3" s="454">
        <f t="shared" si="3"/>
        <v>31</v>
      </c>
      <c r="CS3" s="454">
        <f t="shared" si="3"/>
        <v>30</v>
      </c>
      <c r="CT3" s="454">
        <f t="shared" si="3"/>
        <v>31</v>
      </c>
      <c r="CU3" s="454">
        <f t="shared" si="3"/>
        <v>30</v>
      </c>
      <c r="CV3" s="454">
        <f t="shared" si="3"/>
        <v>31</v>
      </c>
      <c r="CW3" s="454">
        <f t="shared" si="3"/>
        <v>31</v>
      </c>
      <c r="CX3" s="454">
        <f t="shared" si="3"/>
        <v>28</v>
      </c>
      <c r="CY3" s="454">
        <f t="shared" si="3"/>
        <v>31</v>
      </c>
      <c r="CZ3" s="454">
        <f t="shared" si="3"/>
        <v>30</v>
      </c>
      <c r="DA3" s="454">
        <f t="shared" si="3"/>
        <v>31</v>
      </c>
      <c r="DB3" s="454">
        <f t="shared" si="3"/>
        <v>30</v>
      </c>
      <c r="DC3" s="454">
        <f t="shared" si="3"/>
        <v>31</v>
      </c>
      <c r="DD3" s="454">
        <f t="shared" si="3"/>
        <v>31</v>
      </c>
      <c r="DE3" s="454">
        <f t="shared" si="3"/>
        <v>30</v>
      </c>
      <c r="DF3" s="454">
        <f t="shared" si="3"/>
        <v>31</v>
      </c>
      <c r="DG3" s="454">
        <f t="shared" si="3"/>
        <v>30</v>
      </c>
      <c r="DH3" s="454">
        <f t="shared" si="3"/>
        <v>31</v>
      </c>
      <c r="DI3" s="454">
        <f t="shared" si="3"/>
        <v>31</v>
      </c>
      <c r="DJ3" s="454">
        <f t="shared" si="3"/>
        <v>29</v>
      </c>
      <c r="DK3" s="454">
        <f t="shared" si="3"/>
        <v>31</v>
      </c>
      <c r="DL3" s="454">
        <f t="shared" si="3"/>
        <v>30</v>
      </c>
      <c r="DM3" s="454">
        <f t="shared" si="3"/>
        <v>31</v>
      </c>
      <c r="DN3" s="454">
        <f t="shared" si="3"/>
        <v>30</v>
      </c>
      <c r="DO3" s="454">
        <f t="shared" si="3"/>
        <v>31</v>
      </c>
      <c r="DP3" s="454">
        <f t="shared" si="3"/>
        <v>31</v>
      </c>
      <c r="DQ3" s="454">
        <f t="shared" si="3"/>
        <v>30</v>
      </c>
      <c r="DR3" s="454">
        <f t="shared" si="3"/>
        <v>31</v>
      </c>
      <c r="DS3" s="454">
        <f t="shared" si="3"/>
        <v>30</v>
      </c>
      <c r="DT3" s="454">
        <f t="shared" si="3"/>
        <v>31</v>
      </c>
      <c r="DU3" s="454">
        <f t="shared" si="3"/>
        <v>31</v>
      </c>
      <c r="DV3" s="683"/>
    </row>
    <row r="4" spans="1:145" ht="13.5" thickBot="1" x14ac:dyDescent="0.35">
      <c r="B4" s="589" t="s">
        <v>121</v>
      </c>
      <c r="C4" s="562"/>
      <c r="D4" s="452"/>
      <c r="E4" s="39">
        <f>IF(SUM(E86:F86)&gt;0,E178,SUM(E176:E177))</f>
        <v>4.33</v>
      </c>
      <c r="F4" s="40">
        <f t="shared" ref="F4:M4" si="4">F3/7</f>
        <v>4</v>
      </c>
      <c r="G4" s="40">
        <f t="shared" si="4"/>
        <v>4.4285714285714288</v>
      </c>
      <c r="H4" s="40">
        <f t="shared" si="4"/>
        <v>4.2857142857142856</v>
      </c>
      <c r="I4" s="40">
        <f t="shared" si="4"/>
        <v>4.4285714285714288</v>
      </c>
      <c r="J4" s="40">
        <f t="shared" si="4"/>
        <v>4.2857142857142856</v>
      </c>
      <c r="K4" s="40">
        <f t="shared" si="4"/>
        <v>4.4285714285714288</v>
      </c>
      <c r="L4" s="40">
        <f t="shared" si="4"/>
        <v>4.4285714285714288</v>
      </c>
      <c r="M4" s="40">
        <f t="shared" si="4"/>
        <v>4.2857142857142856</v>
      </c>
      <c r="N4" s="40">
        <f t="shared" ref="N4:AO4" si="5">N3/7</f>
        <v>4.4285714285714288</v>
      </c>
      <c r="O4" s="40">
        <f t="shared" si="5"/>
        <v>4.2857142857142856</v>
      </c>
      <c r="P4" s="40">
        <f t="shared" si="5"/>
        <v>4.4285714285714288</v>
      </c>
      <c r="Q4" s="40">
        <f t="shared" si="5"/>
        <v>4.4285714285714288</v>
      </c>
      <c r="R4" s="40">
        <f t="shared" si="5"/>
        <v>4.1428571428571432</v>
      </c>
      <c r="S4" s="40">
        <f t="shared" si="5"/>
        <v>4.4285714285714288</v>
      </c>
      <c r="T4" s="40">
        <f t="shared" si="5"/>
        <v>4.2857142857142856</v>
      </c>
      <c r="U4" s="40">
        <f t="shared" si="5"/>
        <v>4.4285714285714288</v>
      </c>
      <c r="V4" s="40">
        <f t="shared" si="5"/>
        <v>4.2857142857142856</v>
      </c>
      <c r="W4" s="40">
        <f t="shared" si="5"/>
        <v>4.4285714285714288</v>
      </c>
      <c r="X4" s="40">
        <f t="shared" si="5"/>
        <v>4.4285714285714288</v>
      </c>
      <c r="Y4" s="40">
        <f t="shared" si="5"/>
        <v>4.2857142857142856</v>
      </c>
      <c r="Z4" s="40">
        <f t="shared" si="5"/>
        <v>4.4285714285714288</v>
      </c>
      <c r="AA4" s="40">
        <f t="shared" si="5"/>
        <v>4.2857142857142856</v>
      </c>
      <c r="AB4" s="40">
        <f t="shared" si="5"/>
        <v>4.4285714285714288</v>
      </c>
      <c r="AC4" s="40">
        <f t="shared" si="5"/>
        <v>4.4285714285714288</v>
      </c>
      <c r="AD4" s="40">
        <f t="shared" si="5"/>
        <v>4</v>
      </c>
      <c r="AE4" s="40">
        <f t="shared" si="5"/>
        <v>4.4285714285714288</v>
      </c>
      <c r="AF4" s="40">
        <f t="shared" si="5"/>
        <v>4.2857142857142856</v>
      </c>
      <c r="AG4" s="40">
        <f t="shared" si="5"/>
        <v>4.4285714285714288</v>
      </c>
      <c r="AH4" s="40">
        <f t="shared" si="5"/>
        <v>4.2857142857142856</v>
      </c>
      <c r="AI4" s="40">
        <f t="shared" si="5"/>
        <v>4.4285714285714288</v>
      </c>
      <c r="AJ4" s="40">
        <f t="shared" si="5"/>
        <v>4.4285714285714288</v>
      </c>
      <c r="AK4" s="40">
        <f t="shared" si="5"/>
        <v>4.2857142857142856</v>
      </c>
      <c r="AL4" s="40">
        <f t="shared" si="5"/>
        <v>4.4285714285714288</v>
      </c>
      <c r="AM4" s="40">
        <f t="shared" si="5"/>
        <v>4.2857142857142856</v>
      </c>
      <c r="AN4" s="40">
        <f t="shared" si="5"/>
        <v>4.4285714285714288</v>
      </c>
      <c r="AO4" s="40">
        <f t="shared" si="5"/>
        <v>4.4285714285714288</v>
      </c>
      <c r="AP4" s="40">
        <f t="shared" ref="AP4:BM4" si="6">AP3/7</f>
        <v>4</v>
      </c>
      <c r="AQ4" s="40">
        <f t="shared" si="6"/>
        <v>4.4285714285714288</v>
      </c>
      <c r="AR4" s="40">
        <f t="shared" si="6"/>
        <v>4.2857142857142856</v>
      </c>
      <c r="AS4" s="40">
        <f t="shared" si="6"/>
        <v>4.4285714285714288</v>
      </c>
      <c r="AT4" s="40">
        <f t="shared" si="6"/>
        <v>4.2857142857142856</v>
      </c>
      <c r="AU4" s="40">
        <f t="shared" si="6"/>
        <v>4.4285714285714288</v>
      </c>
      <c r="AV4" s="40">
        <f t="shared" si="6"/>
        <v>4.4285714285714288</v>
      </c>
      <c r="AW4" s="40">
        <f t="shared" si="6"/>
        <v>4.2857142857142856</v>
      </c>
      <c r="AX4" s="40">
        <f t="shared" si="6"/>
        <v>4.4285714285714288</v>
      </c>
      <c r="AY4" s="40">
        <f t="shared" si="6"/>
        <v>4.2857142857142856</v>
      </c>
      <c r="AZ4" s="40">
        <f t="shared" si="6"/>
        <v>4.4285714285714288</v>
      </c>
      <c r="BA4" s="40">
        <f t="shared" si="6"/>
        <v>4.4285714285714288</v>
      </c>
      <c r="BB4" s="40">
        <f t="shared" si="6"/>
        <v>4</v>
      </c>
      <c r="BC4" s="40">
        <f t="shared" si="6"/>
        <v>4.4285714285714288</v>
      </c>
      <c r="BD4" s="40">
        <f t="shared" si="6"/>
        <v>4.2857142857142856</v>
      </c>
      <c r="BE4" s="40">
        <f t="shared" si="6"/>
        <v>4.4285714285714288</v>
      </c>
      <c r="BF4" s="40">
        <f t="shared" si="6"/>
        <v>4.2857142857142856</v>
      </c>
      <c r="BG4" s="40">
        <f t="shared" si="6"/>
        <v>4.4285714285714288</v>
      </c>
      <c r="BH4" s="40">
        <f t="shared" si="6"/>
        <v>4.4285714285714288</v>
      </c>
      <c r="BI4" s="40">
        <f t="shared" si="6"/>
        <v>4.2857142857142856</v>
      </c>
      <c r="BJ4" s="40">
        <f t="shared" si="6"/>
        <v>4.4285714285714288</v>
      </c>
      <c r="BK4" s="40">
        <f t="shared" si="6"/>
        <v>4.2857142857142856</v>
      </c>
      <c r="BL4" s="40">
        <f t="shared" si="6"/>
        <v>4.4285714285714288</v>
      </c>
      <c r="BM4" s="455">
        <f t="shared" si="6"/>
        <v>4.4285714285714288</v>
      </c>
      <c r="BN4" s="455">
        <f t="shared" ref="BN4:DU4" si="7">BN3/7</f>
        <v>4.1428571428571432</v>
      </c>
      <c r="BO4" s="455">
        <f t="shared" si="7"/>
        <v>4.4285714285714288</v>
      </c>
      <c r="BP4" s="455">
        <f t="shared" si="7"/>
        <v>4.2857142857142856</v>
      </c>
      <c r="BQ4" s="455">
        <f t="shared" si="7"/>
        <v>4.4285714285714288</v>
      </c>
      <c r="BR4" s="455">
        <f t="shared" si="7"/>
        <v>4.2857142857142856</v>
      </c>
      <c r="BS4" s="455">
        <f t="shared" si="7"/>
        <v>4.4285714285714288</v>
      </c>
      <c r="BT4" s="455">
        <f t="shared" si="7"/>
        <v>4.4285714285714288</v>
      </c>
      <c r="BU4" s="455">
        <f t="shared" si="7"/>
        <v>4.2857142857142856</v>
      </c>
      <c r="BV4" s="455">
        <f t="shared" si="7"/>
        <v>4.4285714285714288</v>
      </c>
      <c r="BW4" s="455">
        <f t="shared" si="7"/>
        <v>4.2857142857142856</v>
      </c>
      <c r="BX4" s="455">
        <f t="shared" si="7"/>
        <v>4.4285714285714288</v>
      </c>
      <c r="BY4" s="455">
        <f t="shared" si="7"/>
        <v>4.4285714285714288</v>
      </c>
      <c r="BZ4" s="455">
        <f t="shared" si="7"/>
        <v>4</v>
      </c>
      <c r="CA4" s="455">
        <f t="shared" si="7"/>
        <v>4.4285714285714288</v>
      </c>
      <c r="CB4" s="455">
        <f t="shared" si="7"/>
        <v>4.2857142857142856</v>
      </c>
      <c r="CC4" s="455">
        <f t="shared" si="7"/>
        <v>4.4285714285714288</v>
      </c>
      <c r="CD4" s="455">
        <f t="shared" si="7"/>
        <v>4.2857142857142856</v>
      </c>
      <c r="CE4" s="455">
        <f t="shared" si="7"/>
        <v>4.4285714285714288</v>
      </c>
      <c r="CF4" s="455">
        <f t="shared" si="7"/>
        <v>4.4285714285714288</v>
      </c>
      <c r="CG4" s="455">
        <f t="shared" si="7"/>
        <v>4.2857142857142856</v>
      </c>
      <c r="CH4" s="455">
        <f t="shared" si="7"/>
        <v>4.4285714285714288</v>
      </c>
      <c r="CI4" s="455">
        <f t="shared" si="7"/>
        <v>4.2857142857142856</v>
      </c>
      <c r="CJ4" s="455">
        <f t="shared" si="7"/>
        <v>4.4285714285714288</v>
      </c>
      <c r="CK4" s="455">
        <f t="shared" si="7"/>
        <v>4.4285714285714288</v>
      </c>
      <c r="CL4" s="455">
        <f t="shared" si="7"/>
        <v>4</v>
      </c>
      <c r="CM4" s="455">
        <f t="shared" si="7"/>
        <v>4.4285714285714288</v>
      </c>
      <c r="CN4" s="455">
        <f t="shared" si="7"/>
        <v>4.2857142857142856</v>
      </c>
      <c r="CO4" s="455">
        <f t="shared" si="7"/>
        <v>4.4285714285714288</v>
      </c>
      <c r="CP4" s="455">
        <f t="shared" si="7"/>
        <v>4.2857142857142856</v>
      </c>
      <c r="CQ4" s="455">
        <f t="shared" si="7"/>
        <v>4.4285714285714288</v>
      </c>
      <c r="CR4" s="455">
        <f t="shared" si="7"/>
        <v>4.4285714285714288</v>
      </c>
      <c r="CS4" s="455">
        <f t="shared" si="7"/>
        <v>4.2857142857142856</v>
      </c>
      <c r="CT4" s="455">
        <f t="shared" si="7"/>
        <v>4.4285714285714288</v>
      </c>
      <c r="CU4" s="455">
        <f t="shared" si="7"/>
        <v>4.2857142857142856</v>
      </c>
      <c r="CV4" s="455">
        <f t="shared" si="7"/>
        <v>4.4285714285714288</v>
      </c>
      <c r="CW4" s="455">
        <f t="shared" si="7"/>
        <v>4.4285714285714288</v>
      </c>
      <c r="CX4" s="455">
        <f t="shared" si="7"/>
        <v>4</v>
      </c>
      <c r="CY4" s="455">
        <f t="shared" si="7"/>
        <v>4.4285714285714288</v>
      </c>
      <c r="CZ4" s="455">
        <f t="shared" si="7"/>
        <v>4.2857142857142856</v>
      </c>
      <c r="DA4" s="455">
        <f t="shared" si="7"/>
        <v>4.4285714285714288</v>
      </c>
      <c r="DB4" s="455">
        <f t="shared" si="7"/>
        <v>4.2857142857142856</v>
      </c>
      <c r="DC4" s="455">
        <f t="shared" si="7"/>
        <v>4.4285714285714288</v>
      </c>
      <c r="DD4" s="455">
        <f t="shared" si="7"/>
        <v>4.4285714285714288</v>
      </c>
      <c r="DE4" s="455">
        <f t="shared" si="7"/>
        <v>4.2857142857142856</v>
      </c>
      <c r="DF4" s="455">
        <f t="shared" si="7"/>
        <v>4.4285714285714288</v>
      </c>
      <c r="DG4" s="455">
        <f t="shared" si="7"/>
        <v>4.2857142857142856</v>
      </c>
      <c r="DH4" s="455">
        <f t="shared" si="7"/>
        <v>4.4285714285714288</v>
      </c>
      <c r="DI4" s="455">
        <f t="shared" si="7"/>
        <v>4.4285714285714288</v>
      </c>
      <c r="DJ4" s="455">
        <f t="shared" si="7"/>
        <v>4.1428571428571432</v>
      </c>
      <c r="DK4" s="455">
        <f t="shared" si="7"/>
        <v>4.4285714285714288</v>
      </c>
      <c r="DL4" s="455">
        <f t="shared" si="7"/>
        <v>4.2857142857142856</v>
      </c>
      <c r="DM4" s="455">
        <f t="shared" si="7"/>
        <v>4.4285714285714288</v>
      </c>
      <c r="DN4" s="455">
        <f t="shared" si="7"/>
        <v>4.2857142857142856</v>
      </c>
      <c r="DO4" s="455">
        <f t="shared" si="7"/>
        <v>4.4285714285714288</v>
      </c>
      <c r="DP4" s="455">
        <f t="shared" si="7"/>
        <v>4.4285714285714288</v>
      </c>
      <c r="DQ4" s="455">
        <f t="shared" si="7"/>
        <v>4.2857142857142856</v>
      </c>
      <c r="DR4" s="455">
        <f t="shared" si="7"/>
        <v>4.4285714285714288</v>
      </c>
      <c r="DS4" s="455">
        <f t="shared" si="7"/>
        <v>4.2857142857142856</v>
      </c>
      <c r="DT4" s="455">
        <f t="shared" si="7"/>
        <v>4.4285714285714288</v>
      </c>
      <c r="DU4" s="455">
        <f t="shared" si="7"/>
        <v>4.4285714285714288</v>
      </c>
      <c r="DV4" s="684"/>
      <c r="EE4" s="30"/>
      <c r="EH4" s="30"/>
    </row>
    <row r="5" spans="1:145" x14ac:dyDescent="0.3">
      <c r="A5" s="1065" t="str">
        <f>Data!D4</f>
        <v>India</v>
      </c>
      <c r="B5" s="589" t="str">
        <f>'Data Master'!$F$190</f>
        <v>INR - USD</v>
      </c>
      <c r="C5" s="562"/>
      <c r="D5" s="452"/>
      <c r="E5" s="1387">
        <f>VLOOKUP(B5,'Data Master'!$C$203:$E$238,2,0)</f>
        <v>82.5</v>
      </c>
      <c r="F5" s="40">
        <f>E5</f>
        <v>82.5</v>
      </c>
      <c r="G5" s="40">
        <f t="shared" ref="G5" si="8">F5</f>
        <v>82.5</v>
      </c>
      <c r="H5" s="40">
        <f t="shared" ref="H5" si="9">G5</f>
        <v>82.5</v>
      </c>
      <c r="I5" s="40">
        <f t="shared" ref="I5" si="10">H5</f>
        <v>82.5</v>
      </c>
      <c r="J5" s="40">
        <f t="shared" ref="J5" si="11">I5</f>
        <v>82.5</v>
      </c>
      <c r="K5" s="40">
        <f t="shared" ref="K5" si="12">J5</f>
        <v>82.5</v>
      </c>
      <c r="L5" s="40">
        <f t="shared" ref="L5" si="13">K5</f>
        <v>82.5</v>
      </c>
      <c r="M5" s="40">
        <f t="shared" ref="M5" si="14">L5</f>
        <v>82.5</v>
      </c>
      <c r="N5" s="40">
        <f t="shared" ref="N5" si="15">M5</f>
        <v>82.5</v>
      </c>
      <c r="O5" s="40">
        <f t="shared" ref="O5" si="16">N5</f>
        <v>82.5</v>
      </c>
      <c r="P5" s="40">
        <f t="shared" ref="P5" si="17">O5</f>
        <v>82.5</v>
      </c>
      <c r="Q5" s="40">
        <f t="shared" ref="Q5" si="18">P5</f>
        <v>82.5</v>
      </c>
      <c r="R5" s="40">
        <f t="shared" ref="R5" si="19">Q5</f>
        <v>82.5</v>
      </c>
      <c r="S5" s="40">
        <f t="shared" ref="S5" si="20">R5</f>
        <v>82.5</v>
      </c>
      <c r="T5" s="40">
        <f t="shared" ref="T5" si="21">S5</f>
        <v>82.5</v>
      </c>
      <c r="U5" s="40">
        <f t="shared" ref="U5" si="22">T5</f>
        <v>82.5</v>
      </c>
      <c r="V5" s="40">
        <f t="shared" ref="V5" si="23">U5</f>
        <v>82.5</v>
      </c>
      <c r="W5" s="40">
        <f t="shared" ref="W5" si="24">V5</f>
        <v>82.5</v>
      </c>
      <c r="X5" s="40">
        <f t="shared" ref="X5" si="25">W5</f>
        <v>82.5</v>
      </c>
      <c r="Y5" s="40">
        <f t="shared" ref="Y5" si="26">X5</f>
        <v>82.5</v>
      </c>
      <c r="Z5" s="40">
        <f t="shared" ref="Z5" si="27">Y5</f>
        <v>82.5</v>
      </c>
      <c r="AA5" s="40">
        <f t="shared" ref="AA5" si="28">Z5</f>
        <v>82.5</v>
      </c>
      <c r="AB5" s="40">
        <f t="shared" ref="AB5" si="29">AA5</f>
        <v>82.5</v>
      </c>
      <c r="AC5" s="40">
        <f t="shared" ref="AC5" si="30">AB5</f>
        <v>82.5</v>
      </c>
      <c r="AD5" s="40">
        <f t="shared" ref="AD5" si="31">AC5</f>
        <v>82.5</v>
      </c>
      <c r="AE5" s="40">
        <f t="shared" ref="AE5" si="32">AD5</f>
        <v>82.5</v>
      </c>
      <c r="AF5" s="40">
        <f t="shared" ref="AF5" si="33">AE5</f>
        <v>82.5</v>
      </c>
      <c r="AG5" s="40">
        <f t="shared" ref="AG5" si="34">AF5</f>
        <v>82.5</v>
      </c>
      <c r="AH5" s="40">
        <f t="shared" ref="AH5" si="35">AG5</f>
        <v>82.5</v>
      </c>
      <c r="AI5" s="40">
        <f t="shared" ref="AI5" si="36">AH5</f>
        <v>82.5</v>
      </c>
      <c r="AJ5" s="40">
        <f t="shared" ref="AJ5" si="37">AI5</f>
        <v>82.5</v>
      </c>
      <c r="AK5" s="40">
        <f t="shared" ref="AK5" si="38">AJ5</f>
        <v>82.5</v>
      </c>
      <c r="AL5" s="40">
        <f t="shared" ref="AL5" si="39">AK5</f>
        <v>82.5</v>
      </c>
      <c r="AM5" s="40">
        <f t="shared" ref="AM5" si="40">AL5</f>
        <v>82.5</v>
      </c>
      <c r="AN5" s="40">
        <f t="shared" ref="AN5" si="41">AM5</f>
        <v>82.5</v>
      </c>
      <c r="AO5" s="40">
        <f t="shared" ref="AO5" si="42">AN5</f>
        <v>82.5</v>
      </c>
      <c r="AP5" s="40">
        <f t="shared" ref="AP5" si="43">AO5</f>
        <v>82.5</v>
      </c>
      <c r="AQ5" s="40">
        <f t="shared" ref="AQ5" si="44">AP5</f>
        <v>82.5</v>
      </c>
      <c r="AR5" s="40">
        <f t="shared" ref="AR5" si="45">AQ5</f>
        <v>82.5</v>
      </c>
      <c r="AS5" s="40">
        <f t="shared" ref="AS5" si="46">AR5</f>
        <v>82.5</v>
      </c>
      <c r="AT5" s="40">
        <f t="shared" ref="AT5" si="47">AS5</f>
        <v>82.5</v>
      </c>
      <c r="AU5" s="40">
        <f t="shared" ref="AU5" si="48">AT5</f>
        <v>82.5</v>
      </c>
      <c r="AV5" s="40">
        <f t="shared" ref="AV5" si="49">AU5</f>
        <v>82.5</v>
      </c>
      <c r="AW5" s="40">
        <f t="shared" ref="AW5" si="50">AV5</f>
        <v>82.5</v>
      </c>
      <c r="AX5" s="40">
        <f t="shared" ref="AX5" si="51">AW5</f>
        <v>82.5</v>
      </c>
      <c r="AY5" s="40">
        <f t="shared" ref="AY5" si="52">AX5</f>
        <v>82.5</v>
      </c>
      <c r="AZ5" s="40">
        <f t="shared" ref="AZ5" si="53">AY5</f>
        <v>82.5</v>
      </c>
      <c r="BA5" s="40">
        <f t="shared" ref="BA5" si="54">AZ5</f>
        <v>82.5</v>
      </c>
      <c r="BB5" s="40">
        <f t="shared" ref="BB5" si="55">BA5</f>
        <v>82.5</v>
      </c>
      <c r="BC5" s="40">
        <f t="shared" ref="BC5" si="56">BB5</f>
        <v>82.5</v>
      </c>
      <c r="BD5" s="40">
        <f t="shared" ref="BD5" si="57">BC5</f>
        <v>82.5</v>
      </c>
      <c r="BE5" s="40">
        <f t="shared" ref="BE5" si="58">BD5</f>
        <v>82.5</v>
      </c>
      <c r="BF5" s="40">
        <f t="shared" ref="BF5" si="59">BE5</f>
        <v>82.5</v>
      </c>
      <c r="BG5" s="40">
        <f t="shared" ref="BG5" si="60">BF5</f>
        <v>82.5</v>
      </c>
      <c r="BH5" s="40">
        <f t="shared" ref="BH5" si="61">BG5</f>
        <v>82.5</v>
      </c>
      <c r="BI5" s="40">
        <f t="shared" ref="BI5" si="62">BH5</f>
        <v>82.5</v>
      </c>
      <c r="BJ5" s="40">
        <f t="shared" ref="BJ5" si="63">BI5</f>
        <v>82.5</v>
      </c>
      <c r="BK5" s="40">
        <f t="shared" ref="BK5" si="64">BJ5</f>
        <v>82.5</v>
      </c>
      <c r="BL5" s="40">
        <f t="shared" ref="BL5" si="65">BK5</f>
        <v>82.5</v>
      </c>
      <c r="BM5" s="455">
        <f t="shared" ref="BM5" si="66">BL5</f>
        <v>82.5</v>
      </c>
      <c r="BN5" s="455">
        <f t="shared" ref="BN5" si="67">BM5</f>
        <v>82.5</v>
      </c>
      <c r="BO5" s="455">
        <f t="shared" ref="BO5" si="68">BN5</f>
        <v>82.5</v>
      </c>
      <c r="BP5" s="455">
        <f t="shared" ref="BP5" si="69">BO5</f>
        <v>82.5</v>
      </c>
      <c r="BQ5" s="455">
        <f t="shared" ref="BQ5" si="70">BP5</f>
        <v>82.5</v>
      </c>
      <c r="BR5" s="455">
        <f t="shared" ref="BR5" si="71">BQ5</f>
        <v>82.5</v>
      </c>
      <c r="BS5" s="455">
        <f t="shared" ref="BS5" si="72">BR5</f>
        <v>82.5</v>
      </c>
      <c r="BT5" s="455">
        <f t="shared" ref="BT5" si="73">BS5</f>
        <v>82.5</v>
      </c>
      <c r="BU5" s="455">
        <f t="shared" ref="BU5" si="74">BT5</f>
        <v>82.5</v>
      </c>
      <c r="BV5" s="455">
        <f t="shared" ref="BV5" si="75">BU5</f>
        <v>82.5</v>
      </c>
      <c r="BW5" s="455">
        <f t="shared" ref="BW5" si="76">BV5</f>
        <v>82.5</v>
      </c>
      <c r="BX5" s="455">
        <f t="shared" ref="BX5" si="77">BW5</f>
        <v>82.5</v>
      </c>
      <c r="BY5" s="455">
        <f t="shared" ref="BY5" si="78">BX5</f>
        <v>82.5</v>
      </c>
      <c r="BZ5" s="455">
        <f t="shared" ref="BZ5" si="79">BY5</f>
        <v>82.5</v>
      </c>
      <c r="CA5" s="455">
        <f t="shared" ref="CA5" si="80">BZ5</f>
        <v>82.5</v>
      </c>
      <c r="CB5" s="455">
        <f t="shared" ref="CB5" si="81">CA5</f>
        <v>82.5</v>
      </c>
      <c r="CC5" s="455">
        <f t="shared" ref="CC5" si="82">CB5</f>
        <v>82.5</v>
      </c>
      <c r="CD5" s="455">
        <f t="shared" ref="CD5" si="83">CC5</f>
        <v>82.5</v>
      </c>
      <c r="CE5" s="455">
        <f t="shared" ref="CE5" si="84">CD5</f>
        <v>82.5</v>
      </c>
      <c r="CF5" s="455">
        <f t="shared" ref="CF5" si="85">CE5</f>
        <v>82.5</v>
      </c>
      <c r="CG5" s="455">
        <f t="shared" ref="CG5" si="86">CF5</f>
        <v>82.5</v>
      </c>
      <c r="CH5" s="455">
        <f t="shared" ref="CH5" si="87">CG5</f>
        <v>82.5</v>
      </c>
      <c r="CI5" s="455">
        <f t="shared" ref="CI5" si="88">CH5</f>
        <v>82.5</v>
      </c>
      <c r="CJ5" s="455">
        <f t="shared" ref="CJ5" si="89">CI5</f>
        <v>82.5</v>
      </c>
      <c r="CK5" s="455">
        <f t="shared" ref="CK5" si="90">CJ5</f>
        <v>82.5</v>
      </c>
      <c r="CL5" s="455">
        <f t="shared" ref="CL5" si="91">CK5</f>
        <v>82.5</v>
      </c>
      <c r="CM5" s="455">
        <f t="shared" ref="CM5" si="92">CL5</f>
        <v>82.5</v>
      </c>
      <c r="CN5" s="455">
        <f t="shared" ref="CN5" si="93">CM5</f>
        <v>82.5</v>
      </c>
      <c r="CO5" s="455">
        <f t="shared" ref="CO5" si="94">CN5</f>
        <v>82.5</v>
      </c>
      <c r="CP5" s="455">
        <f t="shared" ref="CP5" si="95">CO5</f>
        <v>82.5</v>
      </c>
      <c r="CQ5" s="455">
        <f t="shared" ref="CQ5" si="96">CP5</f>
        <v>82.5</v>
      </c>
      <c r="CR5" s="455">
        <f t="shared" ref="CR5" si="97">CQ5</f>
        <v>82.5</v>
      </c>
      <c r="CS5" s="455">
        <f t="shared" ref="CS5" si="98">CR5</f>
        <v>82.5</v>
      </c>
      <c r="CT5" s="455">
        <f t="shared" ref="CT5" si="99">CS5</f>
        <v>82.5</v>
      </c>
      <c r="CU5" s="455">
        <f t="shared" ref="CU5" si="100">CT5</f>
        <v>82.5</v>
      </c>
      <c r="CV5" s="455">
        <f t="shared" ref="CV5" si="101">CU5</f>
        <v>82.5</v>
      </c>
      <c r="CW5" s="455">
        <f t="shared" ref="CW5" si="102">CV5</f>
        <v>82.5</v>
      </c>
      <c r="CX5" s="455">
        <f t="shared" ref="CX5" si="103">CW5</f>
        <v>82.5</v>
      </c>
      <c r="CY5" s="455">
        <f t="shared" ref="CY5" si="104">CX5</f>
        <v>82.5</v>
      </c>
      <c r="CZ5" s="455">
        <f t="shared" ref="CZ5" si="105">CY5</f>
        <v>82.5</v>
      </c>
      <c r="DA5" s="455">
        <f t="shared" ref="DA5" si="106">CZ5</f>
        <v>82.5</v>
      </c>
      <c r="DB5" s="455">
        <f t="shared" ref="DB5" si="107">DA5</f>
        <v>82.5</v>
      </c>
      <c r="DC5" s="455">
        <f t="shared" ref="DC5" si="108">DB5</f>
        <v>82.5</v>
      </c>
      <c r="DD5" s="455">
        <f t="shared" ref="DD5" si="109">DC5</f>
        <v>82.5</v>
      </c>
      <c r="DE5" s="455">
        <f t="shared" ref="DE5" si="110">DD5</f>
        <v>82.5</v>
      </c>
      <c r="DF5" s="455">
        <f t="shared" ref="DF5" si="111">DE5</f>
        <v>82.5</v>
      </c>
      <c r="DG5" s="455">
        <f t="shared" ref="DG5" si="112">DF5</f>
        <v>82.5</v>
      </c>
      <c r="DH5" s="455">
        <f t="shared" ref="DH5" si="113">DG5</f>
        <v>82.5</v>
      </c>
      <c r="DI5" s="455">
        <f t="shared" ref="DI5" si="114">DH5</f>
        <v>82.5</v>
      </c>
      <c r="DJ5" s="455">
        <f t="shared" ref="DJ5" si="115">DI5</f>
        <v>82.5</v>
      </c>
      <c r="DK5" s="455">
        <f t="shared" ref="DK5" si="116">DJ5</f>
        <v>82.5</v>
      </c>
      <c r="DL5" s="455">
        <f t="shared" ref="DL5" si="117">DK5</f>
        <v>82.5</v>
      </c>
      <c r="DM5" s="455">
        <f t="shared" ref="DM5" si="118">DL5</f>
        <v>82.5</v>
      </c>
      <c r="DN5" s="455">
        <f t="shared" ref="DN5" si="119">DM5</f>
        <v>82.5</v>
      </c>
      <c r="DO5" s="455">
        <f t="shared" ref="DO5" si="120">DN5</f>
        <v>82.5</v>
      </c>
      <c r="DP5" s="455">
        <f t="shared" ref="DP5" si="121">DO5</f>
        <v>82.5</v>
      </c>
      <c r="DQ5" s="455">
        <f t="shared" ref="DQ5" si="122">DP5</f>
        <v>82.5</v>
      </c>
      <c r="DR5" s="455">
        <f t="shared" ref="DR5" si="123">DQ5</f>
        <v>82.5</v>
      </c>
      <c r="DS5" s="455">
        <f t="shared" ref="DS5" si="124">DR5</f>
        <v>82.5</v>
      </c>
      <c r="DT5" s="455">
        <f t="shared" ref="DT5" si="125">DS5</f>
        <v>82.5</v>
      </c>
      <c r="DU5" s="455">
        <f t="shared" ref="DU5" si="126">DT5</f>
        <v>82.5</v>
      </c>
      <c r="DV5" s="684"/>
    </row>
    <row r="7" spans="1:145" x14ac:dyDescent="0.3">
      <c r="B7" s="591" t="str">
        <f>CONCATENATE(B2, " ", "P&amp;L Summary")</f>
        <v>Ind Tier 1 -Mumbai P&amp;L Summary</v>
      </c>
      <c r="C7" s="563" t="s">
        <v>122</v>
      </c>
      <c r="D7" s="456" t="str">
        <f t="shared" ref="D7:N7" si="127">DX17</f>
        <v>Q1</v>
      </c>
      <c r="E7" s="458" t="str">
        <f t="shared" si="127"/>
        <v>Q2</v>
      </c>
      <c r="F7" s="166" t="str">
        <f t="shared" si="127"/>
        <v>Q3</v>
      </c>
      <c r="G7" s="166" t="str">
        <f t="shared" si="127"/>
        <v>Q4</v>
      </c>
      <c r="H7" s="167" t="str">
        <f t="shared" si="127"/>
        <v>Year1</v>
      </c>
      <c r="I7" s="167" t="str">
        <f t="shared" si="127"/>
        <v>Year2</v>
      </c>
      <c r="J7" s="167" t="str">
        <f t="shared" si="127"/>
        <v>Year3</v>
      </c>
      <c r="K7" s="168" t="str">
        <f t="shared" si="127"/>
        <v xml:space="preserve">3 year_Consol </v>
      </c>
      <c r="L7" s="167" t="str">
        <f t="shared" si="127"/>
        <v>Year4</v>
      </c>
      <c r="M7" s="167" t="str">
        <f t="shared" si="127"/>
        <v>Year5</v>
      </c>
      <c r="N7" s="459" t="str">
        <f t="shared" si="127"/>
        <v xml:space="preserve">5 year_Consol </v>
      </c>
      <c r="O7" s="167" t="str">
        <f>EJ17</f>
        <v>Year6</v>
      </c>
      <c r="P7" s="167" t="str">
        <f t="shared" ref="P7:T7" si="128">EK17</f>
        <v>Year7</v>
      </c>
      <c r="Q7" s="167" t="str">
        <f t="shared" si="128"/>
        <v>Year8</v>
      </c>
      <c r="R7" s="167" t="str">
        <f t="shared" si="128"/>
        <v>Year9</v>
      </c>
      <c r="S7" s="167" t="str">
        <f t="shared" si="128"/>
        <v>Year10</v>
      </c>
      <c r="T7" s="459" t="str">
        <f t="shared" si="128"/>
        <v xml:space="preserve">10 year_Consol </v>
      </c>
    </row>
    <row r="8" spans="1:145" x14ac:dyDescent="0.3">
      <c r="B8" s="592" t="s">
        <v>123</v>
      </c>
      <c r="C8" s="1239">
        <f>SUM(C25:E25)</f>
        <v>75674.25</v>
      </c>
      <c r="D8" s="1240">
        <f>SUM(F25:H25)</f>
        <v>288932.1428571429</v>
      </c>
      <c r="E8" s="1241">
        <f>SUM(I25:K25)</f>
        <v>298671.42857142858</v>
      </c>
      <c r="F8" s="1242">
        <f>SUM(L25:N25)</f>
        <v>298671.42857142858</v>
      </c>
      <c r="G8" s="1242">
        <f>SUM(O25:Q25)</f>
        <v>298671.42857142858</v>
      </c>
      <c r="H8" s="1243">
        <f>SUM(C25:Q25)</f>
        <v>1260620.6785714284</v>
      </c>
      <c r="I8" s="1243">
        <f>SUM(R25:AC25)</f>
        <v>1247602.5</v>
      </c>
      <c r="J8" s="1243">
        <f>SUM(AD25:AO25)</f>
        <v>1306403.4375000002</v>
      </c>
      <c r="K8" s="1244">
        <f>SUM(H8:J8)</f>
        <v>3814626.6160714282</v>
      </c>
      <c r="L8" s="1243">
        <f>SUM(AP25:BA25)</f>
        <v>1371723.6093750005</v>
      </c>
      <c r="M8" s="1243">
        <f>SUM(BB25:BM25)</f>
        <v>1440309.7898437507</v>
      </c>
      <c r="N8" s="1245">
        <f t="shared" ref="N8" si="129">SUM(K8:M8)</f>
        <v>6626660.0152901802</v>
      </c>
      <c r="O8" s="1243">
        <f>SUM(BN25:BY25)</f>
        <v>1516468.6362656252</v>
      </c>
      <c r="P8" s="1243">
        <f>SUM(BZ25:CK25)</f>
        <v>1587941.5433027351</v>
      </c>
      <c r="Q8" s="1243">
        <f>SUM(CL25:CW25)</f>
        <v>1667338.6204678721</v>
      </c>
      <c r="R8" s="1243">
        <f>SUM(CX25:DI25)</f>
        <v>1750705.5514912659</v>
      </c>
      <c r="S8" s="1243">
        <f>SUM(DJ25:DU25)</f>
        <v>1843277.1053098449</v>
      </c>
      <c r="T8" s="1245">
        <f>SUM(N8:S8)</f>
        <v>14992391.472127523</v>
      </c>
    </row>
    <row r="9" spans="1:145" x14ac:dyDescent="0.3">
      <c r="B9" s="592" t="s">
        <v>26</v>
      </c>
      <c r="C9" s="1239">
        <f>SUM(C66:E66)</f>
        <v>843.46414346779375</v>
      </c>
      <c r="D9" s="1240">
        <f>SUM(F66:H66)</f>
        <v>104945.12406552277</v>
      </c>
      <c r="E9" s="1241">
        <f>SUM(I66:K66)</f>
        <v>117083.11062506656</v>
      </c>
      <c r="F9" s="1242">
        <f>SUM(L66:N66)</f>
        <v>121956.85376853688</v>
      </c>
      <c r="G9" s="1242">
        <f>SUM(O66:Q66)</f>
        <v>122277.61794546008</v>
      </c>
      <c r="H9" s="1243">
        <f>SUM(C66:Q66)</f>
        <v>467106.17054805404</v>
      </c>
      <c r="I9" s="1243">
        <f>SUM(R66:AC66)</f>
        <v>528060.63415188156</v>
      </c>
      <c r="J9" s="1243">
        <f>SUM(AD66:AO66)</f>
        <v>584454.45496835758</v>
      </c>
      <c r="K9" s="1244">
        <f>SUM(H9:J9)</f>
        <v>1579621.2596682932</v>
      </c>
      <c r="L9" s="1243">
        <f>SUM(AP66:BA66)</f>
        <v>614461.7968256576</v>
      </c>
      <c r="M9" s="1243">
        <f>SUM(BB66:BM66)</f>
        <v>645969.50577582233</v>
      </c>
      <c r="N9" s="1245">
        <f t="shared" ref="N9" si="130">SUM(K9:M9)</f>
        <v>2840052.5622697733</v>
      </c>
      <c r="O9" s="1243">
        <f>SUM(BN66:BY66)</f>
        <v>683154.52353388583</v>
      </c>
      <c r="P9" s="1243">
        <f>SUM(BZ66:CK66)</f>
        <v>713789.84929105209</v>
      </c>
      <c r="Q9" s="1243">
        <f>SUM(CL66:CW66)</f>
        <v>750263.96086448629</v>
      </c>
      <c r="R9" s="1243">
        <f>SUM(CX66:DI66)</f>
        <v>788561.77801659284</v>
      </c>
      <c r="S9" s="1243">
        <f>SUM(DJ66:DU66)</f>
        <v>833760.39950788021</v>
      </c>
      <c r="T9" s="1245">
        <f t="shared" ref="T9:T11" si="131">SUM(N9:S9)</f>
        <v>6609583.0734836701</v>
      </c>
    </row>
    <row r="10" spans="1:145" x14ac:dyDescent="0.3">
      <c r="B10" s="593" t="s">
        <v>43</v>
      </c>
      <c r="C10" s="564">
        <f t="shared" ref="C10:N10" si="132">C9/C8</f>
        <v>1.1145986163956614E-2</v>
      </c>
      <c r="D10" s="457">
        <f t="shared" si="132"/>
        <v>0.36321720050860151</v>
      </c>
      <c r="E10" s="460">
        <f t="shared" si="132"/>
        <v>0.39201309340195434</v>
      </c>
      <c r="F10" s="43">
        <f t="shared" si="132"/>
        <v>0.40833116964641419</v>
      </c>
      <c r="G10" s="43">
        <f t="shared" si="132"/>
        <v>0.40940513972268644</v>
      </c>
      <c r="H10" s="44">
        <f t="shared" si="132"/>
        <v>0.37053665586177137</v>
      </c>
      <c r="I10" s="44">
        <f t="shared" si="132"/>
        <v>0.42326032061644758</v>
      </c>
      <c r="J10" s="44">
        <f t="shared" si="132"/>
        <v>0.44737669711494271</v>
      </c>
      <c r="K10" s="44">
        <f t="shared" si="132"/>
        <v>0.41409590469829488</v>
      </c>
      <c r="L10" s="44">
        <f t="shared" si="132"/>
        <v>0.44794869216082484</v>
      </c>
      <c r="M10" s="44">
        <f t="shared" si="132"/>
        <v>0.44849344934737906</v>
      </c>
      <c r="N10" s="461">
        <f t="shared" si="132"/>
        <v>0.42857979068138569</v>
      </c>
      <c r="O10" s="44">
        <f t="shared" ref="O10:T10" si="133">O9/O8</f>
        <v>0.45049037427914479</v>
      </c>
      <c r="P10" s="44">
        <f t="shared" si="133"/>
        <v>0.44950637654233266</v>
      </c>
      <c r="Q10" s="44">
        <f t="shared" si="133"/>
        <v>0.44997695828214823</v>
      </c>
      <c r="R10" s="44">
        <f t="shared" si="133"/>
        <v>0.4504251313676873</v>
      </c>
      <c r="S10" s="44">
        <f t="shared" si="133"/>
        <v>0.4523250449463645</v>
      </c>
      <c r="T10" s="461">
        <f t="shared" si="133"/>
        <v>0.44086249253640419</v>
      </c>
      <c r="DY10" s="34"/>
      <c r="DZ10" s="34"/>
      <c r="EA10" s="34"/>
      <c r="EB10" s="34"/>
      <c r="EC10" s="34"/>
      <c r="ED10" s="34"/>
      <c r="EF10" s="34"/>
      <c r="EG10" s="34"/>
    </row>
    <row r="11" spans="1:145" outlineLevel="1" x14ac:dyDescent="0.3">
      <c r="B11" s="592" t="s">
        <v>28</v>
      </c>
      <c r="C11" s="1239">
        <f>SUM(C63:E63)</f>
        <v>843.46414346779375</v>
      </c>
      <c r="D11" s="1242">
        <f>SUM(F63:H63)</f>
        <v>104945.12406552277</v>
      </c>
      <c r="E11" s="1241">
        <f>SUM(I63:K63)</f>
        <v>117083.11062506656</v>
      </c>
      <c r="F11" s="1242">
        <f>SUM(L63:N63)</f>
        <v>121956.85376853688</v>
      </c>
      <c r="G11" s="1242">
        <f>SUM(O63:Q63)</f>
        <v>122277.61794546008</v>
      </c>
      <c r="H11" s="1243">
        <f>SUM(C63:Q63)</f>
        <v>467106.17054805404</v>
      </c>
      <c r="I11" s="1243">
        <f>SUM(R63:AC63)</f>
        <v>528060.63415188156</v>
      </c>
      <c r="J11" s="1243">
        <f>SUM(AD63:AO63)</f>
        <v>584454.45496835758</v>
      </c>
      <c r="K11" s="1244">
        <f>SUM(H11:J11)</f>
        <v>1579621.2596682932</v>
      </c>
      <c r="L11" s="1243">
        <f>SUM(AP63:BA63)</f>
        <v>614461.7968256576</v>
      </c>
      <c r="M11" s="1243">
        <f>SUM(BB63:BM63)</f>
        <v>645969.50577582233</v>
      </c>
      <c r="N11" s="1244">
        <f t="shared" ref="N11" si="134">SUM(K11:M11)</f>
        <v>2840052.5622697733</v>
      </c>
      <c r="O11" s="1243">
        <f>SUM(BN63:BY63)</f>
        <v>683154.52353388583</v>
      </c>
      <c r="P11" s="1243">
        <f>SUM(BZ63:CK63)</f>
        <v>713789.84929105209</v>
      </c>
      <c r="Q11" s="1243">
        <f>SUM(CL63:CW63)</f>
        <v>750263.96086448629</v>
      </c>
      <c r="R11" s="1243">
        <f>SUM(CX63:DI63)</f>
        <v>788561.77801659284</v>
      </c>
      <c r="S11" s="1243">
        <f>SUM(DJ63:DU63)</f>
        <v>833760.39950788021</v>
      </c>
      <c r="T11" s="1244">
        <f t="shared" si="131"/>
        <v>6609583.0734836701</v>
      </c>
    </row>
    <row r="12" spans="1:145" outlineLevel="1" x14ac:dyDescent="0.3">
      <c r="B12" s="593" t="s">
        <v>124</v>
      </c>
      <c r="C12" s="564">
        <f t="shared" ref="C12:N12" si="135">C11/C8</f>
        <v>1.1145986163956614E-2</v>
      </c>
      <c r="D12" s="43">
        <f t="shared" si="135"/>
        <v>0.36321720050860151</v>
      </c>
      <c r="E12" s="460">
        <f t="shared" si="135"/>
        <v>0.39201309340195434</v>
      </c>
      <c r="F12" s="43">
        <f t="shared" si="135"/>
        <v>0.40833116964641419</v>
      </c>
      <c r="G12" s="43">
        <f t="shared" si="135"/>
        <v>0.40940513972268644</v>
      </c>
      <c r="H12" s="43">
        <f t="shared" si="135"/>
        <v>0.37053665586177137</v>
      </c>
      <c r="I12" s="43">
        <f t="shared" si="135"/>
        <v>0.42326032061644758</v>
      </c>
      <c r="J12" s="43">
        <f t="shared" si="135"/>
        <v>0.44737669711494271</v>
      </c>
      <c r="K12" s="43">
        <f t="shared" si="135"/>
        <v>0.41409590469829488</v>
      </c>
      <c r="L12" s="43">
        <f t="shared" si="135"/>
        <v>0.44794869216082484</v>
      </c>
      <c r="M12" s="43">
        <f t="shared" si="135"/>
        <v>0.44849344934737906</v>
      </c>
      <c r="N12" s="43">
        <f t="shared" si="135"/>
        <v>0.42857979068138569</v>
      </c>
      <c r="O12" s="43">
        <f t="shared" ref="O12:T12" si="136">O11/O8</f>
        <v>0.45049037427914479</v>
      </c>
      <c r="P12" s="43">
        <f t="shared" si="136"/>
        <v>0.44950637654233266</v>
      </c>
      <c r="Q12" s="43">
        <f t="shared" si="136"/>
        <v>0.44997695828214823</v>
      </c>
      <c r="R12" s="43">
        <f t="shared" si="136"/>
        <v>0.4504251313676873</v>
      </c>
      <c r="S12" s="43">
        <f t="shared" si="136"/>
        <v>0.4523250449463645</v>
      </c>
      <c r="T12" s="43">
        <f t="shared" si="136"/>
        <v>0.44086249253640419</v>
      </c>
    </row>
    <row r="14" spans="1:145" x14ac:dyDescent="0.3">
      <c r="I14" s="46"/>
      <c r="J14" s="46"/>
    </row>
    <row r="15" spans="1:145" ht="13.5" thickBot="1" x14ac:dyDescent="0.35"/>
    <row r="16" spans="1:145" ht="13.5" thickBot="1" x14ac:dyDescent="0.35">
      <c r="B16" s="594" t="str">
        <f>B2</f>
        <v>Ind Tier 1 -Mumbai</v>
      </c>
      <c r="C16" s="135" t="s">
        <v>122</v>
      </c>
      <c r="D16" s="134" t="s">
        <v>122</v>
      </c>
      <c r="E16" s="134" t="s">
        <v>122</v>
      </c>
      <c r="F16" s="135">
        <v>1</v>
      </c>
      <c r="G16" s="135">
        <f t="shared" ref="G16" si="137">F16+1</f>
        <v>2</v>
      </c>
      <c r="H16" s="135">
        <f t="shared" ref="H16" si="138">G16+1</f>
        <v>3</v>
      </c>
      <c r="I16" s="135">
        <f t="shared" ref="I16" si="139">H16+1</f>
        <v>4</v>
      </c>
      <c r="J16" s="135">
        <f t="shared" ref="J16" si="140">I16+1</f>
        <v>5</v>
      </c>
      <c r="K16" s="135">
        <f t="shared" ref="K16" si="141">J16+1</f>
        <v>6</v>
      </c>
      <c r="L16" s="135">
        <f t="shared" ref="L16" si="142">K16+1</f>
        <v>7</v>
      </c>
      <c r="M16" s="135">
        <f t="shared" ref="M16" si="143">L16+1</f>
        <v>8</v>
      </c>
      <c r="N16" s="135">
        <f t="shared" ref="N16" si="144">M16+1</f>
        <v>9</v>
      </c>
      <c r="O16" s="135">
        <f t="shared" ref="O16" si="145">N16+1</f>
        <v>10</v>
      </c>
      <c r="P16" s="135">
        <f t="shared" ref="P16" si="146">O16+1</f>
        <v>11</v>
      </c>
      <c r="Q16" s="135">
        <f t="shared" ref="Q16" si="147">P16+1</f>
        <v>12</v>
      </c>
      <c r="R16" s="135">
        <f t="shared" ref="R16" si="148">Q16+1</f>
        <v>13</v>
      </c>
      <c r="S16" s="135">
        <f t="shared" ref="S16" si="149">R16+1</f>
        <v>14</v>
      </c>
      <c r="T16" s="135">
        <f t="shared" ref="T16" si="150">S16+1</f>
        <v>15</v>
      </c>
      <c r="U16" s="135">
        <f t="shared" ref="U16" si="151">T16+1</f>
        <v>16</v>
      </c>
      <c r="V16" s="135">
        <f t="shared" ref="V16" si="152">U16+1</f>
        <v>17</v>
      </c>
      <c r="W16" s="135">
        <f t="shared" ref="W16" si="153">V16+1</f>
        <v>18</v>
      </c>
      <c r="X16" s="135">
        <f t="shared" ref="X16" si="154">W16+1</f>
        <v>19</v>
      </c>
      <c r="Y16" s="135">
        <f t="shared" ref="Y16" si="155">X16+1</f>
        <v>20</v>
      </c>
      <c r="Z16" s="135">
        <f t="shared" ref="Z16" si="156">Y16+1</f>
        <v>21</v>
      </c>
      <c r="AA16" s="135">
        <f t="shared" ref="AA16" si="157">Z16+1</f>
        <v>22</v>
      </c>
      <c r="AB16" s="135">
        <f t="shared" ref="AB16" si="158">AA16+1</f>
        <v>23</v>
      </c>
      <c r="AC16" s="135">
        <f t="shared" ref="AC16" si="159">AB16+1</f>
        <v>24</v>
      </c>
      <c r="AD16" s="135">
        <f t="shared" ref="AD16" si="160">AC16+1</f>
        <v>25</v>
      </c>
      <c r="AE16" s="135">
        <f t="shared" ref="AE16" si="161">AD16+1</f>
        <v>26</v>
      </c>
      <c r="AF16" s="135">
        <f t="shared" ref="AF16" si="162">AE16+1</f>
        <v>27</v>
      </c>
      <c r="AG16" s="135">
        <f t="shared" ref="AG16" si="163">AF16+1</f>
        <v>28</v>
      </c>
      <c r="AH16" s="135">
        <f t="shared" ref="AH16" si="164">AG16+1</f>
        <v>29</v>
      </c>
      <c r="AI16" s="135">
        <f t="shared" ref="AI16" si="165">AH16+1</f>
        <v>30</v>
      </c>
      <c r="AJ16" s="135">
        <f t="shared" ref="AJ16" si="166">AI16+1</f>
        <v>31</v>
      </c>
      <c r="AK16" s="135">
        <f t="shared" ref="AK16" si="167">AJ16+1</f>
        <v>32</v>
      </c>
      <c r="AL16" s="135">
        <f t="shared" ref="AL16" si="168">AK16+1</f>
        <v>33</v>
      </c>
      <c r="AM16" s="135">
        <f t="shared" ref="AM16" si="169">AL16+1</f>
        <v>34</v>
      </c>
      <c r="AN16" s="135">
        <f t="shared" ref="AN16" si="170">AM16+1</f>
        <v>35</v>
      </c>
      <c r="AO16" s="135">
        <f t="shared" ref="AO16" si="171">AN16+1</f>
        <v>36</v>
      </c>
      <c r="AP16" s="135">
        <f t="shared" ref="AP16" si="172">AO16+1</f>
        <v>37</v>
      </c>
      <c r="AQ16" s="135">
        <f t="shared" ref="AQ16" si="173">AP16+1</f>
        <v>38</v>
      </c>
      <c r="AR16" s="135">
        <f t="shared" ref="AR16" si="174">AQ16+1</f>
        <v>39</v>
      </c>
      <c r="AS16" s="135">
        <f t="shared" ref="AS16" si="175">AR16+1</f>
        <v>40</v>
      </c>
      <c r="AT16" s="135">
        <f t="shared" ref="AT16" si="176">AS16+1</f>
        <v>41</v>
      </c>
      <c r="AU16" s="135">
        <f t="shared" ref="AU16" si="177">AT16+1</f>
        <v>42</v>
      </c>
      <c r="AV16" s="135">
        <f t="shared" ref="AV16" si="178">AU16+1</f>
        <v>43</v>
      </c>
      <c r="AW16" s="135">
        <f t="shared" ref="AW16" si="179">AV16+1</f>
        <v>44</v>
      </c>
      <c r="AX16" s="135">
        <f t="shared" ref="AX16" si="180">AW16+1</f>
        <v>45</v>
      </c>
      <c r="AY16" s="135">
        <f t="shared" ref="AY16" si="181">AX16+1</f>
        <v>46</v>
      </c>
      <c r="AZ16" s="135">
        <f t="shared" ref="AZ16" si="182">AY16+1</f>
        <v>47</v>
      </c>
      <c r="BA16" s="135">
        <f t="shared" ref="BA16" si="183">AZ16+1</f>
        <v>48</v>
      </c>
      <c r="BB16" s="135">
        <f t="shared" ref="BB16" si="184">BA16+1</f>
        <v>49</v>
      </c>
      <c r="BC16" s="135">
        <f t="shared" ref="BC16" si="185">BB16+1</f>
        <v>50</v>
      </c>
      <c r="BD16" s="135">
        <f t="shared" ref="BD16" si="186">BC16+1</f>
        <v>51</v>
      </c>
      <c r="BE16" s="135">
        <f t="shared" ref="BE16" si="187">BD16+1</f>
        <v>52</v>
      </c>
      <c r="BF16" s="135">
        <f t="shared" ref="BF16" si="188">BE16+1</f>
        <v>53</v>
      </c>
      <c r="BG16" s="135">
        <f t="shared" ref="BG16" si="189">BF16+1</f>
        <v>54</v>
      </c>
      <c r="BH16" s="135">
        <f t="shared" ref="BH16" si="190">BG16+1</f>
        <v>55</v>
      </c>
      <c r="BI16" s="135">
        <f t="shared" ref="BI16" si="191">BH16+1</f>
        <v>56</v>
      </c>
      <c r="BJ16" s="135">
        <f t="shared" ref="BJ16" si="192">BI16+1</f>
        <v>57</v>
      </c>
      <c r="BK16" s="135">
        <f t="shared" ref="BK16" si="193">BJ16+1</f>
        <v>58</v>
      </c>
      <c r="BL16" s="135">
        <f t="shared" ref="BL16" si="194">BK16+1</f>
        <v>59</v>
      </c>
      <c r="BM16" s="135">
        <f t="shared" ref="BM16" si="195">BL16+1</f>
        <v>60</v>
      </c>
      <c r="BN16" s="135">
        <f t="shared" ref="BN16" si="196">BM16+1</f>
        <v>61</v>
      </c>
      <c r="BO16" s="135">
        <f t="shared" ref="BO16" si="197">BN16+1</f>
        <v>62</v>
      </c>
      <c r="BP16" s="135">
        <f t="shared" ref="BP16" si="198">BO16+1</f>
        <v>63</v>
      </c>
      <c r="BQ16" s="135">
        <f t="shared" ref="BQ16" si="199">BP16+1</f>
        <v>64</v>
      </c>
      <c r="BR16" s="135">
        <f t="shared" ref="BR16" si="200">BQ16+1</f>
        <v>65</v>
      </c>
      <c r="BS16" s="135">
        <f t="shared" ref="BS16" si="201">BR16+1</f>
        <v>66</v>
      </c>
      <c r="BT16" s="135">
        <f t="shared" ref="BT16" si="202">BS16+1</f>
        <v>67</v>
      </c>
      <c r="BU16" s="135">
        <f t="shared" ref="BU16" si="203">BT16+1</f>
        <v>68</v>
      </c>
      <c r="BV16" s="135">
        <f t="shared" ref="BV16" si="204">BU16+1</f>
        <v>69</v>
      </c>
      <c r="BW16" s="135">
        <f t="shared" ref="BW16" si="205">BV16+1</f>
        <v>70</v>
      </c>
      <c r="BX16" s="135">
        <f t="shared" ref="BX16" si="206">BW16+1</f>
        <v>71</v>
      </c>
      <c r="BY16" s="135">
        <f t="shared" ref="BY16" si="207">BX16+1</f>
        <v>72</v>
      </c>
      <c r="BZ16" s="135">
        <f t="shared" ref="BZ16" si="208">BY16+1</f>
        <v>73</v>
      </c>
      <c r="CA16" s="135">
        <f t="shared" ref="CA16" si="209">BZ16+1</f>
        <v>74</v>
      </c>
      <c r="CB16" s="135">
        <f t="shared" ref="CB16" si="210">CA16+1</f>
        <v>75</v>
      </c>
      <c r="CC16" s="135">
        <f t="shared" ref="CC16" si="211">CB16+1</f>
        <v>76</v>
      </c>
      <c r="CD16" s="135">
        <f t="shared" ref="CD16" si="212">CC16+1</f>
        <v>77</v>
      </c>
      <c r="CE16" s="135">
        <f t="shared" ref="CE16" si="213">CD16+1</f>
        <v>78</v>
      </c>
      <c r="CF16" s="135">
        <f t="shared" ref="CF16" si="214">CE16+1</f>
        <v>79</v>
      </c>
      <c r="CG16" s="135">
        <f t="shared" ref="CG16" si="215">CF16+1</f>
        <v>80</v>
      </c>
      <c r="CH16" s="135">
        <f t="shared" ref="CH16" si="216">CG16+1</f>
        <v>81</v>
      </c>
      <c r="CI16" s="135">
        <f t="shared" ref="CI16" si="217">CH16+1</f>
        <v>82</v>
      </c>
      <c r="CJ16" s="135">
        <f t="shared" ref="CJ16" si="218">CI16+1</f>
        <v>83</v>
      </c>
      <c r="CK16" s="135">
        <f t="shared" ref="CK16" si="219">CJ16+1</f>
        <v>84</v>
      </c>
      <c r="CL16" s="135">
        <f t="shared" ref="CL16" si="220">CK16+1</f>
        <v>85</v>
      </c>
      <c r="CM16" s="135">
        <f t="shared" ref="CM16" si="221">CL16+1</f>
        <v>86</v>
      </c>
      <c r="CN16" s="135">
        <f t="shared" ref="CN16" si="222">CM16+1</f>
        <v>87</v>
      </c>
      <c r="CO16" s="135">
        <f t="shared" ref="CO16" si="223">CN16+1</f>
        <v>88</v>
      </c>
      <c r="CP16" s="135">
        <f t="shared" ref="CP16" si="224">CO16+1</f>
        <v>89</v>
      </c>
      <c r="CQ16" s="135">
        <f t="shared" ref="CQ16" si="225">CP16+1</f>
        <v>90</v>
      </c>
      <c r="CR16" s="135">
        <f t="shared" ref="CR16" si="226">CQ16+1</f>
        <v>91</v>
      </c>
      <c r="CS16" s="135">
        <f t="shared" ref="CS16" si="227">CR16+1</f>
        <v>92</v>
      </c>
      <c r="CT16" s="135">
        <f t="shared" ref="CT16" si="228">CS16+1</f>
        <v>93</v>
      </c>
      <c r="CU16" s="135">
        <f t="shared" ref="CU16" si="229">CT16+1</f>
        <v>94</v>
      </c>
      <c r="CV16" s="135">
        <f t="shared" ref="CV16" si="230">CU16+1</f>
        <v>95</v>
      </c>
      <c r="CW16" s="135">
        <f t="shared" ref="CW16" si="231">CV16+1</f>
        <v>96</v>
      </c>
      <c r="CX16" s="135">
        <f t="shared" ref="CX16" si="232">CW16+1</f>
        <v>97</v>
      </c>
      <c r="CY16" s="135">
        <f t="shared" ref="CY16" si="233">CX16+1</f>
        <v>98</v>
      </c>
      <c r="CZ16" s="135">
        <f t="shared" ref="CZ16" si="234">CY16+1</f>
        <v>99</v>
      </c>
      <c r="DA16" s="135">
        <f t="shared" ref="DA16" si="235">CZ16+1</f>
        <v>100</v>
      </c>
      <c r="DB16" s="135">
        <f t="shared" ref="DB16" si="236">DA16+1</f>
        <v>101</v>
      </c>
      <c r="DC16" s="135">
        <f t="shared" ref="DC16" si="237">DB16+1</f>
        <v>102</v>
      </c>
      <c r="DD16" s="135">
        <f t="shared" ref="DD16" si="238">DC16+1</f>
        <v>103</v>
      </c>
      <c r="DE16" s="135">
        <f t="shared" ref="DE16" si="239">DD16+1</f>
        <v>104</v>
      </c>
      <c r="DF16" s="135">
        <f t="shared" ref="DF16" si="240">DE16+1</f>
        <v>105</v>
      </c>
      <c r="DG16" s="135">
        <f t="shared" ref="DG16" si="241">DF16+1</f>
        <v>106</v>
      </c>
      <c r="DH16" s="135">
        <f t="shared" ref="DH16" si="242">DG16+1</f>
        <v>107</v>
      </c>
      <c r="DI16" s="135">
        <f t="shared" ref="DI16" si="243">DH16+1</f>
        <v>108</v>
      </c>
      <c r="DJ16" s="135">
        <f t="shared" ref="DJ16" si="244">DI16+1</f>
        <v>109</v>
      </c>
      <c r="DK16" s="135">
        <f t="shared" ref="DK16" si="245">DJ16+1</f>
        <v>110</v>
      </c>
      <c r="DL16" s="135">
        <f t="shared" ref="DL16" si="246">DK16+1</f>
        <v>111</v>
      </c>
      <c r="DM16" s="135">
        <f t="shared" ref="DM16" si="247">DL16+1</f>
        <v>112</v>
      </c>
      <c r="DN16" s="135">
        <f t="shared" ref="DN16" si="248">DM16+1</f>
        <v>113</v>
      </c>
      <c r="DO16" s="135">
        <f t="shared" ref="DO16" si="249">DN16+1</f>
        <v>114</v>
      </c>
      <c r="DP16" s="135">
        <f t="shared" ref="DP16" si="250">DO16+1</f>
        <v>115</v>
      </c>
      <c r="DQ16" s="135">
        <f t="shared" ref="DQ16" si="251">DP16+1</f>
        <v>116</v>
      </c>
      <c r="DR16" s="135">
        <f t="shared" ref="DR16" si="252">DQ16+1</f>
        <v>117</v>
      </c>
      <c r="DS16" s="135">
        <f t="shared" ref="DS16" si="253">DR16+1</f>
        <v>118</v>
      </c>
      <c r="DT16" s="135">
        <f t="shared" ref="DT16" si="254">DS16+1</f>
        <v>119</v>
      </c>
      <c r="DU16" s="383">
        <f t="shared" ref="DU16" si="255">DT16+1</f>
        <v>120</v>
      </c>
      <c r="DV16" s="13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J16" s="45"/>
      <c r="EK16" s="45"/>
      <c r="EL16" s="45"/>
      <c r="EM16" s="45"/>
      <c r="EN16" s="45"/>
      <c r="EO16" s="45"/>
    </row>
    <row r="17" spans="1:147" ht="13.5" thickBot="1" x14ac:dyDescent="0.35">
      <c r="B17" s="595" t="s">
        <v>1</v>
      </c>
      <c r="C17" s="1"/>
      <c r="D17" s="1"/>
      <c r="E17" s="384">
        <v>46388</v>
      </c>
      <c r="F17" s="1">
        <f>EOMONTH(E17,1)</f>
        <v>46446</v>
      </c>
      <c r="G17" s="1">
        <f t="shared" ref="G17:AO17" si="256">EOMONTH(F17,1)</f>
        <v>46477</v>
      </c>
      <c r="H17" s="1">
        <f t="shared" si="256"/>
        <v>46507</v>
      </c>
      <c r="I17" s="1">
        <f t="shared" si="256"/>
        <v>46538</v>
      </c>
      <c r="J17" s="1">
        <f t="shared" si="256"/>
        <v>46568</v>
      </c>
      <c r="K17" s="1">
        <f t="shared" si="256"/>
        <v>46599</v>
      </c>
      <c r="L17" s="1">
        <f t="shared" si="256"/>
        <v>46630</v>
      </c>
      <c r="M17" s="1">
        <f t="shared" si="256"/>
        <v>46660</v>
      </c>
      <c r="N17" s="1">
        <f t="shared" si="256"/>
        <v>46691</v>
      </c>
      <c r="O17" s="1">
        <f t="shared" si="256"/>
        <v>46721</v>
      </c>
      <c r="P17" s="1">
        <f t="shared" si="256"/>
        <v>46752</v>
      </c>
      <c r="Q17" s="1">
        <f t="shared" si="256"/>
        <v>46783</v>
      </c>
      <c r="R17" s="1">
        <f t="shared" si="256"/>
        <v>46812</v>
      </c>
      <c r="S17" s="1">
        <f t="shared" si="256"/>
        <v>46843</v>
      </c>
      <c r="T17" s="1">
        <f t="shared" si="256"/>
        <v>46873</v>
      </c>
      <c r="U17" s="1">
        <f t="shared" si="256"/>
        <v>46904</v>
      </c>
      <c r="V17" s="1">
        <f t="shared" si="256"/>
        <v>46934</v>
      </c>
      <c r="W17" s="1">
        <f t="shared" si="256"/>
        <v>46965</v>
      </c>
      <c r="X17" s="1">
        <f t="shared" si="256"/>
        <v>46996</v>
      </c>
      <c r="Y17" s="1">
        <f t="shared" si="256"/>
        <v>47026</v>
      </c>
      <c r="Z17" s="1">
        <f t="shared" si="256"/>
        <v>47057</v>
      </c>
      <c r="AA17" s="1">
        <f t="shared" si="256"/>
        <v>47087</v>
      </c>
      <c r="AB17" s="1">
        <f t="shared" si="256"/>
        <v>47118</v>
      </c>
      <c r="AC17" s="1">
        <f t="shared" si="256"/>
        <v>47149</v>
      </c>
      <c r="AD17" s="1">
        <f t="shared" si="256"/>
        <v>47177</v>
      </c>
      <c r="AE17" s="1">
        <f t="shared" si="256"/>
        <v>47208</v>
      </c>
      <c r="AF17" s="1">
        <f t="shared" si="256"/>
        <v>47238</v>
      </c>
      <c r="AG17" s="1">
        <f t="shared" si="256"/>
        <v>47269</v>
      </c>
      <c r="AH17" s="1">
        <f t="shared" si="256"/>
        <v>47299</v>
      </c>
      <c r="AI17" s="1">
        <f t="shared" si="256"/>
        <v>47330</v>
      </c>
      <c r="AJ17" s="1">
        <f t="shared" si="256"/>
        <v>47361</v>
      </c>
      <c r="AK17" s="1">
        <f t="shared" si="256"/>
        <v>47391</v>
      </c>
      <c r="AL17" s="1">
        <f t="shared" si="256"/>
        <v>47422</v>
      </c>
      <c r="AM17" s="1">
        <f t="shared" si="256"/>
        <v>47452</v>
      </c>
      <c r="AN17" s="1">
        <f t="shared" si="256"/>
        <v>47483</v>
      </c>
      <c r="AO17" s="1">
        <f t="shared" si="256"/>
        <v>47514</v>
      </c>
      <c r="AP17" s="1">
        <f t="shared" ref="AP17" si="257">EOMONTH(AO17,1)</f>
        <v>47542</v>
      </c>
      <c r="AQ17" s="1">
        <f t="shared" ref="AQ17" si="258">EOMONTH(AP17,1)</f>
        <v>47573</v>
      </c>
      <c r="AR17" s="1">
        <f t="shared" ref="AR17" si="259">EOMONTH(AQ17,1)</f>
        <v>47603</v>
      </c>
      <c r="AS17" s="1">
        <f t="shared" ref="AS17" si="260">EOMONTH(AR17,1)</f>
        <v>47634</v>
      </c>
      <c r="AT17" s="1">
        <f t="shared" ref="AT17" si="261">EOMONTH(AS17,1)</f>
        <v>47664</v>
      </c>
      <c r="AU17" s="1">
        <f t="shared" ref="AU17" si="262">EOMONTH(AT17,1)</f>
        <v>47695</v>
      </c>
      <c r="AV17" s="1">
        <f t="shared" ref="AV17" si="263">EOMONTH(AU17,1)</f>
        <v>47726</v>
      </c>
      <c r="AW17" s="1">
        <f t="shared" ref="AW17" si="264">EOMONTH(AV17,1)</f>
        <v>47756</v>
      </c>
      <c r="AX17" s="1">
        <f t="shared" ref="AX17" si="265">EOMONTH(AW17,1)</f>
        <v>47787</v>
      </c>
      <c r="AY17" s="1">
        <f t="shared" ref="AY17" si="266">EOMONTH(AX17,1)</f>
        <v>47817</v>
      </c>
      <c r="AZ17" s="1">
        <f t="shared" ref="AZ17" si="267">EOMONTH(AY17,1)</f>
        <v>47848</v>
      </c>
      <c r="BA17" s="1">
        <f t="shared" ref="BA17" si="268">EOMONTH(AZ17,1)</f>
        <v>47879</v>
      </c>
      <c r="BB17" s="1">
        <f t="shared" ref="BB17" si="269">EOMONTH(BA17,1)</f>
        <v>47907</v>
      </c>
      <c r="BC17" s="1">
        <f t="shared" ref="BC17" si="270">EOMONTH(BB17,1)</f>
        <v>47938</v>
      </c>
      <c r="BD17" s="1">
        <f t="shared" ref="BD17" si="271">EOMONTH(BC17,1)</f>
        <v>47968</v>
      </c>
      <c r="BE17" s="1">
        <f t="shared" ref="BE17" si="272">EOMONTH(BD17,1)</f>
        <v>47999</v>
      </c>
      <c r="BF17" s="1">
        <f t="shared" ref="BF17" si="273">EOMONTH(BE17,1)</f>
        <v>48029</v>
      </c>
      <c r="BG17" s="1">
        <f t="shared" ref="BG17" si="274">EOMONTH(BF17,1)</f>
        <v>48060</v>
      </c>
      <c r="BH17" s="1">
        <f t="shared" ref="BH17" si="275">EOMONTH(BG17,1)</f>
        <v>48091</v>
      </c>
      <c r="BI17" s="1">
        <f t="shared" ref="BI17" si="276">EOMONTH(BH17,1)</f>
        <v>48121</v>
      </c>
      <c r="BJ17" s="1">
        <f t="shared" ref="BJ17" si="277">EOMONTH(BI17,1)</f>
        <v>48152</v>
      </c>
      <c r="BK17" s="1">
        <f t="shared" ref="BK17" si="278">EOMONTH(BJ17,1)</f>
        <v>48182</v>
      </c>
      <c r="BL17" s="1">
        <f t="shared" ref="BL17" si="279">EOMONTH(BK17,1)</f>
        <v>48213</v>
      </c>
      <c r="BM17" s="1">
        <f t="shared" ref="BM17" si="280">EOMONTH(BL17,1)</f>
        <v>48244</v>
      </c>
      <c r="BN17" s="1">
        <f t="shared" ref="BN17" si="281">EOMONTH(BM17,1)</f>
        <v>48273</v>
      </c>
      <c r="BO17" s="1">
        <f t="shared" ref="BO17" si="282">EOMONTH(BN17,1)</f>
        <v>48304</v>
      </c>
      <c r="BP17" s="1">
        <f t="shared" ref="BP17" si="283">EOMONTH(BO17,1)</f>
        <v>48334</v>
      </c>
      <c r="BQ17" s="1">
        <f t="shared" ref="BQ17" si="284">EOMONTH(BP17,1)</f>
        <v>48365</v>
      </c>
      <c r="BR17" s="1">
        <f t="shared" ref="BR17" si="285">EOMONTH(BQ17,1)</f>
        <v>48395</v>
      </c>
      <c r="BS17" s="1">
        <f t="shared" ref="BS17" si="286">EOMONTH(BR17,1)</f>
        <v>48426</v>
      </c>
      <c r="BT17" s="1">
        <f t="shared" ref="BT17" si="287">EOMONTH(BS17,1)</f>
        <v>48457</v>
      </c>
      <c r="BU17" s="1">
        <f t="shared" ref="BU17" si="288">EOMONTH(BT17,1)</f>
        <v>48487</v>
      </c>
      <c r="BV17" s="1">
        <f t="shared" ref="BV17" si="289">EOMONTH(BU17,1)</f>
        <v>48518</v>
      </c>
      <c r="BW17" s="1">
        <f t="shared" ref="BW17" si="290">EOMONTH(BV17,1)</f>
        <v>48548</v>
      </c>
      <c r="BX17" s="1">
        <f t="shared" ref="BX17" si="291">EOMONTH(BW17,1)</f>
        <v>48579</v>
      </c>
      <c r="BY17" s="1">
        <f t="shared" ref="BY17" si="292">EOMONTH(BX17,1)</f>
        <v>48610</v>
      </c>
      <c r="BZ17" s="1">
        <f t="shared" ref="BZ17" si="293">EOMONTH(BY17,1)</f>
        <v>48638</v>
      </c>
      <c r="CA17" s="1">
        <f t="shared" ref="CA17" si="294">EOMONTH(BZ17,1)</f>
        <v>48669</v>
      </c>
      <c r="CB17" s="1">
        <f t="shared" ref="CB17" si="295">EOMONTH(CA17,1)</f>
        <v>48699</v>
      </c>
      <c r="CC17" s="1">
        <f t="shared" ref="CC17" si="296">EOMONTH(CB17,1)</f>
        <v>48730</v>
      </c>
      <c r="CD17" s="1">
        <f t="shared" ref="CD17" si="297">EOMONTH(CC17,1)</f>
        <v>48760</v>
      </c>
      <c r="CE17" s="1">
        <f t="shared" ref="CE17" si="298">EOMONTH(CD17,1)</f>
        <v>48791</v>
      </c>
      <c r="CF17" s="1">
        <f t="shared" ref="CF17" si="299">EOMONTH(CE17,1)</f>
        <v>48822</v>
      </c>
      <c r="CG17" s="1">
        <f t="shared" ref="CG17" si="300">EOMONTH(CF17,1)</f>
        <v>48852</v>
      </c>
      <c r="CH17" s="1">
        <f t="shared" ref="CH17" si="301">EOMONTH(CG17,1)</f>
        <v>48883</v>
      </c>
      <c r="CI17" s="1">
        <f t="shared" ref="CI17" si="302">EOMONTH(CH17,1)</f>
        <v>48913</v>
      </c>
      <c r="CJ17" s="1">
        <f t="shared" ref="CJ17" si="303">EOMONTH(CI17,1)</f>
        <v>48944</v>
      </c>
      <c r="CK17" s="1">
        <f t="shared" ref="CK17" si="304">EOMONTH(CJ17,1)</f>
        <v>48975</v>
      </c>
      <c r="CL17" s="1">
        <f t="shared" ref="CL17" si="305">EOMONTH(CK17,1)</f>
        <v>49003</v>
      </c>
      <c r="CM17" s="1">
        <f t="shared" ref="CM17" si="306">EOMONTH(CL17,1)</f>
        <v>49034</v>
      </c>
      <c r="CN17" s="1">
        <f t="shared" ref="CN17" si="307">EOMONTH(CM17,1)</f>
        <v>49064</v>
      </c>
      <c r="CO17" s="1">
        <f t="shared" ref="CO17" si="308">EOMONTH(CN17,1)</f>
        <v>49095</v>
      </c>
      <c r="CP17" s="1">
        <f t="shared" ref="CP17" si="309">EOMONTH(CO17,1)</f>
        <v>49125</v>
      </c>
      <c r="CQ17" s="1">
        <f t="shared" ref="CQ17" si="310">EOMONTH(CP17,1)</f>
        <v>49156</v>
      </c>
      <c r="CR17" s="1">
        <f t="shared" ref="CR17" si="311">EOMONTH(CQ17,1)</f>
        <v>49187</v>
      </c>
      <c r="CS17" s="1">
        <f t="shared" ref="CS17" si="312">EOMONTH(CR17,1)</f>
        <v>49217</v>
      </c>
      <c r="CT17" s="1">
        <f t="shared" ref="CT17" si="313">EOMONTH(CS17,1)</f>
        <v>49248</v>
      </c>
      <c r="CU17" s="1">
        <f t="shared" ref="CU17" si="314">EOMONTH(CT17,1)</f>
        <v>49278</v>
      </c>
      <c r="CV17" s="1">
        <f t="shared" ref="CV17" si="315">EOMONTH(CU17,1)</f>
        <v>49309</v>
      </c>
      <c r="CW17" s="1">
        <f t="shared" ref="CW17" si="316">EOMONTH(CV17,1)</f>
        <v>49340</v>
      </c>
      <c r="CX17" s="1">
        <f t="shared" ref="CX17" si="317">EOMONTH(CW17,1)</f>
        <v>49368</v>
      </c>
      <c r="CY17" s="1">
        <f t="shared" ref="CY17" si="318">EOMONTH(CX17,1)</f>
        <v>49399</v>
      </c>
      <c r="CZ17" s="1">
        <f t="shared" ref="CZ17" si="319">EOMONTH(CY17,1)</f>
        <v>49429</v>
      </c>
      <c r="DA17" s="1">
        <f t="shared" ref="DA17" si="320">EOMONTH(CZ17,1)</f>
        <v>49460</v>
      </c>
      <c r="DB17" s="1">
        <f t="shared" ref="DB17" si="321">EOMONTH(DA17,1)</f>
        <v>49490</v>
      </c>
      <c r="DC17" s="1">
        <f t="shared" ref="DC17" si="322">EOMONTH(DB17,1)</f>
        <v>49521</v>
      </c>
      <c r="DD17" s="1">
        <f t="shared" ref="DD17" si="323">EOMONTH(DC17,1)</f>
        <v>49552</v>
      </c>
      <c r="DE17" s="1">
        <f t="shared" ref="DE17" si="324">EOMONTH(DD17,1)</f>
        <v>49582</v>
      </c>
      <c r="DF17" s="1">
        <f t="shared" ref="DF17" si="325">EOMONTH(DE17,1)</f>
        <v>49613</v>
      </c>
      <c r="DG17" s="1">
        <f t="shared" ref="DG17" si="326">EOMONTH(DF17,1)</f>
        <v>49643</v>
      </c>
      <c r="DH17" s="1">
        <f t="shared" ref="DH17" si="327">EOMONTH(DG17,1)</f>
        <v>49674</v>
      </c>
      <c r="DI17" s="1">
        <f t="shared" ref="DI17" si="328">EOMONTH(DH17,1)</f>
        <v>49705</v>
      </c>
      <c r="DJ17" s="1">
        <f t="shared" ref="DJ17" si="329">EOMONTH(DI17,1)</f>
        <v>49734</v>
      </c>
      <c r="DK17" s="1">
        <f t="shared" ref="DK17" si="330">EOMONTH(DJ17,1)</f>
        <v>49765</v>
      </c>
      <c r="DL17" s="1">
        <f t="shared" ref="DL17" si="331">EOMONTH(DK17,1)</f>
        <v>49795</v>
      </c>
      <c r="DM17" s="1">
        <f t="shared" ref="DM17" si="332">EOMONTH(DL17,1)</f>
        <v>49826</v>
      </c>
      <c r="DN17" s="1">
        <f t="shared" ref="DN17" si="333">EOMONTH(DM17,1)</f>
        <v>49856</v>
      </c>
      <c r="DO17" s="1">
        <f t="shared" ref="DO17" si="334">EOMONTH(DN17,1)</f>
        <v>49887</v>
      </c>
      <c r="DP17" s="1">
        <f t="shared" ref="DP17" si="335">EOMONTH(DO17,1)</f>
        <v>49918</v>
      </c>
      <c r="DQ17" s="1">
        <f t="shared" ref="DQ17" si="336">EOMONTH(DP17,1)</f>
        <v>49948</v>
      </c>
      <c r="DR17" s="1">
        <f t="shared" ref="DR17" si="337">EOMONTH(DQ17,1)</f>
        <v>49979</v>
      </c>
      <c r="DS17" s="1">
        <f t="shared" ref="DS17" si="338">EOMONTH(DR17,1)</f>
        <v>50009</v>
      </c>
      <c r="DT17" s="1">
        <f t="shared" ref="DT17" si="339">EOMONTH(DS17,1)</f>
        <v>50040</v>
      </c>
      <c r="DU17" s="385">
        <f t="shared" ref="DU17" si="340">EOMONTH(DT17,1)</f>
        <v>50071</v>
      </c>
      <c r="DV17" s="685"/>
      <c r="DW17" s="381" t="s">
        <v>125</v>
      </c>
      <c r="DX17" s="163" t="s">
        <v>126</v>
      </c>
      <c r="DY17" s="164" t="s">
        <v>127</v>
      </c>
      <c r="DZ17" s="164" t="s">
        <v>128</v>
      </c>
      <c r="EA17" s="165" t="s">
        <v>129</v>
      </c>
      <c r="EB17" s="148" t="s">
        <v>30</v>
      </c>
      <c r="EC17" s="149" t="s">
        <v>31</v>
      </c>
      <c r="ED17" s="150" t="s">
        <v>32</v>
      </c>
      <c r="EE17" s="138" t="s">
        <v>130</v>
      </c>
      <c r="EF17" s="149" t="s">
        <v>33</v>
      </c>
      <c r="EG17" s="150" t="s">
        <v>34</v>
      </c>
      <c r="EH17" s="138" t="s">
        <v>131</v>
      </c>
      <c r="EJ17" s="148" t="s">
        <v>35</v>
      </c>
      <c r="EK17" s="149" t="s">
        <v>36</v>
      </c>
      <c r="EL17" s="149" t="s">
        <v>37</v>
      </c>
      <c r="EM17" s="149" t="s">
        <v>38</v>
      </c>
      <c r="EN17" s="150" t="s">
        <v>39</v>
      </c>
      <c r="EO17" s="138" t="s">
        <v>40</v>
      </c>
      <c r="EQ17" s="14" t="s">
        <v>132</v>
      </c>
    </row>
    <row r="18" spans="1:147" x14ac:dyDescent="0.3">
      <c r="B18" s="596" t="s">
        <v>133</v>
      </c>
      <c r="C18" s="17"/>
      <c r="D18" s="17"/>
      <c r="E18" s="1246">
        <f>'Rev.'!F52</f>
        <v>0</v>
      </c>
      <c r="F18" s="1247">
        <f>'Rev.'!G52</f>
        <v>90900</v>
      </c>
      <c r="G18" s="1247">
        <f>'Rev.'!H52</f>
        <v>100639.28571428572</v>
      </c>
      <c r="H18" s="1247">
        <f>'Rev.'!I52</f>
        <v>97392.857142857145</v>
      </c>
      <c r="I18" s="1247">
        <f>'Rev.'!J52</f>
        <v>100639.28571428572</v>
      </c>
      <c r="J18" s="1247">
        <f>'Rev.'!K52</f>
        <v>97392.857142857145</v>
      </c>
      <c r="K18" s="1247">
        <f>'Rev.'!L52</f>
        <v>100639.28571428572</v>
      </c>
      <c r="L18" s="1247">
        <f>'Rev.'!M52</f>
        <v>100639.28571428572</v>
      </c>
      <c r="M18" s="1247">
        <f>'Rev.'!N52</f>
        <v>97392.857142857145</v>
      </c>
      <c r="N18" s="1247">
        <f>'Rev.'!O52</f>
        <v>100639.28571428572</v>
      </c>
      <c r="O18" s="1247">
        <f>'Rev.'!P52</f>
        <v>97392.857142857145</v>
      </c>
      <c r="P18" s="1247">
        <f>'Rev.'!Q52</f>
        <v>100639.28571428572</v>
      </c>
      <c r="Q18" s="1247">
        <f>'Rev.'!R52</f>
        <v>100639.28571428572</v>
      </c>
      <c r="R18" s="1247">
        <f>'Rev.'!S52</f>
        <v>98853.750000000015</v>
      </c>
      <c r="S18" s="1247">
        <f>'Rev.'!T52</f>
        <v>105671.25000000001</v>
      </c>
      <c r="T18" s="1247">
        <f>'Rev.'!U52</f>
        <v>102262.5</v>
      </c>
      <c r="U18" s="1247">
        <f>'Rev.'!V52</f>
        <v>105671.25000000001</v>
      </c>
      <c r="V18" s="1247">
        <f>'Rev.'!W52</f>
        <v>102262.5</v>
      </c>
      <c r="W18" s="1247">
        <f>'Rev.'!X52</f>
        <v>105671.25000000001</v>
      </c>
      <c r="X18" s="1247">
        <f>'Rev.'!Y52</f>
        <v>105671.25000000001</v>
      </c>
      <c r="Y18" s="1247">
        <f>'Rev.'!Z52</f>
        <v>102262.5</v>
      </c>
      <c r="Z18" s="1247">
        <f>'Rev.'!AA52</f>
        <v>105671.25000000001</v>
      </c>
      <c r="AA18" s="1247">
        <f>'Rev.'!AB52</f>
        <v>102262.5</v>
      </c>
      <c r="AB18" s="1247">
        <f>'Rev.'!AC52</f>
        <v>105671.25000000001</v>
      </c>
      <c r="AC18" s="1247">
        <f>'Rev.'!AD52</f>
        <v>105671.25000000001</v>
      </c>
      <c r="AD18" s="1247">
        <f>'Rev.'!AE52</f>
        <v>100217.25000000001</v>
      </c>
      <c r="AE18" s="1247">
        <f>'Rev.'!AF52</f>
        <v>110954.81250000003</v>
      </c>
      <c r="AF18" s="1247">
        <f>'Rev.'!AG52</f>
        <v>107375.62500000001</v>
      </c>
      <c r="AG18" s="1247">
        <f>'Rev.'!AH52</f>
        <v>110954.81250000003</v>
      </c>
      <c r="AH18" s="1247">
        <f>'Rev.'!AI52</f>
        <v>107375.62500000001</v>
      </c>
      <c r="AI18" s="1247">
        <f>'Rev.'!AJ52</f>
        <v>110954.81250000003</v>
      </c>
      <c r="AJ18" s="1247">
        <f>'Rev.'!AK52</f>
        <v>110954.81250000003</v>
      </c>
      <c r="AK18" s="1247">
        <f>'Rev.'!AL52</f>
        <v>107375.62500000001</v>
      </c>
      <c r="AL18" s="1247">
        <f>'Rev.'!AM52</f>
        <v>110954.81250000003</v>
      </c>
      <c r="AM18" s="1247">
        <f>'Rev.'!AN52</f>
        <v>107375.62500000001</v>
      </c>
      <c r="AN18" s="1247">
        <f>'Rev.'!AO52</f>
        <v>110954.81250000003</v>
      </c>
      <c r="AO18" s="1247">
        <f>'Rev.'!AP52</f>
        <v>110954.81250000003</v>
      </c>
      <c r="AP18" s="1247">
        <f>'Rev.'!AQ52</f>
        <v>105228.11250000002</v>
      </c>
      <c r="AQ18" s="1247">
        <f>'Rev.'!AR52</f>
        <v>116502.55312500003</v>
      </c>
      <c r="AR18" s="1247">
        <f>'Rev.'!AS52</f>
        <v>112744.40625000003</v>
      </c>
      <c r="AS18" s="1247">
        <f>'Rev.'!AT52</f>
        <v>116502.55312500003</v>
      </c>
      <c r="AT18" s="1247">
        <f>'Rev.'!AU52</f>
        <v>112744.40625000003</v>
      </c>
      <c r="AU18" s="1247">
        <f>'Rev.'!AV52</f>
        <v>116502.55312500003</v>
      </c>
      <c r="AV18" s="1247">
        <f>'Rev.'!AW52</f>
        <v>116502.55312500003</v>
      </c>
      <c r="AW18" s="1247">
        <f>'Rev.'!AX52</f>
        <v>112744.40625000003</v>
      </c>
      <c r="AX18" s="1247">
        <f>'Rev.'!AY52</f>
        <v>116502.55312500003</v>
      </c>
      <c r="AY18" s="1247">
        <f>'Rev.'!AZ52</f>
        <v>112744.40625000003</v>
      </c>
      <c r="AZ18" s="1247">
        <f>'Rev.'!BA52</f>
        <v>116502.55312500003</v>
      </c>
      <c r="BA18" s="1247">
        <f>'Rev.'!BB52</f>
        <v>116502.55312500003</v>
      </c>
      <c r="BB18" s="1247">
        <f>'Rev.'!BC52</f>
        <v>110489.51812500002</v>
      </c>
      <c r="BC18" s="1247">
        <f>'Rev.'!BD52</f>
        <v>122327.68078125005</v>
      </c>
      <c r="BD18" s="1247">
        <f>'Rev.'!BE52</f>
        <v>118381.62656250002</v>
      </c>
      <c r="BE18" s="1247">
        <f>'Rev.'!BF52</f>
        <v>122327.68078125005</v>
      </c>
      <c r="BF18" s="1247">
        <f>'Rev.'!BG52</f>
        <v>118381.62656250002</v>
      </c>
      <c r="BG18" s="1247">
        <f>'Rev.'!BH52</f>
        <v>122327.68078125005</v>
      </c>
      <c r="BH18" s="1247">
        <f>'Rev.'!BI52</f>
        <v>122327.68078125005</v>
      </c>
      <c r="BI18" s="1247">
        <f>'Rev.'!BJ52</f>
        <v>118381.62656250002</v>
      </c>
      <c r="BJ18" s="1247">
        <f>'Rev.'!BK52</f>
        <v>122327.68078125005</v>
      </c>
      <c r="BK18" s="1247">
        <f>'Rev.'!BL52</f>
        <v>118381.62656250002</v>
      </c>
      <c r="BL18" s="1247">
        <f>'Rev.'!BM52</f>
        <v>122327.68078125005</v>
      </c>
      <c r="BM18" s="1247">
        <f>'Rev.'!BN52</f>
        <v>122327.68078125005</v>
      </c>
      <c r="BN18" s="1247">
        <f>'Rev.'!BO52</f>
        <v>120157.35096093753</v>
      </c>
      <c r="BO18" s="1247">
        <f>'Rev.'!BP52</f>
        <v>128444.06482031255</v>
      </c>
      <c r="BP18" s="1247">
        <f>'Rev.'!BQ52</f>
        <v>124300.70789062502</v>
      </c>
      <c r="BQ18" s="1247">
        <f>'Rev.'!BR52</f>
        <v>128444.06482031255</v>
      </c>
      <c r="BR18" s="1247">
        <f>'Rev.'!BS52</f>
        <v>124300.70789062502</v>
      </c>
      <c r="BS18" s="1247">
        <f>'Rev.'!BT52</f>
        <v>128444.06482031255</v>
      </c>
      <c r="BT18" s="1247">
        <f>'Rev.'!BU52</f>
        <v>128444.06482031255</v>
      </c>
      <c r="BU18" s="1247">
        <f>'Rev.'!BV52</f>
        <v>124300.70789062502</v>
      </c>
      <c r="BV18" s="1247">
        <f>'Rev.'!BW52</f>
        <v>128444.06482031255</v>
      </c>
      <c r="BW18" s="1247">
        <f>'Rev.'!BX52</f>
        <v>124300.70789062502</v>
      </c>
      <c r="BX18" s="1247">
        <f>'Rev.'!BY52</f>
        <v>128444.06482031255</v>
      </c>
      <c r="BY18" s="1247">
        <f>'Rev.'!BZ52</f>
        <v>128444.06482031255</v>
      </c>
      <c r="BZ18" s="1247">
        <f>'Rev.'!CA52</f>
        <v>121814.69373281254</v>
      </c>
      <c r="CA18" s="1247">
        <f>'Rev.'!CB52</f>
        <v>134866.26806132818</v>
      </c>
      <c r="CB18" s="1247">
        <f>'Rev.'!CC52</f>
        <v>130515.74328515629</v>
      </c>
      <c r="CC18" s="1247">
        <f>'Rev.'!CD52</f>
        <v>134866.26806132818</v>
      </c>
      <c r="CD18" s="1247">
        <f>'Rev.'!CE52</f>
        <v>130515.74328515629</v>
      </c>
      <c r="CE18" s="1247">
        <f>'Rev.'!CF52</f>
        <v>134866.26806132818</v>
      </c>
      <c r="CF18" s="1247">
        <f>'Rev.'!CG52</f>
        <v>134866.26806132818</v>
      </c>
      <c r="CG18" s="1247">
        <f>'Rev.'!CH52</f>
        <v>130515.74328515629</v>
      </c>
      <c r="CH18" s="1247">
        <f>'Rev.'!CI52</f>
        <v>134866.26806132818</v>
      </c>
      <c r="CI18" s="1247">
        <f>'Rev.'!CJ52</f>
        <v>130515.74328515629</v>
      </c>
      <c r="CJ18" s="1247">
        <f>'Rev.'!CK52</f>
        <v>134866.26806132818</v>
      </c>
      <c r="CK18" s="1247">
        <f>'Rev.'!CL52</f>
        <v>134866.26806132818</v>
      </c>
      <c r="CL18" s="1247">
        <f>'Rev.'!CM52</f>
        <v>127905.42841945316</v>
      </c>
      <c r="CM18" s="1247">
        <f>'Rev.'!CN52</f>
        <v>141609.58146439461</v>
      </c>
      <c r="CN18" s="1247">
        <f>'Rev.'!CO52</f>
        <v>137041.5304494141</v>
      </c>
      <c r="CO18" s="1247">
        <f>'Rev.'!CP52</f>
        <v>141609.58146439461</v>
      </c>
      <c r="CP18" s="1247">
        <f>'Rev.'!CQ52</f>
        <v>137041.5304494141</v>
      </c>
      <c r="CQ18" s="1247">
        <f>'Rev.'!CR52</f>
        <v>141609.58146439461</v>
      </c>
      <c r="CR18" s="1247">
        <f>'Rev.'!CS52</f>
        <v>141609.58146439461</v>
      </c>
      <c r="CS18" s="1247">
        <f>'Rev.'!CT52</f>
        <v>137041.5304494141</v>
      </c>
      <c r="CT18" s="1247">
        <f>'Rev.'!CU52</f>
        <v>141609.58146439461</v>
      </c>
      <c r="CU18" s="1247">
        <f>'Rev.'!CV52</f>
        <v>137041.5304494141</v>
      </c>
      <c r="CV18" s="1247">
        <f>'Rev.'!CW52</f>
        <v>141609.58146439461</v>
      </c>
      <c r="CW18" s="1247">
        <f>'Rev.'!CX52</f>
        <v>141609.58146439461</v>
      </c>
      <c r="CX18" s="1247">
        <f>'Rev.'!CY52</f>
        <v>134300.69984042583</v>
      </c>
      <c r="CY18" s="1247">
        <f>'Rev.'!CZ52</f>
        <v>148690.06053761434</v>
      </c>
      <c r="CZ18" s="1247">
        <f>'Rev.'!DA52</f>
        <v>143893.60697188482</v>
      </c>
      <c r="DA18" s="1247">
        <f>'Rev.'!DB52</f>
        <v>148690.06053761434</v>
      </c>
      <c r="DB18" s="1247">
        <f>'Rev.'!DC52</f>
        <v>143893.60697188482</v>
      </c>
      <c r="DC18" s="1247">
        <f>'Rev.'!DD52</f>
        <v>148690.06053761434</v>
      </c>
      <c r="DD18" s="1247">
        <f>'Rev.'!DE52</f>
        <v>148690.06053761434</v>
      </c>
      <c r="DE18" s="1247">
        <f>'Rev.'!DF52</f>
        <v>143893.60697188482</v>
      </c>
      <c r="DF18" s="1247">
        <f>'Rev.'!DG52</f>
        <v>148690.06053761434</v>
      </c>
      <c r="DG18" s="1247">
        <f>'Rev.'!DH52</f>
        <v>143893.60697188482</v>
      </c>
      <c r="DH18" s="1247">
        <f>'Rev.'!DI52</f>
        <v>148690.06053761434</v>
      </c>
      <c r="DI18" s="1247">
        <f>'Rev.'!DJ52</f>
        <v>148690.06053761434</v>
      </c>
      <c r="DJ18" s="1247">
        <f>'Rev.'!DK52</f>
        <v>146052.01107646312</v>
      </c>
      <c r="DK18" s="1247">
        <f>'Rev.'!DL52</f>
        <v>156124.56356449507</v>
      </c>
      <c r="DL18" s="1247">
        <f>'Rev.'!DM52</f>
        <v>151088.28732047908</v>
      </c>
      <c r="DM18" s="1247">
        <f>'Rev.'!DN52</f>
        <v>156124.56356449507</v>
      </c>
      <c r="DN18" s="1247">
        <f>'Rev.'!DO52</f>
        <v>151088.28732047908</v>
      </c>
      <c r="DO18" s="1247">
        <f>'Rev.'!DP52</f>
        <v>156124.56356449507</v>
      </c>
      <c r="DP18" s="1247">
        <f>'Rev.'!DQ52</f>
        <v>156124.56356449507</v>
      </c>
      <c r="DQ18" s="1247">
        <f>'Rev.'!DR52</f>
        <v>151088.28732047908</v>
      </c>
      <c r="DR18" s="1247">
        <f>'Rev.'!DS52</f>
        <v>156124.56356449507</v>
      </c>
      <c r="DS18" s="1247">
        <f>'Rev.'!DT52</f>
        <v>151088.28732047908</v>
      </c>
      <c r="DT18" s="1247">
        <f>'Rev.'!DU52</f>
        <v>156124.56356449507</v>
      </c>
      <c r="DU18" s="1248">
        <f>'Rev.'!DV52</f>
        <v>156124.56356449507</v>
      </c>
      <c r="DV18" s="1248"/>
      <c r="DW18" s="1248">
        <f>SUM(C18:E18)</f>
        <v>0</v>
      </c>
      <c r="DX18" s="1246">
        <f>SUM(F18:H18)</f>
        <v>288932.1428571429</v>
      </c>
      <c r="DY18" s="1247">
        <f>SUM(I18:K18)</f>
        <v>298671.42857142858</v>
      </c>
      <c r="DZ18" s="1247">
        <f>SUM(L18:N18)</f>
        <v>298671.42857142858</v>
      </c>
      <c r="EA18" s="1248">
        <f>SUM(O18:Q18)</f>
        <v>298671.42857142858</v>
      </c>
      <c r="EB18" s="1246">
        <f>SUM(C18:Q18)</f>
        <v>1184946.4285714286</v>
      </c>
      <c r="EC18" s="1247">
        <f>SUM(R18:AC18)</f>
        <v>1247602.5</v>
      </c>
      <c r="ED18" s="1248">
        <f>SUM(AD18:AO18)</f>
        <v>1306403.4375000002</v>
      </c>
      <c r="EE18" s="1249">
        <f>SUM(EB18:ED18)</f>
        <v>3738952.3660714291</v>
      </c>
      <c r="EF18" s="1247">
        <f>SUM(AP18:BA18)</f>
        <v>1371723.6093750005</v>
      </c>
      <c r="EG18" s="1248">
        <f>SUM(BB18:BM18)</f>
        <v>1440309.7898437507</v>
      </c>
      <c r="EH18" s="1249">
        <f>SUM(EE18:EG18)</f>
        <v>6550985.7652901802</v>
      </c>
      <c r="EI18" s="91"/>
      <c r="EJ18" s="1246">
        <f>SUM(BN18:BY18)</f>
        <v>1516468.6362656252</v>
      </c>
      <c r="EK18" s="1247">
        <f>SUM(BZ18:CK18)</f>
        <v>1587941.5433027351</v>
      </c>
      <c r="EL18" s="1247">
        <f>SUM(CL18:CW18)</f>
        <v>1667338.6204678721</v>
      </c>
      <c r="EM18" s="1247">
        <f>SUM(CX18:DI18)</f>
        <v>1750705.5514912659</v>
      </c>
      <c r="EN18" s="1248">
        <f>SUM(DJ18:DU18)</f>
        <v>1843277.1053098449</v>
      </c>
      <c r="EO18" s="1249">
        <f>SUM(EH18,EJ18:EN18)</f>
        <v>14916717.222127523</v>
      </c>
      <c r="EQ18" s="179">
        <f>SUM(E18:DU18)-EO18</f>
        <v>0</v>
      </c>
    </row>
    <row r="19" spans="1:147" x14ac:dyDescent="0.3">
      <c r="B19" s="596" t="s">
        <v>134</v>
      </c>
      <c r="C19" s="17"/>
      <c r="D19" s="17"/>
      <c r="E19" s="1246">
        <f>'Rev.'!F53</f>
        <v>75674.25</v>
      </c>
      <c r="F19" s="1247">
        <f>'Rev.'!G53</f>
        <v>0</v>
      </c>
      <c r="G19" s="1247">
        <f>'Rev.'!H53</f>
        <v>0</v>
      </c>
      <c r="H19" s="1247">
        <f>'Rev.'!I53</f>
        <v>0</v>
      </c>
      <c r="I19" s="1247">
        <f>'Rev.'!J53</f>
        <v>0</v>
      </c>
      <c r="J19" s="1247">
        <f>'Rev.'!K53</f>
        <v>0</v>
      </c>
      <c r="K19" s="1247">
        <f>'Rev.'!L53</f>
        <v>0</v>
      </c>
      <c r="L19" s="1247">
        <f>'Rev.'!M53</f>
        <v>0</v>
      </c>
      <c r="M19" s="1247">
        <f>'Rev.'!N53</f>
        <v>0</v>
      </c>
      <c r="N19" s="1247">
        <f>'Rev.'!O53</f>
        <v>0</v>
      </c>
      <c r="O19" s="1247">
        <f>'Rev.'!P53</f>
        <v>0</v>
      </c>
      <c r="P19" s="1247">
        <f>'Rev.'!Q53</f>
        <v>0</v>
      </c>
      <c r="Q19" s="1247">
        <f>'Rev.'!R53</f>
        <v>0</v>
      </c>
      <c r="R19" s="1247">
        <f>'Rev.'!S53</f>
        <v>0</v>
      </c>
      <c r="S19" s="1247">
        <f>'Rev.'!T53</f>
        <v>0</v>
      </c>
      <c r="T19" s="1247">
        <f>'Rev.'!U53</f>
        <v>0</v>
      </c>
      <c r="U19" s="1247">
        <f>'Rev.'!V53</f>
        <v>0</v>
      </c>
      <c r="V19" s="1247">
        <f>'Rev.'!W53</f>
        <v>0</v>
      </c>
      <c r="W19" s="1247">
        <f>'Rev.'!X53</f>
        <v>0</v>
      </c>
      <c r="X19" s="1247">
        <f>'Rev.'!Y53</f>
        <v>0</v>
      </c>
      <c r="Y19" s="1247">
        <f>'Rev.'!Z53</f>
        <v>0</v>
      </c>
      <c r="Z19" s="1247">
        <f>'Rev.'!AA53</f>
        <v>0</v>
      </c>
      <c r="AA19" s="1247">
        <f>'Rev.'!AB53</f>
        <v>0</v>
      </c>
      <c r="AB19" s="1247">
        <f>'Rev.'!AC53</f>
        <v>0</v>
      </c>
      <c r="AC19" s="1247">
        <f>'Rev.'!AD53</f>
        <v>0</v>
      </c>
      <c r="AD19" s="1247">
        <f>'Rev.'!AE53</f>
        <v>0</v>
      </c>
      <c r="AE19" s="1247">
        <f>'Rev.'!AF53</f>
        <v>0</v>
      </c>
      <c r="AF19" s="1247">
        <f>'Rev.'!AG53</f>
        <v>0</v>
      </c>
      <c r="AG19" s="1247">
        <f>'Rev.'!AH53</f>
        <v>0</v>
      </c>
      <c r="AH19" s="1247">
        <f>'Rev.'!AI53</f>
        <v>0</v>
      </c>
      <c r="AI19" s="1247">
        <f>'Rev.'!AJ53</f>
        <v>0</v>
      </c>
      <c r="AJ19" s="1247">
        <f>'Rev.'!AK53</f>
        <v>0</v>
      </c>
      <c r="AK19" s="1247">
        <f>'Rev.'!AL53</f>
        <v>0</v>
      </c>
      <c r="AL19" s="1247">
        <f>'Rev.'!AM53</f>
        <v>0</v>
      </c>
      <c r="AM19" s="1247">
        <f>'Rev.'!AN53</f>
        <v>0</v>
      </c>
      <c r="AN19" s="1247">
        <f>'Rev.'!AO53</f>
        <v>0</v>
      </c>
      <c r="AO19" s="1247">
        <f>'Rev.'!AP53</f>
        <v>0</v>
      </c>
      <c r="AP19" s="1247">
        <f>'Rev.'!AQ53</f>
        <v>0</v>
      </c>
      <c r="AQ19" s="1247">
        <f>'Rev.'!AR53</f>
        <v>0</v>
      </c>
      <c r="AR19" s="1247">
        <f>'Rev.'!AS53</f>
        <v>0</v>
      </c>
      <c r="AS19" s="1247">
        <f>'Rev.'!AT53</f>
        <v>0</v>
      </c>
      <c r="AT19" s="1247">
        <f>'Rev.'!AU53</f>
        <v>0</v>
      </c>
      <c r="AU19" s="1247">
        <f>'Rev.'!AV53</f>
        <v>0</v>
      </c>
      <c r="AV19" s="1247">
        <f>'Rev.'!AW53</f>
        <v>0</v>
      </c>
      <c r="AW19" s="1247">
        <f>'Rev.'!AX53</f>
        <v>0</v>
      </c>
      <c r="AX19" s="1247">
        <f>'Rev.'!AY53</f>
        <v>0</v>
      </c>
      <c r="AY19" s="1247">
        <f>'Rev.'!AZ53</f>
        <v>0</v>
      </c>
      <c r="AZ19" s="1247">
        <f>'Rev.'!BA53</f>
        <v>0</v>
      </c>
      <c r="BA19" s="1247">
        <f>'Rev.'!BB53</f>
        <v>0</v>
      </c>
      <c r="BB19" s="1247">
        <f>'Rev.'!BC53</f>
        <v>0</v>
      </c>
      <c r="BC19" s="1247">
        <f>'Rev.'!BD53</f>
        <v>0</v>
      </c>
      <c r="BD19" s="1247">
        <f>'Rev.'!BE53</f>
        <v>0</v>
      </c>
      <c r="BE19" s="1247">
        <f>'Rev.'!BF53</f>
        <v>0</v>
      </c>
      <c r="BF19" s="1247">
        <f>'Rev.'!BG53</f>
        <v>0</v>
      </c>
      <c r="BG19" s="1247">
        <f>'Rev.'!BH53</f>
        <v>0</v>
      </c>
      <c r="BH19" s="1247">
        <f>'Rev.'!BI53</f>
        <v>0</v>
      </c>
      <c r="BI19" s="1247">
        <f>'Rev.'!BJ53</f>
        <v>0</v>
      </c>
      <c r="BJ19" s="1247">
        <f>'Rev.'!BK53</f>
        <v>0</v>
      </c>
      <c r="BK19" s="1247">
        <f>'Rev.'!BL53</f>
        <v>0</v>
      </c>
      <c r="BL19" s="1247">
        <f>'Rev.'!BM53</f>
        <v>0</v>
      </c>
      <c r="BM19" s="1247">
        <f>'Rev.'!BN53</f>
        <v>0</v>
      </c>
      <c r="BN19" s="1247">
        <f>'Rev.'!BO53</f>
        <v>0</v>
      </c>
      <c r="BO19" s="1247">
        <f>'Rev.'!BP53</f>
        <v>0</v>
      </c>
      <c r="BP19" s="1247">
        <f>'Rev.'!BQ53</f>
        <v>0</v>
      </c>
      <c r="BQ19" s="1247">
        <f>'Rev.'!BR53</f>
        <v>0</v>
      </c>
      <c r="BR19" s="1247">
        <f>'Rev.'!BS53</f>
        <v>0</v>
      </c>
      <c r="BS19" s="1247">
        <f>'Rev.'!BT53</f>
        <v>0</v>
      </c>
      <c r="BT19" s="1247">
        <f>'Rev.'!BU53</f>
        <v>0</v>
      </c>
      <c r="BU19" s="1247">
        <f>'Rev.'!BV53</f>
        <v>0</v>
      </c>
      <c r="BV19" s="1247">
        <f>'Rev.'!BW53</f>
        <v>0</v>
      </c>
      <c r="BW19" s="1247">
        <f>'Rev.'!BX53</f>
        <v>0</v>
      </c>
      <c r="BX19" s="1247">
        <f>'Rev.'!BY53</f>
        <v>0</v>
      </c>
      <c r="BY19" s="1247">
        <f>'Rev.'!BZ53</f>
        <v>0</v>
      </c>
      <c r="BZ19" s="1247">
        <f>'Rev.'!CA53</f>
        <v>0</v>
      </c>
      <c r="CA19" s="1247">
        <f>'Rev.'!CB53</f>
        <v>0</v>
      </c>
      <c r="CB19" s="1247">
        <f>'Rev.'!CC53</f>
        <v>0</v>
      </c>
      <c r="CC19" s="1247">
        <f>'Rev.'!CD53</f>
        <v>0</v>
      </c>
      <c r="CD19" s="1247">
        <f>'Rev.'!CE53</f>
        <v>0</v>
      </c>
      <c r="CE19" s="1247">
        <f>'Rev.'!CF53</f>
        <v>0</v>
      </c>
      <c r="CF19" s="1247">
        <f>'Rev.'!CG53</f>
        <v>0</v>
      </c>
      <c r="CG19" s="1247">
        <f>'Rev.'!CH53</f>
        <v>0</v>
      </c>
      <c r="CH19" s="1247">
        <f>'Rev.'!CI53</f>
        <v>0</v>
      </c>
      <c r="CI19" s="1247">
        <f>'Rev.'!CJ53</f>
        <v>0</v>
      </c>
      <c r="CJ19" s="1247">
        <f>'Rev.'!CK53</f>
        <v>0</v>
      </c>
      <c r="CK19" s="1247">
        <f>'Rev.'!CL53</f>
        <v>0</v>
      </c>
      <c r="CL19" s="1247">
        <f>'Rev.'!CM53</f>
        <v>0</v>
      </c>
      <c r="CM19" s="1247">
        <f>'Rev.'!CN53</f>
        <v>0</v>
      </c>
      <c r="CN19" s="1247">
        <f>'Rev.'!CO53</f>
        <v>0</v>
      </c>
      <c r="CO19" s="1247">
        <f>'Rev.'!CP53</f>
        <v>0</v>
      </c>
      <c r="CP19" s="1247">
        <f>'Rev.'!CQ53</f>
        <v>0</v>
      </c>
      <c r="CQ19" s="1247">
        <f>'Rev.'!CR53</f>
        <v>0</v>
      </c>
      <c r="CR19" s="1247">
        <f>'Rev.'!CS53</f>
        <v>0</v>
      </c>
      <c r="CS19" s="1247">
        <f>'Rev.'!CT53</f>
        <v>0</v>
      </c>
      <c r="CT19" s="1247">
        <f>'Rev.'!CU53</f>
        <v>0</v>
      </c>
      <c r="CU19" s="1247">
        <f>'Rev.'!CV53</f>
        <v>0</v>
      </c>
      <c r="CV19" s="1247">
        <f>'Rev.'!CW53</f>
        <v>0</v>
      </c>
      <c r="CW19" s="1247">
        <f>'Rev.'!CX53</f>
        <v>0</v>
      </c>
      <c r="CX19" s="1247">
        <f>'Rev.'!CY53</f>
        <v>0</v>
      </c>
      <c r="CY19" s="1247">
        <f>'Rev.'!CZ53</f>
        <v>0</v>
      </c>
      <c r="CZ19" s="1247">
        <f>'Rev.'!DA53</f>
        <v>0</v>
      </c>
      <c r="DA19" s="1247">
        <f>'Rev.'!DB53</f>
        <v>0</v>
      </c>
      <c r="DB19" s="1247">
        <f>'Rev.'!DC53</f>
        <v>0</v>
      </c>
      <c r="DC19" s="1247">
        <f>'Rev.'!DD53</f>
        <v>0</v>
      </c>
      <c r="DD19" s="1247">
        <f>'Rev.'!DE53</f>
        <v>0</v>
      </c>
      <c r="DE19" s="1247">
        <f>'Rev.'!DF53</f>
        <v>0</v>
      </c>
      <c r="DF19" s="1247">
        <f>'Rev.'!DG53</f>
        <v>0</v>
      </c>
      <c r="DG19" s="1247">
        <f>'Rev.'!DH53</f>
        <v>0</v>
      </c>
      <c r="DH19" s="1247">
        <f>'Rev.'!DI53</f>
        <v>0</v>
      </c>
      <c r="DI19" s="1247">
        <f>'Rev.'!DJ53</f>
        <v>0</v>
      </c>
      <c r="DJ19" s="1247">
        <f>'Rev.'!DK53</f>
        <v>0</v>
      </c>
      <c r="DK19" s="1247">
        <f>'Rev.'!DL53</f>
        <v>0</v>
      </c>
      <c r="DL19" s="1247">
        <f>'Rev.'!DM53</f>
        <v>0</v>
      </c>
      <c r="DM19" s="1247">
        <f>'Rev.'!DN53</f>
        <v>0</v>
      </c>
      <c r="DN19" s="1247">
        <f>'Rev.'!DO53</f>
        <v>0</v>
      </c>
      <c r="DO19" s="1247">
        <f>'Rev.'!DP53</f>
        <v>0</v>
      </c>
      <c r="DP19" s="1247">
        <f>'Rev.'!DQ53</f>
        <v>0</v>
      </c>
      <c r="DQ19" s="1247">
        <f>'Rev.'!DR53</f>
        <v>0</v>
      </c>
      <c r="DR19" s="1247">
        <f>'Rev.'!DS53</f>
        <v>0</v>
      </c>
      <c r="DS19" s="1247">
        <f>'Rev.'!DT53</f>
        <v>0</v>
      </c>
      <c r="DT19" s="1247">
        <f>'Rev.'!DU53</f>
        <v>0</v>
      </c>
      <c r="DU19" s="1248">
        <f>'Rev.'!DV53</f>
        <v>0</v>
      </c>
      <c r="DV19" s="1248"/>
      <c r="DW19" s="1248">
        <f t="shared" ref="DW19:DW22" si="341">SUM(C19:E19)</f>
        <v>75674.25</v>
      </c>
      <c r="DX19" s="1246">
        <f>SUM(F19:H19)</f>
        <v>0</v>
      </c>
      <c r="DY19" s="1247">
        <f>SUM(I19:K19)</f>
        <v>0</v>
      </c>
      <c r="DZ19" s="1247">
        <f>SUM(L19:N19)</f>
        <v>0</v>
      </c>
      <c r="EA19" s="1248">
        <f>SUM(O19:Q19)</f>
        <v>0</v>
      </c>
      <c r="EB19" s="1246">
        <f t="shared" ref="EB19:EB22" si="342">SUM(C19:Q19)</f>
        <v>75674.25</v>
      </c>
      <c r="EC19" s="1247">
        <f>SUM(R19:AC19)</f>
        <v>0</v>
      </c>
      <c r="ED19" s="1248">
        <f>SUM(AD19:AO19)</f>
        <v>0</v>
      </c>
      <c r="EE19" s="1249">
        <f t="shared" ref="EE19:EE22" si="343">SUM(EB19:ED19)</f>
        <v>75674.25</v>
      </c>
      <c r="EF19" s="1247">
        <f t="shared" ref="EF19:EF22" si="344">SUM(AP19:BA19)</f>
        <v>0</v>
      </c>
      <c r="EG19" s="1248">
        <f t="shared" ref="EG19:EG22" si="345">SUM(BB19:BM19)</f>
        <v>0</v>
      </c>
      <c r="EH19" s="1249">
        <f t="shared" ref="EH19:EH22" si="346">SUM(EE19:EG19)</f>
        <v>75674.25</v>
      </c>
      <c r="EI19" s="91"/>
      <c r="EJ19" s="1246">
        <f t="shared" ref="EJ19:EJ66" si="347">SUM(BN19:BY19)</f>
        <v>0</v>
      </c>
      <c r="EK19" s="1247">
        <f t="shared" ref="EK19:EK66" si="348">SUM(BZ19:CK19)</f>
        <v>0</v>
      </c>
      <c r="EL19" s="1247">
        <f t="shared" ref="EL19:EL66" si="349">SUM(CL19:CW19)</f>
        <v>0</v>
      </c>
      <c r="EM19" s="1247">
        <f t="shared" ref="EM19:EM66" si="350">SUM(CX19:DI19)</f>
        <v>0</v>
      </c>
      <c r="EN19" s="1248">
        <f t="shared" ref="EN19:EN66" si="351">SUM(DJ19:DU19)</f>
        <v>0</v>
      </c>
      <c r="EO19" s="1249">
        <f t="shared" ref="EO19:EO66" si="352">SUM(EH19,EJ19:EN19)</f>
        <v>75674.25</v>
      </c>
      <c r="EQ19" s="14">
        <f t="shared" ref="EQ19:EQ66" si="353">SUM(E19:DU19)-EO19</f>
        <v>0</v>
      </c>
    </row>
    <row r="20" spans="1:147" x14ac:dyDescent="0.3">
      <c r="B20" s="596" t="s">
        <v>135</v>
      </c>
      <c r="C20" s="17"/>
      <c r="D20" s="17"/>
      <c r="E20" s="1246">
        <f>'Rev.'!F54</f>
        <v>0</v>
      </c>
      <c r="F20" s="1247">
        <f>'Rev.'!G54</f>
        <v>0</v>
      </c>
      <c r="G20" s="1247">
        <f>'Rev.'!H54</f>
        <v>0</v>
      </c>
      <c r="H20" s="1247">
        <f>'Rev.'!I54</f>
        <v>0</v>
      </c>
      <c r="I20" s="1247">
        <f>'Rev.'!J54</f>
        <v>0</v>
      </c>
      <c r="J20" s="1247">
        <f>'Rev.'!K54</f>
        <v>0</v>
      </c>
      <c r="K20" s="1247">
        <f>'Rev.'!L54</f>
        <v>0</v>
      </c>
      <c r="L20" s="1247">
        <f>'Rev.'!M54</f>
        <v>0</v>
      </c>
      <c r="M20" s="1247">
        <f>'Rev.'!N54</f>
        <v>0</v>
      </c>
      <c r="N20" s="1247">
        <f>'Rev.'!O54</f>
        <v>0</v>
      </c>
      <c r="O20" s="1247">
        <f>'Rev.'!P54</f>
        <v>0</v>
      </c>
      <c r="P20" s="1247">
        <f>'Rev.'!Q54</f>
        <v>0</v>
      </c>
      <c r="Q20" s="1247">
        <f>'Rev.'!R54</f>
        <v>0</v>
      </c>
      <c r="R20" s="1247">
        <f>'Rev.'!S54</f>
        <v>0</v>
      </c>
      <c r="S20" s="1247">
        <f>'Rev.'!T54</f>
        <v>0</v>
      </c>
      <c r="T20" s="1247">
        <f>'Rev.'!U54</f>
        <v>0</v>
      </c>
      <c r="U20" s="1247">
        <f>'Rev.'!V54</f>
        <v>0</v>
      </c>
      <c r="V20" s="1247">
        <f>'Rev.'!W54</f>
        <v>0</v>
      </c>
      <c r="W20" s="1247">
        <f>'Rev.'!X54</f>
        <v>0</v>
      </c>
      <c r="X20" s="1247">
        <f>'Rev.'!Y54</f>
        <v>0</v>
      </c>
      <c r="Y20" s="1247">
        <f>'Rev.'!Z54</f>
        <v>0</v>
      </c>
      <c r="Z20" s="1247">
        <f>'Rev.'!AA54</f>
        <v>0</v>
      </c>
      <c r="AA20" s="1247">
        <f>'Rev.'!AB54</f>
        <v>0</v>
      </c>
      <c r="AB20" s="1247">
        <f>'Rev.'!AC54</f>
        <v>0</v>
      </c>
      <c r="AC20" s="1247">
        <f>'Rev.'!AD54</f>
        <v>0</v>
      </c>
      <c r="AD20" s="1247">
        <f>'Rev.'!AE54</f>
        <v>0</v>
      </c>
      <c r="AE20" s="1247">
        <f>'Rev.'!AF54</f>
        <v>0</v>
      </c>
      <c r="AF20" s="1247">
        <f>'Rev.'!AG54</f>
        <v>0</v>
      </c>
      <c r="AG20" s="1247">
        <f>'Rev.'!AH54</f>
        <v>0</v>
      </c>
      <c r="AH20" s="1247">
        <f>'Rev.'!AI54</f>
        <v>0</v>
      </c>
      <c r="AI20" s="1247">
        <f>'Rev.'!AJ54</f>
        <v>0</v>
      </c>
      <c r="AJ20" s="1247">
        <f>'Rev.'!AK54</f>
        <v>0</v>
      </c>
      <c r="AK20" s="1247">
        <f>'Rev.'!AL54</f>
        <v>0</v>
      </c>
      <c r="AL20" s="1247">
        <f>'Rev.'!AM54</f>
        <v>0</v>
      </c>
      <c r="AM20" s="1247">
        <f>'Rev.'!AN54</f>
        <v>0</v>
      </c>
      <c r="AN20" s="1247">
        <f>'Rev.'!AO54</f>
        <v>0</v>
      </c>
      <c r="AO20" s="1247">
        <f>'Rev.'!AP54</f>
        <v>0</v>
      </c>
      <c r="AP20" s="1247">
        <f>'Rev.'!AQ54</f>
        <v>0</v>
      </c>
      <c r="AQ20" s="1247">
        <f>'Rev.'!AR54</f>
        <v>0</v>
      </c>
      <c r="AR20" s="1247">
        <f>'Rev.'!AS54</f>
        <v>0</v>
      </c>
      <c r="AS20" s="1247">
        <f>'Rev.'!AT54</f>
        <v>0</v>
      </c>
      <c r="AT20" s="1247">
        <f>'Rev.'!AU54</f>
        <v>0</v>
      </c>
      <c r="AU20" s="1247">
        <f>'Rev.'!AV54</f>
        <v>0</v>
      </c>
      <c r="AV20" s="1247">
        <f>'Rev.'!AW54</f>
        <v>0</v>
      </c>
      <c r="AW20" s="1247">
        <f>'Rev.'!AX54</f>
        <v>0</v>
      </c>
      <c r="AX20" s="1247">
        <f>'Rev.'!AY54</f>
        <v>0</v>
      </c>
      <c r="AY20" s="1247">
        <f>'Rev.'!AZ54</f>
        <v>0</v>
      </c>
      <c r="AZ20" s="1247">
        <f>'Rev.'!BA54</f>
        <v>0</v>
      </c>
      <c r="BA20" s="1247">
        <f>'Rev.'!BB54</f>
        <v>0</v>
      </c>
      <c r="BB20" s="1247">
        <f>'Rev.'!BC54</f>
        <v>0</v>
      </c>
      <c r="BC20" s="1247">
        <f>'Rev.'!BD54</f>
        <v>0</v>
      </c>
      <c r="BD20" s="1247">
        <f>'Rev.'!BE54</f>
        <v>0</v>
      </c>
      <c r="BE20" s="1247">
        <f>'Rev.'!BF54</f>
        <v>0</v>
      </c>
      <c r="BF20" s="1247">
        <f>'Rev.'!BG54</f>
        <v>0</v>
      </c>
      <c r="BG20" s="1247">
        <f>'Rev.'!BH54</f>
        <v>0</v>
      </c>
      <c r="BH20" s="1247">
        <f>'Rev.'!BI54</f>
        <v>0</v>
      </c>
      <c r="BI20" s="1247">
        <f>'Rev.'!BJ54</f>
        <v>0</v>
      </c>
      <c r="BJ20" s="1247">
        <f>'Rev.'!BK54</f>
        <v>0</v>
      </c>
      <c r="BK20" s="1247">
        <f>'Rev.'!BL54</f>
        <v>0</v>
      </c>
      <c r="BL20" s="1247">
        <f>'Rev.'!BM54</f>
        <v>0</v>
      </c>
      <c r="BM20" s="1247">
        <f>'Rev.'!BN54</f>
        <v>0</v>
      </c>
      <c r="BN20" s="1247">
        <f>'Rev.'!BO54</f>
        <v>0</v>
      </c>
      <c r="BO20" s="1247">
        <f>'Rev.'!BP54</f>
        <v>0</v>
      </c>
      <c r="BP20" s="1247">
        <f>'Rev.'!BQ54</f>
        <v>0</v>
      </c>
      <c r="BQ20" s="1247">
        <f>'Rev.'!BR54</f>
        <v>0</v>
      </c>
      <c r="BR20" s="1247">
        <f>'Rev.'!BS54</f>
        <v>0</v>
      </c>
      <c r="BS20" s="1247">
        <f>'Rev.'!BT54</f>
        <v>0</v>
      </c>
      <c r="BT20" s="1247">
        <f>'Rev.'!BU54</f>
        <v>0</v>
      </c>
      <c r="BU20" s="1247">
        <f>'Rev.'!BV54</f>
        <v>0</v>
      </c>
      <c r="BV20" s="1247">
        <f>'Rev.'!BW54</f>
        <v>0</v>
      </c>
      <c r="BW20" s="1247">
        <f>'Rev.'!BX54</f>
        <v>0</v>
      </c>
      <c r="BX20" s="1247">
        <f>'Rev.'!BY54</f>
        <v>0</v>
      </c>
      <c r="BY20" s="1247">
        <f>'Rev.'!BZ54</f>
        <v>0</v>
      </c>
      <c r="BZ20" s="1247">
        <f>'Rev.'!CA54</f>
        <v>0</v>
      </c>
      <c r="CA20" s="1247">
        <f>'Rev.'!CB54</f>
        <v>0</v>
      </c>
      <c r="CB20" s="1247">
        <f>'Rev.'!CC54</f>
        <v>0</v>
      </c>
      <c r="CC20" s="1247">
        <f>'Rev.'!CD54</f>
        <v>0</v>
      </c>
      <c r="CD20" s="1247">
        <f>'Rev.'!CE54</f>
        <v>0</v>
      </c>
      <c r="CE20" s="1247">
        <f>'Rev.'!CF54</f>
        <v>0</v>
      </c>
      <c r="CF20" s="1247">
        <f>'Rev.'!CG54</f>
        <v>0</v>
      </c>
      <c r="CG20" s="1247">
        <f>'Rev.'!CH54</f>
        <v>0</v>
      </c>
      <c r="CH20" s="1247">
        <f>'Rev.'!CI54</f>
        <v>0</v>
      </c>
      <c r="CI20" s="1247">
        <f>'Rev.'!CJ54</f>
        <v>0</v>
      </c>
      <c r="CJ20" s="1247">
        <f>'Rev.'!CK54</f>
        <v>0</v>
      </c>
      <c r="CK20" s="1247">
        <f>'Rev.'!CL54</f>
        <v>0</v>
      </c>
      <c r="CL20" s="1247">
        <f>'Rev.'!CM54</f>
        <v>0</v>
      </c>
      <c r="CM20" s="1247">
        <f>'Rev.'!CN54</f>
        <v>0</v>
      </c>
      <c r="CN20" s="1247">
        <f>'Rev.'!CO54</f>
        <v>0</v>
      </c>
      <c r="CO20" s="1247">
        <f>'Rev.'!CP54</f>
        <v>0</v>
      </c>
      <c r="CP20" s="1247">
        <f>'Rev.'!CQ54</f>
        <v>0</v>
      </c>
      <c r="CQ20" s="1247">
        <f>'Rev.'!CR54</f>
        <v>0</v>
      </c>
      <c r="CR20" s="1247">
        <f>'Rev.'!CS54</f>
        <v>0</v>
      </c>
      <c r="CS20" s="1247">
        <f>'Rev.'!CT54</f>
        <v>0</v>
      </c>
      <c r="CT20" s="1247">
        <f>'Rev.'!CU54</f>
        <v>0</v>
      </c>
      <c r="CU20" s="1247">
        <f>'Rev.'!CV54</f>
        <v>0</v>
      </c>
      <c r="CV20" s="1247">
        <f>'Rev.'!CW54</f>
        <v>0</v>
      </c>
      <c r="CW20" s="1247">
        <f>'Rev.'!CX54</f>
        <v>0</v>
      </c>
      <c r="CX20" s="1247">
        <f>'Rev.'!CY54</f>
        <v>0</v>
      </c>
      <c r="CY20" s="1247">
        <f>'Rev.'!CZ54</f>
        <v>0</v>
      </c>
      <c r="CZ20" s="1247">
        <f>'Rev.'!DA54</f>
        <v>0</v>
      </c>
      <c r="DA20" s="1247">
        <f>'Rev.'!DB54</f>
        <v>0</v>
      </c>
      <c r="DB20" s="1247">
        <f>'Rev.'!DC54</f>
        <v>0</v>
      </c>
      <c r="DC20" s="1247">
        <f>'Rev.'!DD54</f>
        <v>0</v>
      </c>
      <c r="DD20" s="1247">
        <f>'Rev.'!DE54</f>
        <v>0</v>
      </c>
      <c r="DE20" s="1247">
        <f>'Rev.'!DF54</f>
        <v>0</v>
      </c>
      <c r="DF20" s="1247">
        <f>'Rev.'!DG54</f>
        <v>0</v>
      </c>
      <c r="DG20" s="1247">
        <f>'Rev.'!DH54</f>
        <v>0</v>
      </c>
      <c r="DH20" s="1247">
        <f>'Rev.'!DI54</f>
        <v>0</v>
      </c>
      <c r="DI20" s="1247">
        <f>'Rev.'!DJ54</f>
        <v>0</v>
      </c>
      <c r="DJ20" s="1247">
        <f>'Rev.'!DK54</f>
        <v>0</v>
      </c>
      <c r="DK20" s="1247">
        <f>'Rev.'!DL54</f>
        <v>0</v>
      </c>
      <c r="DL20" s="1247">
        <f>'Rev.'!DM54</f>
        <v>0</v>
      </c>
      <c r="DM20" s="1247">
        <f>'Rev.'!DN54</f>
        <v>0</v>
      </c>
      <c r="DN20" s="1247">
        <f>'Rev.'!DO54</f>
        <v>0</v>
      </c>
      <c r="DO20" s="1247">
        <f>'Rev.'!DP54</f>
        <v>0</v>
      </c>
      <c r="DP20" s="1247">
        <f>'Rev.'!DQ54</f>
        <v>0</v>
      </c>
      <c r="DQ20" s="1247">
        <f>'Rev.'!DR54</f>
        <v>0</v>
      </c>
      <c r="DR20" s="1247">
        <f>'Rev.'!DS54</f>
        <v>0</v>
      </c>
      <c r="DS20" s="1247">
        <f>'Rev.'!DT54</f>
        <v>0</v>
      </c>
      <c r="DT20" s="1247">
        <f>'Rev.'!DU54</f>
        <v>0</v>
      </c>
      <c r="DU20" s="1248">
        <f>'Rev.'!DV54</f>
        <v>0</v>
      </c>
      <c r="DV20" s="1248"/>
      <c r="DW20" s="1248">
        <f t="shared" si="341"/>
        <v>0</v>
      </c>
      <c r="DX20" s="1246">
        <f>SUM(F20:H20)</f>
        <v>0</v>
      </c>
      <c r="DY20" s="1247">
        <f>SUM(I20:K20)</f>
        <v>0</v>
      </c>
      <c r="DZ20" s="1247">
        <f>SUM(L20:N20)</f>
        <v>0</v>
      </c>
      <c r="EA20" s="1248">
        <f>SUM(O20:Q20)</f>
        <v>0</v>
      </c>
      <c r="EB20" s="1246">
        <f t="shared" si="342"/>
        <v>0</v>
      </c>
      <c r="EC20" s="1247">
        <f>SUM(R20:AC20)</f>
        <v>0</v>
      </c>
      <c r="ED20" s="1248">
        <f>SUM(AD20:AO20)</f>
        <v>0</v>
      </c>
      <c r="EE20" s="1249">
        <f t="shared" si="343"/>
        <v>0</v>
      </c>
      <c r="EF20" s="1247">
        <f t="shared" si="344"/>
        <v>0</v>
      </c>
      <c r="EG20" s="1248">
        <f t="shared" si="345"/>
        <v>0</v>
      </c>
      <c r="EH20" s="1249">
        <f t="shared" si="346"/>
        <v>0</v>
      </c>
      <c r="EI20" s="91"/>
      <c r="EJ20" s="1246">
        <f t="shared" si="347"/>
        <v>0</v>
      </c>
      <c r="EK20" s="1247">
        <f t="shared" si="348"/>
        <v>0</v>
      </c>
      <c r="EL20" s="1247">
        <f t="shared" si="349"/>
        <v>0</v>
      </c>
      <c r="EM20" s="1247">
        <f t="shared" si="350"/>
        <v>0</v>
      </c>
      <c r="EN20" s="1248">
        <f t="shared" si="351"/>
        <v>0</v>
      </c>
      <c r="EO20" s="1249">
        <f t="shared" si="352"/>
        <v>0</v>
      </c>
      <c r="EQ20" s="14">
        <f t="shared" si="353"/>
        <v>0</v>
      </c>
    </row>
    <row r="21" spans="1:147" x14ac:dyDescent="0.3">
      <c r="B21" s="596" t="s">
        <v>136</v>
      </c>
      <c r="C21" s="17"/>
      <c r="D21" s="17"/>
      <c r="E21" s="1246">
        <f>'Rev.'!F55</f>
        <v>0</v>
      </c>
      <c r="F21" s="1247">
        <f>'Rev.'!G55</f>
        <v>0</v>
      </c>
      <c r="G21" s="1247">
        <f>'Rev.'!H55</f>
        <v>0</v>
      </c>
      <c r="H21" s="1247">
        <f>'Rev.'!I55</f>
        <v>0</v>
      </c>
      <c r="I21" s="1247">
        <f>'Rev.'!J55</f>
        <v>0</v>
      </c>
      <c r="J21" s="1247">
        <f>'Rev.'!K55</f>
        <v>0</v>
      </c>
      <c r="K21" s="1247">
        <f>'Rev.'!L55</f>
        <v>0</v>
      </c>
      <c r="L21" s="1247">
        <f>'Rev.'!M55</f>
        <v>0</v>
      </c>
      <c r="M21" s="1247">
        <f>'Rev.'!N55</f>
        <v>0</v>
      </c>
      <c r="N21" s="1247">
        <f>'Rev.'!O55</f>
        <v>0</v>
      </c>
      <c r="O21" s="1247">
        <f>'Rev.'!P55</f>
        <v>0</v>
      </c>
      <c r="P21" s="1247">
        <f>'Rev.'!Q55</f>
        <v>0</v>
      </c>
      <c r="Q21" s="1247">
        <f>'Rev.'!R55</f>
        <v>0</v>
      </c>
      <c r="R21" s="1247">
        <f>'Rev.'!S55</f>
        <v>0</v>
      </c>
      <c r="S21" s="1247">
        <f>'Rev.'!T55</f>
        <v>0</v>
      </c>
      <c r="T21" s="1247">
        <f>'Rev.'!U55</f>
        <v>0</v>
      </c>
      <c r="U21" s="1247">
        <f>'Rev.'!V55</f>
        <v>0</v>
      </c>
      <c r="V21" s="1247">
        <f>'Rev.'!W55</f>
        <v>0</v>
      </c>
      <c r="W21" s="1247">
        <f>'Rev.'!X55</f>
        <v>0</v>
      </c>
      <c r="X21" s="1247">
        <f>'Rev.'!Y55</f>
        <v>0</v>
      </c>
      <c r="Y21" s="1247">
        <f>'Rev.'!Z55</f>
        <v>0</v>
      </c>
      <c r="Z21" s="1247">
        <f>'Rev.'!AA55</f>
        <v>0</v>
      </c>
      <c r="AA21" s="1247">
        <f>'Rev.'!AB55</f>
        <v>0</v>
      </c>
      <c r="AB21" s="1247">
        <f>'Rev.'!AC55</f>
        <v>0</v>
      </c>
      <c r="AC21" s="1247">
        <f>'Rev.'!AD55</f>
        <v>0</v>
      </c>
      <c r="AD21" s="1247">
        <f>'Rev.'!AE55</f>
        <v>0</v>
      </c>
      <c r="AE21" s="1247">
        <f>'Rev.'!AF55</f>
        <v>0</v>
      </c>
      <c r="AF21" s="1247">
        <f>'Rev.'!AG55</f>
        <v>0</v>
      </c>
      <c r="AG21" s="1247">
        <f>'Rev.'!AH55</f>
        <v>0</v>
      </c>
      <c r="AH21" s="1247">
        <f>'Rev.'!AI55</f>
        <v>0</v>
      </c>
      <c r="AI21" s="1247">
        <f>'Rev.'!AJ55</f>
        <v>0</v>
      </c>
      <c r="AJ21" s="1247">
        <f>'Rev.'!AK55</f>
        <v>0</v>
      </c>
      <c r="AK21" s="1247">
        <f>'Rev.'!AL55</f>
        <v>0</v>
      </c>
      <c r="AL21" s="1247">
        <f>'Rev.'!AM55</f>
        <v>0</v>
      </c>
      <c r="AM21" s="1247">
        <f>'Rev.'!AN55</f>
        <v>0</v>
      </c>
      <c r="AN21" s="1247">
        <f>'Rev.'!AO55</f>
        <v>0</v>
      </c>
      <c r="AO21" s="1247">
        <f>'Rev.'!AP55</f>
        <v>0</v>
      </c>
      <c r="AP21" s="1247">
        <f>'Rev.'!AQ55</f>
        <v>0</v>
      </c>
      <c r="AQ21" s="1247">
        <f>'Rev.'!AR55</f>
        <v>0</v>
      </c>
      <c r="AR21" s="1247">
        <f>'Rev.'!AS55</f>
        <v>0</v>
      </c>
      <c r="AS21" s="1247">
        <f>'Rev.'!AT55</f>
        <v>0</v>
      </c>
      <c r="AT21" s="1247">
        <f>'Rev.'!AU55</f>
        <v>0</v>
      </c>
      <c r="AU21" s="1247">
        <f>'Rev.'!AV55</f>
        <v>0</v>
      </c>
      <c r="AV21" s="1247">
        <f>'Rev.'!AW55</f>
        <v>0</v>
      </c>
      <c r="AW21" s="1247">
        <f>'Rev.'!AX55</f>
        <v>0</v>
      </c>
      <c r="AX21" s="1247">
        <f>'Rev.'!AY55</f>
        <v>0</v>
      </c>
      <c r="AY21" s="1247">
        <f>'Rev.'!AZ55</f>
        <v>0</v>
      </c>
      <c r="AZ21" s="1247">
        <f>'Rev.'!BA55</f>
        <v>0</v>
      </c>
      <c r="BA21" s="1247">
        <f>'Rev.'!BB55</f>
        <v>0</v>
      </c>
      <c r="BB21" s="1247">
        <f>'Rev.'!BC55</f>
        <v>0</v>
      </c>
      <c r="BC21" s="1247">
        <f>'Rev.'!BD55</f>
        <v>0</v>
      </c>
      <c r="BD21" s="1247">
        <f>'Rev.'!BE55</f>
        <v>0</v>
      </c>
      <c r="BE21" s="1247">
        <f>'Rev.'!BF55</f>
        <v>0</v>
      </c>
      <c r="BF21" s="1247">
        <f>'Rev.'!BG55</f>
        <v>0</v>
      </c>
      <c r="BG21" s="1247">
        <f>'Rev.'!BH55</f>
        <v>0</v>
      </c>
      <c r="BH21" s="1247">
        <f>'Rev.'!BI55</f>
        <v>0</v>
      </c>
      <c r="BI21" s="1247">
        <f>'Rev.'!BJ55</f>
        <v>0</v>
      </c>
      <c r="BJ21" s="1247">
        <f>'Rev.'!BK55</f>
        <v>0</v>
      </c>
      <c r="BK21" s="1247">
        <f>'Rev.'!BL55</f>
        <v>0</v>
      </c>
      <c r="BL21" s="1247">
        <f>'Rev.'!BM55</f>
        <v>0</v>
      </c>
      <c r="BM21" s="1247">
        <f>'Rev.'!BN55</f>
        <v>0</v>
      </c>
      <c r="BN21" s="1247">
        <f>'Rev.'!BO55</f>
        <v>0</v>
      </c>
      <c r="BO21" s="1247">
        <f>'Rev.'!BP55</f>
        <v>0</v>
      </c>
      <c r="BP21" s="1247">
        <f>'Rev.'!BQ55</f>
        <v>0</v>
      </c>
      <c r="BQ21" s="1247">
        <f>'Rev.'!BR55</f>
        <v>0</v>
      </c>
      <c r="BR21" s="1247">
        <f>'Rev.'!BS55</f>
        <v>0</v>
      </c>
      <c r="BS21" s="1247">
        <f>'Rev.'!BT55</f>
        <v>0</v>
      </c>
      <c r="BT21" s="1247">
        <f>'Rev.'!BU55</f>
        <v>0</v>
      </c>
      <c r="BU21" s="1247">
        <f>'Rev.'!BV55</f>
        <v>0</v>
      </c>
      <c r="BV21" s="1247">
        <f>'Rev.'!BW55</f>
        <v>0</v>
      </c>
      <c r="BW21" s="1247">
        <f>'Rev.'!BX55</f>
        <v>0</v>
      </c>
      <c r="BX21" s="1247">
        <f>'Rev.'!BY55</f>
        <v>0</v>
      </c>
      <c r="BY21" s="1247">
        <f>'Rev.'!BZ55</f>
        <v>0</v>
      </c>
      <c r="BZ21" s="1247">
        <f>'Rev.'!CA55</f>
        <v>0</v>
      </c>
      <c r="CA21" s="1247">
        <f>'Rev.'!CB55</f>
        <v>0</v>
      </c>
      <c r="CB21" s="1247">
        <f>'Rev.'!CC55</f>
        <v>0</v>
      </c>
      <c r="CC21" s="1247">
        <f>'Rev.'!CD55</f>
        <v>0</v>
      </c>
      <c r="CD21" s="1247">
        <f>'Rev.'!CE55</f>
        <v>0</v>
      </c>
      <c r="CE21" s="1247">
        <f>'Rev.'!CF55</f>
        <v>0</v>
      </c>
      <c r="CF21" s="1247">
        <f>'Rev.'!CG55</f>
        <v>0</v>
      </c>
      <c r="CG21" s="1247">
        <f>'Rev.'!CH55</f>
        <v>0</v>
      </c>
      <c r="CH21" s="1247">
        <f>'Rev.'!CI55</f>
        <v>0</v>
      </c>
      <c r="CI21" s="1247">
        <f>'Rev.'!CJ55</f>
        <v>0</v>
      </c>
      <c r="CJ21" s="1247">
        <f>'Rev.'!CK55</f>
        <v>0</v>
      </c>
      <c r="CK21" s="1247">
        <f>'Rev.'!CL55</f>
        <v>0</v>
      </c>
      <c r="CL21" s="1247">
        <f>'Rev.'!CM55</f>
        <v>0</v>
      </c>
      <c r="CM21" s="1247">
        <f>'Rev.'!CN55</f>
        <v>0</v>
      </c>
      <c r="CN21" s="1247">
        <f>'Rev.'!CO55</f>
        <v>0</v>
      </c>
      <c r="CO21" s="1247">
        <f>'Rev.'!CP55</f>
        <v>0</v>
      </c>
      <c r="CP21" s="1247">
        <f>'Rev.'!CQ55</f>
        <v>0</v>
      </c>
      <c r="CQ21" s="1247">
        <f>'Rev.'!CR55</f>
        <v>0</v>
      </c>
      <c r="CR21" s="1247">
        <f>'Rev.'!CS55</f>
        <v>0</v>
      </c>
      <c r="CS21" s="1247">
        <f>'Rev.'!CT55</f>
        <v>0</v>
      </c>
      <c r="CT21" s="1247">
        <f>'Rev.'!CU55</f>
        <v>0</v>
      </c>
      <c r="CU21" s="1247">
        <f>'Rev.'!CV55</f>
        <v>0</v>
      </c>
      <c r="CV21" s="1247">
        <f>'Rev.'!CW55</f>
        <v>0</v>
      </c>
      <c r="CW21" s="1247">
        <f>'Rev.'!CX55</f>
        <v>0</v>
      </c>
      <c r="CX21" s="1247">
        <f>'Rev.'!CY55</f>
        <v>0</v>
      </c>
      <c r="CY21" s="1247">
        <f>'Rev.'!CZ55</f>
        <v>0</v>
      </c>
      <c r="CZ21" s="1247">
        <f>'Rev.'!DA55</f>
        <v>0</v>
      </c>
      <c r="DA21" s="1247">
        <f>'Rev.'!DB55</f>
        <v>0</v>
      </c>
      <c r="DB21" s="1247">
        <f>'Rev.'!DC55</f>
        <v>0</v>
      </c>
      <c r="DC21" s="1247">
        <f>'Rev.'!DD55</f>
        <v>0</v>
      </c>
      <c r="DD21" s="1247">
        <f>'Rev.'!DE55</f>
        <v>0</v>
      </c>
      <c r="DE21" s="1247">
        <f>'Rev.'!DF55</f>
        <v>0</v>
      </c>
      <c r="DF21" s="1247">
        <f>'Rev.'!DG55</f>
        <v>0</v>
      </c>
      <c r="DG21" s="1247">
        <f>'Rev.'!DH55</f>
        <v>0</v>
      </c>
      <c r="DH21" s="1247">
        <f>'Rev.'!DI55</f>
        <v>0</v>
      </c>
      <c r="DI21" s="1247">
        <f>'Rev.'!DJ55</f>
        <v>0</v>
      </c>
      <c r="DJ21" s="1247">
        <f>'Rev.'!DK55</f>
        <v>0</v>
      </c>
      <c r="DK21" s="1247">
        <f>'Rev.'!DL55</f>
        <v>0</v>
      </c>
      <c r="DL21" s="1247">
        <f>'Rev.'!DM55</f>
        <v>0</v>
      </c>
      <c r="DM21" s="1247">
        <f>'Rev.'!DN55</f>
        <v>0</v>
      </c>
      <c r="DN21" s="1247">
        <f>'Rev.'!DO55</f>
        <v>0</v>
      </c>
      <c r="DO21" s="1247">
        <f>'Rev.'!DP55</f>
        <v>0</v>
      </c>
      <c r="DP21" s="1247">
        <f>'Rev.'!DQ55</f>
        <v>0</v>
      </c>
      <c r="DQ21" s="1247">
        <f>'Rev.'!DR55</f>
        <v>0</v>
      </c>
      <c r="DR21" s="1247">
        <f>'Rev.'!DS55</f>
        <v>0</v>
      </c>
      <c r="DS21" s="1247">
        <f>'Rev.'!DT55</f>
        <v>0</v>
      </c>
      <c r="DT21" s="1247">
        <f>'Rev.'!DU55</f>
        <v>0</v>
      </c>
      <c r="DU21" s="1248">
        <f>'Rev.'!DV55</f>
        <v>0</v>
      </c>
      <c r="DV21" s="1248"/>
      <c r="DW21" s="1248">
        <f t="shared" si="341"/>
        <v>0</v>
      </c>
      <c r="DX21" s="1246">
        <f>SUM(F21:H21)</f>
        <v>0</v>
      </c>
      <c r="DY21" s="1247">
        <f>SUM(I21:K21)</f>
        <v>0</v>
      </c>
      <c r="DZ21" s="1247">
        <f>SUM(L21:N21)</f>
        <v>0</v>
      </c>
      <c r="EA21" s="1248">
        <f>SUM(O21:Q21)</f>
        <v>0</v>
      </c>
      <c r="EB21" s="1246">
        <f t="shared" si="342"/>
        <v>0</v>
      </c>
      <c r="EC21" s="1247">
        <f>SUM(R21:AC21)</f>
        <v>0</v>
      </c>
      <c r="ED21" s="1248">
        <f>SUM(AD21:AO21)</f>
        <v>0</v>
      </c>
      <c r="EE21" s="1249">
        <f t="shared" si="343"/>
        <v>0</v>
      </c>
      <c r="EF21" s="1247">
        <f t="shared" si="344"/>
        <v>0</v>
      </c>
      <c r="EG21" s="1248">
        <f t="shared" si="345"/>
        <v>0</v>
      </c>
      <c r="EH21" s="1249">
        <f t="shared" si="346"/>
        <v>0</v>
      </c>
      <c r="EI21" s="91"/>
      <c r="EJ21" s="1246">
        <f t="shared" si="347"/>
        <v>0</v>
      </c>
      <c r="EK21" s="1247">
        <f t="shared" si="348"/>
        <v>0</v>
      </c>
      <c r="EL21" s="1247">
        <f t="shared" si="349"/>
        <v>0</v>
      </c>
      <c r="EM21" s="1247">
        <f t="shared" si="350"/>
        <v>0</v>
      </c>
      <c r="EN21" s="1248">
        <f t="shared" si="351"/>
        <v>0</v>
      </c>
      <c r="EO21" s="1249">
        <f t="shared" si="352"/>
        <v>0</v>
      </c>
      <c r="EQ21" s="14">
        <f t="shared" si="353"/>
        <v>0</v>
      </c>
    </row>
    <row r="22" spans="1:147" ht="13.5" thickBot="1" x14ac:dyDescent="0.35">
      <c r="B22" s="596" t="s">
        <v>137</v>
      </c>
      <c r="C22" s="17"/>
      <c r="D22" s="17"/>
      <c r="E22" s="1246">
        <f>'Rev.'!F56</f>
        <v>0</v>
      </c>
      <c r="F22" s="1247">
        <f>'Rev.'!G56</f>
        <v>0</v>
      </c>
      <c r="G22" s="1247">
        <f>'Rev.'!H56</f>
        <v>0</v>
      </c>
      <c r="H22" s="1247">
        <f>'Rev.'!I56</f>
        <v>0</v>
      </c>
      <c r="I22" s="1247">
        <f>'Rev.'!J56</f>
        <v>0</v>
      </c>
      <c r="J22" s="1247">
        <f>'Rev.'!K56</f>
        <v>0</v>
      </c>
      <c r="K22" s="1247">
        <f>'Rev.'!L56</f>
        <v>0</v>
      </c>
      <c r="L22" s="1247">
        <f>'Rev.'!M56</f>
        <v>0</v>
      </c>
      <c r="M22" s="1247">
        <f>'Rev.'!N56</f>
        <v>0</v>
      </c>
      <c r="N22" s="1247">
        <f>'Rev.'!O56</f>
        <v>0</v>
      </c>
      <c r="O22" s="1247">
        <f>'Rev.'!P56</f>
        <v>0</v>
      </c>
      <c r="P22" s="1247">
        <f>'Rev.'!Q56</f>
        <v>0</v>
      </c>
      <c r="Q22" s="1247">
        <f>'Rev.'!R56</f>
        <v>0</v>
      </c>
      <c r="R22" s="1247">
        <f>'Rev.'!S56</f>
        <v>0</v>
      </c>
      <c r="S22" s="1247">
        <f>'Rev.'!T56</f>
        <v>0</v>
      </c>
      <c r="T22" s="1247">
        <f>'Rev.'!U56</f>
        <v>0</v>
      </c>
      <c r="U22" s="1247">
        <f>'Rev.'!V56</f>
        <v>0</v>
      </c>
      <c r="V22" s="1247">
        <f>'Rev.'!W56</f>
        <v>0</v>
      </c>
      <c r="W22" s="1247">
        <f>'Rev.'!X56</f>
        <v>0</v>
      </c>
      <c r="X22" s="1247">
        <f>'Rev.'!Y56</f>
        <v>0</v>
      </c>
      <c r="Y22" s="1247">
        <f>'Rev.'!Z56</f>
        <v>0</v>
      </c>
      <c r="Z22" s="1247">
        <f>'Rev.'!AA56</f>
        <v>0</v>
      </c>
      <c r="AA22" s="1247">
        <f>'Rev.'!AB56</f>
        <v>0</v>
      </c>
      <c r="AB22" s="1247">
        <f>'Rev.'!AC56</f>
        <v>0</v>
      </c>
      <c r="AC22" s="1247">
        <f>'Rev.'!AD56</f>
        <v>0</v>
      </c>
      <c r="AD22" s="1247">
        <f>'Rev.'!AE56</f>
        <v>0</v>
      </c>
      <c r="AE22" s="1247">
        <f>'Rev.'!AF56</f>
        <v>0</v>
      </c>
      <c r="AF22" s="1247">
        <f>'Rev.'!AG56</f>
        <v>0</v>
      </c>
      <c r="AG22" s="1247">
        <f>'Rev.'!AH56</f>
        <v>0</v>
      </c>
      <c r="AH22" s="1247">
        <f>'Rev.'!AI56</f>
        <v>0</v>
      </c>
      <c r="AI22" s="1247">
        <f>'Rev.'!AJ56</f>
        <v>0</v>
      </c>
      <c r="AJ22" s="1247">
        <f>'Rev.'!AK56</f>
        <v>0</v>
      </c>
      <c r="AK22" s="1247">
        <f>'Rev.'!AL56</f>
        <v>0</v>
      </c>
      <c r="AL22" s="1247">
        <f>'Rev.'!AM56</f>
        <v>0</v>
      </c>
      <c r="AM22" s="1247">
        <f>'Rev.'!AN56</f>
        <v>0</v>
      </c>
      <c r="AN22" s="1247">
        <f>'Rev.'!AO56</f>
        <v>0</v>
      </c>
      <c r="AO22" s="1247">
        <f>'Rev.'!AP56</f>
        <v>0</v>
      </c>
      <c r="AP22" s="1247">
        <f>'Rev.'!AQ56</f>
        <v>0</v>
      </c>
      <c r="AQ22" s="1247">
        <f>'Rev.'!AR56</f>
        <v>0</v>
      </c>
      <c r="AR22" s="1247">
        <f>'Rev.'!AS56</f>
        <v>0</v>
      </c>
      <c r="AS22" s="1247">
        <f>'Rev.'!AT56</f>
        <v>0</v>
      </c>
      <c r="AT22" s="1247">
        <f>'Rev.'!AU56</f>
        <v>0</v>
      </c>
      <c r="AU22" s="1247">
        <f>'Rev.'!AV56</f>
        <v>0</v>
      </c>
      <c r="AV22" s="1247">
        <f>'Rev.'!AW56</f>
        <v>0</v>
      </c>
      <c r="AW22" s="1247">
        <f>'Rev.'!AX56</f>
        <v>0</v>
      </c>
      <c r="AX22" s="1247">
        <f>'Rev.'!AY56</f>
        <v>0</v>
      </c>
      <c r="AY22" s="1247">
        <f>'Rev.'!AZ56</f>
        <v>0</v>
      </c>
      <c r="AZ22" s="1247">
        <f>'Rev.'!BA56</f>
        <v>0</v>
      </c>
      <c r="BA22" s="1247">
        <f>'Rev.'!BB56</f>
        <v>0</v>
      </c>
      <c r="BB22" s="1247">
        <f>'Rev.'!BC56</f>
        <v>0</v>
      </c>
      <c r="BC22" s="1247">
        <f>'Rev.'!BD56</f>
        <v>0</v>
      </c>
      <c r="BD22" s="1247">
        <f>'Rev.'!BE56</f>
        <v>0</v>
      </c>
      <c r="BE22" s="1247">
        <f>'Rev.'!BF56</f>
        <v>0</v>
      </c>
      <c r="BF22" s="1247">
        <f>'Rev.'!BG56</f>
        <v>0</v>
      </c>
      <c r="BG22" s="1247">
        <f>'Rev.'!BH56</f>
        <v>0</v>
      </c>
      <c r="BH22" s="1247">
        <f>'Rev.'!BI56</f>
        <v>0</v>
      </c>
      <c r="BI22" s="1247">
        <f>'Rev.'!BJ56</f>
        <v>0</v>
      </c>
      <c r="BJ22" s="1247">
        <f>'Rev.'!BK56</f>
        <v>0</v>
      </c>
      <c r="BK22" s="1247">
        <f>'Rev.'!BL56</f>
        <v>0</v>
      </c>
      <c r="BL22" s="1247">
        <f>'Rev.'!BM56</f>
        <v>0</v>
      </c>
      <c r="BM22" s="1247">
        <f>'Rev.'!BN56</f>
        <v>0</v>
      </c>
      <c r="BN22" s="1247">
        <f>'Rev.'!BO56</f>
        <v>0</v>
      </c>
      <c r="BO22" s="1247">
        <f>'Rev.'!BP56</f>
        <v>0</v>
      </c>
      <c r="BP22" s="1247">
        <f>'Rev.'!BQ56</f>
        <v>0</v>
      </c>
      <c r="BQ22" s="1247">
        <f>'Rev.'!BR56</f>
        <v>0</v>
      </c>
      <c r="BR22" s="1247">
        <f>'Rev.'!BS56</f>
        <v>0</v>
      </c>
      <c r="BS22" s="1247">
        <f>'Rev.'!BT56</f>
        <v>0</v>
      </c>
      <c r="BT22" s="1247">
        <f>'Rev.'!BU56</f>
        <v>0</v>
      </c>
      <c r="BU22" s="1247">
        <f>'Rev.'!BV56</f>
        <v>0</v>
      </c>
      <c r="BV22" s="1247">
        <f>'Rev.'!BW56</f>
        <v>0</v>
      </c>
      <c r="BW22" s="1247">
        <f>'Rev.'!BX56</f>
        <v>0</v>
      </c>
      <c r="BX22" s="1247">
        <f>'Rev.'!BY56</f>
        <v>0</v>
      </c>
      <c r="BY22" s="1247">
        <f>'Rev.'!BZ56</f>
        <v>0</v>
      </c>
      <c r="BZ22" s="1247">
        <f>'Rev.'!CA56</f>
        <v>0</v>
      </c>
      <c r="CA22" s="1247">
        <f>'Rev.'!CB56</f>
        <v>0</v>
      </c>
      <c r="CB22" s="1247">
        <f>'Rev.'!CC56</f>
        <v>0</v>
      </c>
      <c r="CC22" s="1247">
        <f>'Rev.'!CD56</f>
        <v>0</v>
      </c>
      <c r="CD22" s="1247">
        <f>'Rev.'!CE56</f>
        <v>0</v>
      </c>
      <c r="CE22" s="1247">
        <f>'Rev.'!CF56</f>
        <v>0</v>
      </c>
      <c r="CF22" s="1247">
        <f>'Rev.'!CG56</f>
        <v>0</v>
      </c>
      <c r="CG22" s="1247">
        <f>'Rev.'!CH56</f>
        <v>0</v>
      </c>
      <c r="CH22" s="1247">
        <f>'Rev.'!CI56</f>
        <v>0</v>
      </c>
      <c r="CI22" s="1247">
        <f>'Rev.'!CJ56</f>
        <v>0</v>
      </c>
      <c r="CJ22" s="1247">
        <f>'Rev.'!CK56</f>
        <v>0</v>
      </c>
      <c r="CK22" s="1247">
        <f>'Rev.'!CL56</f>
        <v>0</v>
      </c>
      <c r="CL22" s="1247">
        <f>'Rev.'!CM56</f>
        <v>0</v>
      </c>
      <c r="CM22" s="1247">
        <f>'Rev.'!CN56</f>
        <v>0</v>
      </c>
      <c r="CN22" s="1247">
        <f>'Rev.'!CO56</f>
        <v>0</v>
      </c>
      <c r="CO22" s="1247">
        <f>'Rev.'!CP56</f>
        <v>0</v>
      </c>
      <c r="CP22" s="1247">
        <f>'Rev.'!CQ56</f>
        <v>0</v>
      </c>
      <c r="CQ22" s="1247">
        <f>'Rev.'!CR56</f>
        <v>0</v>
      </c>
      <c r="CR22" s="1247">
        <f>'Rev.'!CS56</f>
        <v>0</v>
      </c>
      <c r="CS22" s="1247">
        <f>'Rev.'!CT56</f>
        <v>0</v>
      </c>
      <c r="CT22" s="1247">
        <f>'Rev.'!CU56</f>
        <v>0</v>
      </c>
      <c r="CU22" s="1247">
        <f>'Rev.'!CV56</f>
        <v>0</v>
      </c>
      <c r="CV22" s="1247">
        <f>'Rev.'!CW56</f>
        <v>0</v>
      </c>
      <c r="CW22" s="1247">
        <f>'Rev.'!CX56</f>
        <v>0</v>
      </c>
      <c r="CX22" s="1247">
        <f>'Rev.'!CY56</f>
        <v>0</v>
      </c>
      <c r="CY22" s="1247">
        <f>'Rev.'!CZ56</f>
        <v>0</v>
      </c>
      <c r="CZ22" s="1247">
        <f>'Rev.'!DA56</f>
        <v>0</v>
      </c>
      <c r="DA22" s="1247">
        <f>'Rev.'!DB56</f>
        <v>0</v>
      </c>
      <c r="DB22" s="1247">
        <f>'Rev.'!DC56</f>
        <v>0</v>
      </c>
      <c r="DC22" s="1247">
        <f>'Rev.'!DD56</f>
        <v>0</v>
      </c>
      <c r="DD22" s="1247">
        <f>'Rev.'!DE56</f>
        <v>0</v>
      </c>
      <c r="DE22" s="1247">
        <f>'Rev.'!DF56</f>
        <v>0</v>
      </c>
      <c r="DF22" s="1247">
        <f>'Rev.'!DG56</f>
        <v>0</v>
      </c>
      <c r="DG22" s="1247">
        <f>'Rev.'!DH56</f>
        <v>0</v>
      </c>
      <c r="DH22" s="1247">
        <f>'Rev.'!DI56</f>
        <v>0</v>
      </c>
      <c r="DI22" s="1247">
        <f>'Rev.'!DJ56</f>
        <v>0</v>
      </c>
      <c r="DJ22" s="1247">
        <f>'Rev.'!DK56</f>
        <v>0</v>
      </c>
      <c r="DK22" s="1247">
        <f>'Rev.'!DL56</f>
        <v>0</v>
      </c>
      <c r="DL22" s="1247">
        <f>'Rev.'!DM56</f>
        <v>0</v>
      </c>
      <c r="DM22" s="1247">
        <f>'Rev.'!DN56</f>
        <v>0</v>
      </c>
      <c r="DN22" s="1247">
        <f>'Rev.'!DO56</f>
        <v>0</v>
      </c>
      <c r="DO22" s="1247">
        <f>'Rev.'!DP56</f>
        <v>0</v>
      </c>
      <c r="DP22" s="1247">
        <f>'Rev.'!DQ56</f>
        <v>0</v>
      </c>
      <c r="DQ22" s="1247">
        <f>'Rev.'!DR56</f>
        <v>0</v>
      </c>
      <c r="DR22" s="1247">
        <f>'Rev.'!DS56</f>
        <v>0</v>
      </c>
      <c r="DS22" s="1247">
        <f>'Rev.'!DT56</f>
        <v>0</v>
      </c>
      <c r="DT22" s="1247">
        <f>'Rev.'!DU56</f>
        <v>0</v>
      </c>
      <c r="DU22" s="1248">
        <f>'Rev.'!DV56</f>
        <v>0</v>
      </c>
      <c r="DV22" s="1248"/>
      <c r="DW22" s="1248">
        <f t="shared" si="341"/>
        <v>0</v>
      </c>
      <c r="DX22" s="1246">
        <f>SUM(F22:H22)</f>
        <v>0</v>
      </c>
      <c r="DY22" s="1247">
        <f>SUM(I22:K22)</f>
        <v>0</v>
      </c>
      <c r="DZ22" s="1247">
        <f>SUM(L22:N22)</f>
        <v>0</v>
      </c>
      <c r="EA22" s="1248">
        <f>SUM(O22:Q22)</f>
        <v>0</v>
      </c>
      <c r="EB22" s="1246">
        <f t="shared" si="342"/>
        <v>0</v>
      </c>
      <c r="EC22" s="1247">
        <f>SUM(R22:AC22)</f>
        <v>0</v>
      </c>
      <c r="ED22" s="1248">
        <f>SUM(AD22:AO22)</f>
        <v>0</v>
      </c>
      <c r="EE22" s="1249">
        <f t="shared" si="343"/>
        <v>0</v>
      </c>
      <c r="EF22" s="1247">
        <f t="shared" si="344"/>
        <v>0</v>
      </c>
      <c r="EG22" s="1248">
        <f t="shared" si="345"/>
        <v>0</v>
      </c>
      <c r="EH22" s="1249">
        <f t="shared" si="346"/>
        <v>0</v>
      </c>
      <c r="EI22" s="91"/>
      <c r="EJ22" s="1246">
        <f t="shared" si="347"/>
        <v>0</v>
      </c>
      <c r="EK22" s="1247">
        <f t="shared" si="348"/>
        <v>0</v>
      </c>
      <c r="EL22" s="1247">
        <f t="shared" si="349"/>
        <v>0</v>
      </c>
      <c r="EM22" s="1247">
        <f t="shared" si="350"/>
        <v>0</v>
      </c>
      <c r="EN22" s="1248">
        <f t="shared" si="351"/>
        <v>0</v>
      </c>
      <c r="EO22" s="1249">
        <f t="shared" si="352"/>
        <v>0</v>
      </c>
      <c r="EQ22" s="14">
        <f t="shared" si="353"/>
        <v>0</v>
      </c>
    </row>
    <row r="23" spans="1:147" ht="13.5" thickBot="1" x14ac:dyDescent="0.35">
      <c r="B23" s="597" t="s">
        <v>138</v>
      </c>
      <c r="C23" s="18"/>
      <c r="D23" s="18"/>
      <c r="E23" s="1250">
        <f>SUM(E18:E22)</f>
        <v>75674.25</v>
      </c>
      <c r="F23" s="1251">
        <f t="shared" ref="F23:ED23" si="354">SUM(F18:F22)</f>
        <v>90900</v>
      </c>
      <c r="G23" s="1251">
        <f t="shared" si="354"/>
        <v>100639.28571428572</v>
      </c>
      <c r="H23" s="1251">
        <f t="shared" si="354"/>
        <v>97392.857142857145</v>
      </c>
      <c r="I23" s="1251">
        <f t="shared" si="354"/>
        <v>100639.28571428572</v>
      </c>
      <c r="J23" s="1251">
        <f t="shared" si="354"/>
        <v>97392.857142857145</v>
      </c>
      <c r="K23" s="1251">
        <f t="shared" si="354"/>
        <v>100639.28571428572</v>
      </c>
      <c r="L23" s="1251">
        <f t="shared" si="354"/>
        <v>100639.28571428572</v>
      </c>
      <c r="M23" s="1251">
        <f t="shared" si="354"/>
        <v>97392.857142857145</v>
      </c>
      <c r="N23" s="1251">
        <f t="shared" ref="N23:AO23" si="355">SUM(N18:N22)</f>
        <v>100639.28571428572</v>
      </c>
      <c r="O23" s="1251">
        <f t="shared" si="355"/>
        <v>97392.857142857145</v>
      </c>
      <c r="P23" s="1251">
        <f t="shared" si="355"/>
        <v>100639.28571428572</v>
      </c>
      <c r="Q23" s="1251">
        <f t="shared" si="355"/>
        <v>100639.28571428572</v>
      </c>
      <c r="R23" s="1251">
        <f t="shared" si="355"/>
        <v>98853.750000000015</v>
      </c>
      <c r="S23" s="1251">
        <f t="shared" si="355"/>
        <v>105671.25000000001</v>
      </c>
      <c r="T23" s="1251">
        <f t="shared" si="355"/>
        <v>102262.5</v>
      </c>
      <c r="U23" s="1251">
        <f t="shared" si="355"/>
        <v>105671.25000000001</v>
      </c>
      <c r="V23" s="1251">
        <f t="shared" si="355"/>
        <v>102262.5</v>
      </c>
      <c r="W23" s="1251">
        <f t="shared" si="355"/>
        <v>105671.25000000001</v>
      </c>
      <c r="X23" s="1251">
        <f t="shared" si="355"/>
        <v>105671.25000000001</v>
      </c>
      <c r="Y23" s="1251">
        <f t="shared" si="355"/>
        <v>102262.5</v>
      </c>
      <c r="Z23" s="1251">
        <f t="shared" si="355"/>
        <v>105671.25000000001</v>
      </c>
      <c r="AA23" s="1251">
        <f t="shared" si="355"/>
        <v>102262.5</v>
      </c>
      <c r="AB23" s="1251">
        <f t="shared" si="355"/>
        <v>105671.25000000001</v>
      </c>
      <c r="AC23" s="1251">
        <f t="shared" si="355"/>
        <v>105671.25000000001</v>
      </c>
      <c r="AD23" s="1251">
        <f t="shared" si="355"/>
        <v>100217.25000000001</v>
      </c>
      <c r="AE23" s="1251">
        <f t="shared" si="355"/>
        <v>110954.81250000003</v>
      </c>
      <c r="AF23" s="1251">
        <f t="shared" si="355"/>
        <v>107375.62500000001</v>
      </c>
      <c r="AG23" s="1251">
        <f t="shared" si="355"/>
        <v>110954.81250000003</v>
      </c>
      <c r="AH23" s="1251">
        <f t="shared" si="355"/>
        <v>107375.62500000001</v>
      </c>
      <c r="AI23" s="1251">
        <f t="shared" si="355"/>
        <v>110954.81250000003</v>
      </c>
      <c r="AJ23" s="1251">
        <f t="shared" si="355"/>
        <v>110954.81250000003</v>
      </c>
      <c r="AK23" s="1251">
        <f t="shared" si="355"/>
        <v>107375.62500000001</v>
      </c>
      <c r="AL23" s="1251">
        <f t="shared" si="355"/>
        <v>110954.81250000003</v>
      </c>
      <c r="AM23" s="1251">
        <f t="shared" si="355"/>
        <v>107375.62500000001</v>
      </c>
      <c r="AN23" s="1251">
        <f t="shared" si="355"/>
        <v>110954.81250000003</v>
      </c>
      <c r="AO23" s="1251">
        <f t="shared" si="355"/>
        <v>110954.81250000003</v>
      </c>
      <c r="AP23" s="1251">
        <f t="shared" ref="AP23:BK23" si="356">SUM(AP18:AP22)</f>
        <v>105228.11250000002</v>
      </c>
      <c r="AQ23" s="1251">
        <f t="shared" si="356"/>
        <v>116502.55312500003</v>
      </c>
      <c r="AR23" s="1251">
        <f t="shared" si="356"/>
        <v>112744.40625000003</v>
      </c>
      <c r="AS23" s="1251">
        <f t="shared" si="356"/>
        <v>116502.55312500003</v>
      </c>
      <c r="AT23" s="1251">
        <f t="shared" si="356"/>
        <v>112744.40625000003</v>
      </c>
      <c r="AU23" s="1251">
        <f t="shared" si="356"/>
        <v>116502.55312500003</v>
      </c>
      <c r="AV23" s="1251">
        <f t="shared" si="356"/>
        <v>116502.55312500003</v>
      </c>
      <c r="AW23" s="1251">
        <f t="shared" si="356"/>
        <v>112744.40625000003</v>
      </c>
      <c r="AX23" s="1251">
        <f t="shared" si="356"/>
        <v>116502.55312500003</v>
      </c>
      <c r="AY23" s="1251">
        <f t="shared" si="356"/>
        <v>112744.40625000003</v>
      </c>
      <c r="AZ23" s="1251">
        <f t="shared" si="356"/>
        <v>116502.55312500003</v>
      </c>
      <c r="BA23" s="1251">
        <f t="shared" si="356"/>
        <v>116502.55312500003</v>
      </c>
      <c r="BB23" s="1251">
        <f t="shared" si="356"/>
        <v>110489.51812500002</v>
      </c>
      <c r="BC23" s="1251">
        <f t="shared" si="356"/>
        <v>122327.68078125005</v>
      </c>
      <c r="BD23" s="1251">
        <f t="shared" si="356"/>
        <v>118381.62656250002</v>
      </c>
      <c r="BE23" s="1251">
        <f t="shared" si="356"/>
        <v>122327.68078125005</v>
      </c>
      <c r="BF23" s="1251">
        <f t="shared" si="356"/>
        <v>118381.62656250002</v>
      </c>
      <c r="BG23" s="1251">
        <f t="shared" si="356"/>
        <v>122327.68078125005</v>
      </c>
      <c r="BH23" s="1251">
        <f t="shared" si="356"/>
        <v>122327.68078125005</v>
      </c>
      <c r="BI23" s="1251">
        <f t="shared" si="356"/>
        <v>118381.62656250002</v>
      </c>
      <c r="BJ23" s="1251">
        <f t="shared" si="356"/>
        <v>122327.68078125005</v>
      </c>
      <c r="BK23" s="1251">
        <f t="shared" si="356"/>
        <v>118381.62656250002</v>
      </c>
      <c r="BL23" s="1251">
        <f t="shared" ref="BL23:DU23" si="357">SUM(BL18:BL22)</f>
        <v>122327.68078125005</v>
      </c>
      <c r="BM23" s="1251">
        <f t="shared" si="357"/>
        <v>122327.68078125005</v>
      </c>
      <c r="BN23" s="1251">
        <f t="shared" si="357"/>
        <v>120157.35096093753</v>
      </c>
      <c r="BO23" s="1251">
        <f t="shared" si="357"/>
        <v>128444.06482031255</v>
      </c>
      <c r="BP23" s="1251">
        <f t="shared" si="357"/>
        <v>124300.70789062502</v>
      </c>
      <c r="BQ23" s="1251">
        <f t="shared" si="357"/>
        <v>128444.06482031255</v>
      </c>
      <c r="BR23" s="1251">
        <f t="shared" si="357"/>
        <v>124300.70789062502</v>
      </c>
      <c r="BS23" s="1251">
        <f t="shared" si="357"/>
        <v>128444.06482031255</v>
      </c>
      <c r="BT23" s="1251">
        <f t="shared" si="357"/>
        <v>128444.06482031255</v>
      </c>
      <c r="BU23" s="1251">
        <f t="shared" si="357"/>
        <v>124300.70789062502</v>
      </c>
      <c r="BV23" s="1251">
        <f t="shared" si="357"/>
        <v>128444.06482031255</v>
      </c>
      <c r="BW23" s="1251">
        <f t="shared" si="357"/>
        <v>124300.70789062502</v>
      </c>
      <c r="BX23" s="1251">
        <f t="shared" si="357"/>
        <v>128444.06482031255</v>
      </c>
      <c r="BY23" s="1251">
        <f t="shared" si="357"/>
        <v>128444.06482031255</v>
      </c>
      <c r="BZ23" s="1251">
        <f t="shared" si="357"/>
        <v>121814.69373281254</v>
      </c>
      <c r="CA23" s="1251">
        <f t="shared" si="357"/>
        <v>134866.26806132818</v>
      </c>
      <c r="CB23" s="1251">
        <f t="shared" si="357"/>
        <v>130515.74328515629</v>
      </c>
      <c r="CC23" s="1251">
        <f t="shared" si="357"/>
        <v>134866.26806132818</v>
      </c>
      <c r="CD23" s="1251">
        <f t="shared" si="357"/>
        <v>130515.74328515629</v>
      </c>
      <c r="CE23" s="1251">
        <f t="shared" si="357"/>
        <v>134866.26806132818</v>
      </c>
      <c r="CF23" s="1251">
        <f t="shared" si="357"/>
        <v>134866.26806132818</v>
      </c>
      <c r="CG23" s="1251">
        <f t="shared" si="357"/>
        <v>130515.74328515629</v>
      </c>
      <c r="CH23" s="1251">
        <f t="shared" si="357"/>
        <v>134866.26806132818</v>
      </c>
      <c r="CI23" s="1251">
        <f t="shared" si="357"/>
        <v>130515.74328515629</v>
      </c>
      <c r="CJ23" s="1251">
        <f t="shared" si="357"/>
        <v>134866.26806132818</v>
      </c>
      <c r="CK23" s="1251">
        <f t="shared" si="357"/>
        <v>134866.26806132818</v>
      </c>
      <c r="CL23" s="1251">
        <f t="shared" si="357"/>
        <v>127905.42841945316</v>
      </c>
      <c r="CM23" s="1251">
        <f t="shared" si="357"/>
        <v>141609.58146439461</v>
      </c>
      <c r="CN23" s="1251">
        <f t="shared" si="357"/>
        <v>137041.5304494141</v>
      </c>
      <c r="CO23" s="1251">
        <f t="shared" si="357"/>
        <v>141609.58146439461</v>
      </c>
      <c r="CP23" s="1251">
        <f t="shared" si="357"/>
        <v>137041.5304494141</v>
      </c>
      <c r="CQ23" s="1251">
        <f t="shared" si="357"/>
        <v>141609.58146439461</v>
      </c>
      <c r="CR23" s="1251">
        <f t="shared" si="357"/>
        <v>141609.58146439461</v>
      </c>
      <c r="CS23" s="1251">
        <f t="shared" si="357"/>
        <v>137041.5304494141</v>
      </c>
      <c r="CT23" s="1251">
        <f t="shared" si="357"/>
        <v>141609.58146439461</v>
      </c>
      <c r="CU23" s="1251">
        <f t="shared" si="357"/>
        <v>137041.5304494141</v>
      </c>
      <c r="CV23" s="1251">
        <f t="shared" si="357"/>
        <v>141609.58146439461</v>
      </c>
      <c r="CW23" s="1251">
        <f t="shared" si="357"/>
        <v>141609.58146439461</v>
      </c>
      <c r="CX23" s="1251">
        <f t="shared" si="357"/>
        <v>134300.69984042583</v>
      </c>
      <c r="CY23" s="1251">
        <f t="shared" si="357"/>
        <v>148690.06053761434</v>
      </c>
      <c r="CZ23" s="1251">
        <f t="shared" si="357"/>
        <v>143893.60697188482</v>
      </c>
      <c r="DA23" s="1251">
        <f t="shared" si="357"/>
        <v>148690.06053761434</v>
      </c>
      <c r="DB23" s="1251">
        <f t="shared" si="357"/>
        <v>143893.60697188482</v>
      </c>
      <c r="DC23" s="1251">
        <f t="shared" si="357"/>
        <v>148690.06053761434</v>
      </c>
      <c r="DD23" s="1251">
        <f t="shared" si="357"/>
        <v>148690.06053761434</v>
      </c>
      <c r="DE23" s="1251">
        <f t="shared" si="357"/>
        <v>143893.60697188482</v>
      </c>
      <c r="DF23" s="1251">
        <f t="shared" si="357"/>
        <v>148690.06053761434</v>
      </c>
      <c r="DG23" s="1251">
        <f t="shared" si="357"/>
        <v>143893.60697188482</v>
      </c>
      <c r="DH23" s="1251">
        <f t="shared" si="357"/>
        <v>148690.06053761434</v>
      </c>
      <c r="DI23" s="1251">
        <f t="shared" si="357"/>
        <v>148690.06053761434</v>
      </c>
      <c r="DJ23" s="1251">
        <f t="shared" si="357"/>
        <v>146052.01107646312</v>
      </c>
      <c r="DK23" s="1251">
        <f t="shared" si="357"/>
        <v>156124.56356449507</v>
      </c>
      <c r="DL23" s="1251">
        <f t="shared" si="357"/>
        <v>151088.28732047908</v>
      </c>
      <c r="DM23" s="1251">
        <f t="shared" si="357"/>
        <v>156124.56356449507</v>
      </c>
      <c r="DN23" s="1251">
        <f t="shared" si="357"/>
        <v>151088.28732047908</v>
      </c>
      <c r="DO23" s="1251">
        <f t="shared" si="357"/>
        <v>156124.56356449507</v>
      </c>
      <c r="DP23" s="1251">
        <f t="shared" si="357"/>
        <v>156124.56356449507</v>
      </c>
      <c r="DQ23" s="1251">
        <f t="shared" si="357"/>
        <v>151088.28732047908</v>
      </c>
      <c r="DR23" s="1251">
        <f t="shared" si="357"/>
        <v>156124.56356449507</v>
      </c>
      <c r="DS23" s="1251">
        <f t="shared" si="357"/>
        <v>151088.28732047908</v>
      </c>
      <c r="DT23" s="1251">
        <f t="shared" si="357"/>
        <v>156124.56356449507</v>
      </c>
      <c r="DU23" s="1252">
        <f t="shared" si="357"/>
        <v>156124.56356449507</v>
      </c>
      <c r="DV23" s="1253"/>
      <c r="DW23" s="1254">
        <f t="shared" si="354"/>
        <v>75674.25</v>
      </c>
      <c r="DX23" s="1255">
        <f t="shared" si="354"/>
        <v>288932.1428571429</v>
      </c>
      <c r="DY23" s="1256">
        <f t="shared" si="354"/>
        <v>298671.42857142858</v>
      </c>
      <c r="DZ23" s="1256">
        <f t="shared" si="354"/>
        <v>298671.42857142858</v>
      </c>
      <c r="EA23" s="1257">
        <f t="shared" si="354"/>
        <v>298671.42857142858</v>
      </c>
      <c r="EB23" s="1258">
        <f t="shared" si="354"/>
        <v>1260620.6785714286</v>
      </c>
      <c r="EC23" s="1259">
        <f t="shared" si="354"/>
        <v>1247602.5</v>
      </c>
      <c r="ED23" s="1260">
        <f t="shared" si="354"/>
        <v>1306403.4375000002</v>
      </c>
      <c r="EE23" s="1261">
        <f>SUM(EE18:EE22)</f>
        <v>3814626.6160714291</v>
      </c>
      <c r="EF23" s="1259">
        <f t="shared" ref="EF23:EG23" si="358">SUM(EF18:EF22)</f>
        <v>1371723.6093750005</v>
      </c>
      <c r="EG23" s="1260">
        <f t="shared" si="358"/>
        <v>1440309.7898437507</v>
      </c>
      <c r="EH23" s="1261">
        <f>SUM(EH18:EH22)</f>
        <v>6626660.0152901802</v>
      </c>
      <c r="EI23" s="91"/>
      <c r="EJ23" s="1258">
        <f t="shared" ref="EJ23:EO23" si="359">SUM(EJ18:EJ22)</f>
        <v>1516468.6362656252</v>
      </c>
      <c r="EK23" s="1259">
        <f t="shared" si="359"/>
        <v>1587941.5433027351</v>
      </c>
      <c r="EL23" s="1262">
        <f t="shared" si="359"/>
        <v>1667338.6204678721</v>
      </c>
      <c r="EM23" s="1262">
        <f t="shared" si="359"/>
        <v>1750705.5514912659</v>
      </c>
      <c r="EN23" s="1260">
        <f t="shared" si="359"/>
        <v>1843277.1053098449</v>
      </c>
      <c r="EO23" s="1261">
        <f t="shared" si="359"/>
        <v>14992391.472127523</v>
      </c>
      <c r="EQ23" s="14">
        <f t="shared" si="353"/>
        <v>0</v>
      </c>
    </row>
    <row r="24" spans="1:147" ht="13.5" thickBot="1" x14ac:dyDescent="0.35">
      <c r="B24" s="598" t="s">
        <v>139</v>
      </c>
      <c r="C24" s="565"/>
      <c r="D24" s="15"/>
      <c r="E24" s="15">
        <v>1</v>
      </c>
      <c r="F24" s="15">
        <v>1</v>
      </c>
      <c r="G24" s="15">
        <v>1</v>
      </c>
      <c r="H24" s="15">
        <v>1</v>
      </c>
      <c r="I24" s="15">
        <v>1</v>
      </c>
      <c r="J24" s="15">
        <v>1</v>
      </c>
      <c r="K24" s="15">
        <v>1</v>
      </c>
      <c r="L24" s="15">
        <v>1</v>
      </c>
      <c r="M24" s="15">
        <v>1</v>
      </c>
      <c r="N24" s="15">
        <v>1</v>
      </c>
      <c r="O24" s="15">
        <v>1</v>
      </c>
      <c r="P24" s="15">
        <v>1</v>
      </c>
      <c r="Q24" s="15">
        <v>1</v>
      </c>
      <c r="R24" s="15">
        <v>1</v>
      </c>
      <c r="S24" s="15">
        <v>1</v>
      </c>
      <c r="T24" s="15">
        <v>1</v>
      </c>
      <c r="U24" s="15">
        <v>1</v>
      </c>
      <c r="V24" s="15">
        <v>1</v>
      </c>
      <c r="W24" s="15">
        <v>1</v>
      </c>
      <c r="X24" s="15">
        <v>1</v>
      </c>
      <c r="Y24" s="15">
        <v>1</v>
      </c>
      <c r="Z24" s="15">
        <v>1</v>
      </c>
      <c r="AA24" s="15">
        <v>1</v>
      </c>
      <c r="AB24" s="15">
        <v>1</v>
      </c>
      <c r="AC24" s="15">
        <v>1</v>
      </c>
      <c r="AD24" s="15">
        <v>1</v>
      </c>
      <c r="AE24" s="15">
        <v>1</v>
      </c>
      <c r="AF24" s="15">
        <v>1</v>
      </c>
      <c r="AG24" s="15">
        <v>1</v>
      </c>
      <c r="AH24" s="15">
        <v>1</v>
      </c>
      <c r="AI24" s="15">
        <v>1</v>
      </c>
      <c r="AJ24" s="15">
        <v>1</v>
      </c>
      <c r="AK24" s="15">
        <v>1</v>
      </c>
      <c r="AL24" s="15">
        <v>1</v>
      </c>
      <c r="AM24" s="15">
        <v>1</v>
      </c>
      <c r="AN24" s="15">
        <v>1</v>
      </c>
      <c r="AO24" s="15">
        <v>1</v>
      </c>
      <c r="AP24" s="15">
        <v>1</v>
      </c>
      <c r="AQ24" s="15">
        <v>1</v>
      </c>
      <c r="AR24" s="15">
        <v>1</v>
      </c>
      <c r="AS24" s="15">
        <v>1</v>
      </c>
      <c r="AT24" s="15">
        <v>1</v>
      </c>
      <c r="AU24" s="15">
        <v>1</v>
      </c>
      <c r="AV24" s="15">
        <v>1</v>
      </c>
      <c r="AW24" s="15">
        <v>1</v>
      </c>
      <c r="AX24" s="15">
        <v>1</v>
      </c>
      <c r="AY24" s="15">
        <v>1</v>
      </c>
      <c r="AZ24" s="15">
        <v>1</v>
      </c>
      <c r="BA24" s="15">
        <v>1</v>
      </c>
      <c r="BB24" s="15">
        <v>1</v>
      </c>
      <c r="BC24" s="15">
        <v>1</v>
      </c>
      <c r="BD24" s="15">
        <v>1</v>
      </c>
      <c r="BE24" s="15">
        <v>1</v>
      </c>
      <c r="BF24" s="15">
        <v>1</v>
      </c>
      <c r="BG24" s="15">
        <v>1</v>
      </c>
      <c r="BH24" s="15">
        <v>1</v>
      </c>
      <c r="BI24" s="15">
        <v>1</v>
      </c>
      <c r="BJ24" s="15">
        <v>1</v>
      </c>
      <c r="BK24" s="15">
        <v>1</v>
      </c>
      <c r="BL24" s="15">
        <v>1</v>
      </c>
      <c r="BM24" s="15">
        <v>1</v>
      </c>
      <c r="BN24" s="15">
        <v>1</v>
      </c>
      <c r="BO24" s="15">
        <v>1</v>
      </c>
      <c r="BP24" s="15">
        <v>1</v>
      </c>
      <c r="BQ24" s="15">
        <v>1</v>
      </c>
      <c r="BR24" s="15">
        <v>1</v>
      </c>
      <c r="BS24" s="15">
        <v>1</v>
      </c>
      <c r="BT24" s="15">
        <v>1</v>
      </c>
      <c r="BU24" s="15">
        <v>1</v>
      </c>
      <c r="BV24" s="15">
        <v>1</v>
      </c>
      <c r="BW24" s="15">
        <v>1</v>
      </c>
      <c r="BX24" s="15">
        <v>1</v>
      </c>
      <c r="BY24" s="15">
        <v>1</v>
      </c>
      <c r="BZ24" s="15">
        <v>1</v>
      </c>
      <c r="CA24" s="15">
        <v>1</v>
      </c>
      <c r="CB24" s="15">
        <v>1</v>
      </c>
      <c r="CC24" s="15">
        <v>1</v>
      </c>
      <c r="CD24" s="15">
        <v>1</v>
      </c>
      <c r="CE24" s="15">
        <v>1</v>
      </c>
      <c r="CF24" s="15">
        <v>1</v>
      </c>
      <c r="CG24" s="15">
        <v>1</v>
      </c>
      <c r="CH24" s="15">
        <v>1</v>
      </c>
      <c r="CI24" s="15">
        <v>1</v>
      </c>
      <c r="CJ24" s="15">
        <v>1</v>
      </c>
      <c r="CK24" s="15">
        <v>1</v>
      </c>
      <c r="CL24" s="15">
        <v>1</v>
      </c>
      <c r="CM24" s="15">
        <v>1</v>
      </c>
      <c r="CN24" s="15">
        <v>1</v>
      </c>
      <c r="CO24" s="15">
        <v>1</v>
      </c>
      <c r="CP24" s="15">
        <v>1</v>
      </c>
      <c r="CQ24" s="15">
        <v>1</v>
      </c>
      <c r="CR24" s="15">
        <v>1</v>
      </c>
      <c r="CS24" s="15">
        <v>1</v>
      </c>
      <c r="CT24" s="15">
        <v>1</v>
      </c>
      <c r="CU24" s="15">
        <v>1</v>
      </c>
      <c r="CV24" s="15">
        <v>1</v>
      </c>
      <c r="CW24" s="15">
        <v>1</v>
      </c>
      <c r="CX24" s="15">
        <v>1</v>
      </c>
      <c r="CY24" s="15">
        <v>1</v>
      </c>
      <c r="CZ24" s="15">
        <v>1</v>
      </c>
      <c r="DA24" s="15">
        <v>1</v>
      </c>
      <c r="DB24" s="15">
        <v>1</v>
      </c>
      <c r="DC24" s="15">
        <v>1</v>
      </c>
      <c r="DD24" s="15">
        <v>1</v>
      </c>
      <c r="DE24" s="15">
        <v>1</v>
      </c>
      <c r="DF24" s="15">
        <v>1</v>
      </c>
      <c r="DG24" s="15">
        <v>1</v>
      </c>
      <c r="DH24" s="15">
        <v>1</v>
      </c>
      <c r="DI24" s="15">
        <v>1</v>
      </c>
      <c r="DJ24" s="15">
        <v>1</v>
      </c>
      <c r="DK24" s="15">
        <v>1</v>
      </c>
      <c r="DL24" s="15">
        <v>1</v>
      </c>
      <c r="DM24" s="15">
        <v>1</v>
      </c>
      <c r="DN24" s="15">
        <v>1</v>
      </c>
      <c r="DO24" s="15">
        <v>1</v>
      </c>
      <c r="DP24" s="15">
        <v>1</v>
      </c>
      <c r="DQ24" s="15">
        <v>1</v>
      </c>
      <c r="DR24" s="15">
        <v>1</v>
      </c>
      <c r="DS24" s="15">
        <v>1</v>
      </c>
      <c r="DT24" s="15">
        <v>1</v>
      </c>
      <c r="DU24" s="140">
        <v>1</v>
      </c>
      <c r="DV24" s="382"/>
      <c r="DW24" s="382"/>
      <c r="DX24" s="15"/>
      <c r="DY24" s="15"/>
      <c r="DZ24" s="15"/>
      <c r="EA24" s="140"/>
      <c r="EB24" s="15"/>
      <c r="EC24" s="15"/>
      <c r="ED24" s="140"/>
      <c r="EE24" s="140"/>
      <c r="EF24" s="15"/>
      <c r="EG24" s="140"/>
      <c r="EH24" s="140"/>
      <c r="EJ24" s="15"/>
      <c r="EK24" s="15"/>
      <c r="EL24" s="15"/>
      <c r="EM24" s="15"/>
      <c r="EN24" s="140"/>
      <c r="EO24" s="140"/>
    </row>
    <row r="25" spans="1:147" ht="13.5" thickBot="1" x14ac:dyDescent="0.35">
      <c r="B25" s="597" t="s">
        <v>140</v>
      </c>
      <c r="C25" s="18"/>
      <c r="D25" s="18"/>
      <c r="E25" s="1250">
        <f>E23</f>
        <v>75674.25</v>
      </c>
      <c r="F25" s="1251">
        <f t="shared" ref="F25:EG25" si="360">F23</f>
        <v>90900</v>
      </c>
      <c r="G25" s="1251">
        <f t="shared" si="360"/>
        <v>100639.28571428572</v>
      </c>
      <c r="H25" s="1251">
        <f t="shared" si="360"/>
        <v>97392.857142857145</v>
      </c>
      <c r="I25" s="1251">
        <f t="shared" si="360"/>
        <v>100639.28571428572</v>
      </c>
      <c r="J25" s="1251">
        <f t="shared" si="360"/>
        <v>97392.857142857145</v>
      </c>
      <c r="K25" s="1251">
        <f t="shared" si="360"/>
        <v>100639.28571428572</v>
      </c>
      <c r="L25" s="1251">
        <f t="shared" si="360"/>
        <v>100639.28571428572</v>
      </c>
      <c r="M25" s="1251">
        <f t="shared" si="360"/>
        <v>97392.857142857145</v>
      </c>
      <c r="N25" s="1251">
        <f t="shared" ref="N25:AO25" si="361">N23</f>
        <v>100639.28571428572</v>
      </c>
      <c r="O25" s="1251">
        <f t="shared" si="361"/>
        <v>97392.857142857145</v>
      </c>
      <c r="P25" s="1251">
        <f t="shared" si="361"/>
        <v>100639.28571428572</v>
      </c>
      <c r="Q25" s="1251">
        <f t="shared" si="361"/>
        <v>100639.28571428572</v>
      </c>
      <c r="R25" s="1251">
        <f t="shared" si="361"/>
        <v>98853.750000000015</v>
      </c>
      <c r="S25" s="1251">
        <f t="shared" si="361"/>
        <v>105671.25000000001</v>
      </c>
      <c r="T25" s="1251">
        <f t="shared" si="361"/>
        <v>102262.5</v>
      </c>
      <c r="U25" s="1251">
        <f t="shared" si="361"/>
        <v>105671.25000000001</v>
      </c>
      <c r="V25" s="1251">
        <f t="shared" si="361"/>
        <v>102262.5</v>
      </c>
      <c r="W25" s="1251">
        <f t="shared" si="361"/>
        <v>105671.25000000001</v>
      </c>
      <c r="X25" s="1251">
        <f t="shared" si="361"/>
        <v>105671.25000000001</v>
      </c>
      <c r="Y25" s="1251">
        <f t="shared" si="361"/>
        <v>102262.5</v>
      </c>
      <c r="Z25" s="1251">
        <f t="shared" si="361"/>
        <v>105671.25000000001</v>
      </c>
      <c r="AA25" s="1251">
        <f t="shared" si="361"/>
        <v>102262.5</v>
      </c>
      <c r="AB25" s="1251">
        <f t="shared" si="361"/>
        <v>105671.25000000001</v>
      </c>
      <c r="AC25" s="1251">
        <f t="shared" si="361"/>
        <v>105671.25000000001</v>
      </c>
      <c r="AD25" s="1251">
        <f t="shared" si="361"/>
        <v>100217.25000000001</v>
      </c>
      <c r="AE25" s="1251">
        <f t="shared" si="361"/>
        <v>110954.81250000003</v>
      </c>
      <c r="AF25" s="1251">
        <f t="shared" si="361"/>
        <v>107375.62500000001</v>
      </c>
      <c r="AG25" s="1251">
        <f t="shared" si="361"/>
        <v>110954.81250000003</v>
      </c>
      <c r="AH25" s="1251">
        <f t="shared" si="361"/>
        <v>107375.62500000001</v>
      </c>
      <c r="AI25" s="1251">
        <f t="shared" si="361"/>
        <v>110954.81250000003</v>
      </c>
      <c r="AJ25" s="1251">
        <f t="shared" si="361"/>
        <v>110954.81250000003</v>
      </c>
      <c r="AK25" s="1251">
        <f t="shared" si="361"/>
        <v>107375.62500000001</v>
      </c>
      <c r="AL25" s="1251">
        <f t="shared" si="361"/>
        <v>110954.81250000003</v>
      </c>
      <c r="AM25" s="1251">
        <f t="shared" si="361"/>
        <v>107375.62500000001</v>
      </c>
      <c r="AN25" s="1251">
        <f t="shared" si="361"/>
        <v>110954.81250000003</v>
      </c>
      <c r="AO25" s="1251">
        <f t="shared" si="361"/>
        <v>110954.81250000003</v>
      </c>
      <c r="AP25" s="1251">
        <f t="shared" ref="AP25:BM25" si="362">AP23</f>
        <v>105228.11250000002</v>
      </c>
      <c r="AQ25" s="1251">
        <f t="shared" si="362"/>
        <v>116502.55312500003</v>
      </c>
      <c r="AR25" s="1251">
        <f t="shared" si="362"/>
        <v>112744.40625000003</v>
      </c>
      <c r="AS25" s="1251">
        <f t="shared" si="362"/>
        <v>116502.55312500003</v>
      </c>
      <c r="AT25" s="1251">
        <f t="shared" si="362"/>
        <v>112744.40625000003</v>
      </c>
      <c r="AU25" s="1251">
        <f t="shared" si="362"/>
        <v>116502.55312500003</v>
      </c>
      <c r="AV25" s="1251">
        <f t="shared" si="362"/>
        <v>116502.55312500003</v>
      </c>
      <c r="AW25" s="1251">
        <f t="shared" si="362"/>
        <v>112744.40625000003</v>
      </c>
      <c r="AX25" s="1251">
        <f t="shared" si="362"/>
        <v>116502.55312500003</v>
      </c>
      <c r="AY25" s="1251">
        <f t="shared" si="362"/>
        <v>112744.40625000003</v>
      </c>
      <c r="AZ25" s="1251">
        <f t="shared" si="362"/>
        <v>116502.55312500003</v>
      </c>
      <c r="BA25" s="1251">
        <f t="shared" si="362"/>
        <v>116502.55312500003</v>
      </c>
      <c r="BB25" s="1251">
        <f t="shared" si="362"/>
        <v>110489.51812500002</v>
      </c>
      <c r="BC25" s="1251">
        <f t="shared" si="362"/>
        <v>122327.68078125005</v>
      </c>
      <c r="BD25" s="1251">
        <f t="shared" si="362"/>
        <v>118381.62656250002</v>
      </c>
      <c r="BE25" s="1251">
        <f t="shared" si="362"/>
        <v>122327.68078125005</v>
      </c>
      <c r="BF25" s="1251">
        <f t="shared" si="362"/>
        <v>118381.62656250002</v>
      </c>
      <c r="BG25" s="1251">
        <f t="shared" si="362"/>
        <v>122327.68078125005</v>
      </c>
      <c r="BH25" s="1251">
        <f t="shared" si="362"/>
        <v>122327.68078125005</v>
      </c>
      <c r="BI25" s="1251">
        <f t="shared" si="362"/>
        <v>118381.62656250002</v>
      </c>
      <c r="BJ25" s="1251">
        <f t="shared" si="362"/>
        <v>122327.68078125005</v>
      </c>
      <c r="BK25" s="1251">
        <f t="shared" si="362"/>
        <v>118381.62656250002</v>
      </c>
      <c r="BL25" s="1251">
        <f t="shared" si="362"/>
        <v>122327.68078125005</v>
      </c>
      <c r="BM25" s="1251">
        <f t="shared" si="362"/>
        <v>122327.68078125005</v>
      </c>
      <c r="BN25" s="1251">
        <f t="shared" ref="BN25:DU25" si="363">BN23</f>
        <v>120157.35096093753</v>
      </c>
      <c r="BO25" s="1251">
        <f t="shared" si="363"/>
        <v>128444.06482031255</v>
      </c>
      <c r="BP25" s="1251">
        <f t="shared" si="363"/>
        <v>124300.70789062502</v>
      </c>
      <c r="BQ25" s="1251">
        <f t="shared" si="363"/>
        <v>128444.06482031255</v>
      </c>
      <c r="BR25" s="1251">
        <f t="shared" si="363"/>
        <v>124300.70789062502</v>
      </c>
      <c r="BS25" s="1251">
        <f t="shared" si="363"/>
        <v>128444.06482031255</v>
      </c>
      <c r="BT25" s="1251">
        <f t="shared" si="363"/>
        <v>128444.06482031255</v>
      </c>
      <c r="BU25" s="1251">
        <f t="shared" si="363"/>
        <v>124300.70789062502</v>
      </c>
      <c r="BV25" s="1251">
        <f t="shared" si="363"/>
        <v>128444.06482031255</v>
      </c>
      <c r="BW25" s="1251">
        <f t="shared" si="363"/>
        <v>124300.70789062502</v>
      </c>
      <c r="BX25" s="1251">
        <f t="shared" si="363"/>
        <v>128444.06482031255</v>
      </c>
      <c r="BY25" s="1251">
        <f t="shared" si="363"/>
        <v>128444.06482031255</v>
      </c>
      <c r="BZ25" s="1251">
        <f t="shared" si="363"/>
        <v>121814.69373281254</v>
      </c>
      <c r="CA25" s="1251">
        <f t="shared" si="363"/>
        <v>134866.26806132818</v>
      </c>
      <c r="CB25" s="1251">
        <f t="shared" si="363"/>
        <v>130515.74328515629</v>
      </c>
      <c r="CC25" s="1251">
        <f t="shared" si="363"/>
        <v>134866.26806132818</v>
      </c>
      <c r="CD25" s="1251">
        <f t="shared" si="363"/>
        <v>130515.74328515629</v>
      </c>
      <c r="CE25" s="1251">
        <f t="shared" si="363"/>
        <v>134866.26806132818</v>
      </c>
      <c r="CF25" s="1251">
        <f t="shared" si="363"/>
        <v>134866.26806132818</v>
      </c>
      <c r="CG25" s="1251">
        <f t="shared" si="363"/>
        <v>130515.74328515629</v>
      </c>
      <c r="CH25" s="1251">
        <f t="shared" si="363"/>
        <v>134866.26806132818</v>
      </c>
      <c r="CI25" s="1251">
        <f t="shared" si="363"/>
        <v>130515.74328515629</v>
      </c>
      <c r="CJ25" s="1251">
        <f t="shared" si="363"/>
        <v>134866.26806132818</v>
      </c>
      <c r="CK25" s="1251">
        <f t="shared" si="363"/>
        <v>134866.26806132818</v>
      </c>
      <c r="CL25" s="1251">
        <f t="shared" si="363"/>
        <v>127905.42841945316</v>
      </c>
      <c r="CM25" s="1251">
        <f t="shared" si="363"/>
        <v>141609.58146439461</v>
      </c>
      <c r="CN25" s="1251">
        <f t="shared" si="363"/>
        <v>137041.5304494141</v>
      </c>
      <c r="CO25" s="1251">
        <f t="shared" si="363"/>
        <v>141609.58146439461</v>
      </c>
      <c r="CP25" s="1251">
        <f t="shared" si="363"/>
        <v>137041.5304494141</v>
      </c>
      <c r="CQ25" s="1251">
        <f t="shared" si="363"/>
        <v>141609.58146439461</v>
      </c>
      <c r="CR25" s="1251">
        <f t="shared" si="363"/>
        <v>141609.58146439461</v>
      </c>
      <c r="CS25" s="1251">
        <f t="shared" si="363"/>
        <v>137041.5304494141</v>
      </c>
      <c r="CT25" s="1251">
        <f t="shared" si="363"/>
        <v>141609.58146439461</v>
      </c>
      <c r="CU25" s="1251">
        <f t="shared" si="363"/>
        <v>137041.5304494141</v>
      </c>
      <c r="CV25" s="1251">
        <f t="shared" si="363"/>
        <v>141609.58146439461</v>
      </c>
      <c r="CW25" s="1251">
        <f t="shared" si="363"/>
        <v>141609.58146439461</v>
      </c>
      <c r="CX25" s="1251">
        <f t="shared" si="363"/>
        <v>134300.69984042583</v>
      </c>
      <c r="CY25" s="1251">
        <f t="shared" si="363"/>
        <v>148690.06053761434</v>
      </c>
      <c r="CZ25" s="1251">
        <f t="shared" si="363"/>
        <v>143893.60697188482</v>
      </c>
      <c r="DA25" s="1251">
        <f t="shared" si="363"/>
        <v>148690.06053761434</v>
      </c>
      <c r="DB25" s="1251">
        <f t="shared" si="363"/>
        <v>143893.60697188482</v>
      </c>
      <c r="DC25" s="1251">
        <f t="shared" si="363"/>
        <v>148690.06053761434</v>
      </c>
      <c r="DD25" s="1251">
        <f t="shared" si="363"/>
        <v>148690.06053761434</v>
      </c>
      <c r="DE25" s="1251">
        <f t="shared" si="363"/>
        <v>143893.60697188482</v>
      </c>
      <c r="DF25" s="1251">
        <f t="shared" si="363"/>
        <v>148690.06053761434</v>
      </c>
      <c r="DG25" s="1251">
        <f t="shared" si="363"/>
        <v>143893.60697188482</v>
      </c>
      <c r="DH25" s="1251">
        <f t="shared" si="363"/>
        <v>148690.06053761434</v>
      </c>
      <c r="DI25" s="1251">
        <f t="shared" si="363"/>
        <v>148690.06053761434</v>
      </c>
      <c r="DJ25" s="1251">
        <f t="shared" si="363"/>
        <v>146052.01107646312</v>
      </c>
      <c r="DK25" s="1251">
        <f t="shared" si="363"/>
        <v>156124.56356449507</v>
      </c>
      <c r="DL25" s="1251">
        <f t="shared" si="363"/>
        <v>151088.28732047908</v>
      </c>
      <c r="DM25" s="1251">
        <f t="shared" si="363"/>
        <v>156124.56356449507</v>
      </c>
      <c r="DN25" s="1251">
        <f t="shared" si="363"/>
        <v>151088.28732047908</v>
      </c>
      <c r="DO25" s="1251">
        <f t="shared" si="363"/>
        <v>156124.56356449507</v>
      </c>
      <c r="DP25" s="1251">
        <f t="shared" si="363"/>
        <v>156124.56356449507</v>
      </c>
      <c r="DQ25" s="1251">
        <f t="shared" si="363"/>
        <v>151088.28732047908</v>
      </c>
      <c r="DR25" s="1251">
        <f t="shared" si="363"/>
        <v>156124.56356449507</v>
      </c>
      <c r="DS25" s="1251">
        <f t="shared" si="363"/>
        <v>151088.28732047908</v>
      </c>
      <c r="DT25" s="1251">
        <f t="shared" si="363"/>
        <v>156124.56356449507</v>
      </c>
      <c r="DU25" s="1252">
        <f t="shared" si="363"/>
        <v>156124.56356449507</v>
      </c>
      <c r="DV25" s="1253"/>
      <c r="DW25" s="1254">
        <f t="shared" si="360"/>
        <v>75674.25</v>
      </c>
      <c r="DX25" s="1255">
        <f t="shared" si="360"/>
        <v>288932.1428571429</v>
      </c>
      <c r="DY25" s="1256">
        <f t="shared" si="360"/>
        <v>298671.42857142858</v>
      </c>
      <c r="DZ25" s="1256">
        <f t="shared" si="360"/>
        <v>298671.42857142858</v>
      </c>
      <c r="EA25" s="1257">
        <f t="shared" ref="EA25:ED25" si="364">EA23</f>
        <v>298671.42857142858</v>
      </c>
      <c r="EB25" s="1258">
        <f t="shared" si="364"/>
        <v>1260620.6785714286</v>
      </c>
      <c r="EC25" s="1259">
        <f t="shared" si="364"/>
        <v>1247602.5</v>
      </c>
      <c r="ED25" s="1260">
        <f t="shared" si="364"/>
        <v>1306403.4375000002</v>
      </c>
      <c r="EE25" s="1261">
        <f t="shared" si="360"/>
        <v>3814626.6160714291</v>
      </c>
      <c r="EF25" s="1259">
        <f t="shared" si="360"/>
        <v>1371723.6093750005</v>
      </c>
      <c r="EG25" s="1260">
        <f t="shared" si="360"/>
        <v>1440309.7898437507</v>
      </c>
      <c r="EH25" s="1261">
        <f t="shared" ref="EH25:EO25" si="365">EH23</f>
        <v>6626660.0152901802</v>
      </c>
      <c r="EJ25" s="160">
        <f t="shared" si="365"/>
        <v>1516468.6362656252</v>
      </c>
      <c r="EK25" s="161">
        <f t="shared" si="365"/>
        <v>1587941.5433027351</v>
      </c>
      <c r="EL25" s="636">
        <f t="shared" si="365"/>
        <v>1667338.6204678721</v>
      </c>
      <c r="EM25" s="636">
        <f t="shared" si="365"/>
        <v>1750705.5514912659</v>
      </c>
      <c r="EN25" s="162">
        <f t="shared" si="365"/>
        <v>1843277.1053098449</v>
      </c>
      <c r="EO25" s="159">
        <f t="shared" si="365"/>
        <v>14992391.472127523</v>
      </c>
      <c r="EQ25" s="14">
        <f t="shared" si="353"/>
        <v>0</v>
      </c>
    </row>
    <row r="26" spans="1:147" x14ac:dyDescent="0.3">
      <c r="A26" s="46"/>
      <c r="B26" s="596" t="s">
        <v>7</v>
      </c>
      <c r="C26" s="20"/>
      <c r="D26" s="20"/>
      <c r="E26" s="1263">
        <f>SUM(E129:E130,E134)/E$5</f>
        <v>31951.164046475631</v>
      </c>
      <c r="F26" s="1264">
        <f t="shared" ref="F26:BQ26" si="366">SUM(F129:F130,F134)/F$5</f>
        <v>28124.617506192953</v>
      </c>
      <c r="G26" s="1264">
        <f t="shared" si="366"/>
        <v>28694.567001142448</v>
      </c>
      <c r="H26" s="1264">
        <f t="shared" si="366"/>
        <v>28694.567001142448</v>
      </c>
      <c r="I26" s="1264">
        <f t="shared" si="366"/>
        <v>28465.235410012563</v>
      </c>
      <c r="J26" s="1264">
        <f t="shared" si="366"/>
        <v>28341.782502253369</v>
      </c>
      <c r="K26" s="1264">
        <f t="shared" si="366"/>
        <v>26303.727178826797</v>
      </c>
      <c r="L26" s="1264">
        <f t="shared" si="366"/>
        <v>26303.727178826797</v>
      </c>
      <c r="M26" s="1264">
        <f t="shared" si="366"/>
        <v>26303.727178826797</v>
      </c>
      <c r="N26" s="1264">
        <f t="shared" si="366"/>
        <v>26303.727178826797</v>
      </c>
      <c r="O26" s="1264">
        <f t="shared" si="366"/>
        <v>26303.727178826797</v>
      </c>
      <c r="P26" s="1264">
        <f t="shared" si="366"/>
        <v>26215.519016964536</v>
      </c>
      <c r="Q26" s="1264">
        <f t="shared" si="366"/>
        <v>26215.519016964536</v>
      </c>
      <c r="R26" s="1264">
        <f t="shared" si="366"/>
        <v>27526.294967812762</v>
      </c>
      <c r="S26" s="1264">
        <f t="shared" si="366"/>
        <v>27526.294967812762</v>
      </c>
      <c r="T26" s="1264">
        <f t="shared" si="366"/>
        <v>27526.294967812762</v>
      </c>
      <c r="U26" s="1264">
        <f t="shared" si="366"/>
        <v>27526.294967812762</v>
      </c>
      <c r="V26" s="1264">
        <f t="shared" si="366"/>
        <v>27526.294967812762</v>
      </c>
      <c r="W26" s="1264">
        <f t="shared" si="366"/>
        <v>27526.294967812762</v>
      </c>
      <c r="X26" s="1264">
        <f t="shared" si="366"/>
        <v>27526.294967812762</v>
      </c>
      <c r="Y26" s="1264">
        <f t="shared" si="366"/>
        <v>27526.294967812762</v>
      </c>
      <c r="Z26" s="1264">
        <f t="shared" si="366"/>
        <v>27526.294967812762</v>
      </c>
      <c r="AA26" s="1264">
        <f t="shared" si="366"/>
        <v>27526.294967812762</v>
      </c>
      <c r="AB26" s="1264">
        <f t="shared" si="366"/>
        <v>27526.294967812762</v>
      </c>
      <c r="AC26" s="1264">
        <f t="shared" si="366"/>
        <v>27526.294967812762</v>
      </c>
      <c r="AD26" s="1264">
        <f t="shared" si="366"/>
        <v>28902.609716203402</v>
      </c>
      <c r="AE26" s="1264">
        <f t="shared" si="366"/>
        <v>28902.609716203402</v>
      </c>
      <c r="AF26" s="1264">
        <f t="shared" si="366"/>
        <v>28902.609716203402</v>
      </c>
      <c r="AG26" s="1264">
        <f t="shared" si="366"/>
        <v>28902.609716203402</v>
      </c>
      <c r="AH26" s="1264">
        <f t="shared" si="366"/>
        <v>28902.609716203402</v>
      </c>
      <c r="AI26" s="1264">
        <f t="shared" si="366"/>
        <v>28902.609716203402</v>
      </c>
      <c r="AJ26" s="1264">
        <f t="shared" si="366"/>
        <v>28902.609716203402</v>
      </c>
      <c r="AK26" s="1264">
        <f t="shared" si="366"/>
        <v>28902.609716203402</v>
      </c>
      <c r="AL26" s="1264">
        <f t="shared" si="366"/>
        <v>28902.609716203402</v>
      </c>
      <c r="AM26" s="1264">
        <f t="shared" si="366"/>
        <v>28902.609716203402</v>
      </c>
      <c r="AN26" s="1264">
        <f t="shared" si="366"/>
        <v>28902.609716203402</v>
      </c>
      <c r="AO26" s="1264">
        <f t="shared" si="366"/>
        <v>28902.609716203402</v>
      </c>
      <c r="AP26" s="1264">
        <f t="shared" si="366"/>
        <v>30347.740202013574</v>
      </c>
      <c r="AQ26" s="1264">
        <f t="shared" si="366"/>
        <v>30347.740202013574</v>
      </c>
      <c r="AR26" s="1264">
        <f t="shared" si="366"/>
        <v>30347.740202013574</v>
      </c>
      <c r="AS26" s="1264">
        <f t="shared" si="366"/>
        <v>30347.740202013574</v>
      </c>
      <c r="AT26" s="1264">
        <f t="shared" si="366"/>
        <v>30347.740202013574</v>
      </c>
      <c r="AU26" s="1264">
        <f t="shared" si="366"/>
        <v>30347.740202013574</v>
      </c>
      <c r="AV26" s="1264">
        <f t="shared" si="366"/>
        <v>30347.740202013574</v>
      </c>
      <c r="AW26" s="1264">
        <f t="shared" si="366"/>
        <v>30347.740202013574</v>
      </c>
      <c r="AX26" s="1264">
        <f t="shared" si="366"/>
        <v>30347.740202013574</v>
      </c>
      <c r="AY26" s="1264">
        <f t="shared" si="366"/>
        <v>30347.740202013574</v>
      </c>
      <c r="AZ26" s="1264">
        <f t="shared" si="366"/>
        <v>30347.740202013574</v>
      </c>
      <c r="BA26" s="1264">
        <f t="shared" si="366"/>
        <v>30347.740202013574</v>
      </c>
      <c r="BB26" s="1264">
        <f t="shared" si="366"/>
        <v>31865.127212114247</v>
      </c>
      <c r="BC26" s="1264">
        <f t="shared" si="366"/>
        <v>31865.127212114247</v>
      </c>
      <c r="BD26" s="1264">
        <f t="shared" si="366"/>
        <v>31865.127212114247</v>
      </c>
      <c r="BE26" s="1264">
        <f t="shared" si="366"/>
        <v>31865.127212114247</v>
      </c>
      <c r="BF26" s="1264">
        <f t="shared" si="366"/>
        <v>31865.127212114247</v>
      </c>
      <c r="BG26" s="1264">
        <f t="shared" si="366"/>
        <v>31865.127212114247</v>
      </c>
      <c r="BH26" s="1264">
        <f t="shared" si="366"/>
        <v>31865.127212114247</v>
      </c>
      <c r="BI26" s="1264">
        <f t="shared" si="366"/>
        <v>31865.127212114247</v>
      </c>
      <c r="BJ26" s="1264">
        <f t="shared" si="366"/>
        <v>31865.127212114247</v>
      </c>
      <c r="BK26" s="1264">
        <f t="shared" si="366"/>
        <v>31865.127212114247</v>
      </c>
      <c r="BL26" s="1264">
        <f t="shared" si="366"/>
        <v>31865.127212114247</v>
      </c>
      <c r="BM26" s="1264">
        <f t="shared" si="366"/>
        <v>31865.127212114247</v>
      </c>
      <c r="BN26" s="1264">
        <f t="shared" si="366"/>
        <v>33458.383572719969</v>
      </c>
      <c r="BO26" s="1264">
        <f t="shared" si="366"/>
        <v>33458.383572719969</v>
      </c>
      <c r="BP26" s="1264">
        <f t="shared" si="366"/>
        <v>33458.383572719969</v>
      </c>
      <c r="BQ26" s="1264">
        <f t="shared" si="366"/>
        <v>33458.383572719969</v>
      </c>
      <c r="BR26" s="1264">
        <f t="shared" ref="BR26:DU26" si="367">SUM(BR129:BR130,BR134)/BR$5</f>
        <v>33458.383572719969</v>
      </c>
      <c r="BS26" s="1264">
        <f t="shared" si="367"/>
        <v>33458.383572719969</v>
      </c>
      <c r="BT26" s="1264">
        <f t="shared" si="367"/>
        <v>33458.383572719969</v>
      </c>
      <c r="BU26" s="1264">
        <f t="shared" si="367"/>
        <v>33458.383572719969</v>
      </c>
      <c r="BV26" s="1264">
        <f t="shared" si="367"/>
        <v>33458.383572719969</v>
      </c>
      <c r="BW26" s="1264">
        <f t="shared" si="367"/>
        <v>33458.383572719969</v>
      </c>
      <c r="BX26" s="1264">
        <f t="shared" si="367"/>
        <v>33458.383572719969</v>
      </c>
      <c r="BY26" s="1264">
        <f t="shared" si="367"/>
        <v>33458.383572719969</v>
      </c>
      <c r="BZ26" s="1264">
        <f t="shared" si="367"/>
        <v>35131.302751355965</v>
      </c>
      <c r="CA26" s="1264">
        <f t="shared" si="367"/>
        <v>35131.302751355965</v>
      </c>
      <c r="CB26" s="1264">
        <f t="shared" si="367"/>
        <v>35131.302751355965</v>
      </c>
      <c r="CC26" s="1264">
        <f t="shared" si="367"/>
        <v>35131.302751355965</v>
      </c>
      <c r="CD26" s="1264">
        <f t="shared" si="367"/>
        <v>35131.302751355965</v>
      </c>
      <c r="CE26" s="1264">
        <f t="shared" si="367"/>
        <v>35131.302751355965</v>
      </c>
      <c r="CF26" s="1264">
        <f t="shared" si="367"/>
        <v>35131.302751355965</v>
      </c>
      <c r="CG26" s="1264">
        <f t="shared" si="367"/>
        <v>35131.302751355965</v>
      </c>
      <c r="CH26" s="1264">
        <f t="shared" si="367"/>
        <v>35131.302751355965</v>
      </c>
      <c r="CI26" s="1264">
        <f t="shared" si="367"/>
        <v>35131.302751355965</v>
      </c>
      <c r="CJ26" s="1264">
        <f t="shared" si="367"/>
        <v>35131.302751355965</v>
      </c>
      <c r="CK26" s="1264">
        <f t="shared" si="367"/>
        <v>35131.302751355965</v>
      </c>
      <c r="CL26" s="1264">
        <f t="shared" si="367"/>
        <v>36887.867888923771</v>
      </c>
      <c r="CM26" s="1264">
        <f t="shared" si="367"/>
        <v>36887.867888923771</v>
      </c>
      <c r="CN26" s="1264">
        <f t="shared" si="367"/>
        <v>36887.867888923771</v>
      </c>
      <c r="CO26" s="1264">
        <f t="shared" si="367"/>
        <v>36887.867888923771</v>
      </c>
      <c r="CP26" s="1264">
        <f t="shared" si="367"/>
        <v>36887.867888923771</v>
      </c>
      <c r="CQ26" s="1264">
        <f t="shared" si="367"/>
        <v>36887.867888923771</v>
      </c>
      <c r="CR26" s="1264">
        <f t="shared" si="367"/>
        <v>36887.867888923771</v>
      </c>
      <c r="CS26" s="1264">
        <f t="shared" si="367"/>
        <v>36887.867888923771</v>
      </c>
      <c r="CT26" s="1264">
        <f t="shared" si="367"/>
        <v>36887.867888923771</v>
      </c>
      <c r="CU26" s="1264">
        <f t="shared" si="367"/>
        <v>36887.867888923771</v>
      </c>
      <c r="CV26" s="1264">
        <f t="shared" si="367"/>
        <v>36887.867888923771</v>
      </c>
      <c r="CW26" s="1264">
        <f t="shared" si="367"/>
        <v>36887.867888923771</v>
      </c>
      <c r="CX26" s="1264">
        <f t="shared" si="367"/>
        <v>38732.261283369953</v>
      </c>
      <c r="CY26" s="1264">
        <f t="shared" si="367"/>
        <v>38732.261283369953</v>
      </c>
      <c r="CZ26" s="1264">
        <f t="shared" si="367"/>
        <v>38732.261283369953</v>
      </c>
      <c r="DA26" s="1264">
        <f t="shared" si="367"/>
        <v>38732.261283369953</v>
      </c>
      <c r="DB26" s="1264">
        <f t="shared" si="367"/>
        <v>38732.261283369953</v>
      </c>
      <c r="DC26" s="1264">
        <f t="shared" si="367"/>
        <v>38732.261283369953</v>
      </c>
      <c r="DD26" s="1264">
        <f t="shared" si="367"/>
        <v>38732.261283369953</v>
      </c>
      <c r="DE26" s="1264">
        <f t="shared" si="367"/>
        <v>38732.261283369953</v>
      </c>
      <c r="DF26" s="1264">
        <f t="shared" si="367"/>
        <v>38732.261283369953</v>
      </c>
      <c r="DG26" s="1264">
        <f t="shared" si="367"/>
        <v>38732.261283369953</v>
      </c>
      <c r="DH26" s="1264">
        <f t="shared" si="367"/>
        <v>38732.261283369953</v>
      </c>
      <c r="DI26" s="1264">
        <f t="shared" si="367"/>
        <v>38732.261283369953</v>
      </c>
      <c r="DJ26" s="1264">
        <f t="shared" si="367"/>
        <v>40668.874347538462</v>
      </c>
      <c r="DK26" s="1264">
        <f t="shared" si="367"/>
        <v>40668.874347538462</v>
      </c>
      <c r="DL26" s="1264">
        <f t="shared" si="367"/>
        <v>40668.874347538462</v>
      </c>
      <c r="DM26" s="1264">
        <f t="shared" si="367"/>
        <v>40668.874347538462</v>
      </c>
      <c r="DN26" s="1264">
        <f t="shared" si="367"/>
        <v>40668.874347538462</v>
      </c>
      <c r="DO26" s="1264">
        <f t="shared" si="367"/>
        <v>40668.874347538462</v>
      </c>
      <c r="DP26" s="1264">
        <f t="shared" si="367"/>
        <v>40668.874347538462</v>
      </c>
      <c r="DQ26" s="1264">
        <f t="shared" si="367"/>
        <v>40668.874347538462</v>
      </c>
      <c r="DR26" s="1264">
        <f t="shared" si="367"/>
        <v>40668.874347538462</v>
      </c>
      <c r="DS26" s="1264">
        <f t="shared" si="367"/>
        <v>40668.874347538462</v>
      </c>
      <c r="DT26" s="1264">
        <f t="shared" si="367"/>
        <v>40668.874347538462</v>
      </c>
      <c r="DU26" s="1265">
        <f t="shared" si="367"/>
        <v>40668.874347538462</v>
      </c>
      <c r="DV26" s="1265"/>
      <c r="DW26" s="1248">
        <f t="shared" ref="DW26:DW30" si="368">SUM(C26:E26)</f>
        <v>31951.164046475631</v>
      </c>
      <c r="DX26" s="1246">
        <f>SUM(F26:H26)</f>
        <v>85513.751508477857</v>
      </c>
      <c r="DY26" s="1247">
        <f>SUM(I26:K26)</f>
        <v>83110.745091092729</v>
      </c>
      <c r="DZ26" s="1247">
        <f>SUM(L26:N26)</f>
        <v>78911.181536480392</v>
      </c>
      <c r="EA26" s="1248">
        <f>SUM(O26:Q26)</f>
        <v>78734.765212755869</v>
      </c>
      <c r="EB26" s="1246">
        <f t="shared" ref="EB26:EB30" si="369">SUM(C26:Q26)</f>
        <v>358221.60739528254</v>
      </c>
      <c r="EC26" s="1247">
        <f>SUM(R26:AC26)</f>
        <v>330315.53961375327</v>
      </c>
      <c r="ED26" s="1248">
        <f>SUM(AD26:AO26)</f>
        <v>346831.3165944409</v>
      </c>
      <c r="EE26" s="1249">
        <f t="shared" ref="EE26:EE30" si="370">SUM(EB26:ED26)</f>
        <v>1035368.4636034768</v>
      </c>
      <c r="EF26" s="1247">
        <f t="shared" ref="EF26:EF30" si="371">SUM(AP26:BA26)</f>
        <v>364172.88242416288</v>
      </c>
      <c r="EG26" s="1248">
        <f t="shared" ref="EG26:EG30" si="372">SUM(BB26:BM26)</f>
        <v>382381.52654537093</v>
      </c>
      <c r="EH26" s="1249">
        <f t="shared" ref="EH26:EH30" si="373">SUM(EE26:EG26)</f>
        <v>1781922.8725730106</v>
      </c>
      <c r="EI26" s="638">
        <f>EH26/$EH$25</f>
        <v>0.2689021118423835</v>
      </c>
      <c r="EJ26" s="16">
        <f t="shared" si="347"/>
        <v>401500.60287263972</v>
      </c>
      <c r="EK26" s="17">
        <f t="shared" si="348"/>
        <v>421575.63301627169</v>
      </c>
      <c r="EL26" s="17">
        <f t="shared" si="349"/>
        <v>442654.41466708534</v>
      </c>
      <c r="EM26" s="17">
        <f t="shared" si="350"/>
        <v>464787.13540043955</v>
      </c>
      <c r="EN26" s="151">
        <f t="shared" si="351"/>
        <v>488026.49217046151</v>
      </c>
      <c r="EO26" s="139">
        <f t="shared" si="352"/>
        <v>4000467.1506999084</v>
      </c>
      <c r="EQ26" s="14">
        <f t="shared" si="353"/>
        <v>0</v>
      </c>
    </row>
    <row r="27" spans="1:147" x14ac:dyDescent="0.3">
      <c r="A27" s="46"/>
      <c r="B27" s="596" t="s">
        <v>9</v>
      </c>
      <c r="C27" s="20"/>
      <c r="D27" s="20"/>
      <c r="E27" s="1263">
        <f>((E106*E155)/(52/12))/E$5</f>
        <v>516.68093532410614</v>
      </c>
      <c r="F27" s="1264">
        <f t="shared" ref="F27:AJ27" si="374">((F106*F155)/F$5)</f>
        <v>2059.8275839802172</v>
      </c>
      <c r="G27" s="1264">
        <f t="shared" si="374"/>
        <v>2077.7884404111937</v>
      </c>
      <c r="H27" s="1264">
        <f t="shared" si="374"/>
        <v>2077.7884404111937</v>
      </c>
      <c r="I27" s="1264">
        <f t="shared" si="374"/>
        <v>2077.7884404111937</v>
      </c>
      <c r="J27" s="1264">
        <f t="shared" si="374"/>
        <v>2058.3712983236519</v>
      </c>
      <c r="K27" s="1264">
        <f t="shared" si="374"/>
        <v>2030.814067576765</v>
      </c>
      <c r="L27" s="1264">
        <f t="shared" si="374"/>
        <v>2030.814067576765</v>
      </c>
      <c r="M27" s="1264">
        <f t="shared" si="374"/>
        <v>2030.814067576765</v>
      </c>
      <c r="N27" s="1264">
        <f t="shared" si="374"/>
        <v>2030.814067576765</v>
      </c>
      <c r="O27" s="1264">
        <f t="shared" si="374"/>
        <v>2030.814067576765</v>
      </c>
      <c r="P27" s="1264">
        <f t="shared" si="374"/>
        <v>2021.1054965329936</v>
      </c>
      <c r="Q27" s="1264">
        <f t="shared" si="374"/>
        <v>2021.1054965329936</v>
      </c>
      <c r="R27" s="1264">
        <f t="shared" si="374"/>
        <v>2122.1607713596431</v>
      </c>
      <c r="S27" s="1264">
        <f t="shared" si="374"/>
        <v>2122.1607713596431</v>
      </c>
      <c r="T27" s="1264">
        <f t="shared" si="374"/>
        <v>2122.1607713596431</v>
      </c>
      <c r="U27" s="1264">
        <f t="shared" si="374"/>
        <v>2122.1607713596431</v>
      </c>
      <c r="V27" s="1264">
        <f t="shared" si="374"/>
        <v>2122.1607713596431</v>
      </c>
      <c r="W27" s="1264">
        <f t="shared" si="374"/>
        <v>2122.1607713596431</v>
      </c>
      <c r="X27" s="1264">
        <f t="shared" si="374"/>
        <v>2122.1607713596431</v>
      </c>
      <c r="Y27" s="1264">
        <f t="shared" si="374"/>
        <v>2122.1607713596431</v>
      </c>
      <c r="Z27" s="1264">
        <f t="shared" si="374"/>
        <v>2122.1607713596431</v>
      </c>
      <c r="AA27" s="1264">
        <f t="shared" si="374"/>
        <v>2122.1607713596431</v>
      </c>
      <c r="AB27" s="1264">
        <f t="shared" si="374"/>
        <v>2122.1607713596431</v>
      </c>
      <c r="AC27" s="1264">
        <f t="shared" si="374"/>
        <v>2122.1607713596431</v>
      </c>
      <c r="AD27" s="1264">
        <f t="shared" si="374"/>
        <v>2228.2688099276252</v>
      </c>
      <c r="AE27" s="1264">
        <f t="shared" si="374"/>
        <v>2228.2688099276252</v>
      </c>
      <c r="AF27" s="1264">
        <f t="shared" si="374"/>
        <v>2228.2688099276252</v>
      </c>
      <c r="AG27" s="1264">
        <f t="shared" si="374"/>
        <v>2228.2688099276252</v>
      </c>
      <c r="AH27" s="1264">
        <f t="shared" si="374"/>
        <v>2228.2688099276252</v>
      </c>
      <c r="AI27" s="1264">
        <f t="shared" si="374"/>
        <v>2228.2688099276252</v>
      </c>
      <c r="AJ27" s="1264">
        <f t="shared" si="374"/>
        <v>2228.2688099276252</v>
      </c>
      <c r="AK27" s="1264">
        <f t="shared" ref="AK27:BP27" si="375">((AK106*AK155)/AK$5)</f>
        <v>2228.2688099276252</v>
      </c>
      <c r="AL27" s="1264">
        <f t="shared" si="375"/>
        <v>2228.2688099276252</v>
      </c>
      <c r="AM27" s="1264">
        <f t="shared" si="375"/>
        <v>2228.2688099276252</v>
      </c>
      <c r="AN27" s="1264">
        <f t="shared" si="375"/>
        <v>2228.2688099276252</v>
      </c>
      <c r="AO27" s="1264">
        <f t="shared" si="375"/>
        <v>2228.2688099276252</v>
      </c>
      <c r="AP27" s="1264">
        <f t="shared" si="375"/>
        <v>2339.6822504240067</v>
      </c>
      <c r="AQ27" s="1264">
        <f t="shared" si="375"/>
        <v>2339.6822504240067</v>
      </c>
      <c r="AR27" s="1264">
        <f t="shared" si="375"/>
        <v>2339.6822504240067</v>
      </c>
      <c r="AS27" s="1264">
        <f t="shared" si="375"/>
        <v>2339.6822504240067</v>
      </c>
      <c r="AT27" s="1264">
        <f t="shared" si="375"/>
        <v>2339.6822504240067</v>
      </c>
      <c r="AU27" s="1264">
        <f t="shared" si="375"/>
        <v>2339.6822504240067</v>
      </c>
      <c r="AV27" s="1264">
        <f t="shared" si="375"/>
        <v>2339.6822504240067</v>
      </c>
      <c r="AW27" s="1264">
        <f t="shared" si="375"/>
        <v>2339.6822504240067</v>
      </c>
      <c r="AX27" s="1264">
        <f t="shared" si="375"/>
        <v>2339.6822504240067</v>
      </c>
      <c r="AY27" s="1264">
        <f t="shared" si="375"/>
        <v>2339.6822504240067</v>
      </c>
      <c r="AZ27" s="1264">
        <f t="shared" si="375"/>
        <v>2339.6822504240067</v>
      </c>
      <c r="BA27" s="1264">
        <f t="shared" si="375"/>
        <v>2339.6822504240067</v>
      </c>
      <c r="BB27" s="1264">
        <f t="shared" si="375"/>
        <v>2456.6663629452073</v>
      </c>
      <c r="BC27" s="1264">
        <f t="shared" si="375"/>
        <v>2456.6663629452073</v>
      </c>
      <c r="BD27" s="1264">
        <f t="shared" si="375"/>
        <v>2456.6663629452073</v>
      </c>
      <c r="BE27" s="1264">
        <f t="shared" si="375"/>
        <v>2456.6663629452073</v>
      </c>
      <c r="BF27" s="1264">
        <f t="shared" si="375"/>
        <v>2456.6663629452073</v>
      </c>
      <c r="BG27" s="1264">
        <f t="shared" si="375"/>
        <v>2456.6663629452073</v>
      </c>
      <c r="BH27" s="1264">
        <f t="shared" si="375"/>
        <v>2456.6663629452073</v>
      </c>
      <c r="BI27" s="1264">
        <f t="shared" si="375"/>
        <v>2456.6663629452073</v>
      </c>
      <c r="BJ27" s="1264">
        <f t="shared" si="375"/>
        <v>2456.6663629452073</v>
      </c>
      <c r="BK27" s="1264">
        <f t="shared" si="375"/>
        <v>2456.6663629452073</v>
      </c>
      <c r="BL27" s="1264">
        <f t="shared" si="375"/>
        <v>2456.6663629452073</v>
      </c>
      <c r="BM27" s="1264">
        <f t="shared" si="375"/>
        <v>2456.6663629452073</v>
      </c>
      <c r="BN27" s="1264">
        <f t="shared" si="375"/>
        <v>2579.4996810924677</v>
      </c>
      <c r="BO27" s="1264">
        <f t="shared" si="375"/>
        <v>2579.4996810924677</v>
      </c>
      <c r="BP27" s="1264">
        <f t="shared" si="375"/>
        <v>2579.4996810924677</v>
      </c>
      <c r="BQ27" s="1264">
        <f t="shared" ref="BQ27:CV27" si="376">((BQ106*BQ155)/BQ$5)</f>
        <v>2579.4996810924677</v>
      </c>
      <c r="BR27" s="1264">
        <f t="shared" si="376"/>
        <v>2579.4996810924677</v>
      </c>
      <c r="BS27" s="1264">
        <f t="shared" si="376"/>
        <v>2579.4996810924677</v>
      </c>
      <c r="BT27" s="1264">
        <f t="shared" si="376"/>
        <v>2579.4996810924677</v>
      </c>
      <c r="BU27" s="1264">
        <f t="shared" si="376"/>
        <v>2579.4996810924677</v>
      </c>
      <c r="BV27" s="1264">
        <f t="shared" si="376"/>
        <v>2579.4996810924677</v>
      </c>
      <c r="BW27" s="1264">
        <f t="shared" si="376"/>
        <v>2579.4996810924677</v>
      </c>
      <c r="BX27" s="1264">
        <f t="shared" si="376"/>
        <v>2579.4996810924677</v>
      </c>
      <c r="BY27" s="1264">
        <f t="shared" si="376"/>
        <v>2579.4996810924677</v>
      </c>
      <c r="BZ27" s="1264">
        <f t="shared" si="376"/>
        <v>2708.4746651470909</v>
      </c>
      <c r="CA27" s="1264">
        <f t="shared" si="376"/>
        <v>2708.4746651470909</v>
      </c>
      <c r="CB27" s="1264">
        <f t="shared" si="376"/>
        <v>2708.4746651470909</v>
      </c>
      <c r="CC27" s="1264">
        <f t="shared" si="376"/>
        <v>2708.4746651470909</v>
      </c>
      <c r="CD27" s="1264">
        <f t="shared" si="376"/>
        <v>2708.4746651470909</v>
      </c>
      <c r="CE27" s="1264">
        <f t="shared" si="376"/>
        <v>2708.4746651470909</v>
      </c>
      <c r="CF27" s="1264">
        <f t="shared" si="376"/>
        <v>2708.4746651470909</v>
      </c>
      <c r="CG27" s="1264">
        <f t="shared" si="376"/>
        <v>2708.4746651470909</v>
      </c>
      <c r="CH27" s="1264">
        <f t="shared" si="376"/>
        <v>2708.4746651470909</v>
      </c>
      <c r="CI27" s="1264">
        <f t="shared" si="376"/>
        <v>2708.4746651470909</v>
      </c>
      <c r="CJ27" s="1264">
        <f t="shared" si="376"/>
        <v>2708.4746651470909</v>
      </c>
      <c r="CK27" s="1264">
        <f t="shared" si="376"/>
        <v>2708.4746651470909</v>
      </c>
      <c r="CL27" s="1264">
        <f t="shared" si="376"/>
        <v>2843.8983984044457</v>
      </c>
      <c r="CM27" s="1264">
        <f t="shared" si="376"/>
        <v>2843.8983984044457</v>
      </c>
      <c r="CN27" s="1264">
        <f t="shared" si="376"/>
        <v>2843.8983984044457</v>
      </c>
      <c r="CO27" s="1264">
        <f t="shared" si="376"/>
        <v>2843.8983984044457</v>
      </c>
      <c r="CP27" s="1264">
        <f t="shared" si="376"/>
        <v>2843.8983984044457</v>
      </c>
      <c r="CQ27" s="1264">
        <f t="shared" si="376"/>
        <v>2843.8983984044457</v>
      </c>
      <c r="CR27" s="1264">
        <f t="shared" si="376"/>
        <v>2843.8983984044457</v>
      </c>
      <c r="CS27" s="1264">
        <f t="shared" si="376"/>
        <v>2843.8983984044457</v>
      </c>
      <c r="CT27" s="1264">
        <f t="shared" si="376"/>
        <v>2843.8983984044457</v>
      </c>
      <c r="CU27" s="1264">
        <f t="shared" si="376"/>
        <v>2843.8983984044457</v>
      </c>
      <c r="CV27" s="1264">
        <f t="shared" si="376"/>
        <v>2843.8983984044457</v>
      </c>
      <c r="CW27" s="1264">
        <f t="shared" ref="CW27:DU27" si="377">((CW106*CW155)/CW$5)</f>
        <v>2843.8983984044457</v>
      </c>
      <c r="CX27" s="1264">
        <f t="shared" si="377"/>
        <v>2986.0933183246684</v>
      </c>
      <c r="CY27" s="1264">
        <f t="shared" si="377"/>
        <v>2986.0933183246684</v>
      </c>
      <c r="CZ27" s="1264">
        <f t="shared" si="377"/>
        <v>2986.0933183246684</v>
      </c>
      <c r="DA27" s="1264">
        <f t="shared" si="377"/>
        <v>2986.0933183246684</v>
      </c>
      <c r="DB27" s="1264">
        <f t="shared" si="377"/>
        <v>2986.0933183246684</v>
      </c>
      <c r="DC27" s="1264">
        <f t="shared" si="377"/>
        <v>2986.0933183246684</v>
      </c>
      <c r="DD27" s="1264">
        <f t="shared" si="377"/>
        <v>2986.0933183246684</v>
      </c>
      <c r="DE27" s="1264">
        <f t="shared" si="377"/>
        <v>2986.0933183246684</v>
      </c>
      <c r="DF27" s="1264">
        <f t="shared" si="377"/>
        <v>2986.0933183246684</v>
      </c>
      <c r="DG27" s="1264">
        <f t="shared" si="377"/>
        <v>2986.0933183246684</v>
      </c>
      <c r="DH27" s="1264">
        <f t="shared" si="377"/>
        <v>2986.0933183246684</v>
      </c>
      <c r="DI27" s="1264">
        <f t="shared" si="377"/>
        <v>2986.0933183246684</v>
      </c>
      <c r="DJ27" s="1264">
        <f t="shared" si="377"/>
        <v>3135.3979842409017</v>
      </c>
      <c r="DK27" s="1264">
        <f t="shared" si="377"/>
        <v>3135.3979842409017</v>
      </c>
      <c r="DL27" s="1264">
        <f t="shared" si="377"/>
        <v>3135.3979842409017</v>
      </c>
      <c r="DM27" s="1264">
        <f t="shared" si="377"/>
        <v>3135.3979842409017</v>
      </c>
      <c r="DN27" s="1264">
        <f t="shared" si="377"/>
        <v>3135.3979842409017</v>
      </c>
      <c r="DO27" s="1264">
        <f t="shared" si="377"/>
        <v>3135.3979842409017</v>
      </c>
      <c r="DP27" s="1264">
        <f t="shared" si="377"/>
        <v>3135.3979842409017</v>
      </c>
      <c r="DQ27" s="1264">
        <f t="shared" si="377"/>
        <v>3135.3979842409017</v>
      </c>
      <c r="DR27" s="1264">
        <f t="shared" si="377"/>
        <v>3135.3979842409017</v>
      </c>
      <c r="DS27" s="1264">
        <f t="shared" si="377"/>
        <v>3135.3979842409017</v>
      </c>
      <c r="DT27" s="1264">
        <f t="shared" si="377"/>
        <v>3135.3979842409017</v>
      </c>
      <c r="DU27" s="1265">
        <f t="shared" si="377"/>
        <v>3135.3979842409017</v>
      </c>
      <c r="DV27" s="1265"/>
      <c r="DW27" s="1248">
        <f t="shared" si="368"/>
        <v>516.68093532410614</v>
      </c>
      <c r="DX27" s="1246">
        <f>SUM(F27:H27)</f>
        <v>6215.4044648026047</v>
      </c>
      <c r="DY27" s="1247">
        <f>SUM(I27:K27)</f>
        <v>6166.973806311611</v>
      </c>
      <c r="DZ27" s="1247">
        <f>SUM(L27:N27)</f>
        <v>6092.4422027302953</v>
      </c>
      <c r="EA27" s="1248">
        <f>SUM(O27:Q27)</f>
        <v>6073.0250606427526</v>
      </c>
      <c r="EB27" s="1246">
        <f t="shared" si="369"/>
        <v>25064.526469811364</v>
      </c>
      <c r="EC27" s="1247">
        <f>SUM(R27:AC27)</f>
        <v>25465.929256315711</v>
      </c>
      <c r="ED27" s="1248">
        <f>SUM(AD27:AO27)</f>
        <v>26739.225719131497</v>
      </c>
      <c r="EE27" s="1249">
        <f t="shared" si="370"/>
        <v>77269.681445258568</v>
      </c>
      <c r="EF27" s="1247">
        <f t="shared" si="371"/>
        <v>28076.187005088086</v>
      </c>
      <c r="EG27" s="1248">
        <f t="shared" si="372"/>
        <v>29479.996355342493</v>
      </c>
      <c r="EH27" s="1249">
        <f t="shared" si="373"/>
        <v>134825.86480568914</v>
      </c>
      <c r="EI27" s="638">
        <f t="shared" ref="EI27:EI37" si="378">EH27/$EH$25</f>
        <v>2.0345975875417706E-2</v>
      </c>
      <c r="EJ27" s="16">
        <f t="shared" si="347"/>
        <v>30953.996173109612</v>
      </c>
      <c r="EK27" s="17">
        <f t="shared" si="348"/>
        <v>32501.695981765097</v>
      </c>
      <c r="EL27" s="17">
        <f t="shared" si="349"/>
        <v>34126.780780853347</v>
      </c>
      <c r="EM27" s="17">
        <f t="shared" si="350"/>
        <v>35833.119819896012</v>
      </c>
      <c r="EN27" s="151">
        <f t="shared" si="351"/>
        <v>37624.775810890824</v>
      </c>
      <c r="EO27" s="139">
        <f t="shared" si="352"/>
        <v>305866.23337220406</v>
      </c>
      <c r="EQ27" s="14">
        <f t="shared" si="353"/>
        <v>0</v>
      </c>
    </row>
    <row r="28" spans="1:147" x14ac:dyDescent="0.3">
      <c r="A28" s="46"/>
      <c r="B28" s="596" t="s">
        <v>10</v>
      </c>
      <c r="C28" s="20"/>
      <c r="D28" s="20"/>
      <c r="E28" s="1266">
        <f t="shared" ref="E28:AJ28" si="379">(((E173*E156)/E$5)+(E137/E$5))</f>
        <v>14624.8360941301</v>
      </c>
      <c r="F28" s="1267">
        <f t="shared" si="379"/>
        <v>358.4757629629641</v>
      </c>
      <c r="G28" s="1267">
        <f t="shared" si="379"/>
        <v>358.47576296296336</v>
      </c>
      <c r="H28" s="1267">
        <f t="shared" si="379"/>
        <v>358.47576296296336</v>
      </c>
      <c r="I28" s="1267">
        <f t="shared" si="379"/>
        <v>358.47576296296336</v>
      </c>
      <c r="J28" s="1267">
        <f t="shared" si="379"/>
        <v>293.29835151515198</v>
      </c>
      <c r="K28" s="1267">
        <f t="shared" si="379"/>
        <v>293.29835151515198</v>
      </c>
      <c r="L28" s="1267">
        <f t="shared" si="379"/>
        <v>293.29835151515198</v>
      </c>
      <c r="M28" s="1267">
        <f t="shared" si="379"/>
        <v>293.29835151515198</v>
      </c>
      <c r="N28" s="1267">
        <f t="shared" si="379"/>
        <v>293.29835151515198</v>
      </c>
      <c r="O28" s="1267">
        <f t="shared" si="379"/>
        <v>293.29835151515198</v>
      </c>
      <c r="P28" s="1267">
        <f t="shared" si="379"/>
        <v>260.70964579124632</v>
      </c>
      <c r="Q28" s="1267">
        <f t="shared" si="379"/>
        <v>260.70964579124632</v>
      </c>
      <c r="R28" s="1267">
        <f t="shared" si="379"/>
        <v>516.09408011769438</v>
      </c>
      <c r="S28" s="1267">
        <f t="shared" si="379"/>
        <v>273.74512808080863</v>
      </c>
      <c r="T28" s="1267">
        <f t="shared" si="379"/>
        <v>273.74512808080863</v>
      </c>
      <c r="U28" s="1267">
        <f t="shared" si="379"/>
        <v>273.74512808080863</v>
      </c>
      <c r="V28" s="1267">
        <f t="shared" si="379"/>
        <v>273.74512808080863</v>
      </c>
      <c r="W28" s="1267">
        <f t="shared" si="379"/>
        <v>273.74512808080863</v>
      </c>
      <c r="X28" s="1267">
        <f t="shared" si="379"/>
        <v>273.74512808080863</v>
      </c>
      <c r="Y28" s="1267">
        <f t="shared" si="379"/>
        <v>273.74512808080863</v>
      </c>
      <c r="Z28" s="1267">
        <f t="shared" si="379"/>
        <v>273.74512808080863</v>
      </c>
      <c r="AA28" s="1267">
        <f t="shared" si="379"/>
        <v>273.74512808080863</v>
      </c>
      <c r="AB28" s="1267">
        <f t="shared" si="379"/>
        <v>273.74512808080863</v>
      </c>
      <c r="AC28" s="1267">
        <f t="shared" si="379"/>
        <v>273.74512808080863</v>
      </c>
      <c r="AD28" s="1267">
        <f t="shared" si="379"/>
        <v>541.89878412357916</v>
      </c>
      <c r="AE28" s="1267">
        <f t="shared" si="379"/>
        <v>287.43238448484908</v>
      </c>
      <c r="AF28" s="1267">
        <f t="shared" si="379"/>
        <v>287.43238448484908</v>
      </c>
      <c r="AG28" s="1267">
        <f t="shared" si="379"/>
        <v>287.43238448484908</v>
      </c>
      <c r="AH28" s="1267">
        <f t="shared" si="379"/>
        <v>287.43238448484908</v>
      </c>
      <c r="AI28" s="1267">
        <f t="shared" si="379"/>
        <v>287.43238448484908</v>
      </c>
      <c r="AJ28" s="1267">
        <f t="shared" si="379"/>
        <v>287.43238448484908</v>
      </c>
      <c r="AK28" s="1267">
        <f t="shared" ref="AK28:BP28" si="380">(((AK173*AK156)/AK$5)+(AK137/AK$5))</f>
        <v>287.43238448484908</v>
      </c>
      <c r="AL28" s="1267">
        <f t="shared" si="380"/>
        <v>287.43238448484908</v>
      </c>
      <c r="AM28" s="1267">
        <f t="shared" si="380"/>
        <v>287.43238448484908</v>
      </c>
      <c r="AN28" s="1267">
        <f t="shared" si="380"/>
        <v>287.43238448484908</v>
      </c>
      <c r="AO28" s="1267">
        <f t="shared" si="380"/>
        <v>287.43238448484908</v>
      </c>
      <c r="AP28" s="1267">
        <f t="shared" si="380"/>
        <v>568.99372332975895</v>
      </c>
      <c r="AQ28" s="1267">
        <f t="shared" si="380"/>
        <v>301.80400370909155</v>
      </c>
      <c r="AR28" s="1267">
        <f t="shared" si="380"/>
        <v>301.80400370909155</v>
      </c>
      <c r="AS28" s="1267">
        <f t="shared" si="380"/>
        <v>301.80400370909155</v>
      </c>
      <c r="AT28" s="1267">
        <f t="shared" si="380"/>
        <v>301.80400370909155</v>
      </c>
      <c r="AU28" s="1267">
        <f t="shared" si="380"/>
        <v>301.80400370909155</v>
      </c>
      <c r="AV28" s="1267">
        <f t="shared" si="380"/>
        <v>301.80400370909155</v>
      </c>
      <c r="AW28" s="1267">
        <f t="shared" si="380"/>
        <v>301.80400370909155</v>
      </c>
      <c r="AX28" s="1267">
        <f t="shared" si="380"/>
        <v>301.80400370909155</v>
      </c>
      <c r="AY28" s="1267">
        <f t="shared" si="380"/>
        <v>301.80400370909155</v>
      </c>
      <c r="AZ28" s="1267">
        <f t="shared" si="380"/>
        <v>301.80400370909155</v>
      </c>
      <c r="BA28" s="1267">
        <f t="shared" si="380"/>
        <v>301.80400370909155</v>
      </c>
      <c r="BB28" s="1267">
        <f t="shared" si="380"/>
        <v>597.44340949624484</v>
      </c>
      <c r="BC28" s="1267">
        <f t="shared" si="380"/>
        <v>316.89420389454614</v>
      </c>
      <c r="BD28" s="1267">
        <f t="shared" si="380"/>
        <v>316.89420389454614</v>
      </c>
      <c r="BE28" s="1267">
        <f t="shared" si="380"/>
        <v>316.89420389454614</v>
      </c>
      <c r="BF28" s="1267">
        <f t="shared" si="380"/>
        <v>316.89420389454614</v>
      </c>
      <c r="BG28" s="1267">
        <f t="shared" si="380"/>
        <v>316.89420389454614</v>
      </c>
      <c r="BH28" s="1267">
        <f t="shared" si="380"/>
        <v>316.89420389454614</v>
      </c>
      <c r="BI28" s="1267">
        <f t="shared" si="380"/>
        <v>316.89420389454614</v>
      </c>
      <c r="BJ28" s="1267">
        <f t="shared" si="380"/>
        <v>316.89420389454614</v>
      </c>
      <c r="BK28" s="1267">
        <f t="shared" si="380"/>
        <v>316.89420389454614</v>
      </c>
      <c r="BL28" s="1267">
        <f t="shared" si="380"/>
        <v>316.89420389454614</v>
      </c>
      <c r="BM28" s="1267">
        <f t="shared" si="380"/>
        <v>316.89420389454614</v>
      </c>
      <c r="BN28" s="1267">
        <f t="shared" si="380"/>
        <v>627.31557997105892</v>
      </c>
      <c r="BO28" s="1267">
        <f t="shared" si="380"/>
        <v>332.73891408927341</v>
      </c>
      <c r="BP28" s="1267">
        <f t="shared" si="380"/>
        <v>332.73891408927341</v>
      </c>
      <c r="BQ28" s="1267">
        <f t="shared" ref="BQ28:CV28" si="381">(((BQ173*BQ156)/BQ$5)+(BQ137/BQ$5))</f>
        <v>332.73891408927341</v>
      </c>
      <c r="BR28" s="1267">
        <f t="shared" si="381"/>
        <v>332.73891408927341</v>
      </c>
      <c r="BS28" s="1267">
        <f t="shared" si="381"/>
        <v>332.73891408927341</v>
      </c>
      <c r="BT28" s="1267">
        <f t="shared" si="381"/>
        <v>332.73891408927341</v>
      </c>
      <c r="BU28" s="1267">
        <f t="shared" si="381"/>
        <v>332.73891408927341</v>
      </c>
      <c r="BV28" s="1267">
        <f t="shared" si="381"/>
        <v>332.73891408927341</v>
      </c>
      <c r="BW28" s="1267">
        <f t="shared" si="381"/>
        <v>332.73891408927341</v>
      </c>
      <c r="BX28" s="1267">
        <f t="shared" si="381"/>
        <v>332.73891408927341</v>
      </c>
      <c r="BY28" s="1267">
        <f t="shared" si="381"/>
        <v>332.73891408927341</v>
      </c>
      <c r="BZ28" s="1267">
        <f t="shared" si="381"/>
        <v>658.68135896961098</v>
      </c>
      <c r="CA28" s="1267">
        <f t="shared" si="381"/>
        <v>349.37585979373711</v>
      </c>
      <c r="CB28" s="1267">
        <f t="shared" si="381"/>
        <v>349.37585979373711</v>
      </c>
      <c r="CC28" s="1267">
        <f t="shared" si="381"/>
        <v>349.37585979373711</v>
      </c>
      <c r="CD28" s="1267">
        <f t="shared" si="381"/>
        <v>349.37585979373711</v>
      </c>
      <c r="CE28" s="1267">
        <f t="shared" si="381"/>
        <v>349.37585979373711</v>
      </c>
      <c r="CF28" s="1267">
        <f t="shared" si="381"/>
        <v>349.37585979373711</v>
      </c>
      <c r="CG28" s="1267">
        <f t="shared" si="381"/>
        <v>349.37585979373711</v>
      </c>
      <c r="CH28" s="1267">
        <f t="shared" si="381"/>
        <v>349.37585979373711</v>
      </c>
      <c r="CI28" s="1267">
        <f t="shared" si="381"/>
        <v>349.37585979373711</v>
      </c>
      <c r="CJ28" s="1267">
        <f t="shared" si="381"/>
        <v>349.37585979373711</v>
      </c>
      <c r="CK28" s="1267">
        <f t="shared" si="381"/>
        <v>349.37585979373711</v>
      </c>
      <c r="CL28" s="1267">
        <f t="shared" si="381"/>
        <v>691.61542691809291</v>
      </c>
      <c r="CM28" s="1267">
        <f t="shared" si="381"/>
        <v>366.84465278342395</v>
      </c>
      <c r="CN28" s="1267">
        <f t="shared" si="381"/>
        <v>366.84465278342395</v>
      </c>
      <c r="CO28" s="1267">
        <f t="shared" si="381"/>
        <v>366.84465278342395</v>
      </c>
      <c r="CP28" s="1267">
        <f t="shared" si="381"/>
        <v>366.84465278342395</v>
      </c>
      <c r="CQ28" s="1267">
        <f t="shared" si="381"/>
        <v>366.84465278342395</v>
      </c>
      <c r="CR28" s="1267">
        <f t="shared" si="381"/>
        <v>366.84465278342395</v>
      </c>
      <c r="CS28" s="1267">
        <f t="shared" si="381"/>
        <v>366.84465278342395</v>
      </c>
      <c r="CT28" s="1267">
        <f t="shared" si="381"/>
        <v>366.84465278342395</v>
      </c>
      <c r="CU28" s="1267">
        <f t="shared" si="381"/>
        <v>366.84465278342395</v>
      </c>
      <c r="CV28" s="1267">
        <f t="shared" si="381"/>
        <v>366.84465278342395</v>
      </c>
      <c r="CW28" s="1267">
        <f t="shared" ref="CW28:DU28" si="382">(((CW173*CW156)/CW$5)+(CW137/CW$5))</f>
        <v>366.84465278342395</v>
      </c>
      <c r="CX28" s="1267">
        <f t="shared" si="382"/>
        <v>726.19619826399435</v>
      </c>
      <c r="CY28" s="1267">
        <f t="shared" si="382"/>
        <v>385.1868854225952</v>
      </c>
      <c r="CZ28" s="1267">
        <f t="shared" si="382"/>
        <v>385.1868854225952</v>
      </c>
      <c r="DA28" s="1267">
        <f t="shared" si="382"/>
        <v>385.1868854225952</v>
      </c>
      <c r="DB28" s="1267">
        <f t="shared" si="382"/>
        <v>385.1868854225952</v>
      </c>
      <c r="DC28" s="1267">
        <f t="shared" si="382"/>
        <v>385.1868854225952</v>
      </c>
      <c r="DD28" s="1267">
        <f t="shared" si="382"/>
        <v>385.1868854225952</v>
      </c>
      <c r="DE28" s="1267">
        <f t="shared" si="382"/>
        <v>385.1868854225952</v>
      </c>
      <c r="DF28" s="1267">
        <f t="shared" si="382"/>
        <v>385.1868854225952</v>
      </c>
      <c r="DG28" s="1267">
        <f t="shared" si="382"/>
        <v>385.1868854225952</v>
      </c>
      <c r="DH28" s="1267">
        <f t="shared" si="382"/>
        <v>385.1868854225952</v>
      </c>
      <c r="DI28" s="1267">
        <f t="shared" si="382"/>
        <v>385.1868854225952</v>
      </c>
      <c r="DJ28" s="1267">
        <f t="shared" si="382"/>
        <v>762.50600817719805</v>
      </c>
      <c r="DK28" s="1267">
        <f t="shared" si="382"/>
        <v>404.44622969372494</v>
      </c>
      <c r="DL28" s="1267">
        <f t="shared" si="382"/>
        <v>404.44622969372494</v>
      </c>
      <c r="DM28" s="1267">
        <f t="shared" si="382"/>
        <v>404.44622969372494</v>
      </c>
      <c r="DN28" s="1267">
        <f t="shared" si="382"/>
        <v>404.44622969372494</v>
      </c>
      <c r="DO28" s="1267">
        <f t="shared" si="382"/>
        <v>404.44622969372494</v>
      </c>
      <c r="DP28" s="1267">
        <f t="shared" si="382"/>
        <v>404.44622969372494</v>
      </c>
      <c r="DQ28" s="1267">
        <f t="shared" si="382"/>
        <v>404.44622969372494</v>
      </c>
      <c r="DR28" s="1267">
        <f t="shared" si="382"/>
        <v>404.44622969372494</v>
      </c>
      <c r="DS28" s="1267">
        <f t="shared" si="382"/>
        <v>404.44622969372494</v>
      </c>
      <c r="DT28" s="1267">
        <f t="shared" si="382"/>
        <v>404.44622969372494</v>
      </c>
      <c r="DU28" s="1268">
        <f t="shared" si="382"/>
        <v>404.44622969372494</v>
      </c>
      <c r="DV28" s="1268"/>
      <c r="DW28" s="1248">
        <f t="shared" si="368"/>
        <v>14624.8360941301</v>
      </c>
      <c r="DX28" s="1246">
        <f>SUM(F28:H28)</f>
        <v>1075.4272888888909</v>
      </c>
      <c r="DY28" s="1247">
        <f>SUM(I28:K28)</f>
        <v>945.07246599326731</v>
      </c>
      <c r="DZ28" s="1247">
        <f>SUM(L28:N28)</f>
        <v>879.89505454545588</v>
      </c>
      <c r="EA28" s="1248">
        <f>SUM(O28:Q28)</f>
        <v>814.71764309764455</v>
      </c>
      <c r="EB28" s="1246">
        <f t="shared" si="369"/>
        <v>18339.948546655363</v>
      </c>
      <c r="EC28" s="1247">
        <f>SUM(R28:AC28)</f>
        <v>3527.2904890065893</v>
      </c>
      <c r="ED28" s="1248">
        <f>SUM(AD28:AO28)</f>
        <v>3703.6550134569193</v>
      </c>
      <c r="EE28" s="1249">
        <f t="shared" si="370"/>
        <v>25570.89404911887</v>
      </c>
      <c r="EF28" s="1247">
        <f t="shared" si="371"/>
        <v>3888.8377641297652</v>
      </c>
      <c r="EG28" s="1248">
        <f t="shared" si="372"/>
        <v>4083.2796523362517</v>
      </c>
      <c r="EH28" s="1249">
        <f t="shared" si="373"/>
        <v>33543.011465584888</v>
      </c>
      <c r="EI28" s="638">
        <f t="shared" si="378"/>
        <v>5.0618277364748799E-3</v>
      </c>
      <c r="EJ28" s="16">
        <f t="shared" si="347"/>
        <v>4287.4436349530661</v>
      </c>
      <c r="EK28" s="17">
        <f t="shared" si="348"/>
        <v>4501.8158167007186</v>
      </c>
      <c r="EL28" s="17">
        <f t="shared" si="349"/>
        <v>4726.9066075357568</v>
      </c>
      <c r="EM28" s="17">
        <f t="shared" si="350"/>
        <v>4963.2519379125397</v>
      </c>
      <c r="EN28" s="151">
        <f t="shared" si="351"/>
        <v>5211.4145348081729</v>
      </c>
      <c r="EO28" s="139">
        <f t="shared" si="352"/>
        <v>57233.84399749514</v>
      </c>
      <c r="EQ28" s="14">
        <f t="shared" si="353"/>
        <v>0</v>
      </c>
    </row>
    <row r="29" spans="1:147" x14ac:dyDescent="0.3">
      <c r="B29" s="596" t="s">
        <v>11</v>
      </c>
      <c r="C29" s="22"/>
      <c r="D29" s="22"/>
      <c r="E29" s="1269">
        <f t="shared" ref="E29:AJ29" si="383">((E173*E157)/E$5)</f>
        <v>246.46464646464645</v>
      </c>
      <c r="F29" s="1267">
        <f t="shared" si="383"/>
        <v>13.555555555555598</v>
      </c>
      <c r="G29" s="1267">
        <f t="shared" si="383"/>
        <v>13.555555555555571</v>
      </c>
      <c r="H29" s="1267">
        <f t="shared" si="383"/>
        <v>13.555555555555571</v>
      </c>
      <c r="I29" s="1267">
        <f t="shared" si="383"/>
        <v>13.555555555555571</v>
      </c>
      <c r="J29" s="1267">
        <f t="shared" si="383"/>
        <v>11.090909090909109</v>
      </c>
      <c r="K29" s="1267">
        <f t="shared" si="383"/>
        <v>11.090909090909109</v>
      </c>
      <c r="L29" s="1267">
        <f t="shared" si="383"/>
        <v>11.090909090909109</v>
      </c>
      <c r="M29" s="1267">
        <f t="shared" si="383"/>
        <v>11.090909090909109</v>
      </c>
      <c r="N29" s="1267">
        <f t="shared" si="383"/>
        <v>11.090909090909109</v>
      </c>
      <c r="O29" s="1267">
        <f t="shared" si="383"/>
        <v>11.090909090909109</v>
      </c>
      <c r="P29" s="1267">
        <f t="shared" si="383"/>
        <v>9.8585858585858777</v>
      </c>
      <c r="Q29" s="1267">
        <f t="shared" si="383"/>
        <v>9.8585858585858777</v>
      </c>
      <c r="R29" s="1267">
        <f t="shared" si="383"/>
        <v>10.351515151515173</v>
      </c>
      <c r="S29" s="1267">
        <f t="shared" si="383"/>
        <v>10.351515151515173</v>
      </c>
      <c r="T29" s="1267">
        <f t="shared" si="383"/>
        <v>10.351515151515173</v>
      </c>
      <c r="U29" s="1267">
        <f t="shared" si="383"/>
        <v>10.351515151515173</v>
      </c>
      <c r="V29" s="1267">
        <f t="shared" si="383"/>
        <v>10.351515151515173</v>
      </c>
      <c r="W29" s="1267">
        <f t="shared" si="383"/>
        <v>10.351515151515173</v>
      </c>
      <c r="X29" s="1267">
        <f t="shared" si="383"/>
        <v>10.351515151515173</v>
      </c>
      <c r="Y29" s="1267">
        <f t="shared" si="383"/>
        <v>10.351515151515173</v>
      </c>
      <c r="Z29" s="1267">
        <f t="shared" si="383"/>
        <v>10.351515151515173</v>
      </c>
      <c r="AA29" s="1267">
        <f t="shared" si="383"/>
        <v>10.351515151515173</v>
      </c>
      <c r="AB29" s="1267">
        <f t="shared" si="383"/>
        <v>10.351515151515173</v>
      </c>
      <c r="AC29" s="1267">
        <f t="shared" si="383"/>
        <v>10.351515151515173</v>
      </c>
      <c r="AD29" s="1267">
        <f t="shared" si="383"/>
        <v>10.869090909090932</v>
      </c>
      <c r="AE29" s="1267">
        <f t="shared" si="383"/>
        <v>10.869090909090932</v>
      </c>
      <c r="AF29" s="1267">
        <f t="shared" si="383"/>
        <v>10.869090909090932</v>
      </c>
      <c r="AG29" s="1267">
        <f t="shared" si="383"/>
        <v>10.869090909090932</v>
      </c>
      <c r="AH29" s="1267">
        <f t="shared" si="383"/>
        <v>10.869090909090932</v>
      </c>
      <c r="AI29" s="1267">
        <f t="shared" si="383"/>
        <v>10.869090909090932</v>
      </c>
      <c r="AJ29" s="1267">
        <f t="shared" si="383"/>
        <v>10.869090909090932</v>
      </c>
      <c r="AK29" s="1267">
        <f t="shared" ref="AK29:BP29" si="384">((AK173*AK157)/AK$5)</f>
        <v>10.869090909090932</v>
      </c>
      <c r="AL29" s="1267">
        <f t="shared" si="384"/>
        <v>10.869090909090932</v>
      </c>
      <c r="AM29" s="1267">
        <f t="shared" si="384"/>
        <v>10.869090909090932</v>
      </c>
      <c r="AN29" s="1267">
        <f t="shared" si="384"/>
        <v>10.869090909090932</v>
      </c>
      <c r="AO29" s="1267">
        <f t="shared" si="384"/>
        <v>10.869090909090932</v>
      </c>
      <c r="AP29" s="1267">
        <f t="shared" si="384"/>
        <v>11.412545454545478</v>
      </c>
      <c r="AQ29" s="1267">
        <f t="shared" si="384"/>
        <v>11.412545454545478</v>
      </c>
      <c r="AR29" s="1267">
        <f t="shared" si="384"/>
        <v>11.412545454545478</v>
      </c>
      <c r="AS29" s="1267">
        <f t="shared" si="384"/>
        <v>11.412545454545478</v>
      </c>
      <c r="AT29" s="1267">
        <f t="shared" si="384"/>
        <v>11.412545454545478</v>
      </c>
      <c r="AU29" s="1267">
        <f t="shared" si="384"/>
        <v>11.412545454545478</v>
      </c>
      <c r="AV29" s="1267">
        <f t="shared" si="384"/>
        <v>11.412545454545478</v>
      </c>
      <c r="AW29" s="1267">
        <f t="shared" si="384"/>
        <v>11.412545454545478</v>
      </c>
      <c r="AX29" s="1267">
        <f t="shared" si="384"/>
        <v>11.412545454545478</v>
      </c>
      <c r="AY29" s="1267">
        <f t="shared" si="384"/>
        <v>11.412545454545478</v>
      </c>
      <c r="AZ29" s="1267">
        <f t="shared" si="384"/>
        <v>11.412545454545478</v>
      </c>
      <c r="BA29" s="1267">
        <f t="shared" si="384"/>
        <v>11.412545454545478</v>
      </c>
      <c r="BB29" s="1267">
        <f t="shared" si="384"/>
        <v>11.983172727272752</v>
      </c>
      <c r="BC29" s="1267">
        <f t="shared" si="384"/>
        <v>11.983172727272752</v>
      </c>
      <c r="BD29" s="1267">
        <f t="shared" si="384"/>
        <v>11.983172727272752</v>
      </c>
      <c r="BE29" s="1267">
        <f t="shared" si="384"/>
        <v>11.983172727272752</v>
      </c>
      <c r="BF29" s="1267">
        <f t="shared" si="384"/>
        <v>11.983172727272752</v>
      </c>
      <c r="BG29" s="1267">
        <f t="shared" si="384"/>
        <v>11.983172727272752</v>
      </c>
      <c r="BH29" s="1267">
        <f t="shared" si="384"/>
        <v>11.983172727272752</v>
      </c>
      <c r="BI29" s="1267">
        <f t="shared" si="384"/>
        <v>11.983172727272752</v>
      </c>
      <c r="BJ29" s="1267">
        <f t="shared" si="384"/>
        <v>11.983172727272752</v>
      </c>
      <c r="BK29" s="1267">
        <f t="shared" si="384"/>
        <v>11.983172727272752</v>
      </c>
      <c r="BL29" s="1267">
        <f t="shared" si="384"/>
        <v>11.983172727272752</v>
      </c>
      <c r="BM29" s="1267">
        <f t="shared" si="384"/>
        <v>11.983172727272752</v>
      </c>
      <c r="BN29" s="1267">
        <f t="shared" si="384"/>
        <v>12.582331363636392</v>
      </c>
      <c r="BO29" s="1267">
        <f t="shared" si="384"/>
        <v>12.582331363636392</v>
      </c>
      <c r="BP29" s="1267">
        <f t="shared" si="384"/>
        <v>12.582331363636392</v>
      </c>
      <c r="BQ29" s="1267">
        <f t="shared" ref="BQ29:CV29" si="385">((BQ173*BQ157)/BQ$5)</f>
        <v>12.582331363636392</v>
      </c>
      <c r="BR29" s="1267">
        <f t="shared" si="385"/>
        <v>12.582331363636392</v>
      </c>
      <c r="BS29" s="1267">
        <f t="shared" si="385"/>
        <v>12.582331363636392</v>
      </c>
      <c r="BT29" s="1267">
        <f t="shared" si="385"/>
        <v>12.582331363636392</v>
      </c>
      <c r="BU29" s="1267">
        <f t="shared" si="385"/>
        <v>12.582331363636392</v>
      </c>
      <c r="BV29" s="1267">
        <f t="shared" si="385"/>
        <v>12.582331363636392</v>
      </c>
      <c r="BW29" s="1267">
        <f t="shared" si="385"/>
        <v>12.582331363636392</v>
      </c>
      <c r="BX29" s="1267">
        <f t="shared" si="385"/>
        <v>12.582331363636392</v>
      </c>
      <c r="BY29" s="1267">
        <f t="shared" si="385"/>
        <v>12.582331363636392</v>
      </c>
      <c r="BZ29" s="1267">
        <f t="shared" si="385"/>
        <v>13.21144793181821</v>
      </c>
      <c r="CA29" s="1267">
        <f t="shared" si="385"/>
        <v>13.21144793181821</v>
      </c>
      <c r="CB29" s="1267">
        <f t="shared" si="385"/>
        <v>13.21144793181821</v>
      </c>
      <c r="CC29" s="1267">
        <f t="shared" si="385"/>
        <v>13.21144793181821</v>
      </c>
      <c r="CD29" s="1267">
        <f t="shared" si="385"/>
        <v>13.21144793181821</v>
      </c>
      <c r="CE29" s="1267">
        <f t="shared" si="385"/>
        <v>13.21144793181821</v>
      </c>
      <c r="CF29" s="1267">
        <f t="shared" si="385"/>
        <v>13.21144793181821</v>
      </c>
      <c r="CG29" s="1267">
        <f t="shared" si="385"/>
        <v>13.21144793181821</v>
      </c>
      <c r="CH29" s="1267">
        <f t="shared" si="385"/>
        <v>13.21144793181821</v>
      </c>
      <c r="CI29" s="1267">
        <f t="shared" si="385"/>
        <v>13.21144793181821</v>
      </c>
      <c r="CJ29" s="1267">
        <f t="shared" si="385"/>
        <v>13.21144793181821</v>
      </c>
      <c r="CK29" s="1267">
        <f t="shared" si="385"/>
        <v>13.21144793181821</v>
      </c>
      <c r="CL29" s="1267">
        <f t="shared" si="385"/>
        <v>13.872020328409121</v>
      </c>
      <c r="CM29" s="1267">
        <f t="shared" si="385"/>
        <v>13.872020328409121</v>
      </c>
      <c r="CN29" s="1267">
        <f t="shared" si="385"/>
        <v>13.872020328409121</v>
      </c>
      <c r="CO29" s="1267">
        <f t="shared" si="385"/>
        <v>13.872020328409121</v>
      </c>
      <c r="CP29" s="1267">
        <f t="shared" si="385"/>
        <v>13.872020328409121</v>
      </c>
      <c r="CQ29" s="1267">
        <f t="shared" si="385"/>
        <v>13.872020328409121</v>
      </c>
      <c r="CR29" s="1267">
        <f t="shared" si="385"/>
        <v>13.872020328409121</v>
      </c>
      <c r="CS29" s="1267">
        <f t="shared" si="385"/>
        <v>13.872020328409121</v>
      </c>
      <c r="CT29" s="1267">
        <f t="shared" si="385"/>
        <v>13.872020328409121</v>
      </c>
      <c r="CU29" s="1267">
        <f t="shared" si="385"/>
        <v>13.872020328409121</v>
      </c>
      <c r="CV29" s="1267">
        <f t="shared" si="385"/>
        <v>13.872020328409121</v>
      </c>
      <c r="CW29" s="1267">
        <f t="shared" ref="CW29:DU29" si="386">((CW173*CW157)/CW$5)</f>
        <v>13.872020328409121</v>
      </c>
      <c r="CX29" s="1267">
        <f t="shared" si="386"/>
        <v>14.56562134482958</v>
      </c>
      <c r="CY29" s="1267">
        <f t="shared" si="386"/>
        <v>14.56562134482958</v>
      </c>
      <c r="CZ29" s="1267">
        <f t="shared" si="386"/>
        <v>14.56562134482958</v>
      </c>
      <c r="DA29" s="1267">
        <f t="shared" si="386"/>
        <v>14.56562134482958</v>
      </c>
      <c r="DB29" s="1267">
        <f t="shared" si="386"/>
        <v>14.56562134482958</v>
      </c>
      <c r="DC29" s="1267">
        <f t="shared" si="386"/>
        <v>14.56562134482958</v>
      </c>
      <c r="DD29" s="1267">
        <f t="shared" si="386"/>
        <v>14.56562134482958</v>
      </c>
      <c r="DE29" s="1267">
        <f t="shared" si="386"/>
        <v>14.56562134482958</v>
      </c>
      <c r="DF29" s="1267">
        <f t="shared" si="386"/>
        <v>14.56562134482958</v>
      </c>
      <c r="DG29" s="1267">
        <f t="shared" si="386"/>
        <v>14.56562134482958</v>
      </c>
      <c r="DH29" s="1267">
        <f t="shared" si="386"/>
        <v>14.56562134482958</v>
      </c>
      <c r="DI29" s="1267">
        <f t="shared" si="386"/>
        <v>14.56562134482958</v>
      </c>
      <c r="DJ29" s="1267">
        <f t="shared" si="386"/>
        <v>15.293902412071059</v>
      </c>
      <c r="DK29" s="1267">
        <f t="shared" si="386"/>
        <v>15.293902412071059</v>
      </c>
      <c r="DL29" s="1267">
        <f t="shared" si="386"/>
        <v>15.293902412071059</v>
      </c>
      <c r="DM29" s="1267">
        <f t="shared" si="386"/>
        <v>15.293902412071059</v>
      </c>
      <c r="DN29" s="1267">
        <f t="shared" si="386"/>
        <v>15.293902412071059</v>
      </c>
      <c r="DO29" s="1267">
        <f t="shared" si="386"/>
        <v>15.293902412071059</v>
      </c>
      <c r="DP29" s="1267">
        <f t="shared" si="386"/>
        <v>15.293902412071059</v>
      </c>
      <c r="DQ29" s="1267">
        <f t="shared" si="386"/>
        <v>15.293902412071059</v>
      </c>
      <c r="DR29" s="1267">
        <f t="shared" si="386"/>
        <v>15.293902412071059</v>
      </c>
      <c r="DS29" s="1267">
        <f t="shared" si="386"/>
        <v>15.293902412071059</v>
      </c>
      <c r="DT29" s="1267">
        <f t="shared" si="386"/>
        <v>15.293902412071059</v>
      </c>
      <c r="DU29" s="1268">
        <f t="shared" si="386"/>
        <v>15.293902412071059</v>
      </c>
      <c r="DV29" s="1268"/>
      <c r="DW29" s="1248">
        <f t="shared" si="368"/>
        <v>246.46464646464645</v>
      </c>
      <c r="DX29" s="1246">
        <f>SUM(F29:H29)</f>
        <v>40.666666666666742</v>
      </c>
      <c r="DY29" s="1247">
        <f>SUM(I29:K29)</f>
        <v>35.737373737373787</v>
      </c>
      <c r="DZ29" s="1247">
        <f>SUM(L29:N29)</f>
        <v>33.27272727272733</v>
      </c>
      <c r="EA29" s="1248">
        <f>SUM(O29:Q29)</f>
        <v>30.808080808080867</v>
      </c>
      <c r="EB29" s="1246">
        <f t="shared" si="369"/>
        <v>386.94949494949515</v>
      </c>
      <c r="EC29" s="1247">
        <f>SUM(R29:AC29)</f>
        <v>124.21818181818207</v>
      </c>
      <c r="ED29" s="1248">
        <f>SUM(AD29:AO29)</f>
        <v>130.42909090909117</v>
      </c>
      <c r="EE29" s="1249">
        <f t="shared" si="370"/>
        <v>641.59676767676842</v>
      </c>
      <c r="EF29" s="1247">
        <f t="shared" si="371"/>
        <v>136.95054545454573</v>
      </c>
      <c r="EG29" s="1248">
        <f t="shared" si="372"/>
        <v>143.798072727273</v>
      </c>
      <c r="EH29" s="1249">
        <f t="shared" si="373"/>
        <v>922.34538585858718</v>
      </c>
      <c r="EI29" s="638">
        <f t="shared" si="378"/>
        <v>1.3918706916159752E-4</v>
      </c>
      <c r="EJ29" s="16">
        <f t="shared" si="347"/>
        <v>150.98797636363673</v>
      </c>
      <c r="EK29" s="17">
        <f t="shared" si="348"/>
        <v>158.53737518181853</v>
      </c>
      <c r="EL29" s="17">
        <f t="shared" si="349"/>
        <v>166.46424394090945</v>
      </c>
      <c r="EM29" s="17">
        <f t="shared" si="350"/>
        <v>174.78745613795502</v>
      </c>
      <c r="EN29" s="151">
        <f t="shared" si="351"/>
        <v>183.5268289448527</v>
      </c>
      <c r="EO29" s="139">
        <f t="shared" si="352"/>
        <v>1756.6492664277598</v>
      </c>
      <c r="EQ29" s="14">
        <f t="shared" si="353"/>
        <v>0</v>
      </c>
    </row>
    <row r="30" spans="1:147" x14ac:dyDescent="0.3">
      <c r="B30" s="596" t="s">
        <v>12</v>
      </c>
      <c r="C30" s="20"/>
      <c r="D30" s="20"/>
      <c r="E30" s="1263">
        <f>(((E$158*E$106)/(52/12))*E$4)/E$5</f>
        <v>3153.3024497381807</v>
      </c>
      <c r="F30" s="1264">
        <f t="shared" ref="F30:AJ30" si="387">(F$158*F$106)/F$5</f>
        <v>2903.2615630909081</v>
      </c>
      <c r="G30" s="1264">
        <f t="shared" si="387"/>
        <v>2928.5768198249148</v>
      </c>
      <c r="H30" s="1264">
        <f t="shared" si="387"/>
        <v>2928.5768198249148</v>
      </c>
      <c r="I30" s="1264">
        <f t="shared" si="387"/>
        <v>2928.5768198249148</v>
      </c>
      <c r="J30" s="1264">
        <f t="shared" si="387"/>
        <v>2901.20897470707</v>
      </c>
      <c r="K30" s="1264">
        <f t="shared" si="387"/>
        <v>2862.3679331388876</v>
      </c>
      <c r="L30" s="1264">
        <f t="shared" si="387"/>
        <v>2862.3679331388876</v>
      </c>
      <c r="M30" s="1264">
        <f t="shared" si="387"/>
        <v>2862.3679331388876</v>
      </c>
      <c r="N30" s="1264">
        <f t="shared" si="387"/>
        <v>2862.3679331388876</v>
      </c>
      <c r="O30" s="1264">
        <f t="shared" si="387"/>
        <v>2862.3679331388876</v>
      </c>
      <c r="P30" s="1264">
        <f t="shared" si="387"/>
        <v>2848.6840105799643</v>
      </c>
      <c r="Q30" s="1264">
        <f t="shared" si="387"/>
        <v>2848.6840105799643</v>
      </c>
      <c r="R30" s="1264">
        <f t="shared" si="387"/>
        <v>2991.1182111089624</v>
      </c>
      <c r="S30" s="1264">
        <f t="shared" si="387"/>
        <v>2991.1182111089624</v>
      </c>
      <c r="T30" s="1264">
        <f t="shared" si="387"/>
        <v>2991.1182111089624</v>
      </c>
      <c r="U30" s="1264">
        <f t="shared" si="387"/>
        <v>2991.1182111089624</v>
      </c>
      <c r="V30" s="1264">
        <f t="shared" si="387"/>
        <v>2991.1182111089624</v>
      </c>
      <c r="W30" s="1264">
        <f t="shared" si="387"/>
        <v>2991.1182111089624</v>
      </c>
      <c r="X30" s="1264">
        <f t="shared" si="387"/>
        <v>2991.1182111089624</v>
      </c>
      <c r="Y30" s="1264">
        <f t="shared" si="387"/>
        <v>2991.1182111089624</v>
      </c>
      <c r="Z30" s="1264">
        <f t="shared" si="387"/>
        <v>2991.1182111089624</v>
      </c>
      <c r="AA30" s="1264">
        <f t="shared" si="387"/>
        <v>2991.1182111089624</v>
      </c>
      <c r="AB30" s="1264">
        <f t="shared" si="387"/>
        <v>2991.1182111089624</v>
      </c>
      <c r="AC30" s="1264">
        <f t="shared" si="387"/>
        <v>2991.1182111089624</v>
      </c>
      <c r="AD30" s="1264">
        <f t="shared" si="387"/>
        <v>3140.6741216644109</v>
      </c>
      <c r="AE30" s="1264">
        <f t="shared" si="387"/>
        <v>3140.6741216644109</v>
      </c>
      <c r="AF30" s="1264">
        <f t="shared" si="387"/>
        <v>3140.6741216644109</v>
      </c>
      <c r="AG30" s="1264">
        <f t="shared" si="387"/>
        <v>3140.6741216644109</v>
      </c>
      <c r="AH30" s="1264">
        <f t="shared" si="387"/>
        <v>3140.6741216644109</v>
      </c>
      <c r="AI30" s="1264">
        <f t="shared" si="387"/>
        <v>3140.6741216644109</v>
      </c>
      <c r="AJ30" s="1264">
        <f t="shared" si="387"/>
        <v>3140.6741216644109</v>
      </c>
      <c r="AK30" s="1264">
        <f t="shared" ref="AK30:BP30" si="388">(AK$158*AK$106)/AK$5</f>
        <v>3140.6741216644109</v>
      </c>
      <c r="AL30" s="1264">
        <f t="shared" si="388"/>
        <v>3140.6741216644109</v>
      </c>
      <c r="AM30" s="1264">
        <f t="shared" si="388"/>
        <v>3140.6741216644109</v>
      </c>
      <c r="AN30" s="1264">
        <f t="shared" si="388"/>
        <v>3140.6741216644109</v>
      </c>
      <c r="AO30" s="1264">
        <f t="shared" si="388"/>
        <v>3140.6741216644109</v>
      </c>
      <c r="AP30" s="1264">
        <f t="shared" si="388"/>
        <v>3297.7078277476317</v>
      </c>
      <c r="AQ30" s="1264">
        <f t="shared" si="388"/>
        <v>3297.7078277476317</v>
      </c>
      <c r="AR30" s="1264">
        <f t="shared" si="388"/>
        <v>3297.7078277476317</v>
      </c>
      <c r="AS30" s="1264">
        <f t="shared" si="388"/>
        <v>3297.7078277476317</v>
      </c>
      <c r="AT30" s="1264">
        <f t="shared" si="388"/>
        <v>3297.7078277476317</v>
      </c>
      <c r="AU30" s="1264">
        <f t="shared" si="388"/>
        <v>3297.7078277476317</v>
      </c>
      <c r="AV30" s="1264">
        <f t="shared" si="388"/>
        <v>3297.7078277476317</v>
      </c>
      <c r="AW30" s="1264">
        <f t="shared" si="388"/>
        <v>3297.7078277476317</v>
      </c>
      <c r="AX30" s="1264">
        <f t="shared" si="388"/>
        <v>3297.7078277476317</v>
      </c>
      <c r="AY30" s="1264">
        <f t="shared" si="388"/>
        <v>3297.7078277476317</v>
      </c>
      <c r="AZ30" s="1264">
        <f t="shared" si="388"/>
        <v>3297.7078277476317</v>
      </c>
      <c r="BA30" s="1264">
        <f t="shared" si="388"/>
        <v>3297.7078277476317</v>
      </c>
      <c r="BB30" s="1264">
        <f t="shared" si="388"/>
        <v>3462.593219135013</v>
      </c>
      <c r="BC30" s="1264">
        <f t="shared" si="388"/>
        <v>3462.593219135013</v>
      </c>
      <c r="BD30" s="1264">
        <f t="shared" si="388"/>
        <v>3462.593219135013</v>
      </c>
      <c r="BE30" s="1264">
        <f t="shared" si="388"/>
        <v>3462.593219135013</v>
      </c>
      <c r="BF30" s="1264">
        <f t="shared" si="388"/>
        <v>3462.593219135013</v>
      </c>
      <c r="BG30" s="1264">
        <f t="shared" si="388"/>
        <v>3462.593219135013</v>
      </c>
      <c r="BH30" s="1264">
        <f t="shared" si="388"/>
        <v>3462.593219135013</v>
      </c>
      <c r="BI30" s="1264">
        <f t="shared" si="388"/>
        <v>3462.593219135013</v>
      </c>
      <c r="BJ30" s="1264">
        <f t="shared" si="388"/>
        <v>3462.593219135013</v>
      </c>
      <c r="BK30" s="1264">
        <f t="shared" si="388"/>
        <v>3462.593219135013</v>
      </c>
      <c r="BL30" s="1264">
        <f t="shared" si="388"/>
        <v>3462.593219135013</v>
      </c>
      <c r="BM30" s="1264">
        <f t="shared" si="388"/>
        <v>3462.593219135013</v>
      </c>
      <c r="BN30" s="1264">
        <f t="shared" si="388"/>
        <v>3635.7228800917637</v>
      </c>
      <c r="BO30" s="1264">
        <f t="shared" si="388"/>
        <v>3635.7228800917637</v>
      </c>
      <c r="BP30" s="1264">
        <f t="shared" si="388"/>
        <v>3635.7228800917637</v>
      </c>
      <c r="BQ30" s="1264">
        <f t="shared" ref="BQ30:CV30" si="389">(BQ$158*BQ$106)/BQ$5</f>
        <v>3635.7228800917637</v>
      </c>
      <c r="BR30" s="1264">
        <f t="shared" si="389"/>
        <v>3635.7228800917637</v>
      </c>
      <c r="BS30" s="1264">
        <f t="shared" si="389"/>
        <v>3635.7228800917637</v>
      </c>
      <c r="BT30" s="1264">
        <f t="shared" si="389"/>
        <v>3635.7228800917637</v>
      </c>
      <c r="BU30" s="1264">
        <f t="shared" si="389"/>
        <v>3635.7228800917637</v>
      </c>
      <c r="BV30" s="1264">
        <f t="shared" si="389"/>
        <v>3635.7228800917637</v>
      </c>
      <c r="BW30" s="1264">
        <f t="shared" si="389"/>
        <v>3635.7228800917637</v>
      </c>
      <c r="BX30" s="1264">
        <f t="shared" si="389"/>
        <v>3635.7228800917637</v>
      </c>
      <c r="BY30" s="1264">
        <f t="shared" si="389"/>
        <v>3635.7228800917637</v>
      </c>
      <c r="BZ30" s="1264">
        <f t="shared" si="389"/>
        <v>3817.5090240963518</v>
      </c>
      <c r="CA30" s="1264">
        <f t="shared" si="389"/>
        <v>3817.5090240963518</v>
      </c>
      <c r="CB30" s="1264">
        <f t="shared" si="389"/>
        <v>3817.5090240963518</v>
      </c>
      <c r="CC30" s="1264">
        <f t="shared" si="389"/>
        <v>3817.5090240963518</v>
      </c>
      <c r="CD30" s="1264">
        <f t="shared" si="389"/>
        <v>3817.5090240963518</v>
      </c>
      <c r="CE30" s="1264">
        <f t="shared" si="389"/>
        <v>3817.5090240963518</v>
      </c>
      <c r="CF30" s="1264">
        <f t="shared" si="389"/>
        <v>3817.5090240963518</v>
      </c>
      <c r="CG30" s="1264">
        <f t="shared" si="389"/>
        <v>3817.5090240963518</v>
      </c>
      <c r="CH30" s="1264">
        <f t="shared" si="389"/>
        <v>3817.5090240963518</v>
      </c>
      <c r="CI30" s="1264">
        <f t="shared" si="389"/>
        <v>3817.5090240963518</v>
      </c>
      <c r="CJ30" s="1264">
        <f t="shared" si="389"/>
        <v>3817.5090240963518</v>
      </c>
      <c r="CK30" s="1264">
        <f t="shared" si="389"/>
        <v>3817.5090240963518</v>
      </c>
      <c r="CL30" s="1264">
        <f t="shared" si="389"/>
        <v>4008.3844753011695</v>
      </c>
      <c r="CM30" s="1264">
        <f t="shared" si="389"/>
        <v>4008.3844753011695</v>
      </c>
      <c r="CN30" s="1264">
        <f t="shared" si="389"/>
        <v>4008.3844753011695</v>
      </c>
      <c r="CO30" s="1264">
        <f t="shared" si="389"/>
        <v>4008.3844753011695</v>
      </c>
      <c r="CP30" s="1264">
        <f t="shared" si="389"/>
        <v>4008.3844753011695</v>
      </c>
      <c r="CQ30" s="1264">
        <f t="shared" si="389"/>
        <v>4008.3844753011695</v>
      </c>
      <c r="CR30" s="1264">
        <f t="shared" si="389"/>
        <v>4008.3844753011695</v>
      </c>
      <c r="CS30" s="1264">
        <f t="shared" si="389"/>
        <v>4008.3844753011695</v>
      </c>
      <c r="CT30" s="1264">
        <f t="shared" si="389"/>
        <v>4008.3844753011695</v>
      </c>
      <c r="CU30" s="1264">
        <f t="shared" si="389"/>
        <v>4008.3844753011695</v>
      </c>
      <c r="CV30" s="1264">
        <f t="shared" si="389"/>
        <v>4008.3844753011695</v>
      </c>
      <c r="CW30" s="1264">
        <f t="shared" ref="CW30:DU30" si="390">(CW$158*CW$106)/CW$5</f>
        <v>4008.3844753011695</v>
      </c>
      <c r="CX30" s="1264">
        <f t="shared" si="390"/>
        <v>4208.8036990662285</v>
      </c>
      <c r="CY30" s="1264">
        <f t="shared" si="390"/>
        <v>4208.8036990662285</v>
      </c>
      <c r="CZ30" s="1264">
        <f t="shared" si="390"/>
        <v>4208.8036990662285</v>
      </c>
      <c r="DA30" s="1264">
        <f t="shared" si="390"/>
        <v>4208.8036990662285</v>
      </c>
      <c r="DB30" s="1264">
        <f t="shared" si="390"/>
        <v>4208.8036990662285</v>
      </c>
      <c r="DC30" s="1264">
        <f t="shared" si="390"/>
        <v>4208.8036990662285</v>
      </c>
      <c r="DD30" s="1264">
        <f t="shared" si="390"/>
        <v>4208.8036990662285</v>
      </c>
      <c r="DE30" s="1264">
        <f t="shared" si="390"/>
        <v>4208.8036990662285</v>
      </c>
      <c r="DF30" s="1264">
        <f t="shared" si="390"/>
        <v>4208.8036990662285</v>
      </c>
      <c r="DG30" s="1264">
        <f t="shared" si="390"/>
        <v>4208.8036990662285</v>
      </c>
      <c r="DH30" s="1264">
        <f t="shared" si="390"/>
        <v>4208.8036990662285</v>
      </c>
      <c r="DI30" s="1264">
        <f t="shared" si="390"/>
        <v>4208.8036990662285</v>
      </c>
      <c r="DJ30" s="1264">
        <f t="shared" si="390"/>
        <v>4419.24388401954</v>
      </c>
      <c r="DK30" s="1264">
        <f t="shared" si="390"/>
        <v>4419.24388401954</v>
      </c>
      <c r="DL30" s="1264">
        <f t="shared" si="390"/>
        <v>4419.24388401954</v>
      </c>
      <c r="DM30" s="1264">
        <f t="shared" si="390"/>
        <v>4419.24388401954</v>
      </c>
      <c r="DN30" s="1264">
        <f t="shared" si="390"/>
        <v>4419.24388401954</v>
      </c>
      <c r="DO30" s="1264">
        <f t="shared" si="390"/>
        <v>4419.24388401954</v>
      </c>
      <c r="DP30" s="1264">
        <f t="shared" si="390"/>
        <v>4419.24388401954</v>
      </c>
      <c r="DQ30" s="1264">
        <f t="shared" si="390"/>
        <v>4419.24388401954</v>
      </c>
      <c r="DR30" s="1264">
        <f t="shared" si="390"/>
        <v>4419.24388401954</v>
      </c>
      <c r="DS30" s="1264">
        <f t="shared" si="390"/>
        <v>4419.24388401954</v>
      </c>
      <c r="DT30" s="1264">
        <f t="shared" si="390"/>
        <v>4419.24388401954</v>
      </c>
      <c r="DU30" s="1265">
        <f t="shared" si="390"/>
        <v>4419.24388401954</v>
      </c>
      <c r="DV30" s="1265"/>
      <c r="DW30" s="1248">
        <f t="shared" si="368"/>
        <v>3153.3024497381807</v>
      </c>
      <c r="DX30" s="1246">
        <f>SUM(F30:H30)</f>
        <v>8760.4152027407381</v>
      </c>
      <c r="DY30" s="1247">
        <f>SUM(I30:K30)</f>
        <v>8692.1537276708732</v>
      </c>
      <c r="DZ30" s="1247">
        <f>SUM(L30:N30)</f>
        <v>8587.1037994166618</v>
      </c>
      <c r="EA30" s="1248">
        <f>SUM(O30:Q30)</f>
        <v>8559.7359542988161</v>
      </c>
      <c r="EB30" s="1246">
        <f t="shared" si="369"/>
        <v>37752.711133865276</v>
      </c>
      <c r="EC30" s="1247">
        <f>SUM(R30:AC30)</f>
        <v>35893.418533307551</v>
      </c>
      <c r="ED30" s="1248">
        <f>SUM(AD30:AO30)</f>
        <v>37688.089459972929</v>
      </c>
      <c r="EE30" s="1249">
        <f t="shared" si="370"/>
        <v>111334.21912714574</v>
      </c>
      <c r="EF30" s="1247">
        <f t="shared" si="371"/>
        <v>39572.493932971578</v>
      </c>
      <c r="EG30" s="1248">
        <f t="shared" si="372"/>
        <v>41551.11862962017</v>
      </c>
      <c r="EH30" s="1249">
        <f t="shared" si="373"/>
        <v>192457.8316897375</v>
      </c>
      <c r="EI30" s="638">
        <f t="shared" si="378"/>
        <v>2.9042961498804132E-2</v>
      </c>
      <c r="EJ30" s="16">
        <f t="shared" si="347"/>
        <v>43628.674561101179</v>
      </c>
      <c r="EK30" s="17">
        <f t="shared" si="348"/>
        <v>45810.108289156226</v>
      </c>
      <c r="EL30" s="17">
        <f t="shared" si="349"/>
        <v>48100.613703614043</v>
      </c>
      <c r="EM30" s="17">
        <f t="shared" si="350"/>
        <v>50505.644388794746</v>
      </c>
      <c r="EN30" s="151">
        <f t="shared" si="351"/>
        <v>53030.926608234477</v>
      </c>
      <c r="EO30" s="139">
        <f t="shared" si="352"/>
        <v>433533.79924063815</v>
      </c>
      <c r="EQ30" s="14">
        <f t="shared" si="353"/>
        <v>0</v>
      </c>
    </row>
    <row r="31" spans="1:147" x14ac:dyDescent="0.3">
      <c r="B31" s="596"/>
      <c r="C31" s="20"/>
      <c r="D31" s="20"/>
      <c r="E31" s="1263"/>
      <c r="F31" s="1264"/>
      <c r="G31" s="1264"/>
      <c r="H31" s="1264"/>
      <c r="I31" s="1264"/>
      <c r="J31" s="1264"/>
      <c r="K31" s="1264"/>
      <c r="L31" s="1264"/>
      <c r="M31" s="1264"/>
      <c r="N31" s="1264"/>
      <c r="O31" s="1264"/>
      <c r="P31" s="1264"/>
      <c r="Q31" s="1264"/>
      <c r="R31" s="1264"/>
      <c r="S31" s="1264"/>
      <c r="T31" s="1264"/>
      <c r="U31" s="1264"/>
      <c r="V31" s="1264"/>
      <c r="W31" s="1264"/>
      <c r="X31" s="1264"/>
      <c r="Y31" s="1264"/>
      <c r="Z31" s="1264"/>
      <c r="AA31" s="1264"/>
      <c r="AB31" s="1264"/>
      <c r="AC31" s="1264"/>
      <c r="AD31" s="1264"/>
      <c r="AE31" s="1264"/>
      <c r="AF31" s="1264"/>
      <c r="AG31" s="1264"/>
      <c r="AH31" s="1264"/>
      <c r="AI31" s="1264"/>
      <c r="AJ31" s="1264"/>
      <c r="AK31" s="1264"/>
      <c r="AL31" s="1264"/>
      <c r="AM31" s="1264"/>
      <c r="AN31" s="1264"/>
      <c r="AO31" s="1264"/>
      <c r="AP31" s="1264"/>
      <c r="AQ31" s="1264"/>
      <c r="AR31" s="1264"/>
      <c r="AS31" s="1264"/>
      <c r="AT31" s="1264"/>
      <c r="AU31" s="1264"/>
      <c r="AV31" s="1264"/>
      <c r="AW31" s="1264"/>
      <c r="AX31" s="1264"/>
      <c r="AY31" s="1264"/>
      <c r="AZ31" s="1264"/>
      <c r="BA31" s="1264"/>
      <c r="BB31" s="1264"/>
      <c r="BC31" s="1264"/>
      <c r="BD31" s="1264"/>
      <c r="BE31" s="1264"/>
      <c r="BF31" s="1264"/>
      <c r="BG31" s="1264"/>
      <c r="BH31" s="1264"/>
      <c r="BI31" s="1264"/>
      <c r="BJ31" s="1264"/>
      <c r="BK31" s="1264"/>
      <c r="BL31" s="1264"/>
      <c r="BM31" s="1264"/>
      <c r="BN31" s="1264"/>
      <c r="BO31" s="1264"/>
      <c r="BP31" s="1264"/>
      <c r="BQ31" s="1264"/>
      <c r="BR31" s="1264"/>
      <c r="BS31" s="1264"/>
      <c r="BT31" s="1264"/>
      <c r="BU31" s="1264"/>
      <c r="BV31" s="1264"/>
      <c r="BW31" s="1264"/>
      <c r="BX31" s="1264"/>
      <c r="BY31" s="1264"/>
      <c r="BZ31" s="1264"/>
      <c r="CA31" s="1264"/>
      <c r="CB31" s="1264"/>
      <c r="CC31" s="1264"/>
      <c r="CD31" s="1264"/>
      <c r="CE31" s="1264"/>
      <c r="CF31" s="1264"/>
      <c r="CG31" s="1264"/>
      <c r="CH31" s="1264"/>
      <c r="CI31" s="1264"/>
      <c r="CJ31" s="1264"/>
      <c r="CK31" s="1264"/>
      <c r="CL31" s="1264"/>
      <c r="CM31" s="1264"/>
      <c r="CN31" s="1264"/>
      <c r="CO31" s="1264"/>
      <c r="CP31" s="1264"/>
      <c r="CQ31" s="1264"/>
      <c r="CR31" s="1264"/>
      <c r="CS31" s="1264"/>
      <c r="CT31" s="1264"/>
      <c r="CU31" s="1264"/>
      <c r="CV31" s="1264"/>
      <c r="CW31" s="1264"/>
      <c r="CX31" s="1264"/>
      <c r="CY31" s="1264"/>
      <c r="CZ31" s="1264"/>
      <c r="DA31" s="1264"/>
      <c r="DB31" s="1264"/>
      <c r="DC31" s="1264"/>
      <c r="DD31" s="1264"/>
      <c r="DE31" s="1264"/>
      <c r="DF31" s="1264"/>
      <c r="DG31" s="1264"/>
      <c r="DH31" s="1264"/>
      <c r="DI31" s="1264"/>
      <c r="DJ31" s="1264"/>
      <c r="DK31" s="1264"/>
      <c r="DL31" s="1264"/>
      <c r="DM31" s="1264"/>
      <c r="DN31" s="1264"/>
      <c r="DO31" s="1264"/>
      <c r="DP31" s="1264"/>
      <c r="DQ31" s="1264"/>
      <c r="DR31" s="1264"/>
      <c r="DS31" s="1264"/>
      <c r="DT31" s="1264"/>
      <c r="DU31" s="1265"/>
      <c r="DV31" s="1265"/>
      <c r="DW31" s="1265"/>
      <c r="DX31" s="1263"/>
      <c r="DY31" s="1264"/>
      <c r="DZ31" s="1264"/>
      <c r="EA31" s="1265"/>
      <c r="EB31" s="1263"/>
      <c r="EC31" s="1264"/>
      <c r="ED31" s="1265"/>
      <c r="EE31" s="1270"/>
      <c r="EF31" s="1264"/>
      <c r="EG31" s="1265"/>
      <c r="EH31" s="1270"/>
      <c r="EI31" s="638">
        <f t="shared" si="378"/>
        <v>0</v>
      </c>
      <c r="EJ31" s="19"/>
      <c r="EK31" s="20"/>
      <c r="EL31" s="20"/>
      <c r="EM31" s="20"/>
      <c r="EN31" s="152"/>
      <c r="EO31" s="141"/>
      <c r="EQ31" s="14">
        <f t="shared" si="353"/>
        <v>0</v>
      </c>
    </row>
    <row r="32" spans="1:147" x14ac:dyDescent="0.3">
      <c r="B32" s="596" t="s">
        <v>13</v>
      </c>
      <c r="C32" s="20"/>
      <c r="D32" s="20"/>
      <c r="E32" s="1263">
        <f>SUM(E26:E30)</f>
        <v>50492.448172132659</v>
      </c>
      <c r="F32" s="1264">
        <f t="shared" ref="F32:EE32" si="391">SUM(F26:F30)</f>
        <v>33459.737971782597</v>
      </c>
      <c r="G32" s="1264">
        <f t="shared" si="391"/>
        <v>34072.963579897078</v>
      </c>
      <c r="H32" s="1264">
        <f t="shared" si="391"/>
        <v>34072.963579897078</v>
      </c>
      <c r="I32" s="1264">
        <f t="shared" si="391"/>
        <v>33843.631988767193</v>
      </c>
      <c r="J32" s="1264">
        <f t="shared" si="391"/>
        <v>33605.752035890153</v>
      </c>
      <c r="K32" s="1264">
        <f t="shared" si="391"/>
        <v>31501.298440148512</v>
      </c>
      <c r="L32" s="1264">
        <f t="shared" si="391"/>
        <v>31501.298440148512</v>
      </c>
      <c r="M32" s="1264">
        <f t="shared" si="391"/>
        <v>31501.298440148512</v>
      </c>
      <c r="N32" s="1264">
        <f t="shared" si="391"/>
        <v>31501.298440148512</v>
      </c>
      <c r="O32" s="1264">
        <f t="shared" si="391"/>
        <v>31501.298440148512</v>
      </c>
      <c r="P32" s="1264">
        <f t="shared" si="391"/>
        <v>31355.876755727324</v>
      </c>
      <c r="Q32" s="1264">
        <f t="shared" si="391"/>
        <v>31355.876755727324</v>
      </c>
      <c r="R32" s="1264">
        <f t="shared" si="391"/>
        <v>33166.019545550582</v>
      </c>
      <c r="S32" s="1264">
        <f t="shared" si="391"/>
        <v>32923.670593513692</v>
      </c>
      <c r="T32" s="1264">
        <f t="shared" si="391"/>
        <v>32923.670593513692</v>
      </c>
      <c r="U32" s="1264">
        <f t="shared" si="391"/>
        <v>32923.670593513692</v>
      </c>
      <c r="V32" s="1264">
        <f t="shared" si="391"/>
        <v>32923.670593513692</v>
      </c>
      <c r="W32" s="1264">
        <f t="shared" si="391"/>
        <v>32923.670593513692</v>
      </c>
      <c r="X32" s="1264">
        <f t="shared" si="391"/>
        <v>32923.670593513692</v>
      </c>
      <c r="Y32" s="1264">
        <f t="shared" si="391"/>
        <v>32923.670593513692</v>
      </c>
      <c r="Z32" s="1264">
        <f t="shared" si="391"/>
        <v>32923.670593513692</v>
      </c>
      <c r="AA32" s="1264">
        <f t="shared" si="391"/>
        <v>32923.670593513692</v>
      </c>
      <c r="AB32" s="1264">
        <f t="shared" si="391"/>
        <v>32923.670593513692</v>
      </c>
      <c r="AC32" s="1264">
        <f t="shared" si="391"/>
        <v>32923.670593513692</v>
      </c>
      <c r="AD32" s="1264">
        <f t="shared" si="391"/>
        <v>34824.320522828108</v>
      </c>
      <c r="AE32" s="1264">
        <f t="shared" si="391"/>
        <v>34569.854123189376</v>
      </c>
      <c r="AF32" s="1264">
        <f t="shared" si="391"/>
        <v>34569.854123189376</v>
      </c>
      <c r="AG32" s="1264">
        <f t="shared" si="391"/>
        <v>34569.854123189376</v>
      </c>
      <c r="AH32" s="1264">
        <f t="shared" si="391"/>
        <v>34569.854123189376</v>
      </c>
      <c r="AI32" s="1264">
        <f t="shared" si="391"/>
        <v>34569.854123189376</v>
      </c>
      <c r="AJ32" s="1264">
        <f t="shared" si="391"/>
        <v>34569.854123189376</v>
      </c>
      <c r="AK32" s="1264">
        <f t="shared" si="391"/>
        <v>34569.854123189376</v>
      </c>
      <c r="AL32" s="1264">
        <f t="shared" si="391"/>
        <v>34569.854123189376</v>
      </c>
      <c r="AM32" s="1264">
        <f t="shared" si="391"/>
        <v>34569.854123189376</v>
      </c>
      <c r="AN32" s="1264">
        <f t="shared" si="391"/>
        <v>34569.854123189376</v>
      </c>
      <c r="AO32" s="1264">
        <f t="shared" si="391"/>
        <v>34569.854123189376</v>
      </c>
      <c r="AP32" s="1264">
        <f t="shared" ref="AP32:BM32" si="392">SUM(AP26:AP30)</f>
        <v>36565.536548969518</v>
      </c>
      <c r="AQ32" s="1264">
        <f t="shared" si="392"/>
        <v>36298.346829348848</v>
      </c>
      <c r="AR32" s="1264">
        <f t="shared" si="392"/>
        <v>36298.346829348848</v>
      </c>
      <c r="AS32" s="1264">
        <f t="shared" si="392"/>
        <v>36298.346829348848</v>
      </c>
      <c r="AT32" s="1264">
        <f t="shared" si="392"/>
        <v>36298.346829348848</v>
      </c>
      <c r="AU32" s="1264">
        <f t="shared" si="392"/>
        <v>36298.346829348848</v>
      </c>
      <c r="AV32" s="1264">
        <f t="shared" si="392"/>
        <v>36298.346829348848</v>
      </c>
      <c r="AW32" s="1264">
        <f t="shared" si="392"/>
        <v>36298.346829348848</v>
      </c>
      <c r="AX32" s="1264">
        <f t="shared" si="392"/>
        <v>36298.346829348848</v>
      </c>
      <c r="AY32" s="1264">
        <f t="shared" si="392"/>
        <v>36298.346829348848</v>
      </c>
      <c r="AZ32" s="1264">
        <f t="shared" si="392"/>
        <v>36298.346829348848</v>
      </c>
      <c r="BA32" s="1264">
        <f t="shared" si="392"/>
        <v>36298.346829348848</v>
      </c>
      <c r="BB32" s="1264">
        <f t="shared" si="392"/>
        <v>38393.813376417987</v>
      </c>
      <c r="BC32" s="1264">
        <f t="shared" si="392"/>
        <v>38113.264170816292</v>
      </c>
      <c r="BD32" s="1264">
        <f t="shared" si="392"/>
        <v>38113.264170816292</v>
      </c>
      <c r="BE32" s="1264">
        <f t="shared" si="392"/>
        <v>38113.264170816292</v>
      </c>
      <c r="BF32" s="1264">
        <f t="shared" si="392"/>
        <v>38113.264170816292</v>
      </c>
      <c r="BG32" s="1264">
        <f t="shared" si="392"/>
        <v>38113.264170816292</v>
      </c>
      <c r="BH32" s="1264">
        <f t="shared" si="392"/>
        <v>38113.264170816292</v>
      </c>
      <c r="BI32" s="1264">
        <f t="shared" si="392"/>
        <v>38113.264170816292</v>
      </c>
      <c r="BJ32" s="1264">
        <f t="shared" si="392"/>
        <v>38113.264170816292</v>
      </c>
      <c r="BK32" s="1264">
        <f t="shared" si="392"/>
        <v>38113.264170816292</v>
      </c>
      <c r="BL32" s="1264">
        <f t="shared" si="392"/>
        <v>38113.264170816292</v>
      </c>
      <c r="BM32" s="1264">
        <f t="shared" si="392"/>
        <v>38113.264170816292</v>
      </c>
      <c r="BN32" s="1264">
        <f t="shared" ref="BN32:DU32" si="393">SUM(BN26:BN30)</f>
        <v>40313.5040452389</v>
      </c>
      <c r="BO32" s="1264">
        <f t="shared" ref="BO32:BY32" si="394">SUM(BO26:BO30)</f>
        <v>40018.927379357112</v>
      </c>
      <c r="BP32" s="1264">
        <f t="shared" si="394"/>
        <v>40018.927379357112</v>
      </c>
      <c r="BQ32" s="1264">
        <f t="shared" si="394"/>
        <v>40018.927379357112</v>
      </c>
      <c r="BR32" s="1264">
        <f t="shared" si="394"/>
        <v>40018.927379357112</v>
      </c>
      <c r="BS32" s="1264">
        <f t="shared" si="394"/>
        <v>40018.927379357112</v>
      </c>
      <c r="BT32" s="1264">
        <f t="shared" si="394"/>
        <v>40018.927379357112</v>
      </c>
      <c r="BU32" s="1264">
        <f t="shared" si="394"/>
        <v>40018.927379357112</v>
      </c>
      <c r="BV32" s="1264">
        <f t="shared" si="394"/>
        <v>40018.927379357112</v>
      </c>
      <c r="BW32" s="1264">
        <f t="shared" si="394"/>
        <v>40018.927379357112</v>
      </c>
      <c r="BX32" s="1264">
        <f t="shared" si="394"/>
        <v>40018.927379357112</v>
      </c>
      <c r="BY32" s="1264">
        <f t="shared" si="394"/>
        <v>40018.927379357112</v>
      </c>
      <c r="BZ32" s="1264">
        <f t="shared" si="393"/>
        <v>42329.179247500841</v>
      </c>
      <c r="CA32" s="1264">
        <f t="shared" ref="CA32:CK32" si="395">SUM(CA26:CA30)</f>
        <v>42019.873748324964</v>
      </c>
      <c r="CB32" s="1264">
        <f t="shared" si="395"/>
        <v>42019.873748324964</v>
      </c>
      <c r="CC32" s="1264">
        <f t="shared" si="395"/>
        <v>42019.873748324964</v>
      </c>
      <c r="CD32" s="1264">
        <f t="shared" si="395"/>
        <v>42019.873748324964</v>
      </c>
      <c r="CE32" s="1264">
        <f t="shared" si="395"/>
        <v>42019.873748324964</v>
      </c>
      <c r="CF32" s="1264">
        <f t="shared" si="395"/>
        <v>42019.873748324964</v>
      </c>
      <c r="CG32" s="1264">
        <f t="shared" si="395"/>
        <v>42019.873748324964</v>
      </c>
      <c r="CH32" s="1264">
        <f t="shared" si="395"/>
        <v>42019.873748324964</v>
      </c>
      <c r="CI32" s="1264">
        <f t="shared" si="395"/>
        <v>42019.873748324964</v>
      </c>
      <c r="CJ32" s="1264">
        <f t="shared" si="395"/>
        <v>42019.873748324964</v>
      </c>
      <c r="CK32" s="1264">
        <f t="shared" si="395"/>
        <v>42019.873748324964</v>
      </c>
      <c r="CL32" s="1264">
        <f t="shared" si="393"/>
        <v>44445.638209875891</v>
      </c>
      <c r="CM32" s="1264">
        <f t="shared" ref="CM32:CW32" si="396">SUM(CM26:CM30)</f>
        <v>44120.867435741224</v>
      </c>
      <c r="CN32" s="1264">
        <f t="shared" si="396"/>
        <v>44120.867435741224</v>
      </c>
      <c r="CO32" s="1264">
        <f t="shared" si="396"/>
        <v>44120.867435741224</v>
      </c>
      <c r="CP32" s="1264">
        <f t="shared" si="396"/>
        <v>44120.867435741224</v>
      </c>
      <c r="CQ32" s="1264">
        <f t="shared" si="396"/>
        <v>44120.867435741224</v>
      </c>
      <c r="CR32" s="1264">
        <f t="shared" si="396"/>
        <v>44120.867435741224</v>
      </c>
      <c r="CS32" s="1264">
        <f t="shared" si="396"/>
        <v>44120.867435741224</v>
      </c>
      <c r="CT32" s="1264">
        <f t="shared" si="396"/>
        <v>44120.867435741224</v>
      </c>
      <c r="CU32" s="1264">
        <f t="shared" si="396"/>
        <v>44120.867435741224</v>
      </c>
      <c r="CV32" s="1264">
        <f t="shared" si="396"/>
        <v>44120.867435741224</v>
      </c>
      <c r="CW32" s="1264">
        <f t="shared" si="396"/>
        <v>44120.867435741224</v>
      </c>
      <c r="CX32" s="1264">
        <f t="shared" ref="CX32" si="397">SUM(CX26:CX30)</f>
        <v>46667.920120369672</v>
      </c>
      <c r="CY32" s="1264">
        <f t="shared" ref="CY32:DI32" si="398">SUM(CY26:CY30)</f>
        <v>46326.910807528278</v>
      </c>
      <c r="CZ32" s="1264">
        <f t="shared" si="398"/>
        <v>46326.910807528278</v>
      </c>
      <c r="DA32" s="1264">
        <f t="shared" si="398"/>
        <v>46326.910807528278</v>
      </c>
      <c r="DB32" s="1264">
        <f t="shared" si="398"/>
        <v>46326.910807528278</v>
      </c>
      <c r="DC32" s="1264">
        <f t="shared" si="398"/>
        <v>46326.910807528278</v>
      </c>
      <c r="DD32" s="1264">
        <f t="shared" si="398"/>
        <v>46326.910807528278</v>
      </c>
      <c r="DE32" s="1264">
        <f t="shared" si="398"/>
        <v>46326.910807528278</v>
      </c>
      <c r="DF32" s="1264">
        <f t="shared" si="398"/>
        <v>46326.910807528278</v>
      </c>
      <c r="DG32" s="1264">
        <f t="shared" si="398"/>
        <v>46326.910807528278</v>
      </c>
      <c r="DH32" s="1264">
        <f t="shared" si="398"/>
        <v>46326.910807528278</v>
      </c>
      <c r="DI32" s="1264">
        <f t="shared" si="398"/>
        <v>46326.910807528278</v>
      </c>
      <c r="DJ32" s="1264">
        <f t="shared" si="393"/>
        <v>49001.31612638817</v>
      </c>
      <c r="DK32" s="1264">
        <f t="shared" si="393"/>
        <v>48643.256347904702</v>
      </c>
      <c r="DL32" s="1264">
        <f t="shared" si="393"/>
        <v>48643.256347904702</v>
      </c>
      <c r="DM32" s="1264">
        <f t="shared" si="393"/>
        <v>48643.256347904702</v>
      </c>
      <c r="DN32" s="1264">
        <f t="shared" si="393"/>
        <v>48643.256347904702</v>
      </c>
      <c r="DO32" s="1264">
        <f t="shared" si="393"/>
        <v>48643.256347904702</v>
      </c>
      <c r="DP32" s="1264">
        <f t="shared" si="393"/>
        <v>48643.256347904702</v>
      </c>
      <c r="DQ32" s="1264">
        <f t="shared" si="393"/>
        <v>48643.256347904702</v>
      </c>
      <c r="DR32" s="1264">
        <f t="shared" si="393"/>
        <v>48643.256347904702</v>
      </c>
      <c r="DS32" s="1264">
        <f t="shared" si="393"/>
        <v>48643.256347904702</v>
      </c>
      <c r="DT32" s="1264">
        <f t="shared" si="393"/>
        <v>48643.256347904702</v>
      </c>
      <c r="DU32" s="1265">
        <f t="shared" si="393"/>
        <v>48643.256347904702</v>
      </c>
      <c r="DV32" s="1265"/>
      <c r="DW32" s="1265">
        <f t="shared" si="391"/>
        <v>50492.448172132659</v>
      </c>
      <c r="DX32" s="1263">
        <f t="shared" si="391"/>
        <v>101605.66513157677</v>
      </c>
      <c r="DY32" s="1264">
        <f t="shared" si="391"/>
        <v>98950.682464805839</v>
      </c>
      <c r="DZ32" s="1264">
        <f t="shared" si="391"/>
        <v>94503.895320445532</v>
      </c>
      <c r="EA32" s="1265">
        <f t="shared" si="391"/>
        <v>94213.051951603164</v>
      </c>
      <c r="EB32" s="1263">
        <f t="shared" si="391"/>
        <v>439765.74304056406</v>
      </c>
      <c r="EC32" s="1264">
        <f t="shared" si="391"/>
        <v>395326.39607420133</v>
      </c>
      <c r="ED32" s="1265">
        <f t="shared" si="391"/>
        <v>415092.71587791131</v>
      </c>
      <c r="EE32" s="1270">
        <f t="shared" si="391"/>
        <v>1250184.854992677</v>
      </c>
      <c r="EF32" s="1264">
        <f t="shared" ref="EF32:EO32" si="399">SUM(EF26:EF30)</f>
        <v>435847.35167180683</v>
      </c>
      <c r="EG32" s="1265">
        <f t="shared" si="399"/>
        <v>457639.71925539715</v>
      </c>
      <c r="EH32" s="1270">
        <f t="shared" si="399"/>
        <v>2143671.9259198806</v>
      </c>
      <c r="EI32" s="638">
        <f t="shared" si="378"/>
        <v>0.32349206402224179</v>
      </c>
      <c r="EJ32" s="19">
        <f t="shared" si="399"/>
        <v>480521.70521816722</v>
      </c>
      <c r="EK32" s="20">
        <f t="shared" si="399"/>
        <v>504547.79047907551</v>
      </c>
      <c r="EL32" s="20">
        <f t="shared" si="399"/>
        <v>529775.18000302941</v>
      </c>
      <c r="EM32" s="20">
        <f t="shared" si="399"/>
        <v>556263.93900318083</v>
      </c>
      <c r="EN32" s="152">
        <f t="shared" si="399"/>
        <v>584077.13595333975</v>
      </c>
      <c r="EO32" s="141">
        <f t="shared" si="399"/>
        <v>4798857.676576674</v>
      </c>
      <c r="EQ32" s="14">
        <f t="shared" si="353"/>
        <v>0</v>
      </c>
    </row>
    <row r="33" spans="2:147" x14ac:dyDescent="0.3">
      <c r="B33" s="599" t="s">
        <v>317</v>
      </c>
      <c r="C33" s="20"/>
      <c r="D33" s="20"/>
      <c r="E33" s="1271">
        <f>((E159/E$5))</f>
        <v>0</v>
      </c>
      <c r="F33" s="1272">
        <f t="shared" ref="F33:AK33" si="400">((F159*F$86)/F$5)</f>
        <v>2336.5957575757575</v>
      </c>
      <c r="G33" s="1272">
        <f t="shared" si="400"/>
        <v>2336.5957575757575</v>
      </c>
      <c r="H33" s="1272">
        <f t="shared" si="400"/>
        <v>2336.5957575757575</v>
      </c>
      <c r="I33" s="1272">
        <f t="shared" si="400"/>
        <v>2336.5957575757575</v>
      </c>
      <c r="J33" s="1272">
        <f t="shared" si="400"/>
        <v>2336.5957575757575</v>
      </c>
      <c r="K33" s="1272">
        <f t="shared" si="400"/>
        <v>2336.5957575757575</v>
      </c>
      <c r="L33" s="1272">
        <f t="shared" si="400"/>
        <v>2336.5957575757575</v>
      </c>
      <c r="M33" s="1272">
        <f t="shared" si="400"/>
        <v>2336.5957575757575</v>
      </c>
      <c r="N33" s="1272">
        <f t="shared" si="400"/>
        <v>2336.5957575757575</v>
      </c>
      <c r="O33" s="1272">
        <f t="shared" si="400"/>
        <v>2336.5957575757575</v>
      </c>
      <c r="P33" s="1272">
        <f t="shared" si="400"/>
        <v>2336.5957575757575</v>
      </c>
      <c r="Q33" s="1272">
        <f t="shared" si="400"/>
        <v>2336.5957575757575</v>
      </c>
      <c r="R33" s="1273">
        <f t="shared" si="400"/>
        <v>2453.4255454545455</v>
      </c>
      <c r="S33" s="1273">
        <f t="shared" si="400"/>
        <v>2453.4255454545455</v>
      </c>
      <c r="T33" s="1273">
        <f t="shared" si="400"/>
        <v>2453.4255454545455</v>
      </c>
      <c r="U33" s="1273">
        <f t="shared" si="400"/>
        <v>2453.4255454545455</v>
      </c>
      <c r="V33" s="1273">
        <f t="shared" si="400"/>
        <v>2453.4255454545455</v>
      </c>
      <c r="W33" s="1273">
        <f t="shared" si="400"/>
        <v>2453.4255454545455</v>
      </c>
      <c r="X33" s="1273">
        <f t="shared" si="400"/>
        <v>2453.4255454545455</v>
      </c>
      <c r="Y33" s="1273">
        <f t="shared" si="400"/>
        <v>2453.4255454545455</v>
      </c>
      <c r="Z33" s="1273">
        <f t="shared" si="400"/>
        <v>2453.4255454545455</v>
      </c>
      <c r="AA33" s="1273">
        <f t="shared" si="400"/>
        <v>2453.4255454545455</v>
      </c>
      <c r="AB33" s="1273">
        <f t="shared" si="400"/>
        <v>2453.4255454545455</v>
      </c>
      <c r="AC33" s="1273">
        <f t="shared" si="400"/>
        <v>2453.4255454545455</v>
      </c>
      <c r="AD33" s="1274">
        <f t="shared" si="400"/>
        <v>2576.0968227272733</v>
      </c>
      <c r="AE33" s="1274">
        <f t="shared" si="400"/>
        <v>2576.0968227272733</v>
      </c>
      <c r="AF33" s="1274">
        <f t="shared" si="400"/>
        <v>2576.0968227272733</v>
      </c>
      <c r="AG33" s="1274">
        <f t="shared" si="400"/>
        <v>2576.0968227272733</v>
      </c>
      <c r="AH33" s="1274">
        <f t="shared" si="400"/>
        <v>2576.0968227272733</v>
      </c>
      <c r="AI33" s="1274">
        <f t="shared" si="400"/>
        <v>2576.0968227272733</v>
      </c>
      <c r="AJ33" s="1274">
        <f t="shared" si="400"/>
        <v>2576.0968227272733</v>
      </c>
      <c r="AK33" s="1274">
        <f t="shared" si="400"/>
        <v>2576.0968227272733</v>
      </c>
      <c r="AL33" s="1274">
        <f t="shared" ref="AL33:BQ33" si="401">((AL159*AL$86)/AL$5)</f>
        <v>2576.0968227272733</v>
      </c>
      <c r="AM33" s="1274">
        <f t="shared" si="401"/>
        <v>2576.0968227272733</v>
      </c>
      <c r="AN33" s="1274">
        <f t="shared" si="401"/>
        <v>2576.0968227272733</v>
      </c>
      <c r="AO33" s="1274">
        <f t="shared" si="401"/>
        <v>2576.0968227272733</v>
      </c>
      <c r="AP33" s="1275">
        <f t="shared" si="401"/>
        <v>2704.9016638636367</v>
      </c>
      <c r="AQ33" s="1275">
        <f t="shared" si="401"/>
        <v>2704.9016638636367</v>
      </c>
      <c r="AR33" s="1275">
        <f t="shared" si="401"/>
        <v>2704.9016638636367</v>
      </c>
      <c r="AS33" s="1275">
        <f t="shared" si="401"/>
        <v>2704.9016638636367</v>
      </c>
      <c r="AT33" s="1275">
        <f t="shared" si="401"/>
        <v>2704.9016638636367</v>
      </c>
      <c r="AU33" s="1275">
        <f t="shared" si="401"/>
        <v>2704.9016638636367</v>
      </c>
      <c r="AV33" s="1275">
        <f t="shared" si="401"/>
        <v>2704.9016638636367</v>
      </c>
      <c r="AW33" s="1275">
        <f t="shared" si="401"/>
        <v>2704.9016638636367</v>
      </c>
      <c r="AX33" s="1275">
        <f t="shared" si="401"/>
        <v>2704.9016638636367</v>
      </c>
      <c r="AY33" s="1275">
        <f t="shared" si="401"/>
        <v>2704.9016638636367</v>
      </c>
      <c r="AZ33" s="1275">
        <f t="shared" si="401"/>
        <v>2704.9016638636367</v>
      </c>
      <c r="BA33" s="1275">
        <f t="shared" si="401"/>
        <v>2704.9016638636367</v>
      </c>
      <c r="BB33" s="1276">
        <f t="shared" si="401"/>
        <v>2840.1467470568186</v>
      </c>
      <c r="BC33" s="1276">
        <f t="shared" si="401"/>
        <v>2840.1467470568186</v>
      </c>
      <c r="BD33" s="1276">
        <f t="shared" si="401"/>
        <v>2840.1467470568186</v>
      </c>
      <c r="BE33" s="1276">
        <f t="shared" si="401"/>
        <v>2840.1467470568186</v>
      </c>
      <c r="BF33" s="1276">
        <f t="shared" si="401"/>
        <v>2840.1467470568186</v>
      </c>
      <c r="BG33" s="1276">
        <f t="shared" si="401"/>
        <v>2840.1467470568186</v>
      </c>
      <c r="BH33" s="1276">
        <f t="shared" si="401"/>
        <v>2840.1467470568186</v>
      </c>
      <c r="BI33" s="1276">
        <f t="shared" si="401"/>
        <v>2840.1467470568186</v>
      </c>
      <c r="BJ33" s="1276">
        <f t="shared" si="401"/>
        <v>2840.1467470568186</v>
      </c>
      <c r="BK33" s="1276">
        <f t="shared" si="401"/>
        <v>2840.1467470568186</v>
      </c>
      <c r="BL33" s="1276">
        <f t="shared" si="401"/>
        <v>2840.1467470568186</v>
      </c>
      <c r="BM33" s="1276">
        <f t="shared" si="401"/>
        <v>2840.1467470568186</v>
      </c>
      <c r="BN33" s="1277">
        <f t="shared" si="401"/>
        <v>2982.1540844096603</v>
      </c>
      <c r="BO33" s="1277">
        <f t="shared" si="401"/>
        <v>2982.1540844096603</v>
      </c>
      <c r="BP33" s="1277">
        <f t="shared" si="401"/>
        <v>2982.1540844096603</v>
      </c>
      <c r="BQ33" s="1277">
        <f t="shared" si="401"/>
        <v>2982.1540844096603</v>
      </c>
      <c r="BR33" s="1277">
        <f t="shared" ref="BR33:CW33" si="402">((BR159*BR$86)/BR$5)</f>
        <v>2982.1540844096603</v>
      </c>
      <c r="BS33" s="1277">
        <f t="shared" si="402"/>
        <v>2982.1540844096603</v>
      </c>
      <c r="BT33" s="1277">
        <f t="shared" si="402"/>
        <v>2982.1540844096603</v>
      </c>
      <c r="BU33" s="1277">
        <f t="shared" si="402"/>
        <v>2982.1540844096603</v>
      </c>
      <c r="BV33" s="1277">
        <f t="shared" si="402"/>
        <v>2982.1540844096603</v>
      </c>
      <c r="BW33" s="1277">
        <f t="shared" si="402"/>
        <v>2982.1540844096603</v>
      </c>
      <c r="BX33" s="1277">
        <f t="shared" si="402"/>
        <v>2982.1540844096603</v>
      </c>
      <c r="BY33" s="1277">
        <f t="shared" si="402"/>
        <v>2982.1540844096603</v>
      </c>
      <c r="BZ33" s="1278">
        <f t="shared" si="402"/>
        <v>3131.2617886301432</v>
      </c>
      <c r="CA33" s="1278">
        <f t="shared" si="402"/>
        <v>3131.2617886301432</v>
      </c>
      <c r="CB33" s="1278">
        <f t="shared" si="402"/>
        <v>3131.2617886301432</v>
      </c>
      <c r="CC33" s="1278">
        <f t="shared" si="402"/>
        <v>3131.2617886301432</v>
      </c>
      <c r="CD33" s="1278">
        <f t="shared" si="402"/>
        <v>3131.2617886301432</v>
      </c>
      <c r="CE33" s="1278">
        <f t="shared" si="402"/>
        <v>3131.2617886301432</v>
      </c>
      <c r="CF33" s="1278">
        <f t="shared" si="402"/>
        <v>3131.2617886301432</v>
      </c>
      <c r="CG33" s="1278">
        <f t="shared" si="402"/>
        <v>3131.2617886301432</v>
      </c>
      <c r="CH33" s="1278">
        <f t="shared" si="402"/>
        <v>3131.2617886301432</v>
      </c>
      <c r="CI33" s="1278">
        <f t="shared" si="402"/>
        <v>3131.2617886301432</v>
      </c>
      <c r="CJ33" s="1278">
        <f t="shared" si="402"/>
        <v>3131.2617886301432</v>
      </c>
      <c r="CK33" s="1278">
        <f t="shared" si="402"/>
        <v>3131.2617886301432</v>
      </c>
      <c r="CL33" s="1273">
        <f t="shared" si="402"/>
        <v>3287.8248780616509</v>
      </c>
      <c r="CM33" s="1273">
        <f t="shared" si="402"/>
        <v>3287.8248780616509</v>
      </c>
      <c r="CN33" s="1273">
        <f t="shared" si="402"/>
        <v>3287.8248780616509</v>
      </c>
      <c r="CO33" s="1273">
        <f t="shared" si="402"/>
        <v>3287.8248780616509</v>
      </c>
      <c r="CP33" s="1273">
        <f t="shared" si="402"/>
        <v>3287.8248780616509</v>
      </c>
      <c r="CQ33" s="1273">
        <f t="shared" si="402"/>
        <v>3287.8248780616509</v>
      </c>
      <c r="CR33" s="1273">
        <f t="shared" si="402"/>
        <v>3287.8248780616509</v>
      </c>
      <c r="CS33" s="1273">
        <f t="shared" si="402"/>
        <v>3287.8248780616509</v>
      </c>
      <c r="CT33" s="1273">
        <f t="shared" si="402"/>
        <v>3287.8248780616509</v>
      </c>
      <c r="CU33" s="1273">
        <f t="shared" si="402"/>
        <v>3287.8248780616509</v>
      </c>
      <c r="CV33" s="1273">
        <f t="shared" si="402"/>
        <v>3287.8248780616509</v>
      </c>
      <c r="CW33" s="1273">
        <f t="shared" si="402"/>
        <v>3287.8248780616509</v>
      </c>
      <c r="CX33" s="1279">
        <f t="shared" ref="CX33:DU33" si="403">((CX159*CX$86)/CX$5)</f>
        <v>3452.2161219647337</v>
      </c>
      <c r="CY33" s="1279">
        <f t="shared" si="403"/>
        <v>3452.2161219647337</v>
      </c>
      <c r="CZ33" s="1279">
        <f t="shared" si="403"/>
        <v>3452.2161219647337</v>
      </c>
      <c r="DA33" s="1279">
        <f t="shared" si="403"/>
        <v>3452.2161219647337</v>
      </c>
      <c r="DB33" s="1279">
        <f t="shared" si="403"/>
        <v>3452.2161219647337</v>
      </c>
      <c r="DC33" s="1279">
        <f t="shared" si="403"/>
        <v>3452.2161219647337</v>
      </c>
      <c r="DD33" s="1279">
        <f t="shared" si="403"/>
        <v>3452.2161219647337</v>
      </c>
      <c r="DE33" s="1279">
        <f t="shared" si="403"/>
        <v>3452.2161219647337</v>
      </c>
      <c r="DF33" s="1279">
        <f t="shared" si="403"/>
        <v>3452.2161219647337</v>
      </c>
      <c r="DG33" s="1279">
        <f t="shared" si="403"/>
        <v>3452.2161219647337</v>
      </c>
      <c r="DH33" s="1279">
        <f t="shared" si="403"/>
        <v>3452.2161219647337</v>
      </c>
      <c r="DI33" s="1279">
        <f t="shared" si="403"/>
        <v>3452.2161219647337</v>
      </c>
      <c r="DJ33" s="1280">
        <f t="shared" si="403"/>
        <v>3624.8269280629706</v>
      </c>
      <c r="DK33" s="1280">
        <f t="shared" si="403"/>
        <v>3624.8269280629706</v>
      </c>
      <c r="DL33" s="1280">
        <f t="shared" si="403"/>
        <v>3624.8269280629706</v>
      </c>
      <c r="DM33" s="1280">
        <f t="shared" si="403"/>
        <v>3624.8269280629706</v>
      </c>
      <c r="DN33" s="1280">
        <f t="shared" si="403"/>
        <v>3624.8269280629706</v>
      </c>
      <c r="DO33" s="1280">
        <f t="shared" si="403"/>
        <v>3624.8269280629706</v>
      </c>
      <c r="DP33" s="1280">
        <f t="shared" si="403"/>
        <v>3624.8269280629706</v>
      </c>
      <c r="DQ33" s="1280">
        <f t="shared" si="403"/>
        <v>3624.8269280629706</v>
      </c>
      <c r="DR33" s="1280">
        <f t="shared" si="403"/>
        <v>3624.8269280629706</v>
      </c>
      <c r="DS33" s="1280">
        <f t="shared" si="403"/>
        <v>3624.8269280629706</v>
      </c>
      <c r="DT33" s="1280">
        <f t="shared" si="403"/>
        <v>3624.8269280629706</v>
      </c>
      <c r="DU33" s="1281">
        <f t="shared" si="403"/>
        <v>3624.8269280629706</v>
      </c>
      <c r="DV33" s="1281"/>
      <c r="DW33" s="1248">
        <f t="shared" ref="DW33:DW37" si="404">SUM(C33:E33)</f>
        <v>0</v>
      </c>
      <c r="DX33" s="1246">
        <f>SUM(F33:H33)</f>
        <v>7009.7872727272725</v>
      </c>
      <c r="DY33" s="1247">
        <f>SUM(I33:K33)</f>
        <v>7009.7872727272725</v>
      </c>
      <c r="DZ33" s="1247">
        <f>SUM(L33:N33)</f>
        <v>7009.7872727272725</v>
      </c>
      <c r="EA33" s="1248">
        <f>SUM(O33:Q33)</f>
        <v>7009.7872727272725</v>
      </c>
      <c r="EB33" s="1246">
        <f t="shared" ref="EB33:EB37" si="405">SUM(C33:Q33)</f>
        <v>28039.149090909083</v>
      </c>
      <c r="EC33" s="1247">
        <f>SUM(R33:AC33)</f>
        <v>29441.106545454546</v>
      </c>
      <c r="ED33" s="1248">
        <f>SUM(AD33:AO33)</f>
        <v>30913.161872727287</v>
      </c>
      <c r="EE33" s="1249">
        <f t="shared" ref="EE33:EE37" si="406">SUM(EB33:ED33)</f>
        <v>88393.417509090912</v>
      </c>
      <c r="EF33" s="1247">
        <f t="shared" ref="EF33:EF37" si="407">SUM(AP33:BA33)</f>
        <v>32458.819966363648</v>
      </c>
      <c r="EG33" s="1248">
        <f t="shared" ref="EG33:EG37" si="408">SUM(BB33:BM33)</f>
        <v>34081.760964681816</v>
      </c>
      <c r="EH33" s="1249">
        <f t="shared" ref="EH33:EH37" si="409">SUM(EE33:EG33)</f>
        <v>154933.99844013638</v>
      </c>
      <c r="EI33" s="638">
        <f t="shared" si="378"/>
        <v>2.3380405525958138E-2</v>
      </c>
      <c r="EJ33" s="16">
        <f t="shared" si="347"/>
        <v>35785.849012915925</v>
      </c>
      <c r="EK33" s="17">
        <f t="shared" si="348"/>
        <v>37575.141463561726</v>
      </c>
      <c r="EL33" s="17">
        <f t="shared" si="349"/>
        <v>39453.898536739813</v>
      </c>
      <c r="EM33" s="17">
        <f t="shared" si="350"/>
        <v>41426.593463576806</v>
      </c>
      <c r="EN33" s="151">
        <f t="shared" si="351"/>
        <v>43497.923136755649</v>
      </c>
      <c r="EO33" s="139">
        <f t="shared" si="352"/>
        <v>352673.4040536863</v>
      </c>
      <c r="EQ33" s="14">
        <f t="shared" si="353"/>
        <v>0</v>
      </c>
    </row>
    <row r="34" spans="2:147" x14ac:dyDescent="0.3">
      <c r="B34" s="599" t="s">
        <v>15</v>
      </c>
      <c r="C34" s="20"/>
      <c r="D34" s="20"/>
      <c r="E34" s="1282">
        <f>(((E162*E$109)/E$5)/(52/12))*E4</f>
        <v>11182.993542458002</v>
      </c>
      <c r="F34" s="1272">
        <f t="shared" ref="F34:AK34" si="410">((F162*F$109)/F$5)</f>
        <v>11191.602467432949</v>
      </c>
      <c r="G34" s="1272">
        <f t="shared" si="410"/>
        <v>11191.602467432949</v>
      </c>
      <c r="H34" s="1272">
        <f t="shared" si="410"/>
        <v>11191.602467432949</v>
      </c>
      <c r="I34" s="1272">
        <f t="shared" si="410"/>
        <v>11191.602467432949</v>
      </c>
      <c r="J34" s="1272">
        <f t="shared" si="410"/>
        <v>11191.602467432949</v>
      </c>
      <c r="K34" s="1272">
        <f t="shared" si="410"/>
        <v>11035.549134099618</v>
      </c>
      <c r="L34" s="1272">
        <f t="shared" si="410"/>
        <v>11035.549134099618</v>
      </c>
      <c r="M34" s="1272">
        <f t="shared" si="410"/>
        <v>11035.549134099618</v>
      </c>
      <c r="N34" s="1272">
        <f t="shared" si="410"/>
        <v>11035.549134099618</v>
      </c>
      <c r="O34" s="1272">
        <f t="shared" si="410"/>
        <v>11035.549134099618</v>
      </c>
      <c r="P34" s="1272">
        <f t="shared" si="410"/>
        <v>11035.549134099618</v>
      </c>
      <c r="Q34" s="1272">
        <f t="shared" si="410"/>
        <v>11035.549134099618</v>
      </c>
      <c r="R34" s="1273">
        <f t="shared" si="410"/>
        <v>11587.3265908046</v>
      </c>
      <c r="S34" s="1273">
        <f t="shared" si="410"/>
        <v>11587.3265908046</v>
      </c>
      <c r="T34" s="1273">
        <f t="shared" si="410"/>
        <v>11587.3265908046</v>
      </c>
      <c r="U34" s="1273">
        <f t="shared" si="410"/>
        <v>11587.3265908046</v>
      </c>
      <c r="V34" s="1273">
        <f t="shared" si="410"/>
        <v>11587.3265908046</v>
      </c>
      <c r="W34" s="1273">
        <f t="shared" si="410"/>
        <v>11587.3265908046</v>
      </c>
      <c r="X34" s="1273">
        <f t="shared" si="410"/>
        <v>11587.3265908046</v>
      </c>
      <c r="Y34" s="1273">
        <f t="shared" si="410"/>
        <v>11587.3265908046</v>
      </c>
      <c r="Z34" s="1273">
        <f t="shared" si="410"/>
        <v>11587.3265908046</v>
      </c>
      <c r="AA34" s="1273">
        <f t="shared" si="410"/>
        <v>11587.3265908046</v>
      </c>
      <c r="AB34" s="1273">
        <f t="shared" si="410"/>
        <v>11587.3265908046</v>
      </c>
      <c r="AC34" s="1273">
        <f t="shared" si="410"/>
        <v>11587.3265908046</v>
      </c>
      <c r="AD34" s="1274">
        <f t="shared" si="410"/>
        <v>12166.692920344829</v>
      </c>
      <c r="AE34" s="1274">
        <f t="shared" si="410"/>
        <v>12166.692920344829</v>
      </c>
      <c r="AF34" s="1274">
        <f t="shared" si="410"/>
        <v>12166.692920344829</v>
      </c>
      <c r="AG34" s="1274">
        <f t="shared" si="410"/>
        <v>12166.692920344829</v>
      </c>
      <c r="AH34" s="1274">
        <f t="shared" si="410"/>
        <v>12166.692920344829</v>
      </c>
      <c r="AI34" s="1274">
        <f t="shared" si="410"/>
        <v>12166.692920344829</v>
      </c>
      <c r="AJ34" s="1274">
        <f t="shared" si="410"/>
        <v>12166.692920344829</v>
      </c>
      <c r="AK34" s="1274">
        <f t="shared" si="410"/>
        <v>12166.692920344829</v>
      </c>
      <c r="AL34" s="1274">
        <f t="shared" ref="AL34:BQ34" si="411">((AL162*AL$109)/AL$5)</f>
        <v>12166.692920344829</v>
      </c>
      <c r="AM34" s="1274">
        <f t="shared" si="411"/>
        <v>12166.692920344829</v>
      </c>
      <c r="AN34" s="1274">
        <f t="shared" si="411"/>
        <v>12166.692920344829</v>
      </c>
      <c r="AO34" s="1274">
        <f t="shared" si="411"/>
        <v>12166.692920344829</v>
      </c>
      <c r="AP34" s="1275">
        <f t="shared" si="411"/>
        <v>12775.027566362071</v>
      </c>
      <c r="AQ34" s="1275">
        <f t="shared" si="411"/>
        <v>12775.027566362071</v>
      </c>
      <c r="AR34" s="1275">
        <f t="shared" si="411"/>
        <v>12775.027566362071</v>
      </c>
      <c r="AS34" s="1275">
        <f t="shared" si="411"/>
        <v>12775.027566362071</v>
      </c>
      <c r="AT34" s="1275">
        <f t="shared" si="411"/>
        <v>12775.027566362071</v>
      </c>
      <c r="AU34" s="1275">
        <f t="shared" si="411"/>
        <v>12775.027566362071</v>
      </c>
      <c r="AV34" s="1275">
        <f t="shared" si="411"/>
        <v>12775.027566362071</v>
      </c>
      <c r="AW34" s="1275">
        <f t="shared" si="411"/>
        <v>12775.027566362071</v>
      </c>
      <c r="AX34" s="1275">
        <f t="shared" si="411"/>
        <v>12775.027566362071</v>
      </c>
      <c r="AY34" s="1275">
        <f t="shared" si="411"/>
        <v>12775.027566362071</v>
      </c>
      <c r="AZ34" s="1275">
        <f t="shared" si="411"/>
        <v>12775.027566362071</v>
      </c>
      <c r="BA34" s="1275">
        <f t="shared" si="411"/>
        <v>12775.027566362071</v>
      </c>
      <c r="BB34" s="1276">
        <f t="shared" si="411"/>
        <v>13413.778944680174</v>
      </c>
      <c r="BC34" s="1276">
        <f t="shared" si="411"/>
        <v>13413.778944680174</v>
      </c>
      <c r="BD34" s="1276">
        <f t="shared" si="411"/>
        <v>13413.778944680174</v>
      </c>
      <c r="BE34" s="1276">
        <f t="shared" si="411"/>
        <v>13413.778944680174</v>
      </c>
      <c r="BF34" s="1276">
        <f t="shared" si="411"/>
        <v>13413.778944680174</v>
      </c>
      <c r="BG34" s="1276">
        <f t="shared" si="411"/>
        <v>13413.778944680174</v>
      </c>
      <c r="BH34" s="1276">
        <f t="shared" si="411"/>
        <v>13413.778944680174</v>
      </c>
      <c r="BI34" s="1276">
        <f t="shared" si="411"/>
        <v>13413.778944680174</v>
      </c>
      <c r="BJ34" s="1276">
        <f t="shared" si="411"/>
        <v>13413.778944680174</v>
      </c>
      <c r="BK34" s="1276">
        <f t="shared" si="411"/>
        <v>13413.778944680174</v>
      </c>
      <c r="BL34" s="1276">
        <f t="shared" si="411"/>
        <v>13413.778944680174</v>
      </c>
      <c r="BM34" s="1276">
        <f t="shared" si="411"/>
        <v>13413.778944680174</v>
      </c>
      <c r="BN34" s="1277">
        <f t="shared" si="411"/>
        <v>14084.467891914186</v>
      </c>
      <c r="BO34" s="1277">
        <f t="shared" si="411"/>
        <v>14084.467891914186</v>
      </c>
      <c r="BP34" s="1277">
        <f t="shared" si="411"/>
        <v>14084.467891914186</v>
      </c>
      <c r="BQ34" s="1277">
        <f t="shared" si="411"/>
        <v>14084.467891914186</v>
      </c>
      <c r="BR34" s="1277">
        <f t="shared" ref="BR34:CW34" si="412">((BR162*BR$109)/BR$5)</f>
        <v>14084.467891914186</v>
      </c>
      <c r="BS34" s="1277">
        <f t="shared" si="412"/>
        <v>14084.467891914186</v>
      </c>
      <c r="BT34" s="1277">
        <f t="shared" si="412"/>
        <v>14084.467891914186</v>
      </c>
      <c r="BU34" s="1277">
        <f t="shared" si="412"/>
        <v>14084.467891914186</v>
      </c>
      <c r="BV34" s="1277">
        <f t="shared" si="412"/>
        <v>14084.467891914186</v>
      </c>
      <c r="BW34" s="1277">
        <f t="shared" si="412"/>
        <v>14084.467891914186</v>
      </c>
      <c r="BX34" s="1277">
        <f t="shared" si="412"/>
        <v>14084.467891914186</v>
      </c>
      <c r="BY34" s="1277">
        <f t="shared" si="412"/>
        <v>14084.467891914186</v>
      </c>
      <c r="BZ34" s="1278">
        <f t="shared" si="412"/>
        <v>14788.691286509893</v>
      </c>
      <c r="CA34" s="1278">
        <f t="shared" si="412"/>
        <v>14788.691286509893</v>
      </c>
      <c r="CB34" s="1278">
        <f t="shared" si="412"/>
        <v>14788.691286509893</v>
      </c>
      <c r="CC34" s="1278">
        <f t="shared" si="412"/>
        <v>14788.691286509893</v>
      </c>
      <c r="CD34" s="1278">
        <f t="shared" si="412"/>
        <v>14788.691286509893</v>
      </c>
      <c r="CE34" s="1278">
        <f t="shared" si="412"/>
        <v>14788.691286509893</v>
      </c>
      <c r="CF34" s="1278">
        <f t="shared" si="412"/>
        <v>14788.691286509893</v>
      </c>
      <c r="CG34" s="1278">
        <f t="shared" si="412"/>
        <v>14788.691286509893</v>
      </c>
      <c r="CH34" s="1278">
        <f t="shared" si="412"/>
        <v>14788.691286509893</v>
      </c>
      <c r="CI34" s="1278">
        <f t="shared" si="412"/>
        <v>14788.691286509893</v>
      </c>
      <c r="CJ34" s="1278">
        <f t="shared" si="412"/>
        <v>14788.691286509893</v>
      </c>
      <c r="CK34" s="1278">
        <f t="shared" si="412"/>
        <v>14788.691286509893</v>
      </c>
      <c r="CL34" s="1273">
        <f t="shared" si="412"/>
        <v>15528.125850835391</v>
      </c>
      <c r="CM34" s="1273">
        <f t="shared" si="412"/>
        <v>15528.125850835391</v>
      </c>
      <c r="CN34" s="1273">
        <f t="shared" si="412"/>
        <v>15528.125850835391</v>
      </c>
      <c r="CO34" s="1273">
        <f t="shared" si="412"/>
        <v>15528.125850835391</v>
      </c>
      <c r="CP34" s="1273">
        <f t="shared" si="412"/>
        <v>15528.125850835391</v>
      </c>
      <c r="CQ34" s="1273">
        <f t="shared" si="412"/>
        <v>15528.125850835391</v>
      </c>
      <c r="CR34" s="1273">
        <f t="shared" si="412"/>
        <v>15528.125850835391</v>
      </c>
      <c r="CS34" s="1273">
        <f t="shared" si="412"/>
        <v>15528.125850835391</v>
      </c>
      <c r="CT34" s="1273">
        <f t="shared" si="412"/>
        <v>15528.125850835391</v>
      </c>
      <c r="CU34" s="1273">
        <f t="shared" si="412"/>
        <v>15528.125850835391</v>
      </c>
      <c r="CV34" s="1273">
        <f t="shared" si="412"/>
        <v>15528.125850835391</v>
      </c>
      <c r="CW34" s="1273">
        <f t="shared" si="412"/>
        <v>15528.125850835391</v>
      </c>
      <c r="CX34" s="1279">
        <f t="shared" ref="CX34:DU34" si="413">((CX162*CX$109)/CX$5)</f>
        <v>16304.532143377162</v>
      </c>
      <c r="CY34" s="1279">
        <f t="shared" si="413"/>
        <v>16304.532143377162</v>
      </c>
      <c r="CZ34" s="1279">
        <f t="shared" si="413"/>
        <v>16304.532143377162</v>
      </c>
      <c r="DA34" s="1279">
        <f t="shared" si="413"/>
        <v>16304.532143377162</v>
      </c>
      <c r="DB34" s="1279">
        <f t="shared" si="413"/>
        <v>16304.532143377162</v>
      </c>
      <c r="DC34" s="1279">
        <f t="shared" si="413"/>
        <v>16304.532143377162</v>
      </c>
      <c r="DD34" s="1279">
        <f t="shared" si="413"/>
        <v>16304.532143377162</v>
      </c>
      <c r="DE34" s="1279">
        <f t="shared" si="413"/>
        <v>16304.532143377162</v>
      </c>
      <c r="DF34" s="1279">
        <f t="shared" si="413"/>
        <v>16304.532143377162</v>
      </c>
      <c r="DG34" s="1279">
        <f t="shared" si="413"/>
        <v>16304.532143377162</v>
      </c>
      <c r="DH34" s="1279">
        <f t="shared" si="413"/>
        <v>16304.532143377162</v>
      </c>
      <c r="DI34" s="1279">
        <f t="shared" si="413"/>
        <v>16304.532143377162</v>
      </c>
      <c r="DJ34" s="1280">
        <f t="shared" si="413"/>
        <v>17119.758750546021</v>
      </c>
      <c r="DK34" s="1280">
        <f t="shared" si="413"/>
        <v>17119.758750546021</v>
      </c>
      <c r="DL34" s="1280">
        <f t="shared" si="413"/>
        <v>17119.758750546021</v>
      </c>
      <c r="DM34" s="1280">
        <f t="shared" si="413"/>
        <v>17119.758750546021</v>
      </c>
      <c r="DN34" s="1280">
        <f t="shared" si="413"/>
        <v>17119.758750546021</v>
      </c>
      <c r="DO34" s="1280">
        <f t="shared" si="413"/>
        <v>17119.758750546021</v>
      </c>
      <c r="DP34" s="1280">
        <f t="shared" si="413"/>
        <v>17119.758750546021</v>
      </c>
      <c r="DQ34" s="1280">
        <f t="shared" si="413"/>
        <v>17119.758750546021</v>
      </c>
      <c r="DR34" s="1280">
        <f t="shared" si="413"/>
        <v>17119.758750546021</v>
      </c>
      <c r="DS34" s="1280">
        <f t="shared" si="413"/>
        <v>17119.758750546021</v>
      </c>
      <c r="DT34" s="1280">
        <f t="shared" si="413"/>
        <v>17119.758750546021</v>
      </c>
      <c r="DU34" s="1281">
        <f t="shared" si="413"/>
        <v>17119.758750546021</v>
      </c>
      <c r="DV34" s="1281"/>
      <c r="DW34" s="1248">
        <f t="shared" si="404"/>
        <v>11182.993542458002</v>
      </c>
      <c r="DX34" s="1246">
        <f>SUM(F34:H34)</f>
        <v>33574.807402298844</v>
      </c>
      <c r="DY34" s="1247">
        <f>SUM(I34:K34)</f>
        <v>33418.754068965514</v>
      </c>
      <c r="DZ34" s="1247">
        <f>SUM(L34:N34)</f>
        <v>33106.647402298855</v>
      </c>
      <c r="EA34" s="1248">
        <f>SUM(O34:Q34)</f>
        <v>33106.647402298855</v>
      </c>
      <c r="EB34" s="1246">
        <f t="shared" si="405"/>
        <v>144389.8498183201</v>
      </c>
      <c r="EC34" s="1247">
        <f>SUM(R34:AC34)</f>
        <v>139047.91908965519</v>
      </c>
      <c r="ED34" s="1248">
        <f>SUM(AD34:AO34)</f>
        <v>146000.31504413791</v>
      </c>
      <c r="EE34" s="1249">
        <f t="shared" si="406"/>
        <v>429438.08395211317</v>
      </c>
      <c r="EF34" s="1247">
        <f t="shared" si="407"/>
        <v>153300.33079634485</v>
      </c>
      <c r="EG34" s="1248">
        <f t="shared" si="408"/>
        <v>160965.34733616209</v>
      </c>
      <c r="EH34" s="1249">
        <f t="shared" si="409"/>
        <v>743703.76208462007</v>
      </c>
      <c r="EI34" s="638">
        <f t="shared" si="378"/>
        <v>0.11222905058787046</v>
      </c>
      <c r="EJ34" s="16">
        <f t="shared" si="347"/>
        <v>169013.61470297023</v>
      </c>
      <c r="EK34" s="17">
        <f t="shared" si="348"/>
        <v>177464.29543811866</v>
      </c>
      <c r="EL34" s="17">
        <f t="shared" si="349"/>
        <v>186337.51021002466</v>
      </c>
      <c r="EM34" s="17">
        <f t="shared" si="350"/>
        <v>195654.38572052598</v>
      </c>
      <c r="EN34" s="151">
        <f t="shared" si="351"/>
        <v>205437.10500655227</v>
      </c>
      <c r="EO34" s="139">
        <f t="shared" si="352"/>
        <v>1677610.6731628119</v>
      </c>
      <c r="EQ34" s="179">
        <f>SUM(E34:DU34)-EO34</f>
        <v>0</v>
      </c>
    </row>
    <row r="35" spans="2:147" x14ac:dyDescent="0.3">
      <c r="B35" s="599" t="s">
        <v>16</v>
      </c>
      <c r="C35" s="20"/>
      <c r="D35" s="20"/>
      <c r="E35" s="1271">
        <f t="shared" ref="E35:Q35" si="414">((E163*MAX($E$110:$Q$110))/E$5)</f>
        <v>4597.988091270633</v>
      </c>
      <c r="F35" s="1272">
        <f t="shared" si="414"/>
        <v>4597.988091270633</v>
      </c>
      <c r="G35" s="1272">
        <f t="shared" si="414"/>
        <v>4597.988091270633</v>
      </c>
      <c r="H35" s="1272">
        <f t="shared" si="414"/>
        <v>4597.988091270633</v>
      </c>
      <c r="I35" s="1272">
        <f t="shared" si="414"/>
        <v>4597.988091270633</v>
      </c>
      <c r="J35" s="1272">
        <f t="shared" si="414"/>
        <v>4597.988091270633</v>
      </c>
      <c r="K35" s="1272">
        <f t="shared" si="414"/>
        <v>4597.988091270633</v>
      </c>
      <c r="L35" s="1272">
        <f t="shared" si="414"/>
        <v>4597.988091270633</v>
      </c>
      <c r="M35" s="1272">
        <f t="shared" si="414"/>
        <v>4597.988091270633</v>
      </c>
      <c r="N35" s="1272">
        <f t="shared" si="414"/>
        <v>4597.988091270633</v>
      </c>
      <c r="O35" s="1272">
        <f t="shared" si="414"/>
        <v>4597.988091270633</v>
      </c>
      <c r="P35" s="1272">
        <f t="shared" si="414"/>
        <v>4597.988091270633</v>
      </c>
      <c r="Q35" s="1272">
        <f t="shared" si="414"/>
        <v>4597.988091270633</v>
      </c>
      <c r="R35" s="1273">
        <f t="shared" ref="R35:AC35" si="415">((R163*MAX($R$110:$AC$110))/R$5)</f>
        <v>4760.5249437264347</v>
      </c>
      <c r="S35" s="1273">
        <f t="shared" si="415"/>
        <v>4760.5249437264347</v>
      </c>
      <c r="T35" s="1273">
        <f t="shared" si="415"/>
        <v>4760.5249437264347</v>
      </c>
      <c r="U35" s="1273">
        <f t="shared" si="415"/>
        <v>4760.5249437264347</v>
      </c>
      <c r="V35" s="1273">
        <f t="shared" si="415"/>
        <v>4760.5249437264347</v>
      </c>
      <c r="W35" s="1273">
        <f t="shared" si="415"/>
        <v>4760.5249437264347</v>
      </c>
      <c r="X35" s="1273">
        <f t="shared" si="415"/>
        <v>4760.5249437264347</v>
      </c>
      <c r="Y35" s="1273">
        <f t="shared" si="415"/>
        <v>4760.5249437264347</v>
      </c>
      <c r="Z35" s="1273">
        <f t="shared" si="415"/>
        <v>4760.5249437264347</v>
      </c>
      <c r="AA35" s="1273">
        <f t="shared" si="415"/>
        <v>4760.5249437264347</v>
      </c>
      <c r="AB35" s="1273">
        <f t="shared" si="415"/>
        <v>4760.5249437264347</v>
      </c>
      <c r="AC35" s="1273">
        <f t="shared" si="415"/>
        <v>4760.5249437264347</v>
      </c>
      <c r="AD35" s="1274">
        <f t="shared" ref="AD35:AO35" si="416">((AD163*MAX($AD$110:$AO$110))/AD$5)</f>
        <v>4998.5511909127563</v>
      </c>
      <c r="AE35" s="1274">
        <f t="shared" si="416"/>
        <v>4998.5511909127563</v>
      </c>
      <c r="AF35" s="1274">
        <f t="shared" si="416"/>
        <v>4998.5511909127563</v>
      </c>
      <c r="AG35" s="1274">
        <f t="shared" si="416"/>
        <v>4998.5511909127563</v>
      </c>
      <c r="AH35" s="1274">
        <f t="shared" si="416"/>
        <v>4998.5511909127563</v>
      </c>
      <c r="AI35" s="1274">
        <f t="shared" si="416"/>
        <v>4998.5511909127563</v>
      </c>
      <c r="AJ35" s="1274">
        <f t="shared" si="416"/>
        <v>4998.5511909127563</v>
      </c>
      <c r="AK35" s="1274">
        <f t="shared" si="416"/>
        <v>4998.5511909127563</v>
      </c>
      <c r="AL35" s="1274">
        <f t="shared" si="416"/>
        <v>4998.5511909127563</v>
      </c>
      <c r="AM35" s="1274">
        <f t="shared" si="416"/>
        <v>4998.5511909127563</v>
      </c>
      <c r="AN35" s="1274">
        <f t="shared" si="416"/>
        <v>4998.5511909127563</v>
      </c>
      <c r="AO35" s="1274">
        <f t="shared" si="416"/>
        <v>4998.5511909127563</v>
      </c>
      <c r="AP35" s="1275">
        <f t="shared" ref="AP35:BA35" si="417">((AP163*MAX($AP$110:$BA$110))/AP$5)</f>
        <v>5248.4787504583946</v>
      </c>
      <c r="AQ35" s="1275">
        <f t="shared" si="417"/>
        <v>5248.4787504583946</v>
      </c>
      <c r="AR35" s="1275">
        <f t="shared" si="417"/>
        <v>5248.4787504583946</v>
      </c>
      <c r="AS35" s="1275">
        <f t="shared" si="417"/>
        <v>5248.4787504583946</v>
      </c>
      <c r="AT35" s="1275">
        <f t="shared" si="417"/>
        <v>5248.4787504583946</v>
      </c>
      <c r="AU35" s="1275">
        <f t="shared" si="417"/>
        <v>5248.4787504583946</v>
      </c>
      <c r="AV35" s="1275">
        <f t="shared" si="417"/>
        <v>5248.4787504583946</v>
      </c>
      <c r="AW35" s="1275">
        <f t="shared" si="417"/>
        <v>5248.4787504583946</v>
      </c>
      <c r="AX35" s="1275">
        <f t="shared" si="417"/>
        <v>5248.4787504583946</v>
      </c>
      <c r="AY35" s="1275">
        <f t="shared" si="417"/>
        <v>5248.4787504583946</v>
      </c>
      <c r="AZ35" s="1275">
        <f t="shared" si="417"/>
        <v>5248.4787504583946</v>
      </c>
      <c r="BA35" s="1275">
        <f t="shared" si="417"/>
        <v>5248.4787504583946</v>
      </c>
      <c r="BB35" s="1276">
        <f t="shared" ref="BB35:BM35" si="418">((BB163*MAX($BB$110:$BM$110))/BB$5)</f>
        <v>5510.9026879813146</v>
      </c>
      <c r="BC35" s="1276">
        <f t="shared" si="418"/>
        <v>5510.9026879813146</v>
      </c>
      <c r="BD35" s="1276">
        <f t="shared" si="418"/>
        <v>5510.9026879813146</v>
      </c>
      <c r="BE35" s="1276">
        <f t="shared" si="418"/>
        <v>5510.9026879813146</v>
      </c>
      <c r="BF35" s="1276">
        <f t="shared" si="418"/>
        <v>5510.9026879813146</v>
      </c>
      <c r="BG35" s="1276">
        <f t="shared" si="418"/>
        <v>5510.9026879813146</v>
      </c>
      <c r="BH35" s="1276">
        <f t="shared" si="418"/>
        <v>5510.9026879813146</v>
      </c>
      <c r="BI35" s="1276">
        <f t="shared" si="418"/>
        <v>5510.9026879813146</v>
      </c>
      <c r="BJ35" s="1276">
        <f t="shared" si="418"/>
        <v>5510.9026879813146</v>
      </c>
      <c r="BK35" s="1276">
        <f t="shared" si="418"/>
        <v>5510.9026879813146</v>
      </c>
      <c r="BL35" s="1276">
        <f t="shared" si="418"/>
        <v>5510.9026879813146</v>
      </c>
      <c r="BM35" s="1276">
        <f t="shared" si="418"/>
        <v>5510.9026879813146</v>
      </c>
      <c r="BN35" s="1277">
        <f t="shared" ref="BN35:BY35" si="419">((BN163*MAX($BN$110:$BY$110))/BN$5)</f>
        <v>5786.4478223803808</v>
      </c>
      <c r="BO35" s="1277">
        <f t="shared" si="419"/>
        <v>5786.4478223803808</v>
      </c>
      <c r="BP35" s="1277">
        <f t="shared" si="419"/>
        <v>5786.4478223803808</v>
      </c>
      <c r="BQ35" s="1277">
        <f t="shared" si="419"/>
        <v>5786.4478223803808</v>
      </c>
      <c r="BR35" s="1277">
        <f t="shared" si="419"/>
        <v>5786.4478223803808</v>
      </c>
      <c r="BS35" s="1277">
        <f t="shared" si="419"/>
        <v>5786.4478223803808</v>
      </c>
      <c r="BT35" s="1277">
        <f t="shared" si="419"/>
        <v>5786.4478223803808</v>
      </c>
      <c r="BU35" s="1277">
        <f t="shared" si="419"/>
        <v>5786.4478223803808</v>
      </c>
      <c r="BV35" s="1277">
        <f t="shared" si="419"/>
        <v>5786.4478223803808</v>
      </c>
      <c r="BW35" s="1277">
        <f t="shared" si="419"/>
        <v>5786.4478223803808</v>
      </c>
      <c r="BX35" s="1277">
        <f t="shared" si="419"/>
        <v>5786.4478223803808</v>
      </c>
      <c r="BY35" s="1277">
        <f t="shared" si="419"/>
        <v>5786.4478223803808</v>
      </c>
      <c r="BZ35" s="1278">
        <f t="shared" ref="BZ35:CK35" si="420">((BZ163*MAX($BZ$110:$CK$110))/BZ$5)</f>
        <v>6075.7702134993997</v>
      </c>
      <c r="CA35" s="1278">
        <f t="shared" si="420"/>
        <v>6075.7702134993997</v>
      </c>
      <c r="CB35" s="1278">
        <f t="shared" si="420"/>
        <v>6075.7702134993997</v>
      </c>
      <c r="CC35" s="1278">
        <f t="shared" si="420"/>
        <v>6075.7702134993997</v>
      </c>
      <c r="CD35" s="1278">
        <f t="shared" si="420"/>
        <v>6075.7702134993997</v>
      </c>
      <c r="CE35" s="1278">
        <f t="shared" si="420"/>
        <v>6075.7702134993997</v>
      </c>
      <c r="CF35" s="1278">
        <f t="shared" si="420"/>
        <v>6075.7702134993997</v>
      </c>
      <c r="CG35" s="1278">
        <f t="shared" si="420"/>
        <v>6075.7702134993997</v>
      </c>
      <c r="CH35" s="1278">
        <f t="shared" si="420"/>
        <v>6075.7702134993997</v>
      </c>
      <c r="CI35" s="1278">
        <f t="shared" si="420"/>
        <v>6075.7702134993997</v>
      </c>
      <c r="CJ35" s="1278">
        <f t="shared" si="420"/>
        <v>6075.7702134993997</v>
      </c>
      <c r="CK35" s="1278">
        <f t="shared" si="420"/>
        <v>6075.7702134993997</v>
      </c>
      <c r="CL35" s="1273">
        <f t="shared" ref="CL35:CW35" si="421">((CL163*MAX($CL$110:$CW$110))/CL$5)</f>
        <v>6379.5587241743706</v>
      </c>
      <c r="CM35" s="1273">
        <f t="shared" si="421"/>
        <v>6379.5587241743706</v>
      </c>
      <c r="CN35" s="1273">
        <f t="shared" si="421"/>
        <v>6379.5587241743706</v>
      </c>
      <c r="CO35" s="1273">
        <f t="shared" si="421"/>
        <v>6379.5587241743706</v>
      </c>
      <c r="CP35" s="1273">
        <f t="shared" si="421"/>
        <v>6379.5587241743706</v>
      </c>
      <c r="CQ35" s="1273">
        <f t="shared" si="421"/>
        <v>6379.5587241743706</v>
      </c>
      <c r="CR35" s="1273">
        <f t="shared" si="421"/>
        <v>6379.5587241743706</v>
      </c>
      <c r="CS35" s="1273">
        <f t="shared" si="421"/>
        <v>6379.5587241743706</v>
      </c>
      <c r="CT35" s="1273">
        <f t="shared" si="421"/>
        <v>6379.5587241743706</v>
      </c>
      <c r="CU35" s="1273">
        <f t="shared" si="421"/>
        <v>6379.5587241743706</v>
      </c>
      <c r="CV35" s="1273">
        <f t="shared" si="421"/>
        <v>6379.5587241743706</v>
      </c>
      <c r="CW35" s="1273">
        <f t="shared" si="421"/>
        <v>6379.5587241743706</v>
      </c>
      <c r="CX35" s="1279">
        <f t="shared" ref="CX35:DI35" si="422">((CX163*MAX($CX$110:$DI$110))/CX$5)</f>
        <v>6698.5366603830898</v>
      </c>
      <c r="CY35" s="1279">
        <f t="shared" si="422"/>
        <v>6698.5366603830898</v>
      </c>
      <c r="CZ35" s="1279">
        <f t="shared" si="422"/>
        <v>6698.5366603830898</v>
      </c>
      <c r="DA35" s="1279">
        <f t="shared" si="422"/>
        <v>6698.5366603830898</v>
      </c>
      <c r="DB35" s="1279">
        <f t="shared" si="422"/>
        <v>6698.5366603830898</v>
      </c>
      <c r="DC35" s="1279">
        <f t="shared" si="422"/>
        <v>6698.5366603830898</v>
      </c>
      <c r="DD35" s="1279">
        <f t="shared" si="422"/>
        <v>6698.5366603830898</v>
      </c>
      <c r="DE35" s="1279">
        <f t="shared" si="422"/>
        <v>6698.5366603830898</v>
      </c>
      <c r="DF35" s="1279">
        <f t="shared" si="422"/>
        <v>6698.5366603830898</v>
      </c>
      <c r="DG35" s="1279">
        <f t="shared" si="422"/>
        <v>6698.5366603830898</v>
      </c>
      <c r="DH35" s="1279">
        <f t="shared" si="422"/>
        <v>6698.5366603830898</v>
      </c>
      <c r="DI35" s="1279">
        <f t="shared" si="422"/>
        <v>6698.5366603830898</v>
      </c>
      <c r="DJ35" s="1280">
        <f t="shared" ref="DJ35:DU35" si="423">((DJ163*MAX($DJ$110:$DU$110))/DJ$5)</f>
        <v>7033.4634934022442</v>
      </c>
      <c r="DK35" s="1280">
        <f t="shared" si="423"/>
        <v>7033.4634934022442</v>
      </c>
      <c r="DL35" s="1280">
        <f t="shared" si="423"/>
        <v>7033.4634934022442</v>
      </c>
      <c r="DM35" s="1280">
        <f t="shared" si="423"/>
        <v>7033.4634934022442</v>
      </c>
      <c r="DN35" s="1280">
        <f t="shared" si="423"/>
        <v>7033.4634934022442</v>
      </c>
      <c r="DO35" s="1280">
        <f t="shared" si="423"/>
        <v>7033.4634934022442</v>
      </c>
      <c r="DP35" s="1280">
        <f t="shared" si="423"/>
        <v>7033.4634934022442</v>
      </c>
      <c r="DQ35" s="1280">
        <f t="shared" si="423"/>
        <v>7033.4634934022442</v>
      </c>
      <c r="DR35" s="1280">
        <f t="shared" si="423"/>
        <v>7033.4634934022442</v>
      </c>
      <c r="DS35" s="1280">
        <f t="shared" si="423"/>
        <v>7033.4634934022442</v>
      </c>
      <c r="DT35" s="1280">
        <f t="shared" si="423"/>
        <v>7033.4634934022442</v>
      </c>
      <c r="DU35" s="1281">
        <f t="shared" si="423"/>
        <v>7033.4634934022442</v>
      </c>
      <c r="DV35" s="1281"/>
      <c r="DW35" s="1248">
        <f t="shared" si="404"/>
        <v>4597.988091270633</v>
      </c>
      <c r="DX35" s="1246">
        <f>SUM(F35:H35)</f>
        <v>13793.9642738119</v>
      </c>
      <c r="DY35" s="1247">
        <f>SUM(I35:K35)</f>
        <v>13793.9642738119</v>
      </c>
      <c r="DZ35" s="1247">
        <f>SUM(L35:N35)</f>
        <v>13793.9642738119</v>
      </c>
      <c r="EA35" s="1248">
        <f>SUM(O35:Q35)</f>
        <v>13793.9642738119</v>
      </c>
      <c r="EB35" s="1246">
        <f t="shared" si="405"/>
        <v>59773.845186518243</v>
      </c>
      <c r="EC35" s="1247">
        <f>SUM(R35:AC35)</f>
        <v>57126.29932471722</v>
      </c>
      <c r="ED35" s="1248">
        <f>SUM(AD35:AO35)</f>
        <v>59982.614290953061</v>
      </c>
      <c r="EE35" s="1249">
        <f t="shared" si="406"/>
        <v>176882.75880218853</v>
      </c>
      <c r="EF35" s="1247">
        <f t="shared" si="407"/>
        <v>62981.745005500736</v>
      </c>
      <c r="EG35" s="1248">
        <f t="shared" si="408"/>
        <v>66130.832255775793</v>
      </c>
      <c r="EH35" s="1249">
        <f t="shared" si="409"/>
        <v>305995.33606346505</v>
      </c>
      <c r="EI35" s="638">
        <f t="shared" si="378"/>
        <v>4.617640490947468E-2</v>
      </c>
      <c r="EJ35" s="16">
        <f t="shared" si="347"/>
        <v>69437.373868564566</v>
      </c>
      <c r="EK35" s="17">
        <f t="shared" si="348"/>
        <v>72909.242561992811</v>
      </c>
      <c r="EL35" s="17">
        <f t="shared" si="349"/>
        <v>76554.704690092447</v>
      </c>
      <c r="EM35" s="17">
        <f t="shared" si="350"/>
        <v>80382.439924597085</v>
      </c>
      <c r="EN35" s="151">
        <f t="shared" si="351"/>
        <v>84401.561920826949</v>
      </c>
      <c r="EO35" s="139">
        <f t="shared" si="352"/>
        <v>689680.65902953886</v>
      </c>
      <c r="EQ35" s="14">
        <f t="shared" si="353"/>
        <v>0</v>
      </c>
    </row>
    <row r="36" spans="2:147" x14ac:dyDescent="0.3">
      <c r="B36" s="599" t="s">
        <v>17</v>
      </c>
      <c r="C36" s="20"/>
      <c r="D36" s="20"/>
      <c r="E36" s="1263">
        <f>(E25*Data!G123)</f>
        <v>378.37125000000003</v>
      </c>
      <c r="F36" s="1264">
        <f>(F25*Data!H123)</f>
        <v>454.5</v>
      </c>
      <c r="G36" s="1264">
        <f>(G25*Data!I123)</f>
        <v>503.19642857142861</v>
      </c>
      <c r="H36" s="1264">
        <f>(H25*Data!J123)</f>
        <v>486.96428571428572</v>
      </c>
      <c r="I36" s="1264">
        <f>(I25*Data!K123)</f>
        <v>503.19642857142861</v>
      </c>
      <c r="J36" s="1264">
        <f>(J25*Data!L123)</f>
        <v>486.96428571428572</v>
      </c>
      <c r="K36" s="1264">
        <f>(K25*Data!M123)</f>
        <v>503.19642857142861</v>
      </c>
      <c r="L36" s="1264">
        <f>(L25*Data!N123)</f>
        <v>503.19642857142861</v>
      </c>
      <c r="M36" s="1264">
        <f>(M25*Data!O123)</f>
        <v>486.96428571428572</v>
      </c>
      <c r="N36" s="1264">
        <f>(N25*Data!P123)</f>
        <v>503.19642857142861</v>
      </c>
      <c r="O36" s="1264">
        <f>(O25*Data!Q123)</f>
        <v>486.96428571428572</v>
      </c>
      <c r="P36" s="1264">
        <f>(P25*Data!R123)</f>
        <v>503.19642857142861</v>
      </c>
      <c r="Q36" s="1264">
        <f>(Q25*Data!S123)</f>
        <v>503.19642857142861</v>
      </c>
      <c r="R36" s="1264">
        <f>(R25*Data!T123)</f>
        <v>494.26875000000007</v>
      </c>
      <c r="S36" s="1264">
        <f>(S25*Data!U123)</f>
        <v>528.35625000000005</v>
      </c>
      <c r="T36" s="1264">
        <f>(T25*Data!V123)</f>
        <v>511.3125</v>
      </c>
      <c r="U36" s="1264">
        <f>(U25*Data!W123)</f>
        <v>528.35625000000005</v>
      </c>
      <c r="V36" s="1264">
        <f>(V25*Data!X123)</f>
        <v>511.3125</v>
      </c>
      <c r="W36" s="1264">
        <f>(W25*Data!Y123)</f>
        <v>528.35625000000005</v>
      </c>
      <c r="X36" s="1264">
        <f>(X25*Data!Z123)</f>
        <v>528.35625000000005</v>
      </c>
      <c r="Y36" s="1264">
        <f>(Y25*Data!AA123)</f>
        <v>511.3125</v>
      </c>
      <c r="Z36" s="1264">
        <f>(Z25*Data!AB123)</f>
        <v>528.35625000000005</v>
      </c>
      <c r="AA36" s="1264">
        <f>(AA25*Data!AC123)</f>
        <v>511.3125</v>
      </c>
      <c r="AB36" s="1264">
        <f>(AB25*Data!AD123)</f>
        <v>528.35625000000005</v>
      </c>
      <c r="AC36" s="1264">
        <f>(AC25*Data!AE123)</f>
        <v>528.35625000000005</v>
      </c>
      <c r="AD36" s="1264">
        <f>(AD25*Data!AF123)</f>
        <v>501.08625000000006</v>
      </c>
      <c r="AE36" s="1264">
        <f>(AE25*Data!AG123)</f>
        <v>554.77406250000013</v>
      </c>
      <c r="AF36" s="1264">
        <f>(AF25*Data!AH123)</f>
        <v>536.87812500000007</v>
      </c>
      <c r="AG36" s="1264">
        <f>(AG25*Data!AI123)</f>
        <v>554.77406250000013</v>
      </c>
      <c r="AH36" s="1264">
        <f>(AH25*Data!AJ123)</f>
        <v>536.87812500000007</v>
      </c>
      <c r="AI36" s="1264">
        <f>(AI25*Data!AK123)</f>
        <v>554.77406250000013</v>
      </c>
      <c r="AJ36" s="1264">
        <f>(AJ25*Data!AL123)</f>
        <v>554.77406250000013</v>
      </c>
      <c r="AK36" s="1264">
        <f>(AK25*Data!AM123)</f>
        <v>536.87812500000007</v>
      </c>
      <c r="AL36" s="1264">
        <f>(AL25*Data!AN123)</f>
        <v>554.77406250000013</v>
      </c>
      <c r="AM36" s="1264">
        <f>(AM25*Data!AO123)</f>
        <v>536.87812500000007</v>
      </c>
      <c r="AN36" s="1264">
        <f>(AN25*Data!AP123)</f>
        <v>554.77406250000013</v>
      </c>
      <c r="AO36" s="1264">
        <f>(AO25*Data!AQ123)</f>
        <v>554.77406250000013</v>
      </c>
      <c r="AP36" s="1264">
        <f>(AP25*Data!AR123)</f>
        <v>526.1405625000001</v>
      </c>
      <c r="AQ36" s="1264">
        <f>(AQ25*Data!AS123)</f>
        <v>582.51276562500016</v>
      </c>
      <c r="AR36" s="1264">
        <f>(AR25*Data!AT123)</f>
        <v>563.72203125000021</v>
      </c>
      <c r="AS36" s="1264">
        <f>(AS25*Data!AU123)</f>
        <v>582.51276562500016</v>
      </c>
      <c r="AT36" s="1264">
        <f>(AT25*Data!AV123)</f>
        <v>563.72203125000021</v>
      </c>
      <c r="AU36" s="1264">
        <f>(AU25*Data!AW123)</f>
        <v>582.51276562500016</v>
      </c>
      <c r="AV36" s="1264">
        <f>(AV25*Data!AX123)</f>
        <v>582.51276562500016</v>
      </c>
      <c r="AW36" s="1264">
        <f>(AW25*Data!AY123)</f>
        <v>563.72203125000021</v>
      </c>
      <c r="AX36" s="1264">
        <f>(AX25*Data!AZ123)</f>
        <v>582.51276562500016</v>
      </c>
      <c r="AY36" s="1264">
        <f>(AY25*Data!BA123)</f>
        <v>563.72203125000021</v>
      </c>
      <c r="AZ36" s="1264">
        <f>(AZ25*Data!BB123)</f>
        <v>582.51276562500016</v>
      </c>
      <c r="BA36" s="1264">
        <f>(BA25*Data!BC123)</f>
        <v>582.51276562500016</v>
      </c>
      <c r="BB36" s="1264">
        <f>(BB25*Data!BD123)</f>
        <v>552.44759062500009</v>
      </c>
      <c r="BC36" s="1264">
        <f>(BC25*Data!BE123)</f>
        <v>611.63840390625023</v>
      </c>
      <c r="BD36" s="1264">
        <f>(BD25*Data!BF123)</f>
        <v>591.90813281250018</v>
      </c>
      <c r="BE36" s="1264">
        <f>(BE25*Data!BG123)</f>
        <v>611.63840390625023</v>
      </c>
      <c r="BF36" s="1264">
        <f>(BF25*Data!BH123)</f>
        <v>591.90813281250018</v>
      </c>
      <c r="BG36" s="1264">
        <f>(BG25*Data!BI123)</f>
        <v>611.63840390625023</v>
      </c>
      <c r="BH36" s="1264">
        <f>(BH25*Data!BJ123)</f>
        <v>611.63840390625023</v>
      </c>
      <c r="BI36" s="1264">
        <f>(BI25*Data!BK123)</f>
        <v>591.90813281250018</v>
      </c>
      <c r="BJ36" s="1264">
        <f>(BJ25*Data!BL123)</f>
        <v>611.63840390625023</v>
      </c>
      <c r="BK36" s="1264">
        <f>(BK25*Data!BM123)</f>
        <v>591.90813281250018</v>
      </c>
      <c r="BL36" s="1264">
        <f>(BL25*Data!BN123)</f>
        <v>611.63840390625023</v>
      </c>
      <c r="BM36" s="1264">
        <f>(BM25*Data!BO123)</f>
        <v>611.63840390625023</v>
      </c>
      <c r="BN36" s="1264">
        <f>(BN25*Data!BP123)</f>
        <v>600.78675480468769</v>
      </c>
      <c r="BO36" s="1264">
        <f>(BO25*Data!BQ123)</f>
        <v>642.22032410156271</v>
      </c>
      <c r="BP36" s="1264">
        <f>(BP25*Data!BR123)</f>
        <v>621.50353945312509</v>
      </c>
      <c r="BQ36" s="1264">
        <f>(BQ25*Data!BS123)</f>
        <v>642.22032410156271</v>
      </c>
      <c r="BR36" s="1264">
        <f>(BR25*Data!BT123)</f>
        <v>621.50353945312509</v>
      </c>
      <c r="BS36" s="1264">
        <f>(BS25*Data!BU123)</f>
        <v>642.22032410156271</v>
      </c>
      <c r="BT36" s="1264">
        <f>(BT25*Data!BV123)</f>
        <v>642.22032410156271</v>
      </c>
      <c r="BU36" s="1264">
        <f>(BU25*Data!BW123)</f>
        <v>621.50353945312509</v>
      </c>
      <c r="BV36" s="1264">
        <f>(BV25*Data!BX123)</f>
        <v>642.22032410156271</v>
      </c>
      <c r="BW36" s="1264">
        <f>(BW25*Data!BY123)</f>
        <v>621.50353945312509</v>
      </c>
      <c r="BX36" s="1264">
        <f>(BX25*Data!BZ123)</f>
        <v>642.22032410156271</v>
      </c>
      <c r="BY36" s="1264">
        <f>(BY25*Data!CA123)</f>
        <v>642.22032410156271</v>
      </c>
      <c r="BZ36" s="1264">
        <f>(BZ25*Data!CB123)</f>
        <v>609.07346866406272</v>
      </c>
      <c r="CA36" s="1264">
        <f>(CA25*Data!CC123)</f>
        <v>674.33134030664098</v>
      </c>
      <c r="CB36" s="1264">
        <f>(CB25*Data!CD123)</f>
        <v>652.57871642578152</v>
      </c>
      <c r="CC36" s="1264">
        <f>(CC25*Data!CE123)</f>
        <v>674.33134030664098</v>
      </c>
      <c r="CD36" s="1264">
        <f>(CD25*Data!CF123)</f>
        <v>652.57871642578152</v>
      </c>
      <c r="CE36" s="1264">
        <f>(CE25*Data!CG123)</f>
        <v>674.33134030664098</v>
      </c>
      <c r="CF36" s="1264">
        <f>(CF25*Data!CH123)</f>
        <v>674.33134030664098</v>
      </c>
      <c r="CG36" s="1264">
        <f>(CG25*Data!CI123)</f>
        <v>652.57871642578152</v>
      </c>
      <c r="CH36" s="1264">
        <f>(CH25*Data!CJ123)</f>
        <v>674.33134030664098</v>
      </c>
      <c r="CI36" s="1264">
        <f>(CI25*Data!CK123)</f>
        <v>652.57871642578152</v>
      </c>
      <c r="CJ36" s="1264">
        <f>(CJ25*Data!CL123)</f>
        <v>674.33134030664098</v>
      </c>
      <c r="CK36" s="1264">
        <f>(CK25*Data!CM123)</f>
        <v>674.33134030664098</v>
      </c>
      <c r="CL36" s="1264">
        <f>(CL25*Data!CN123)</f>
        <v>639.52714209726582</v>
      </c>
      <c r="CM36" s="1264">
        <f>(CM25*Data!CO123)</f>
        <v>708.04790732197307</v>
      </c>
      <c r="CN36" s="1264">
        <f>(CN25*Data!CP123)</f>
        <v>685.20765224707054</v>
      </c>
      <c r="CO36" s="1264">
        <f>(CO25*Data!CQ123)</f>
        <v>708.04790732197307</v>
      </c>
      <c r="CP36" s="1264">
        <f>(CP25*Data!CR123)</f>
        <v>685.20765224707054</v>
      </c>
      <c r="CQ36" s="1264">
        <f>(CQ25*Data!CS123)</f>
        <v>708.04790732197307</v>
      </c>
      <c r="CR36" s="1264">
        <f>(CR25*Data!CT123)</f>
        <v>708.04790732197307</v>
      </c>
      <c r="CS36" s="1264">
        <f>(CS25*Data!CU123)</f>
        <v>685.20765224707054</v>
      </c>
      <c r="CT36" s="1264">
        <f>(CT25*Data!CV123)</f>
        <v>708.04790732197307</v>
      </c>
      <c r="CU36" s="1264">
        <f>(CU25*Data!CW123)</f>
        <v>685.20765224707054</v>
      </c>
      <c r="CV36" s="1264">
        <f>(CV25*Data!CX123)</f>
        <v>708.04790732197307</v>
      </c>
      <c r="CW36" s="1264">
        <f>(CW25*Data!CY123)</f>
        <v>708.04790732197307</v>
      </c>
      <c r="CX36" s="1264">
        <f>(CX25*Data!CZ123)</f>
        <v>671.50349920212921</v>
      </c>
      <c r="CY36" s="1264">
        <f>(CY25*Data!DA123)</f>
        <v>743.4503026880717</v>
      </c>
      <c r="CZ36" s="1264">
        <f>(CZ25*Data!DB123)</f>
        <v>719.46803485942405</v>
      </c>
      <c r="DA36" s="1264">
        <f>(DA25*Data!DC123)</f>
        <v>743.4503026880717</v>
      </c>
      <c r="DB36" s="1264">
        <f>(DB25*Data!DD123)</f>
        <v>719.46803485942405</v>
      </c>
      <c r="DC36" s="1264">
        <f>(DC25*Data!DE123)</f>
        <v>743.4503026880717</v>
      </c>
      <c r="DD36" s="1264">
        <f>(DD25*Data!DF123)</f>
        <v>743.4503026880717</v>
      </c>
      <c r="DE36" s="1264">
        <f>(DE25*Data!DG123)</f>
        <v>719.46803485942405</v>
      </c>
      <c r="DF36" s="1264">
        <f>(DF25*Data!DH123)</f>
        <v>743.4503026880717</v>
      </c>
      <c r="DG36" s="1264">
        <f>(DG25*Data!DI123)</f>
        <v>719.46803485942405</v>
      </c>
      <c r="DH36" s="1264">
        <f>(DH25*Data!DJ123)</f>
        <v>743.4503026880717</v>
      </c>
      <c r="DI36" s="1264">
        <f>(DI25*Data!DK123)</f>
        <v>743.4503026880717</v>
      </c>
      <c r="DJ36" s="1264">
        <f>(DJ25*Data!DL123)</f>
        <v>730.26005538231561</v>
      </c>
      <c r="DK36" s="1264">
        <f>(DK25*Data!DM123)</f>
        <v>780.62281782247533</v>
      </c>
      <c r="DL36" s="1264">
        <f>(DL25*Data!DN123)</f>
        <v>755.44143660239547</v>
      </c>
      <c r="DM36" s="1264">
        <f>(DM25*Data!DO123)</f>
        <v>780.62281782247533</v>
      </c>
      <c r="DN36" s="1264">
        <f>(DN25*Data!DP123)</f>
        <v>755.44143660239547</v>
      </c>
      <c r="DO36" s="1264">
        <f>(DO25*Data!DQ123)</f>
        <v>780.62281782247533</v>
      </c>
      <c r="DP36" s="1264">
        <f>(DP25*Data!DR123)</f>
        <v>780.62281782247533</v>
      </c>
      <c r="DQ36" s="1264">
        <f>(DQ25*Data!DS123)</f>
        <v>755.44143660239547</v>
      </c>
      <c r="DR36" s="1264">
        <f>(DR25*Data!DT123)</f>
        <v>780.62281782247533</v>
      </c>
      <c r="DS36" s="1264">
        <f>(DS25*Data!DU123)</f>
        <v>755.44143660239547</v>
      </c>
      <c r="DT36" s="1264">
        <f>(DT25*Data!DV123)</f>
        <v>780.62281782247533</v>
      </c>
      <c r="DU36" s="1265">
        <f>(DU25*Data!DW123)</f>
        <v>780.62281782247533</v>
      </c>
      <c r="DV36" s="1265"/>
      <c r="DW36" s="1248">
        <f t="shared" si="404"/>
        <v>378.37125000000003</v>
      </c>
      <c r="DX36" s="1246">
        <f>SUM(F36:H36)</f>
        <v>1444.6607142857144</v>
      </c>
      <c r="DY36" s="1247">
        <f>SUM(I36:K36)</f>
        <v>1493.3571428571429</v>
      </c>
      <c r="DZ36" s="1247">
        <f>SUM(L36:N36)</f>
        <v>1493.3571428571429</v>
      </c>
      <c r="EA36" s="1248">
        <f>SUM(O36:Q36)</f>
        <v>1493.3571428571429</v>
      </c>
      <c r="EB36" s="1246">
        <f t="shared" si="405"/>
        <v>6303.1033928571414</v>
      </c>
      <c r="EC36" s="1247">
        <f>SUM(R36:AC36)</f>
        <v>6238.0124999999989</v>
      </c>
      <c r="ED36" s="1248">
        <f>SUM(AD36:AO36)</f>
        <v>6532.0171875000015</v>
      </c>
      <c r="EE36" s="1249">
        <f t="shared" si="406"/>
        <v>19073.13308035714</v>
      </c>
      <c r="EF36" s="1247">
        <f t="shared" si="407"/>
        <v>6858.6180468750026</v>
      </c>
      <c r="EG36" s="1248">
        <f t="shared" si="408"/>
        <v>7201.5489492187544</v>
      </c>
      <c r="EH36" s="1249">
        <f t="shared" si="409"/>
        <v>33133.300076450898</v>
      </c>
      <c r="EI36" s="638">
        <f t="shared" si="378"/>
        <v>4.9999999999999992E-3</v>
      </c>
      <c r="EJ36" s="16">
        <f t="shared" si="347"/>
        <v>7582.3431813281277</v>
      </c>
      <c r="EK36" s="17">
        <f t="shared" si="348"/>
        <v>7939.707716513677</v>
      </c>
      <c r="EL36" s="17">
        <f t="shared" si="349"/>
        <v>8336.693102339359</v>
      </c>
      <c r="EM36" s="17">
        <f t="shared" si="350"/>
        <v>8753.5277574563279</v>
      </c>
      <c r="EN36" s="151">
        <f t="shared" si="351"/>
        <v>9216.3855265492257</v>
      </c>
      <c r="EO36" s="139">
        <f t="shared" si="352"/>
        <v>74961.957360637622</v>
      </c>
      <c r="EQ36" s="14">
        <f t="shared" si="353"/>
        <v>0</v>
      </c>
    </row>
    <row r="37" spans="2:147" x14ac:dyDescent="0.3">
      <c r="B37" s="600" t="s">
        <v>18</v>
      </c>
      <c r="C37" s="23"/>
      <c r="D37" s="23"/>
      <c r="E37" s="1283">
        <f>(E25*Data!G124)+(E25*Data!G117)+E169/E5</f>
        <v>378.37125000000003</v>
      </c>
      <c r="F37" s="1284">
        <f>(F25*Data!H124)+(F25*Data!H117)+F169/F5</f>
        <v>454.5</v>
      </c>
      <c r="G37" s="1284">
        <f>(G25*Data!I124)+(G25*Data!I117)+G169/G5</f>
        <v>503.19642857142861</v>
      </c>
      <c r="H37" s="1284">
        <f>(H25*Data!J124)+(H25*Data!J117)+H169/H5</f>
        <v>486.96428571428572</v>
      </c>
      <c r="I37" s="1284">
        <f>(I25*Data!K124)+(I25*Data!K117)+I169/I5</f>
        <v>503.19642857142861</v>
      </c>
      <c r="J37" s="1284">
        <f>(J25*Data!L124)+(J25*Data!L117)+J169/J5</f>
        <v>486.96428571428572</v>
      </c>
      <c r="K37" s="1284">
        <f>(K25*Data!M124)+(K25*Data!M117)+K169/K5</f>
        <v>503.19642857142861</v>
      </c>
      <c r="L37" s="1284">
        <f>(L25*Data!N124)+(L25*Data!N117)+L169/L5</f>
        <v>503.19642857142861</v>
      </c>
      <c r="M37" s="1284">
        <f>(M25*Data!O124)+(M25*Data!O117)+M169/M5</f>
        <v>486.96428571428572</v>
      </c>
      <c r="N37" s="1284">
        <f>(N25*Data!P124)+(N25*Data!P117)+N169/N5</f>
        <v>503.19642857142861</v>
      </c>
      <c r="O37" s="1284">
        <f>(O25*Data!Q124)+(O25*Data!Q117)+O169/O5</f>
        <v>486.96428571428572</v>
      </c>
      <c r="P37" s="1284">
        <f>(P25*Data!R124)+(P25*Data!R117)+P169/P5</f>
        <v>503.19642857142861</v>
      </c>
      <c r="Q37" s="1284">
        <f>(Q25*Data!S124)+(Q25*Data!S117)+Q169/Q5</f>
        <v>503.19642857142861</v>
      </c>
      <c r="R37" s="1284">
        <f>(R25*Data!T124)+(R25*Data!T117)+R169/R5</f>
        <v>494.26875000000007</v>
      </c>
      <c r="S37" s="1284">
        <f>(S25*Data!U124)+(S25*Data!U117)+S169/S5</f>
        <v>528.35625000000005</v>
      </c>
      <c r="T37" s="1284">
        <f>(T25*Data!V124)+(T25*Data!V117)+T169/T5</f>
        <v>511.3125</v>
      </c>
      <c r="U37" s="1284">
        <f>(U25*Data!W124)+(U25*Data!W117)+U169/U5</f>
        <v>528.35625000000005</v>
      </c>
      <c r="V37" s="1284">
        <f>(V25*Data!X124)+(V25*Data!X117)+V169/V5</f>
        <v>511.3125</v>
      </c>
      <c r="W37" s="1284">
        <f>(W25*Data!Y124)+(W25*Data!Y117)+W169/W5</f>
        <v>528.35625000000005</v>
      </c>
      <c r="X37" s="1284">
        <f>(X25*Data!Z124)+(X25*Data!Z117)+X169/X5</f>
        <v>528.35625000000005</v>
      </c>
      <c r="Y37" s="1284">
        <f>(Y25*Data!AA124)+(Y25*Data!AA117)+Y169/Y5</f>
        <v>511.3125</v>
      </c>
      <c r="Z37" s="1284">
        <f>(Z25*Data!AB124)+(Z25*Data!AB117)+Z169/Z5</f>
        <v>528.35625000000005</v>
      </c>
      <c r="AA37" s="1284">
        <f>(AA25*Data!AC124)+(AA25*Data!AC117)+AA169/AA5</f>
        <v>511.3125</v>
      </c>
      <c r="AB37" s="1284">
        <f>(AB25*Data!AD124)+(AB25*Data!AD117)+AB169/AB5</f>
        <v>528.35625000000005</v>
      </c>
      <c r="AC37" s="1284">
        <f>(AC25*Data!AE124)+(AC25*Data!AE117)+AC169/AC5</f>
        <v>528.35625000000005</v>
      </c>
      <c r="AD37" s="1284">
        <f>(AD25*Data!AF124)+(AD25*Data!AF117)+AD169/AD5</f>
        <v>501.08625000000006</v>
      </c>
      <c r="AE37" s="1284">
        <f>(AE25*Data!AG124)+(AE25*Data!AG117)+AE169/AE5</f>
        <v>554.77406250000013</v>
      </c>
      <c r="AF37" s="1284">
        <f>(AF25*Data!AH124)+(AF25*Data!AH117)+AF169/AF5</f>
        <v>536.87812500000007</v>
      </c>
      <c r="AG37" s="1284">
        <f>(AG25*Data!AI124)+(AG25*Data!AI117)+AG169/AG5</f>
        <v>554.77406250000013</v>
      </c>
      <c r="AH37" s="1284">
        <f>(AH25*Data!AJ124)+(AH25*Data!AJ117)+AH169/AH5</f>
        <v>536.87812500000007</v>
      </c>
      <c r="AI37" s="1284">
        <f>(AI25*Data!AK124)+(AI25*Data!AK117)+AI169/AI5</f>
        <v>554.77406250000013</v>
      </c>
      <c r="AJ37" s="1284">
        <f>(AJ25*Data!AL124)+(AJ25*Data!AL117)+AJ169/AJ5</f>
        <v>554.77406250000013</v>
      </c>
      <c r="AK37" s="1284">
        <f>(AK25*Data!AM124)+(AK25*Data!AM117)+AK169/AK5</f>
        <v>536.87812500000007</v>
      </c>
      <c r="AL37" s="1284">
        <f>(AL25*Data!AN124)+(AL25*Data!AN117)+AL169/AL5</f>
        <v>554.77406250000013</v>
      </c>
      <c r="AM37" s="1284">
        <f>(AM25*Data!AO124)+(AM25*Data!AO117)+AM169/AM5</f>
        <v>536.87812500000007</v>
      </c>
      <c r="AN37" s="1284">
        <f>(AN25*Data!AP124)+(AN25*Data!AP117)+AN169/AN5</f>
        <v>554.77406250000013</v>
      </c>
      <c r="AO37" s="1284">
        <f>(AO25*Data!AQ124)+(AO25*Data!AQ117)+AO169/AO5</f>
        <v>554.77406250000013</v>
      </c>
      <c r="AP37" s="1284">
        <f>(AP25*Data!AR124)+(AP25*Data!AR117)+AP169/AP5</f>
        <v>526.1405625000001</v>
      </c>
      <c r="AQ37" s="1284">
        <f>(AQ25*Data!AS124)+(AQ25*Data!AS117)+AQ169/AQ5</f>
        <v>582.51276562500016</v>
      </c>
      <c r="AR37" s="1284">
        <f>(AR25*Data!AT124)+(AR25*Data!AT117)+AR169/AR5</f>
        <v>563.72203125000021</v>
      </c>
      <c r="AS37" s="1284">
        <f>(AS25*Data!AU124)+(AS25*Data!AU117)+AS169/AS5</f>
        <v>582.51276562500016</v>
      </c>
      <c r="AT37" s="1284">
        <f>(AT25*Data!AV124)+(AT25*Data!AV117)+AT169/AT5</f>
        <v>563.72203125000021</v>
      </c>
      <c r="AU37" s="1284">
        <f>(AU25*Data!AW124)+(AU25*Data!AW117)+AU169/AU5</f>
        <v>582.51276562500016</v>
      </c>
      <c r="AV37" s="1284">
        <f>(AV25*Data!AX124)+(AV25*Data!AX117)+AV169/AV5</f>
        <v>582.51276562500016</v>
      </c>
      <c r="AW37" s="1284">
        <f>(AW25*Data!AY124)+(AW25*Data!AY117)+AW169/AW5</f>
        <v>563.72203125000021</v>
      </c>
      <c r="AX37" s="1284">
        <f>(AX25*Data!AZ124)+(AX25*Data!AZ117)+AX169/AX5</f>
        <v>582.51276562500016</v>
      </c>
      <c r="AY37" s="1284">
        <f>(AY25*Data!BA124)+(AY25*Data!BA117)+AY169/AY5</f>
        <v>563.72203125000021</v>
      </c>
      <c r="AZ37" s="1284">
        <f>(AZ25*Data!BB124)+(AZ25*Data!BB117)+AZ169/AZ5</f>
        <v>582.51276562500016</v>
      </c>
      <c r="BA37" s="1284">
        <f>(BA25*Data!BC124)+(BA25*Data!BC117)+BA169/BA5</f>
        <v>582.51276562500016</v>
      </c>
      <c r="BB37" s="1284">
        <f>(BB25*Data!BD124)+(BB25*Data!BD117)+BB169/BB5</f>
        <v>552.44759062500009</v>
      </c>
      <c r="BC37" s="1284">
        <f>(BC25*Data!BE124)+(BC25*Data!BE117)+BC169/BC5</f>
        <v>611.63840390625023</v>
      </c>
      <c r="BD37" s="1284">
        <f>(BD25*Data!BF124)+(BD25*Data!BF117)+BD169/BD5</f>
        <v>591.90813281250018</v>
      </c>
      <c r="BE37" s="1284">
        <f>(BE25*Data!BG124)+(BE25*Data!BG117)+BE169/BE5</f>
        <v>611.63840390625023</v>
      </c>
      <c r="BF37" s="1284">
        <f>(BF25*Data!BH124)+(BF25*Data!BH117)+BF169/BF5</f>
        <v>591.90813281250018</v>
      </c>
      <c r="BG37" s="1284">
        <f>(BG25*Data!BI124)+(BG25*Data!BI117)+BG169/BG5</f>
        <v>611.63840390625023</v>
      </c>
      <c r="BH37" s="1284">
        <f>(BH25*Data!BJ124)+(BH25*Data!BJ117)+BH169/BH5</f>
        <v>611.63840390625023</v>
      </c>
      <c r="BI37" s="1284">
        <f>(BI25*Data!BK124)+(BI25*Data!BK117)+BI169/BI5</f>
        <v>591.90813281250018</v>
      </c>
      <c r="BJ37" s="1284">
        <f>(BJ25*Data!BL124)+(BJ25*Data!BL117)+BJ169/BJ5</f>
        <v>611.63840390625023</v>
      </c>
      <c r="BK37" s="1284">
        <f>(BK25*Data!BM124)+(BK25*Data!BM117)+BK169/BK5</f>
        <v>591.90813281250018</v>
      </c>
      <c r="BL37" s="1284">
        <f>(BL25*Data!BN124)+(BL25*Data!BN117)+BL169/BL5</f>
        <v>611.63840390625023</v>
      </c>
      <c r="BM37" s="1284">
        <f>(BM25*Data!BO124)+(BM25*Data!BO117)+BM169/BM5</f>
        <v>611.63840390625023</v>
      </c>
      <c r="BN37" s="1285">
        <f>(BN25*Data!BP124)+(BN25*Data!BP117)+BN169/BN5</f>
        <v>600.78675480468769</v>
      </c>
      <c r="BO37" s="1285">
        <f>(BO25*Data!BQ124)+(BO25*Data!BQ117)+BO169/BO5</f>
        <v>642.22032410156271</v>
      </c>
      <c r="BP37" s="1285">
        <f>(BP25*Data!BR124)+(BP25*Data!BR117)+BP169/BP5</f>
        <v>621.50353945312509</v>
      </c>
      <c r="BQ37" s="1285">
        <f>(BQ25*Data!BS124)+(BQ25*Data!BS117)+BQ169/BQ5</f>
        <v>642.22032410156271</v>
      </c>
      <c r="BR37" s="1285">
        <f>(BR25*Data!BT124)+(BR25*Data!BT117)+BR169/BR5</f>
        <v>621.50353945312509</v>
      </c>
      <c r="BS37" s="1285">
        <f>(BS25*Data!BU124)+(BS25*Data!BU117)+BS169/BS5</f>
        <v>642.22032410156271</v>
      </c>
      <c r="BT37" s="1285">
        <f>(BT25*Data!BV124)+(BT25*Data!BV117)+BT169/BT5</f>
        <v>642.22032410156271</v>
      </c>
      <c r="BU37" s="1285">
        <f>(BU25*Data!BW124)+(BU25*Data!BW117)+BU169/BU5</f>
        <v>621.50353945312509</v>
      </c>
      <c r="BV37" s="1285">
        <f>(BV25*Data!BX124)+(BV25*Data!BX117)+BV169/BV5</f>
        <v>642.22032410156271</v>
      </c>
      <c r="BW37" s="1285">
        <f>(BW25*Data!BY124)+(BW25*Data!BY117)+BW169/BW5</f>
        <v>621.50353945312509</v>
      </c>
      <c r="BX37" s="1285">
        <f>(BX25*Data!BZ124)+(BX25*Data!BZ117)+BX169/BX5</f>
        <v>642.22032410156271</v>
      </c>
      <c r="BY37" s="1285">
        <f>(BY25*Data!CA124)+(BY25*Data!CA117)+BY169/BY5</f>
        <v>642.22032410156271</v>
      </c>
      <c r="BZ37" s="1286">
        <f>(BZ25*Data!CB124)+(BZ25*Data!CB117)+BZ169/BZ5</f>
        <v>609.07346866406272</v>
      </c>
      <c r="CA37" s="1286">
        <f>(CA25*Data!CC124)+(CA25*Data!CC117)+CA169/CA5</f>
        <v>674.33134030664098</v>
      </c>
      <c r="CB37" s="1286">
        <f>(CB25*Data!CD124)+(CB25*Data!CD117)+CB169/CB5</f>
        <v>652.57871642578152</v>
      </c>
      <c r="CC37" s="1286">
        <f>(CC25*Data!CE124)+(CC25*Data!CE117)+CC169/CC5</f>
        <v>674.33134030664098</v>
      </c>
      <c r="CD37" s="1286">
        <f>(CD25*Data!CF124)+(CD25*Data!CF117)+CD169/CD5</f>
        <v>652.57871642578152</v>
      </c>
      <c r="CE37" s="1286">
        <f>(CE25*Data!CG124)+(CE25*Data!CG117)+CE169/CE5</f>
        <v>674.33134030664098</v>
      </c>
      <c r="CF37" s="1286">
        <f>(CF25*Data!CH124)+(CF25*Data!CH117)+CF169/CF5</f>
        <v>674.33134030664098</v>
      </c>
      <c r="CG37" s="1286">
        <f>(CG25*Data!CI124)+(CG25*Data!CI117)+CG169/CG5</f>
        <v>652.57871642578152</v>
      </c>
      <c r="CH37" s="1286">
        <f>(CH25*Data!CJ124)+(CH25*Data!CJ117)+CH169/CH5</f>
        <v>674.33134030664098</v>
      </c>
      <c r="CI37" s="1286">
        <f>(CI25*Data!CK124)+(CI25*Data!CK117)+CI169/CI5</f>
        <v>652.57871642578152</v>
      </c>
      <c r="CJ37" s="1286">
        <f>(CJ25*Data!CL124)+(CJ25*Data!CL117)+CJ169/CJ5</f>
        <v>674.33134030664098</v>
      </c>
      <c r="CK37" s="1286">
        <f>(CK25*Data!CM124)+(CK25*Data!CM117)+CK169/CK5</f>
        <v>674.33134030664098</v>
      </c>
      <c r="CL37" s="1287">
        <f>(CL25*Data!CN124)+(CL25*Data!CN117)+CL169/CL5</f>
        <v>639.52714209726582</v>
      </c>
      <c r="CM37" s="1287">
        <f>(CM25*Data!CO124)+(CM25*Data!CO117)+CM169/CM5</f>
        <v>708.04790732197307</v>
      </c>
      <c r="CN37" s="1287">
        <f>(CN25*Data!CP124)+(CN25*Data!CP117)+CN169/CN5</f>
        <v>685.20765224707054</v>
      </c>
      <c r="CO37" s="1287">
        <f>(CO25*Data!CQ124)+(CO25*Data!CQ117)+CO169/CO5</f>
        <v>708.04790732197307</v>
      </c>
      <c r="CP37" s="1287">
        <f>(CP25*Data!CR124)+(CP25*Data!CR117)+CP169/CP5</f>
        <v>685.20765224707054</v>
      </c>
      <c r="CQ37" s="1287">
        <f>(CQ25*Data!CS124)+(CQ25*Data!CS117)+CQ169/CQ5</f>
        <v>708.04790732197307</v>
      </c>
      <c r="CR37" s="1287">
        <f>(CR25*Data!CT124)+(CR25*Data!CT117)+CR169/CR5</f>
        <v>708.04790732197307</v>
      </c>
      <c r="CS37" s="1287">
        <f>(CS25*Data!CU124)+(CS25*Data!CU117)+CS169/CS5</f>
        <v>685.20765224707054</v>
      </c>
      <c r="CT37" s="1287">
        <f>(CT25*Data!CV124)+(CT25*Data!CV117)+CT169/CT5</f>
        <v>708.04790732197307</v>
      </c>
      <c r="CU37" s="1287">
        <f>(CU25*Data!CW124)+(CU25*Data!CW117)+CU169/CU5</f>
        <v>685.20765224707054</v>
      </c>
      <c r="CV37" s="1287">
        <f>(CV25*Data!CX124)+(CV25*Data!CX117)+CV169/CV5</f>
        <v>708.04790732197307</v>
      </c>
      <c r="CW37" s="1287">
        <f>(CW25*Data!CY124)+(CW25*Data!CY117)+CW169/CW5</f>
        <v>708.04790732197307</v>
      </c>
      <c r="CX37" s="1288">
        <f>(CX25*Data!CZ124)+(CX25*Data!CZ117)+CX169/CX5</f>
        <v>671.50349920212921</v>
      </c>
      <c r="CY37" s="1288">
        <f>(CY25*Data!DA124)+(CY25*Data!DA117)+CY169/CY5</f>
        <v>743.4503026880717</v>
      </c>
      <c r="CZ37" s="1288">
        <f>(CZ25*Data!DB124)+(CZ25*Data!DB117)+CZ169/CZ5</f>
        <v>719.46803485942405</v>
      </c>
      <c r="DA37" s="1288">
        <f>(DA25*Data!DC124)+(DA25*Data!DC117)+DA169/DA5</f>
        <v>743.4503026880717</v>
      </c>
      <c r="DB37" s="1288">
        <f>(DB25*Data!DD124)+(DB25*Data!DD117)+DB169/DB5</f>
        <v>719.46803485942405</v>
      </c>
      <c r="DC37" s="1288">
        <f>(DC25*Data!DE124)+(DC25*Data!DE117)+DC169/DC5</f>
        <v>743.4503026880717</v>
      </c>
      <c r="DD37" s="1288">
        <f>(DD25*Data!DF124)+(DD25*Data!DF117)+DD169/DD5</f>
        <v>743.4503026880717</v>
      </c>
      <c r="DE37" s="1288">
        <f>(DE25*Data!DG124)+(DE25*Data!DG117)+DE169/DE5</f>
        <v>719.46803485942405</v>
      </c>
      <c r="DF37" s="1288">
        <f>(DF25*Data!DH124)+(DF25*Data!DH117)+DF169/DF5</f>
        <v>743.4503026880717</v>
      </c>
      <c r="DG37" s="1288">
        <f>(DG25*Data!DI124)+(DG25*Data!DI117)+DG169/DG5</f>
        <v>719.46803485942405</v>
      </c>
      <c r="DH37" s="1288">
        <f>(DH25*Data!DJ124)+(DH25*Data!DJ117)+DH169/DH5</f>
        <v>743.4503026880717</v>
      </c>
      <c r="DI37" s="1288">
        <f>(DI25*Data!DK124)+(DI25*Data!DK117)+DI169/DI5</f>
        <v>743.4503026880717</v>
      </c>
      <c r="DJ37" s="1289">
        <f>(DJ25*Data!DL124)+(DJ25*Data!DL117)+DJ169/DJ5</f>
        <v>730.26005538231561</v>
      </c>
      <c r="DK37" s="1289">
        <f>(DK25*Data!DM124)+(DK25*Data!DM117)+DK169/DK5</f>
        <v>780.62281782247533</v>
      </c>
      <c r="DL37" s="1289">
        <f>(DL25*Data!DN124)+(DL25*Data!DN117)+DL169/DL5</f>
        <v>755.44143660239547</v>
      </c>
      <c r="DM37" s="1289">
        <f>(DM25*Data!DO124)+(DM25*Data!DO117)+DM169/DM5</f>
        <v>780.62281782247533</v>
      </c>
      <c r="DN37" s="1289">
        <f>(DN25*Data!DP124)+(DN25*Data!DP117)+DN169/DN5</f>
        <v>755.44143660239547</v>
      </c>
      <c r="DO37" s="1289">
        <f>(DO25*Data!DQ124)+(DO25*Data!DQ117)+DO169/DO5</f>
        <v>780.62281782247533</v>
      </c>
      <c r="DP37" s="1289">
        <f>(DP25*Data!DR124)+(DP25*Data!DR117)+DP169/DP5</f>
        <v>780.62281782247533</v>
      </c>
      <c r="DQ37" s="1289">
        <f>(DQ25*Data!DS124)+(DQ25*Data!DS117)+DQ169/DQ5</f>
        <v>755.44143660239547</v>
      </c>
      <c r="DR37" s="1289">
        <f>(DR25*Data!DT124)+(DR25*Data!DT117)+DR169/DR5</f>
        <v>780.62281782247533</v>
      </c>
      <c r="DS37" s="1289">
        <f>(DS25*Data!DU124)+(DS25*Data!DU117)+DS169/DS5</f>
        <v>755.44143660239547</v>
      </c>
      <c r="DT37" s="1289">
        <f>(DT25*Data!DV124)+(DT25*Data!DV117)+DT169/DT5</f>
        <v>780.62281782247533</v>
      </c>
      <c r="DU37" s="1290">
        <f>(DU25*Data!DW124)+(DU25*Data!DW117)+DU169/DU5</f>
        <v>780.62281782247533</v>
      </c>
      <c r="DV37" s="1290"/>
      <c r="DW37" s="1291">
        <f t="shared" si="404"/>
        <v>378.37125000000003</v>
      </c>
      <c r="DX37" s="1266">
        <f>SUM(F37:H37)</f>
        <v>1444.6607142857144</v>
      </c>
      <c r="DY37" s="1292">
        <f>SUM(I37:K37)</f>
        <v>1493.3571428571429</v>
      </c>
      <c r="DZ37" s="1292">
        <f>SUM(L37:N37)</f>
        <v>1493.3571428571429</v>
      </c>
      <c r="EA37" s="1291">
        <f>SUM(O37:Q37)</f>
        <v>1493.3571428571429</v>
      </c>
      <c r="EB37" s="1266">
        <f t="shared" si="405"/>
        <v>6303.1033928571414</v>
      </c>
      <c r="EC37" s="1292">
        <f>SUM(R37:AC37)</f>
        <v>6238.0124999999989</v>
      </c>
      <c r="ED37" s="1291">
        <f>SUM(AD37:AO37)</f>
        <v>6532.0171875000015</v>
      </c>
      <c r="EE37" s="1293">
        <f t="shared" si="406"/>
        <v>19073.13308035714</v>
      </c>
      <c r="EF37" s="1292">
        <f t="shared" si="407"/>
        <v>6858.6180468750026</v>
      </c>
      <c r="EG37" s="1291">
        <f t="shared" si="408"/>
        <v>7201.5489492187544</v>
      </c>
      <c r="EH37" s="1293">
        <f t="shared" si="409"/>
        <v>33133.300076450898</v>
      </c>
      <c r="EI37" s="638">
        <f t="shared" si="378"/>
        <v>4.9999999999999992E-3</v>
      </c>
      <c r="EJ37" s="21">
        <f t="shared" si="347"/>
        <v>7582.3431813281277</v>
      </c>
      <c r="EK37" s="23">
        <f t="shared" si="348"/>
        <v>7939.707716513677</v>
      </c>
      <c r="EL37" s="23">
        <f t="shared" si="349"/>
        <v>8336.693102339359</v>
      </c>
      <c r="EM37" s="23">
        <f t="shared" si="350"/>
        <v>8753.5277574563279</v>
      </c>
      <c r="EN37" s="174">
        <f t="shared" si="351"/>
        <v>9216.3855265492257</v>
      </c>
      <c r="EO37" s="173">
        <f t="shared" si="352"/>
        <v>74961.957360637622</v>
      </c>
      <c r="EQ37" s="14">
        <f t="shared" si="353"/>
        <v>0</v>
      </c>
    </row>
    <row r="38" spans="2:147" x14ac:dyDescent="0.3">
      <c r="B38" s="601"/>
      <c r="C38" s="25"/>
      <c r="D38" s="25"/>
      <c r="E38" s="1294"/>
      <c r="F38" s="1295"/>
      <c r="G38" s="1295"/>
      <c r="H38" s="1295"/>
      <c r="I38" s="1295"/>
      <c r="J38" s="1295"/>
      <c r="K38" s="1295"/>
      <c r="L38" s="1295"/>
      <c r="M38" s="1295"/>
      <c r="N38" s="1295"/>
      <c r="O38" s="1295"/>
      <c r="P38" s="1295"/>
      <c r="Q38" s="1295"/>
      <c r="R38" s="1295"/>
      <c r="S38" s="1295"/>
      <c r="T38" s="1295"/>
      <c r="U38" s="1295"/>
      <c r="V38" s="1295"/>
      <c r="W38" s="1295"/>
      <c r="X38" s="1295"/>
      <c r="Y38" s="1295"/>
      <c r="Z38" s="1295"/>
      <c r="AA38" s="1295"/>
      <c r="AB38" s="1295"/>
      <c r="AC38" s="1295"/>
      <c r="AD38" s="1295"/>
      <c r="AE38" s="1295"/>
      <c r="AF38" s="1295"/>
      <c r="AG38" s="1295"/>
      <c r="AH38" s="1295"/>
      <c r="AI38" s="1295"/>
      <c r="AJ38" s="1295"/>
      <c r="AK38" s="1295"/>
      <c r="AL38" s="1295"/>
      <c r="AM38" s="1295"/>
      <c r="AN38" s="1295"/>
      <c r="AO38" s="1295"/>
      <c r="AP38" s="1295"/>
      <c r="AQ38" s="1295"/>
      <c r="AR38" s="1295"/>
      <c r="AS38" s="1295"/>
      <c r="AT38" s="1295"/>
      <c r="AU38" s="1295"/>
      <c r="AV38" s="1295"/>
      <c r="AW38" s="1295"/>
      <c r="AX38" s="1295"/>
      <c r="AY38" s="1295"/>
      <c r="AZ38" s="1295"/>
      <c r="BA38" s="1295"/>
      <c r="BB38" s="1295"/>
      <c r="BC38" s="1295"/>
      <c r="BD38" s="1295"/>
      <c r="BE38" s="1295"/>
      <c r="BF38" s="1295"/>
      <c r="BG38" s="1295"/>
      <c r="BH38" s="1295"/>
      <c r="BI38" s="1295"/>
      <c r="BJ38" s="1295"/>
      <c r="BK38" s="1295"/>
      <c r="BL38" s="1295"/>
      <c r="BM38" s="1295"/>
      <c r="BN38" s="1295"/>
      <c r="BO38" s="1295"/>
      <c r="BP38" s="1295"/>
      <c r="BQ38" s="1295"/>
      <c r="BR38" s="1295"/>
      <c r="BS38" s="1295"/>
      <c r="BT38" s="1295"/>
      <c r="BU38" s="1295"/>
      <c r="BV38" s="1295"/>
      <c r="BW38" s="1295"/>
      <c r="BX38" s="1295"/>
      <c r="BY38" s="1295"/>
      <c r="BZ38" s="1295"/>
      <c r="CA38" s="1295"/>
      <c r="CB38" s="1295"/>
      <c r="CC38" s="1295"/>
      <c r="CD38" s="1295"/>
      <c r="CE38" s="1295"/>
      <c r="CF38" s="1295"/>
      <c r="CG38" s="1295"/>
      <c r="CH38" s="1295"/>
      <c r="CI38" s="1295"/>
      <c r="CJ38" s="1295"/>
      <c r="CK38" s="1295"/>
      <c r="CL38" s="1295"/>
      <c r="CM38" s="1295"/>
      <c r="CN38" s="1295"/>
      <c r="CO38" s="1295"/>
      <c r="CP38" s="1295"/>
      <c r="CQ38" s="1295"/>
      <c r="CR38" s="1295"/>
      <c r="CS38" s="1295"/>
      <c r="CT38" s="1295"/>
      <c r="CU38" s="1295"/>
      <c r="CV38" s="1295"/>
      <c r="CW38" s="1295"/>
      <c r="CX38" s="1295"/>
      <c r="CY38" s="1295"/>
      <c r="CZ38" s="1295"/>
      <c r="DA38" s="1295"/>
      <c r="DB38" s="1295"/>
      <c r="DC38" s="1295"/>
      <c r="DD38" s="1295"/>
      <c r="DE38" s="1295"/>
      <c r="DF38" s="1295"/>
      <c r="DG38" s="1295"/>
      <c r="DH38" s="1295"/>
      <c r="DI38" s="1295"/>
      <c r="DJ38" s="1295"/>
      <c r="DK38" s="1295"/>
      <c r="DL38" s="1295"/>
      <c r="DM38" s="1295"/>
      <c r="DN38" s="1295"/>
      <c r="DO38" s="1295"/>
      <c r="DP38" s="1295"/>
      <c r="DQ38" s="1295"/>
      <c r="DR38" s="1295"/>
      <c r="DS38" s="1295"/>
      <c r="DT38" s="1295"/>
      <c r="DU38" s="1296"/>
      <c r="DV38" s="1296"/>
      <c r="DW38" s="1296"/>
      <c r="DX38" s="1294"/>
      <c r="DY38" s="1295"/>
      <c r="DZ38" s="1295"/>
      <c r="EA38" s="1296"/>
      <c r="EB38" s="1294"/>
      <c r="EC38" s="1295"/>
      <c r="ED38" s="1296"/>
      <c r="EE38" s="1297"/>
      <c r="EF38" s="1295"/>
      <c r="EG38" s="1296"/>
      <c r="EH38" s="1297"/>
      <c r="EJ38" s="24"/>
      <c r="EK38" s="25"/>
      <c r="EL38" s="25"/>
      <c r="EM38" s="25"/>
      <c r="EN38" s="153"/>
      <c r="EO38" s="142"/>
      <c r="EQ38" s="14">
        <f t="shared" si="353"/>
        <v>0</v>
      </c>
    </row>
    <row r="39" spans="2:147" x14ac:dyDescent="0.3">
      <c r="B39" s="602" t="s">
        <v>19</v>
      </c>
      <c r="C39" s="27"/>
      <c r="D39" s="27"/>
      <c r="E39" s="1298">
        <f>SUM(E32:E37)</f>
        <v>67030.172305861284</v>
      </c>
      <c r="F39" s="1299">
        <f t="shared" ref="F39:ED39" si="424">SUM(F32:F37)</f>
        <v>52494.924288061935</v>
      </c>
      <c r="G39" s="1299">
        <f t="shared" si="424"/>
        <v>53205.542753319278</v>
      </c>
      <c r="H39" s="1299">
        <f t="shared" si="424"/>
        <v>53173.078467604988</v>
      </c>
      <c r="I39" s="1299">
        <f t="shared" si="424"/>
        <v>52976.211162189393</v>
      </c>
      <c r="J39" s="1299">
        <f t="shared" si="424"/>
        <v>52705.866923598056</v>
      </c>
      <c r="K39" s="1299">
        <f t="shared" si="424"/>
        <v>50477.824280237379</v>
      </c>
      <c r="L39" s="1299">
        <f t="shared" si="424"/>
        <v>50477.824280237379</v>
      </c>
      <c r="M39" s="1299">
        <f t="shared" si="424"/>
        <v>50445.359994523089</v>
      </c>
      <c r="N39" s="1299">
        <f t="shared" si="424"/>
        <v>50477.824280237379</v>
      </c>
      <c r="O39" s="1299">
        <f t="shared" si="424"/>
        <v>50445.359994523089</v>
      </c>
      <c r="P39" s="1299">
        <f t="shared" si="424"/>
        <v>50332.402595816187</v>
      </c>
      <c r="Q39" s="1299">
        <f t="shared" si="424"/>
        <v>50332.402595816187</v>
      </c>
      <c r="R39" s="1299">
        <f t="shared" si="424"/>
        <v>52955.834125536167</v>
      </c>
      <c r="S39" s="1299">
        <f t="shared" si="424"/>
        <v>52781.660173499266</v>
      </c>
      <c r="T39" s="1299">
        <f t="shared" si="424"/>
        <v>52747.572673499271</v>
      </c>
      <c r="U39" s="1299">
        <f t="shared" si="424"/>
        <v>52781.660173499266</v>
      </c>
      <c r="V39" s="1299">
        <f t="shared" si="424"/>
        <v>52747.572673499271</v>
      </c>
      <c r="W39" s="1299">
        <f t="shared" si="424"/>
        <v>52781.660173499266</v>
      </c>
      <c r="X39" s="1299">
        <f t="shared" si="424"/>
        <v>52781.660173499266</v>
      </c>
      <c r="Y39" s="1299">
        <f t="shared" si="424"/>
        <v>52747.572673499271</v>
      </c>
      <c r="Z39" s="1299">
        <f t="shared" si="424"/>
        <v>52781.660173499266</v>
      </c>
      <c r="AA39" s="1299">
        <f t="shared" si="424"/>
        <v>52747.572673499271</v>
      </c>
      <c r="AB39" s="1299">
        <f t="shared" si="424"/>
        <v>52781.660173499266</v>
      </c>
      <c r="AC39" s="1299">
        <f t="shared" si="424"/>
        <v>52781.660173499266</v>
      </c>
      <c r="AD39" s="1299">
        <f t="shared" si="424"/>
        <v>55567.833956812974</v>
      </c>
      <c r="AE39" s="1299">
        <f t="shared" si="424"/>
        <v>55420.743182174236</v>
      </c>
      <c r="AF39" s="1299">
        <f t="shared" si="424"/>
        <v>55384.95130717424</v>
      </c>
      <c r="AG39" s="1299">
        <f t="shared" si="424"/>
        <v>55420.743182174236</v>
      </c>
      <c r="AH39" s="1299">
        <f t="shared" si="424"/>
        <v>55384.95130717424</v>
      </c>
      <c r="AI39" s="1299">
        <f t="shared" si="424"/>
        <v>55420.743182174236</v>
      </c>
      <c r="AJ39" s="1299">
        <f t="shared" si="424"/>
        <v>55420.743182174236</v>
      </c>
      <c r="AK39" s="1299">
        <f t="shared" si="424"/>
        <v>55384.95130717424</v>
      </c>
      <c r="AL39" s="1299">
        <f t="shared" si="424"/>
        <v>55420.743182174236</v>
      </c>
      <c r="AM39" s="1299">
        <f t="shared" si="424"/>
        <v>55384.95130717424</v>
      </c>
      <c r="AN39" s="1299">
        <f t="shared" si="424"/>
        <v>55420.743182174236</v>
      </c>
      <c r="AO39" s="1299">
        <f t="shared" si="424"/>
        <v>55420.743182174236</v>
      </c>
      <c r="AP39" s="1299">
        <f t="shared" si="424"/>
        <v>58346.225654653615</v>
      </c>
      <c r="AQ39" s="1299">
        <f t="shared" si="424"/>
        <v>58191.780341282945</v>
      </c>
      <c r="AR39" s="1299">
        <f t="shared" si="424"/>
        <v>58154.19887253295</v>
      </c>
      <c r="AS39" s="1299">
        <f t="shared" si="424"/>
        <v>58191.780341282945</v>
      </c>
      <c r="AT39" s="1299">
        <f t="shared" si="424"/>
        <v>58154.19887253295</v>
      </c>
      <c r="AU39" s="1299">
        <f t="shared" si="424"/>
        <v>58191.780341282945</v>
      </c>
      <c r="AV39" s="1299">
        <f t="shared" si="424"/>
        <v>58191.780341282945</v>
      </c>
      <c r="AW39" s="1299">
        <f t="shared" si="424"/>
        <v>58154.19887253295</v>
      </c>
      <c r="AX39" s="1299">
        <f t="shared" si="424"/>
        <v>58191.780341282945</v>
      </c>
      <c r="AY39" s="1299">
        <f t="shared" si="424"/>
        <v>58154.19887253295</v>
      </c>
      <c r="AZ39" s="1299">
        <f t="shared" si="424"/>
        <v>58191.780341282945</v>
      </c>
      <c r="BA39" s="1299">
        <f t="shared" si="424"/>
        <v>58191.780341282945</v>
      </c>
      <c r="BB39" s="1299">
        <f t="shared" si="424"/>
        <v>61263.5369373863</v>
      </c>
      <c r="BC39" s="1299">
        <f t="shared" si="424"/>
        <v>61101.369358347096</v>
      </c>
      <c r="BD39" s="1299">
        <f t="shared" si="424"/>
        <v>61061.908816159608</v>
      </c>
      <c r="BE39" s="1299">
        <f t="shared" si="424"/>
        <v>61101.369358347096</v>
      </c>
      <c r="BF39" s="1299">
        <f t="shared" si="424"/>
        <v>61061.908816159608</v>
      </c>
      <c r="BG39" s="1299">
        <f t="shared" si="424"/>
        <v>61101.369358347096</v>
      </c>
      <c r="BH39" s="1299">
        <f t="shared" si="424"/>
        <v>61101.369358347096</v>
      </c>
      <c r="BI39" s="1299">
        <f t="shared" si="424"/>
        <v>61061.908816159608</v>
      </c>
      <c r="BJ39" s="1299">
        <f t="shared" si="424"/>
        <v>61101.369358347096</v>
      </c>
      <c r="BK39" s="1299">
        <f t="shared" si="424"/>
        <v>61061.908816159608</v>
      </c>
      <c r="BL39" s="1299">
        <f t="shared" si="424"/>
        <v>61101.369358347096</v>
      </c>
      <c r="BM39" s="1299">
        <f t="shared" si="424"/>
        <v>61101.369358347096</v>
      </c>
      <c r="BN39" s="1299">
        <f t="shared" ref="BN39:DU39" si="425">SUM(BN32:BN37)</f>
        <v>64368.1473535525</v>
      </c>
      <c r="BO39" s="1299">
        <f t="shared" si="425"/>
        <v>64156.43782626446</v>
      </c>
      <c r="BP39" s="1299">
        <f t="shared" si="425"/>
        <v>64115.004256967586</v>
      </c>
      <c r="BQ39" s="1299">
        <f t="shared" si="425"/>
        <v>64156.43782626446</v>
      </c>
      <c r="BR39" s="1299">
        <f t="shared" si="425"/>
        <v>64115.004256967586</v>
      </c>
      <c r="BS39" s="1299">
        <f t="shared" si="425"/>
        <v>64156.43782626446</v>
      </c>
      <c r="BT39" s="1299">
        <f t="shared" si="425"/>
        <v>64156.43782626446</v>
      </c>
      <c r="BU39" s="1299">
        <f t="shared" si="425"/>
        <v>64115.004256967586</v>
      </c>
      <c r="BV39" s="1299">
        <f t="shared" si="425"/>
        <v>64156.43782626446</v>
      </c>
      <c r="BW39" s="1299">
        <f t="shared" si="425"/>
        <v>64115.004256967586</v>
      </c>
      <c r="BX39" s="1299">
        <f t="shared" si="425"/>
        <v>64156.43782626446</v>
      </c>
      <c r="BY39" s="1299">
        <f t="shared" si="425"/>
        <v>64156.43782626446</v>
      </c>
      <c r="BZ39" s="1299">
        <f t="shared" si="425"/>
        <v>67543.049473468403</v>
      </c>
      <c r="CA39" s="1299">
        <f t="shared" si="425"/>
        <v>67364.25971757769</v>
      </c>
      <c r="CB39" s="1299">
        <f t="shared" si="425"/>
        <v>67320.754469815962</v>
      </c>
      <c r="CC39" s="1299">
        <f t="shared" si="425"/>
        <v>67364.25971757769</v>
      </c>
      <c r="CD39" s="1299">
        <f t="shared" si="425"/>
        <v>67320.754469815962</v>
      </c>
      <c r="CE39" s="1299">
        <f t="shared" si="425"/>
        <v>67364.25971757769</v>
      </c>
      <c r="CF39" s="1299">
        <f t="shared" si="425"/>
        <v>67364.25971757769</v>
      </c>
      <c r="CG39" s="1299">
        <f t="shared" si="425"/>
        <v>67320.754469815962</v>
      </c>
      <c r="CH39" s="1299">
        <f t="shared" si="425"/>
        <v>67364.25971757769</v>
      </c>
      <c r="CI39" s="1299">
        <f t="shared" si="425"/>
        <v>67320.754469815962</v>
      </c>
      <c r="CJ39" s="1299">
        <f t="shared" si="425"/>
        <v>67364.25971757769</v>
      </c>
      <c r="CK39" s="1299">
        <f t="shared" si="425"/>
        <v>67364.25971757769</v>
      </c>
      <c r="CL39" s="1299">
        <f t="shared" si="425"/>
        <v>70920.201947141846</v>
      </c>
      <c r="CM39" s="1299">
        <f t="shared" si="425"/>
        <v>70732.472703456588</v>
      </c>
      <c r="CN39" s="1299">
        <f t="shared" si="425"/>
        <v>70686.792193306785</v>
      </c>
      <c r="CO39" s="1299">
        <f t="shared" si="425"/>
        <v>70732.472703456588</v>
      </c>
      <c r="CP39" s="1299">
        <f t="shared" si="425"/>
        <v>70686.792193306785</v>
      </c>
      <c r="CQ39" s="1299">
        <f t="shared" si="425"/>
        <v>70732.472703456588</v>
      </c>
      <c r="CR39" s="1299">
        <f t="shared" si="425"/>
        <v>70732.472703456588</v>
      </c>
      <c r="CS39" s="1299">
        <f t="shared" si="425"/>
        <v>70686.792193306785</v>
      </c>
      <c r="CT39" s="1299">
        <f t="shared" si="425"/>
        <v>70732.472703456588</v>
      </c>
      <c r="CU39" s="1299">
        <f t="shared" si="425"/>
        <v>70686.792193306785</v>
      </c>
      <c r="CV39" s="1299">
        <f t="shared" si="425"/>
        <v>70732.472703456588</v>
      </c>
      <c r="CW39" s="1299">
        <f t="shared" si="425"/>
        <v>70732.472703456588</v>
      </c>
      <c r="CX39" s="1299">
        <f t="shared" si="425"/>
        <v>74466.212044498912</v>
      </c>
      <c r="CY39" s="1299">
        <f t="shared" si="425"/>
        <v>74269.096338629402</v>
      </c>
      <c r="CZ39" s="1299">
        <f t="shared" si="425"/>
        <v>74221.131802972115</v>
      </c>
      <c r="DA39" s="1299">
        <f t="shared" si="425"/>
        <v>74269.096338629402</v>
      </c>
      <c r="DB39" s="1299">
        <f t="shared" si="425"/>
        <v>74221.131802972115</v>
      </c>
      <c r="DC39" s="1299">
        <f t="shared" si="425"/>
        <v>74269.096338629402</v>
      </c>
      <c r="DD39" s="1299">
        <f t="shared" si="425"/>
        <v>74269.096338629402</v>
      </c>
      <c r="DE39" s="1299">
        <f t="shared" si="425"/>
        <v>74221.131802972115</v>
      </c>
      <c r="DF39" s="1299">
        <f t="shared" si="425"/>
        <v>74269.096338629402</v>
      </c>
      <c r="DG39" s="1299">
        <f t="shared" si="425"/>
        <v>74221.131802972115</v>
      </c>
      <c r="DH39" s="1299">
        <f t="shared" si="425"/>
        <v>74269.096338629402</v>
      </c>
      <c r="DI39" s="1299">
        <f t="shared" si="425"/>
        <v>74269.096338629402</v>
      </c>
      <c r="DJ39" s="1299">
        <f t="shared" si="425"/>
        <v>78239.885409164039</v>
      </c>
      <c r="DK39" s="1299">
        <f t="shared" si="425"/>
        <v>77982.551155560883</v>
      </c>
      <c r="DL39" s="1299">
        <f t="shared" si="425"/>
        <v>77932.188393120741</v>
      </c>
      <c r="DM39" s="1299">
        <f t="shared" si="425"/>
        <v>77982.551155560883</v>
      </c>
      <c r="DN39" s="1299">
        <f t="shared" si="425"/>
        <v>77932.188393120741</v>
      </c>
      <c r="DO39" s="1299">
        <f t="shared" si="425"/>
        <v>77982.551155560883</v>
      </c>
      <c r="DP39" s="1299">
        <f t="shared" si="425"/>
        <v>77982.551155560883</v>
      </c>
      <c r="DQ39" s="1299">
        <f t="shared" si="425"/>
        <v>77932.188393120741</v>
      </c>
      <c r="DR39" s="1299">
        <f t="shared" si="425"/>
        <v>77982.551155560883</v>
      </c>
      <c r="DS39" s="1299">
        <f t="shared" si="425"/>
        <v>77932.188393120741</v>
      </c>
      <c r="DT39" s="1299">
        <f t="shared" si="425"/>
        <v>77982.551155560883</v>
      </c>
      <c r="DU39" s="1300">
        <f t="shared" si="425"/>
        <v>77982.551155560883</v>
      </c>
      <c r="DV39" s="1300"/>
      <c r="DW39" s="1300">
        <f t="shared" si="424"/>
        <v>67030.172305861284</v>
      </c>
      <c r="DX39" s="1298">
        <f t="shared" si="424"/>
        <v>158873.54550898622</v>
      </c>
      <c r="DY39" s="1299">
        <f t="shared" si="424"/>
        <v>156159.90236602479</v>
      </c>
      <c r="DZ39" s="1299">
        <f t="shared" si="424"/>
        <v>151401.00855499782</v>
      </c>
      <c r="EA39" s="1300">
        <f t="shared" si="424"/>
        <v>151110.16518615547</v>
      </c>
      <c r="EB39" s="1298">
        <f t="shared" si="424"/>
        <v>684574.79392202583</v>
      </c>
      <c r="EC39" s="1299">
        <f t="shared" si="424"/>
        <v>633417.74603402824</v>
      </c>
      <c r="ED39" s="1300">
        <f t="shared" si="424"/>
        <v>665052.8414607296</v>
      </c>
      <c r="EE39" s="1301">
        <f>SUM(EE32:EE37)</f>
        <v>1983045.3814167841</v>
      </c>
      <c r="EF39" s="1299">
        <f t="shared" ref="EF39:EG39" si="426">SUM(EF32:EF37)</f>
        <v>698305.48353376612</v>
      </c>
      <c r="EG39" s="1300">
        <f t="shared" si="426"/>
        <v>733220.75771045429</v>
      </c>
      <c r="EH39" s="1301">
        <f>SUM(EH32:EH37)</f>
        <v>3414571.6226610034</v>
      </c>
      <c r="EI39" s="638">
        <f>EH39/$EH$25</f>
        <v>0.51527792504554493</v>
      </c>
      <c r="EJ39" s="26">
        <f t="shared" ref="EJ39:EO39" si="427">SUM(EJ32:EJ37)</f>
        <v>769923.2291652743</v>
      </c>
      <c r="EK39" s="27">
        <f t="shared" si="427"/>
        <v>808375.88537577598</v>
      </c>
      <c r="EL39" s="27">
        <f t="shared" si="427"/>
        <v>848794.6796445651</v>
      </c>
      <c r="EM39" s="27">
        <f t="shared" si="427"/>
        <v>891234.41362679319</v>
      </c>
      <c r="EN39" s="154">
        <f t="shared" si="427"/>
        <v>935846.49707057292</v>
      </c>
      <c r="EO39" s="143">
        <f t="shared" si="427"/>
        <v>7668746.327543986</v>
      </c>
      <c r="EQ39" s="14">
        <f t="shared" si="353"/>
        <v>0</v>
      </c>
    </row>
    <row r="40" spans="2:147" ht="13.5" thickBot="1" x14ac:dyDescent="0.35"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</row>
    <row r="41" spans="2:147" x14ac:dyDescent="0.3">
      <c r="B41" s="603" t="s">
        <v>20</v>
      </c>
      <c r="C41" s="28"/>
      <c r="D41" s="28"/>
      <c r="E41" s="1302">
        <f>E25-E39</f>
        <v>8644.0776941387157</v>
      </c>
      <c r="F41" s="1303">
        <f t="shared" ref="F41:DZ41" si="428">F25-F39</f>
        <v>38405.075711938065</v>
      </c>
      <c r="G41" s="1303">
        <f t="shared" si="428"/>
        <v>47433.742960966447</v>
      </c>
      <c r="H41" s="1303">
        <f t="shared" si="428"/>
        <v>44219.778675252157</v>
      </c>
      <c r="I41" s="1303">
        <f t="shared" si="428"/>
        <v>47663.074552096332</v>
      </c>
      <c r="J41" s="1303">
        <f t="shared" si="428"/>
        <v>44686.990219259089</v>
      </c>
      <c r="K41" s="1303">
        <f t="shared" si="428"/>
        <v>50161.461434048346</v>
      </c>
      <c r="L41" s="1303">
        <f t="shared" si="428"/>
        <v>50161.461434048346</v>
      </c>
      <c r="M41" s="1303">
        <f t="shared" ref="M41:AO41" si="429">M25-M39</f>
        <v>46947.497148334056</v>
      </c>
      <c r="N41" s="1303">
        <f t="shared" si="429"/>
        <v>50161.461434048346</v>
      </c>
      <c r="O41" s="1303">
        <f t="shared" si="429"/>
        <v>46947.497148334056</v>
      </c>
      <c r="P41" s="1303">
        <f t="shared" si="429"/>
        <v>50306.883118469537</v>
      </c>
      <c r="Q41" s="1303">
        <f t="shared" si="429"/>
        <v>50306.883118469537</v>
      </c>
      <c r="R41" s="1303">
        <f t="shared" si="429"/>
        <v>45897.915874463848</v>
      </c>
      <c r="S41" s="1303">
        <f t="shared" si="429"/>
        <v>52889.589826500749</v>
      </c>
      <c r="T41" s="1303">
        <f t="shared" si="429"/>
        <v>49514.927326500729</v>
      </c>
      <c r="U41" s="1303">
        <f t="shared" si="429"/>
        <v>52889.589826500749</v>
      </c>
      <c r="V41" s="1303">
        <f t="shared" si="429"/>
        <v>49514.927326500729</v>
      </c>
      <c r="W41" s="1303">
        <f t="shared" si="429"/>
        <v>52889.589826500749</v>
      </c>
      <c r="X41" s="1303">
        <f t="shared" si="429"/>
        <v>52889.589826500749</v>
      </c>
      <c r="Y41" s="1303">
        <f t="shared" si="429"/>
        <v>49514.927326500729</v>
      </c>
      <c r="Z41" s="1303">
        <f t="shared" si="429"/>
        <v>52889.589826500749</v>
      </c>
      <c r="AA41" s="1303">
        <f t="shared" si="429"/>
        <v>49514.927326500729</v>
      </c>
      <c r="AB41" s="1303">
        <f t="shared" si="429"/>
        <v>52889.589826500749</v>
      </c>
      <c r="AC41" s="1303">
        <f t="shared" si="429"/>
        <v>52889.589826500749</v>
      </c>
      <c r="AD41" s="1303">
        <f t="shared" si="429"/>
        <v>44649.41604318704</v>
      </c>
      <c r="AE41" s="1303">
        <f t="shared" si="429"/>
        <v>55534.069317825793</v>
      </c>
      <c r="AF41" s="1303">
        <f t="shared" si="429"/>
        <v>51990.673692825774</v>
      </c>
      <c r="AG41" s="1303">
        <f t="shared" si="429"/>
        <v>55534.069317825793</v>
      </c>
      <c r="AH41" s="1303">
        <f t="shared" si="429"/>
        <v>51990.673692825774</v>
      </c>
      <c r="AI41" s="1303">
        <f t="shared" si="429"/>
        <v>55534.069317825793</v>
      </c>
      <c r="AJ41" s="1303">
        <f t="shared" si="429"/>
        <v>55534.069317825793</v>
      </c>
      <c r="AK41" s="1303">
        <f t="shared" si="429"/>
        <v>51990.673692825774</v>
      </c>
      <c r="AL41" s="1303">
        <f t="shared" si="429"/>
        <v>55534.069317825793</v>
      </c>
      <c r="AM41" s="1303">
        <f t="shared" si="429"/>
        <v>51990.673692825774</v>
      </c>
      <c r="AN41" s="1303">
        <f t="shared" si="429"/>
        <v>55534.069317825793</v>
      </c>
      <c r="AO41" s="1303">
        <f t="shared" si="429"/>
        <v>55534.069317825793</v>
      </c>
      <c r="AP41" s="1303">
        <f t="shared" ref="AP41:BM41" si="430">AP25-AP39</f>
        <v>46881.886845346402</v>
      </c>
      <c r="AQ41" s="1303">
        <f t="shared" si="430"/>
        <v>58310.77278371709</v>
      </c>
      <c r="AR41" s="1303">
        <f t="shared" si="430"/>
        <v>54590.207377467079</v>
      </c>
      <c r="AS41" s="1303">
        <f t="shared" si="430"/>
        <v>58310.77278371709</v>
      </c>
      <c r="AT41" s="1303">
        <f t="shared" si="430"/>
        <v>54590.207377467079</v>
      </c>
      <c r="AU41" s="1303">
        <f t="shared" si="430"/>
        <v>58310.77278371709</v>
      </c>
      <c r="AV41" s="1303">
        <f t="shared" si="430"/>
        <v>58310.77278371709</v>
      </c>
      <c r="AW41" s="1303">
        <f t="shared" si="430"/>
        <v>54590.207377467079</v>
      </c>
      <c r="AX41" s="1303">
        <f t="shared" si="430"/>
        <v>58310.77278371709</v>
      </c>
      <c r="AY41" s="1303">
        <f t="shared" si="430"/>
        <v>54590.207377467079</v>
      </c>
      <c r="AZ41" s="1303">
        <f t="shared" si="430"/>
        <v>58310.77278371709</v>
      </c>
      <c r="BA41" s="1303">
        <f t="shared" si="430"/>
        <v>58310.77278371709</v>
      </c>
      <c r="BB41" s="1303">
        <f t="shared" si="430"/>
        <v>49225.981187613717</v>
      </c>
      <c r="BC41" s="1303">
        <f t="shared" si="430"/>
        <v>61226.311422902952</v>
      </c>
      <c r="BD41" s="1303">
        <f t="shared" si="430"/>
        <v>57319.717746340415</v>
      </c>
      <c r="BE41" s="1303">
        <f t="shared" si="430"/>
        <v>61226.311422902952</v>
      </c>
      <c r="BF41" s="1303">
        <f t="shared" si="430"/>
        <v>57319.717746340415</v>
      </c>
      <c r="BG41" s="1303">
        <f t="shared" si="430"/>
        <v>61226.311422902952</v>
      </c>
      <c r="BH41" s="1303">
        <f t="shared" si="430"/>
        <v>61226.311422902952</v>
      </c>
      <c r="BI41" s="1303">
        <f t="shared" si="430"/>
        <v>57319.717746340415</v>
      </c>
      <c r="BJ41" s="1303">
        <f t="shared" si="430"/>
        <v>61226.311422902952</v>
      </c>
      <c r="BK41" s="1303">
        <f t="shared" si="430"/>
        <v>57319.717746340415</v>
      </c>
      <c r="BL41" s="1303">
        <f t="shared" si="430"/>
        <v>61226.311422902952</v>
      </c>
      <c r="BM41" s="1303">
        <f t="shared" si="430"/>
        <v>61226.311422902952</v>
      </c>
      <c r="BN41" s="1303">
        <f t="shared" ref="BN41:DU41" si="431">BN25-BN39</f>
        <v>55789.203607385032</v>
      </c>
      <c r="BO41" s="1303">
        <f t="shared" si="431"/>
        <v>64287.626994048085</v>
      </c>
      <c r="BP41" s="1303">
        <f t="shared" si="431"/>
        <v>60185.703633657438</v>
      </c>
      <c r="BQ41" s="1303">
        <f t="shared" si="431"/>
        <v>64287.626994048085</v>
      </c>
      <c r="BR41" s="1303">
        <f t="shared" si="431"/>
        <v>60185.703633657438</v>
      </c>
      <c r="BS41" s="1303">
        <f t="shared" si="431"/>
        <v>64287.626994048085</v>
      </c>
      <c r="BT41" s="1303">
        <f t="shared" si="431"/>
        <v>64287.626994048085</v>
      </c>
      <c r="BU41" s="1303">
        <f t="shared" si="431"/>
        <v>60185.703633657438</v>
      </c>
      <c r="BV41" s="1303">
        <f t="shared" si="431"/>
        <v>64287.626994048085</v>
      </c>
      <c r="BW41" s="1303">
        <f t="shared" si="431"/>
        <v>60185.703633657438</v>
      </c>
      <c r="BX41" s="1303">
        <f t="shared" si="431"/>
        <v>64287.626994048085</v>
      </c>
      <c r="BY41" s="1303">
        <f t="shared" si="431"/>
        <v>64287.626994048085</v>
      </c>
      <c r="BZ41" s="1303">
        <f t="shared" si="431"/>
        <v>54271.644259344132</v>
      </c>
      <c r="CA41" s="1303">
        <f t="shared" si="431"/>
        <v>67502.008343750495</v>
      </c>
      <c r="CB41" s="1303">
        <f t="shared" si="431"/>
        <v>63194.98881534033</v>
      </c>
      <c r="CC41" s="1303">
        <f t="shared" si="431"/>
        <v>67502.008343750495</v>
      </c>
      <c r="CD41" s="1303">
        <f t="shared" si="431"/>
        <v>63194.98881534033</v>
      </c>
      <c r="CE41" s="1303">
        <f t="shared" si="431"/>
        <v>67502.008343750495</v>
      </c>
      <c r="CF41" s="1303">
        <f t="shared" si="431"/>
        <v>67502.008343750495</v>
      </c>
      <c r="CG41" s="1303">
        <f t="shared" si="431"/>
        <v>63194.98881534033</v>
      </c>
      <c r="CH41" s="1303">
        <f t="shared" si="431"/>
        <v>67502.008343750495</v>
      </c>
      <c r="CI41" s="1303">
        <f t="shared" si="431"/>
        <v>63194.98881534033</v>
      </c>
      <c r="CJ41" s="1303">
        <f t="shared" si="431"/>
        <v>67502.008343750495</v>
      </c>
      <c r="CK41" s="1303">
        <f t="shared" si="431"/>
        <v>67502.008343750495</v>
      </c>
      <c r="CL41" s="1303">
        <f t="shared" si="431"/>
        <v>56985.226472311319</v>
      </c>
      <c r="CM41" s="1303">
        <f t="shared" si="431"/>
        <v>70877.108760938019</v>
      </c>
      <c r="CN41" s="1303">
        <f t="shared" si="431"/>
        <v>66354.738256107317</v>
      </c>
      <c r="CO41" s="1303">
        <f t="shared" si="431"/>
        <v>70877.108760938019</v>
      </c>
      <c r="CP41" s="1303">
        <f t="shared" si="431"/>
        <v>66354.738256107317</v>
      </c>
      <c r="CQ41" s="1303">
        <f t="shared" si="431"/>
        <v>70877.108760938019</v>
      </c>
      <c r="CR41" s="1303">
        <f t="shared" si="431"/>
        <v>70877.108760938019</v>
      </c>
      <c r="CS41" s="1303">
        <f t="shared" si="431"/>
        <v>66354.738256107317</v>
      </c>
      <c r="CT41" s="1303">
        <f t="shared" si="431"/>
        <v>70877.108760938019</v>
      </c>
      <c r="CU41" s="1303">
        <f t="shared" si="431"/>
        <v>66354.738256107317</v>
      </c>
      <c r="CV41" s="1303">
        <f t="shared" si="431"/>
        <v>70877.108760938019</v>
      </c>
      <c r="CW41" s="1303">
        <f t="shared" si="431"/>
        <v>70877.108760938019</v>
      </c>
      <c r="CX41" s="1303">
        <f t="shared" si="431"/>
        <v>59834.487795926922</v>
      </c>
      <c r="CY41" s="1303">
        <f t="shared" si="431"/>
        <v>74420.964198984933</v>
      </c>
      <c r="CZ41" s="1303">
        <f t="shared" si="431"/>
        <v>69672.475168912701</v>
      </c>
      <c r="DA41" s="1303">
        <f t="shared" si="431"/>
        <v>74420.964198984933</v>
      </c>
      <c r="DB41" s="1303">
        <f t="shared" si="431"/>
        <v>69672.475168912701</v>
      </c>
      <c r="DC41" s="1303">
        <f t="shared" si="431"/>
        <v>74420.964198984933</v>
      </c>
      <c r="DD41" s="1303">
        <f t="shared" si="431"/>
        <v>74420.964198984933</v>
      </c>
      <c r="DE41" s="1303">
        <f t="shared" si="431"/>
        <v>69672.475168912701</v>
      </c>
      <c r="DF41" s="1303">
        <f t="shared" si="431"/>
        <v>74420.964198984933</v>
      </c>
      <c r="DG41" s="1303">
        <f t="shared" si="431"/>
        <v>69672.475168912701</v>
      </c>
      <c r="DH41" s="1303">
        <f t="shared" si="431"/>
        <v>74420.964198984933</v>
      </c>
      <c r="DI41" s="1303">
        <f t="shared" si="431"/>
        <v>74420.964198984933</v>
      </c>
      <c r="DJ41" s="1303">
        <f t="shared" si="431"/>
        <v>67812.125667299086</v>
      </c>
      <c r="DK41" s="1303">
        <f t="shared" si="431"/>
        <v>78142.012408934184</v>
      </c>
      <c r="DL41" s="1303">
        <f t="shared" si="431"/>
        <v>73156.09892735834</v>
      </c>
      <c r="DM41" s="1303">
        <f t="shared" si="431"/>
        <v>78142.012408934184</v>
      </c>
      <c r="DN41" s="1303">
        <f t="shared" si="431"/>
        <v>73156.09892735834</v>
      </c>
      <c r="DO41" s="1303">
        <f t="shared" si="431"/>
        <v>78142.012408934184</v>
      </c>
      <c r="DP41" s="1303">
        <f t="shared" si="431"/>
        <v>78142.012408934184</v>
      </c>
      <c r="DQ41" s="1303">
        <f t="shared" si="431"/>
        <v>73156.09892735834</v>
      </c>
      <c r="DR41" s="1303">
        <f t="shared" si="431"/>
        <v>78142.012408934184</v>
      </c>
      <c r="DS41" s="1303">
        <f t="shared" si="431"/>
        <v>73156.09892735834</v>
      </c>
      <c r="DT41" s="1303">
        <f t="shared" si="431"/>
        <v>78142.012408934184</v>
      </c>
      <c r="DU41" s="1304">
        <f t="shared" si="431"/>
        <v>78142.012408934184</v>
      </c>
      <c r="DV41" s="1304"/>
      <c r="DW41" s="1254">
        <f t="shared" si="428"/>
        <v>8644.0776941387157</v>
      </c>
      <c r="DX41" s="1255">
        <f t="shared" si="428"/>
        <v>130058.59734815668</v>
      </c>
      <c r="DY41" s="1256">
        <f t="shared" si="428"/>
        <v>142511.52620540379</v>
      </c>
      <c r="DZ41" s="1256">
        <f t="shared" si="428"/>
        <v>147270.42001643075</v>
      </c>
      <c r="EA41" s="1257">
        <f t="shared" ref="EA41:ED41" si="432">EA25-EA39</f>
        <v>147561.26338527311</v>
      </c>
      <c r="EB41" s="1258">
        <f t="shared" si="432"/>
        <v>576045.88464940281</v>
      </c>
      <c r="EC41" s="1259">
        <f t="shared" si="432"/>
        <v>614184.75396597176</v>
      </c>
      <c r="ED41" s="1260">
        <f t="shared" si="432"/>
        <v>641350.59603927063</v>
      </c>
      <c r="EE41" s="1261">
        <f>EE25-EE39</f>
        <v>1831581.234654645</v>
      </c>
      <c r="EF41" s="1259">
        <f t="shared" ref="EF41:EG41" si="433">EF25-EF39</f>
        <v>673418.12584123434</v>
      </c>
      <c r="EG41" s="1260">
        <f t="shared" si="433"/>
        <v>707089.03213329636</v>
      </c>
      <c r="EH41" s="1261">
        <f>EH25-EH39</f>
        <v>3212088.3926291768</v>
      </c>
      <c r="EJ41" s="160">
        <f t="shared" si="347"/>
        <v>746545.40710035141</v>
      </c>
      <c r="EK41" s="161">
        <f t="shared" si="348"/>
        <v>779565.65792695887</v>
      </c>
      <c r="EL41" s="636">
        <f t="shared" si="349"/>
        <v>818543.94082330691</v>
      </c>
      <c r="EM41" s="636">
        <f t="shared" si="350"/>
        <v>859471.137864472</v>
      </c>
      <c r="EN41" s="162">
        <f t="shared" si="351"/>
        <v>907430.60823927168</v>
      </c>
      <c r="EO41" s="159">
        <f t="shared" si="352"/>
        <v>7323645.1445835382</v>
      </c>
    </row>
    <row r="42" spans="2:147" x14ac:dyDescent="0.3">
      <c r="B42" s="604" t="s">
        <v>141</v>
      </c>
      <c r="C42" s="3"/>
      <c r="D42" s="3"/>
      <c r="E42" s="4">
        <f t="shared" ref="E42" si="434">IF(ISERROR(E41/E$25),"",(E41/E$25))</f>
        <v>0.11422746435067035</v>
      </c>
      <c r="F42" s="3">
        <f t="shared" ref="F42:DZ42" si="435">IF(ISERROR(F41/F$25),"",(F41/F$25))</f>
        <v>0.42249808263958266</v>
      </c>
      <c r="G42" s="3">
        <f t="shared" si="435"/>
        <v>0.47132432056036777</v>
      </c>
      <c r="H42" s="3">
        <f t="shared" si="435"/>
        <v>0.45403513124571337</v>
      </c>
      <c r="I42" s="3">
        <f t="shared" si="435"/>
        <v>0.47360306875996211</v>
      </c>
      <c r="J42" s="3">
        <f t="shared" si="435"/>
        <v>0.45883231614934156</v>
      </c>
      <c r="K42" s="3">
        <f t="shared" si="435"/>
        <v>0.49842823384554225</v>
      </c>
      <c r="L42" s="3">
        <f t="shared" si="435"/>
        <v>0.49842823384554225</v>
      </c>
      <c r="M42" s="3">
        <f t="shared" ref="M42:AO42" si="436">IF(ISERROR(M41/M$25),"",(M41/M$25))</f>
        <v>0.48204250830706036</v>
      </c>
      <c r="N42" s="3">
        <f t="shared" si="436"/>
        <v>0.49842823384554225</v>
      </c>
      <c r="O42" s="3">
        <f t="shared" si="436"/>
        <v>0.48204250830706036</v>
      </c>
      <c r="P42" s="3">
        <f t="shared" si="436"/>
        <v>0.49987321314352778</v>
      </c>
      <c r="Q42" s="3">
        <f t="shared" si="436"/>
        <v>0.49987321314352778</v>
      </c>
      <c r="R42" s="3">
        <f t="shared" si="436"/>
        <v>0.46430121138008262</v>
      </c>
      <c r="S42" s="3">
        <f t="shared" si="436"/>
        <v>0.50051068598602499</v>
      </c>
      <c r="T42" s="3">
        <f t="shared" si="436"/>
        <v>0.48419437551889233</v>
      </c>
      <c r="U42" s="3">
        <f t="shared" si="436"/>
        <v>0.50051068598602499</v>
      </c>
      <c r="V42" s="3">
        <f t="shared" si="436"/>
        <v>0.48419437551889233</v>
      </c>
      <c r="W42" s="3">
        <f t="shared" si="436"/>
        <v>0.50051068598602499</v>
      </c>
      <c r="X42" s="3">
        <f t="shared" si="436"/>
        <v>0.50051068598602499</v>
      </c>
      <c r="Y42" s="3">
        <f t="shared" si="436"/>
        <v>0.48419437551889233</v>
      </c>
      <c r="Z42" s="3">
        <f t="shared" si="436"/>
        <v>0.50051068598602499</v>
      </c>
      <c r="AA42" s="3">
        <f t="shared" si="436"/>
        <v>0.48419437551889233</v>
      </c>
      <c r="AB42" s="3">
        <f t="shared" si="436"/>
        <v>0.50051068598602499</v>
      </c>
      <c r="AC42" s="3">
        <f t="shared" si="436"/>
        <v>0.50051068598602499</v>
      </c>
      <c r="AD42" s="3">
        <f t="shared" si="436"/>
        <v>0.44552625464365697</v>
      </c>
      <c r="AE42" s="3">
        <f t="shared" si="436"/>
        <v>0.50051068598602499</v>
      </c>
      <c r="AF42" s="3">
        <f t="shared" si="436"/>
        <v>0.48419437551889238</v>
      </c>
      <c r="AG42" s="3">
        <f t="shared" si="436"/>
        <v>0.50051068598602499</v>
      </c>
      <c r="AH42" s="3">
        <f t="shared" si="436"/>
        <v>0.48419437551889238</v>
      </c>
      <c r="AI42" s="3">
        <f t="shared" si="436"/>
        <v>0.50051068598602499</v>
      </c>
      <c r="AJ42" s="3">
        <f t="shared" si="436"/>
        <v>0.50051068598602499</v>
      </c>
      <c r="AK42" s="3">
        <f t="shared" si="436"/>
        <v>0.48419437551889238</v>
      </c>
      <c r="AL42" s="3">
        <f t="shared" si="436"/>
        <v>0.50051068598602499</v>
      </c>
      <c r="AM42" s="3">
        <f t="shared" si="436"/>
        <v>0.48419437551889238</v>
      </c>
      <c r="AN42" s="3">
        <f t="shared" si="436"/>
        <v>0.50051068598602499</v>
      </c>
      <c r="AO42" s="3">
        <f t="shared" si="436"/>
        <v>0.50051068598602499</v>
      </c>
      <c r="AP42" s="3">
        <f t="shared" ref="AP42:BM42" si="437">IF(ISERROR(AP41/AP$25),"",(AP41/AP$25))</f>
        <v>0.44552625464365708</v>
      </c>
      <c r="AQ42" s="3">
        <f t="shared" si="437"/>
        <v>0.50051068598602499</v>
      </c>
      <c r="AR42" s="3">
        <f t="shared" si="437"/>
        <v>0.48419437551889244</v>
      </c>
      <c r="AS42" s="3">
        <f t="shared" si="437"/>
        <v>0.50051068598602499</v>
      </c>
      <c r="AT42" s="3">
        <f t="shared" si="437"/>
        <v>0.48419437551889244</v>
      </c>
      <c r="AU42" s="3">
        <f t="shared" si="437"/>
        <v>0.50051068598602499</v>
      </c>
      <c r="AV42" s="3">
        <f t="shared" si="437"/>
        <v>0.50051068598602499</v>
      </c>
      <c r="AW42" s="3">
        <f t="shared" si="437"/>
        <v>0.48419437551889244</v>
      </c>
      <c r="AX42" s="3">
        <f t="shared" si="437"/>
        <v>0.50051068598602499</v>
      </c>
      <c r="AY42" s="3">
        <f t="shared" si="437"/>
        <v>0.48419437551889244</v>
      </c>
      <c r="AZ42" s="3">
        <f t="shared" si="437"/>
        <v>0.50051068598602499</v>
      </c>
      <c r="BA42" s="3">
        <f t="shared" si="437"/>
        <v>0.50051068598602499</v>
      </c>
      <c r="BB42" s="3">
        <f t="shared" si="437"/>
        <v>0.44552625464365703</v>
      </c>
      <c r="BC42" s="3">
        <f t="shared" si="437"/>
        <v>0.50051068598602499</v>
      </c>
      <c r="BD42" s="3">
        <f t="shared" si="437"/>
        <v>0.48419437551889233</v>
      </c>
      <c r="BE42" s="3">
        <f t="shared" si="437"/>
        <v>0.50051068598602499</v>
      </c>
      <c r="BF42" s="3">
        <f t="shared" si="437"/>
        <v>0.48419437551889233</v>
      </c>
      <c r="BG42" s="3">
        <f t="shared" si="437"/>
        <v>0.50051068598602499</v>
      </c>
      <c r="BH42" s="3">
        <f t="shared" si="437"/>
        <v>0.50051068598602499</v>
      </c>
      <c r="BI42" s="3">
        <f t="shared" si="437"/>
        <v>0.48419437551889233</v>
      </c>
      <c r="BJ42" s="3">
        <f t="shared" si="437"/>
        <v>0.50051068598602499</v>
      </c>
      <c r="BK42" s="3">
        <f t="shared" si="437"/>
        <v>0.48419437551889233</v>
      </c>
      <c r="BL42" s="3">
        <f t="shared" si="437"/>
        <v>0.50051068598602499</v>
      </c>
      <c r="BM42" s="3">
        <f t="shared" si="437"/>
        <v>0.50051068598602499</v>
      </c>
      <c r="BN42" s="3">
        <f t="shared" ref="BN42:DU42" si="438">IF(ISERROR(BN41/BN$25),"",(BN41/BN$25))</f>
        <v>0.46430121138008262</v>
      </c>
      <c r="BO42" s="3">
        <f t="shared" si="438"/>
        <v>0.50051068598602488</v>
      </c>
      <c r="BP42" s="3">
        <f t="shared" si="438"/>
        <v>0.48419437551889233</v>
      </c>
      <c r="BQ42" s="3">
        <f t="shared" si="438"/>
        <v>0.50051068598602488</v>
      </c>
      <c r="BR42" s="3">
        <f t="shared" si="438"/>
        <v>0.48419437551889233</v>
      </c>
      <c r="BS42" s="3">
        <f t="shared" si="438"/>
        <v>0.50051068598602488</v>
      </c>
      <c r="BT42" s="3">
        <f t="shared" si="438"/>
        <v>0.50051068598602488</v>
      </c>
      <c r="BU42" s="3">
        <f t="shared" si="438"/>
        <v>0.48419437551889233</v>
      </c>
      <c r="BV42" s="3">
        <f t="shared" si="438"/>
        <v>0.50051068598602488</v>
      </c>
      <c r="BW42" s="3">
        <f t="shared" si="438"/>
        <v>0.48419437551889233</v>
      </c>
      <c r="BX42" s="3">
        <f t="shared" si="438"/>
        <v>0.50051068598602488</v>
      </c>
      <c r="BY42" s="3">
        <f t="shared" si="438"/>
        <v>0.50051068598602488</v>
      </c>
      <c r="BZ42" s="3">
        <f t="shared" si="438"/>
        <v>0.44552625464365703</v>
      </c>
      <c r="CA42" s="3">
        <f t="shared" si="438"/>
        <v>0.50051068598602488</v>
      </c>
      <c r="CB42" s="3">
        <f t="shared" si="438"/>
        <v>0.48419437551889244</v>
      </c>
      <c r="CC42" s="3">
        <f t="shared" si="438"/>
        <v>0.50051068598602488</v>
      </c>
      <c r="CD42" s="3">
        <f t="shared" si="438"/>
        <v>0.48419437551889244</v>
      </c>
      <c r="CE42" s="3">
        <f t="shared" si="438"/>
        <v>0.50051068598602488</v>
      </c>
      <c r="CF42" s="3">
        <f t="shared" si="438"/>
        <v>0.50051068598602488</v>
      </c>
      <c r="CG42" s="3">
        <f t="shared" si="438"/>
        <v>0.48419437551889244</v>
      </c>
      <c r="CH42" s="3">
        <f t="shared" si="438"/>
        <v>0.50051068598602488</v>
      </c>
      <c r="CI42" s="3">
        <f t="shared" si="438"/>
        <v>0.48419437551889244</v>
      </c>
      <c r="CJ42" s="3">
        <f t="shared" si="438"/>
        <v>0.50051068598602488</v>
      </c>
      <c r="CK42" s="3">
        <f t="shared" si="438"/>
        <v>0.50051068598602488</v>
      </c>
      <c r="CL42" s="3">
        <f t="shared" si="438"/>
        <v>0.44552625464365686</v>
      </c>
      <c r="CM42" s="3">
        <f t="shared" si="438"/>
        <v>0.50051068598602488</v>
      </c>
      <c r="CN42" s="3">
        <f t="shared" si="438"/>
        <v>0.48419437551889222</v>
      </c>
      <c r="CO42" s="3">
        <f t="shared" si="438"/>
        <v>0.50051068598602488</v>
      </c>
      <c r="CP42" s="3">
        <f t="shared" si="438"/>
        <v>0.48419437551889222</v>
      </c>
      <c r="CQ42" s="3">
        <f t="shared" si="438"/>
        <v>0.50051068598602488</v>
      </c>
      <c r="CR42" s="3">
        <f t="shared" si="438"/>
        <v>0.50051068598602488</v>
      </c>
      <c r="CS42" s="3">
        <f t="shared" si="438"/>
        <v>0.48419437551889222</v>
      </c>
      <c r="CT42" s="3">
        <f t="shared" si="438"/>
        <v>0.50051068598602488</v>
      </c>
      <c r="CU42" s="3">
        <f t="shared" si="438"/>
        <v>0.48419437551889222</v>
      </c>
      <c r="CV42" s="3">
        <f t="shared" si="438"/>
        <v>0.50051068598602488</v>
      </c>
      <c r="CW42" s="3">
        <f t="shared" si="438"/>
        <v>0.50051068598602488</v>
      </c>
      <c r="CX42" s="3">
        <f t="shared" si="438"/>
        <v>0.44552625464365714</v>
      </c>
      <c r="CY42" s="3">
        <f t="shared" si="438"/>
        <v>0.50051068598602499</v>
      </c>
      <c r="CZ42" s="3">
        <f t="shared" si="438"/>
        <v>0.48419437551889233</v>
      </c>
      <c r="DA42" s="3">
        <f t="shared" si="438"/>
        <v>0.50051068598602499</v>
      </c>
      <c r="DB42" s="3">
        <f t="shared" si="438"/>
        <v>0.48419437551889233</v>
      </c>
      <c r="DC42" s="3">
        <f t="shared" si="438"/>
        <v>0.50051068598602499</v>
      </c>
      <c r="DD42" s="3">
        <f t="shared" si="438"/>
        <v>0.50051068598602499</v>
      </c>
      <c r="DE42" s="3">
        <f t="shared" si="438"/>
        <v>0.48419437551889233</v>
      </c>
      <c r="DF42" s="3">
        <f t="shared" si="438"/>
        <v>0.50051068598602499</v>
      </c>
      <c r="DG42" s="3">
        <f t="shared" si="438"/>
        <v>0.48419437551889233</v>
      </c>
      <c r="DH42" s="3">
        <f t="shared" si="438"/>
        <v>0.50051068598602499</v>
      </c>
      <c r="DI42" s="3">
        <f t="shared" si="438"/>
        <v>0.50051068598602499</v>
      </c>
      <c r="DJ42" s="3">
        <f t="shared" si="438"/>
        <v>0.46430121138008268</v>
      </c>
      <c r="DK42" s="3">
        <f t="shared" si="438"/>
        <v>0.50051068598602499</v>
      </c>
      <c r="DL42" s="3">
        <f t="shared" si="438"/>
        <v>0.48419437551889227</v>
      </c>
      <c r="DM42" s="3">
        <f t="shared" si="438"/>
        <v>0.50051068598602499</v>
      </c>
      <c r="DN42" s="3">
        <f t="shared" si="438"/>
        <v>0.48419437551889227</v>
      </c>
      <c r="DO42" s="3">
        <f t="shared" si="438"/>
        <v>0.50051068598602499</v>
      </c>
      <c r="DP42" s="3">
        <f t="shared" si="438"/>
        <v>0.50051068598602499</v>
      </c>
      <c r="DQ42" s="3">
        <f t="shared" si="438"/>
        <v>0.48419437551889227</v>
      </c>
      <c r="DR42" s="3">
        <f t="shared" si="438"/>
        <v>0.50051068598602499</v>
      </c>
      <c r="DS42" s="3">
        <f t="shared" si="438"/>
        <v>0.48419437551889227</v>
      </c>
      <c r="DT42" s="3">
        <f t="shared" si="438"/>
        <v>0.50051068598602499</v>
      </c>
      <c r="DU42" s="155">
        <f t="shared" si="438"/>
        <v>0.50051068598602499</v>
      </c>
      <c r="DV42" s="155"/>
      <c r="DW42" s="155">
        <f t="shared" si="435"/>
        <v>0.11422746435067035</v>
      </c>
      <c r="DX42" s="4">
        <f t="shared" si="435"/>
        <v>0.45013544032192265</v>
      </c>
      <c r="DY42" s="3">
        <f t="shared" si="435"/>
        <v>0.47715152027446622</v>
      </c>
      <c r="DZ42" s="3">
        <f t="shared" si="435"/>
        <v>0.49308506247429823</v>
      </c>
      <c r="EA42" s="155">
        <f t="shared" ref="EA42:ED42" si="439">IF(ISERROR(EA41/EA$25),"",(EA41/EA$25))</f>
        <v>0.49405885287076662</v>
      </c>
      <c r="EB42" s="4">
        <f t="shared" si="439"/>
        <v>0.45695417697113649</v>
      </c>
      <c r="EC42" s="3">
        <f t="shared" si="439"/>
        <v>0.49229201926572907</v>
      </c>
      <c r="ED42" s="155">
        <f t="shared" si="439"/>
        <v>0.49092843575686818</v>
      </c>
      <c r="EE42" s="144">
        <f>IF(ISERROR(EE41/EE$25),"",(EE41/EE$25))</f>
        <v>0.4801469236695402</v>
      </c>
      <c r="EF42" s="3">
        <f t="shared" ref="EF42:EG42" si="440">IF(ISERROR(EF41/EF$25),"",(EF41/EF$25))</f>
        <v>0.49092843575686823</v>
      </c>
      <c r="EG42" s="155">
        <f t="shared" si="440"/>
        <v>0.4909284357568684</v>
      </c>
      <c r="EH42" s="144">
        <f>IF(ISERROR(EH41/EH$25),"",(EH41/EH$25))</f>
        <v>0.48472207495445502</v>
      </c>
      <c r="EJ42" s="4">
        <f t="shared" ref="EJ42:EN42" si="441">IF(ISERROR(EJ41/EJ$25),"",(EJ41/EJ$25))</f>
        <v>0.4922920192657293</v>
      </c>
      <c r="EK42" s="3">
        <f t="shared" si="441"/>
        <v>0.49092843575686818</v>
      </c>
      <c r="EL42" s="3">
        <f t="shared" si="441"/>
        <v>0.49092843575686812</v>
      </c>
      <c r="EM42" s="3">
        <f t="shared" si="441"/>
        <v>0.49092843575686795</v>
      </c>
      <c r="EN42" s="155">
        <f t="shared" si="441"/>
        <v>0.49229201926572919</v>
      </c>
      <c r="EO42" s="144">
        <f t="shared" ref="EO42" si="442">IF(ISERROR(EO41/EO$25),"",(EO41/EO$25))</f>
        <v>0.48849078935798779</v>
      </c>
    </row>
    <row r="43" spans="2:147" x14ac:dyDescent="0.3">
      <c r="B43" s="605"/>
      <c r="C43" s="5"/>
      <c r="D43" s="5"/>
      <c r="E43" s="6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156"/>
      <c r="DV43" s="156"/>
      <c r="DW43" s="156"/>
      <c r="DX43" s="6"/>
      <c r="DY43" s="5"/>
      <c r="DZ43" s="5"/>
      <c r="EA43" s="156"/>
      <c r="EB43" s="6"/>
      <c r="EC43" s="5"/>
      <c r="ED43" s="156"/>
      <c r="EE43" s="145"/>
      <c r="EF43" s="5"/>
      <c r="EG43" s="156"/>
      <c r="EH43" s="145"/>
      <c r="EJ43" s="6"/>
      <c r="EK43" s="5"/>
      <c r="EL43" s="5"/>
      <c r="EM43" s="5"/>
      <c r="EN43" s="156"/>
      <c r="EO43" s="145"/>
    </row>
    <row r="44" spans="2:147" x14ac:dyDescent="0.3">
      <c r="B44" s="599" t="s">
        <v>21</v>
      </c>
      <c r="C44" s="29"/>
      <c r="D44" s="29"/>
      <c r="E44" s="1282">
        <f>((E106*E164)*12/52*E4)/E5</f>
        <v>3447.452914655596</v>
      </c>
      <c r="F44" s="1305">
        <f t="shared" ref="F44:AK44" si="443">(F106*F164)/F5</f>
        <v>3174.0873884509083</v>
      </c>
      <c r="G44" s="1305">
        <f t="shared" si="443"/>
        <v>3201.7641359256559</v>
      </c>
      <c r="H44" s="1305">
        <f t="shared" si="443"/>
        <v>3201.7641359256559</v>
      </c>
      <c r="I44" s="1305">
        <f t="shared" si="443"/>
        <v>3201.7641359256559</v>
      </c>
      <c r="J44" s="1305">
        <f t="shared" si="443"/>
        <v>3171.8433278448479</v>
      </c>
      <c r="K44" s="1305">
        <f t="shared" si="443"/>
        <v>3129.3790656635883</v>
      </c>
      <c r="L44" s="1305">
        <f t="shared" si="443"/>
        <v>3129.3790656635883</v>
      </c>
      <c r="M44" s="1305">
        <f t="shared" si="443"/>
        <v>3129.3790656635883</v>
      </c>
      <c r="N44" s="1305">
        <f t="shared" si="443"/>
        <v>3129.3790656635883</v>
      </c>
      <c r="O44" s="1305">
        <f t="shared" si="443"/>
        <v>3129.3790656635883</v>
      </c>
      <c r="P44" s="1305">
        <f t="shared" si="443"/>
        <v>3114.4186616231837</v>
      </c>
      <c r="Q44" s="1305">
        <f t="shared" si="443"/>
        <v>3114.4186616231837</v>
      </c>
      <c r="R44" s="1305">
        <f t="shared" si="443"/>
        <v>3270.1395947043429</v>
      </c>
      <c r="S44" s="1305">
        <f t="shared" si="443"/>
        <v>3270.1395947043429</v>
      </c>
      <c r="T44" s="1305">
        <f t="shared" si="443"/>
        <v>3270.1395947043429</v>
      </c>
      <c r="U44" s="1305">
        <f t="shared" si="443"/>
        <v>3270.1395947043429</v>
      </c>
      <c r="V44" s="1305">
        <f t="shared" si="443"/>
        <v>3270.1395947043429</v>
      </c>
      <c r="W44" s="1305">
        <f t="shared" si="443"/>
        <v>3270.1395947043429</v>
      </c>
      <c r="X44" s="1305">
        <f t="shared" si="443"/>
        <v>3270.1395947043429</v>
      </c>
      <c r="Y44" s="1305">
        <f t="shared" si="443"/>
        <v>3270.1395947043429</v>
      </c>
      <c r="Z44" s="1305">
        <f t="shared" si="443"/>
        <v>3270.1395947043429</v>
      </c>
      <c r="AA44" s="1305">
        <f t="shared" si="443"/>
        <v>3270.1395947043429</v>
      </c>
      <c r="AB44" s="1305">
        <f t="shared" si="443"/>
        <v>3270.1395947043429</v>
      </c>
      <c r="AC44" s="1305">
        <f t="shared" si="443"/>
        <v>3270.1395947043429</v>
      </c>
      <c r="AD44" s="1305">
        <f t="shared" si="443"/>
        <v>3433.6465744395605</v>
      </c>
      <c r="AE44" s="1305">
        <f t="shared" si="443"/>
        <v>3433.6465744395605</v>
      </c>
      <c r="AF44" s="1305">
        <f t="shared" si="443"/>
        <v>3433.6465744395605</v>
      </c>
      <c r="AG44" s="1305">
        <f t="shared" si="443"/>
        <v>3433.6465744395605</v>
      </c>
      <c r="AH44" s="1305">
        <f t="shared" si="443"/>
        <v>3433.6465744395605</v>
      </c>
      <c r="AI44" s="1305">
        <f t="shared" si="443"/>
        <v>3433.6465744395605</v>
      </c>
      <c r="AJ44" s="1305">
        <f t="shared" si="443"/>
        <v>3433.6465744395605</v>
      </c>
      <c r="AK44" s="1305">
        <f t="shared" si="443"/>
        <v>3433.6465744395605</v>
      </c>
      <c r="AL44" s="1305">
        <f t="shared" ref="AL44:BQ44" si="444">(AL106*AL164)/AL5</f>
        <v>3433.6465744395605</v>
      </c>
      <c r="AM44" s="1305">
        <f t="shared" si="444"/>
        <v>3433.6465744395605</v>
      </c>
      <c r="AN44" s="1305">
        <f t="shared" si="444"/>
        <v>3433.6465744395605</v>
      </c>
      <c r="AO44" s="1305">
        <f t="shared" si="444"/>
        <v>3433.6465744395605</v>
      </c>
      <c r="AP44" s="1305">
        <f t="shared" si="444"/>
        <v>3605.3289031615382</v>
      </c>
      <c r="AQ44" s="1305">
        <f t="shared" si="444"/>
        <v>3605.3289031615382</v>
      </c>
      <c r="AR44" s="1305">
        <f t="shared" si="444"/>
        <v>3605.3289031615382</v>
      </c>
      <c r="AS44" s="1305">
        <f t="shared" si="444"/>
        <v>3605.3289031615382</v>
      </c>
      <c r="AT44" s="1305">
        <f t="shared" si="444"/>
        <v>3605.3289031615382</v>
      </c>
      <c r="AU44" s="1305">
        <f t="shared" si="444"/>
        <v>3605.3289031615382</v>
      </c>
      <c r="AV44" s="1305">
        <f t="shared" si="444"/>
        <v>3605.3289031615382</v>
      </c>
      <c r="AW44" s="1305">
        <f t="shared" si="444"/>
        <v>3605.3289031615382</v>
      </c>
      <c r="AX44" s="1305">
        <f t="shared" si="444"/>
        <v>3605.3289031615382</v>
      </c>
      <c r="AY44" s="1305">
        <f t="shared" si="444"/>
        <v>3605.3289031615382</v>
      </c>
      <c r="AZ44" s="1305">
        <f t="shared" si="444"/>
        <v>3605.3289031615382</v>
      </c>
      <c r="BA44" s="1305">
        <f t="shared" si="444"/>
        <v>3605.3289031615382</v>
      </c>
      <c r="BB44" s="1305">
        <f t="shared" si="444"/>
        <v>3785.5953483196158</v>
      </c>
      <c r="BC44" s="1305">
        <f t="shared" si="444"/>
        <v>3785.5953483196158</v>
      </c>
      <c r="BD44" s="1305">
        <f t="shared" si="444"/>
        <v>3785.5953483196158</v>
      </c>
      <c r="BE44" s="1305">
        <f t="shared" si="444"/>
        <v>3785.5953483196158</v>
      </c>
      <c r="BF44" s="1305">
        <f t="shared" si="444"/>
        <v>3785.5953483196158</v>
      </c>
      <c r="BG44" s="1305">
        <f t="shared" si="444"/>
        <v>3785.5953483196158</v>
      </c>
      <c r="BH44" s="1305">
        <f t="shared" si="444"/>
        <v>3785.5953483196158</v>
      </c>
      <c r="BI44" s="1305">
        <f t="shared" si="444"/>
        <v>3785.5953483196158</v>
      </c>
      <c r="BJ44" s="1305">
        <f t="shared" si="444"/>
        <v>3785.5953483196158</v>
      </c>
      <c r="BK44" s="1305">
        <f t="shared" si="444"/>
        <v>3785.5953483196158</v>
      </c>
      <c r="BL44" s="1305">
        <f t="shared" si="444"/>
        <v>3785.5953483196158</v>
      </c>
      <c r="BM44" s="1305">
        <f t="shared" si="444"/>
        <v>3785.5953483196158</v>
      </c>
      <c r="BN44" s="1305">
        <f t="shared" si="444"/>
        <v>3974.8751157355969</v>
      </c>
      <c r="BO44" s="1305">
        <f t="shared" si="444"/>
        <v>3974.8751157355969</v>
      </c>
      <c r="BP44" s="1305">
        <f t="shared" si="444"/>
        <v>3974.8751157355969</v>
      </c>
      <c r="BQ44" s="1305">
        <f t="shared" si="444"/>
        <v>3974.8751157355969</v>
      </c>
      <c r="BR44" s="1305">
        <f t="shared" ref="BR44:CW44" si="445">(BR106*BR164)/BR5</f>
        <v>3974.8751157355969</v>
      </c>
      <c r="BS44" s="1305">
        <f t="shared" si="445"/>
        <v>3974.8751157355969</v>
      </c>
      <c r="BT44" s="1305">
        <f t="shared" si="445"/>
        <v>3974.8751157355969</v>
      </c>
      <c r="BU44" s="1305">
        <f t="shared" si="445"/>
        <v>3974.8751157355969</v>
      </c>
      <c r="BV44" s="1305">
        <f t="shared" si="445"/>
        <v>3974.8751157355969</v>
      </c>
      <c r="BW44" s="1305">
        <f t="shared" si="445"/>
        <v>3974.8751157355969</v>
      </c>
      <c r="BX44" s="1305">
        <f t="shared" si="445"/>
        <v>3974.8751157355969</v>
      </c>
      <c r="BY44" s="1305">
        <f t="shared" si="445"/>
        <v>3974.8751157355969</v>
      </c>
      <c r="BZ44" s="1305">
        <f t="shared" si="445"/>
        <v>4173.618871522377</v>
      </c>
      <c r="CA44" s="1305">
        <f t="shared" si="445"/>
        <v>4173.618871522377</v>
      </c>
      <c r="CB44" s="1305">
        <f t="shared" si="445"/>
        <v>4173.618871522377</v>
      </c>
      <c r="CC44" s="1305">
        <f t="shared" si="445"/>
        <v>4173.618871522377</v>
      </c>
      <c r="CD44" s="1305">
        <f t="shared" si="445"/>
        <v>4173.618871522377</v>
      </c>
      <c r="CE44" s="1305">
        <f t="shared" si="445"/>
        <v>4173.618871522377</v>
      </c>
      <c r="CF44" s="1305">
        <f t="shared" si="445"/>
        <v>4173.618871522377</v>
      </c>
      <c r="CG44" s="1305">
        <f t="shared" si="445"/>
        <v>4173.618871522377</v>
      </c>
      <c r="CH44" s="1305">
        <f t="shared" si="445"/>
        <v>4173.618871522377</v>
      </c>
      <c r="CI44" s="1305">
        <f t="shared" si="445"/>
        <v>4173.618871522377</v>
      </c>
      <c r="CJ44" s="1305">
        <f t="shared" si="445"/>
        <v>4173.618871522377</v>
      </c>
      <c r="CK44" s="1305">
        <f t="shared" si="445"/>
        <v>4173.618871522377</v>
      </c>
      <c r="CL44" s="1305">
        <f t="shared" si="445"/>
        <v>4382.2998150984959</v>
      </c>
      <c r="CM44" s="1305">
        <f t="shared" si="445"/>
        <v>4382.2998150984959</v>
      </c>
      <c r="CN44" s="1305">
        <f t="shared" si="445"/>
        <v>4382.2998150984959</v>
      </c>
      <c r="CO44" s="1305">
        <f t="shared" si="445"/>
        <v>4382.2998150984959</v>
      </c>
      <c r="CP44" s="1305">
        <f t="shared" si="445"/>
        <v>4382.2998150984959</v>
      </c>
      <c r="CQ44" s="1305">
        <f t="shared" si="445"/>
        <v>4382.2998150984959</v>
      </c>
      <c r="CR44" s="1305">
        <f t="shared" si="445"/>
        <v>4382.2998150984959</v>
      </c>
      <c r="CS44" s="1305">
        <f t="shared" si="445"/>
        <v>4382.2998150984959</v>
      </c>
      <c r="CT44" s="1305">
        <f t="shared" si="445"/>
        <v>4382.2998150984959</v>
      </c>
      <c r="CU44" s="1305">
        <f t="shared" si="445"/>
        <v>4382.2998150984959</v>
      </c>
      <c r="CV44" s="1305">
        <f t="shared" si="445"/>
        <v>4382.2998150984959</v>
      </c>
      <c r="CW44" s="1305">
        <f t="shared" si="445"/>
        <v>4382.2998150984959</v>
      </c>
      <c r="CX44" s="1305">
        <f t="shared" ref="CX44:DU44" si="446">(CX106*CX164)/CX5</f>
        <v>4601.4148058534201</v>
      </c>
      <c r="CY44" s="1305">
        <f t="shared" si="446"/>
        <v>4601.4148058534201</v>
      </c>
      <c r="CZ44" s="1305">
        <f t="shared" si="446"/>
        <v>4601.4148058534201</v>
      </c>
      <c r="DA44" s="1305">
        <f t="shared" si="446"/>
        <v>4601.4148058534201</v>
      </c>
      <c r="DB44" s="1305">
        <f t="shared" si="446"/>
        <v>4601.4148058534201</v>
      </c>
      <c r="DC44" s="1305">
        <f t="shared" si="446"/>
        <v>4601.4148058534201</v>
      </c>
      <c r="DD44" s="1305">
        <f t="shared" si="446"/>
        <v>4601.4148058534201</v>
      </c>
      <c r="DE44" s="1305">
        <f t="shared" si="446"/>
        <v>4601.4148058534201</v>
      </c>
      <c r="DF44" s="1305">
        <f t="shared" si="446"/>
        <v>4601.4148058534201</v>
      </c>
      <c r="DG44" s="1305">
        <f t="shared" si="446"/>
        <v>4601.4148058534201</v>
      </c>
      <c r="DH44" s="1305">
        <f t="shared" si="446"/>
        <v>4601.4148058534201</v>
      </c>
      <c r="DI44" s="1305">
        <f t="shared" si="446"/>
        <v>4601.4148058534201</v>
      </c>
      <c r="DJ44" s="1305">
        <f t="shared" si="446"/>
        <v>4831.4855461460911</v>
      </c>
      <c r="DK44" s="1305">
        <f t="shared" si="446"/>
        <v>4831.4855461460911</v>
      </c>
      <c r="DL44" s="1305">
        <f t="shared" si="446"/>
        <v>4831.4855461460911</v>
      </c>
      <c r="DM44" s="1305">
        <f t="shared" si="446"/>
        <v>4831.4855461460911</v>
      </c>
      <c r="DN44" s="1305">
        <f t="shared" si="446"/>
        <v>4831.4855461460911</v>
      </c>
      <c r="DO44" s="1305">
        <f t="shared" si="446"/>
        <v>4831.4855461460911</v>
      </c>
      <c r="DP44" s="1305">
        <f t="shared" si="446"/>
        <v>4831.4855461460911</v>
      </c>
      <c r="DQ44" s="1305">
        <f t="shared" si="446"/>
        <v>4831.4855461460911</v>
      </c>
      <c r="DR44" s="1305">
        <f t="shared" si="446"/>
        <v>4831.4855461460911</v>
      </c>
      <c r="DS44" s="1305">
        <f t="shared" si="446"/>
        <v>4831.4855461460911</v>
      </c>
      <c r="DT44" s="1305">
        <f t="shared" si="446"/>
        <v>4831.4855461460911</v>
      </c>
      <c r="DU44" s="1306">
        <f t="shared" si="446"/>
        <v>4831.4855461460911</v>
      </c>
      <c r="DV44" s="1306"/>
      <c r="DW44" s="1248">
        <f>SUM(C44:E44)</f>
        <v>3447.452914655596</v>
      </c>
      <c r="DX44" s="1246">
        <f>SUM(F44:H44)</f>
        <v>9577.6156603022209</v>
      </c>
      <c r="DY44" s="1247">
        <f>SUM(I44:K44)</f>
        <v>9502.9865294340925</v>
      </c>
      <c r="DZ44" s="1247">
        <f>SUM(L44:N44)</f>
        <v>9388.137196990765</v>
      </c>
      <c r="EA44" s="1248">
        <f>SUM(O44:Q44)</f>
        <v>9358.2163889099556</v>
      </c>
      <c r="EB44" s="1246">
        <f>SUM(C44:Q44)</f>
        <v>41274.408690292628</v>
      </c>
      <c r="EC44" s="1247">
        <f>SUM(R44:AC44)</f>
        <v>39241.675136452111</v>
      </c>
      <c r="ED44" s="1248">
        <f>SUM(AD44:AO44)</f>
        <v>41203.758893274724</v>
      </c>
      <c r="EE44" s="1249">
        <f>SUM(EB44:ED44)</f>
        <v>121719.84272001946</v>
      </c>
      <c r="EF44" s="1247">
        <f>SUM(AP44:BA44)</f>
        <v>43263.946837938449</v>
      </c>
      <c r="EG44" s="1248">
        <f>SUM(BB44:BM44)</f>
        <v>45427.144179835384</v>
      </c>
      <c r="EH44" s="1249">
        <f>SUM(EE44:EG44)</f>
        <v>210410.9337377933</v>
      </c>
      <c r="EI44" s="1307">
        <f>EH44/$EH$25</f>
        <v>3.1752184849124093E-2</v>
      </c>
      <c r="EJ44" s="1246">
        <f t="shared" si="347"/>
        <v>47698.501388827157</v>
      </c>
      <c r="EK44" s="1247">
        <f t="shared" si="348"/>
        <v>50083.426458268521</v>
      </c>
      <c r="EL44" s="1247">
        <f t="shared" si="349"/>
        <v>52587.597781181939</v>
      </c>
      <c r="EM44" s="1247">
        <f t="shared" si="350"/>
        <v>55216.977670241038</v>
      </c>
      <c r="EN44" s="1248">
        <f t="shared" si="351"/>
        <v>57977.82655375309</v>
      </c>
      <c r="EO44" s="1249">
        <f t="shared" si="352"/>
        <v>473975.26359006506</v>
      </c>
      <c r="EQ44" s="14">
        <f t="shared" si="353"/>
        <v>9.3132257461547852E-10</v>
      </c>
    </row>
    <row r="45" spans="2:147" x14ac:dyDescent="0.3">
      <c r="B45" s="606"/>
      <c r="C45" s="7"/>
      <c r="D45" s="7"/>
      <c r="E45" s="1308"/>
      <c r="F45" s="1309"/>
      <c r="G45" s="1309"/>
      <c r="H45" s="1309"/>
      <c r="I45" s="1309"/>
      <c r="J45" s="1309"/>
      <c r="K45" s="1309"/>
      <c r="L45" s="1309"/>
      <c r="M45" s="1309"/>
      <c r="N45" s="1309"/>
      <c r="O45" s="1309"/>
      <c r="P45" s="1309"/>
      <c r="Q45" s="1309"/>
      <c r="R45" s="1309"/>
      <c r="S45" s="1309"/>
      <c r="T45" s="1309"/>
      <c r="U45" s="1309"/>
      <c r="V45" s="1309"/>
      <c r="W45" s="1309"/>
      <c r="X45" s="1309"/>
      <c r="Y45" s="1309"/>
      <c r="Z45" s="1309"/>
      <c r="AA45" s="1309"/>
      <c r="AB45" s="1309"/>
      <c r="AC45" s="1309"/>
      <c r="AD45" s="1309"/>
      <c r="AE45" s="1309"/>
      <c r="AF45" s="1309"/>
      <c r="AG45" s="1309"/>
      <c r="AH45" s="1309"/>
      <c r="AI45" s="1309"/>
      <c r="AJ45" s="1309"/>
      <c r="AK45" s="1309"/>
      <c r="AL45" s="1309"/>
      <c r="AM45" s="1309"/>
      <c r="AN45" s="1309"/>
      <c r="AO45" s="1309"/>
      <c r="AP45" s="1309"/>
      <c r="AQ45" s="1309"/>
      <c r="AR45" s="1309"/>
      <c r="AS45" s="1309"/>
      <c r="AT45" s="1309"/>
      <c r="AU45" s="1309"/>
      <c r="AV45" s="1309"/>
      <c r="AW45" s="1309"/>
      <c r="AX45" s="1309"/>
      <c r="AY45" s="1309"/>
      <c r="AZ45" s="1309"/>
      <c r="BA45" s="1309"/>
      <c r="BB45" s="1309"/>
      <c r="BC45" s="1309"/>
      <c r="BD45" s="1309"/>
      <c r="BE45" s="1309"/>
      <c r="BF45" s="1309"/>
      <c r="BG45" s="1309"/>
      <c r="BH45" s="1309"/>
      <c r="BI45" s="1309"/>
      <c r="BJ45" s="1309"/>
      <c r="BK45" s="1309"/>
      <c r="BL45" s="1309"/>
      <c r="BM45" s="1309"/>
      <c r="BN45" s="1309"/>
      <c r="BO45" s="1309"/>
      <c r="BP45" s="1309"/>
      <c r="BQ45" s="1309"/>
      <c r="BR45" s="1309"/>
      <c r="BS45" s="1309"/>
      <c r="BT45" s="1309"/>
      <c r="BU45" s="1309"/>
      <c r="BV45" s="1309"/>
      <c r="BW45" s="1309"/>
      <c r="BX45" s="1309"/>
      <c r="BY45" s="1309"/>
      <c r="BZ45" s="1309"/>
      <c r="CA45" s="1309"/>
      <c r="CB45" s="1309"/>
      <c r="CC45" s="1309"/>
      <c r="CD45" s="1309"/>
      <c r="CE45" s="1309"/>
      <c r="CF45" s="1309"/>
      <c r="CG45" s="1309"/>
      <c r="CH45" s="1309"/>
      <c r="CI45" s="1309"/>
      <c r="CJ45" s="1309"/>
      <c r="CK45" s="1309"/>
      <c r="CL45" s="1309"/>
      <c r="CM45" s="1309"/>
      <c r="CN45" s="1309"/>
      <c r="CO45" s="1309"/>
      <c r="CP45" s="1309"/>
      <c r="CQ45" s="1309"/>
      <c r="CR45" s="1309"/>
      <c r="CS45" s="1309"/>
      <c r="CT45" s="1309"/>
      <c r="CU45" s="1309"/>
      <c r="CV45" s="1309"/>
      <c r="CW45" s="1309"/>
      <c r="CX45" s="1309"/>
      <c r="CY45" s="1309"/>
      <c r="CZ45" s="1309"/>
      <c r="DA45" s="1309"/>
      <c r="DB45" s="1309"/>
      <c r="DC45" s="1309"/>
      <c r="DD45" s="1309"/>
      <c r="DE45" s="1309"/>
      <c r="DF45" s="1309"/>
      <c r="DG45" s="1309"/>
      <c r="DH45" s="1309"/>
      <c r="DI45" s="1309"/>
      <c r="DJ45" s="1309"/>
      <c r="DK45" s="1309"/>
      <c r="DL45" s="1309"/>
      <c r="DM45" s="1309"/>
      <c r="DN45" s="1309"/>
      <c r="DO45" s="1309"/>
      <c r="DP45" s="1309"/>
      <c r="DQ45" s="1309"/>
      <c r="DR45" s="1309"/>
      <c r="DS45" s="1309"/>
      <c r="DT45" s="1309"/>
      <c r="DU45" s="1310"/>
      <c r="DV45" s="1310"/>
      <c r="DW45" s="1310"/>
      <c r="DX45" s="1308"/>
      <c r="DY45" s="1309"/>
      <c r="DZ45" s="1309"/>
      <c r="EA45" s="1310"/>
      <c r="EB45" s="1308"/>
      <c r="EC45" s="1309"/>
      <c r="ED45" s="1310"/>
      <c r="EE45" s="1311"/>
      <c r="EF45" s="1309"/>
      <c r="EG45" s="1310"/>
      <c r="EH45" s="1311"/>
      <c r="EI45" s="91"/>
      <c r="EJ45" s="1308"/>
      <c r="EK45" s="1309"/>
      <c r="EL45" s="1309"/>
      <c r="EM45" s="1309"/>
      <c r="EN45" s="1310"/>
      <c r="EO45" s="1311"/>
    </row>
    <row r="46" spans="2:147" ht="13.5" thickBot="1" x14ac:dyDescent="0.35">
      <c r="B46" s="607" t="s">
        <v>22</v>
      </c>
      <c r="C46" s="27"/>
      <c r="D46" s="27"/>
      <c r="E46" s="1298">
        <f>E39+E44</f>
        <v>70477.625220516886</v>
      </c>
      <c r="F46" s="1299">
        <f t="shared" ref="F46:ED46" si="447">F39+F44</f>
        <v>55669.01167651284</v>
      </c>
      <c r="G46" s="1299">
        <f t="shared" si="447"/>
        <v>56407.306889244937</v>
      </c>
      <c r="H46" s="1299">
        <f t="shared" si="447"/>
        <v>56374.842603530647</v>
      </c>
      <c r="I46" s="1299">
        <f t="shared" si="447"/>
        <v>56177.975298115052</v>
      </c>
      <c r="J46" s="1299">
        <f t="shared" si="447"/>
        <v>55877.710251442906</v>
      </c>
      <c r="K46" s="1299">
        <f t="shared" si="447"/>
        <v>53607.203345900969</v>
      </c>
      <c r="L46" s="1299">
        <f t="shared" si="447"/>
        <v>53607.203345900969</v>
      </c>
      <c r="M46" s="1299">
        <f t="shared" si="447"/>
        <v>53574.739060186679</v>
      </c>
      <c r="N46" s="1299">
        <f t="shared" si="447"/>
        <v>53607.203345900969</v>
      </c>
      <c r="O46" s="1299">
        <f t="shared" si="447"/>
        <v>53574.739060186679</v>
      </c>
      <c r="P46" s="1299">
        <f t="shared" si="447"/>
        <v>53446.821257439369</v>
      </c>
      <c r="Q46" s="1299">
        <f t="shared" si="447"/>
        <v>53446.821257439369</v>
      </c>
      <c r="R46" s="1299">
        <f t="shared" si="447"/>
        <v>56225.973720240509</v>
      </c>
      <c r="S46" s="1299">
        <f t="shared" si="447"/>
        <v>56051.799768203608</v>
      </c>
      <c r="T46" s="1299">
        <f t="shared" si="447"/>
        <v>56017.712268203613</v>
      </c>
      <c r="U46" s="1299">
        <f t="shared" si="447"/>
        <v>56051.799768203608</v>
      </c>
      <c r="V46" s="1299">
        <f t="shared" si="447"/>
        <v>56017.712268203613</v>
      </c>
      <c r="W46" s="1299">
        <f t="shared" si="447"/>
        <v>56051.799768203608</v>
      </c>
      <c r="X46" s="1299">
        <f t="shared" si="447"/>
        <v>56051.799768203608</v>
      </c>
      <c r="Y46" s="1299">
        <f t="shared" si="447"/>
        <v>56017.712268203613</v>
      </c>
      <c r="Z46" s="1299">
        <f t="shared" si="447"/>
        <v>56051.799768203608</v>
      </c>
      <c r="AA46" s="1299">
        <f t="shared" si="447"/>
        <v>56017.712268203613</v>
      </c>
      <c r="AB46" s="1299">
        <f t="shared" si="447"/>
        <v>56051.799768203608</v>
      </c>
      <c r="AC46" s="1299">
        <f t="shared" si="447"/>
        <v>56051.799768203608</v>
      </c>
      <c r="AD46" s="1299">
        <f t="shared" si="447"/>
        <v>59001.480531252535</v>
      </c>
      <c r="AE46" s="1299">
        <f t="shared" si="447"/>
        <v>58854.389756613797</v>
      </c>
      <c r="AF46" s="1299">
        <f t="shared" si="447"/>
        <v>58818.597881613801</v>
      </c>
      <c r="AG46" s="1299">
        <f t="shared" si="447"/>
        <v>58854.389756613797</v>
      </c>
      <c r="AH46" s="1299">
        <f t="shared" si="447"/>
        <v>58818.597881613801</v>
      </c>
      <c r="AI46" s="1299">
        <f t="shared" si="447"/>
        <v>58854.389756613797</v>
      </c>
      <c r="AJ46" s="1299">
        <f t="shared" si="447"/>
        <v>58854.389756613797</v>
      </c>
      <c r="AK46" s="1299">
        <f t="shared" si="447"/>
        <v>58818.597881613801</v>
      </c>
      <c r="AL46" s="1299">
        <f t="shared" si="447"/>
        <v>58854.389756613797</v>
      </c>
      <c r="AM46" s="1299">
        <f t="shared" si="447"/>
        <v>58818.597881613801</v>
      </c>
      <c r="AN46" s="1299">
        <f t="shared" si="447"/>
        <v>58854.389756613797</v>
      </c>
      <c r="AO46" s="1299">
        <f t="shared" si="447"/>
        <v>58854.389756613797</v>
      </c>
      <c r="AP46" s="1299">
        <f t="shared" si="447"/>
        <v>61951.55455781515</v>
      </c>
      <c r="AQ46" s="1299">
        <f t="shared" si="447"/>
        <v>61797.10924444448</v>
      </c>
      <c r="AR46" s="1299">
        <f t="shared" si="447"/>
        <v>61759.527775694485</v>
      </c>
      <c r="AS46" s="1299">
        <f t="shared" si="447"/>
        <v>61797.10924444448</v>
      </c>
      <c r="AT46" s="1299">
        <f t="shared" si="447"/>
        <v>61759.527775694485</v>
      </c>
      <c r="AU46" s="1299">
        <f t="shared" si="447"/>
        <v>61797.10924444448</v>
      </c>
      <c r="AV46" s="1299">
        <f t="shared" si="447"/>
        <v>61797.10924444448</v>
      </c>
      <c r="AW46" s="1299">
        <f t="shared" si="447"/>
        <v>61759.527775694485</v>
      </c>
      <c r="AX46" s="1299">
        <f t="shared" si="447"/>
        <v>61797.10924444448</v>
      </c>
      <c r="AY46" s="1299">
        <f t="shared" si="447"/>
        <v>61759.527775694485</v>
      </c>
      <c r="AZ46" s="1299">
        <f t="shared" si="447"/>
        <v>61797.10924444448</v>
      </c>
      <c r="BA46" s="1299">
        <f t="shared" si="447"/>
        <v>61797.10924444448</v>
      </c>
      <c r="BB46" s="1299">
        <f t="shared" si="447"/>
        <v>65049.132285705913</v>
      </c>
      <c r="BC46" s="1299">
        <f t="shared" si="447"/>
        <v>64886.964706666709</v>
      </c>
      <c r="BD46" s="1299">
        <f t="shared" si="447"/>
        <v>64847.504164479222</v>
      </c>
      <c r="BE46" s="1299">
        <f t="shared" si="447"/>
        <v>64886.964706666709</v>
      </c>
      <c r="BF46" s="1299">
        <f t="shared" si="447"/>
        <v>64847.504164479222</v>
      </c>
      <c r="BG46" s="1299">
        <f t="shared" si="447"/>
        <v>64886.964706666709</v>
      </c>
      <c r="BH46" s="1299">
        <f t="shared" si="447"/>
        <v>64886.964706666709</v>
      </c>
      <c r="BI46" s="1299">
        <f t="shared" si="447"/>
        <v>64847.504164479222</v>
      </c>
      <c r="BJ46" s="1299">
        <f t="shared" si="447"/>
        <v>64886.964706666709</v>
      </c>
      <c r="BK46" s="1299">
        <f t="shared" si="447"/>
        <v>64847.504164479222</v>
      </c>
      <c r="BL46" s="1299">
        <f t="shared" si="447"/>
        <v>64886.964706666709</v>
      </c>
      <c r="BM46" s="1299">
        <f t="shared" si="447"/>
        <v>64886.964706666709</v>
      </c>
      <c r="BN46" s="1299">
        <f t="shared" ref="BN46:DU46" si="448">BN39+BN44</f>
        <v>68343.022469288102</v>
      </c>
      <c r="BO46" s="1299">
        <f t="shared" si="448"/>
        <v>68131.312942000062</v>
      </c>
      <c r="BP46" s="1299">
        <f t="shared" si="448"/>
        <v>68089.879372703188</v>
      </c>
      <c r="BQ46" s="1299">
        <f t="shared" si="448"/>
        <v>68131.312942000062</v>
      </c>
      <c r="BR46" s="1299">
        <f t="shared" si="448"/>
        <v>68089.879372703188</v>
      </c>
      <c r="BS46" s="1299">
        <f t="shared" si="448"/>
        <v>68131.312942000062</v>
      </c>
      <c r="BT46" s="1299">
        <f t="shared" si="448"/>
        <v>68131.312942000062</v>
      </c>
      <c r="BU46" s="1299">
        <f t="shared" si="448"/>
        <v>68089.879372703188</v>
      </c>
      <c r="BV46" s="1299">
        <f t="shared" si="448"/>
        <v>68131.312942000062</v>
      </c>
      <c r="BW46" s="1299">
        <f t="shared" si="448"/>
        <v>68089.879372703188</v>
      </c>
      <c r="BX46" s="1299">
        <f t="shared" si="448"/>
        <v>68131.312942000062</v>
      </c>
      <c r="BY46" s="1299">
        <f t="shared" si="448"/>
        <v>68131.312942000062</v>
      </c>
      <c r="BZ46" s="1299">
        <f t="shared" si="448"/>
        <v>71716.668344990787</v>
      </c>
      <c r="CA46" s="1299">
        <f t="shared" si="448"/>
        <v>71537.878589100073</v>
      </c>
      <c r="CB46" s="1299">
        <f t="shared" si="448"/>
        <v>71494.373341338345</v>
      </c>
      <c r="CC46" s="1299">
        <f t="shared" si="448"/>
        <v>71537.878589100073</v>
      </c>
      <c r="CD46" s="1299">
        <f t="shared" si="448"/>
        <v>71494.373341338345</v>
      </c>
      <c r="CE46" s="1299">
        <f t="shared" si="448"/>
        <v>71537.878589100073</v>
      </c>
      <c r="CF46" s="1299">
        <f t="shared" si="448"/>
        <v>71537.878589100073</v>
      </c>
      <c r="CG46" s="1299">
        <f t="shared" si="448"/>
        <v>71494.373341338345</v>
      </c>
      <c r="CH46" s="1299">
        <f t="shared" si="448"/>
        <v>71537.878589100073</v>
      </c>
      <c r="CI46" s="1299">
        <f t="shared" si="448"/>
        <v>71494.373341338345</v>
      </c>
      <c r="CJ46" s="1299">
        <f t="shared" si="448"/>
        <v>71537.878589100073</v>
      </c>
      <c r="CK46" s="1299">
        <f t="shared" si="448"/>
        <v>71537.878589100073</v>
      </c>
      <c r="CL46" s="1299">
        <f t="shared" si="448"/>
        <v>75302.501762240339</v>
      </c>
      <c r="CM46" s="1299">
        <f t="shared" si="448"/>
        <v>75114.772518555081</v>
      </c>
      <c r="CN46" s="1299">
        <f t="shared" si="448"/>
        <v>75069.092008405278</v>
      </c>
      <c r="CO46" s="1299">
        <f t="shared" si="448"/>
        <v>75114.772518555081</v>
      </c>
      <c r="CP46" s="1299">
        <f t="shared" si="448"/>
        <v>75069.092008405278</v>
      </c>
      <c r="CQ46" s="1299">
        <f t="shared" si="448"/>
        <v>75114.772518555081</v>
      </c>
      <c r="CR46" s="1299">
        <f t="shared" si="448"/>
        <v>75114.772518555081</v>
      </c>
      <c r="CS46" s="1299">
        <f t="shared" si="448"/>
        <v>75069.092008405278</v>
      </c>
      <c r="CT46" s="1299">
        <f t="shared" si="448"/>
        <v>75114.772518555081</v>
      </c>
      <c r="CU46" s="1299">
        <f t="shared" si="448"/>
        <v>75069.092008405278</v>
      </c>
      <c r="CV46" s="1299">
        <f t="shared" si="448"/>
        <v>75114.772518555081</v>
      </c>
      <c r="CW46" s="1299">
        <f t="shared" si="448"/>
        <v>75114.772518555081</v>
      </c>
      <c r="CX46" s="1299">
        <f t="shared" si="448"/>
        <v>79067.626850352332</v>
      </c>
      <c r="CY46" s="1299">
        <f t="shared" si="448"/>
        <v>78870.511144482822</v>
      </c>
      <c r="CZ46" s="1299">
        <f t="shared" si="448"/>
        <v>78822.546608825534</v>
      </c>
      <c r="DA46" s="1299">
        <f t="shared" si="448"/>
        <v>78870.511144482822</v>
      </c>
      <c r="DB46" s="1299">
        <f t="shared" si="448"/>
        <v>78822.546608825534</v>
      </c>
      <c r="DC46" s="1299">
        <f t="shared" si="448"/>
        <v>78870.511144482822</v>
      </c>
      <c r="DD46" s="1299">
        <f t="shared" si="448"/>
        <v>78870.511144482822</v>
      </c>
      <c r="DE46" s="1299">
        <f t="shared" si="448"/>
        <v>78822.546608825534</v>
      </c>
      <c r="DF46" s="1299">
        <f t="shared" si="448"/>
        <v>78870.511144482822</v>
      </c>
      <c r="DG46" s="1299">
        <f t="shared" si="448"/>
        <v>78822.546608825534</v>
      </c>
      <c r="DH46" s="1299">
        <f t="shared" si="448"/>
        <v>78870.511144482822</v>
      </c>
      <c r="DI46" s="1299">
        <f t="shared" si="448"/>
        <v>78870.511144482822</v>
      </c>
      <c r="DJ46" s="1299">
        <f t="shared" si="448"/>
        <v>83071.370955310136</v>
      </c>
      <c r="DK46" s="1299">
        <f t="shared" si="448"/>
        <v>82814.03670170698</v>
      </c>
      <c r="DL46" s="1299">
        <f t="shared" si="448"/>
        <v>82763.673939266839</v>
      </c>
      <c r="DM46" s="1299">
        <f t="shared" si="448"/>
        <v>82814.03670170698</v>
      </c>
      <c r="DN46" s="1299">
        <f t="shared" si="448"/>
        <v>82763.673939266839</v>
      </c>
      <c r="DO46" s="1299">
        <f t="shared" si="448"/>
        <v>82814.03670170698</v>
      </c>
      <c r="DP46" s="1299">
        <f t="shared" si="448"/>
        <v>82814.03670170698</v>
      </c>
      <c r="DQ46" s="1299">
        <f t="shared" si="448"/>
        <v>82763.673939266839</v>
      </c>
      <c r="DR46" s="1299">
        <f t="shared" si="448"/>
        <v>82814.03670170698</v>
      </c>
      <c r="DS46" s="1299">
        <f t="shared" si="448"/>
        <v>82763.673939266839</v>
      </c>
      <c r="DT46" s="1299">
        <f t="shared" si="448"/>
        <v>82814.03670170698</v>
      </c>
      <c r="DU46" s="1300">
        <f t="shared" si="448"/>
        <v>82814.03670170698</v>
      </c>
      <c r="DV46" s="1300"/>
      <c r="DW46" s="1300">
        <f t="shared" si="447"/>
        <v>70477.625220516886</v>
      </c>
      <c r="DX46" s="1298">
        <f t="shared" si="447"/>
        <v>168451.16116928845</v>
      </c>
      <c r="DY46" s="1299">
        <f t="shared" si="447"/>
        <v>165662.88889545889</v>
      </c>
      <c r="DZ46" s="1299">
        <f t="shared" si="447"/>
        <v>160789.1457519886</v>
      </c>
      <c r="EA46" s="1300">
        <f t="shared" si="447"/>
        <v>160468.38157506543</v>
      </c>
      <c r="EB46" s="1298">
        <f t="shared" si="447"/>
        <v>725849.20261231845</v>
      </c>
      <c r="EC46" s="1299">
        <f t="shared" si="447"/>
        <v>672659.42117048032</v>
      </c>
      <c r="ED46" s="1300">
        <f t="shared" si="447"/>
        <v>706256.6003540043</v>
      </c>
      <c r="EE46" s="1301">
        <f>EE39+EE44</f>
        <v>2104765.2241368038</v>
      </c>
      <c r="EF46" s="1299">
        <f t="shared" ref="EF46:EG46" si="449">EF39+EF44</f>
        <v>741569.43037170451</v>
      </c>
      <c r="EG46" s="1300">
        <f t="shared" si="449"/>
        <v>778647.90189028962</v>
      </c>
      <c r="EH46" s="1301">
        <f>EH39+EH44</f>
        <v>3624982.5563987968</v>
      </c>
      <c r="EI46" s="91"/>
      <c r="EJ46" s="1298">
        <f t="shared" ref="EJ46:EO46" si="450">EJ39+EJ44</f>
        <v>817621.73055410141</v>
      </c>
      <c r="EK46" s="1299">
        <f t="shared" si="450"/>
        <v>858459.31183404452</v>
      </c>
      <c r="EL46" s="1299">
        <f t="shared" si="450"/>
        <v>901382.27742574702</v>
      </c>
      <c r="EM46" s="1299">
        <f t="shared" si="450"/>
        <v>946451.39129703422</v>
      </c>
      <c r="EN46" s="1300">
        <f t="shared" si="450"/>
        <v>993824.32362432603</v>
      </c>
      <c r="EO46" s="1301">
        <f t="shared" si="450"/>
        <v>8142721.5911340509</v>
      </c>
      <c r="EQ46" s="14">
        <f t="shared" si="353"/>
        <v>0</v>
      </c>
    </row>
    <row r="47" spans="2:147" x14ac:dyDescent="0.3"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1"/>
      <c r="EJ47" s="92"/>
      <c r="EK47" s="92"/>
      <c r="EL47" s="92"/>
      <c r="EM47" s="92"/>
      <c r="EN47" s="92"/>
      <c r="EO47" s="92"/>
    </row>
    <row r="48" spans="2:147" x14ac:dyDescent="0.3">
      <c r="B48" s="608" t="s">
        <v>23</v>
      </c>
      <c r="C48" s="28"/>
      <c r="D48" s="28"/>
      <c r="E48" s="1302">
        <f>E41-E44</f>
        <v>5196.6247794831197</v>
      </c>
      <c r="F48" s="1303">
        <f t="shared" ref="F48:DZ48" si="451">F41-F44</f>
        <v>35230.98832348716</v>
      </c>
      <c r="G48" s="1303">
        <f t="shared" si="451"/>
        <v>44231.978825040787</v>
      </c>
      <c r="H48" s="1303">
        <f t="shared" si="451"/>
        <v>41018.014539326497</v>
      </c>
      <c r="I48" s="1303">
        <f t="shared" si="451"/>
        <v>44461.310416170672</v>
      </c>
      <c r="J48" s="1303">
        <f t="shared" si="451"/>
        <v>41515.146891414239</v>
      </c>
      <c r="K48" s="1303">
        <f t="shared" si="451"/>
        <v>47032.082368384756</v>
      </c>
      <c r="L48" s="1303">
        <f t="shared" si="451"/>
        <v>47032.082368384756</v>
      </c>
      <c r="M48" s="1303">
        <f t="shared" si="451"/>
        <v>43818.118082670466</v>
      </c>
      <c r="N48" s="1303">
        <f t="shared" ref="N48:AO48" si="452">N41-N44</f>
        <v>47032.082368384756</v>
      </c>
      <c r="O48" s="1303">
        <f t="shared" si="452"/>
        <v>43818.118082670466</v>
      </c>
      <c r="P48" s="1303">
        <f t="shared" si="452"/>
        <v>47192.464456846355</v>
      </c>
      <c r="Q48" s="1303">
        <f t="shared" si="452"/>
        <v>47192.464456846355</v>
      </c>
      <c r="R48" s="1303">
        <f t="shared" si="452"/>
        <v>42627.776279759506</v>
      </c>
      <c r="S48" s="1303">
        <f t="shared" si="452"/>
        <v>49619.450231796407</v>
      </c>
      <c r="T48" s="1303">
        <f t="shared" si="452"/>
        <v>46244.787731796387</v>
      </c>
      <c r="U48" s="1303">
        <f t="shared" si="452"/>
        <v>49619.450231796407</v>
      </c>
      <c r="V48" s="1303">
        <f t="shared" si="452"/>
        <v>46244.787731796387</v>
      </c>
      <c r="W48" s="1303">
        <f t="shared" si="452"/>
        <v>49619.450231796407</v>
      </c>
      <c r="X48" s="1303">
        <f t="shared" si="452"/>
        <v>49619.450231796407</v>
      </c>
      <c r="Y48" s="1303">
        <f t="shared" si="452"/>
        <v>46244.787731796387</v>
      </c>
      <c r="Z48" s="1303">
        <f t="shared" si="452"/>
        <v>49619.450231796407</v>
      </c>
      <c r="AA48" s="1303">
        <f t="shared" si="452"/>
        <v>46244.787731796387</v>
      </c>
      <c r="AB48" s="1303">
        <f t="shared" si="452"/>
        <v>49619.450231796407</v>
      </c>
      <c r="AC48" s="1303">
        <f t="shared" si="452"/>
        <v>49619.450231796407</v>
      </c>
      <c r="AD48" s="1303">
        <f t="shared" si="452"/>
        <v>41215.76946874748</v>
      </c>
      <c r="AE48" s="1303">
        <f t="shared" si="452"/>
        <v>52100.422743386232</v>
      </c>
      <c r="AF48" s="1303">
        <f t="shared" si="452"/>
        <v>48557.027118386213</v>
      </c>
      <c r="AG48" s="1303">
        <f t="shared" si="452"/>
        <v>52100.422743386232</v>
      </c>
      <c r="AH48" s="1303">
        <f t="shared" si="452"/>
        <v>48557.027118386213</v>
      </c>
      <c r="AI48" s="1303">
        <f t="shared" si="452"/>
        <v>52100.422743386232</v>
      </c>
      <c r="AJ48" s="1303">
        <f t="shared" si="452"/>
        <v>52100.422743386232</v>
      </c>
      <c r="AK48" s="1303">
        <f t="shared" si="452"/>
        <v>48557.027118386213</v>
      </c>
      <c r="AL48" s="1303">
        <f t="shared" si="452"/>
        <v>52100.422743386232</v>
      </c>
      <c r="AM48" s="1303">
        <f t="shared" si="452"/>
        <v>48557.027118386213</v>
      </c>
      <c r="AN48" s="1303">
        <f t="shared" si="452"/>
        <v>52100.422743386232</v>
      </c>
      <c r="AO48" s="1303">
        <f t="shared" si="452"/>
        <v>52100.422743386232</v>
      </c>
      <c r="AP48" s="1303">
        <f t="shared" ref="AP48:BM48" si="453">AP41-AP44</f>
        <v>43276.557942184867</v>
      </c>
      <c r="AQ48" s="1303">
        <f t="shared" si="453"/>
        <v>54705.443880555555</v>
      </c>
      <c r="AR48" s="1303">
        <f t="shared" si="453"/>
        <v>50984.878474305544</v>
      </c>
      <c r="AS48" s="1303">
        <f t="shared" si="453"/>
        <v>54705.443880555555</v>
      </c>
      <c r="AT48" s="1303">
        <f t="shared" si="453"/>
        <v>50984.878474305544</v>
      </c>
      <c r="AU48" s="1303">
        <f t="shared" si="453"/>
        <v>54705.443880555555</v>
      </c>
      <c r="AV48" s="1303">
        <f t="shared" si="453"/>
        <v>54705.443880555555</v>
      </c>
      <c r="AW48" s="1303">
        <f t="shared" si="453"/>
        <v>50984.878474305544</v>
      </c>
      <c r="AX48" s="1303">
        <f t="shared" si="453"/>
        <v>54705.443880555555</v>
      </c>
      <c r="AY48" s="1303">
        <f t="shared" si="453"/>
        <v>50984.878474305544</v>
      </c>
      <c r="AZ48" s="1303">
        <f t="shared" si="453"/>
        <v>54705.443880555555</v>
      </c>
      <c r="BA48" s="1303">
        <f t="shared" si="453"/>
        <v>54705.443880555555</v>
      </c>
      <c r="BB48" s="1303">
        <f t="shared" si="453"/>
        <v>45440.385839294104</v>
      </c>
      <c r="BC48" s="1303">
        <f t="shared" si="453"/>
        <v>57440.716074583339</v>
      </c>
      <c r="BD48" s="1303">
        <f t="shared" si="453"/>
        <v>53534.122398020801</v>
      </c>
      <c r="BE48" s="1303">
        <f t="shared" si="453"/>
        <v>57440.716074583339</v>
      </c>
      <c r="BF48" s="1303">
        <f t="shared" si="453"/>
        <v>53534.122398020801</v>
      </c>
      <c r="BG48" s="1303">
        <f t="shared" si="453"/>
        <v>57440.716074583339</v>
      </c>
      <c r="BH48" s="1303">
        <f t="shared" si="453"/>
        <v>57440.716074583339</v>
      </c>
      <c r="BI48" s="1303">
        <f t="shared" si="453"/>
        <v>53534.122398020801</v>
      </c>
      <c r="BJ48" s="1303">
        <f t="shared" si="453"/>
        <v>57440.716074583339</v>
      </c>
      <c r="BK48" s="1303">
        <f t="shared" si="453"/>
        <v>53534.122398020801</v>
      </c>
      <c r="BL48" s="1303">
        <f t="shared" si="453"/>
        <v>57440.716074583339</v>
      </c>
      <c r="BM48" s="1303">
        <f t="shared" si="453"/>
        <v>57440.716074583339</v>
      </c>
      <c r="BN48" s="1303">
        <f t="shared" ref="BN48:DU48" si="454">BN41-BN44</f>
        <v>51814.328491649438</v>
      </c>
      <c r="BO48" s="1303">
        <f t="shared" si="454"/>
        <v>60312.751878312491</v>
      </c>
      <c r="BP48" s="1303">
        <f t="shared" si="454"/>
        <v>56210.828517921844</v>
      </c>
      <c r="BQ48" s="1303">
        <f t="shared" si="454"/>
        <v>60312.751878312491</v>
      </c>
      <c r="BR48" s="1303">
        <f t="shared" si="454"/>
        <v>56210.828517921844</v>
      </c>
      <c r="BS48" s="1303">
        <f t="shared" si="454"/>
        <v>60312.751878312491</v>
      </c>
      <c r="BT48" s="1303">
        <f t="shared" si="454"/>
        <v>60312.751878312491</v>
      </c>
      <c r="BU48" s="1303">
        <f t="shared" si="454"/>
        <v>56210.828517921844</v>
      </c>
      <c r="BV48" s="1303">
        <f t="shared" si="454"/>
        <v>60312.751878312491</v>
      </c>
      <c r="BW48" s="1303">
        <f t="shared" si="454"/>
        <v>56210.828517921844</v>
      </c>
      <c r="BX48" s="1303">
        <f t="shared" si="454"/>
        <v>60312.751878312491</v>
      </c>
      <c r="BY48" s="1303">
        <f t="shared" si="454"/>
        <v>60312.751878312491</v>
      </c>
      <c r="BZ48" s="1303">
        <f t="shared" si="454"/>
        <v>50098.025387821755</v>
      </c>
      <c r="CA48" s="1303">
        <f t="shared" si="454"/>
        <v>63328.389472228118</v>
      </c>
      <c r="CB48" s="1303">
        <f t="shared" si="454"/>
        <v>59021.369943817954</v>
      </c>
      <c r="CC48" s="1303">
        <f t="shared" si="454"/>
        <v>63328.389472228118</v>
      </c>
      <c r="CD48" s="1303">
        <f t="shared" si="454"/>
        <v>59021.369943817954</v>
      </c>
      <c r="CE48" s="1303">
        <f t="shared" si="454"/>
        <v>63328.389472228118</v>
      </c>
      <c r="CF48" s="1303">
        <f t="shared" si="454"/>
        <v>63328.389472228118</v>
      </c>
      <c r="CG48" s="1303">
        <f t="shared" si="454"/>
        <v>59021.369943817954</v>
      </c>
      <c r="CH48" s="1303">
        <f t="shared" si="454"/>
        <v>63328.389472228118</v>
      </c>
      <c r="CI48" s="1303">
        <f t="shared" si="454"/>
        <v>59021.369943817954</v>
      </c>
      <c r="CJ48" s="1303">
        <f t="shared" si="454"/>
        <v>63328.389472228118</v>
      </c>
      <c r="CK48" s="1303">
        <f t="shared" si="454"/>
        <v>63328.389472228118</v>
      </c>
      <c r="CL48" s="1303">
        <f t="shared" si="454"/>
        <v>52602.926657212825</v>
      </c>
      <c r="CM48" s="1303">
        <f t="shared" si="454"/>
        <v>66494.808945839526</v>
      </c>
      <c r="CN48" s="1303">
        <f t="shared" si="454"/>
        <v>61972.438441008824</v>
      </c>
      <c r="CO48" s="1303">
        <f t="shared" si="454"/>
        <v>66494.808945839526</v>
      </c>
      <c r="CP48" s="1303">
        <f t="shared" si="454"/>
        <v>61972.438441008824</v>
      </c>
      <c r="CQ48" s="1303">
        <f t="shared" si="454"/>
        <v>66494.808945839526</v>
      </c>
      <c r="CR48" s="1303">
        <f t="shared" si="454"/>
        <v>66494.808945839526</v>
      </c>
      <c r="CS48" s="1303">
        <f t="shared" si="454"/>
        <v>61972.438441008824</v>
      </c>
      <c r="CT48" s="1303">
        <f t="shared" si="454"/>
        <v>66494.808945839526</v>
      </c>
      <c r="CU48" s="1303">
        <f t="shared" si="454"/>
        <v>61972.438441008824</v>
      </c>
      <c r="CV48" s="1303">
        <f t="shared" si="454"/>
        <v>66494.808945839526</v>
      </c>
      <c r="CW48" s="1303">
        <f t="shared" si="454"/>
        <v>66494.808945839526</v>
      </c>
      <c r="CX48" s="1303">
        <f t="shared" si="454"/>
        <v>55233.072990073502</v>
      </c>
      <c r="CY48" s="1303">
        <f t="shared" si="454"/>
        <v>69819.549393131514</v>
      </c>
      <c r="CZ48" s="1303">
        <f t="shared" si="454"/>
        <v>65071.060363059281</v>
      </c>
      <c r="DA48" s="1303">
        <f t="shared" si="454"/>
        <v>69819.549393131514</v>
      </c>
      <c r="DB48" s="1303">
        <f t="shared" si="454"/>
        <v>65071.060363059281</v>
      </c>
      <c r="DC48" s="1303">
        <f t="shared" si="454"/>
        <v>69819.549393131514</v>
      </c>
      <c r="DD48" s="1303">
        <f t="shared" si="454"/>
        <v>69819.549393131514</v>
      </c>
      <c r="DE48" s="1303">
        <f t="shared" si="454"/>
        <v>65071.060363059281</v>
      </c>
      <c r="DF48" s="1303">
        <f t="shared" si="454"/>
        <v>69819.549393131514</v>
      </c>
      <c r="DG48" s="1303">
        <f t="shared" si="454"/>
        <v>65071.060363059281</v>
      </c>
      <c r="DH48" s="1303">
        <f t="shared" si="454"/>
        <v>69819.549393131514</v>
      </c>
      <c r="DI48" s="1303">
        <f t="shared" si="454"/>
        <v>69819.549393131514</v>
      </c>
      <c r="DJ48" s="1303">
        <f t="shared" si="454"/>
        <v>62980.640121152996</v>
      </c>
      <c r="DK48" s="1303">
        <f t="shared" si="454"/>
        <v>73310.526862788087</v>
      </c>
      <c r="DL48" s="1303">
        <f t="shared" si="454"/>
        <v>68324.613381212243</v>
      </c>
      <c r="DM48" s="1303">
        <f t="shared" si="454"/>
        <v>73310.526862788087</v>
      </c>
      <c r="DN48" s="1303">
        <f t="shared" si="454"/>
        <v>68324.613381212243</v>
      </c>
      <c r="DO48" s="1303">
        <f t="shared" si="454"/>
        <v>73310.526862788087</v>
      </c>
      <c r="DP48" s="1303">
        <f t="shared" si="454"/>
        <v>73310.526862788087</v>
      </c>
      <c r="DQ48" s="1303">
        <f t="shared" si="454"/>
        <v>68324.613381212243</v>
      </c>
      <c r="DR48" s="1303">
        <f t="shared" si="454"/>
        <v>73310.526862788087</v>
      </c>
      <c r="DS48" s="1303">
        <f t="shared" si="454"/>
        <v>68324.613381212243</v>
      </c>
      <c r="DT48" s="1303">
        <f t="shared" si="454"/>
        <v>73310.526862788087</v>
      </c>
      <c r="DU48" s="1304">
        <f t="shared" si="454"/>
        <v>73310.526862788087</v>
      </c>
      <c r="DV48" s="1304"/>
      <c r="DW48" s="1254">
        <f t="shared" si="451"/>
        <v>5196.6247794831197</v>
      </c>
      <c r="DX48" s="1255">
        <f t="shared" si="451"/>
        <v>120480.98168785445</v>
      </c>
      <c r="DY48" s="1256">
        <f t="shared" si="451"/>
        <v>133008.53967596969</v>
      </c>
      <c r="DZ48" s="1256">
        <f t="shared" si="451"/>
        <v>137882.28281943998</v>
      </c>
      <c r="EA48" s="1257">
        <f t="shared" ref="EA48:ED48" si="455">EA41-EA44</f>
        <v>138203.04699636315</v>
      </c>
      <c r="EB48" s="1258">
        <f t="shared" si="455"/>
        <v>534771.47595911019</v>
      </c>
      <c r="EC48" s="1259">
        <f t="shared" si="455"/>
        <v>574943.07882951968</v>
      </c>
      <c r="ED48" s="1260">
        <f t="shared" si="455"/>
        <v>600146.83714599593</v>
      </c>
      <c r="EE48" s="1261">
        <f>EE41-EE44</f>
        <v>1709861.3919346256</v>
      </c>
      <c r="EF48" s="1259">
        <f t="shared" ref="EF48:EG48" si="456">EF41-EF44</f>
        <v>630154.17900329595</v>
      </c>
      <c r="EG48" s="1260">
        <f t="shared" si="456"/>
        <v>661661.88795346103</v>
      </c>
      <c r="EH48" s="1261">
        <f>EH41-EH44</f>
        <v>3001677.4588913834</v>
      </c>
      <c r="EI48" s="91"/>
      <c r="EJ48" s="1258">
        <f t="shared" si="347"/>
        <v>698846.90571152419</v>
      </c>
      <c r="EK48" s="1259">
        <f t="shared" si="348"/>
        <v>729482.23146869044</v>
      </c>
      <c r="EL48" s="1262">
        <f t="shared" si="349"/>
        <v>765956.34304212476</v>
      </c>
      <c r="EM48" s="1262">
        <f t="shared" si="350"/>
        <v>804254.1601942312</v>
      </c>
      <c r="EN48" s="1260">
        <f t="shared" si="351"/>
        <v>849452.78168551868</v>
      </c>
      <c r="EO48" s="1261">
        <f t="shared" si="352"/>
        <v>6849669.8809934733</v>
      </c>
      <c r="EQ48" s="14">
        <f t="shared" si="353"/>
        <v>0</v>
      </c>
    </row>
    <row r="49" spans="2:147" ht="13.5" thickBot="1" x14ac:dyDescent="0.35">
      <c r="B49" s="609" t="s">
        <v>142</v>
      </c>
      <c r="C49" s="8"/>
      <c r="D49" s="8"/>
      <c r="E49" s="9">
        <f>IF(ISERROR(E48/E$25),"",(E48/E$25))</f>
        <v>6.8670978298207383E-2</v>
      </c>
      <c r="F49" s="8">
        <f t="shared" ref="F49:DZ49" si="457">IF(ISERROR(F48/F$25),"",(F48/F$25))</f>
        <v>0.38757962952131086</v>
      </c>
      <c r="G49" s="8">
        <f t="shared" si="457"/>
        <v>0.43951006320349972</v>
      </c>
      <c r="H49" s="8">
        <f t="shared" si="457"/>
        <v>0.42116039864361637</v>
      </c>
      <c r="I49" s="8">
        <f t="shared" si="457"/>
        <v>0.44178881140309406</v>
      </c>
      <c r="J49" s="8">
        <f t="shared" si="457"/>
        <v>0.42626480123197602</v>
      </c>
      <c r="K49" s="8">
        <f t="shared" si="457"/>
        <v>0.46733322911202418</v>
      </c>
      <c r="L49" s="8">
        <f t="shared" si="457"/>
        <v>0.46733322911202418</v>
      </c>
      <c r="M49" s="8">
        <f t="shared" si="457"/>
        <v>0.44991100341575835</v>
      </c>
      <c r="N49" s="8">
        <f t="shared" ref="N49:AO49" si="458">IF(ISERROR(N48/N$25),"",(N48/N$25))</f>
        <v>0.46733322911202418</v>
      </c>
      <c r="O49" s="8">
        <f t="shared" si="458"/>
        <v>0.44991100341575835</v>
      </c>
      <c r="P49" s="8">
        <f t="shared" si="458"/>
        <v>0.46892686212842821</v>
      </c>
      <c r="Q49" s="8">
        <f t="shared" si="458"/>
        <v>0.46892686212842821</v>
      </c>
      <c r="R49" s="8">
        <f t="shared" si="458"/>
        <v>0.43122062926049343</v>
      </c>
      <c r="S49" s="8">
        <f t="shared" si="458"/>
        <v>0.46956433497092537</v>
      </c>
      <c r="T49" s="8">
        <f t="shared" si="458"/>
        <v>0.45221647946995613</v>
      </c>
      <c r="U49" s="8">
        <f t="shared" si="458"/>
        <v>0.46956433497092537</v>
      </c>
      <c r="V49" s="8">
        <f t="shared" si="458"/>
        <v>0.45221647946995613</v>
      </c>
      <c r="W49" s="8">
        <f t="shared" si="458"/>
        <v>0.46956433497092537</v>
      </c>
      <c r="X49" s="8">
        <f t="shared" si="458"/>
        <v>0.46956433497092537</v>
      </c>
      <c r="Y49" s="8">
        <f t="shared" si="458"/>
        <v>0.45221647946995613</v>
      </c>
      <c r="Z49" s="8">
        <f t="shared" si="458"/>
        <v>0.46956433497092537</v>
      </c>
      <c r="AA49" s="8">
        <f t="shared" si="458"/>
        <v>0.45221647946995613</v>
      </c>
      <c r="AB49" s="8">
        <f t="shared" si="458"/>
        <v>0.46956433497092537</v>
      </c>
      <c r="AC49" s="8">
        <f t="shared" si="458"/>
        <v>0.46956433497092537</v>
      </c>
      <c r="AD49" s="8">
        <f t="shared" si="458"/>
        <v>0.41126422316265387</v>
      </c>
      <c r="AE49" s="8">
        <f t="shared" si="458"/>
        <v>0.46956433497092537</v>
      </c>
      <c r="AF49" s="8">
        <f t="shared" si="458"/>
        <v>0.45221647946995613</v>
      </c>
      <c r="AG49" s="8">
        <f t="shared" si="458"/>
        <v>0.46956433497092537</v>
      </c>
      <c r="AH49" s="8">
        <f t="shared" si="458"/>
        <v>0.45221647946995613</v>
      </c>
      <c r="AI49" s="8">
        <f t="shared" si="458"/>
        <v>0.46956433497092537</v>
      </c>
      <c r="AJ49" s="8">
        <f t="shared" si="458"/>
        <v>0.46956433497092537</v>
      </c>
      <c r="AK49" s="8">
        <f t="shared" si="458"/>
        <v>0.45221647946995613</v>
      </c>
      <c r="AL49" s="8">
        <f t="shared" si="458"/>
        <v>0.46956433497092537</v>
      </c>
      <c r="AM49" s="8">
        <f t="shared" si="458"/>
        <v>0.45221647946995613</v>
      </c>
      <c r="AN49" s="8">
        <f t="shared" si="458"/>
        <v>0.46956433497092537</v>
      </c>
      <c r="AO49" s="8">
        <f t="shared" si="458"/>
        <v>0.46956433497092537</v>
      </c>
      <c r="AP49" s="8">
        <f t="shared" ref="AP49:BM49" si="459">IF(ISERROR(AP48/AP$25),"",(AP48/AP$25))</f>
        <v>0.41126422316265399</v>
      </c>
      <c r="AQ49" s="8">
        <f t="shared" si="459"/>
        <v>0.46956433497092548</v>
      </c>
      <c r="AR49" s="8">
        <f t="shared" si="459"/>
        <v>0.45221647946995625</v>
      </c>
      <c r="AS49" s="8">
        <f t="shared" si="459"/>
        <v>0.46956433497092548</v>
      </c>
      <c r="AT49" s="8">
        <f t="shared" si="459"/>
        <v>0.45221647946995625</v>
      </c>
      <c r="AU49" s="8">
        <f t="shared" si="459"/>
        <v>0.46956433497092548</v>
      </c>
      <c r="AV49" s="8">
        <f t="shared" si="459"/>
        <v>0.46956433497092548</v>
      </c>
      <c r="AW49" s="8">
        <f t="shared" si="459"/>
        <v>0.45221647946995625</v>
      </c>
      <c r="AX49" s="8">
        <f t="shared" si="459"/>
        <v>0.46956433497092548</v>
      </c>
      <c r="AY49" s="8">
        <f t="shared" si="459"/>
        <v>0.45221647946995625</v>
      </c>
      <c r="AZ49" s="8">
        <f t="shared" si="459"/>
        <v>0.46956433497092548</v>
      </c>
      <c r="BA49" s="8">
        <f t="shared" si="459"/>
        <v>0.46956433497092548</v>
      </c>
      <c r="BB49" s="8">
        <f t="shared" si="459"/>
        <v>0.41126422316265393</v>
      </c>
      <c r="BC49" s="8">
        <f t="shared" si="459"/>
        <v>0.46956433497092548</v>
      </c>
      <c r="BD49" s="8">
        <f t="shared" si="459"/>
        <v>0.45221647946995608</v>
      </c>
      <c r="BE49" s="8">
        <f t="shared" si="459"/>
        <v>0.46956433497092548</v>
      </c>
      <c r="BF49" s="8">
        <f t="shared" si="459"/>
        <v>0.45221647946995608</v>
      </c>
      <c r="BG49" s="8">
        <f t="shared" si="459"/>
        <v>0.46956433497092548</v>
      </c>
      <c r="BH49" s="8">
        <f t="shared" si="459"/>
        <v>0.46956433497092548</v>
      </c>
      <c r="BI49" s="8">
        <f t="shared" si="459"/>
        <v>0.45221647946995608</v>
      </c>
      <c r="BJ49" s="8">
        <f t="shared" si="459"/>
        <v>0.46956433497092548</v>
      </c>
      <c r="BK49" s="8">
        <f t="shared" si="459"/>
        <v>0.45221647946995608</v>
      </c>
      <c r="BL49" s="8">
        <f t="shared" si="459"/>
        <v>0.46956433497092548</v>
      </c>
      <c r="BM49" s="8">
        <f t="shared" si="459"/>
        <v>0.46956433497092548</v>
      </c>
      <c r="BN49" s="8">
        <f t="shared" ref="BN49:DU49" si="460">IF(ISERROR(BN48/BN$25),"",(BN48/BN$25))</f>
        <v>0.43122062926049343</v>
      </c>
      <c r="BO49" s="8">
        <f t="shared" si="460"/>
        <v>0.46956433497092537</v>
      </c>
      <c r="BP49" s="8">
        <f t="shared" si="460"/>
        <v>0.45221647946995613</v>
      </c>
      <c r="BQ49" s="8">
        <f t="shared" si="460"/>
        <v>0.46956433497092537</v>
      </c>
      <c r="BR49" s="8">
        <f t="shared" si="460"/>
        <v>0.45221647946995613</v>
      </c>
      <c r="BS49" s="8">
        <f t="shared" si="460"/>
        <v>0.46956433497092537</v>
      </c>
      <c r="BT49" s="8">
        <f t="shared" si="460"/>
        <v>0.46956433497092537</v>
      </c>
      <c r="BU49" s="8">
        <f t="shared" si="460"/>
        <v>0.45221647946995613</v>
      </c>
      <c r="BV49" s="8">
        <f t="shared" si="460"/>
        <v>0.46956433497092537</v>
      </c>
      <c r="BW49" s="8">
        <f t="shared" si="460"/>
        <v>0.45221647946995613</v>
      </c>
      <c r="BX49" s="8">
        <f t="shared" si="460"/>
        <v>0.46956433497092537</v>
      </c>
      <c r="BY49" s="8">
        <f t="shared" si="460"/>
        <v>0.46956433497092537</v>
      </c>
      <c r="BZ49" s="8">
        <f t="shared" si="460"/>
        <v>0.41126422316265393</v>
      </c>
      <c r="CA49" s="8">
        <f t="shared" si="460"/>
        <v>0.46956433497092537</v>
      </c>
      <c r="CB49" s="8">
        <f t="shared" si="460"/>
        <v>0.45221647946995619</v>
      </c>
      <c r="CC49" s="8">
        <f t="shared" si="460"/>
        <v>0.46956433497092537</v>
      </c>
      <c r="CD49" s="8">
        <f t="shared" si="460"/>
        <v>0.45221647946995619</v>
      </c>
      <c r="CE49" s="8">
        <f t="shared" si="460"/>
        <v>0.46956433497092537</v>
      </c>
      <c r="CF49" s="8">
        <f t="shared" si="460"/>
        <v>0.46956433497092537</v>
      </c>
      <c r="CG49" s="8">
        <f t="shared" si="460"/>
        <v>0.45221647946995619</v>
      </c>
      <c r="CH49" s="8">
        <f t="shared" si="460"/>
        <v>0.46956433497092537</v>
      </c>
      <c r="CI49" s="8">
        <f t="shared" si="460"/>
        <v>0.45221647946995619</v>
      </c>
      <c r="CJ49" s="8">
        <f t="shared" si="460"/>
        <v>0.46956433497092537</v>
      </c>
      <c r="CK49" s="8">
        <f t="shared" si="460"/>
        <v>0.46956433497092537</v>
      </c>
      <c r="CL49" s="8">
        <f t="shared" si="460"/>
        <v>0.41126422316265376</v>
      </c>
      <c r="CM49" s="8">
        <f t="shared" si="460"/>
        <v>0.46956433497092531</v>
      </c>
      <c r="CN49" s="8">
        <f t="shared" si="460"/>
        <v>0.45221647946995602</v>
      </c>
      <c r="CO49" s="8">
        <f t="shared" si="460"/>
        <v>0.46956433497092531</v>
      </c>
      <c r="CP49" s="8">
        <f t="shared" si="460"/>
        <v>0.45221647946995602</v>
      </c>
      <c r="CQ49" s="8">
        <f t="shared" si="460"/>
        <v>0.46956433497092531</v>
      </c>
      <c r="CR49" s="8">
        <f t="shared" si="460"/>
        <v>0.46956433497092531</v>
      </c>
      <c r="CS49" s="8">
        <f t="shared" si="460"/>
        <v>0.45221647946995602</v>
      </c>
      <c r="CT49" s="8">
        <f t="shared" si="460"/>
        <v>0.46956433497092531</v>
      </c>
      <c r="CU49" s="8">
        <f t="shared" si="460"/>
        <v>0.45221647946995602</v>
      </c>
      <c r="CV49" s="8">
        <f t="shared" si="460"/>
        <v>0.46956433497092531</v>
      </c>
      <c r="CW49" s="8">
        <f t="shared" si="460"/>
        <v>0.46956433497092531</v>
      </c>
      <c r="CX49" s="8">
        <f t="shared" si="460"/>
        <v>0.41126422316265399</v>
      </c>
      <c r="CY49" s="8">
        <f t="shared" si="460"/>
        <v>0.46956433497092542</v>
      </c>
      <c r="CZ49" s="8">
        <f t="shared" si="460"/>
        <v>0.45221647946995608</v>
      </c>
      <c r="DA49" s="8">
        <f t="shared" si="460"/>
        <v>0.46956433497092542</v>
      </c>
      <c r="DB49" s="8">
        <f t="shared" si="460"/>
        <v>0.45221647946995608</v>
      </c>
      <c r="DC49" s="8">
        <f t="shared" si="460"/>
        <v>0.46956433497092542</v>
      </c>
      <c r="DD49" s="8">
        <f t="shared" si="460"/>
        <v>0.46956433497092542</v>
      </c>
      <c r="DE49" s="8">
        <f t="shared" si="460"/>
        <v>0.45221647946995608</v>
      </c>
      <c r="DF49" s="8">
        <f t="shared" si="460"/>
        <v>0.46956433497092542</v>
      </c>
      <c r="DG49" s="8">
        <f t="shared" si="460"/>
        <v>0.45221647946995608</v>
      </c>
      <c r="DH49" s="8">
        <f t="shared" si="460"/>
        <v>0.46956433497092542</v>
      </c>
      <c r="DI49" s="8">
        <f t="shared" si="460"/>
        <v>0.46956433497092542</v>
      </c>
      <c r="DJ49" s="8">
        <f t="shared" si="460"/>
        <v>0.43122062926049348</v>
      </c>
      <c r="DK49" s="8">
        <f t="shared" si="460"/>
        <v>0.46956433497092531</v>
      </c>
      <c r="DL49" s="8">
        <f t="shared" si="460"/>
        <v>0.45221647946995602</v>
      </c>
      <c r="DM49" s="8">
        <f t="shared" si="460"/>
        <v>0.46956433497092531</v>
      </c>
      <c r="DN49" s="8">
        <f t="shared" si="460"/>
        <v>0.45221647946995602</v>
      </c>
      <c r="DO49" s="8">
        <f t="shared" si="460"/>
        <v>0.46956433497092531</v>
      </c>
      <c r="DP49" s="8">
        <f t="shared" si="460"/>
        <v>0.46956433497092531</v>
      </c>
      <c r="DQ49" s="8">
        <f t="shared" si="460"/>
        <v>0.45221647946995602</v>
      </c>
      <c r="DR49" s="8">
        <f t="shared" si="460"/>
        <v>0.46956433497092531</v>
      </c>
      <c r="DS49" s="8">
        <f t="shared" si="460"/>
        <v>0.45221647946995602</v>
      </c>
      <c r="DT49" s="8">
        <f t="shared" si="460"/>
        <v>0.46956433497092531</v>
      </c>
      <c r="DU49" s="157">
        <f t="shared" si="460"/>
        <v>0.46956433497092531</v>
      </c>
      <c r="DV49" s="157"/>
      <c r="DW49" s="157">
        <f t="shared" si="457"/>
        <v>6.8670978298207383E-2</v>
      </c>
      <c r="DX49" s="9">
        <f t="shared" si="457"/>
        <v>0.41698711848554704</v>
      </c>
      <c r="DY49" s="8">
        <f t="shared" si="457"/>
        <v>0.44533399231443432</v>
      </c>
      <c r="DZ49" s="8">
        <f t="shared" si="457"/>
        <v>0.46165206855889407</v>
      </c>
      <c r="EA49" s="157">
        <f t="shared" ref="EA49:ED49" si="461">IF(ISERROR(EA48/EA$25),"",(EA48/EA$25))</f>
        <v>0.4627260386351662</v>
      </c>
      <c r="EB49" s="9">
        <f t="shared" si="461"/>
        <v>0.42421283820691291</v>
      </c>
      <c r="EC49" s="8">
        <f t="shared" si="461"/>
        <v>0.46083835102087378</v>
      </c>
      <c r="ED49" s="157">
        <f t="shared" si="461"/>
        <v>0.45938859307846536</v>
      </c>
      <c r="EE49" s="146">
        <f>IF(ISERROR(EE48/EE$25),"",(EE48/EE$25))</f>
        <v>0.4482382062587193</v>
      </c>
      <c r="EF49" s="8">
        <f t="shared" ref="EF49:EG49" si="462">IF(ISERROR(EF48/EF$25),"",(EF48/EF$25))</f>
        <v>0.45938859307846541</v>
      </c>
      <c r="EG49" s="157">
        <f t="shared" si="462"/>
        <v>0.45938859307846558</v>
      </c>
      <c r="EH49" s="146">
        <f>IF(ISERROR(EH48/EH$25),"",(EH48/EH$25))</f>
        <v>0.4529698901053309</v>
      </c>
      <c r="EJ49" s="9">
        <f t="shared" ref="EJ49:EO49" si="463">IF(ISERROR(EJ48/EJ$25),"",(EJ48/EJ$25))</f>
        <v>0.46083835102087395</v>
      </c>
      <c r="EK49" s="8">
        <f t="shared" si="463"/>
        <v>0.45938859307846536</v>
      </c>
      <c r="EL49" s="8">
        <f t="shared" si="463"/>
        <v>0.45938859307846514</v>
      </c>
      <c r="EM49" s="8">
        <f t="shared" si="463"/>
        <v>0.45938859307846525</v>
      </c>
      <c r="EN49" s="157">
        <f t="shared" si="463"/>
        <v>0.46083835102087389</v>
      </c>
      <c r="EO49" s="146">
        <f t="shared" si="463"/>
        <v>0.45687640252242279</v>
      </c>
    </row>
    <row r="50" spans="2:147" x14ac:dyDescent="0.3">
      <c r="B50" s="605"/>
      <c r="C50" s="5"/>
      <c r="D50" s="5"/>
      <c r="E50" s="6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156"/>
      <c r="DV50" s="156"/>
      <c r="DW50" s="156"/>
      <c r="DX50" s="6"/>
      <c r="DY50" s="5"/>
      <c r="DZ50" s="5"/>
      <c r="EA50" s="156"/>
      <c r="EB50" s="6"/>
      <c r="EC50" s="5"/>
      <c r="ED50" s="156"/>
      <c r="EE50" s="145"/>
      <c r="EF50" s="5"/>
      <c r="EG50" s="156"/>
      <c r="EH50" s="145"/>
      <c r="EJ50" s="6">
        <f t="shared" si="347"/>
        <v>0</v>
      </c>
      <c r="EK50" s="5">
        <f t="shared" si="348"/>
        <v>0</v>
      </c>
      <c r="EL50" s="5">
        <f t="shared" si="349"/>
        <v>0</v>
      </c>
      <c r="EM50" s="5">
        <f t="shared" si="350"/>
        <v>0</v>
      </c>
      <c r="EN50" s="156">
        <f t="shared" si="351"/>
        <v>0</v>
      </c>
      <c r="EO50" s="145">
        <f t="shared" si="352"/>
        <v>0</v>
      </c>
      <c r="EQ50" s="14">
        <f t="shared" si="353"/>
        <v>0</v>
      </c>
    </row>
    <row r="51" spans="2:147" x14ac:dyDescent="0.3">
      <c r="B51" s="599" t="s">
        <v>41</v>
      </c>
      <c r="C51" s="181"/>
      <c r="D51" s="181"/>
      <c r="E51" s="1282">
        <f>IF(Summary!$R$11="Included",(((MAX($E$109:$Q$109)*(E162*12/52)*E4)/E5)-E34),0)</f>
        <v>0</v>
      </c>
      <c r="F51" s="1272">
        <f>IF(Summary!$R$11="Included",(((MAX($E$109:$Q$109)*F162)/F5)-F34),0)</f>
        <v>0</v>
      </c>
      <c r="G51" s="1272">
        <f>IF(Summary!$R$11="Included",(((MAX($E$109:$Q$109)*G162)/G5)-G34),0)</f>
        <v>0</v>
      </c>
      <c r="H51" s="1272">
        <f>IF(Summary!$R$11="Included",(((MAX($E$109:$Q$109)*H162)/H5)-H34),0)</f>
        <v>0</v>
      </c>
      <c r="I51" s="1272">
        <f>IF(Summary!$R$11="Included",(((MAX($E$109:$Q$109)*I162)/I5)-I34),0)</f>
        <v>0</v>
      </c>
      <c r="J51" s="1272">
        <f>IF(Summary!$R$11="Included",(((MAX($E$109:$Q$109)*J162)/J5)-J34),0)</f>
        <v>0</v>
      </c>
      <c r="K51" s="1272">
        <f>IF(Summary!$R$11="Included",(((MAX($E$109:$Q$109)*K162)/K5)-K34),0)</f>
        <v>0</v>
      </c>
      <c r="L51" s="1272">
        <f>IF(Summary!$R$11="Included",(((MAX($E$109:$Q$109)*L162)/L5)-L34),0)</f>
        <v>0</v>
      </c>
      <c r="M51" s="1272">
        <f>IF(Summary!$R$11="Included",(((MAX($E$109:$Q$109)*M162)/M5)-M34),0)</f>
        <v>0</v>
      </c>
      <c r="N51" s="1272">
        <f>IF(Summary!$R$11="Included",(((MAX($E$109:$Q$109)*N162)/N5)-N34),0)</f>
        <v>0</v>
      </c>
      <c r="O51" s="1272">
        <f>IF(Summary!$R$11="Included",(((MAX($E$109:$Q$109)*O162)/O5)-O34),0)</f>
        <v>0</v>
      </c>
      <c r="P51" s="1272">
        <f>IF(Summary!$R$11="Included",(((MAX($E$109:$Q$109)*P162)/P5)-P34),0)</f>
        <v>0</v>
      </c>
      <c r="Q51" s="1272">
        <f>IF(Summary!$R$11="Included",(((MAX($E$109:$Q$109)*Q162)/Q5)-Q34),0)</f>
        <v>0</v>
      </c>
      <c r="R51" s="1273">
        <f>IF(Summary!$R$11="Included",(((MAX($R$109:$AC$109)*R162)/R5)-R34),0)</f>
        <v>0</v>
      </c>
      <c r="S51" s="1273">
        <f>IF(Summary!$R$11="Included",(((MAX($R$109:$AC$109)*S162)/S5)-S34),0)</f>
        <v>0</v>
      </c>
      <c r="T51" s="1273">
        <f>IF(Summary!$R$11="Included",(((MAX($R$109:$AC$109)*T162)/T5)-T34),0)</f>
        <v>0</v>
      </c>
      <c r="U51" s="1273">
        <f>IF(Summary!$R$11="Included",(((MAX($R$109:$AC$109)*U162)/U5)-U34),0)</f>
        <v>0</v>
      </c>
      <c r="V51" s="1273">
        <f>IF(Summary!$R$11="Included",(((MAX($R$109:$AC$109)*V162)/V5)-V34),0)</f>
        <v>0</v>
      </c>
      <c r="W51" s="1273">
        <f>IF(Summary!$R$11="Included",(((MAX($R$109:$AC$109)*W162)/W5)-W34),0)</f>
        <v>0</v>
      </c>
      <c r="X51" s="1273">
        <f>IF(Summary!$R$11="Included",(((MAX($R$109:$AC$109)*X162)/X5)-X34),0)</f>
        <v>0</v>
      </c>
      <c r="Y51" s="1273">
        <f>IF(Summary!$R$11="Included",(((MAX($R$109:$AC$109)*Y162)/Y5)-Y34),0)</f>
        <v>0</v>
      </c>
      <c r="Z51" s="1273">
        <f>IF(Summary!$R$11="Included",(((MAX($R$109:$AC$109)*Z162)/Z5)-Z34),0)</f>
        <v>0</v>
      </c>
      <c r="AA51" s="1273">
        <f>IF(Summary!$R$11="Included",(((MAX($R$109:$AC$109)*AA162)/AA5)-AA34),0)</f>
        <v>0</v>
      </c>
      <c r="AB51" s="1273">
        <f>IF(Summary!$R$11="Included",(((MAX($R$109:$AC$109)*AB162)/AB5)-AB34),0)</f>
        <v>0</v>
      </c>
      <c r="AC51" s="1273">
        <f>IF(Summary!$R$11="Included",(((MAX($R$109:$AC$109)*AC162)/AC5)-AC34),0)</f>
        <v>0</v>
      </c>
      <c r="AD51" s="1274">
        <f>IF(Summary!$R$11="Included",(((MAX($AD$109:$AO$109)*AD162)/AD5)-AD34),0)</f>
        <v>0</v>
      </c>
      <c r="AE51" s="1274">
        <f>IF(Summary!$R$11="Included",(((MAX($AD$109:$AO$109)*AE162)/AE5)-AE34),0)</f>
        <v>0</v>
      </c>
      <c r="AF51" s="1274">
        <f>IF(Summary!$R$11="Included",(((MAX($AD$109:$AO$109)*AF162)/AF5)-AF34),0)</f>
        <v>0</v>
      </c>
      <c r="AG51" s="1274">
        <f>IF(Summary!$R$11="Included",(((MAX($AD$109:$AO$109)*AG162)/AG5)-AG34),0)</f>
        <v>0</v>
      </c>
      <c r="AH51" s="1274">
        <f>IF(Summary!$R$11="Included",(((MAX($AD$109:$AO$109)*AH162)/AH5)-AH34),0)</f>
        <v>0</v>
      </c>
      <c r="AI51" s="1274">
        <f>IF(Summary!$R$11="Included",(((MAX($AD$109:$AO$109)*AI162)/AI5)-AI34),0)</f>
        <v>0</v>
      </c>
      <c r="AJ51" s="1274">
        <f>IF(Summary!$R$11="Included",(((MAX($AD$109:$AO$109)*AJ162)/AJ5)-AJ34),0)</f>
        <v>0</v>
      </c>
      <c r="AK51" s="1274">
        <f>IF(Summary!$R$11="Included",(((MAX($AD$109:$AO$109)*AK162)/AK5)-AK34),0)</f>
        <v>0</v>
      </c>
      <c r="AL51" s="1274">
        <f>IF(Summary!$R$11="Included",(((MAX($AD$109:$AO$109)*AL162)/AL5)-AL34),0)</f>
        <v>0</v>
      </c>
      <c r="AM51" s="1274">
        <f>IF(Summary!$R$11="Included",(((MAX($AD$109:$AO$109)*AM162)/AM5)-AM34),0)</f>
        <v>0</v>
      </c>
      <c r="AN51" s="1274">
        <f>IF(Summary!$R$11="Included",(((MAX($AD$109:$AO$109)*AN162)/AN5)-AN34),0)</f>
        <v>0</v>
      </c>
      <c r="AO51" s="1274">
        <f>IF(Summary!$R$11="Included",(((MAX($AD$109:$AO$109)*AO162)/AO5)-AO34),0)</f>
        <v>0</v>
      </c>
      <c r="AP51" s="1275">
        <f>IF(Summary!$R$11="Included",(((MAX($AP$109:$BA$109)*AP162)/AP5)-AP34),0)</f>
        <v>0</v>
      </c>
      <c r="AQ51" s="1275">
        <f>IF(Summary!$R$11="Included",(((MAX($AP$109:$BA$109)*AQ162)/AQ5)-AQ34),0)</f>
        <v>0</v>
      </c>
      <c r="AR51" s="1275">
        <f>IF(Summary!$R$11="Included",(((MAX($AP$109:$BA$109)*AR162)/AR5)-AR34),0)</f>
        <v>0</v>
      </c>
      <c r="AS51" s="1275">
        <f>IF(Summary!$R$11="Included",(((MAX($AP$109:$BA$109)*AS162)/AS5)-AS34),0)</f>
        <v>0</v>
      </c>
      <c r="AT51" s="1275">
        <f>IF(Summary!$R$11="Included",(((MAX($AP$109:$BA$109)*AT162)/AT5)-AT34),0)</f>
        <v>0</v>
      </c>
      <c r="AU51" s="1275">
        <f>IF(Summary!$R$11="Included",(((MAX($AP$109:$BA$109)*AU162)/AU5)-AU34),0)</f>
        <v>0</v>
      </c>
      <c r="AV51" s="1275">
        <f>IF(Summary!$R$11="Included",(((MAX($AP$109:$BA$109)*AV162)/AV5)-AV34),0)</f>
        <v>0</v>
      </c>
      <c r="AW51" s="1275">
        <f>IF(Summary!$R$11="Included",(((MAX($AP$109:$BA$109)*AW162)/AW5)-AW34),0)</f>
        <v>0</v>
      </c>
      <c r="AX51" s="1275">
        <f>IF(Summary!$R$11="Included",(((MAX($AP$109:$BA$109)*AX162)/AX5)-AX34),0)</f>
        <v>0</v>
      </c>
      <c r="AY51" s="1275">
        <f>IF(Summary!$R$11="Included",(((MAX($AP$109:$BA$109)*AY162)/AY5)-AY34),0)</f>
        <v>0</v>
      </c>
      <c r="AZ51" s="1275">
        <f>IF(Summary!$R$11="Included",(((MAX($AP$109:$BA$109)*AZ162)/AZ5)-AZ34),0)</f>
        <v>0</v>
      </c>
      <c r="BA51" s="1275">
        <f>IF(Summary!$R$11="Included",(((MAX($AP$109:$BA$109)*BA162)/BA5)-BA34),0)</f>
        <v>0</v>
      </c>
      <c r="BB51" s="1276">
        <f>IF(Summary!$R$11="Included",(((MAX($BB$109:$BM$109)*BB162)/BB5)-BB34),0)</f>
        <v>0</v>
      </c>
      <c r="BC51" s="1276">
        <f>IF(Summary!$R$11="Included",(((MAX($BB$109:$BM$109)*BC162)/BC5)-BC34),0)</f>
        <v>0</v>
      </c>
      <c r="BD51" s="1276">
        <f>IF(Summary!$R$11="Included",(((MAX($BB$109:$BM$109)*BD162)/BD5)-BD34),0)</f>
        <v>0</v>
      </c>
      <c r="BE51" s="1276">
        <f>IF(Summary!$R$11="Included",(((MAX($BB$109:$BM$109)*BE162)/BE5)-BE34),0)</f>
        <v>0</v>
      </c>
      <c r="BF51" s="1276">
        <f>IF(Summary!$R$11="Included",(((MAX($BB$109:$BM$109)*BF162)/BF5)-BF34),0)</f>
        <v>0</v>
      </c>
      <c r="BG51" s="1276">
        <f>IF(Summary!$R$11="Included",(((MAX($BB$109:$BM$109)*BG162)/BG5)-BG34),0)</f>
        <v>0</v>
      </c>
      <c r="BH51" s="1276">
        <f>IF(Summary!$R$11="Included",(((MAX($BB$109:$BM$109)*BH162)/BH5)-BH34),0)</f>
        <v>0</v>
      </c>
      <c r="BI51" s="1276">
        <f>IF(Summary!$R$11="Included",(((MAX($BB$109:$BM$109)*BI162)/BI5)-BI34),0)</f>
        <v>0</v>
      </c>
      <c r="BJ51" s="1276">
        <f>IF(Summary!$R$11="Included",(((MAX($BB$109:$BM$109)*BJ162)/BJ5)-BJ34),0)</f>
        <v>0</v>
      </c>
      <c r="BK51" s="1276">
        <f>IF(Summary!$R$11="Included",(((MAX($BB$109:$BM$109)*BK162)/BK5)-BK34),0)</f>
        <v>0</v>
      </c>
      <c r="BL51" s="1276">
        <f>IF(Summary!$R$11="Included",(((MAX($BB$109:$BM$109)*BL162)/BL5)-BL34),0)</f>
        <v>0</v>
      </c>
      <c r="BM51" s="1276">
        <f>IF(Summary!$R$11="Included",(((MAX($BB$109:$BM$109)*BM162)/BM5)-BM34),0)</f>
        <v>0</v>
      </c>
      <c r="BN51" s="1280">
        <f>IF(Summary!$R$11="Included",(((MAX($BN$109:$BY$109)*BN162)/BN5)-BN34),0)</f>
        <v>0</v>
      </c>
      <c r="BO51" s="1280">
        <f>IF(Summary!$R$11="Included",(((MAX($BN$109:$BY$109)*BO162)/BO5)-BO34),0)</f>
        <v>0</v>
      </c>
      <c r="BP51" s="1280">
        <f>IF(Summary!$R$11="Included",(((MAX($BN$109:$BY$109)*BP162)/BP5)-BP34),0)</f>
        <v>0</v>
      </c>
      <c r="BQ51" s="1280">
        <f>IF(Summary!$R$11="Included",(((MAX($BN$109:$BY$109)*BQ162)/BQ5)-BQ34),0)</f>
        <v>0</v>
      </c>
      <c r="BR51" s="1280">
        <f>IF(Summary!$R$11="Included",(((MAX($BN$109:$BY$109)*BR162)/BR5)-BR34),0)</f>
        <v>0</v>
      </c>
      <c r="BS51" s="1280">
        <f>IF(Summary!$R$11="Included",(((MAX($BN$109:$BY$109)*BS162)/BS5)-BS34),0)</f>
        <v>0</v>
      </c>
      <c r="BT51" s="1280">
        <f>IF(Summary!$R$11="Included",(((MAX($BN$109:$BY$109)*BT162)/BT5)-BT34),0)</f>
        <v>0</v>
      </c>
      <c r="BU51" s="1280">
        <f>IF(Summary!$R$11="Included",(((MAX($BN$109:$BY$109)*BU162)/BU5)-BU34),0)</f>
        <v>0</v>
      </c>
      <c r="BV51" s="1280">
        <f>IF(Summary!$R$11="Included",(((MAX($BN$109:$BY$109)*BV162)/BV5)-BV34),0)</f>
        <v>0</v>
      </c>
      <c r="BW51" s="1280">
        <f>IF(Summary!$R$11="Included",(((MAX($BN$109:$BY$109)*BW162)/BW5)-BW34),0)</f>
        <v>0</v>
      </c>
      <c r="BX51" s="1280">
        <f>IF(Summary!$R$11="Included",(((MAX($BN$109:$BY$109)*BX162)/BX5)-BX34),0)</f>
        <v>0</v>
      </c>
      <c r="BY51" s="1280">
        <f>IF(Summary!$R$11="Included",(((MAX($BZ$109:$CK$109)*BY162)/BY5)-BY34),0)</f>
        <v>0</v>
      </c>
      <c r="BZ51" s="1277">
        <f>IF(Summary!$R$11="Included",(((MAX($BZ$109:$CK$109)*BZ162)/BZ5)-BZ34),0)</f>
        <v>0</v>
      </c>
      <c r="CA51" s="1277">
        <f>IF(Summary!$R$11="Included",(((MAX($BZ$109:$CK$109)*CA162)/CA5)-CA34),0)</f>
        <v>0</v>
      </c>
      <c r="CB51" s="1277">
        <f>IF(Summary!$R$11="Included",(((MAX($BZ$109:$CK$109)*CB162)/CB5)-CB34),0)</f>
        <v>0</v>
      </c>
      <c r="CC51" s="1277">
        <f>IF(Summary!$R$11="Included",(((MAX($BZ$109:$CK$109)*CC162)/CC5)-CC34),0)</f>
        <v>0</v>
      </c>
      <c r="CD51" s="1277">
        <f>IF(Summary!$R$11="Included",(((MAX($BZ$109:$CK$109)*CD162)/CD5)-CD34),0)</f>
        <v>0</v>
      </c>
      <c r="CE51" s="1277">
        <f>IF(Summary!$R$11="Included",(((MAX($BZ$109:$CK$109)*CE162)/CE5)-CE34),0)</f>
        <v>0</v>
      </c>
      <c r="CF51" s="1277">
        <f>IF(Summary!$R$11="Included",(((MAX($BZ$109:$CK$109)*CF162)/CF5)-CF34),0)</f>
        <v>0</v>
      </c>
      <c r="CG51" s="1277">
        <f>IF(Summary!$R$11="Included",(((MAX($BZ$109:$CK$109)*CG162)/CG5)-CG34),0)</f>
        <v>0</v>
      </c>
      <c r="CH51" s="1277">
        <f>IF(Summary!$R$11="Included",(((MAX($BZ$109:$CK$109)*CH162)/CH5)-CH34),0)</f>
        <v>0</v>
      </c>
      <c r="CI51" s="1277">
        <f>IF(Summary!$R$11="Included",(((MAX($BZ$109:$CK$109)*CI162)/CI5)-CI34),0)</f>
        <v>0</v>
      </c>
      <c r="CJ51" s="1277">
        <f>IF(Summary!$R$11="Included",(((MAX($BZ$109:$CK$109)*CJ162)/CJ5)-CJ34),0)</f>
        <v>0</v>
      </c>
      <c r="CK51" s="1277">
        <f>IF(Summary!$R$11="Included",(((MAX($BZ$109:$CK$109)*CK162)/CK5)-CK34),0)</f>
        <v>0</v>
      </c>
      <c r="CL51" s="1312">
        <f>IF(Summary!$R$11="Included",(((MAX($CL$109:$CW$109)*CL162)/CL5)-CL34),0)</f>
        <v>0</v>
      </c>
      <c r="CM51" s="1312">
        <f>IF(Summary!$R$11="Included",(((MAX($CL$109:$CW$109)*CM162)/CM5)-CM34),0)</f>
        <v>0</v>
      </c>
      <c r="CN51" s="1312">
        <f>IF(Summary!$R$11="Included",(((MAX($CL$109:$CW$109)*CN162)/CN5)-CN34),0)</f>
        <v>0</v>
      </c>
      <c r="CO51" s="1312">
        <f>IF(Summary!$R$11="Included",(((MAX($CL$109:$CW$109)*CO162)/CO5)-CO34),0)</f>
        <v>0</v>
      </c>
      <c r="CP51" s="1312">
        <f>IF(Summary!$R$11="Included",(((MAX($CL$109:$CW$109)*CP162)/CP5)-CP34),0)</f>
        <v>0</v>
      </c>
      <c r="CQ51" s="1312">
        <f>IF(Summary!$R$11="Included",(((MAX($CL$109:$CW$109)*CQ162)/CQ5)-CQ34),0)</f>
        <v>0</v>
      </c>
      <c r="CR51" s="1312">
        <f>IF(Summary!$R$11="Included",(((MAX($CL$109:$CW$109)*CR162)/CR5)-CR34),0)</f>
        <v>0</v>
      </c>
      <c r="CS51" s="1312">
        <f>IF(Summary!$R$11="Included",(((MAX($CL$109:$CW$109)*CS162)/CS5)-CS34),0)</f>
        <v>0</v>
      </c>
      <c r="CT51" s="1312">
        <f>IF(Summary!$R$11="Included",(((MAX($CL$109:$CW$109)*CT162)/CT5)-CT34),0)</f>
        <v>0</v>
      </c>
      <c r="CU51" s="1312">
        <f>IF(Summary!$R$11="Included",(((MAX($CL$109:$CW$109)*CU162)/CU5)-CU34),0)</f>
        <v>0</v>
      </c>
      <c r="CV51" s="1312">
        <f>IF(Summary!$R$11="Included",(((MAX($CL$109:$CW$109)*CV162)/CV5)-CV34),0)</f>
        <v>0</v>
      </c>
      <c r="CW51" s="1312">
        <f>IF(Summary!$R$11="Included",(((MAX($CL$109:$CW$109)*CW162)/CW5)-CW34),0)</f>
        <v>0</v>
      </c>
      <c r="CX51" s="1275">
        <f>IF(Summary!$R$11="Included",(((MAX($CX$109:$DI$109)*CX162)/CX5)-CX34),0)</f>
        <v>0</v>
      </c>
      <c r="CY51" s="1275">
        <f>IF(Summary!$R$11="Included",(((MAX($CX$109:$DI$109)*CY162)/CY5)-CY34),0)</f>
        <v>0</v>
      </c>
      <c r="CZ51" s="1275">
        <f>IF(Summary!$R$11="Included",(((MAX($CX$109:$DI$109)*CZ162)/CZ5)-CZ34),0)</f>
        <v>0</v>
      </c>
      <c r="DA51" s="1275">
        <f>IF(Summary!$R$11="Included",(((MAX($CX$109:$DI$109)*DA162)/DA5)-DA34),0)</f>
        <v>0</v>
      </c>
      <c r="DB51" s="1275">
        <f>IF(Summary!$R$11="Included",(((MAX($CX$109:$DI$109)*DB162)/DB5)-DB34),0)</f>
        <v>0</v>
      </c>
      <c r="DC51" s="1275">
        <f>IF(Summary!$R$11="Included",(((MAX($CX$109:$DI$109)*DC162)/DC5)-DC34),0)</f>
        <v>0</v>
      </c>
      <c r="DD51" s="1275">
        <f>IF(Summary!$R$11="Included",(((MAX($CX$109:$DI$109)*DD162)/DD5)-DD34),0)</f>
        <v>0</v>
      </c>
      <c r="DE51" s="1275">
        <f>IF(Summary!$R$11="Included",(((MAX($CX$109:$DI$109)*DE162)/DE5)-DE34),0)</f>
        <v>0</v>
      </c>
      <c r="DF51" s="1275">
        <f>IF(Summary!$R$11="Included",(((MAX($CX$109:$DI$109)*DF162)/DF5)-DF34),0)</f>
        <v>0</v>
      </c>
      <c r="DG51" s="1275">
        <f>IF(Summary!$R$11="Included",(((MAX($CX$109:$DI$109)*DG162)/DG5)-DG34),0)</f>
        <v>0</v>
      </c>
      <c r="DH51" s="1275">
        <f>IF(Summary!$R$11="Included",(((MAX($CX$109:$DI$109)*DH162)/DH5)-DH34),0)</f>
        <v>0</v>
      </c>
      <c r="DI51" s="1275">
        <f>IF(Summary!$R$11="Included",(((MAX($CX$109:$DI$109)*DI162)/DI5)-DI34),0)</f>
        <v>0</v>
      </c>
      <c r="DJ51" s="1313">
        <f>IF(Summary!$R$11="Included",(((MAX($DJ$109:$DU$109)*DJ162)/DJ5)-DJ34),0)</f>
        <v>0</v>
      </c>
      <c r="DK51" s="1313">
        <f>IF(Summary!$R$11="Included",(((MAX($DJ$109:$DU$109)*DK162)/DK5)-DK34),0)</f>
        <v>0</v>
      </c>
      <c r="DL51" s="1313">
        <f>IF(Summary!$R$11="Included",(((MAX($DJ$109:$DU$109)*DL162)/DL5)-DL34),0)</f>
        <v>0</v>
      </c>
      <c r="DM51" s="1313">
        <f>IF(Summary!$R$11="Included",(((MAX($DJ$109:$DU$109)*DM162)/DM5)-DM34),0)</f>
        <v>0</v>
      </c>
      <c r="DN51" s="1313">
        <f>IF(Summary!$R$11="Included",(((MAX($DJ$109:$DU$109)*DN162)/DN5)-DN34),0)</f>
        <v>0</v>
      </c>
      <c r="DO51" s="1313">
        <f>IF(Summary!$R$11="Included",(((MAX($DJ$109:$DU$109)*DO162)/DO5)-DO34),0)</f>
        <v>0</v>
      </c>
      <c r="DP51" s="1313">
        <f>IF(Summary!$R$11="Included",(((MAX($DJ$109:$DU$109)*DP162)/DP5)-DP34),0)</f>
        <v>0</v>
      </c>
      <c r="DQ51" s="1313">
        <f>IF(Summary!$R$11="Included",(((MAX($DJ$109:$DU$109)*DQ162)/DQ5)-DQ34),0)</f>
        <v>0</v>
      </c>
      <c r="DR51" s="1313">
        <f>IF(Summary!$R$11="Included",(((MAX($DJ$109:$DU$109)*DR162)/DR5)-DR34),0)</f>
        <v>0</v>
      </c>
      <c r="DS51" s="1313">
        <f>IF(Summary!$R$11="Included",(((MAX($DJ$109:$DU$109)*DS162)/DS5)-DS34),0)</f>
        <v>0</v>
      </c>
      <c r="DT51" s="1313">
        <f>IF(Summary!$R$11="Included",(((MAX($DJ$109:$DU$109)*DT162)/DT5)-DT34),0)</f>
        <v>0</v>
      </c>
      <c r="DU51" s="1314">
        <f>IF(Summary!$R$11="Included",(((MAX($DJ$109:$DU$109)*DU162)/DU5)-DU34),0)</f>
        <v>0</v>
      </c>
      <c r="DV51" s="1314"/>
      <c r="DW51" s="1248">
        <f t="shared" ref="DW51:DW53" si="464">SUM(C51:E51)</f>
        <v>0</v>
      </c>
      <c r="DX51" s="1246">
        <f>SUM(F51:H51)</f>
        <v>0</v>
      </c>
      <c r="DY51" s="1247">
        <f>SUM(I51:K51)</f>
        <v>0</v>
      </c>
      <c r="DZ51" s="1247">
        <f>SUM(L51:N51)</f>
        <v>0</v>
      </c>
      <c r="EA51" s="1248">
        <f>SUM(O51:Q51)</f>
        <v>0</v>
      </c>
      <c r="EB51" s="1246">
        <f t="shared" ref="EB51:EB53" si="465">SUM(C51:Q51)</f>
        <v>0</v>
      </c>
      <c r="EC51" s="1247">
        <f>SUM(R51:AC51)</f>
        <v>0</v>
      </c>
      <c r="ED51" s="1248">
        <f>SUM(AD51:AO51)</f>
        <v>0</v>
      </c>
      <c r="EE51" s="1249">
        <f>SUM(EB51:ED51)</f>
        <v>0</v>
      </c>
      <c r="EF51" s="1247">
        <f t="shared" ref="EF51:EF52" si="466">SUM(AP51:BA51)</f>
        <v>0</v>
      </c>
      <c r="EG51" s="1248">
        <f t="shared" ref="EG51:EG52" si="467">SUM(BB51:BM51)</f>
        <v>0</v>
      </c>
      <c r="EH51" s="1249">
        <f>SUM(EE51:EG51)</f>
        <v>0</v>
      </c>
      <c r="EI51" s="1307">
        <f t="shared" ref="EI51:EI52" si="468">EH51/$EH$25</f>
        <v>0</v>
      </c>
      <c r="EJ51" s="1246">
        <f t="shared" si="347"/>
        <v>0</v>
      </c>
      <c r="EK51" s="1247">
        <f t="shared" si="348"/>
        <v>0</v>
      </c>
      <c r="EL51" s="1247">
        <f t="shared" si="349"/>
        <v>0</v>
      </c>
      <c r="EM51" s="1247">
        <f t="shared" si="350"/>
        <v>0</v>
      </c>
      <c r="EN51" s="1248">
        <f t="shared" si="351"/>
        <v>0</v>
      </c>
      <c r="EO51" s="1249">
        <f t="shared" si="352"/>
        <v>0</v>
      </c>
      <c r="EQ51" s="14">
        <f t="shared" si="353"/>
        <v>0</v>
      </c>
    </row>
    <row r="52" spans="2:147" x14ac:dyDescent="0.3">
      <c r="B52" s="599" t="s">
        <v>310</v>
      </c>
      <c r="C52" s="29"/>
      <c r="D52" s="29"/>
      <c r="E52" s="1315">
        <f>(E$25*Data!G125)</f>
        <v>3026.9700000000003</v>
      </c>
      <c r="F52" s="1305">
        <f>(F$25*Data!H125)</f>
        <v>3636</v>
      </c>
      <c r="G52" s="1305">
        <f>(G$25*Data!I125)</f>
        <v>4025.5714285714289</v>
      </c>
      <c r="H52" s="1305">
        <f>(H$25*Data!J125)</f>
        <v>3895.7142857142858</v>
      </c>
      <c r="I52" s="1305">
        <f>(I$25*Data!K125)</f>
        <v>4025.5714285714289</v>
      </c>
      <c r="J52" s="1305">
        <f>(J$25*Data!L125)</f>
        <v>3895.7142857142858</v>
      </c>
      <c r="K52" s="1305">
        <f>(K$25*Data!M125)</f>
        <v>4025.5714285714289</v>
      </c>
      <c r="L52" s="1305">
        <f>(L$25*Data!N125)</f>
        <v>4025.5714285714289</v>
      </c>
      <c r="M52" s="1305">
        <f>(M$25*Data!O125)</f>
        <v>3895.7142857142858</v>
      </c>
      <c r="N52" s="1305">
        <f>(N$25*Data!P125)</f>
        <v>4025.5714285714289</v>
      </c>
      <c r="O52" s="1305">
        <f>(O$25*Data!Q125)</f>
        <v>3895.7142857142858</v>
      </c>
      <c r="P52" s="1305">
        <f>(P$25*Data!R125)</f>
        <v>4025.5714285714289</v>
      </c>
      <c r="Q52" s="1305">
        <f>(Q$25*Data!S125)</f>
        <v>4025.5714285714289</v>
      </c>
      <c r="R52" s="1305">
        <f>(R$25*Data!T125)</f>
        <v>2471.3437500000005</v>
      </c>
      <c r="S52" s="1305">
        <f>(S$25*Data!U125)</f>
        <v>2641.7812500000005</v>
      </c>
      <c r="T52" s="1305">
        <f>(T$25*Data!V125)</f>
        <v>2556.5625</v>
      </c>
      <c r="U52" s="1305">
        <f>(U$25*Data!W125)</f>
        <v>2641.7812500000005</v>
      </c>
      <c r="V52" s="1305">
        <f>(V$25*Data!X125)</f>
        <v>2556.5625</v>
      </c>
      <c r="W52" s="1305">
        <f>(W$25*Data!Y125)</f>
        <v>2641.7812500000005</v>
      </c>
      <c r="X52" s="1305">
        <f>(X$25*Data!Z125)</f>
        <v>2641.7812500000005</v>
      </c>
      <c r="Y52" s="1305">
        <f>(Y$25*Data!AA125)</f>
        <v>2556.5625</v>
      </c>
      <c r="Z52" s="1305">
        <f>(Z$25*Data!AB125)</f>
        <v>2641.7812500000005</v>
      </c>
      <c r="AA52" s="1305">
        <f>(AA$25*Data!AC125)</f>
        <v>2556.5625</v>
      </c>
      <c r="AB52" s="1305">
        <f>(AB$25*Data!AD125)</f>
        <v>2641.7812500000005</v>
      </c>
      <c r="AC52" s="1305">
        <f>(AC$25*Data!AE125)</f>
        <v>2641.7812500000005</v>
      </c>
      <c r="AD52" s="1305">
        <f>(AD$25*Data!AF125)</f>
        <v>0</v>
      </c>
      <c r="AE52" s="1305">
        <f>(AE$25*Data!AG125)</f>
        <v>0</v>
      </c>
      <c r="AF52" s="1305">
        <f>(AF$25*Data!AH125)</f>
        <v>0</v>
      </c>
      <c r="AG52" s="1305">
        <f>(AG$25*Data!AI125)</f>
        <v>0</v>
      </c>
      <c r="AH52" s="1305">
        <f>(AH$25*Data!AJ125)</f>
        <v>0</v>
      </c>
      <c r="AI52" s="1305">
        <f>(AI$25*Data!AK125)</f>
        <v>0</v>
      </c>
      <c r="AJ52" s="1305">
        <f>(AJ$25*Data!AL125)</f>
        <v>0</v>
      </c>
      <c r="AK52" s="1305">
        <f>(AK$25*Data!AM125)</f>
        <v>0</v>
      </c>
      <c r="AL52" s="1305">
        <f>(AL$25*Data!AN125)</f>
        <v>0</v>
      </c>
      <c r="AM52" s="1305">
        <f>(AM$25*Data!AO125)</f>
        <v>0</v>
      </c>
      <c r="AN52" s="1305">
        <f>(AN$25*Data!AP125)</f>
        <v>0</v>
      </c>
      <c r="AO52" s="1305">
        <f>(AO$25*Data!AQ125)</f>
        <v>0</v>
      </c>
      <c r="AP52" s="1305">
        <f>(AP$25*Data!AR125)</f>
        <v>0</v>
      </c>
      <c r="AQ52" s="1305">
        <f>(AQ$25*Data!AS125)</f>
        <v>0</v>
      </c>
      <c r="AR52" s="1305">
        <f>(AR$25*Data!AT125)</f>
        <v>0</v>
      </c>
      <c r="AS52" s="1305">
        <f>(AS$25*Data!AU125)</f>
        <v>0</v>
      </c>
      <c r="AT52" s="1305">
        <f>(AT$25*Data!AV125)</f>
        <v>0</v>
      </c>
      <c r="AU52" s="1305">
        <f>(AU$25*Data!AW125)</f>
        <v>0</v>
      </c>
      <c r="AV52" s="1305">
        <f>(AV$25*Data!AX125)</f>
        <v>0</v>
      </c>
      <c r="AW52" s="1305">
        <f>(AW$25*Data!AY125)</f>
        <v>0</v>
      </c>
      <c r="AX52" s="1305">
        <f>(AX$25*Data!AZ125)</f>
        <v>0</v>
      </c>
      <c r="AY52" s="1305">
        <f>(AY$25*Data!BA125)</f>
        <v>0</v>
      </c>
      <c r="AZ52" s="1305">
        <f>(AZ$25*Data!BB125)</f>
        <v>0</v>
      </c>
      <c r="BA52" s="1305">
        <f>(BA$25*Data!BC125)</f>
        <v>0</v>
      </c>
      <c r="BB52" s="1305">
        <f>(BB$25*Data!BD125)</f>
        <v>0</v>
      </c>
      <c r="BC52" s="1305">
        <f>(BC$25*Data!BE125)</f>
        <v>0</v>
      </c>
      <c r="BD52" s="1305">
        <f>(BD$25*Data!BF125)</f>
        <v>0</v>
      </c>
      <c r="BE52" s="1305">
        <f>(BE$25*Data!BG125)</f>
        <v>0</v>
      </c>
      <c r="BF52" s="1305">
        <f>(BF$25*Data!BH125)</f>
        <v>0</v>
      </c>
      <c r="BG52" s="1305">
        <f>(BG$25*Data!BI125)</f>
        <v>0</v>
      </c>
      <c r="BH52" s="1305">
        <f>(BH$25*Data!BJ125)</f>
        <v>0</v>
      </c>
      <c r="BI52" s="1305">
        <f>(BI$25*Data!BK125)</f>
        <v>0</v>
      </c>
      <c r="BJ52" s="1305">
        <f>(BJ$25*Data!BL125)</f>
        <v>0</v>
      </c>
      <c r="BK52" s="1305">
        <f>(BK$25*Data!BM125)</f>
        <v>0</v>
      </c>
      <c r="BL52" s="1305">
        <f>(BL$25*Data!BN125)</f>
        <v>0</v>
      </c>
      <c r="BM52" s="1305">
        <f>(BM$25*Data!BO125)</f>
        <v>0</v>
      </c>
      <c r="BN52" s="1305">
        <f>(BN$25*Data!BP125)</f>
        <v>0</v>
      </c>
      <c r="BO52" s="1305">
        <f>(BO$25*Data!BQ125)</f>
        <v>0</v>
      </c>
      <c r="BP52" s="1305">
        <f>(BP$25*Data!BR125)</f>
        <v>0</v>
      </c>
      <c r="BQ52" s="1305">
        <f>(BQ$25*Data!BS125)</f>
        <v>0</v>
      </c>
      <c r="BR52" s="1305">
        <f>(BR$25*Data!BT125)</f>
        <v>0</v>
      </c>
      <c r="BS52" s="1305">
        <f>(BS$25*Data!BU125)</f>
        <v>0</v>
      </c>
      <c r="BT52" s="1305">
        <f>(BT$25*Data!BV125)</f>
        <v>0</v>
      </c>
      <c r="BU52" s="1305">
        <f>(BU$25*Data!BW125)</f>
        <v>0</v>
      </c>
      <c r="BV52" s="1305">
        <f>(BV$25*Data!BX125)</f>
        <v>0</v>
      </c>
      <c r="BW52" s="1305">
        <f>(BW$25*Data!BY125)</f>
        <v>0</v>
      </c>
      <c r="BX52" s="1305">
        <f>(BX$25*Data!BZ125)</f>
        <v>0</v>
      </c>
      <c r="BY52" s="1305">
        <f>(BY$25*Data!CA125)</f>
        <v>0</v>
      </c>
      <c r="BZ52" s="1305">
        <f>(BZ$25*Data!CB125)</f>
        <v>0</v>
      </c>
      <c r="CA52" s="1305">
        <f>(CA$25*Data!CC125)</f>
        <v>0</v>
      </c>
      <c r="CB52" s="1305">
        <f>(CB$25*Data!CD125)</f>
        <v>0</v>
      </c>
      <c r="CC52" s="1305">
        <f>(CC$25*Data!CE125)</f>
        <v>0</v>
      </c>
      <c r="CD52" s="1305">
        <f>(CD$25*Data!CF125)</f>
        <v>0</v>
      </c>
      <c r="CE52" s="1305">
        <f>(CE$25*Data!CG125)</f>
        <v>0</v>
      </c>
      <c r="CF52" s="1305">
        <f>(CF$25*Data!CH125)</f>
        <v>0</v>
      </c>
      <c r="CG52" s="1305">
        <f>(CG$25*Data!CI125)</f>
        <v>0</v>
      </c>
      <c r="CH52" s="1305">
        <f>(CH$25*Data!CJ125)</f>
        <v>0</v>
      </c>
      <c r="CI52" s="1305">
        <f>(CI$25*Data!CK125)</f>
        <v>0</v>
      </c>
      <c r="CJ52" s="1305">
        <f>(CJ$25*Data!CL125)</f>
        <v>0</v>
      </c>
      <c r="CK52" s="1305">
        <f>(CK$25*Data!CM125)</f>
        <v>0</v>
      </c>
      <c r="CL52" s="1305">
        <f>(CL$25*Data!CN125)</f>
        <v>0</v>
      </c>
      <c r="CM52" s="1305">
        <f>(CM$25*Data!CO125)</f>
        <v>0</v>
      </c>
      <c r="CN52" s="1305">
        <f>(CN$25*Data!CP125)</f>
        <v>0</v>
      </c>
      <c r="CO52" s="1305">
        <f>(CO$25*Data!CQ125)</f>
        <v>0</v>
      </c>
      <c r="CP52" s="1305">
        <f>(CP$25*Data!CR125)</f>
        <v>0</v>
      </c>
      <c r="CQ52" s="1305">
        <f>(CQ$25*Data!CS125)</f>
        <v>0</v>
      </c>
      <c r="CR52" s="1305">
        <f>(CR$25*Data!CT125)</f>
        <v>0</v>
      </c>
      <c r="CS52" s="1305">
        <f>(CS$25*Data!CU125)</f>
        <v>0</v>
      </c>
      <c r="CT52" s="1305">
        <f>(CT$25*Data!CV125)</f>
        <v>0</v>
      </c>
      <c r="CU52" s="1305">
        <f>(CU$25*Data!CW125)</f>
        <v>0</v>
      </c>
      <c r="CV52" s="1305">
        <f>(CV$25*Data!CX125)</f>
        <v>0</v>
      </c>
      <c r="CW52" s="1305">
        <f>(CW$25*Data!CY125)</f>
        <v>0</v>
      </c>
      <c r="CX52" s="1305">
        <f>(CX$25*Data!CZ125)</f>
        <v>0</v>
      </c>
      <c r="CY52" s="1305">
        <f>(CY$25*Data!DA125)</f>
        <v>0</v>
      </c>
      <c r="CZ52" s="1305">
        <f>(CZ$25*Data!DB125)</f>
        <v>0</v>
      </c>
      <c r="DA52" s="1305">
        <f>(DA$25*Data!DC125)</f>
        <v>0</v>
      </c>
      <c r="DB52" s="1305">
        <f>(DB$25*Data!DD125)</f>
        <v>0</v>
      </c>
      <c r="DC52" s="1305">
        <f>(DC$25*Data!DE125)</f>
        <v>0</v>
      </c>
      <c r="DD52" s="1305">
        <f>(DD$25*Data!DF125)</f>
        <v>0</v>
      </c>
      <c r="DE52" s="1305">
        <f>(DE$25*Data!DG125)</f>
        <v>0</v>
      </c>
      <c r="DF52" s="1305">
        <f>(DF$25*Data!DH125)</f>
        <v>0</v>
      </c>
      <c r="DG52" s="1305">
        <f>(DG$25*Data!DI125)</f>
        <v>0</v>
      </c>
      <c r="DH52" s="1305">
        <f>(DH$25*Data!DJ125)</f>
        <v>0</v>
      </c>
      <c r="DI52" s="1305">
        <f>(DI$25*Data!DK125)</f>
        <v>0</v>
      </c>
      <c r="DJ52" s="1305">
        <f>(DJ$25*Data!DL125)</f>
        <v>0</v>
      </c>
      <c r="DK52" s="1305">
        <f>(DK$25*Data!DM125)</f>
        <v>0</v>
      </c>
      <c r="DL52" s="1305">
        <f>(DL$25*Data!DN125)</f>
        <v>0</v>
      </c>
      <c r="DM52" s="1305">
        <f>(DM$25*Data!DO125)</f>
        <v>0</v>
      </c>
      <c r="DN52" s="1305">
        <f>(DN$25*Data!DP125)</f>
        <v>0</v>
      </c>
      <c r="DO52" s="1305">
        <f>(DO$25*Data!DQ125)</f>
        <v>0</v>
      </c>
      <c r="DP52" s="1305">
        <f>(DP$25*Data!DR125)</f>
        <v>0</v>
      </c>
      <c r="DQ52" s="1305">
        <f>(DQ$25*Data!DS125)</f>
        <v>0</v>
      </c>
      <c r="DR52" s="1305">
        <f>(DR$25*Data!DT125)</f>
        <v>0</v>
      </c>
      <c r="DS52" s="1305">
        <f>(DS$25*Data!DU125)</f>
        <v>0</v>
      </c>
      <c r="DT52" s="1305">
        <f>(DT$25*Data!DV125)</f>
        <v>0</v>
      </c>
      <c r="DU52" s="1306">
        <f>(DU$25*Data!DW125)</f>
        <v>0</v>
      </c>
      <c r="DV52" s="1306"/>
      <c r="DW52" s="1248">
        <f t="shared" si="464"/>
        <v>3026.9700000000003</v>
      </c>
      <c r="DX52" s="1246">
        <f>SUM(F52:H52)</f>
        <v>11557.285714285716</v>
      </c>
      <c r="DY52" s="1247">
        <f>SUM(I52:K52)</f>
        <v>11946.857142857143</v>
      </c>
      <c r="DZ52" s="1247">
        <f>SUM(L52:N52)</f>
        <v>11946.857142857143</v>
      </c>
      <c r="EA52" s="1248">
        <f>SUM(O52:Q52)</f>
        <v>11946.857142857143</v>
      </c>
      <c r="EB52" s="1246">
        <f t="shared" si="465"/>
        <v>50424.827142857132</v>
      </c>
      <c r="EC52" s="1247">
        <f>SUM(R52:AC52)</f>
        <v>31190.062500000004</v>
      </c>
      <c r="ED52" s="1248">
        <f>SUM(AD52:AO52)</f>
        <v>0</v>
      </c>
      <c r="EE52" s="1249">
        <f>SUM(EB52:ED52)</f>
        <v>81614.889642857132</v>
      </c>
      <c r="EF52" s="1247">
        <f t="shared" si="466"/>
        <v>0</v>
      </c>
      <c r="EG52" s="1248">
        <f t="shared" si="467"/>
        <v>0</v>
      </c>
      <c r="EH52" s="1249">
        <f>SUM(EE52:EG52)</f>
        <v>81614.889642857132</v>
      </c>
      <c r="EI52" s="1307">
        <f t="shared" si="468"/>
        <v>1.2316142589862931E-2</v>
      </c>
      <c r="EJ52" s="1246">
        <f t="shared" si="347"/>
        <v>0</v>
      </c>
      <c r="EK52" s="1247">
        <f t="shared" si="348"/>
        <v>0</v>
      </c>
      <c r="EL52" s="1247">
        <f t="shared" si="349"/>
        <v>0</v>
      </c>
      <c r="EM52" s="1247">
        <f t="shared" si="350"/>
        <v>0</v>
      </c>
      <c r="EN52" s="1248">
        <f t="shared" si="351"/>
        <v>0</v>
      </c>
      <c r="EO52" s="1249">
        <f t="shared" si="352"/>
        <v>81614.889642857132</v>
      </c>
      <c r="EQ52" s="14">
        <f t="shared" si="353"/>
        <v>0</v>
      </c>
    </row>
    <row r="53" spans="2:147" x14ac:dyDescent="0.3">
      <c r="B53" s="599" t="s">
        <v>42</v>
      </c>
      <c r="C53" s="29"/>
      <c r="D53" s="29"/>
      <c r="E53" s="1315">
        <f>(E$25*Data!G126)</f>
        <v>0</v>
      </c>
      <c r="F53" s="1305">
        <f>(F$25*Data!H126)</f>
        <v>0</v>
      </c>
      <c r="G53" s="1305">
        <f>(G$25*Data!I126)</f>
        <v>0</v>
      </c>
      <c r="H53" s="1305">
        <f>(H$25*Data!J126)</f>
        <v>0</v>
      </c>
      <c r="I53" s="1305">
        <f>(I$25*Data!K126)</f>
        <v>0</v>
      </c>
      <c r="J53" s="1305">
        <f>(J$25*Data!L126)</f>
        <v>0</v>
      </c>
      <c r="K53" s="1305">
        <f>(K$25*Data!M126)</f>
        <v>0</v>
      </c>
      <c r="L53" s="1305">
        <f>(L$25*Data!N126)</f>
        <v>0</v>
      </c>
      <c r="M53" s="1305">
        <f>(M$25*Data!O126)</f>
        <v>0</v>
      </c>
      <c r="N53" s="1305">
        <f>(N$25*Data!P126)</f>
        <v>0</v>
      </c>
      <c r="O53" s="1305">
        <f>(O$25*Data!Q126)</f>
        <v>0</v>
      </c>
      <c r="P53" s="1305">
        <f>(P$25*Data!R126)</f>
        <v>0</v>
      </c>
      <c r="Q53" s="1305">
        <f>(Q$25*Data!S126)</f>
        <v>0</v>
      </c>
      <c r="R53" s="1305">
        <f>(R$25*Data!T126)</f>
        <v>0</v>
      </c>
      <c r="S53" s="1305">
        <f>(S$25*Data!U126)</f>
        <v>0</v>
      </c>
      <c r="T53" s="1305">
        <f>(T$25*Data!V126)</f>
        <v>0</v>
      </c>
      <c r="U53" s="1305">
        <f>(U$25*Data!W126)</f>
        <v>0</v>
      </c>
      <c r="V53" s="1305">
        <f>(V$25*Data!X126)</f>
        <v>0</v>
      </c>
      <c r="W53" s="1305">
        <f>(W$25*Data!Y126)</f>
        <v>0</v>
      </c>
      <c r="X53" s="1305">
        <f>(X$25*Data!Z126)</f>
        <v>0</v>
      </c>
      <c r="Y53" s="1305">
        <f>(Y$25*Data!AA126)</f>
        <v>0</v>
      </c>
      <c r="Z53" s="1305">
        <f>(Z$25*Data!AB126)</f>
        <v>0</v>
      </c>
      <c r="AA53" s="1305">
        <f>(AA$25*Data!AC126)</f>
        <v>0</v>
      </c>
      <c r="AB53" s="1305">
        <f>(AB$25*Data!AD126)</f>
        <v>0</v>
      </c>
      <c r="AC53" s="1305">
        <f>(AC$25*Data!AE126)</f>
        <v>0</v>
      </c>
      <c r="AD53" s="1305">
        <f>(AD$25*Data!AF126)</f>
        <v>0</v>
      </c>
      <c r="AE53" s="1305">
        <f>(AE$25*Data!AG126)</f>
        <v>0</v>
      </c>
      <c r="AF53" s="1305">
        <f>(AF$25*Data!AH126)</f>
        <v>0</v>
      </c>
      <c r="AG53" s="1305">
        <f>(AG$25*Data!AI126)</f>
        <v>0</v>
      </c>
      <c r="AH53" s="1305">
        <f>(AH$25*Data!AJ126)</f>
        <v>0</v>
      </c>
      <c r="AI53" s="1305">
        <f>(AI$25*Data!AK126)</f>
        <v>0</v>
      </c>
      <c r="AJ53" s="1305">
        <f>(AJ$25*Data!AL126)</f>
        <v>0</v>
      </c>
      <c r="AK53" s="1305">
        <f>(AK$25*Data!AM126)</f>
        <v>0</v>
      </c>
      <c r="AL53" s="1305">
        <f>(AL$25*Data!AN126)</f>
        <v>0</v>
      </c>
      <c r="AM53" s="1305">
        <f>(AM$25*Data!AO126)</f>
        <v>0</v>
      </c>
      <c r="AN53" s="1305">
        <f>(AN$25*Data!AP126)</f>
        <v>0</v>
      </c>
      <c r="AO53" s="1305">
        <f>(AO$25*Data!AQ126)</f>
        <v>0</v>
      </c>
      <c r="AP53" s="1305">
        <f>(AP$25*Data!AR126)</f>
        <v>0</v>
      </c>
      <c r="AQ53" s="1305">
        <f>(AQ$25*Data!AS126)</f>
        <v>0</v>
      </c>
      <c r="AR53" s="1305">
        <f>(AR$25*Data!AT126)</f>
        <v>0</v>
      </c>
      <c r="AS53" s="1305">
        <f>(AS$25*Data!AU126)</f>
        <v>0</v>
      </c>
      <c r="AT53" s="1305">
        <f>(AT$25*Data!AV126)</f>
        <v>0</v>
      </c>
      <c r="AU53" s="1305">
        <f>(AU$25*Data!AW126)</f>
        <v>0</v>
      </c>
      <c r="AV53" s="1305">
        <f>(AV$25*Data!AX126)</f>
        <v>0</v>
      </c>
      <c r="AW53" s="1305">
        <f>(AW$25*Data!AY126)</f>
        <v>0</v>
      </c>
      <c r="AX53" s="1305">
        <f>(AX$25*Data!AZ126)</f>
        <v>0</v>
      </c>
      <c r="AY53" s="1305">
        <f>(AY$25*Data!BA126)</f>
        <v>0</v>
      </c>
      <c r="AZ53" s="1305">
        <f>(AZ$25*Data!BB126)</f>
        <v>0</v>
      </c>
      <c r="BA53" s="1305">
        <f>(BA$25*Data!BC126)</f>
        <v>0</v>
      </c>
      <c r="BB53" s="1305">
        <f>(BB$25*Data!BD126)</f>
        <v>0</v>
      </c>
      <c r="BC53" s="1305">
        <f>(BC$25*Data!BE126)</f>
        <v>0</v>
      </c>
      <c r="BD53" s="1305">
        <f>(BD$25*Data!BF126)</f>
        <v>0</v>
      </c>
      <c r="BE53" s="1305">
        <f>(BE$25*Data!BG126)</f>
        <v>0</v>
      </c>
      <c r="BF53" s="1305">
        <f>(BF$25*Data!BH126)</f>
        <v>0</v>
      </c>
      <c r="BG53" s="1305">
        <f>(BG$25*Data!BI126)</f>
        <v>0</v>
      </c>
      <c r="BH53" s="1305">
        <f>(BH$25*Data!BJ126)</f>
        <v>0</v>
      </c>
      <c r="BI53" s="1305">
        <f>(BI$25*Data!BK126)</f>
        <v>0</v>
      </c>
      <c r="BJ53" s="1305">
        <f>(BJ$25*Data!BL126)</f>
        <v>0</v>
      </c>
      <c r="BK53" s="1305">
        <f>(BK$25*Data!BM126)</f>
        <v>0</v>
      </c>
      <c r="BL53" s="1305">
        <f>(BL$25*Data!BN126)</f>
        <v>0</v>
      </c>
      <c r="BM53" s="1305">
        <f>(BM$25*Data!BO126)</f>
        <v>0</v>
      </c>
      <c r="BN53" s="1305">
        <f>(BN$25*Data!BP126)</f>
        <v>0</v>
      </c>
      <c r="BO53" s="1305">
        <f>(BO$25*Data!BQ126)</f>
        <v>0</v>
      </c>
      <c r="BP53" s="1305">
        <f>(BP$25*Data!BR126)</f>
        <v>0</v>
      </c>
      <c r="BQ53" s="1305">
        <f>(BQ$25*Data!BS126)</f>
        <v>0</v>
      </c>
      <c r="BR53" s="1305">
        <f>(BR$25*Data!BT126)</f>
        <v>0</v>
      </c>
      <c r="BS53" s="1305">
        <f>(BS$25*Data!BU126)</f>
        <v>0</v>
      </c>
      <c r="BT53" s="1305">
        <f>(BT$25*Data!BV126)</f>
        <v>0</v>
      </c>
      <c r="BU53" s="1305">
        <f>(BU$25*Data!BW126)</f>
        <v>0</v>
      </c>
      <c r="BV53" s="1305">
        <f>(BV$25*Data!BX126)</f>
        <v>0</v>
      </c>
      <c r="BW53" s="1305">
        <f>(BW$25*Data!BY126)</f>
        <v>0</v>
      </c>
      <c r="BX53" s="1305">
        <f>(BX$25*Data!BZ126)</f>
        <v>0</v>
      </c>
      <c r="BY53" s="1305">
        <f>(BY$25*Data!CA126)</f>
        <v>0</v>
      </c>
      <c r="BZ53" s="1305">
        <f>(BZ$25*Data!CB126)</f>
        <v>0</v>
      </c>
      <c r="CA53" s="1305">
        <f>(CA$25*Data!CC126)</f>
        <v>0</v>
      </c>
      <c r="CB53" s="1305">
        <f>(CB$25*Data!CD126)</f>
        <v>0</v>
      </c>
      <c r="CC53" s="1305">
        <f>(CC$25*Data!CE126)</f>
        <v>0</v>
      </c>
      <c r="CD53" s="1305">
        <f>(CD$25*Data!CF126)</f>
        <v>0</v>
      </c>
      <c r="CE53" s="1305">
        <f>(CE$25*Data!CG126)</f>
        <v>0</v>
      </c>
      <c r="CF53" s="1305">
        <f>(CF$25*Data!CH126)</f>
        <v>0</v>
      </c>
      <c r="CG53" s="1305">
        <f>(CG$25*Data!CI126)</f>
        <v>0</v>
      </c>
      <c r="CH53" s="1305">
        <f>(CH$25*Data!CJ126)</f>
        <v>0</v>
      </c>
      <c r="CI53" s="1305">
        <f>(CI$25*Data!CK126)</f>
        <v>0</v>
      </c>
      <c r="CJ53" s="1305">
        <f>(CJ$25*Data!CL126)</f>
        <v>0</v>
      </c>
      <c r="CK53" s="1305">
        <f>(CK$25*Data!CM126)</f>
        <v>0</v>
      </c>
      <c r="CL53" s="1305">
        <f>(CL$25*Data!CN126)</f>
        <v>0</v>
      </c>
      <c r="CM53" s="1305">
        <f>(CM$25*Data!CO126)</f>
        <v>0</v>
      </c>
      <c r="CN53" s="1305">
        <f>(CN$25*Data!CP126)</f>
        <v>0</v>
      </c>
      <c r="CO53" s="1305">
        <f>(CO$25*Data!CQ126)</f>
        <v>0</v>
      </c>
      <c r="CP53" s="1305">
        <f>(CP$25*Data!CR126)</f>
        <v>0</v>
      </c>
      <c r="CQ53" s="1305">
        <f>(CQ$25*Data!CS126)</f>
        <v>0</v>
      </c>
      <c r="CR53" s="1305">
        <f>(CR$25*Data!CT126)</f>
        <v>0</v>
      </c>
      <c r="CS53" s="1305">
        <f>(CS$25*Data!CU126)</f>
        <v>0</v>
      </c>
      <c r="CT53" s="1305">
        <f>(CT$25*Data!CV126)</f>
        <v>0</v>
      </c>
      <c r="CU53" s="1305">
        <f>(CU$25*Data!CW126)</f>
        <v>0</v>
      </c>
      <c r="CV53" s="1305">
        <f>(CV$25*Data!CX126)</f>
        <v>0</v>
      </c>
      <c r="CW53" s="1305">
        <f>(CW$25*Data!CY126)</f>
        <v>0</v>
      </c>
      <c r="CX53" s="1305">
        <f>(CX$25*Data!CZ126)</f>
        <v>0</v>
      </c>
      <c r="CY53" s="1305">
        <f>(CY$25*Data!DA126)</f>
        <v>0</v>
      </c>
      <c r="CZ53" s="1305">
        <f>(CZ$25*Data!DB126)</f>
        <v>0</v>
      </c>
      <c r="DA53" s="1305">
        <f>(DA$25*Data!DC126)</f>
        <v>0</v>
      </c>
      <c r="DB53" s="1305">
        <f>(DB$25*Data!DD126)</f>
        <v>0</v>
      </c>
      <c r="DC53" s="1305">
        <f>(DC$25*Data!DE126)</f>
        <v>0</v>
      </c>
      <c r="DD53" s="1305">
        <f>(DD$25*Data!DF126)</f>
        <v>0</v>
      </c>
      <c r="DE53" s="1305">
        <f>(DE$25*Data!DG126)</f>
        <v>0</v>
      </c>
      <c r="DF53" s="1305">
        <f>(DF$25*Data!DH126)</f>
        <v>0</v>
      </c>
      <c r="DG53" s="1305">
        <f>(DG$25*Data!DI126)</f>
        <v>0</v>
      </c>
      <c r="DH53" s="1305">
        <f>(DH$25*Data!DJ126)</f>
        <v>0</v>
      </c>
      <c r="DI53" s="1305">
        <f>(DI$25*Data!DK126)</f>
        <v>0</v>
      </c>
      <c r="DJ53" s="1305">
        <f>(DJ$25*Data!DL126)</f>
        <v>0</v>
      </c>
      <c r="DK53" s="1305">
        <f>(DK$25*Data!DM126)</f>
        <v>0</v>
      </c>
      <c r="DL53" s="1305">
        <f>(DL$25*Data!DN126)</f>
        <v>0</v>
      </c>
      <c r="DM53" s="1305">
        <f>(DM$25*Data!DO126)</f>
        <v>0</v>
      </c>
      <c r="DN53" s="1305">
        <f>(DN$25*Data!DP126)</f>
        <v>0</v>
      </c>
      <c r="DO53" s="1305">
        <f>(DO$25*Data!DQ126)</f>
        <v>0</v>
      </c>
      <c r="DP53" s="1305">
        <f>(DP$25*Data!DR126)</f>
        <v>0</v>
      </c>
      <c r="DQ53" s="1305">
        <f>(DQ$25*Data!DS126)</f>
        <v>0</v>
      </c>
      <c r="DR53" s="1305">
        <f>(DR$25*Data!DT126)</f>
        <v>0</v>
      </c>
      <c r="DS53" s="1305">
        <f>(DS$25*Data!DU126)</f>
        <v>0</v>
      </c>
      <c r="DT53" s="1305">
        <f>(DT$25*Data!DV126)</f>
        <v>0</v>
      </c>
      <c r="DU53" s="1306">
        <f>(DU$25*Data!DW126)</f>
        <v>0</v>
      </c>
      <c r="DV53" s="1306"/>
      <c r="DW53" s="1248">
        <f t="shared" si="464"/>
        <v>0</v>
      </c>
      <c r="DX53" s="1246">
        <f>SUM(F53:H53)</f>
        <v>0</v>
      </c>
      <c r="DY53" s="1247">
        <f>SUM(I53:K53)</f>
        <v>0</v>
      </c>
      <c r="DZ53" s="1247">
        <f>SUM(L53:N53)</f>
        <v>0</v>
      </c>
      <c r="EA53" s="1248">
        <f>SUM(O53:Q53)</f>
        <v>0</v>
      </c>
      <c r="EB53" s="1246">
        <f t="shared" si="465"/>
        <v>0</v>
      </c>
      <c r="EC53" s="1247">
        <f>SUM(R53:AC53)</f>
        <v>0</v>
      </c>
      <c r="ED53" s="1248">
        <f>SUM(AD53:AO53)</f>
        <v>0</v>
      </c>
      <c r="EE53" s="1249">
        <f>SUM(EB53:ED53)</f>
        <v>0</v>
      </c>
      <c r="EF53" s="1247">
        <f t="shared" ref="EF53" si="469">SUM(AP53:BA53)</f>
        <v>0</v>
      </c>
      <c r="EG53" s="1248">
        <f t="shared" ref="EG53" si="470">SUM(BB53:BM53)</f>
        <v>0</v>
      </c>
      <c r="EH53" s="1249">
        <f>SUM(EE53:EG53)</f>
        <v>0</v>
      </c>
      <c r="EI53" s="1307">
        <f t="shared" ref="EI53" si="471">EH53/$EH$25</f>
        <v>0</v>
      </c>
      <c r="EJ53" s="1246">
        <f t="shared" si="347"/>
        <v>0</v>
      </c>
      <c r="EK53" s="1247">
        <f t="shared" si="348"/>
        <v>0</v>
      </c>
      <c r="EL53" s="1247">
        <f t="shared" si="349"/>
        <v>0</v>
      </c>
      <c r="EM53" s="1247">
        <f t="shared" si="350"/>
        <v>0</v>
      </c>
      <c r="EN53" s="1248">
        <f t="shared" si="351"/>
        <v>0</v>
      </c>
      <c r="EO53" s="1249">
        <f t="shared" si="352"/>
        <v>0</v>
      </c>
      <c r="EQ53" s="14">
        <f t="shared" si="353"/>
        <v>0</v>
      </c>
    </row>
    <row r="54" spans="2:147" x14ac:dyDescent="0.3">
      <c r="B54" s="599"/>
      <c r="C54" s="2"/>
      <c r="D54" s="2"/>
      <c r="E54" s="1315"/>
      <c r="F54" s="1305"/>
      <c r="G54" s="1305"/>
      <c r="H54" s="1305"/>
      <c r="I54" s="1305"/>
      <c r="J54" s="1305"/>
      <c r="K54" s="1305"/>
      <c r="L54" s="1305"/>
      <c r="M54" s="1305"/>
      <c r="N54" s="1305"/>
      <c r="O54" s="1305"/>
      <c r="P54" s="1305"/>
      <c r="Q54" s="1305"/>
      <c r="R54" s="1305"/>
      <c r="S54" s="1305"/>
      <c r="T54" s="1305"/>
      <c r="U54" s="1305"/>
      <c r="V54" s="1305"/>
      <c r="W54" s="1305"/>
      <c r="X54" s="1305"/>
      <c r="Y54" s="1305"/>
      <c r="Z54" s="1305"/>
      <c r="AA54" s="1305"/>
      <c r="AB54" s="1305"/>
      <c r="AC54" s="1305"/>
      <c r="AD54" s="1305"/>
      <c r="AE54" s="1305"/>
      <c r="AF54" s="1305"/>
      <c r="AG54" s="1305"/>
      <c r="AH54" s="1305"/>
      <c r="AI54" s="1305"/>
      <c r="AJ54" s="1305"/>
      <c r="AK54" s="1305"/>
      <c r="AL54" s="1305"/>
      <c r="AM54" s="1305"/>
      <c r="AN54" s="1305"/>
      <c r="AO54" s="1305"/>
      <c r="AP54" s="1305"/>
      <c r="AQ54" s="1305"/>
      <c r="AR54" s="1305"/>
      <c r="AS54" s="1305"/>
      <c r="AT54" s="1305"/>
      <c r="AU54" s="1305"/>
      <c r="AV54" s="1305"/>
      <c r="AW54" s="1305"/>
      <c r="AX54" s="1305"/>
      <c r="AY54" s="1305"/>
      <c r="AZ54" s="1305"/>
      <c r="BA54" s="1305"/>
      <c r="BB54" s="1305"/>
      <c r="BC54" s="1305"/>
      <c r="BD54" s="1305"/>
      <c r="BE54" s="1305"/>
      <c r="BF54" s="1305"/>
      <c r="BG54" s="1305"/>
      <c r="BH54" s="1305"/>
      <c r="BI54" s="1305"/>
      <c r="BJ54" s="1305"/>
      <c r="BK54" s="1305"/>
      <c r="BL54" s="1305"/>
      <c r="BM54" s="1305"/>
      <c r="BN54" s="1305"/>
      <c r="BO54" s="1305"/>
      <c r="BP54" s="1305"/>
      <c r="BQ54" s="1305"/>
      <c r="BR54" s="1305"/>
      <c r="BS54" s="1305"/>
      <c r="BT54" s="1305"/>
      <c r="BU54" s="1305"/>
      <c r="BV54" s="1305"/>
      <c r="BW54" s="1305"/>
      <c r="BX54" s="1305"/>
      <c r="BY54" s="1305"/>
      <c r="BZ54" s="1305"/>
      <c r="CA54" s="1305"/>
      <c r="CB54" s="1305"/>
      <c r="CC54" s="1305"/>
      <c r="CD54" s="1305"/>
      <c r="CE54" s="1305"/>
      <c r="CF54" s="1305"/>
      <c r="CG54" s="1305"/>
      <c r="CH54" s="1305"/>
      <c r="CI54" s="1305"/>
      <c r="CJ54" s="1305"/>
      <c r="CK54" s="1305"/>
      <c r="CL54" s="1305"/>
      <c r="CM54" s="1305"/>
      <c r="CN54" s="1305"/>
      <c r="CO54" s="1305"/>
      <c r="CP54" s="1305"/>
      <c r="CQ54" s="1305"/>
      <c r="CR54" s="1305"/>
      <c r="CS54" s="1305"/>
      <c r="CT54" s="1305"/>
      <c r="CU54" s="1305"/>
      <c r="CV54" s="1305"/>
      <c r="CW54" s="1305"/>
      <c r="CX54" s="1305"/>
      <c r="CY54" s="1305"/>
      <c r="CZ54" s="1305"/>
      <c r="DA54" s="1305"/>
      <c r="DB54" s="1305"/>
      <c r="DC54" s="1305"/>
      <c r="DD54" s="1305"/>
      <c r="DE54" s="1305"/>
      <c r="DF54" s="1305"/>
      <c r="DG54" s="1305"/>
      <c r="DH54" s="1305"/>
      <c r="DI54" s="1305"/>
      <c r="DJ54" s="1305"/>
      <c r="DK54" s="1305"/>
      <c r="DL54" s="1305"/>
      <c r="DM54" s="1305"/>
      <c r="DN54" s="1305"/>
      <c r="DO54" s="1305"/>
      <c r="DP54" s="1305"/>
      <c r="DQ54" s="1305"/>
      <c r="DR54" s="1305"/>
      <c r="DS54" s="1305"/>
      <c r="DT54" s="1305"/>
      <c r="DU54" s="1306"/>
      <c r="DV54" s="1306"/>
      <c r="DW54" s="1306"/>
      <c r="DX54" s="1315"/>
      <c r="DY54" s="1305"/>
      <c r="DZ54" s="1305"/>
      <c r="EA54" s="1306"/>
      <c r="EB54" s="1315"/>
      <c r="EC54" s="1305"/>
      <c r="ED54" s="1306"/>
      <c r="EE54" s="1316"/>
      <c r="EF54" s="1305"/>
      <c r="EG54" s="1306"/>
      <c r="EH54" s="1316"/>
      <c r="EI54" s="91"/>
      <c r="EJ54" s="1315">
        <f t="shared" si="347"/>
        <v>0</v>
      </c>
      <c r="EK54" s="1305">
        <f t="shared" si="348"/>
        <v>0</v>
      </c>
      <c r="EL54" s="1305">
        <f t="shared" si="349"/>
        <v>0</v>
      </c>
      <c r="EM54" s="1305">
        <f t="shared" si="350"/>
        <v>0</v>
      </c>
      <c r="EN54" s="1306">
        <f t="shared" si="351"/>
        <v>0</v>
      </c>
      <c r="EO54" s="1316">
        <f t="shared" si="352"/>
        <v>0</v>
      </c>
      <c r="EQ54" s="14">
        <f t="shared" si="353"/>
        <v>0</v>
      </c>
    </row>
    <row r="55" spans="2:147" x14ac:dyDescent="0.3">
      <c r="B55" s="608" t="s">
        <v>143</v>
      </c>
      <c r="C55" s="28"/>
      <c r="D55" s="28"/>
      <c r="E55" s="1302">
        <f>E48-SUM(E51:E53)</f>
        <v>2169.6547794831195</v>
      </c>
      <c r="F55" s="1303">
        <f t="shared" ref="F55:DZ55" si="472">F48-SUM(F51:F53)</f>
        <v>31594.98832348716</v>
      </c>
      <c r="G55" s="1303">
        <f t="shared" si="472"/>
        <v>40206.40739646936</v>
      </c>
      <c r="H55" s="1303">
        <f t="shared" si="472"/>
        <v>37122.300253612215</v>
      </c>
      <c r="I55" s="1303">
        <f t="shared" si="472"/>
        <v>40435.738987599245</v>
      </c>
      <c r="J55" s="1303">
        <f t="shared" si="472"/>
        <v>37619.432605699956</v>
      </c>
      <c r="K55" s="1303">
        <f t="shared" si="472"/>
        <v>43006.510939813328</v>
      </c>
      <c r="L55" s="1303">
        <f t="shared" si="472"/>
        <v>43006.510939813328</v>
      </c>
      <c r="M55" s="1303">
        <f t="shared" si="472"/>
        <v>39922.403796956183</v>
      </c>
      <c r="N55" s="1303">
        <f t="shared" si="472"/>
        <v>43006.510939813328</v>
      </c>
      <c r="O55" s="1303">
        <f t="shared" si="472"/>
        <v>39922.403796956183</v>
      </c>
      <c r="P55" s="1303">
        <f t="shared" si="472"/>
        <v>43166.893028274928</v>
      </c>
      <c r="Q55" s="1303">
        <f t="shared" si="472"/>
        <v>43166.893028274928</v>
      </c>
      <c r="R55" s="1303">
        <f t="shared" si="472"/>
        <v>40156.432529759506</v>
      </c>
      <c r="S55" s="1303">
        <f t="shared" si="472"/>
        <v>46977.668981796407</v>
      </c>
      <c r="T55" s="1303">
        <f t="shared" si="472"/>
        <v>43688.225231796387</v>
      </c>
      <c r="U55" s="1303">
        <f t="shared" si="472"/>
        <v>46977.668981796407</v>
      </c>
      <c r="V55" s="1303">
        <f t="shared" si="472"/>
        <v>43688.225231796387</v>
      </c>
      <c r="W55" s="1303">
        <f t="shared" si="472"/>
        <v>46977.668981796407</v>
      </c>
      <c r="X55" s="1303">
        <f t="shared" si="472"/>
        <v>46977.668981796407</v>
      </c>
      <c r="Y55" s="1303">
        <f t="shared" si="472"/>
        <v>43688.225231796387</v>
      </c>
      <c r="Z55" s="1303">
        <f t="shared" si="472"/>
        <v>46977.668981796407</v>
      </c>
      <c r="AA55" s="1303">
        <f t="shared" si="472"/>
        <v>43688.225231796387</v>
      </c>
      <c r="AB55" s="1303">
        <f t="shared" si="472"/>
        <v>46977.668981796407</v>
      </c>
      <c r="AC55" s="1303">
        <f t="shared" si="472"/>
        <v>46977.668981796407</v>
      </c>
      <c r="AD55" s="1303">
        <f t="shared" si="472"/>
        <v>41215.76946874748</v>
      </c>
      <c r="AE55" s="1303">
        <f t="shared" si="472"/>
        <v>52100.422743386232</v>
      </c>
      <c r="AF55" s="1303">
        <f t="shared" si="472"/>
        <v>48557.027118386213</v>
      </c>
      <c r="AG55" s="1303">
        <f t="shared" si="472"/>
        <v>52100.422743386232</v>
      </c>
      <c r="AH55" s="1303">
        <f t="shared" si="472"/>
        <v>48557.027118386213</v>
      </c>
      <c r="AI55" s="1303">
        <f t="shared" si="472"/>
        <v>52100.422743386232</v>
      </c>
      <c r="AJ55" s="1303">
        <f t="shared" si="472"/>
        <v>52100.422743386232</v>
      </c>
      <c r="AK55" s="1303">
        <f t="shared" si="472"/>
        <v>48557.027118386213</v>
      </c>
      <c r="AL55" s="1303">
        <f t="shared" si="472"/>
        <v>52100.422743386232</v>
      </c>
      <c r="AM55" s="1303">
        <f t="shared" si="472"/>
        <v>48557.027118386213</v>
      </c>
      <c r="AN55" s="1303">
        <f t="shared" si="472"/>
        <v>52100.422743386232</v>
      </c>
      <c r="AO55" s="1303">
        <f t="shared" si="472"/>
        <v>52100.422743386232</v>
      </c>
      <c r="AP55" s="1303">
        <f t="shared" si="472"/>
        <v>43276.557942184867</v>
      </c>
      <c r="AQ55" s="1303">
        <f t="shared" si="472"/>
        <v>54705.443880555555</v>
      </c>
      <c r="AR55" s="1303">
        <f t="shared" si="472"/>
        <v>50984.878474305544</v>
      </c>
      <c r="AS55" s="1303">
        <f t="shared" si="472"/>
        <v>54705.443880555555</v>
      </c>
      <c r="AT55" s="1303">
        <f t="shared" si="472"/>
        <v>50984.878474305544</v>
      </c>
      <c r="AU55" s="1303">
        <f t="shared" si="472"/>
        <v>54705.443880555555</v>
      </c>
      <c r="AV55" s="1303">
        <f t="shared" si="472"/>
        <v>54705.443880555555</v>
      </c>
      <c r="AW55" s="1303">
        <f t="shared" si="472"/>
        <v>50984.878474305544</v>
      </c>
      <c r="AX55" s="1303">
        <f t="shared" si="472"/>
        <v>54705.443880555555</v>
      </c>
      <c r="AY55" s="1303">
        <f t="shared" si="472"/>
        <v>50984.878474305544</v>
      </c>
      <c r="AZ55" s="1303">
        <f t="shared" si="472"/>
        <v>54705.443880555555</v>
      </c>
      <c r="BA55" s="1303">
        <f t="shared" si="472"/>
        <v>54705.443880555555</v>
      </c>
      <c r="BB55" s="1303">
        <f t="shared" si="472"/>
        <v>45440.385839294104</v>
      </c>
      <c r="BC55" s="1303">
        <f t="shared" si="472"/>
        <v>57440.716074583339</v>
      </c>
      <c r="BD55" s="1303">
        <f t="shared" si="472"/>
        <v>53534.122398020801</v>
      </c>
      <c r="BE55" s="1303">
        <f t="shared" si="472"/>
        <v>57440.716074583339</v>
      </c>
      <c r="BF55" s="1303">
        <f t="shared" si="472"/>
        <v>53534.122398020801</v>
      </c>
      <c r="BG55" s="1303">
        <f t="shared" si="472"/>
        <v>57440.716074583339</v>
      </c>
      <c r="BH55" s="1303">
        <f t="shared" si="472"/>
        <v>57440.716074583339</v>
      </c>
      <c r="BI55" s="1303">
        <f t="shared" si="472"/>
        <v>53534.122398020801</v>
      </c>
      <c r="BJ55" s="1303">
        <f t="shared" si="472"/>
        <v>57440.716074583339</v>
      </c>
      <c r="BK55" s="1303">
        <f t="shared" si="472"/>
        <v>53534.122398020801</v>
      </c>
      <c r="BL55" s="1303">
        <f t="shared" si="472"/>
        <v>57440.716074583339</v>
      </c>
      <c r="BM55" s="1303">
        <f t="shared" si="472"/>
        <v>57440.716074583339</v>
      </c>
      <c r="BN55" s="1303">
        <f t="shared" ref="BN55:DU55" si="473">BN48-SUM(BN51:BN53)</f>
        <v>51814.328491649438</v>
      </c>
      <c r="BO55" s="1303">
        <f t="shared" si="473"/>
        <v>60312.751878312491</v>
      </c>
      <c r="BP55" s="1303">
        <f t="shared" si="473"/>
        <v>56210.828517921844</v>
      </c>
      <c r="BQ55" s="1303">
        <f t="shared" si="473"/>
        <v>60312.751878312491</v>
      </c>
      <c r="BR55" s="1303">
        <f t="shared" si="473"/>
        <v>56210.828517921844</v>
      </c>
      <c r="BS55" s="1303">
        <f t="shared" si="473"/>
        <v>60312.751878312491</v>
      </c>
      <c r="BT55" s="1303">
        <f t="shared" si="473"/>
        <v>60312.751878312491</v>
      </c>
      <c r="BU55" s="1303">
        <f t="shared" si="473"/>
        <v>56210.828517921844</v>
      </c>
      <c r="BV55" s="1303">
        <f t="shared" si="473"/>
        <v>60312.751878312491</v>
      </c>
      <c r="BW55" s="1303">
        <f t="shared" si="473"/>
        <v>56210.828517921844</v>
      </c>
      <c r="BX55" s="1303">
        <f t="shared" si="473"/>
        <v>60312.751878312491</v>
      </c>
      <c r="BY55" s="1303">
        <f t="shared" si="473"/>
        <v>60312.751878312491</v>
      </c>
      <c r="BZ55" s="1303">
        <f t="shared" si="473"/>
        <v>50098.025387821755</v>
      </c>
      <c r="CA55" s="1303">
        <f t="shared" si="473"/>
        <v>63328.389472228118</v>
      </c>
      <c r="CB55" s="1303">
        <f t="shared" si="473"/>
        <v>59021.369943817954</v>
      </c>
      <c r="CC55" s="1303">
        <f t="shared" si="473"/>
        <v>63328.389472228118</v>
      </c>
      <c r="CD55" s="1303">
        <f t="shared" si="473"/>
        <v>59021.369943817954</v>
      </c>
      <c r="CE55" s="1303">
        <f t="shared" si="473"/>
        <v>63328.389472228118</v>
      </c>
      <c r="CF55" s="1303">
        <f t="shared" si="473"/>
        <v>63328.389472228118</v>
      </c>
      <c r="CG55" s="1303">
        <f t="shared" si="473"/>
        <v>59021.369943817954</v>
      </c>
      <c r="CH55" s="1303">
        <f t="shared" si="473"/>
        <v>63328.389472228118</v>
      </c>
      <c r="CI55" s="1303">
        <f t="shared" si="473"/>
        <v>59021.369943817954</v>
      </c>
      <c r="CJ55" s="1303">
        <f t="shared" si="473"/>
        <v>63328.389472228118</v>
      </c>
      <c r="CK55" s="1303">
        <f t="shared" si="473"/>
        <v>63328.389472228118</v>
      </c>
      <c r="CL55" s="1303">
        <f t="shared" si="473"/>
        <v>52602.926657212825</v>
      </c>
      <c r="CM55" s="1303">
        <f t="shared" si="473"/>
        <v>66494.808945839526</v>
      </c>
      <c r="CN55" s="1303">
        <f t="shared" si="473"/>
        <v>61972.438441008824</v>
      </c>
      <c r="CO55" s="1303">
        <f t="shared" si="473"/>
        <v>66494.808945839526</v>
      </c>
      <c r="CP55" s="1303">
        <f t="shared" si="473"/>
        <v>61972.438441008824</v>
      </c>
      <c r="CQ55" s="1303">
        <f t="shared" si="473"/>
        <v>66494.808945839526</v>
      </c>
      <c r="CR55" s="1303">
        <f t="shared" si="473"/>
        <v>66494.808945839526</v>
      </c>
      <c r="CS55" s="1303">
        <f t="shared" si="473"/>
        <v>61972.438441008824</v>
      </c>
      <c r="CT55" s="1303">
        <f t="shared" si="473"/>
        <v>66494.808945839526</v>
      </c>
      <c r="CU55" s="1303">
        <f t="shared" si="473"/>
        <v>61972.438441008824</v>
      </c>
      <c r="CV55" s="1303">
        <f t="shared" si="473"/>
        <v>66494.808945839526</v>
      </c>
      <c r="CW55" s="1303">
        <f t="shared" si="473"/>
        <v>66494.808945839526</v>
      </c>
      <c r="CX55" s="1303">
        <f t="shared" si="473"/>
        <v>55233.072990073502</v>
      </c>
      <c r="CY55" s="1303">
        <f t="shared" si="473"/>
        <v>69819.549393131514</v>
      </c>
      <c r="CZ55" s="1303">
        <f t="shared" si="473"/>
        <v>65071.060363059281</v>
      </c>
      <c r="DA55" s="1303">
        <f t="shared" si="473"/>
        <v>69819.549393131514</v>
      </c>
      <c r="DB55" s="1303">
        <f t="shared" si="473"/>
        <v>65071.060363059281</v>
      </c>
      <c r="DC55" s="1303">
        <f t="shared" si="473"/>
        <v>69819.549393131514</v>
      </c>
      <c r="DD55" s="1303">
        <f t="shared" si="473"/>
        <v>69819.549393131514</v>
      </c>
      <c r="DE55" s="1303">
        <f t="shared" si="473"/>
        <v>65071.060363059281</v>
      </c>
      <c r="DF55" s="1303">
        <f t="shared" si="473"/>
        <v>69819.549393131514</v>
      </c>
      <c r="DG55" s="1303">
        <f t="shared" si="473"/>
        <v>65071.060363059281</v>
      </c>
      <c r="DH55" s="1303">
        <f t="shared" si="473"/>
        <v>69819.549393131514</v>
      </c>
      <c r="DI55" s="1303">
        <f t="shared" si="473"/>
        <v>69819.549393131514</v>
      </c>
      <c r="DJ55" s="1303">
        <f t="shared" si="473"/>
        <v>62980.640121152996</v>
      </c>
      <c r="DK55" s="1303">
        <f t="shared" si="473"/>
        <v>73310.526862788087</v>
      </c>
      <c r="DL55" s="1303">
        <f t="shared" si="473"/>
        <v>68324.613381212243</v>
      </c>
      <c r="DM55" s="1303">
        <f t="shared" si="473"/>
        <v>73310.526862788087</v>
      </c>
      <c r="DN55" s="1303">
        <f t="shared" si="473"/>
        <v>68324.613381212243</v>
      </c>
      <c r="DO55" s="1303">
        <f t="shared" si="473"/>
        <v>73310.526862788087</v>
      </c>
      <c r="DP55" s="1303">
        <f t="shared" si="473"/>
        <v>73310.526862788087</v>
      </c>
      <c r="DQ55" s="1303">
        <f t="shared" si="473"/>
        <v>68324.613381212243</v>
      </c>
      <c r="DR55" s="1303">
        <f t="shared" si="473"/>
        <v>73310.526862788087</v>
      </c>
      <c r="DS55" s="1303">
        <f t="shared" si="473"/>
        <v>68324.613381212243</v>
      </c>
      <c r="DT55" s="1303">
        <f t="shared" si="473"/>
        <v>73310.526862788087</v>
      </c>
      <c r="DU55" s="1304">
        <f t="shared" si="473"/>
        <v>73310.526862788087</v>
      </c>
      <c r="DV55" s="1304"/>
      <c r="DW55" s="1254">
        <f t="shared" si="472"/>
        <v>2169.6547794831195</v>
      </c>
      <c r="DX55" s="1255">
        <f t="shared" si="472"/>
        <v>108923.69597356874</v>
      </c>
      <c r="DY55" s="1256">
        <f t="shared" si="472"/>
        <v>121061.68253311254</v>
      </c>
      <c r="DZ55" s="1256">
        <f t="shared" si="472"/>
        <v>125935.42567658283</v>
      </c>
      <c r="EA55" s="1257">
        <f t="shared" ref="EA55:EH55" si="474">EA48-SUM(EA51:EA53)</f>
        <v>126256.189853506</v>
      </c>
      <c r="EB55" s="1258">
        <f t="shared" si="474"/>
        <v>484346.64881625306</v>
      </c>
      <c r="EC55" s="1259">
        <f t="shared" si="474"/>
        <v>543753.01632951968</v>
      </c>
      <c r="ED55" s="1260">
        <f t="shared" si="474"/>
        <v>600146.83714599593</v>
      </c>
      <c r="EE55" s="1261">
        <f t="shared" si="474"/>
        <v>1628246.5022917683</v>
      </c>
      <c r="EF55" s="1259">
        <f t="shared" si="474"/>
        <v>630154.17900329595</v>
      </c>
      <c r="EG55" s="1260">
        <f t="shared" si="474"/>
        <v>661661.88795346103</v>
      </c>
      <c r="EH55" s="1261">
        <f t="shared" si="474"/>
        <v>2920062.5692485264</v>
      </c>
      <c r="EI55" s="91"/>
      <c r="EJ55" s="1258">
        <f t="shared" si="347"/>
        <v>698846.90571152419</v>
      </c>
      <c r="EK55" s="1259">
        <f t="shared" si="348"/>
        <v>729482.23146869044</v>
      </c>
      <c r="EL55" s="1262">
        <f t="shared" si="349"/>
        <v>765956.34304212476</v>
      </c>
      <c r="EM55" s="1262">
        <f t="shared" si="350"/>
        <v>804254.1601942312</v>
      </c>
      <c r="EN55" s="1260">
        <f t="shared" si="351"/>
        <v>849452.78168551868</v>
      </c>
      <c r="EO55" s="1261">
        <f t="shared" si="352"/>
        <v>6768054.9913506163</v>
      </c>
      <c r="EQ55" s="14">
        <f t="shared" si="353"/>
        <v>0</v>
      </c>
    </row>
    <row r="56" spans="2:147" ht="13.5" thickBot="1" x14ac:dyDescent="0.35">
      <c r="B56" s="609" t="s">
        <v>144</v>
      </c>
      <c r="C56" s="8"/>
      <c r="D56" s="8"/>
      <c r="E56" s="9">
        <f>IF(ISERROR(E55/E$25),"",(E55/E$25))</f>
        <v>2.8670978298207375E-2</v>
      </c>
      <c r="F56" s="8">
        <f t="shared" ref="F56:DZ56" si="475">IF(ISERROR(F55/F$25),"",(F55/F$25))</f>
        <v>0.34757962952131088</v>
      </c>
      <c r="G56" s="8">
        <f t="shared" si="475"/>
        <v>0.39951006320349974</v>
      </c>
      <c r="H56" s="8">
        <f t="shared" si="475"/>
        <v>0.38116039864361645</v>
      </c>
      <c r="I56" s="8">
        <f t="shared" si="475"/>
        <v>0.40178881140309408</v>
      </c>
      <c r="J56" s="8">
        <f t="shared" si="475"/>
        <v>0.3862648012319761</v>
      </c>
      <c r="K56" s="8">
        <f t="shared" si="475"/>
        <v>0.4273332291120242</v>
      </c>
      <c r="L56" s="8">
        <f t="shared" si="475"/>
        <v>0.4273332291120242</v>
      </c>
      <c r="M56" s="8">
        <f t="shared" ref="M56:AO56" si="476">IF(ISERROR(M55/M$25),"",(M55/M$25))</f>
        <v>0.40991100341575837</v>
      </c>
      <c r="N56" s="8">
        <f t="shared" si="476"/>
        <v>0.4273332291120242</v>
      </c>
      <c r="O56" s="8">
        <f t="shared" si="476"/>
        <v>0.40991100341575837</v>
      </c>
      <c r="P56" s="8">
        <f t="shared" si="476"/>
        <v>0.42892686212842823</v>
      </c>
      <c r="Q56" s="8">
        <f t="shared" si="476"/>
        <v>0.42892686212842823</v>
      </c>
      <c r="R56" s="8">
        <f t="shared" si="476"/>
        <v>0.4062206292604934</v>
      </c>
      <c r="S56" s="8">
        <f t="shared" si="476"/>
        <v>0.4445643349709254</v>
      </c>
      <c r="T56" s="8">
        <f t="shared" si="476"/>
        <v>0.42721647946995611</v>
      </c>
      <c r="U56" s="8">
        <f t="shared" si="476"/>
        <v>0.4445643349709254</v>
      </c>
      <c r="V56" s="8">
        <f t="shared" si="476"/>
        <v>0.42721647946995611</v>
      </c>
      <c r="W56" s="8">
        <f t="shared" si="476"/>
        <v>0.4445643349709254</v>
      </c>
      <c r="X56" s="8">
        <f t="shared" si="476"/>
        <v>0.4445643349709254</v>
      </c>
      <c r="Y56" s="8">
        <f t="shared" si="476"/>
        <v>0.42721647946995611</v>
      </c>
      <c r="Z56" s="8">
        <f t="shared" si="476"/>
        <v>0.4445643349709254</v>
      </c>
      <c r="AA56" s="8">
        <f t="shared" si="476"/>
        <v>0.42721647946995611</v>
      </c>
      <c r="AB56" s="8">
        <f t="shared" si="476"/>
        <v>0.4445643349709254</v>
      </c>
      <c r="AC56" s="8">
        <f t="shared" si="476"/>
        <v>0.4445643349709254</v>
      </c>
      <c r="AD56" s="8">
        <f t="shared" si="476"/>
        <v>0.41126422316265387</v>
      </c>
      <c r="AE56" s="8">
        <f t="shared" si="476"/>
        <v>0.46956433497092537</v>
      </c>
      <c r="AF56" s="8">
        <f t="shared" si="476"/>
        <v>0.45221647946995613</v>
      </c>
      <c r="AG56" s="8">
        <f t="shared" si="476"/>
        <v>0.46956433497092537</v>
      </c>
      <c r="AH56" s="8">
        <f t="shared" si="476"/>
        <v>0.45221647946995613</v>
      </c>
      <c r="AI56" s="8">
        <f t="shared" si="476"/>
        <v>0.46956433497092537</v>
      </c>
      <c r="AJ56" s="8">
        <f t="shared" si="476"/>
        <v>0.46956433497092537</v>
      </c>
      <c r="AK56" s="8">
        <f t="shared" si="476"/>
        <v>0.45221647946995613</v>
      </c>
      <c r="AL56" s="8">
        <f t="shared" si="476"/>
        <v>0.46956433497092537</v>
      </c>
      <c r="AM56" s="8">
        <f t="shared" si="476"/>
        <v>0.45221647946995613</v>
      </c>
      <c r="AN56" s="8">
        <f t="shared" si="476"/>
        <v>0.46956433497092537</v>
      </c>
      <c r="AO56" s="8">
        <f t="shared" si="476"/>
        <v>0.46956433497092537</v>
      </c>
      <c r="AP56" s="8">
        <f t="shared" ref="AP56:BM56" si="477">IF(ISERROR(AP55/AP$25),"",(AP55/AP$25))</f>
        <v>0.41126422316265399</v>
      </c>
      <c r="AQ56" s="8">
        <f t="shared" si="477"/>
        <v>0.46956433497092548</v>
      </c>
      <c r="AR56" s="8">
        <f t="shared" si="477"/>
        <v>0.45221647946995625</v>
      </c>
      <c r="AS56" s="8">
        <f t="shared" si="477"/>
        <v>0.46956433497092548</v>
      </c>
      <c r="AT56" s="8">
        <f t="shared" si="477"/>
        <v>0.45221647946995625</v>
      </c>
      <c r="AU56" s="8">
        <f t="shared" si="477"/>
        <v>0.46956433497092548</v>
      </c>
      <c r="AV56" s="8">
        <f t="shared" si="477"/>
        <v>0.46956433497092548</v>
      </c>
      <c r="AW56" s="8">
        <f t="shared" si="477"/>
        <v>0.45221647946995625</v>
      </c>
      <c r="AX56" s="8">
        <f t="shared" si="477"/>
        <v>0.46956433497092548</v>
      </c>
      <c r="AY56" s="8">
        <f t="shared" si="477"/>
        <v>0.45221647946995625</v>
      </c>
      <c r="AZ56" s="8">
        <f t="shared" si="477"/>
        <v>0.46956433497092548</v>
      </c>
      <c r="BA56" s="8">
        <f t="shared" si="477"/>
        <v>0.46956433497092548</v>
      </c>
      <c r="BB56" s="8">
        <f t="shared" si="477"/>
        <v>0.41126422316265393</v>
      </c>
      <c r="BC56" s="8">
        <f t="shared" si="477"/>
        <v>0.46956433497092548</v>
      </c>
      <c r="BD56" s="8">
        <f t="shared" si="477"/>
        <v>0.45221647946995608</v>
      </c>
      <c r="BE56" s="8">
        <f t="shared" si="477"/>
        <v>0.46956433497092548</v>
      </c>
      <c r="BF56" s="8">
        <f t="shared" si="477"/>
        <v>0.45221647946995608</v>
      </c>
      <c r="BG56" s="8">
        <f t="shared" si="477"/>
        <v>0.46956433497092548</v>
      </c>
      <c r="BH56" s="8">
        <f t="shared" si="477"/>
        <v>0.46956433497092548</v>
      </c>
      <c r="BI56" s="8">
        <f t="shared" si="477"/>
        <v>0.45221647946995608</v>
      </c>
      <c r="BJ56" s="8">
        <f t="shared" si="477"/>
        <v>0.46956433497092548</v>
      </c>
      <c r="BK56" s="8">
        <f t="shared" si="477"/>
        <v>0.45221647946995608</v>
      </c>
      <c r="BL56" s="8">
        <f t="shared" si="477"/>
        <v>0.46956433497092548</v>
      </c>
      <c r="BM56" s="8">
        <f t="shared" si="477"/>
        <v>0.46956433497092548</v>
      </c>
      <c r="BN56" s="8">
        <f t="shared" ref="BN56:DU56" si="478">IF(ISERROR(BN55/BN$25),"",(BN55/BN$25))</f>
        <v>0.43122062926049343</v>
      </c>
      <c r="BO56" s="8">
        <f t="shared" si="478"/>
        <v>0.46956433497092537</v>
      </c>
      <c r="BP56" s="8">
        <f t="shared" si="478"/>
        <v>0.45221647946995613</v>
      </c>
      <c r="BQ56" s="8">
        <f t="shared" si="478"/>
        <v>0.46956433497092537</v>
      </c>
      <c r="BR56" s="8">
        <f t="shared" si="478"/>
        <v>0.45221647946995613</v>
      </c>
      <c r="BS56" s="8">
        <f t="shared" si="478"/>
        <v>0.46956433497092537</v>
      </c>
      <c r="BT56" s="8">
        <f t="shared" si="478"/>
        <v>0.46956433497092537</v>
      </c>
      <c r="BU56" s="8">
        <f t="shared" si="478"/>
        <v>0.45221647946995613</v>
      </c>
      <c r="BV56" s="8">
        <f t="shared" si="478"/>
        <v>0.46956433497092537</v>
      </c>
      <c r="BW56" s="8">
        <f t="shared" si="478"/>
        <v>0.45221647946995613</v>
      </c>
      <c r="BX56" s="8">
        <f t="shared" si="478"/>
        <v>0.46956433497092537</v>
      </c>
      <c r="BY56" s="8">
        <f t="shared" si="478"/>
        <v>0.46956433497092537</v>
      </c>
      <c r="BZ56" s="8">
        <f t="shared" si="478"/>
        <v>0.41126422316265393</v>
      </c>
      <c r="CA56" s="8">
        <f t="shared" si="478"/>
        <v>0.46956433497092537</v>
      </c>
      <c r="CB56" s="8">
        <f t="shared" si="478"/>
        <v>0.45221647946995619</v>
      </c>
      <c r="CC56" s="8">
        <f t="shared" si="478"/>
        <v>0.46956433497092537</v>
      </c>
      <c r="CD56" s="8">
        <f t="shared" si="478"/>
        <v>0.45221647946995619</v>
      </c>
      <c r="CE56" s="8">
        <f t="shared" si="478"/>
        <v>0.46956433497092537</v>
      </c>
      <c r="CF56" s="8">
        <f t="shared" si="478"/>
        <v>0.46956433497092537</v>
      </c>
      <c r="CG56" s="8">
        <f t="shared" si="478"/>
        <v>0.45221647946995619</v>
      </c>
      <c r="CH56" s="8">
        <f t="shared" si="478"/>
        <v>0.46956433497092537</v>
      </c>
      <c r="CI56" s="8">
        <f t="shared" si="478"/>
        <v>0.45221647946995619</v>
      </c>
      <c r="CJ56" s="8">
        <f t="shared" si="478"/>
        <v>0.46956433497092537</v>
      </c>
      <c r="CK56" s="8">
        <f t="shared" si="478"/>
        <v>0.46956433497092537</v>
      </c>
      <c r="CL56" s="8">
        <f t="shared" si="478"/>
        <v>0.41126422316265376</v>
      </c>
      <c r="CM56" s="8">
        <f t="shared" si="478"/>
        <v>0.46956433497092531</v>
      </c>
      <c r="CN56" s="8">
        <f t="shared" si="478"/>
        <v>0.45221647946995602</v>
      </c>
      <c r="CO56" s="8">
        <f t="shared" si="478"/>
        <v>0.46956433497092531</v>
      </c>
      <c r="CP56" s="8">
        <f t="shared" si="478"/>
        <v>0.45221647946995602</v>
      </c>
      <c r="CQ56" s="8">
        <f t="shared" si="478"/>
        <v>0.46956433497092531</v>
      </c>
      <c r="CR56" s="8">
        <f t="shared" si="478"/>
        <v>0.46956433497092531</v>
      </c>
      <c r="CS56" s="8">
        <f t="shared" si="478"/>
        <v>0.45221647946995602</v>
      </c>
      <c r="CT56" s="8">
        <f t="shared" si="478"/>
        <v>0.46956433497092531</v>
      </c>
      <c r="CU56" s="8">
        <f t="shared" si="478"/>
        <v>0.45221647946995602</v>
      </c>
      <c r="CV56" s="8">
        <f t="shared" si="478"/>
        <v>0.46956433497092531</v>
      </c>
      <c r="CW56" s="8">
        <f t="shared" si="478"/>
        <v>0.46956433497092531</v>
      </c>
      <c r="CX56" s="8">
        <f t="shared" si="478"/>
        <v>0.41126422316265399</v>
      </c>
      <c r="CY56" s="8">
        <f t="shared" si="478"/>
        <v>0.46956433497092542</v>
      </c>
      <c r="CZ56" s="8">
        <f t="shared" si="478"/>
        <v>0.45221647946995608</v>
      </c>
      <c r="DA56" s="8">
        <f t="shared" si="478"/>
        <v>0.46956433497092542</v>
      </c>
      <c r="DB56" s="8">
        <f t="shared" si="478"/>
        <v>0.45221647946995608</v>
      </c>
      <c r="DC56" s="8">
        <f t="shared" si="478"/>
        <v>0.46956433497092542</v>
      </c>
      <c r="DD56" s="8">
        <f t="shared" si="478"/>
        <v>0.46956433497092542</v>
      </c>
      <c r="DE56" s="8">
        <f t="shared" si="478"/>
        <v>0.45221647946995608</v>
      </c>
      <c r="DF56" s="8">
        <f t="shared" si="478"/>
        <v>0.46956433497092542</v>
      </c>
      <c r="DG56" s="8">
        <f t="shared" si="478"/>
        <v>0.45221647946995608</v>
      </c>
      <c r="DH56" s="8">
        <f t="shared" si="478"/>
        <v>0.46956433497092542</v>
      </c>
      <c r="DI56" s="8">
        <f t="shared" si="478"/>
        <v>0.46956433497092542</v>
      </c>
      <c r="DJ56" s="8">
        <f t="shared" si="478"/>
        <v>0.43122062926049348</v>
      </c>
      <c r="DK56" s="8">
        <f t="shared" si="478"/>
        <v>0.46956433497092531</v>
      </c>
      <c r="DL56" s="8">
        <f t="shared" si="478"/>
        <v>0.45221647946995602</v>
      </c>
      <c r="DM56" s="8">
        <f t="shared" si="478"/>
        <v>0.46956433497092531</v>
      </c>
      <c r="DN56" s="8">
        <f t="shared" si="478"/>
        <v>0.45221647946995602</v>
      </c>
      <c r="DO56" s="8">
        <f t="shared" si="478"/>
        <v>0.46956433497092531</v>
      </c>
      <c r="DP56" s="8">
        <f t="shared" si="478"/>
        <v>0.46956433497092531</v>
      </c>
      <c r="DQ56" s="8">
        <f t="shared" si="478"/>
        <v>0.45221647946995602</v>
      </c>
      <c r="DR56" s="8">
        <f t="shared" si="478"/>
        <v>0.46956433497092531</v>
      </c>
      <c r="DS56" s="8">
        <f t="shared" si="478"/>
        <v>0.45221647946995602</v>
      </c>
      <c r="DT56" s="8">
        <f t="shared" si="478"/>
        <v>0.46956433497092531</v>
      </c>
      <c r="DU56" s="157">
        <f t="shared" si="478"/>
        <v>0.46956433497092531</v>
      </c>
      <c r="DV56" s="157"/>
      <c r="DW56" s="157">
        <f t="shared" si="475"/>
        <v>2.8670978298207375E-2</v>
      </c>
      <c r="DX56" s="9">
        <f t="shared" si="475"/>
        <v>0.37698711848554706</v>
      </c>
      <c r="DY56" s="8">
        <f t="shared" si="475"/>
        <v>0.40533399231443429</v>
      </c>
      <c r="DZ56" s="8">
        <f t="shared" si="475"/>
        <v>0.42165206855889403</v>
      </c>
      <c r="EA56" s="157">
        <f t="shared" ref="EA56:ED56" si="479">IF(ISERROR(EA55/EA$25),"",(EA55/EA$25))</f>
        <v>0.42272603863516622</v>
      </c>
      <c r="EB56" s="9">
        <f t="shared" si="479"/>
        <v>0.38421283820691288</v>
      </c>
      <c r="EC56" s="8">
        <f t="shared" si="479"/>
        <v>0.43583835102087376</v>
      </c>
      <c r="ED56" s="157">
        <f t="shared" si="479"/>
        <v>0.45938859307846536</v>
      </c>
      <c r="EE56" s="146">
        <f>IF(ISERROR(EE55/EE$25),"",(EE55/EE$25))</f>
        <v>0.42684295638052544</v>
      </c>
      <c r="EF56" s="8">
        <f t="shared" ref="EF56:EG56" si="480">IF(ISERROR(EF55/EF$25),"",(EF55/EF$25))</f>
        <v>0.45938859307846541</v>
      </c>
      <c r="EG56" s="157">
        <f t="shared" si="480"/>
        <v>0.45938859307846558</v>
      </c>
      <c r="EH56" s="146">
        <f>IF(ISERROR(EH55/EH$25),"",(EH55/EH$25))</f>
        <v>0.44065374751546799</v>
      </c>
      <c r="EJ56" s="9">
        <f t="shared" ref="EJ56:EO56" si="481">IF(ISERROR(EJ55/EJ$25),"",(EJ55/EJ$25))</f>
        <v>0.46083835102087395</v>
      </c>
      <c r="EK56" s="8">
        <f t="shared" si="481"/>
        <v>0.45938859307846536</v>
      </c>
      <c r="EL56" s="8">
        <f t="shared" si="481"/>
        <v>0.45938859307846514</v>
      </c>
      <c r="EM56" s="8">
        <f t="shared" si="481"/>
        <v>0.45938859307846525</v>
      </c>
      <c r="EN56" s="157">
        <f t="shared" si="481"/>
        <v>0.46083835102087389</v>
      </c>
      <c r="EO56" s="146">
        <f t="shared" si="481"/>
        <v>0.45143264861601046</v>
      </c>
    </row>
    <row r="57" spans="2:147" x14ac:dyDescent="0.3">
      <c r="B57" s="599"/>
      <c r="C57" s="10"/>
      <c r="D57" s="10"/>
      <c r="E57" s="11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58"/>
      <c r="DV57" s="158"/>
      <c r="DW57" s="158"/>
      <c r="DX57" s="11"/>
      <c r="DY57" s="10"/>
      <c r="DZ57" s="10"/>
      <c r="EA57" s="158"/>
      <c r="EB57" s="11"/>
      <c r="EC57" s="10"/>
      <c r="ED57" s="158"/>
      <c r="EE57" s="147"/>
      <c r="EF57" s="10"/>
      <c r="EG57" s="158"/>
      <c r="EH57" s="147"/>
      <c r="EJ57" s="11">
        <f t="shared" si="347"/>
        <v>0</v>
      </c>
      <c r="EK57" s="10">
        <f t="shared" si="348"/>
        <v>0</v>
      </c>
      <c r="EL57" s="10">
        <f t="shared" si="349"/>
        <v>0</v>
      </c>
      <c r="EM57" s="10">
        <f t="shared" si="350"/>
        <v>0</v>
      </c>
      <c r="EN57" s="158">
        <f t="shared" si="351"/>
        <v>0</v>
      </c>
      <c r="EO57" s="147">
        <f t="shared" si="352"/>
        <v>0</v>
      </c>
      <c r="EQ57" s="14">
        <f t="shared" si="353"/>
        <v>0</v>
      </c>
    </row>
    <row r="58" spans="2:147" x14ac:dyDescent="0.3">
      <c r="B58" s="599" t="s">
        <v>25</v>
      </c>
      <c r="C58" s="23"/>
      <c r="D58" s="23"/>
      <c r="E58" s="1269">
        <f t="shared" ref="E58:AJ58" si="482">(SUM(E166:E167))/E$5</f>
        <v>1326.1906360153257</v>
      </c>
      <c r="F58" s="1292">
        <f t="shared" si="482"/>
        <v>1326.1906360153257</v>
      </c>
      <c r="G58" s="1292">
        <f t="shared" si="482"/>
        <v>1326.1906360153257</v>
      </c>
      <c r="H58" s="1292">
        <f t="shared" si="482"/>
        <v>1326.1906360153257</v>
      </c>
      <c r="I58" s="1292">
        <f t="shared" si="482"/>
        <v>1326.1906360153257</v>
      </c>
      <c r="J58" s="1292">
        <f t="shared" si="482"/>
        <v>1326.1906360153257</v>
      </c>
      <c r="K58" s="1292">
        <f t="shared" si="482"/>
        <v>1326.1906360153257</v>
      </c>
      <c r="L58" s="1292">
        <f t="shared" si="482"/>
        <v>1326.1906360153257</v>
      </c>
      <c r="M58" s="1292">
        <f t="shared" si="482"/>
        <v>1326.1906360153257</v>
      </c>
      <c r="N58" s="1292">
        <f t="shared" si="482"/>
        <v>1326.1906360153257</v>
      </c>
      <c r="O58" s="1292">
        <f t="shared" si="482"/>
        <v>1326.1906360153257</v>
      </c>
      <c r="P58" s="1292">
        <f t="shared" si="482"/>
        <v>1326.1906360153257</v>
      </c>
      <c r="Q58" s="1292">
        <f t="shared" si="482"/>
        <v>1326.1906360153257</v>
      </c>
      <c r="R58" s="1292">
        <f t="shared" si="482"/>
        <v>1307.6985148032045</v>
      </c>
      <c r="S58" s="1292">
        <f t="shared" si="482"/>
        <v>1307.6985148032045</v>
      </c>
      <c r="T58" s="1292">
        <f t="shared" si="482"/>
        <v>1307.6985148032045</v>
      </c>
      <c r="U58" s="1292">
        <f t="shared" si="482"/>
        <v>1307.6985148032045</v>
      </c>
      <c r="V58" s="1292">
        <f t="shared" si="482"/>
        <v>1307.6985148032045</v>
      </c>
      <c r="W58" s="1292">
        <f t="shared" si="482"/>
        <v>1307.6985148032045</v>
      </c>
      <c r="X58" s="1292">
        <f t="shared" si="482"/>
        <v>1307.6985148032045</v>
      </c>
      <c r="Y58" s="1292">
        <f t="shared" si="482"/>
        <v>1307.6985148032045</v>
      </c>
      <c r="Z58" s="1292">
        <f t="shared" si="482"/>
        <v>1307.6985148032045</v>
      </c>
      <c r="AA58" s="1292">
        <f t="shared" si="482"/>
        <v>1307.6985148032045</v>
      </c>
      <c r="AB58" s="1292">
        <f t="shared" si="482"/>
        <v>1307.6985148032045</v>
      </c>
      <c r="AC58" s="1292">
        <f t="shared" si="482"/>
        <v>1307.6985148032045</v>
      </c>
      <c r="AD58" s="1292">
        <f t="shared" si="482"/>
        <v>1307.6985148032045</v>
      </c>
      <c r="AE58" s="1292">
        <f t="shared" si="482"/>
        <v>1307.6985148032045</v>
      </c>
      <c r="AF58" s="1292">
        <f t="shared" si="482"/>
        <v>1307.6985148032045</v>
      </c>
      <c r="AG58" s="1292">
        <f t="shared" si="482"/>
        <v>1307.6985148032045</v>
      </c>
      <c r="AH58" s="1292">
        <f t="shared" si="482"/>
        <v>1307.6985148032045</v>
      </c>
      <c r="AI58" s="1292">
        <f t="shared" si="482"/>
        <v>1307.6985148032045</v>
      </c>
      <c r="AJ58" s="1292">
        <f t="shared" si="482"/>
        <v>1307.6985148032045</v>
      </c>
      <c r="AK58" s="1292">
        <f t="shared" ref="AK58:BP58" si="483">(SUM(AK166:AK167))/AK$5</f>
        <v>1307.6985148032045</v>
      </c>
      <c r="AL58" s="1292">
        <f t="shared" si="483"/>
        <v>1307.6985148032045</v>
      </c>
      <c r="AM58" s="1292">
        <f t="shared" si="483"/>
        <v>1307.6985148032045</v>
      </c>
      <c r="AN58" s="1292">
        <f t="shared" si="483"/>
        <v>1307.6985148032045</v>
      </c>
      <c r="AO58" s="1292">
        <f t="shared" si="483"/>
        <v>1307.6985148032045</v>
      </c>
      <c r="AP58" s="1292">
        <f t="shared" si="483"/>
        <v>1307.6985148032045</v>
      </c>
      <c r="AQ58" s="1292">
        <f t="shared" si="483"/>
        <v>1307.6985148032045</v>
      </c>
      <c r="AR58" s="1292">
        <f t="shared" si="483"/>
        <v>1307.6985148032045</v>
      </c>
      <c r="AS58" s="1292">
        <f t="shared" si="483"/>
        <v>1307.6985148032045</v>
      </c>
      <c r="AT58" s="1292">
        <f t="shared" si="483"/>
        <v>1307.6985148032045</v>
      </c>
      <c r="AU58" s="1292">
        <f t="shared" si="483"/>
        <v>1307.6985148032045</v>
      </c>
      <c r="AV58" s="1292">
        <f t="shared" si="483"/>
        <v>1307.6985148032045</v>
      </c>
      <c r="AW58" s="1292">
        <f t="shared" si="483"/>
        <v>1307.6985148032045</v>
      </c>
      <c r="AX58" s="1292">
        <f t="shared" si="483"/>
        <v>1307.6985148032045</v>
      </c>
      <c r="AY58" s="1292">
        <f t="shared" si="483"/>
        <v>1307.6985148032045</v>
      </c>
      <c r="AZ58" s="1292">
        <f t="shared" si="483"/>
        <v>1307.6985148032045</v>
      </c>
      <c r="BA58" s="1292">
        <f t="shared" si="483"/>
        <v>1307.6985148032045</v>
      </c>
      <c r="BB58" s="1292">
        <f t="shared" si="483"/>
        <v>1307.6985148032045</v>
      </c>
      <c r="BC58" s="1292">
        <f t="shared" si="483"/>
        <v>1307.6985148032045</v>
      </c>
      <c r="BD58" s="1292">
        <f t="shared" si="483"/>
        <v>1307.6985148032045</v>
      </c>
      <c r="BE58" s="1292">
        <f t="shared" si="483"/>
        <v>1307.6985148032045</v>
      </c>
      <c r="BF58" s="1292">
        <f t="shared" si="483"/>
        <v>1307.6985148032045</v>
      </c>
      <c r="BG58" s="1292">
        <f t="shared" si="483"/>
        <v>1307.6985148032045</v>
      </c>
      <c r="BH58" s="1292">
        <f t="shared" si="483"/>
        <v>1307.6985148032045</v>
      </c>
      <c r="BI58" s="1292">
        <f t="shared" si="483"/>
        <v>1307.6985148032045</v>
      </c>
      <c r="BJ58" s="1292">
        <f t="shared" si="483"/>
        <v>1307.6985148032045</v>
      </c>
      <c r="BK58" s="1292">
        <f t="shared" si="483"/>
        <v>1307.6985148032045</v>
      </c>
      <c r="BL58" s="1292">
        <f t="shared" si="483"/>
        <v>1307.6985148032045</v>
      </c>
      <c r="BM58" s="1292">
        <f t="shared" si="483"/>
        <v>1307.6985148032045</v>
      </c>
      <c r="BN58" s="1292">
        <f t="shared" si="483"/>
        <v>1307.6985148032045</v>
      </c>
      <c r="BO58" s="1292">
        <f t="shared" si="483"/>
        <v>1307.6985148032045</v>
      </c>
      <c r="BP58" s="1292">
        <f t="shared" si="483"/>
        <v>1307.6985148032045</v>
      </c>
      <c r="BQ58" s="1292">
        <f t="shared" ref="BQ58:CV58" si="484">(SUM(BQ166:BQ167))/BQ$5</f>
        <v>1307.6985148032045</v>
      </c>
      <c r="BR58" s="1292">
        <f t="shared" si="484"/>
        <v>1307.6985148032045</v>
      </c>
      <c r="BS58" s="1292">
        <f t="shared" si="484"/>
        <v>1307.6985148032045</v>
      </c>
      <c r="BT58" s="1292">
        <f t="shared" si="484"/>
        <v>1307.6985148032045</v>
      </c>
      <c r="BU58" s="1292">
        <f t="shared" si="484"/>
        <v>1307.6985148032045</v>
      </c>
      <c r="BV58" s="1292">
        <f t="shared" si="484"/>
        <v>1307.6985148032045</v>
      </c>
      <c r="BW58" s="1292">
        <f t="shared" si="484"/>
        <v>1307.6985148032045</v>
      </c>
      <c r="BX58" s="1292">
        <f t="shared" si="484"/>
        <v>1307.6985148032045</v>
      </c>
      <c r="BY58" s="1292">
        <f t="shared" si="484"/>
        <v>1307.6985148032045</v>
      </c>
      <c r="BZ58" s="1292">
        <f t="shared" si="484"/>
        <v>1307.6985148032045</v>
      </c>
      <c r="CA58" s="1292">
        <f t="shared" si="484"/>
        <v>1307.6985148032045</v>
      </c>
      <c r="CB58" s="1292">
        <f t="shared" si="484"/>
        <v>1307.6985148032045</v>
      </c>
      <c r="CC58" s="1292">
        <f t="shared" si="484"/>
        <v>1307.6985148032045</v>
      </c>
      <c r="CD58" s="1292">
        <f t="shared" si="484"/>
        <v>1307.6985148032045</v>
      </c>
      <c r="CE58" s="1292">
        <f t="shared" si="484"/>
        <v>1307.6985148032045</v>
      </c>
      <c r="CF58" s="1292">
        <f t="shared" si="484"/>
        <v>1307.6985148032045</v>
      </c>
      <c r="CG58" s="1292">
        <f t="shared" si="484"/>
        <v>1307.6985148032045</v>
      </c>
      <c r="CH58" s="1292">
        <f t="shared" si="484"/>
        <v>1307.6985148032045</v>
      </c>
      <c r="CI58" s="1292">
        <f t="shared" si="484"/>
        <v>1307.6985148032045</v>
      </c>
      <c r="CJ58" s="1292">
        <f t="shared" si="484"/>
        <v>1307.6985148032045</v>
      </c>
      <c r="CK58" s="1292">
        <f t="shared" si="484"/>
        <v>1307.6985148032045</v>
      </c>
      <c r="CL58" s="1292">
        <f t="shared" si="484"/>
        <v>1307.6985148032045</v>
      </c>
      <c r="CM58" s="1292">
        <f t="shared" si="484"/>
        <v>1307.6985148032045</v>
      </c>
      <c r="CN58" s="1292">
        <f t="shared" si="484"/>
        <v>1307.6985148032045</v>
      </c>
      <c r="CO58" s="1292">
        <f t="shared" si="484"/>
        <v>1307.6985148032045</v>
      </c>
      <c r="CP58" s="1292">
        <f t="shared" si="484"/>
        <v>1307.6985148032045</v>
      </c>
      <c r="CQ58" s="1292">
        <f t="shared" si="484"/>
        <v>1307.6985148032045</v>
      </c>
      <c r="CR58" s="1292">
        <f t="shared" si="484"/>
        <v>1307.6985148032045</v>
      </c>
      <c r="CS58" s="1292">
        <f t="shared" si="484"/>
        <v>1307.6985148032045</v>
      </c>
      <c r="CT58" s="1292">
        <f t="shared" si="484"/>
        <v>1307.6985148032045</v>
      </c>
      <c r="CU58" s="1292">
        <f t="shared" si="484"/>
        <v>1307.6985148032045</v>
      </c>
      <c r="CV58" s="1292">
        <f t="shared" si="484"/>
        <v>1307.6985148032045</v>
      </c>
      <c r="CW58" s="1292">
        <f t="shared" ref="CW58:DU58" si="485">(SUM(CW166:CW167))/CW$5</f>
        <v>1307.6985148032045</v>
      </c>
      <c r="CX58" s="1292">
        <f t="shared" si="485"/>
        <v>1307.6985148032045</v>
      </c>
      <c r="CY58" s="1292">
        <f t="shared" si="485"/>
        <v>1307.6985148032045</v>
      </c>
      <c r="CZ58" s="1292">
        <f t="shared" si="485"/>
        <v>1307.6985148032045</v>
      </c>
      <c r="DA58" s="1292">
        <f t="shared" si="485"/>
        <v>1307.6985148032045</v>
      </c>
      <c r="DB58" s="1292">
        <f t="shared" si="485"/>
        <v>1307.6985148032045</v>
      </c>
      <c r="DC58" s="1292">
        <f t="shared" si="485"/>
        <v>1307.6985148032045</v>
      </c>
      <c r="DD58" s="1292">
        <f t="shared" si="485"/>
        <v>1307.6985148032045</v>
      </c>
      <c r="DE58" s="1292">
        <f t="shared" si="485"/>
        <v>1307.6985148032045</v>
      </c>
      <c r="DF58" s="1292">
        <f t="shared" si="485"/>
        <v>1307.6985148032045</v>
      </c>
      <c r="DG58" s="1292">
        <f t="shared" si="485"/>
        <v>1307.6985148032045</v>
      </c>
      <c r="DH58" s="1292">
        <f t="shared" si="485"/>
        <v>1307.6985148032045</v>
      </c>
      <c r="DI58" s="1292">
        <f t="shared" si="485"/>
        <v>1307.6985148032045</v>
      </c>
      <c r="DJ58" s="1292">
        <f t="shared" si="485"/>
        <v>1307.6985148032045</v>
      </c>
      <c r="DK58" s="1292">
        <f t="shared" si="485"/>
        <v>1307.6985148032045</v>
      </c>
      <c r="DL58" s="1292">
        <f t="shared" si="485"/>
        <v>1307.6985148032045</v>
      </c>
      <c r="DM58" s="1292">
        <f t="shared" si="485"/>
        <v>1307.6985148032045</v>
      </c>
      <c r="DN58" s="1292">
        <f t="shared" si="485"/>
        <v>1307.6985148032045</v>
      </c>
      <c r="DO58" s="1292">
        <f t="shared" si="485"/>
        <v>1307.6985148032045</v>
      </c>
      <c r="DP58" s="1292">
        <f t="shared" si="485"/>
        <v>1307.6985148032045</v>
      </c>
      <c r="DQ58" s="1292">
        <f t="shared" si="485"/>
        <v>1307.6985148032045</v>
      </c>
      <c r="DR58" s="1292">
        <f t="shared" si="485"/>
        <v>1307.6985148032045</v>
      </c>
      <c r="DS58" s="1292">
        <f t="shared" si="485"/>
        <v>1307.6985148032045</v>
      </c>
      <c r="DT58" s="1292">
        <f t="shared" si="485"/>
        <v>1307.6985148032045</v>
      </c>
      <c r="DU58" s="1291">
        <f t="shared" si="485"/>
        <v>1307.6985148032045</v>
      </c>
      <c r="DV58" s="1291"/>
      <c r="DW58" s="1248">
        <f>SUM(C58:E58)</f>
        <v>1326.1906360153257</v>
      </c>
      <c r="DX58" s="1246">
        <f>SUM(F58:H58)</f>
        <v>3978.5719080459771</v>
      </c>
      <c r="DY58" s="1247">
        <f>SUM(I58:K58)</f>
        <v>3978.5719080459771</v>
      </c>
      <c r="DZ58" s="1247">
        <f>SUM(L58:N58)</f>
        <v>3978.5719080459771</v>
      </c>
      <c r="EA58" s="1248">
        <f>SUM(O58:Q58)</f>
        <v>3978.5719080459771</v>
      </c>
      <c r="EB58" s="1246">
        <f>SUM(C58:Q58)</f>
        <v>17240.478268199236</v>
      </c>
      <c r="EC58" s="1247">
        <f>SUM(R58:AC58)</f>
        <v>15692.38217763845</v>
      </c>
      <c r="ED58" s="1248">
        <f>SUM(AD58:AO58)</f>
        <v>15692.38217763845</v>
      </c>
      <c r="EE58" s="1249">
        <f>SUM(EB58:ED58)</f>
        <v>48625.242623476137</v>
      </c>
      <c r="EF58" s="1247">
        <f>SUM(AP58:BA58)</f>
        <v>15692.38217763845</v>
      </c>
      <c r="EG58" s="1248">
        <f>SUM(BB58:BM58)</f>
        <v>15692.38217763845</v>
      </c>
      <c r="EH58" s="1249">
        <f>SUM(EE58:EG58)</f>
        <v>80010.006978753037</v>
      </c>
      <c r="EI58" s="1307">
        <f>EH58/$EH$25</f>
        <v>1.2073956834082336E-2</v>
      </c>
      <c r="EJ58" s="1246">
        <f t="shared" si="347"/>
        <v>15692.38217763845</v>
      </c>
      <c r="EK58" s="1247">
        <f t="shared" si="348"/>
        <v>15692.38217763845</v>
      </c>
      <c r="EL58" s="1247">
        <f t="shared" si="349"/>
        <v>15692.38217763845</v>
      </c>
      <c r="EM58" s="1247">
        <f t="shared" si="350"/>
        <v>15692.38217763845</v>
      </c>
      <c r="EN58" s="1248">
        <f t="shared" si="351"/>
        <v>15692.38217763845</v>
      </c>
      <c r="EO58" s="1249">
        <f t="shared" si="352"/>
        <v>158471.91786694527</v>
      </c>
      <c r="EQ58" s="14">
        <f t="shared" si="353"/>
        <v>0</v>
      </c>
    </row>
    <row r="59" spans="2:147" x14ac:dyDescent="0.3">
      <c r="B59" s="599"/>
      <c r="C59" s="23"/>
      <c r="D59" s="23"/>
      <c r="E59" s="1269"/>
      <c r="F59" s="1292"/>
      <c r="G59" s="1292"/>
      <c r="H59" s="1292"/>
      <c r="I59" s="1292"/>
      <c r="J59" s="1292"/>
      <c r="K59" s="1292"/>
      <c r="L59" s="1292"/>
      <c r="M59" s="1292"/>
      <c r="N59" s="1292"/>
      <c r="O59" s="1292"/>
      <c r="P59" s="1292"/>
      <c r="Q59" s="1292"/>
      <c r="R59" s="1292"/>
      <c r="S59" s="1292"/>
      <c r="T59" s="1292"/>
      <c r="U59" s="1292"/>
      <c r="V59" s="1292"/>
      <c r="W59" s="1292"/>
      <c r="X59" s="1292"/>
      <c r="Y59" s="1292"/>
      <c r="Z59" s="1292"/>
      <c r="AA59" s="1292"/>
      <c r="AB59" s="1292"/>
      <c r="AC59" s="1292"/>
      <c r="AD59" s="1292"/>
      <c r="AE59" s="1292"/>
      <c r="AF59" s="1292"/>
      <c r="AG59" s="1292"/>
      <c r="AH59" s="1292"/>
      <c r="AI59" s="1292"/>
      <c r="AJ59" s="1292"/>
      <c r="AK59" s="1292"/>
      <c r="AL59" s="1292"/>
      <c r="AM59" s="1292"/>
      <c r="AN59" s="1292"/>
      <c r="AO59" s="1292"/>
      <c r="AP59" s="1292"/>
      <c r="AQ59" s="1292"/>
      <c r="AR59" s="1292"/>
      <c r="AS59" s="1292"/>
      <c r="AT59" s="1292"/>
      <c r="AU59" s="1292"/>
      <c r="AV59" s="1292"/>
      <c r="AW59" s="1292"/>
      <c r="AX59" s="1292"/>
      <c r="AY59" s="1292"/>
      <c r="AZ59" s="1292"/>
      <c r="BA59" s="1292"/>
      <c r="BB59" s="1292"/>
      <c r="BC59" s="1292"/>
      <c r="BD59" s="1292"/>
      <c r="BE59" s="1292"/>
      <c r="BF59" s="1292"/>
      <c r="BG59" s="1292"/>
      <c r="BH59" s="1292"/>
      <c r="BI59" s="1292"/>
      <c r="BJ59" s="1292"/>
      <c r="BK59" s="1292"/>
      <c r="BL59" s="1292"/>
      <c r="BM59" s="1292"/>
      <c r="BN59" s="1292"/>
      <c r="BO59" s="1292"/>
      <c r="BP59" s="1292"/>
      <c r="BQ59" s="1292"/>
      <c r="BR59" s="1292"/>
      <c r="BS59" s="1292"/>
      <c r="BT59" s="1292"/>
      <c r="BU59" s="1292"/>
      <c r="BV59" s="1292"/>
      <c r="BW59" s="1292"/>
      <c r="BX59" s="1292"/>
      <c r="BY59" s="1292"/>
      <c r="BZ59" s="1292"/>
      <c r="CA59" s="1292"/>
      <c r="CB59" s="1292"/>
      <c r="CC59" s="1292"/>
      <c r="CD59" s="1292"/>
      <c r="CE59" s="1292"/>
      <c r="CF59" s="1292"/>
      <c r="CG59" s="1292"/>
      <c r="CH59" s="1292"/>
      <c r="CI59" s="1292"/>
      <c r="CJ59" s="1292"/>
      <c r="CK59" s="1292"/>
      <c r="CL59" s="1292"/>
      <c r="CM59" s="1292"/>
      <c r="CN59" s="1292"/>
      <c r="CO59" s="1292"/>
      <c r="CP59" s="1292"/>
      <c r="CQ59" s="1292"/>
      <c r="CR59" s="1292"/>
      <c r="CS59" s="1292"/>
      <c r="CT59" s="1292"/>
      <c r="CU59" s="1292"/>
      <c r="CV59" s="1292"/>
      <c r="CW59" s="1292"/>
      <c r="CX59" s="1292"/>
      <c r="CY59" s="1292"/>
      <c r="CZ59" s="1292"/>
      <c r="DA59" s="1292"/>
      <c r="DB59" s="1292"/>
      <c r="DC59" s="1292"/>
      <c r="DD59" s="1292"/>
      <c r="DE59" s="1292"/>
      <c r="DF59" s="1292"/>
      <c r="DG59" s="1292"/>
      <c r="DH59" s="1292"/>
      <c r="DI59" s="1292"/>
      <c r="DJ59" s="1292"/>
      <c r="DK59" s="1292"/>
      <c r="DL59" s="1292"/>
      <c r="DM59" s="1292"/>
      <c r="DN59" s="1292"/>
      <c r="DO59" s="1292"/>
      <c r="DP59" s="1292"/>
      <c r="DQ59" s="1292"/>
      <c r="DR59" s="1292"/>
      <c r="DS59" s="1292"/>
      <c r="DT59" s="1292"/>
      <c r="DU59" s="1291"/>
      <c r="DV59" s="1291"/>
      <c r="DW59" s="1248"/>
      <c r="DX59" s="1246"/>
      <c r="DY59" s="1247"/>
      <c r="DZ59" s="1247"/>
      <c r="EA59" s="1248"/>
      <c r="EB59" s="1246"/>
      <c r="EC59" s="1247"/>
      <c r="ED59" s="1248"/>
      <c r="EE59" s="1249"/>
      <c r="EF59" s="1247"/>
      <c r="EG59" s="1248"/>
      <c r="EH59" s="1249"/>
      <c r="EI59" s="1307"/>
      <c r="EJ59" s="1246">
        <f t="shared" si="347"/>
        <v>0</v>
      </c>
      <c r="EK59" s="1247">
        <f t="shared" si="348"/>
        <v>0</v>
      </c>
      <c r="EL59" s="1247">
        <f t="shared" si="349"/>
        <v>0</v>
      </c>
      <c r="EM59" s="1247">
        <f t="shared" si="350"/>
        <v>0</v>
      </c>
      <c r="EN59" s="1248">
        <f t="shared" si="351"/>
        <v>0</v>
      </c>
      <c r="EO59" s="1249">
        <f t="shared" si="352"/>
        <v>0</v>
      </c>
      <c r="EQ59" s="14">
        <f t="shared" si="353"/>
        <v>0</v>
      </c>
    </row>
    <row r="60" spans="2:147" x14ac:dyDescent="0.3">
      <c r="B60" s="608" t="s">
        <v>145</v>
      </c>
      <c r="C60" s="28"/>
      <c r="D60" s="28"/>
      <c r="E60" s="1302">
        <f t="shared" ref="E60:AJ60" si="486">E48-E58</f>
        <v>3870.434143467794</v>
      </c>
      <c r="F60" s="1303">
        <f t="shared" si="486"/>
        <v>33904.797687471837</v>
      </c>
      <c r="G60" s="1303">
        <f t="shared" si="486"/>
        <v>42905.788189025465</v>
      </c>
      <c r="H60" s="1303">
        <f t="shared" si="486"/>
        <v>39691.823903311175</v>
      </c>
      <c r="I60" s="1303">
        <f t="shared" si="486"/>
        <v>43135.11978015535</v>
      </c>
      <c r="J60" s="1303">
        <f t="shared" si="486"/>
        <v>40188.956255398916</v>
      </c>
      <c r="K60" s="1303">
        <f t="shared" si="486"/>
        <v>45705.891732369433</v>
      </c>
      <c r="L60" s="1303">
        <f t="shared" si="486"/>
        <v>45705.891732369433</v>
      </c>
      <c r="M60" s="1303">
        <f t="shared" si="486"/>
        <v>42491.927446655143</v>
      </c>
      <c r="N60" s="1303">
        <f t="shared" si="486"/>
        <v>45705.891732369433</v>
      </c>
      <c r="O60" s="1303">
        <f t="shared" si="486"/>
        <v>42491.927446655143</v>
      </c>
      <c r="P60" s="1303">
        <f t="shared" si="486"/>
        <v>45866.273820831033</v>
      </c>
      <c r="Q60" s="1303">
        <f t="shared" si="486"/>
        <v>45866.273820831033</v>
      </c>
      <c r="R60" s="1303">
        <f t="shared" si="486"/>
        <v>41320.077764956302</v>
      </c>
      <c r="S60" s="1303">
        <f t="shared" si="486"/>
        <v>48311.751716993203</v>
      </c>
      <c r="T60" s="1303">
        <f t="shared" si="486"/>
        <v>44937.089216993183</v>
      </c>
      <c r="U60" s="1303">
        <f t="shared" si="486"/>
        <v>48311.751716993203</v>
      </c>
      <c r="V60" s="1303">
        <f t="shared" si="486"/>
        <v>44937.089216993183</v>
      </c>
      <c r="W60" s="1303">
        <f t="shared" si="486"/>
        <v>48311.751716993203</v>
      </c>
      <c r="X60" s="1303">
        <f t="shared" si="486"/>
        <v>48311.751716993203</v>
      </c>
      <c r="Y60" s="1303">
        <f t="shared" si="486"/>
        <v>44937.089216993183</v>
      </c>
      <c r="Z60" s="1303">
        <f t="shared" si="486"/>
        <v>48311.751716993203</v>
      </c>
      <c r="AA60" s="1303">
        <f t="shared" si="486"/>
        <v>44937.089216993183</v>
      </c>
      <c r="AB60" s="1303">
        <f t="shared" si="486"/>
        <v>48311.751716993203</v>
      </c>
      <c r="AC60" s="1303">
        <f t="shared" si="486"/>
        <v>48311.751716993203</v>
      </c>
      <c r="AD60" s="1303">
        <f t="shared" si="486"/>
        <v>39908.070953944276</v>
      </c>
      <c r="AE60" s="1303">
        <f t="shared" si="486"/>
        <v>50792.724228583029</v>
      </c>
      <c r="AF60" s="1303">
        <f t="shared" si="486"/>
        <v>47249.32860358301</v>
      </c>
      <c r="AG60" s="1303">
        <f t="shared" si="486"/>
        <v>50792.724228583029</v>
      </c>
      <c r="AH60" s="1303">
        <f t="shared" si="486"/>
        <v>47249.32860358301</v>
      </c>
      <c r="AI60" s="1303">
        <f t="shared" si="486"/>
        <v>50792.724228583029</v>
      </c>
      <c r="AJ60" s="1303">
        <f t="shared" si="486"/>
        <v>50792.724228583029</v>
      </c>
      <c r="AK60" s="1303">
        <f t="shared" ref="AK60:DY60" si="487">AK48-AK58</f>
        <v>47249.32860358301</v>
      </c>
      <c r="AL60" s="1303">
        <f t="shared" si="487"/>
        <v>50792.724228583029</v>
      </c>
      <c r="AM60" s="1303">
        <f t="shared" si="487"/>
        <v>47249.32860358301</v>
      </c>
      <c r="AN60" s="1303">
        <f t="shared" si="487"/>
        <v>50792.724228583029</v>
      </c>
      <c r="AO60" s="1303">
        <f t="shared" si="487"/>
        <v>50792.724228583029</v>
      </c>
      <c r="AP60" s="1303">
        <f t="shared" si="487"/>
        <v>41968.859427381663</v>
      </c>
      <c r="AQ60" s="1303">
        <f t="shared" si="487"/>
        <v>53397.745365752351</v>
      </c>
      <c r="AR60" s="1303">
        <f t="shared" si="487"/>
        <v>49677.17995950234</v>
      </c>
      <c r="AS60" s="1303">
        <f t="shared" si="487"/>
        <v>53397.745365752351</v>
      </c>
      <c r="AT60" s="1303">
        <f t="shared" si="487"/>
        <v>49677.17995950234</v>
      </c>
      <c r="AU60" s="1303">
        <f t="shared" si="487"/>
        <v>53397.745365752351</v>
      </c>
      <c r="AV60" s="1303">
        <f t="shared" si="487"/>
        <v>53397.745365752351</v>
      </c>
      <c r="AW60" s="1303">
        <f t="shared" si="487"/>
        <v>49677.17995950234</v>
      </c>
      <c r="AX60" s="1303">
        <f t="shared" si="487"/>
        <v>53397.745365752351</v>
      </c>
      <c r="AY60" s="1303">
        <f t="shared" si="487"/>
        <v>49677.17995950234</v>
      </c>
      <c r="AZ60" s="1303">
        <f t="shared" si="487"/>
        <v>53397.745365752351</v>
      </c>
      <c r="BA60" s="1303">
        <f t="shared" si="487"/>
        <v>53397.745365752351</v>
      </c>
      <c r="BB60" s="1303">
        <f t="shared" si="487"/>
        <v>44132.6873244909</v>
      </c>
      <c r="BC60" s="1303">
        <f t="shared" si="487"/>
        <v>56133.017559780135</v>
      </c>
      <c r="BD60" s="1303">
        <f t="shared" si="487"/>
        <v>52226.423883217598</v>
      </c>
      <c r="BE60" s="1303">
        <f t="shared" si="487"/>
        <v>56133.017559780135</v>
      </c>
      <c r="BF60" s="1303">
        <f t="shared" si="487"/>
        <v>52226.423883217598</v>
      </c>
      <c r="BG60" s="1303">
        <f t="shared" si="487"/>
        <v>56133.017559780135</v>
      </c>
      <c r="BH60" s="1303">
        <f t="shared" si="487"/>
        <v>56133.017559780135</v>
      </c>
      <c r="BI60" s="1303">
        <f t="shared" si="487"/>
        <v>52226.423883217598</v>
      </c>
      <c r="BJ60" s="1303">
        <f t="shared" si="487"/>
        <v>56133.017559780135</v>
      </c>
      <c r="BK60" s="1303">
        <f t="shared" si="487"/>
        <v>52226.423883217598</v>
      </c>
      <c r="BL60" s="1303">
        <f t="shared" si="487"/>
        <v>56133.017559780135</v>
      </c>
      <c r="BM60" s="1303">
        <f t="shared" si="487"/>
        <v>56133.017559780135</v>
      </c>
      <c r="BN60" s="1303">
        <f t="shared" ref="BN60:DU60" si="488">BN48-BN58</f>
        <v>50506.629976846234</v>
      </c>
      <c r="BO60" s="1303">
        <f t="shared" si="488"/>
        <v>59005.053363509287</v>
      </c>
      <c r="BP60" s="1303">
        <f t="shared" si="488"/>
        <v>54903.13000311864</v>
      </c>
      <c r="BQ60" s="1303">
        <f t="shared" si="488"/>
        <v>59005.053363509287</v>
      </c>
      <c r="BR60" s="1303">
        <f t="shared" si="488"/>
        <v>54903.13000311864</v>
      </c>
      <c r="BS60" s="1303">
        <f t="shared" si="488"/>
        <v>59005.053363509287</v>
      </c>
      <c r="BT60" s="1303">
        <f t="shared" si="488"/>
        <v>59005.053363509287</v>
      </c>
      <c r="BU60" s="1303">
        <f t="shared" si="488"/>
        <v>54903.13000311864</v>
      </c>
      <c r="BV60" s="1303">
        <f t="shared" si="488"/>
        <v>59005.053363509287</v>
      </c>
      <c r="BW60" s="1303">
        <f t="shared" si="488"/>
        <v>54903.13000311864</v>
      </c>
      <c r="BX60" s="1303">
        <f t="shared" si="488"/>
        <v>59005.053363509287</v>
      </c>
      <c r="BY60" s="1303">
        <f t="shared" si="488"/>
        <v>59005.053363509287</v>
      </c>
      <c r="BZ60" s="1303">
        <f t="shared" si="488"/>
        <v>48790.326873018552</v>
      </c>
      <c r="CA60" s="1303">
        <f t="shared" si="488"/>
        <v>62020.690957424915</v>
      </c>
      <c r="CB60" s="1303">
        <f t="shared" si="488"/>
        <v>57713.67142901475</v>
      </c>
      <c r="CC60" s="1303">
        <f t="shared" si="488"/>
        <v>62020.690957424915</v>
      </c>
      <c r="CD60" s="1303">
        <f t="shared" si="488"/>
        <v>57713.67142901475</v>
      </c>
      <c r="CE60" s="1303">
        <f t="shared" si="488"/>
        <v>62020.690957424915</v>
      </c>
      <c r="CF60" s="1303">
        <f t="shared" si="488"/>
        <v>62020.690957424915</v>
      </c>
      <c r="CG60" s="1303">
        <f t="shared" si="488"/>
        <v>57713.67142901475</v>
      </c>
      <c r="CH60" s="1303">
        <f t="shared" si="488"/>
        <v>62020.690957424915</v>
      </c>
      <c r="CI60" s="1303">
        <f t="shared" si="488"/>
        <v>57713.67142901475</v>
      </c>
      <c r="CJ60" s="1303">
        <f t="shared" si="488"/>
        <v>62020.690957424915</v>
      </c>
      <c r="CK60" s="1303">
        <f t="shared" si="488"/>
        <v>62020.690957424915</v>
      </c>
      <c r="CL60" s="1303">
        <f t="shared" si="488"/>
        <v>51295.228142409622</v>
      </c>
      <c r="CM60" s="1303">
        <f t="shared" si="488"/>
        <v>65187.110431036323</v>
      </c>
      <c r="CN60" s="1303">
        <f t="shared" si="488"/>
        <v>60664.739926205621</v>
      </c>
      <c r="CO60" s="1303">
        <f t="shared" si="488"/>
        <v>65187.110431036323</v>
      </c>
      <c r="CP60" s="1303">
        <f t="shared" si="488"/>
        <v>60664.739926205621</v>
      </c>
      <c r="CQ60" s="1303">
        <f t="shared" si="488"/>
        <v>65187.110431036323</v>
      </c>
      <c r="CR60" s="1303">
        <f t="shared" si="488"/>
        <v>65187.110431036323</v>
      </c>
      <c r="CS60" s="1303">
        <f t="shared" si="488"/>
        <v>60664.739926205621</v>
      </c>
      <c r="CT60" s="1303">
        <f t="shared" si="488"/>
        <v>65187.110431036323</v>
      </c>
      <c r="CU60" s="1303">
        <f t="shared" si="488"/>
        <v>60664.739926205621</v>
      </c>
      <c r="CV60" s="1303">
        <f t="shared" si="488"/>
        <v>65187.110431036323</v>
      </c>
      <c r="CW60" s="1303">
        <f t="shared" si="488"/>
        <v>65187.110431036323</v>
      </c>
      <c r="CX60" s="1303">
        <f t="shared" si="488"/>
        <v>53925.374475270299</v>
      </c>
      <c r="CY60" s="1303">
        <f t="shared" si="488"/>
        <v>68511.850878328303</v>
      </c>
      <c r="CZ60" s="1303">
        <f t="shared" si="488"/>
        <v>63763.361848256078</v>
      </c>
      <c r="DA60" s="1303">
        <f t="shared" si="488"/>
        <v>68511.850878328303</v>
      </c>
      <c r="DB60" s="1303">
        <f t="shared" si="488"/>
        <v>63763.361848256078</v>
      </c>
      <c r="DC60" s="1303">
        <f t="shared" si="488"/>
        <v>68511.850878328303</v>
      </c>
      <c r="DD60" s="1303">
        <f t="shared" si="488"/>
        <v>68511.850878328303</v>
      </c>
      <c r="DE60" s="1303">
        <f t="shared" si="488"/>
        <v>63763.361848256078</v>
      </c>
      <c r="DF60" s="1303">
        <f t="shared" si="488"/>
        <v>68511.850878328303</v>
      </c>
      <c r="DG60" s="1303">
        <f t="shared" si="488"/>
        <v>63763.361848256078</v>
      </c>
      <c r="DH60" s="1303">
        <f t="shared" si="488"/>
        <v>68511.850878328303</v>
      </c>
      <c r="DI60" s="1303">
        <f t="shared" si="488"/>
        <v>68511.850878328303</v>
      </c>
      <c r="DJ60" s="1303">
        <f t="shared" si="488"/>
        <v>61672.941606349792</v>
      </c>
      <c r="DK60" s="1303">
        <f t="shared" si="488"/>
        <v>72002.828347984876</v>
      </c>
      <c r="DL60" s="1303">
        <f t="shared" si="488"/>
        <v>67016.914866409032</v>
      </c>
      <c r="DM60" s="1303">
        <f t="shared" si="488"/>
        <v>72002.828347984876</v>
      </c>
      <c r="DN60" s="1303">
        <f t="shared" si="488"/>
        <v>67016.914866409032</v>
      </c>
      <c r="DO60" s="1303">
        <f t="shared" si="488"/>
        <v>72002.828347984876</v>
      </c>
      <c r="DP60" s="1303">
        <f t="shared" si="488"/>
        <v>72002.828347984876</v>
      </c>
      <c r="DQ60" s="1303">
        <f t="shared" si="488"/>
        <v>67016.914866409032</v>
      </c>
      <c r="DR60" s="1303">
        <f t="shared" si="488"/>
        <v>72002.828347984876</v>
      </c>
      <c r="DS60" s="1303">
        <f t="shared" si="488"/>
        <v>67016.914866409032</v>
      </c>
      <c r="DT60" s="1303">
        <f t="shared" si="488"/>
        <v>72002.828347984876</v>
      </c>
      <c r="DU60" s="1304">
        <f t="shared" si="488"/>
        <v>72002.828347984876</v>
      </c>
      <c r="DV60" s="1304"/>
      <c r="DW60" s="1254">
        <f t="shared" si="487"/>
        <v>3870.434143467794</v>
      </c>
      <c r="DX60" s="1255">
        <f t="shared" si="487"/>
        <v>116502.40977980847</v>
      </c>
      <c r="DY60" s="1256">
        <f t="shared" si="487"/>
        <v>129029.96776792371</v>
      </c>
      <c r="DZ60" s="1256">
        <f t="shared" ref="DZ60:EH60" si="489">DZ48-DZ58</f>
        <v>133903.71091139401</v>
      </c>
      <c r="EA60" s="1257">
        <f t="shared" si="489"/>
        <v>134224.47508831718</v>
      </c>
      <c r="EB60" s="1258">
        <f t="shared" si="489"/>
        <v>517530.99769091094</v>
      </c>
      <c r="EC60" s="1259">
        <f t="shared" si="489"/>
        <v>559250.69665188121</v>
      </c>
      <c r="ED60" s="1260">
        <f t="shared" si="489"/>
        <v>584454.45496835746</v>
      </c>
      <c r="EE60" s="1261">
        <f t="shared" si="489"/>
        <v>1661236.1493111495</v>
      </c>
      <c r="EF60" s="1259">
        <f t="shared" si="489"/>
        <v>614461.79682565748</v>
      </c>
      <c r="EG60" s="1260">
        <f t="shared" si="489"/>
        <v>645969.50577582256</v>
      </c>
      <c r="EH60" s="1261">
        <f t="shared" si="489"/>
        <v>2921667.4519126303</v>
      </c>
      <c r="EI60" s="91"/>
      <c r="EJ60" s="1258">
        <f t="shared" si="347"/>
        <v>683154.52353388583</v>
      </c>
      <c r="EK60" s="1259">
        <f t="shared" si="348"/>
        <v>713789.84929105209</v>
      </c>
      <c r="EL60" s="1262">
        <f t="shared" si="349"/>
        <v>750263.96086448629</v>
      </c>
      <c r="EM60" s="1262">
        <f t="shared" si="350"/>
        <v>788561.77801659284</v>
      </c>
      <c r="EN60" s="1260">
        <f t="shared" si="351"/>
        <v>833760.39950788021</v>
      </c>
      <c r="EO60" s="1261">
        <f t="shared" si="352"/>
        <v>6691197.9631265271</v>
      </c>
      <c r="EQ60" s="14">
        <f t="shared" si="353"/>
        <v>0</v>
      </c>
    </row>
    <row r="61" spans="2:147" ht="13.5" thickBot="1" x14ac:dyDescent="0.35">
      <c r="B61" s="609" t="s">
        <v>146</v>
      </c>
      <c r="C61" s="8"/>
      <c r="D61" s="8"/>
      <c r="E61" s="9">
        <f t="shared" ref="E61:DY61" si="490">IF(ISERROR(E60/E$25),"",(E60/E$25))</f>
        <v>5.1145986163956617E-2</v>
      </c>
      <c r="F61" s="8">
        <f t="shared" si="490"/>
        <v>0.37299007356954716</v>
      </c>
      <c r="G61" s="8">
        <f t="shared" si="490"/>
        <v>0.42633239976319703</v>
      </c>
      <c r="H61" s="8">
        <f t="shared" si="490"/>
        <v>0.40754347975530358</v>
      </c>
      <c r="I61" s="8">
        <f t="shared" si="490"/>
        <v>0.42861114796279132</v>
      </c>
      <c r="J61" s="8">
        <f t="shared" si="490"/>
        <v>0.41264788234366323</v>
      </c>
      <c r="K61" s="8">
        <f t="shared" si="490"/>
        <v>0.4541555656717215</v>
      </c>
      <c r="L61" s="8">
        <f t="shared" si="490"/>
        <v>0.4541555656717215</v>
      </c>
      <c r="M61" s="8">
        <f t="shared" si="490"/>
        <v>0.43629408452744556</v>
      </c>
      <c r="N61" s="8">
        <f t="shared" si="490"/>
        <v>0.4541555656717215</v>
      </c>
      <c r="O61" s="8">
        <f t="shared" si="490"/>
        <v>0.43629408452744556</v>
      </c>
      <c r="P61" s="8">
        <f t="shared" si="490"/>
        <v>0.45574919868812547</v>
      </c>
      <c r="Q61" s="8">
        <f t="shared" si="490"/>
        <v>0.45574919868812547</v>
      </c>
      <c r="R61" s="8">
        <f t="shared" si="490"/>
        <v>0.41799201107652767</v>
      </c>
      <c r="S61" s="8">
        <f t="shared" si="490"/>
        <v>0.45718917602463488</v>
      </c>
      <c r="T61" s="8">
        <f t="shared" si="490"/>
        <v>0.4394288152254559</v>
      </c>
      <c r="U61" s="8">
        <f t="shared" si="490"/>
        <v>0.45718917602463488</v>
      </c>
      <c r="V61" s="8">
        <f t="shared" si="490"/>
        <v>0.4394288152254559</v>
      </c>
      <c r="W61" s="8">
        <f t="shared" si="490"/>
        <v>0.45718917602463488</v>
      </c>
      <c r="X61" s="8">
        <f t="shared" si="490"/>
        <v>0.45718917602463488</v>
      </c>
      <c r="Y61" s="8">
        <f t="shared" si="490"/>
        <v>0.4394288152254559</v>
      </c>
      <c r="Z61" s="8">
        <f t="shared" si="490"/>
        <v>0.45718917602463488</v>
      </c>
      <c r="AA61" s="8">
        <f t="shared" si="490"/>
        <v>0.4394288152254559</v>
      </c>
      <c r="AB61" s="8">
        <f t="shared" si="490"/>
        <v>0.45718917602463488</v>
      </c>
      <c r="AC61" s="8">
        <f t="shared" si="490"/>
        <v>0.45718917602463488</v>
      </c>
      <c r="AD61" s="8">
        <f t="shared" si="490"/>
        <v>0.39821558617846997</v>
      </c>
      <c r="AE61" s="8">
        <f t="shared" si="490"/>
        <v>0.45777846930779154</v>
      </c>
      <c r="AF61" s="8">
        <f t="shared" si="490"/>
        <v>0.44003775161805114</v>
      </c>
      <c r="AG61" s="8">
        <f t="shared" si="490"/>
        <v>0.45777846930779154</v>
      </c>
      <c r="AH61" s="8">
        <f t="shared" si="490"/>
        <v>0.44003775161805114</v>
      </c>
      <c r="AI61" s="8">
        <f t="shared" si="490"/>
        <v>0.45777846930779154</v>
      </c>
      <c r="AJ61" s="8">
        <f t="shared" si="490"/>
        <v>0.45777846930779154</v>
      </c>
      <c r="AK61" s="8">
        <f t="shared" si="490"/>
        <v>0.44003775161805114</v>
      </c>
      <c r="AL61" s="8">
        <f t="shared" si="490"/>
        <v>0.45777846930779154</v>
      </c>
      <c r="AM61" s="8">
        <f t="shared" si="490"/>
        <v>0.44003775161805114</v>
      </c>
      <c r="AN61" s="8">
        <f t="shared" si="490"/>
        <v>0.45777846930779154</v>
      </c>
      <c r="AO61" s="8">
        <f t="shared" si="490"/>
        <v>0.45777846930779154</v>
      </c>
      <c r="AP61" s="8">
        <f t="shared" si="490"/>
        <v>0.39883694984438361</v>
      </c>
      <c r="AQ61" s="8">
        <f t="shared" si="490"/>
        <v>0.4583397010060361</v>
      </c>
      <c r="AR61" s="8">
        <f t="shared" si="490"/>
        <v>0.44061769103957055</v>
      </c>
      <c r="AS61" s="8">
        <f t="shared" si="490"/>
        <v>0.4583397010060361</v>
      </c>
      <c r="AT61" s="8">
        <f t="shared" si="490"/>
        <v>0.44061769103957055</v>
      </c>
      <c r="AU61" s="8">
        <f t="shared" si="490"/>
        <v>0.4583397010060361</v>
      </c>
      <c r="AV61" s="8">
        <f t="shared" si="490"/>
        <v>0.4583397010060361</v>
      </c>
      <c r="AW61" s="8">
        <f t="shared" si="490"/>
        <v>0.44061769103957055</v>
      </c>
      <c r="AX61" s="8">
        <f t="shared" si="490"/>
        <v>0.4583397010060361</v>
      </c>
      <c r="AY61" s="8">
        <f t="shared" si="490"/>
        <v>0.44061769103957055</v>
      </c>
      <c r="AZ61" s="8">
        <f t="shared" si="490"/>
        <v>0.4583397010060361</v>
      </c>
      <c r="BA61" s="8">
        <f t="shared" si="490"/>
        <v>0.4583397010060361</v>
      </c>
      <c r="BB61" s="8">
        <f t="shared" si="490"/>
        <v>0.39942872476430119</v>
      </c>
      <c r="BC61" s="8">
        <f t="shared" si="490"/>
        <v>0.45887420738531653</v>
      </c>
      <c r="BD61" s="8">
        <f t="shared" si="490"/>
        <v>0.44117001429816022</v>
      </c>
      <c r="BE61" s="8">
        <f t="shared" si="490"/>
        <v>0.45887420738531653</v>
      </c>
      <c r="BF61" s="8">
        <f t="shared" si="490"/>
        <v>0.44117001429816022</v>
      </c>
      <c r="BG61" s="8">
        <f t="shared" si="490"/>
        <v>0.45887420738531653</v>
      </c>
      <c r="BH61" s="8">
        <f t="shared" si="490"/>
        <v>0.45887420738531653</v>
      </c>
      <c r="BI61" s="8">
        <f t="shared" si="490"/>
        <v>0.44117001429816022</v>
      </c>
      <c r="BJ61" s="8">
        <f t="shared" si="490"/>
        <v>0.45887420738531653</v>
      </c>
      <c r="BK61" s="8">
        <f t="shared" si="490"/>
        <v>0.44117001429816022</v>
      </c>
      <c r="BL61" s="8">
        <f t="shared" si="490"/>
        <v>0.45887420738531653</v>
      </c>
      <c r="BM61" s="8">
        <f t="shared" si="490"/>
        <v>0.45887420738531653</v>
      </c>
      <c r="BN61" s="8">
        <f t="shared" ref="BN61:DU61" si="491">IF(ISERROR(BN60/BN$25),"",(BN60/BN$25))</f>
        <v>0.42033741234246791</v>
      </c>
      <c r="BO61" s="8">
        <f t="shared" si="491"/>
        <v>0.45938326107986927</v>
      </c>
      <c r="BP61" s="8">
        <f t="shared" si="491"/>
        <v>0.44169603644919814</v>
      </c>
      <c r="BQ61" s="8">
        <f t="shared" si="491"/>
        <v>0.45938326107986927</v>
      </c>
      <c r="BR61" s="8">
        <f t="shared" si="491"/>
        <v>0.44169603644919814</v>
      </c>
      <c r="BS61" s="8">
        <f t="shared" si="491"/>
        <v>0.45938326107986927</v>
      </c>
      <c r="BT61" s="8">
        <f t="shared" si="491"/>
        <v>0.45938326107986927</v>
      </c>
      <c r="BU61" s="8">
        <f t="shared" si="491"/>
        <v>0.44169603644919814</v>
      </c>
      <c r="BV61" s="8">
        <f t="shared" si="491"/>
        <v>0.45938326107986927</v>
      </c>
      <c r="BW61" s="8">
        <f t="shared" si="491"/>
        <v>0.44169603644919814</v>
      </c>
      <c r="BX61" s="8">
        <f t="shared" si="491"/>
        <v>0.45938326107986927</v>
      </c>
      <c r="BY61" s="8">
        <f t="shared" si="491"/>
        <v>0.45938326107986927</v>
      </c>
      <c r="BZ61" s="8">
        <f t="shared" si="491"/>
        <v>0.40052907722310493</v>
      </c>
      <c r="CA61" s="8">
        <f t="shared" si="491"/>
        <v>0.45986807412230046</v>
      </c>
      <c r="CB61" s="8">
        <f t="shared" si="491"/>
        <v>0.44219700992637717</v>
      </c>
      <c r="CC61" s="8">
        <f t="shared" si="491"/>
        <v>0.45986807412230046</v>
      </c>
      <c r="CD61" s="8">
        <f t="shared" si="491"/>
        <v>0.44219700992637717</v>
      </c>
      <c r="CE61" s="8">
        <f t="shared" si="491"/>
        <v>0.45986807412230046</v>
      </c>
      <c r="CF61" s="8">
        <f t="shared" si="491"/>
        <v>0.45986807412230046</v>
      </c>
      <c r="CG61" s="8">
        <f t="shared" si="491"/>
        <v>0.44219700992637717</v>
      </c>
      <c r="CH61" s="8">
        <f t="shared" si="491"/>
        <v>0.45986807412230046</v>
      </c>
      <c r="CI61" s="8">
        <f t="shared" si="491"/>
        <v>0.44219700992637717</v>
      </c>
      <c r="CJ61" s="8">
        <f t="shared" si="491"/>
        <v>0.45986807412230046</v>
      </c>
      <c r="CK61" s="8">
        <f t="shared" si="491"/>
        <v>0.45986807412230046</v>
      </c>
      <c r="CL61" s="8">
        <f t="shared" si="491"/>
        <v>0.4010402746487976</v>
      </c>
      <c r="CM61" s="8">
        <f t="shared" si="491"/>
        <v>0.4603298008293778</v>
      </c>
      <c r="CN61" s="8">
        <f t="shared" si="491"/>
        <v>0.44267412752369029</v>
      </c>
      <c r="CO61" s="8">
        <f t="shared" si="491"/>
        <v>0.4603298008293778</v>
      </c>
      <c r="CP61" s="8">
        <f t="shared" si="491"/>
        <v>0.44267412752369029</v>
      </c>
      <c r="CQ61" s="8">
        <f t="shared" si="491"/>
        <v>0.4603298008293778</v>
      </c>
      <c r="CR61" s="8">
        <f t="shared" si="491"/>
        <v>0.4603298008293778</v>
      </c>
      <c r="CS61" s="8">
        <f t="shared" si="491"/>
        <v>0.44267412752369029</v>
      </c>
      <c r="CT61" s="8">
        <f t="shared" si="491"/>
        <v>0.4603298008293778</v>
      </c>
      <c r="CU61" s="8">
        <f t="shared" si="491"/>
        <v>0.44267412752369029</v>
      </c>
      <c r="CV61" s="8">
        <f t="shared" si="491"/>
        <v>0.4603298008293778</v>
      </c>
      <c r="CW61" s="8">
        <f t="shared" si="491"/>
        <v>0.4603298008293778</v>
      </c>
      <c r="CX61" s="8">
        <f t="shared" si="491"/>
        <v>0.40152712933993384</v>
      </c>
      <c r="CY61" s="8">
        <f t="shared" si="491"/>
        <v>0.46076954055040392</v>
      </c>
      <c r="CZ61" s="8">
        <f t="shared" si="491"/>
        <v>0.44312852523541729</v>
      </c>
      <c r="DA61" s="8">
        <f t="shared" si="491"/>
        <v>0.46076954055040392</v>
      </c>
      <c r="DB61" s="8">
        <f t="shared" si="491"/>
        <v>0.44312852523541729</v>
      </c>
      <c r="DC61" s="8">
        <f t="shared" si="491"/>
        <v>0.46076954055040392</v>
      </c>
      <c r="DD61" s="8">
        <f t="shared" si="491"/>
        <v>0.46076954055040392</v>
      </c>
      <c r="DE61" s="8">
        <f t="shared" si="491"/>
        <v>0.44312852523541729</v>
      </c>
      <c r="DF61" s="8">
        <f t="shared" si="491"/>
        <v>0.46076954055040392</v>
      </c>
      <c r="DG61" s="8">
        <f t="shared" si="491"/>
        <v>0.44312852523541729</v>
      </c>
      <c r="DH61" s="8">
        <f t="shared" si="491"/>
        <v>0.46076954055040392</v>
      </c>
      <c r="DI61" s="8">
        <f t="shared" si="491"/>
        <v>0.46076954055040392</v>
      </c>
      <c r="DJ61" s="8">
        <f t="shared" si="491"/>
        <v>0.42226697976833705</v>
      </c>
      <c r="DK61" s="8">
        <f t="shared" si="491"/>
        <v>0.46118834028471439</v>
      </c>
      <c r="DL61" s="8">
        <f t="shared" si="491"/>
        <v>0.44356128496087138</v>
      </c>
      <c r="DM61" s="8">
        <f t="shared" si="491"/>
        <v>0.46118834028471439</v>
      </c>
      <c r="DN61" s="8">
        <f t="shared" si="491"/>
        <v>0.44356128496087138</v>
      </c>
      <c r="DO61" s="8">
        <f t="shared" si="491"/>
        <v>0.46118834028471439</v>
      </c>
      <c r="DP61" s="8">
        <f t="shared" si="491"/>
        <v>0.46118834028471439</v>
      </c>
      <c r="DQ61" s="8">
        <f t="shared" si="491"/>
        <v>0.44356128496087138</v>
      </c>
      <c r="DR61" s="8">
        <f t="shared" si="491"/>
        <v>0.46118834028471439</v>
      </c>
      <c r="DS61" s="8">
        <f t="shared" si="491"/>
        <v>0.44356128496087138</v>
      </c>
      <c r="DT61" s="8">
        <f t="shared" si="491"/>
        <v>0.46118834028471439</v>
      </c>
      <c r="DU61" s="157">
        <f t="shared" si="491"/>
        <v>0.46118834028471439</v>
      </c>
      <c r="DV61" s="157"/>
      <c r="DW61" s="157">
        <f t="shared" si="490"/>
        <v>5.1145986163956617E-2</v>
      </c>
      <c r="DX61" s="9">
        <f t="shared" si="490"/>
        <v>0.40321720050860144</v>
      </c>
      <c r="DY61" s="8">
        <f t="shared" si="490"/>
        <v>0.43201309340195432</v>
      </c>
      <c r="DZ61" s="8">
        <f t="shared" ref="DZ61:ED61" si="492">IF(ISERROR(DZ60/DZ$25),"",(DZ60/DZ$25))</f>
        <v>0.44833116964641412</v>
      </c>
      <c r="EA61" s="157">
        <f t="shared" si="492"/>
        <v>0.44940513972268631</v>
      </c>
      <c r="EB61" s="9">
        <f t="shared" si="492"/>
        <v>0.41053665586177107</v>
      </c>
      <c r="EC61" s="8">
        <f t="shared" si="492"/>
        <v>0.44826032061644733</v>
      </c>
      <c r="ED61" s="157">
        <f t="shared" si="492"/>
        <v>0.4473766971149426</v>
      </c>
      <c r="EE61" s="170">
        <f>IF(ISERROR(EE60/EE$25),"",(EE60/EE$25))</f>
        <v>0.43549115457648835</v>
      </c>
      <c r="EF61" s="8">
        <f t="shared" ref="EF61:EG61" si="493">IF(ISERROR(EF60/EF$25),"",(EF60/EF$25))</f>
        <v>0.44794869216082472</v>
      </c>
      <c r="EG61" s="157">
        <f t="shared" si="493"/>
        <v>0.44849344934737917</v>
      </c>
      <c r="EH61" s="170">
        <f>IF(ISERROR(EH60/EH$25),"",(EH60/EH$25))</f>
        <v>0.4408959332712486</v>
      </c>
      <c r="EJ61" s="9">
        <f t="shared" ref="EJ61:EO61" si="494">IF(ISERROR(EJ60/EJ$25),"",(EJ60/EJ$25))</f>
        <v>0.45049037427914479</v>
      </c>
      <c r="EK61" s="8">
        <f t="shared" si="494"/>
        <v>0.44950637654233266</v>
      </c>
      <c r="EL61" s="8">
        <f t="shared" si="494"/>
        <v>0.44997695828214823</v>
      </c>
      <c r="EM61" s="8">
        <f t="shared" si="494"/>
        <v>0.4504251313676873</v>
      </c>
      <c r="EN61" s="157">
        <f t="shared" si="494"/>
        <v>0.4523250449463645</v>
      </c>
      <c r="EO61" s="170">
        <f t="shared" si="494"/>
        <v>0.44630624644281652</v>
      </c>
    </row>
    <row r="63" spans="2:147" x14ac:dyDescent="0.3">
      <c r="B63" s="608" t="s">
        <v>28</v>
      </c>
      <c r="C63" s="28"/>
      <c r="D63" s="28"/>
      <c r="E63" s="1302">
        <f t="shared" ref="E63" si="495">E55-E58</f>
        <v>843.46414346779375</v>
      </c>
      <c r="F63" s="1303">
        <f t="shared" ref="F63:DZ63" si="496">F55-F58</f>
        <v>30268.797687471833</v>
      </c>
      <c r="G63" s="1303">
        <f t="shared" si="496"/>
        <v>38880.216760454037</v>
      </c>
      <c r="H63" s="1303">
        <f t="shared" si="496"/>
        <v>35796.109617596892</v>
      </c>
      <c r="I63" s="1303">
        <f t="shared" si="496"/>
        <v>39109.548351583922</v>
      </c>
      <c r="J63" s="1303">
        <f t="shared" si="496"/>
        <v>36293.241969684634</v>
      </c>
      <c r="K63" s="1303">
        <f t="shared" si="496"/>
        <v>41680.320303798006</v>
      </c>
      <c r="L63" s="1303">
        <f t="shared" si="496"/>
        <v>41680.320303798006</v>
      </c>
      <c r="M63" s="1303">
        <f t="shared" ref="M63:AO63" si="497">M55-M58</f>
        <v>38596.213160940861</v>
      </c>
      <c r="N63" s="1303">
        <f t="shared" si="497"/>
        <v>41680.320303798006</v>
      </c>
      <c r="O63" s="1303">
        <f t="shared" si="497"/>
        <v>38596.213160940861</v>
      </c>
      <c r="P63" s="1303">
        <f t="shared" si="497"/>
        <v>41840.702392259605</v>
      </c>
      <c r="Q63" s="1303">
        <f t="shared" si="497"/>
        <v>41840.702392259605</v>
      </c>
      <c r="R63" s="1303">
        <f t="shared" si="497"/>
        <v>38848.734014956302</v>
      </c>
      <c r="S63" s="1303">
        <f t="shared" si="497"/>
        <v>45669.970466993203</v>
      </c>
      <c r="T63" s="1303">
        <f t="shared" si="497"/>
        <v>42380.526716993183</v>
      </c>
      <c r="U63" s="1303">
        <f t="shared" si="497"/>
        <v>45669.970466993203</v>
      </c>
      <c r="V63" s="1303">
        <f t="shared" si="497"/>
        <v>42380.526716993183</v>
      </c>
      <c r="W63" s="1303">
        <f t="shared" si="497"/>
        <v>45669.970466993203</v>
      </c>
      <c r="X63" s="1303">
        <f t="shared" si="497"/>
        <v>45669.970466993203</v>
      </c>
      <c r="Y63" s="1303">
        <f t="shared" si="497"/>
        <v>42380.526716993183</v>
      </c>
      <c r="Z63" s="1303">
        <f t="shared" si="497"/>
        <v>45669.970466993203</v>
      </c>
      <c r="AA63" s="1303">
        <f t="shared" si="497"/>
        <v>42380.526716993183</v>
      </c>
      <c r="AB63" s="1303">
        <f t="shared" si="497"/>
        <v>45669.970466993203</v>
      </c>
      <c r="AC63" s="1303">
        <f t="shared" si="497"/>
        <v>45669.970466993203</v>
      </c>
      <c r="AD63" s="1303">
        <f t="shared" si="497"/>
        <v>39908.070953944276</v>
      </c>
      <c r="AE63" s="1303">
        <f t="shared" si="497"/>
        <v>50792.724228583029</v>
      </c>
      <c r="AF63" s="1303">
        <f t="shared" si="497"/>
        <v>47249.32860358301</v>
      </c>
      <c r="AG63" s="1303">
        <f t="shared" si="497"/>
        <v>50792.724228583029</v>
      </c>
      <c r="AH63" s="1303">
        <f t="shared" si="497"/>
        <v>47249.32860358301</v>
      </c>
      <c r="AI63" s="1303">
        <f t="shared" si="497"/>
        <v>50792.724228583029</v>
      </c>
      <c r="AJ63" s="1303">
        <f t="shared" si="497"/>
        <v>50792.724228583029</v>
      </c>
      <c r="AK63" s="1303">
        <f t="shared" si="497"/>
        <v>47249.32860358301</v>
      </c>
      <c r="AL63" s="1303">
        <f t="shared" si="497"/>
        <v>50792.724228583029</v>
      </c>
      <c r="AM63" s="1303">
        <f t="shared" si="497"/>
        <v>47249.32860358301</v>
      </c>
      <c r="AN63" s="1303">
        <f t="shared" si="497"/>
        <v>50792.724228583029</v>
      </c>
      <c r="AO63" s="1303">
        <f t="shared" si="497"/>
        <v>50792.724228583029</v>
      </c>
      <c r="AP63" s="1303">
        <f t="shared" ref="AP63:BM63" si="498">AP55-AP58</f>
        <v>41968.859427381663</v>
      </c>
      <c r="AQ63" s="1303">
        <f t="shared" si="498"/>
        <v>53397.745365752351</v>
      </c>
      <c r="AR63" s="1303">
        <f t="shared" si="498"/>
        <v>49677.17995950234</v>
      </c>
      <c r="AS63" s="1303">
        <f t="shared" si="498"/>
        <v>53397.745365752351</v>
      </c>
      <c r="AT63" s="1303">
        <f t="shared" si="498"/>
        <v>49677.17995950234</v>
      </c>
      <c r="AU63" s="1303">
        <f t="shared" si="498"/>
        <v>53397.745365752351</v>
      </c>
      <c r="AV63" s="1303">
        <f t="shared" si="498"/>
        <v>53397.745365752351</v>
      </c>
      <c r="AW63" s="1303">
        <f t="shared" si="498"/>
        <v>49677.17995950234</v>
      </c>
      <c r="AX63" s="1303">
        <f t="shared" si="498"/>
        <v>53397.745365752351</v>
      </c>
      <c r="AY63" s="1303">
        <f t="shared" si="498"/>
        <v>49677.17995950234</v>
      </c>
      <c r="AZ63" s="1303">
        <f t="shared" si="498"/>
        <v>53397.745365752351</v>
      </c>
      <c r="BA63" s="1303">
        <f t="shared" si="498"/>
        <v>53397.745365752351</v>
      </c>
      <c r="BB63" s="1303">
        <f t="shared" si="498"/>
        <v>44132.6873244909</v>
      </c>
      <c r="BC63" s="1303">
        <f t="shared" si="498"/>
        <v>56133.017559780135</v>
      </c>
      <c r="BD63" s="1303">
        <f t="shared" si="498"/>
        <v>52226.423883217598</v>
      </c>
      <c r="BE63" s="1303">
        <f t="shared" si="498"/>
        <v>56133.017559780135</v>
      </c>
      <c r="BF63" s="1303">
        <f t="shared" si="498"/>
        <v>52226.423883217598</v>
      </c>
      <c r="BG63" s="1303">
        <f t="shared" si="498"/>
        <v>56133.017559780135</v>
      </c>
      <c r="BH63" s="1303">
        <f t="shared" si="498"/>
        <v>56133.017559780135</v>
      </c>
      <c r="BI63" s="1303">
        <f t="shared" si="498"/>
        <v>52226.423883217598</v>
      </c>
      <c r="BJ63" s="1303">
        <f t="shared" si="498"/>
        <v>56133.017559780135</v>
      </c>
      <c r="BK63" s="1303">
        <f t="shared" si="498"/>
        <v>52226.423883217598</v>
      </c>
      <c r="BL63" s="1303">
        <f t="shared" si="498"/>
        <v>56133.017559780135</v>
      </c>
      <c r="BM63" s="1303">
        <f t="shared" si="498"/>
        <v>56133.017559780135</v>
      </c>
      <c r="BN63" s="1303">
        <f t="shared" ref="BN63:DU63" si="499">BN55-BN58</f>
        <v>50506.629976846234</v>
      </c>
      <c r="BO63" s="1303">
        <f t="shared" si="499"/>
        <v>59005.053363509287</v>
      </c>
      <c r="BP63" s="1303">
        <f t="shared" si="499"/>
        <v>54903.13000311864</v>
      </c>
      <c r="BQ63" s="1303">
        <f t="shared" si="499"/>
        <v>59005.053363509287</v>
      </c>
      <c r="BR63" s="1303">
        <f t="shared" si="499"/>
        <v>54903.13000311864</v>
      </c>
      <c r="BS63" s="1303">
        <f t="shared" si="499"/>
        <v>59005.053363509287</v>
      </c>
      <c r="BT63" s="1303">
        <f t="shared" si="499"/>
        <v>59005.053363509287</v>
      </c>
      <c r="BU63" s="1303">
        <f t="shared" si="499"/>
        <v>54903.13000311864</v>
      </c>
      <c r="BV63" s="1303">
        <f t="shared" si="499"/>
        <v>59005.053363509287</v>
      </c>
      <c r="BW63" s="1303">
        <f t="shared" si="499"/>
        <v>54903.13000311864</v>
      </c>
      <c r="BX63" s="1303">
        <f t="shared" si="499"/>
        <v>59005.053363509287</v>
      </c>
      <c r="BY63" s="1303">
        <f t="shared" si="499"/>
        <v>59005.053363509287</v>
      </c>
      <c r="BZ63" s="1303">
        <f t="shared" si="499"/>
        <v>48790.326873018552</v>
      </c>
      <c r="CA63" s="1303">
        <f t="shared" si="499"/>
        <v>62020.690957424915</v>
      </c>
      <c r="CB63" s="1303">
        <f t="shared" si="499"/>
        <v>57713.67142901475</v>
      </c>
      <c r="CC63" s="1303">
        <f t="shared" si="499"/>
        <v>62020.690957424915</v>
      </c>
      <c r="CD63" s="1303">
        <f t="shared" si="499"/>
        <v>57713.67142901475</v>
      </c>
      <c r="CE63" s="1303">
        <f t="shared" si="499"/>
        <v>62020.690957424915</v>
      </c>
      <c r="CF63" s="1303">
        <f t="shared" si="499"/>
        <v>62020.690957424915</v>
      </c>
      <c r="CG63" s="1303">
        <f t="shared" si="499"/>
        <v>57713.67142901475</v>
      </c>
      <c r="CH63" s="1303">
        <f t="shared" si="499"/>
        <v>62020.690957424915</v>
      </c>
      <c r="CI63" s="1303">
        <f t="shared" si="499"/>
        <v>57713.67142901475</v>
      </c>
      <c r="CJ63" s="1303">
        <f t="shared" si="499"/>
        <v>62020.690957424915</v>
      </c>
      <c r="CK63" s="1303">
        <f t="shared" si="499"/>
        <v>62020.690957424915</v>
      </c>
      <c r="CL63" s="1303">
        <f t="shared" si="499"/>
        <v>51295.228142409622</v>
      </c>
      <c r="CM63" s="1303">
        <f t="shared" si="499"/>
        <v>65187.110431036323</v>
      </c>
      <c r="CN63" s="1303">
        <f t="shared" si="499"/>
        <v>60664.739926205621</v>
      </c>
      <c r="CO63" s="1303">
        <f t="shared" si="499"/>
        <v>65187.110431036323</v>
      </c>
      <c r="CP63" s="1303">
        <f t="shared" si="499"/>
        <v>60664.739926205621</v>
      </c>
      <c r="CQ63" s="1303">
        <f t="shared" si="499"/>
        <v>65187.110431036323</v>
      </c>
      <c r="CR63" s="1303">
        <f t="shared" si="499"/>
        <v>65187.110431036323</v>
      </c>
      <c r="CS63" s="1303">
        <f t="shared" si="499"/>
        <v>60664.739926205621</v>
      </c>
      <c r="CT63" s="1303">
        <f t="shared" si="499"/>
        <v>65187.110431036323</v>
      </c>
      <c r="CU63" s="1303">
        <f t="shared" si="499"/>
        <v>60664.739926205621</v>
      </c>
      <c r="CV63" s="1303">
        <f t="shared" si="499"/>
        <v>65187.110431036323</v>
      </c>
      <c r="CW63" s="1303">
        <f t="shared" si="499"/>
        <v>65187.110431036323</v>
      </c>
      <c r="CX63" s="1303">
        <f t="shared" si="499"/>
        <v>53925.374475270299</v>
      </c>
      <c r="CY63" s="1303">
        <f t="shared" si="499"/>
        <v>68511.850878328303</v>
      </c>
      <c r="CZ63" s="1303">
        <f t="shared" si="499"/>
        <v>63763.361848256078</v>
      </c>
      <c r="DA63" s="1303">
        <f t="shared" si="499"/>
        <v>68511.850878328303</v>
      </c>
      <c r="DB63" s="1303">
        <f t="shared" si="499"/>
        <v>63763.361848256078</v>
      </c>
      <c r="DC63" s="1303">
        <f t="shared" si="499"/>
        <v>68511.850878328303</v>
      </c>
      <c r="DD63" s="1303">
        <f t="shared" si="499"/>
        <v>68511.850878328303</v>
      </c>
      <c r="DE63" s="1303">
        <f t="shared" si="499"/>
        <v>63763.361848256078</v>
      </c>
      <c r="DF63" s="1303">
        <f t="shared" si="499"/>
        <v>68511.850878328303</v>
      </c>
      <c r="DG63" s="1303">
        <f t="shared" si="499"/>
        <v>63763.361848256078</v>
      </c>
      <c r="DH63" s="1303">
        <f t="shared" si="499"/>
        <v>68511.850878328303</v>
      </c>
      <c r="DI63" s="1303">
        <f t="shared" si="499"/>
        <v>68511.850878328303</v>
      </c>
      <c r="DJ63" s="1303">
        <f t="shared" si="499"/>
        <v>61672.941606349792</v>
      </c>
      <c r="DK63" s="1303">
        <f t="shared" si="499"/>
        <v>72002.828347984876</v>
      </c>
      <c r="DL63" s="1303">
        <f t="shared" si="499"/>
        <v>67016.914866409032</v>
      </c>
      <c r="DM63" s="1303">
        <f t="shared" si="499"/>
        <v>72002.828347984876</v>
      </c>
      <c r="DN63" s="1303">
        <f t="shared" si="499"/>
        <v>67016.914866409032</v>
      </c>
      <c r="DO63" s="1303">
        <f t="shared" si="499"/>
        <v>72002.828347984876</v>
      </c>
      <c r="DP63" s="1303">
        <f t="shared" si="499"/>
        <v>72002.828347984876</v>
      </c>
      <c r="DQ63" s="1303">
        <f t="shared" si="499"/>
        <v>67016.914866409032</v>
      </c>
      <c r="DR63" s="1303">
        <f t="shared" si="499"/>
        <v>72002.828347984876</v>
      </c>
      <c r="DS63" s="1303">
        <f t="shared" si="499"/>
        <v>67016.914866409032</v>
      </c>
      <c r="DT63" s="1303">
        <f t="shared" si="499"/>
        <v>72002.828347984876</v>
      </c>
      <c r="DU63" s="1304">
        <f t="shared" si="499"/>
        <v>72002.828347984876</v>
      </c>
      <c r="DV63" s="1304"/>
      <c r="DW63" s="1254">
        <f t="shared" si="496"/>
        <v>843.46414346779375</v>
      </c>
      <c r="DX63" s="1255">
        <f t="shared" si="496"/>
        <v>104945.12406552276</v>
      </c>
      <c r="DY63" s="1256">
        <f t="shared" si="496"/>
        <v>117083.11062506656</v>
      </c>
      <c r="DZ63" s="1256">
        <f t="shared" si="496"/>
        <v>121956.85376853685</v>
      </c>
      <c r="EA63" s="1257">
        <f t="shared" ref="EA63:ED63" si="500">EA55-EA58</f>
        <v>122277.61794546002</v>
      </c>
      <c r="EB63" s="1258">
        <f t="shared" si="500"/>
        <v>467106.17054805381</v>
      </c>
      <c r="EC63" s="1259">
        <f t="shared" si="500"/>
        <v>528060.63415188121</v>
      </c>
      <c r="ED63" s="1260">
        <f t="shared" si="500"/>
        <v>584454.45496835746</v>
      </c>
      <c r="EE63" s="1261">
        <f>EE55-EE58</f>
        <v>1579621.2596682922</v>
      </c>
      <c r="EF63" s="1259">
        <f t="shared" ref="EF63:EG63" si="501">EF55-EF58</f>
        <v>614461.79682565748</v>
      </c>
      <c r="EG63" s="1260">
        <f t="shared" si="501"/>
        <v>645969.50577582256</v>
      </c>
      <c r="EH63" s="1261">
        <f>EH55-EH58</f>
        <v>2840052.5622697733</v>
      </c>
      <c r="EJ63" s="160">
        <f t="shared" si="347"/>
        <v>683154.52353388583</v>
      </c>
      <c r="EK63" s="161">
        <f t="shared" si="348"/>
        <v>713789.84929105209</v>
      </c>
      <c r="EL63" s="636">
        <f t="shared" si="349"/>
        <v>750263.96086448629</v>
      </c>
      <c r="EM63" s="636">
        <f t="shared" si="350"/>
        <v>788561.77801659284</v>
      </c>
      <c r="EN63" s="162">
        <f t="shared" si="351"/>
        <v>833760.39950788021</v>
      </c>
      <c r="EO63" s="159">
        <f t="shared" si="352"/>
        <v>6609583.0734836701</v>
      </c>
      <c r="EQ63" s="14">
        <f t="shared" si="353"/>
        <v>0</v>
      </c>
    </row>
    <row r="64" spans="2:147" ht="13.5" thickBot="1" x14ac:dyDescent="0.35">
      <c r="B64" s="609" t="s">
        <v>124</v>
      </c>
      <c r="C64" s="8"/>
      <c r="D64" s="8"/>
      <c r="E64" s="9">
        <f t="shared" ref="E64" si="502">IF(ISERROR(E63/E$25),"",(E63/E$25))</f>
        <v>1.1145986163956614E-2</v>
      </c>
      <c r="F64" s="8">
        <f t="shared" ref="F64:DZ64" si="503">IF(ISERROR(F63/F$25),"",(F63/F$25))</f>
        <v>0.33299007356954713</v>
      </c>
      <c r="G64" s="8">
        <f t="shared" si="503"/>
        <v>0.38633239976319705</v>
      </c>
      <c r="H64" s="8">
        <f t="shared" si="503"/>
        <v>0.3675434797553036</v>
      </c>
      <c r="I64" s="8">
        <f t="shared" si="503"/>
        <v>0.38861114796279134</v>
      </c>
      <c r="J64" s="8">
        <f t="shared" si="503"/>
        <v>0.37264788234366325</v>
      </c>
      <c r="K64" s="8">
        <f t="shared" si="503"/>
        <v>0.41415556567172152</v>
      </c>
      <c r="L64" s="8">
        <f t="shared" si="503"/>
        <v>0.41415556567172152</v>
      </c>
      <c r="M64" s="8">
        <f t="shared" ref="M64:AO64" si="504">IF(ISERROR(M63/M$25),"",(M63/M$25))</f>
        <v>0.39629408452744558</v>
      </c>
      <c r="N64" s="8">
        <f t="shared" si="504"/>
        <v>0.41415556567172152</v>
      </c>
      <c r="O64" s="8">
        <f t="shared" si="504"/>
        <v>0.39629408452744558</v>
      </c>
      <c r="P64" s="8">
        <f t="shared" si="504"/>
        <v>0.41574919868812549</v>
      </c>
      <c r="Q64" s="8">
        <f t="shared" si="504"/>
        <v>0.41574919868812549</v>
      </c>
      <c r="R64" s="8">
        <f t="shared" si="504"/>
        <v>0.39299201107652765</v>
      </c>
      <c r="S64" s="8">
        <f t="shared" si="504"/>
        <v>0.43218917602463486</v>
      </c>
      <c r="T64" s="8">
        <f t="shared" si="504"/>
        <v>0.41442881522545588</v>
      </c>
      <c r="U64" s="8">
        <f t="shared" si="504"/>
        <v>0.43218917602463486</v>
      </c>
      <c r="V64" s="8">
        <f t="shared" si="504"/>
        <v>0.41442881522545588</v>
      </c>
      <c r="W64" s="8">
        <f t="shared" si="504"/>
        <v>0.43218917602463486</v>
      </c>
      <c r="X64" s="8">
        <f t="shared" si="504"/>
        <v>0.43218917602463486</v>
      </c>
      <c r="Y64" s="8">
        <f t="shared" si="504"/>
        <v>0.41442881522545588</v>
      </c>
      <c r="Z64" s="8">
        <f t="shared" si="504"/>
        <v>0.43218917602463486</v>
      </c>
      <c r="AA64" s="8">
        <f t="shared" si="504"/>
        <v>0.41442881522545588</v>
      </c>
      <c r="AB64" s="8">
        <f t="shared" si="504"/>
        <v>0.43218917602463486</v>
      </c>
      <c r="AC64" s="8">
        <f t="shared" si="504"/>
        <v>0.43218917602463486</v>
      </c>
      <c r="AD64" s="8">
        <f t="shared" si="504"/>
        <v>0.39821558617846997</v>
      </c>
      <c r="AE64" s="8">
        <f t="shared" si="504"/>
        <v>0.45777846930779154</v>
      </c>
      <c r="AF64" s="8">
        <f t="shared" si="504"/>
        <v>0.44003775161805114</v>
      </c>
      <c r="AG64" s="8">
        <f t="shared" si="504"/>
        <v>0.45777846930779154</v>
      </c>
      <c r="AH64" s="8">
        <f t="shared" si="504"/>
        <v>0.44003775161805114</v>
      </c>
      <c r="AI64" s="8">
        <f t="shared" si="504"/>
        <v>0.45777846930779154</v>
      </c>
      <c r="AJ64" s="8">
        <f t="shared" si="504"/>
        <v>0.45777846930779154</v>
      </c>
      <c r="AK64" s="8">
        <f t="shared" si="504"/>
        <v>0.44003775161805114</v>
      </c>
      <c r="AL64" s="8">
        <f t="shared" si="504"/>
        <v>0.45777846930779154</v>
      </c>
      <c r="AM64" s="8">
        <f t="shared" si="504"/>
        <v>0.44003775161805114</v>
      </c>
      <c r="AN64" s="8">
        <f t="shared" si="504"/>
        <v>0.45777846930779154</v>
      </c>
      <c r="AO64" s="8">
        <f t="shared" si="504"/>
        <v>0.45777846930779154</v>
      </c>
      <c r="AP64" s="8">
        <f t="shared" ref="AP64:BM64" si="505">IF(ISERROR(AP63/AP$25),"",(AP63/AP$25))</f>
        <v>0.39883694984438361</v>
      </c>
      <c r="AQ64" s="8">
        <f t="shared" si="505"/>
        <v>0.4583397010060361</v>
      </c>
      <c r="AR64" s="8">
        <f t="shared" si="505"/>
        <v>0.44061769103957055</v>
      </c>
      <c r="AS64" s="8">
        <f t="shared" si="505"/>
        <v>0.4583397010060361</v>
      </c>
      <c r="AT64" s="8">
        <f t="shared" si="505"/>
        <v>0.44061769103957055</v>
      </c>
      <c r="AU64" s="8">
        <f t="shared" si="505"/>
        <v>0.4583397010060361</v>
      </c>
      <c r="AV64" s="8">
        <f t="shared" si="505"/>
        <v>0.4583397010060361</v>
      </c>
      <c r="AW64" s="8">
        <f t="shared" si="505"/>
        <v>0.44061769103957055</v>
      </c>
      <c r="AX64" s="8">
        <f t="shared" si="505"/>
        <v>0.4583397010060361</v>
      </c>
      <c r="AY64" s="8">
        <f t="shared" si="505"/>
        <v>0.44061769103957055</v>
      </c>
      <c r="AZ64" s="8">
        <f t="shared" si="505"/>
        <v>0.4583397010060361</v>
      </c>
      <c r="BA64" s="8">
        <f t="shared" si="505"/>
        <v>0.4583397010060361</v>
      </c>
      <c r="BB64" s="8">
        <f t="shared" si="505"/>
        <v>0.39942872476430119</v>
      </c>
      <c r="BC64" s="8">
        <f t="shared" si="505"/>
        <v>0.45887420738531653</v>
      </c>
      <c r="BD64" s="8">
        <f t="shared" si="505"/>
        <v>0.44117001429816022</v>
      </c>
      <c r="BE64" s="8">
        <f t="shared" si="505"/>
        <v>0.45887420738531653</v>
      </c>
      <c r="BF64" s="8">
        <f t="shared" si="505"/>
        <v>0.44117001429816022</v>
      </c>
      <c r="BG64" s="8">
        <f t="shared" si="505"/>
        <v>0.45887420738531653</v>
      </c>
      <c r="BH64" s="8">
        <f t="shared" si="505"/>
        <v>0.45887420738531653</v>
      </c>
      <c r="BI64" s="8">
        <f t="shared" si="505"/>
        <v>0.44117001429816022</v>
      </c>
      <c r="BJ64" s="8">
        <f t="shared" si="505"/>
        <v>0.45887420738531653</v>
      </c>
      <c r="BK64" s="8">
        <f t="shared" si="505"/>
        <v>0.44117001429816022</v>
      </c>
      <c r="BL64" s="8">
        <f t="shared" si="505"/>
        <v>0.45887420738531653</v>
      </c>
      <c r="BM64" s="8">
        <f t="shared" si="505"/>
        <v>0.45887420738531653</v>
      </c>
      <c r="BN64" s="8">
        <f t="shared" ref="BN64:DU64" si="506">IF(ISERROR(BN63/BN$25),"",(BN63/BN$25))</f>
        <v>0.42033741234246791</v>
      </c>
      <c r="BO64" s="8">
        <f t="shared" si="506"/>
        <v>0.45938326107986927</v>
      </c>
      <c r="BP64" s="8">
        <f t="shared" si="506"/>
        <v>0.44169603644919814</v>
      </c>
      <c r="BQ64" s="8">
        <f t="shared" si="506"/>
        <v>0.45938326107986927</v>
      </c>
      <c r="BR64" s="8">
        <f t="shared" si="506"/>
        <v>0.44169603644919814</v>
      </c>
      <c r="BS64" s="8">
        <f t="shared" si="506"/>
        <v>0.45938326107986927</v>
      </c>
      <c r="BT64" s="8">
        <f t="shared" si="506"/>
        <v>0.45938326107986927</v>
      </c>
      <c r="BU64" s="8">
        <f t="shared" si="506"/>
        <v>0.44169603644919814</v>
      </c>
      <c r="BV64" s="8">
        <f t="shared" si="506"/>
        <v>0.45938326107986927</v>
      </c>
      <c r="BW64" s="8">
        <f t="shared" si="506"/>
        <v>0.44169603644919814</v>
      </c>
      <c r="BX64" s="8">
        <f t="shared" si="506"/>
        <v>0.45938326107986927</v>
      </c>
      <c r="BY64" s="8">
        <f t="shared" si="506"/>
        <v>0.45938326107986927</v>
      </c>
      <c r="BZ64" s="8">
        <f t="shared" si="506"/>
        <v>0.40052907722310493</v>
      </c>
      <c r="CA64" s="8">
        <f t="shared" si="506"/>
        <v>0.45986807412230046</v>
      </c>
      <c r="CB64" s="8">
        <f t="shared" si="506"/>
        <v>0.44219700992637717</v>
      </c>
      <c r="CC64" s="8">
        <f t="shared" si="506"/>
        <v>0.45986807412230046</v>
      </c>
      <c r="CD64" s="8">
        <f t="shared" si="506"/>
        <v>0.44219700992637717</v>
      </c>
      <c r="CE64" s="8">
        <f t="shared" si="506"/>
        <v>0.45986807412230046</v>
      </c>
      <c r="CF64" s="8">
        <f t="shared" si="506"/>
        <v>0.45986807412230046</v>
      </c>
      <c r="CG64" s="8">
        <f t="shared" si="506"/>
        <v>0.44219700992637717</v>
      </c>
      <c r="CH64" s="8">
        <f t="shared" si="506"/>
        <v>0.45986807412230046</v>
      </c>
      <c r="CI64" s="8">
        <f t="shared" si="506"/>
        <v>0.44219700992637717</v>
      </c>
      <c r="CJ64" s="8">
        <f t="shared" si="506"/>
        <v>0.45986807412230046</v>
      </c>
      <c r="CK64" s="8">
        <f t="shared" si="506"/>
        <v>0.45986807412230046</v>
      </c>
      <c r="CL64" s="8">
        <f t="shared" si="506"/>
        <v>0.4010402746487976</v>
      </c>
      <c r="CM64" s="8">
        <f t="shared" si="506"/>
        <v>0.4603298008293778</v>
      </c>
      <c r="CN64" s="8">
        <f t="shared" si="506"/>
        <v>0.44267412752369029</v>
      </c>
      <c r="CO64" s="8">
        <f t="shared" si="506"/>
        <v>0.4603298008293778</v>
      </c>
      <c r="CP64" s="8">
        <f t="shared" si="506"/>
        <v>0.44267412752369029</v>
      </c>
      <c r="CQ64" s="8">
        <f t="shared" si="506"/>
        <v>0.4603298008293778</v>
      </c>
      <c r="CR64" s="8">
        <f t="shared" si="506"/>
        <v>0.4603298008293778</v>
      </c>
      <c r="CS64" s="8">
        <f t="shared" si="506"/>
        <v>0.44267412752369029</v>
      </c>
      <c r="CT64" s="8">
        <f t="shared" si="506"/>
        <v>0.4603298008293778</v>
      </c>
      <c r="CU64" s="8">
        <f t="shared" si="506"/>
        <v>0.44267412752369029</v>
      </c>
      <c r="CV64" s="8">
        <f t="shared" si="506"/>
        <v>0.4603298008293778</v>
      </c>
      <c r="CW64" s="8">
        <f t="shared" si="506"/>
        <v>0.4603298008293778</v>
      </c>
      <c r="CX64" s="8">
        <f t="shared" si="506"/>
        <v>0.40152712933993384</v>
      </c>
      <c r="CY64" s="8">
        <f t="shared" si="506"/>
        <v>0.46076954055040392</v>
      </c>
      <c r="CZ64" s="8">
        <f t="shared" si="506"/>
        <v>0.44312852523541729</v>
      </c>
      <c r="DA64" s="8">
        <f t="shared" si="506"/>
        <v>0.46076954055040392</v>
      </c>
      <c r="DB64" s="8">
        <f t="shared" si="506"/>
        <v>0.44312852523541729</v>
      </c>
      <c r="DC64" s="8">
        <f t="shared" si="506"/>
        <v>0.46076954055040392</v>
      </c>
      <c r="DD64" s="8">
        <f t="shared" si="506"/>
        <v>0.46076954055040392</v>
      </c>
      <c r="DE64" s="8">
        <f t="shared" si="506"/>
        <v>0.44312852523541729</v>
      </c>
      <c r="DF64" s="8">
        <f t="shared" si="506"/>
        <v>0.46076954055040392</v>
      </c>
      <c r="DG64" s="8">
        <f t="shared" si="506"/>
        <v>0.44312852523541729</v>
      </c>
      <c r="DH64" s="8">
        <f t="shared" si="506"/>
        <v>0.46076954055040392</v>
      </c>
      <c r="DI64" s="8">
        <f t="shared" si="506"/>
        <v>0.46076954055040392</v>
      </c>
      <c r="DJ64" s="8">
        <f t="shared" si="506"/>
        <v>0.42226697976833705</v>
      </c>
      <c r="DK64" s="8">
        <f t="shared" si="506"/>
        <v>0.46118834028471439</v>
      </c>
      <c r="DL64" s="8">
        <f t="shared" si="506"/>
        <v>0.44356128496087138</v>
      </c>
      <c r="DM64" s="8">
        <f t="shared" si="506"/>
        <v>0.46118834028471439</v>
      </c>
      <c r="DN64" s="8">
        <f t="shared" si="506"/>
        <v>0.44356128496087138</v>
      </c>
      <c r="DO64" s="8">
        <f t="shared" si="506"/>
        <v>0.46118834028471439</v>
      </c>
      <c r="DP64" s="8">
        <f t="shared" si="506"/>
        <v>0.46118834028471439</v>
      </c>
      <c r="DQ64" s="8">
        <f t="shared" si="506"/>
        <v>0.44356128496087138</v>
      </c>
      <c r="DR64" s="8">
        <f t="shared" si="506"/>
        <v>0.46118834028471439</v>
      </c>
      <c r="DS64" s="8">
        <f t="shared" si="506"/>
        <v>0.44356128496087138</v>
      </c>
      <c r="DT64" s="8">
        <f t="shared" si="506"/>
        <v>0.46118834028471439</v>
      </c>
      <c r="DU64" s="157">
        <f t="shared" si="506"/>
        <v>0.46118834028471439</v>
      </c>
      <c r="DV64" s="157"/>
      <c r="DW64" s="157">
        <f t="shared" si="503"/>
        <v>1.1145986163956614E-2</v>
      </c>
      <c r="DX64" s="9">
        <f t="shared" si="503"/>
        <v>0.36321720050860146</v>
      </c>
      <c r="DY64" s="8">
        <f t="shared" si="503"/>
        <v>0.39201309340195434</v>
      </c>
      <c r="DZ64" s="8">
        <f t="shared" si="503"/>
        <v>0.40833116964641408</v>
      </c>
      <c r="EA64" s="157">
        <f t="shared" ref="EA64:ED64" si="507">IF(ISERROR(EA63/EA$25),"",(EA63/EA$25))</f>
        <v>0.40940513972268622</v>
      </c>
      <c r="EB64" s="9">
        <f t="shared" si="507"/>
        <v>0.37053665586177109</v>
      </c>
      <c r="EC64" s="8">
        <f t="shared" si="507"/>
        <v>0.42326032061644731</v>
      </c>
      <c r="ED64" s="157">
        <f t="shared" si="507"/>
        <v>0.4473766971149426</v>
      </c>
      <c r="EE64" s="170">
        <f>IF(ISERROR(EE63/EE$25),"",(EE63/EE$25))</f>
        <v>0.41409590469829455</v>
      </c>
      <c r="EF64" s="8">
        <f t="shared" ref="EF64:EG64" si="508">IF(ISERROR(EF63/EF$25),"",(EF63/EF$25))</f>
        <v>0.44794869216082472</v>
      </c>
      <c r="EG64" s="157">
        <f t="shared" si="508"/>
        <v>0.44849344934737917</v>
      </c>
      <c r="EH64" s="170">
        <f>IF(ISERROR(EH63/EH$25),"",(EH63/EH$25))</f>
        <v>0.42857979068138569</v>
      </c>
      <c r="EJ64" s="9">
        <f t="shared" ref="EJ64:EO64" si="509">IF(ISERROR(EJ63/EJ$25),"",(EJ63/EJ$25))</f>
        <v>0.45049037427914479</v>
      </c>
      <c r="EK64" s="8">
        <f t="shared" si="509"/>
        <v>0.44950637654233266</v>
      </c>
      <c r="EL64" s="8">
        <f t="shared" si="509"/>
        <v>0.44997695828214823</v>
      </c>
      <c r="EM64" s="8">
        <f t="shared" si="509"/>
        <v>0.4504251313676873</v>
      </c>
      <c r="EN64" s="157">
        <f t="shared" si="509"/>
        <v>0.4523250449463645</v>
      </c>
      <c r="EO64" s="170">
        <f t="shared" si="509"/>
        <v>0.44086249253640419</v>
      </c>
    </row>
    <row r="65" spans="2:147" ht="13.5" thickBot="1" x14ac:dyDescent="0.35"/>
    <row r="66" spans="2:147" ht="13.5" thickBot="1" x14ac:dyDescent="0.35">
      <c r="B66" s="610" t="s">
        <v>26</v>
      </c>
      <c r="C66" s="541"/>
      <c r="D66" s="541"/>
      <c r="E66" s="1317">
        <f t="shared" ref="E66:AJ66" si="510">E48-E51-E52-E58</f>
        <v>843.46414346779375</v>
      </c>
      <c r="F66" s="1318">
        <f t="shared" si="510"/>
        <v>30268.797687471833</v>
      </c>
      <c r="G66" s="1318">
        <f t="shared" si="510"/>
        <v>38880.216760454037</v>
      </c>
      <c r="H66" s="1318">
        <f t="shared" si="510"/>
        <v>35796.109617596892</v>
      </c>
      <c r="I66" s="1318">
        <f t="shared" si="510"/>
        <v>39109.548351583922</v>
      </c>
      <c r="J66" s="1318">
        <f t="shared" si="510"/>
        <v>36293.241969684634</v>
      </c>
      <c r="K66" s="1318">
        <f t="shared" si="510"/>
        <v>41680.320303798006</v>
      </c>
      <c r="L66" s="1318">
        <f t="shared" si="510"/>
        <v>41680.320303798006</v>
      </c>
      <c r="M66" s="1318">
        <f t="shared" si="510"/>
        <v>38596.213160940861</v>
      </c>
      <c r="N66" s="1318">
        <f t="shared" si="510"/>
        <v>41680.320303798006</v>
      </c>
      <c r="O66" s="1318">
        <f t="shared" si="510"/>
        <v>38596.213160940861</v>
      </c>
      <c r="P66" s="1318">
        <f t="shared" si="510"/>
        <v>41840.702392259605</v>
      </c>
      <c r="Q66" s="1318">
        <f t="shared" si="510"/>
        <v>41840.702392259605</v>
      </c>
      <c r="R66" s="1318">
        <f t="shared" si="510"/>
        <v>38848.734014956302</v>
      </c>
      <c r="S66" s="1318">
        <f t="shared" si="510"/>
        <v>45669.970466993203</v>
      </c>
      <c r="T66" s="1318">
        <f t="shared" si="510"/>
        <v>42380.526716993183</v>
      </c>
      <c r="U66" s="1318">
        <f t="shared" si="510"/>
        <v>45669.970466993203</v>
      </c>
      <c r="V66" s="1318">
        <f t="shared" si="510"/>
        <v>42380.526716993183</v>
      </c>
      <c r="W66" s="1318">
        <f t="shared" si="510"/>
        <v>45669.970466993203</v>
      </c>
      <c r="X66" s="1318">
        <f t="shared" si="510"/>
        <v>45669.970466993203</v>
      </c>
      <c r="Y66" s="1318">
        <f t="shared" si="510"/>
        <v>42380.526716993183</v>
      </c>
      <c r="Z66" s="1318">
        <f t="shared" si="510"/>
        <v>45669.970466993203</v>
      </c>
      <c r="AA66" s="1318">
        <f t="shared" si="510"/>
        <v>42380.526716993183</v>
      </c>
      <c r="AB66" s="1318">
        <f t="shared" si="510"/>
        <v>45669.970466993203</v>
      </c>
      <c r="AC66" s="1318">
        <f t="shared" si="510"/>
        <v>45669.970466993203</v>
      </c>
      <c r="AD66" s="1318">
        <f t="shared" si="510"/>
        <v>39908.070953944276</v>
      </c>
      <c r="AE66" s="1318">
        <f t="shared" si="510"/>
        <v>50792.724228583029</v>
      </c>
      <c r="AF66" s="1318">
        <f t="shared" si="510"/>
        <v>47249.32860358301</v>
      </c>
      <c r="AG66" s="1318">
        <f t="shared" si="510"/>
        <v>50792.724228583029</v>
      </c>
      <c r="AH66" s="1318">
        <f t="shared" si="510"/>
        <v>47249.32860358301</v>
      </c>
      <c r="AI66" s="1318">
        <f t="shared" si="510"/>
        <v>50792.724228583029</v>
      </c>
      <c r="AJ66" s="1318">
        <f t="shared" si="510"/>
        <v>50792.724228583029</v>
      </c>
      <c r="AK66" s="1318">
        <f t="shared" ref="AK66:DY66" si="511">AK48-AK51-AK52-AK58</f>
        <v>47249.32860358301</v>
      </c>
      <c r="AL66" s="1318">
        <f t="shared" si="511"/>
        <v>50792.724228583029</v>
      </c>
      <c r="AM66" s="1318">
        <f t="shared" si="511"/>
        <v>47249.32860358301</v>
      </c>
      <c r="AN66" s="1318">
        <f t="shared" si="511"/>
        <v>50792.724228583029</v>
      </c>
      <c r="AO66" s="1318">
        <f t="shared" si="511"/>
        <v>50792.724228583029</v>
      </c>
      <c r="AP66" s="1318">
        <f t="shared" si="511"/>
        <v>41968.859427381663</v>
      </c>
      <c r="AQ66" s="1318">
        <f t="shared" si="511"/>
        <v>53397.745365752351</v>
      </c>
      <c r="AR66" s="1318">
        <f t="shared" si="511"/>
        <v>49677.17995950234</v>
      </c>
      <c r="AS66" s="1318">
        <f t="shared" si="511"/>
        <v>53397.745365752351</v>
      </c>
      <c r="AT66" s="1318">
        <f t="shared" si="511"/>
        <v>49677.17995950234</v>
      </c>
      <c r="AU66" s="1318">
        <f t="shared" si="511"/>
        <v>53397.745365752351</v>
      </c>
      <c r="AV66" s="1318">
        <f t="shared" si="511"/>
        <v>53397.745365752351</v>
      </c>
      <c r="AW66" s="1318">
        <f t="shared" si="511"/>
        <v>49677.17995950234</v>
      </c>
      <c r="AX66" s="1318">
        <f t="shared" si="511"/>
        <v>53397.745365752351</v>
      </c>
      <c r="AY66" s="1318">
        <f t="shared" si="511"/>
        <v>49677.17995950234</v>
      </c>
      <c r="AZ66" s="1318">
        <f t="shared" si="511"/>
        <v>53397.745365752351</v>
      </c>
      <c r="BA66" s="1318">
        <f t="shared" si="511"/>
        <v>53397.745365752351</v>
      </c>
      <c r="BB66" s="1318">
        <f t="shared" si="511"/>
        <v>44132.6873244909</v>
      </c>
      <c r="BC66" s="1318">
        <f t="shared" si="511"/>
        <v>56133.017559780135</v>
      </c>
      <c r="BD66" s="1318">
        <f t="shared" si="511"/>
        <v>52226.423883217598</v>
      </c>
      <c r="BE66" s="1318">
        <f t="shared" si="511"/>
        <v>56133.017559780135</v>
      </c>
      <c r="BF66" s="1318">
        <f t="shared" si="511"/>
        <v>52226.423883217598</v>
      </c>
      <c r="BG66" s="1318">
        <f t="shared" si="511"/>
        <v>56133.017559780135</v>
      </c>
      <c r="BH66" s="1318">
        <f t="shared" si="511"/>
        <v>56133.017559780135</v>
      </c>
      <c r="BI66" s="1318">
        <f t="shared" si="511"/>
        <v>52226.423883217598</v>
      </c>
      <c r="BJ66" s="1318">
        <f t="shared" si="511"/>
        <v>56133.017559780135</v>
      </c>
      <c r="BK66" s="1318">
        <f t="shared" si="511"/>
        <v>52226.423883217598</v>
      </c>
      <c r="BL66" s="1318">
        <f t="shared" si="511"/>
        <v>56133.017559780135</v>
      </c>
      <c r="BM66" s="1318">
        <f t="shared" si="511"/>
        <v>56133.017559780135</v>
      </c>
      <c r="BN66" s="1318">
        <f t="shared" ref="BN66:DU66" si="512">BN48-BN51-BN52-BN58</f>
        <v>50506.629976846234</v>
      </c>
      <c r="BO66" s="1318">
        <f t="shared" si="512"/>
        <v>59005.053363509287</v>
      </c>
      <c r="BP66" s="1318">
        <f t="shared" si="512"/>
        <v>54903.13000311864</v>
      </c>
      <c r="BQ66" s="1318">
        <f t="shared" si="512"/>
        <v>59005.053363509287</v>
      </c>
      <c r="BR66" s="1318">
        <f t="shared" si="512"/>
        <v>54903.13000311864</v>
      </c>
      <c r="BS66" s="1318">
        <f t="shared" si="512"/>
        <v>59005.053363509287</v>
      </c>
      <c r="BT66" s="1318">
        <f t="shared" si="512"/>
        <v>59005.053363509287</v>
      </c>
      <c r="BU66" s="1318">
        <f t="shared" si="512"/>
        <v>54903.13000311864</v>
      </c>
      <c r="BV66" s="1318">
        <f t="shared" si="512"/>
        <v>59005.053363509287</v>
      </c>
      <c r="BW66" s="1318">
        <f t="shared" si="512"/>
        <v>54903.13000311864</v>
      </c>
      <c r="BX66" s="1318">
        <f t="shared" si="512"/>
        <v>59005.053363509287</v>
      </c>
      <c r="BY66" s="1318">
        <f t="shared" si="512"/>
        <v>59005.053363509287</v>
      </c>
      <c r="BZ66" s="1318">
        <f t="shared" si="512"/>
        <v>48790.326873018552</v>
      </c>
      <c r="CA66" s="1318">
        <f t="shared" si="512"/>
        <v>62020.690957424915</v>
      </c>
      <c r="CB66" s="1318">
        <f t="shared" si="512"/>
        <v>57713.67142901475</v>
      </c>
      <c r="CC66" s="1318">
        <f t="shared" si="512"/>
        <v>62020.690957424915</v>
      </c>
      <c r="CD66" s="1318">
        <f t="shared" si="512"/>
        <v>57713.67142901475</v>
      </c>
      <c r="CE66" s="1318">
        <f t="shared" si="512"/>
        <v>62020.690957424915</v>
      </c>
      <c r="CF66" s="1318">
        <f t="shared" si="512"/>
        <v>62020.690957424915</v>
      </c>
      <c r="CG66" s="1318">
        <f t="shared" si="512"/>
        <v>57713.67142901475</v>
      </c>
      <c r="CH66" s="1318">
        <f t="shared" si="512"/>
        <v>62020.690957424915</v>
      </c>
      <c r="CI66" s="1318">
        <f t="shared" si="512"/>
        <v>57713.67142901475</v>
      </c>
      <c r="CJ66" s="1318">
        <f t="shared" si="512"/>
        <v>62020.690957424915</v>
      </c>
      <c r="CK66" s="1318">
        <f t="shared" si="512"/>
        <v>62020.690957424915</v>
      </c>
      <c r="CL66" s="1318">
        <f t="shared" si="512"/>
        <v>51295.228142409622</v>
      </c>
      <c r="CM66" s="1318">
        <f t="shared" si="512"/>
        <v>65187.110431036323</v>
      </c>
      <c r="CN66" s="1318">
        <f t="shared" si="512"/>
        <v>60664.739926205621</v>
      </c>
      <c r="CO66" s="1318">
        <f t="shared" si="512"/>
        <v>65187.110431036323</v>
      </c>
      <c r="CP66" s="1318">
        <f t="shared" si="512"/>
        <v>60664.739926205621</v>
      </c>
      <c r="CQ66" s="1318">
        <f t="shared" si="512"/>
        <v>65187.110431036323</v>
      </c>
      <c r="CR66" s="1318">
        <f t="shared" si="512"/>
        <v>65187.110431036323</v>
      </c>
      <c r="CS66" s="1318">
        <f t="shared" si="512"/>
        <v>60664.739926205621</v>
      </c>
      <c r="CT66" s="1318">
        <f t="shared" si="512"/>
        <v>65187.110431036323</v>
      </c>
      <c r="CU66" s="1318">
        <f t="shared" si="512"/>
        <v>60664.739926205621</v>
      </c>
      <c r="CV66" s="1318">
        <f t="shared" si="512"/>
        <v>65187.110431036323</v>
      </c>
      <c r="CW66" s="1318">
        <f t="shared" si="512"/>
        <v>65187.110431036323</v>
      </c>
      <c r="CX66" s="1318">
        <f t="shared" si="512"/>
        <v>53925.374475270299</v>
      </c>
      <c r="CY66" s="1318">
        <f t="shared" si="512"/>
        <v>68511.850878328303</v>
      </c>
      <c r="CZ66" s="1318">
        <f t="shared" si="512"/>
        <v>63763.361848256078</v>
      </c>
      <c r="DA66" s="1318">
        <f t="shared" si="512"/>
        <v>68511.850878328303</v>
      </c>
      <c r="DB66" s="1318">
        <f t="shared" si="512"/>
        <v>63763.361848256078</v>
      </c>
      <c r="DC66" s="1318">
        <f t="shared" si="512"/>
        <v>68511.850878328303</v>
      </c>
      <c r="DD66" s="1318">
        <f t="shared" si="512"/>
        <v>68511.850878328303</v>
      </c>
      <c r="DE66" s="1318">
        <f t="shared" si="512"/>
        <v>63763.361848256078</v>
      </c>
      <c r="DF66" s="1318">
        <f t="shared" si="512"/>
        <v>68511.850878328303</v>
      </c>
      <c r="DG66" s="1318">
        <f t="shared" si="512"/>
        <v>63763.361848256078</v>
      </c>
      <c r="DH66" s="1318">
        <f t="shared" si="512"/>
        <v>68511.850878328303</v>
      </c>
      <c r="DI66" s="1318">
        <f t="shared" si="512"/>
        <v>68511.850878328303</v>
      </c>
      <c r="DJ66" s="1318">
        <f t="shared" si="512"/>
        <v>61672.941606349792</v>
      </c>
      <c r="DK66" s="1318">
        <f t="shared" si="512"/>
        <v>72002.828347984876</v>
      </c>
      <c r="DL66" s="1318">
        <f t="shared" si="512"/>
        <v>67016.914866409032</v>
      </c>
      <c r="DM66" s="1318">
        <f t="shared" si="512"/>
        <v>72002.828347984876</v>
      </c>
      <c r="DN66" s="1318">
        <f t="shared" si="512"/>
        <v>67016.914866409032</v>
      </c>
      <c r="DO66" s="1318">
        <f t="shared" si="512"/>
        <v>72002.828347984876</v>
      </c>
      <c r="DP66" s="1318">
        <f t="shared" si="512"/>
        <v>72002.828347984876</v>
      </c>
      <c r="DQ66" s="1318">
        <f t="shared" si="512"/>
        <v>67016.914866409032</v>
      </c>
      <c r="DR66" s="1318">
        <f t="shared" si="512"/>
        <v>72002.828347984876</v>
      </c>
      <c r="DS66" s="1318">
        <f t="shared" si="512"/>
        <v>67016.914866409032</v>
      </c>
      <c r="DT66" s="1318">
        <f t="shared" si="512"/>
        <v>72002.828347984876</v>
      </c>
      <c r="DU66" s="1319">
        <f t="shared" si="512"/>
        <v>72002.828347984876</v>
      </c>
      <c r="DV66" s="1319"/>
      <c r="DW66" s="1320">
        <f t="shared" si="511"/>
        <v>843.46414346779375</v>
      </c>
      <c r="DX66" s="1321">
        <f t="shared" si="511"/>
        <v>104945.12406552276</v>
      </c>
      <c r="DY66" s="1322">
        <f t="shared" si="511"/>
        <v>117083.11062506656</v>
      </c>
      <c r="DZ66" s="1322">
        <f t="shared" ref="DZ66:EH66" si="513">DZ48-DZ51-DZ52-DZ58</f>
        <v>121956.85376853685</v>
      </c>
      <c r="EA66" s="1323">
        <f t="shared" si="513"/>
        <v>122277.61794546002</v>
      </c>
      <c r="EB66" s="1324">
        <f t="shared" si="513"/>
        <v>467106.17054805381</v>
      </c>
      <c r="EC66" s="1325">
        <f t="shared" si="513"/>
        <v>528060.63415188121</v>
      </c>
      <c r="ED66" s="1326">
        <f t="shared" si="513"/>
        <v>584454.45496835746</v>
      </c>
      <c r="EE66" s="1327">
        <f t="shared" si="513"/>
        <v>1579621.2596682922</v>
      </c>
      <c r="EF66" s="1325">
        <f t="shared" si="513"/>
        <v>614461.79682565748</v>
      </c>
      <c r="EG66" s="1326">
        <f t="shared" si="513"/>
        <v>645969.50577582256</v>
      </c>
      <c r="EH66" s="1327">
        <f t="shared" si="513"/>
        <v>2840052.5622697733</v>
      </c>
      <c r="EJ66" s="542">
        <f t="shared" si="347"/>
        <v>683154.52353388583</v>
      </c>
      <c r="EK66" s="543">
        <f t="shared" si="348"/>
        <v>713789.84929105209</v>
      </c>
      <c r="EL66" s="637">
        <f t="shared" si="349"/>
        <v>750263.96086448629</v>
      </c>
      <c r="EM66" s="637">
        <f t="shared" si="350"/>
        <v>788561.77801659284</v>
      </c>
      <c r="EN66" s="544">
        <f t="shared" si="351"/>
        <v>833760.39950788021</v>
      </c>
      <c r="EO66" s="545">
        <f t="shared" si="352"/>
        <v>6609583.0734836701</v>
      </c>
      <c r="EQ66" s="14">
        <f t="shared" si="353"/>
        <v>0</v>
      </c>
    </row>
    <row r="68" spans="2:147" x14ac:dyDescent="0.3">
      <c r="B68" s="611"/>
      <c r="C68" s="566"/>
      <c r="D68" s="386"/>
      <c r="E68" s="47">
        <f t="shared" ref="E68:AJ68" si="514">E17</f>
        <v>46388</v>
      </c>
      <c r="F68" s="48">
        <f t="shared" si="514"/>
        <v>46446</v>
      </c>
      <c r="G68" s="48">
        <f t="shared" si="514"/>
        <v>46477</v>
      </c>
      <c r="H68" s="48">
        <f t="shared" si="514"/>
        <v>46507</v>
      </c>
      <c r="I68" s="48">
        <f t="shared" si="514"/>
        <v>46538</v>
      </c>
      <c r="J68" s="48">
        <f t="shared" si="514"/>
        <v>46568</v>
      </c>
      <c r="K68" s="48">
        <f t="shared" si="514"/>
        <v>46599</v>
      </c>
      <c r="L68" s="48">
        <f t="shared" si="514"/>
        <v>46630</v>
      </c>
      <c r="M68" s="48">
        <f t="shared" si="514"/>
        <v>46660</v>
      </c>
      <c r="N68" s="48">
        <f t="shared" si="514"/>
        <v>46691</v>
      </c>
      <c r="O68" s="48">
        <f t="shared" si="514"/>
        <v>46721</v>
      </c>
      <c r="P68" s="48">
        <f t="shared" si="514"/>
        <v>46752</v>
      </c>
      <c r="Q68" s="48">
        <f t="shared" si="514"/>
        <v>46783</v>
      </c>
      <c r="R68" s="48">
        <f t="shared" si="514"/>
        <v>46812</v>
      </c>
      <c r="S68" s="48">
        <f t="shared" si="514"/>
        <v>46843</v>
      </c>
      <c r="T68" s="48">
        <f t="shared" si="514"/>
        <v>46873</v>
      </c>
      <c r="U68" s="48">
        <f t="shared" si="514"/>
        <v>46904</v>
      </c>
      <c r="V68" s="48">
        <f t="shared" si="514"/>
        <v>46934</v>
      </c>
      <c r="W68" s="48">
        <f t="shared" si="514"/>
        <v>46965</v>
      </c>
      <c r="X68" s="48">
        <f t="shared" si="514"/>
        <v>46996</v>
      </c>
      <c r="Y68" s="48">
        <f t="shared" si="514"/>
        <v>47026</v>
      </c>
      <c r="Z68" s="48">
        <f t="shared" si="514"/>
        <v>47057</v>
      </c>
      <c r="AA68" s="48">
        <f t="shared" si="514"/>
        <v>47087</v>
      </c>
      <c r="AB68" s="48">
        <f t="shared" si="514"/>
        <v>47118</v>
      </c>
      <c r="AC68" s="48">
        <f t="shared" si="514"/>
        <v>47149</v>
      </c>
      <c r="AD68" s="48">
        <f t="shared" si="514"/>
        <v>47177</v>
      </c>
      <c r="AE68" s="48">
        <f t="shared" si="514"/>
        <v>47208</v>
      </c>
      <c r="AF68" s="48">
        <f t="shared" si="514"/>
        <v>47238</v>
      </c>
      <c r="AG68" s="48">
        <f t="shared" si="514"/>
        <v>47269</v>
      </c>
      <c r="AH68" s="48">
        <f t="shared" si="514"/>
        <v>47299</v>
      </c>
      <c r="AI68" s="48">
        <f t="shared" si="514"/>
        <v>47330</v>
      </c>
      <c r="AJ68" s="48">
        <f t="shared" si="514"/>
        <v>47361</v>
      </c>
      <c r="AK68" s="48">
        <f t="shared" ref="AK68:BM68" si="515">AK17</f>
        <v>47391</v>
      </c>
      <c r="AL68" s="48">
        <f t="shared" si="515"/>
        <v>47422</v>
      </c>
      <c r="AM68" s="48">
        <f t="shared" si="515"/>
        <v>47452</v>
      </c>
      <c r="AN68" s="48">
        <f t="shared" si="515"/>
        <v>47483</v>
      </c>
      <c r="AO68" s="48">
        <f t="shared" si="515"/>
        <v>47514</v>
      </c>
      <c r="AP68" s="48">
        <f t="shared" si="515"/>
        <v>47542</v>
      </c>
      <c r="AQ68" s="48">
        <f t="shared" si="515"/>
        <v>47573</v>
      </c>
      <c r="AR68" s="48">
        <f t="shared" si="515"/>
        <v>47603</v>
      </c>
      <c r="AS68" s="48">
        <f t="shared" si="515"/>
        <v>47634</v>
      </c>
      <c r="AT68" s="48">
        <f t="shared" si="515"/>
        <v>47664</v>
      </c>
      <c r="AU68" s="48">
        <f t="shared" si="515"/>
        <v>47695</v>
      </c>
      <c r="AV68" s="48">
        <f t="shared" si="515"/>
        <v>47726</v>
      </c>
      <c r="AW68" s="48">
        <f t="shared" si="515"/>
        <v>47756</v>
      </c>
      <c r="AX68" s="48">
        <f t="shared" si="515"/>
        <v>47787</v>
      </c>
      <c r="AY68" s="48">
        <f t="shared" si="515"/>
        <v>47817</v>
      </c>
      <c r="AZ68" s="48">
        <f t="shared" si="515"/>
        <v>47848</v>
      </c>
      <c r="BA68" s="48">
        <f t="shared" si="515"/>
        <v>47879</v>
      </c>
      <c r="BB68" s="48">
        <f t="shared" si="515"/>
        <v>47907</v>
      </c>
      <c r="BC68" s="48">
        <f t="shared" si="515"/>
        <v>47938</v>
      </c>
      <c r="BD68" s="48">
        <f t="shared" si="515"/>
        <v>47968</v>
      </c>
      <c r="BE68" s="48">
        <f t="shared" si="515"/>
        <v>47999</v>
      </c>
      <c r="BF68" s="48">
        <f t="shared" si="515"/>
        <v>48029</v>
      </c>
      <c r="BG68" s="48">
        <f t="shared" si="515"/>
        <v>48060</v>
      </c>
      <c r="BH68" s="48">
        <f t="shared" si="515"/>
        <v>48091</v>
      </c>
      <c r="BI68" s="48">
        <f t="shared" si="515"/>
        <v>48121</v>
      </c>
      <c r="BJ68" s="48">
        <f t="shared" si="515"/>
        <v>48152</v>
      </c>
      <c r="BK68" s="48">
        <f t="shared" si="515"/>
        <v>48182</v>
      </c>
      <c r="BL68" s="48">
        <f t="shared" si="515"/>
        <v>48213</v>
      </c>
      <c r="BM68" s="48">
        <f t="shared" si="515"/>
        <v>48244</v>
      </c>
      <c r="BN68" s="48">
        <f t="shared" ref="BN68:DU68" si="516">BN17</f>
        <v>48273</v>
      </c>
      <c r="BO68" s="48">
        <f t="shared" si="516"/>
        <v>48304</v>
      </c>
      <c r="BP68" s="48">
        <f t="shared" si="516"/>
        <v>48334</v>
      </c>
      <c r="BQ68" s="48">
        <f t="shared" si="516"/>
        <v>48365</v>
      </c>
      <c r="BR68" s="48">
        <f t="shared" si="516"/>
        <v>48395</v>
      </c>
      <c r="BS68" s="48">
        <f t="shared" si="516"/>
        <v>48426</v>
      </c>
      <c r="BT68" s="48">
        <f t="shared" si="516"/>
        <v>48457</v>
      </c>
      <c r="BU68" s="48">
        <f t="shared" si="516"/>
        <v>48487</v>
      </c>
      <c r="BV68" s="48">
        <f t="shared" si="516"/>
        <v>48518</v>
      </c>
      <c r="BW68" s="48">
        <f t="shared" si="516"/>
        <v>48548</v>
      </c>
      <c r="BX68" s="48">
        <f t="shared" si="516"/>
        <v>48579</v>
      </c>
      <c r="BY68" s="48">
        <f t="shared" si="516"/>
        <v>48610</v>
      </c>
      <c r="BZ68" s="48">
        <f t="shared" si="516"/>
        <v>48638</v>
      </c>
      <c r="CA68" s="48">
        <f t="shared" si="516"/>
        <v>48669</v>
      </c>
      <c r="CB68" s="48">
        <f t="shared" si="516"/>
        <v>48699</v>
      </c>
      <c r="CC68" s="48">
        <f t="shared" si="516"/>
        <v>48730</v>
      </c>
      <c r="CD68" s="48">
        <f t="shared" si="516"/>
        <v>48760</v>
      </c>
      <c r="CE68" s="48">
        <f t="shared" si="516"/>
        <v>48791</v>
      </c>
      <c r="CF68" s="48">
        <f t="shared" si="516"/>
        <v>48822</v>
      </c>
      <c r="CG68" s="48">
        <f t="shared" si="516"/>
        <v>48852</v>
      </c>
      <c r="CH68" s="48">
        <f t="shared" si="516"/>
        <v>48883</v>
      </c>
      <c r="CI68" s="48">
        <f t="shared" si="516"/>
        <v>48913</v>
      </c>
      <c r="CJ68" s="48">
        <f t="shared" si="516"/>
        <v>48944</v>
      </c>
      <c r="CK68" s="48">
        <f t="shared" si="516"/>
        <v>48975</v>
      </c>
      <c r="CL68" s="48">
        <f t="shared" si="516"/>
        <v>49003</v>
      </c>
      <c r="CM68" s="48">
        <f t="shared" si="516"/>
        <v>49034</v>
      </c>
      <c r="CN68" s="48">
        <f t="shared" si="516"/>
        <v>49064</v>
      </c>
      <c r="CO68" s="48">
        <f t="shared" si="516"/>
        <v>49095</v>
      </c>
      <c r="CP68" s="48">
        <f t="shared" si="516"/>
        <v>49125</v>
      </c>
      <c r="CQ68" s="48">
        <f t="shared" si="516"/>
        <v>49156</v>
      </c>
      <c r="CR68" s="48">
        <f t="shared" si="516"/>
        <v>49187</v>
      </c>
      <c r="CS68" s="48">
        <f t="shared" si="516"/>
        <v>49217</v>
      </c>
      <c r="CT68" s="48">
        <f t="shared" si="516"/>
        <v>49248</v>
      </c>
      <c r="CU68" s="48">
        <f t="shared" si="516"/>
        <v>49278</v>
      </c>
      <c r="CV68" s="48">
        <f t="shared" si="516"/>
        <v>49309</v>
      </c>
      <c r="CW68" s="48">
        <f t="shared" si="516"/>
        <v>49340</v>
      </c>
      <c r="CX68" s="48">
        <f t="shared" si="516"/>
        <v>49368</v>
      </c>
      <c r="CY68" s="48">
        <f t="shared" si="516"/>
        <v>49399</v>
      </c>
      <c r="CZ68" s="48">
        <f t="shared" si="516"/>
        <v>49429</v>
      </c>
      <c r="DA68" s="48">
        <f t="shared" si="516"/>
        <v>49460</v>
      </c>
      <c r="DB68" s="48">
        <f t="shared" si="516"/>
        <v>49490</v>
      </c>
      <c r="DC68" s="48">
        <f t="shared" si="516"/>
        <v>49521</v>
      </c>
      <c r="DD68" s="48">
        <f t="shared" si="516"/>
        <v>49552</v>
      </c>
      <c r="DE68" s="48">
        <f t="shared" si="516"/>
        <v>49582</v>
      </c>
      <c r="DF68" s="48">
        <f t="shared" si="516"/>
        <v>49613</v>
      </c>
      <c r="DG68" s="48">
        <f t="shared" si="516"/>
        <v>49643</v>
      </c>
      <c r="DH68" s="48">
        <f t="shared" si="516"/>
        <v>49674</v>
      </c>
      <c r="DI68" s="48">
        <f t="shared" si="516"/>
        <v>49705</v>
      </c>
      <c r="DJ68" s="48">
        <f t="shared" si="516"/>
        <v>49734</v>
      </c>
      <c r="DK68" s="48">
        <f t="shared" si="516"/>
        <v>49765</v>
      </c>
      <c r="DL68" s="48">
        <f t="shared" si="516"/>
        <v>49795</v>
      </c>
      <c r="DM68" s="48">
        <f t="shared" si="516"/>
        <v>49826</v>
      </c>
      <c r="DN68" s="48">
        <f t="shared" si="516"/>
        <v>49856</v>
      </c>
      <c r="DO68" s="48">
        <f t="shared" si="516"/>
        <v>49887</v>
      </c>
      <c r="DP68" s="48">
        <f t="shared" si="516"/>
        <v>49918</v>
      </c>
      <c r="DQ68" s="48">
        <f t="shared" si="516"/>
        <v>49948</v>
      </c>
      <c r="DR68" s="48">
        <f t="shared" si="516"/>
        <v>49979</v>
      </c>
      <c r="DS68" s="48">
        <f t="shared" si="516"/>
        <v>50009</v>
      </c>
      <c r="DT68" s="48">
        <f t="shared" si="516"/>
        <v>50040</v>
      </c>
      <c r="DU68" s="414">
        <f t="shared" si="516"/>
        <v>50071</v>
      </c>
      <c r="DV68" s="686"/>
    </row>
    <row r="69" spans="2:147" x14ac:dyDescent="0.3">
      <c r="B69" s="612" t="str">
        <f>Data!D7</f>
        <v>Client Billable NET FTEs</v>
      </c>
      <c r="C69" s="567"/>
      <c r="D69" s="387"/>
      <c r="E69" s="169">
        <f>Data!G7</f>
        <v>50</v>
      </c>
      <c r="F69" s="124">
        <f>Data!H7</f>
        <v>50</v>
      </c>
      <c r="G69" s="124">
        <f>Data!I7</f>
        <v>50</v>
      </c>
      <c r="H69" s="124">
        <f>Data!J7</f>
        <v>50</v>
      </c>
      <c r="I69" s="124">
        <f>Data!K7</f>
        <v>50</v>
      </c>
      <c r="J69" s="124">
        <f>Data!L7</f>
        <v>50</v>
      </c>
      <c r="K69" s="124">
        <f>Data!M7</f>
        <v>50</v>
      </c>
      <c r="L69" s="124">
        <f>Data!N7</f>
        <v>50</v>
      </c>
      <c r="M69" s="124">
        <f>Data!O7</f>
        <v>50</v>
      </c>
      <c r="N69" s="124">
        <f>Data!P7</f>
        <v>50</v>
      </c>
      <c r="O69" s="124">
        <f>Data!Q7</f>
        <v>50</v>
      </c>
      <c r="P69" s="124">
        <f>Data!R7</f>
        <v>50</v>
      </c>
      <c r="Q69" s="124">
        <f>Data!S7</f>
        <v>50</v>
      </c>
      <c r="R69" s="124">
        <f>Data!T7</f>
        <v>50</v>
      </c>
      <c r="S69" s="124">
        <f>Data!U7</f>
        <v>50</v>
      </c>
      <c r="T69" s="124">
        <f>Data!V7</f>
        <v>50</v>
      </c>
      <c r="U69" s="124">
        <f>Data!W7</f>
        <v>50</v>
      </c>
      <c r="V69" s="124">
        <f>Data!X7</f>
        <v>50</v>
      </c>
      <c r="W69" s="124">
        <f>Data!Y7</f>
        <v>50</v>
      </c>
      <c r="X69" s="124">
        <f>Data!Z7</f>
        <v>50</v>
      </c>
      <c r="Y69" s="124">
        <f>Data!AA7</f>
        <v>50</v>
      </c>
      <c r="Z69" s="124">
        <f>Data!AB7</f>
        <v>50</v>
      </c>
      <c r="AA69" s="124">
        <f>Data!AC7</f>
        <v>50</v>
      </c>
      <c r="AB69" s="124">
        <f>Data!AD7</f>
        <v>50</v>
      </c>
      <c r="AC69" s="124">
        <f>Data!AE7</f>
        <v>50</v>
      </c>
      <c r="AD69" s="124">
        <f>Data!AF7</f>
        <v>50</v>
      </c>
      <c r="AE69" s="124">
        <f>Data!AG7</f>
        <v>50</v>
      </c>
      <c r="AF69" s="124">
        <f>Data!AH7</f>
        <v>50</v>
      </c>
      <c r="AG69" s="124">
        <f>Data!AI7</f>
        <v>50</v>
      </c>
      <c r="AH69" s="124">
        <f>Data!AJ7</f>
        <v>50</v>
      </c>
      <c r="AI69" s="124">
        <f>Data!AK7</f>
        <v>50</v>
      </c>
      <c r="AJ69" s="124">
        <f>Data!AL7</f>
        <v>50</v>
      </c>
      <c r="AK69" s="124">
        <f>Data!AM7</f>
        <v>50</v>
      </c>
      <c r="AL69" s="124">
        <f>Data!AN7</f>
        <v>50</v>
      </c>
      <c r="AM69" s="124">
        <f>Data!AO7</f>
        <v>50</v>
      </c>
      <c r="AN69" s="124">
        <f>Data!AP7</f>
        <v>50</v>
      </c>
      <c r="AO69" s="124">
        <f>Data!AQ7</f>
        <v>50</v>
      </c>
      <c r="AP69" s="124">
        <f>Data!AR7</f>
        <v>50</v>
      </c>
      <c r="AQ69" s="124">
        <f>Data!AS7</f>
        <v>50</v>
      </c>
      <c r="AR69" s="124">
        <f>Data!AT7</f>
        <v>50</v>
      </c>
      <c r="AS69" s="124">
        <f>Data!AU7</f>
        <v>50</v>
      </c>
      <c r="AT69" s="124">
        <f>Data!AV7</f>
        <v>50</v>
      </c>
      <c r="AU69" s="124">
        <f>Data!AW7</f>
        <v>50</v>
      </c>
      <c r="AV69" s="124">
        <f>Data!AX7</f>
        <v>50</v>
      </c>
      <c r="AW69" s="124">
        <f>Data!AY7</f>
        <v>50</v>
      </c>
      <c r="AX69" s="124">
        <f>Data!AZ7</f>
        <v>50</v>
      </c>
      <c r="AY69" s="124">
        <f>Data!BA7</f>
        <v>50</v>
      </c>
      <c r="AZ69" s="124">
        <f>Data!BB7</f>
        <v>50</v>
      </c>
      <c r="BA69" s="124">
        <f>Data!BC7</f>
        <v>50</v>
      </c>
      <c r="BB69" s="124">
        <f>Data!BD7</f>
        <v>50</v>
      </c>
      <c r="BC69" s="124">
        <f>Data!BE7</f>
        <v>50</v>
      </c>
      <c r="BD69" s="124">
        <f>Data!BF7</f>
        <v>50</v>
      </c>
      <c r="BE69" s="124">
        <f>Data!BG7</f>
        <v>50</v>
      </c>
      <c r="BF69" s="124">
        <f>Data!BH7</f>
        <v>50</v>
      </c>
      <c r="BG69" s="124">
        <f>Data!BI7</f>
        <v>50</v>
      </c>
      <c r="BH69" s="124">
        <f>Data!BJ7</f>
        <v>50</v>
      </c>
      <c r="BI69" s="124">
        <f>Data!BK7</f>
        <v>50</v>
      </c>
      <c r="BJ69" s="124">
        <f>Data!BL7</f>
        <v>50</v>
      </c>
      <c r="BK69" s="124">
        <f>Data!BM7</f>
        <v>50</v>
      </c>
      <c r="BL69" s="124">
        <f>Data!BN7</f>
        <v>50</v>
      </c>
      <c r="BM69" s="124">
        <f>Data!BO7</f>
        <v>50</v>
      </c>
      <c r="BN69" s="124">
        <f>Data!BP7</f>
        <v>50</v>
      </c>
      <c r="BO69" s="124">
        <f>Data!BQ7</f>
        <v>50</v>
      </c>
      <c r="BP69" s="124">
        <f>Data!BR7</f>
        <v>50</v>
      </c>
      <c r="BQ69" s="124">
        <f>Data!BS7</f>
        <v>50</v>
      </c>
      <c r="BR69" s="124">
        <f>Data!BT7</f>
        <v>50</v>
      </c>
      <c r="BS69" s="124">
        <f>Data!BU7</f>
        <v>50</v>
      </c>
      <c r="BT69" s="124">
        <f>Data!BV7</f>
        <v>50</v>
      </c>
      <c r="BU69" s="124">
        <f>Data!BW7</f>
        <v>50</v>
      </c>
      <c r="BV69" s="124">
        <f>Data!BX7</f>
        <v>50</v>
      </c>
      <c r="BW69" s="124">
        <f>Data!BY7</f>
        <v>50</v>
      </c>
      <c r="BX69" s="124">
        <f>Data!BZ7</f>
        <v>50</v>
      </c>
      <c r="BY69" s="124">
        <f>Data!CA7</f>
        <v>50</v>
      </c>
      <c r="BZ69" s="124">
        <f>Data!CB7</f>
        <v>50</v>
      </c>
      <c r="CA69" s="124">
        <f>Data!CC7</f>
        <v>50</v>
      </c>
      <c r="CB69" s="124">
        <f>Data!CD7</f>
        <v>50</v>
      </c>
      <c r="CC69" s="124">
        <f>Data!CE7</f>
        <v>50</v>
      </c>
      <c r="CD69" s="124">
        <f>Data!CF7</f>
        <v>50</v>
      </c>
      <c r="CE69" s="124">
        <f>Data!CG7</f>
        <v>50</v>
      </c>
      <c r="CF69" s="124">
        <f>Data!CH7</f>
        <v>50</v>
      </c>
      <c r="CG69" s="124">
        <f>Data!CI7</f>
        <v>50</v>
      </c>
      <c r="CH69" s="124">
        <f>Data!CJ7</f>
        <v>50</v>
      </c>
      <c r="CI69" s="124">
        <f>Data!CK7</f>
        <v>50</v>
      </c>
      <c r="CJ69" s="124">
        <f>Data!CL7</f>
        <v>50</v>
      </c>
      <c r="CK69" s="124">
        <f>Data!CM7</f>
        <v>50</v>
      </c>
      <c r="CL69" s="124">
        <f>Data!CN7</f>
        <v>50</v>
      </c>
      <c r="CM69" s="124">
        <f>Data!CO7</f>
        <v>50</v>
      </c>
      <c r="CN69" s="124">
        <f>Data!CP7</f>
        <v>50</v>
      </c>
      <c r="CO69" s="124">
        <f>Data!CQ7</f>
        <v>50</v>
      </c>
      <c r="CP69" s="124">
        <f>Data!CR7</f>
        <v>50</v>
      </c>
      <c r="CQ69" s="124">
        <f>Data!CS7</f>
        <v>50</v>
      </c>
      <c r="CR69" s="124">
        <f>Data!CT7</f>
        <v>50</v>
      </c>
      <c r="CS69" s="124">
        <f>Data!CU7</f>
        <v>50</v>
      </c>
      <c r="CT69" s="124">
        <f>Data!CV7</f>
        <v>50</v>
      </c>
      <c r="CU69" s="124">
        <f>Data!CW7</f>
        <v>50</v>
      </c>
      <c r="CV69" s="124">
        <f>Data!CX7</f>
        <v>50</v>
      </c>
      <c r="CW69" s="124">
        <f>Data!CY7</f>
        <v>50</v>
      </c>
      <c r="CX69" s="124">
        <f>Data!CZ7</f>
        <v>50</v>
      </c>
      <c r="CY69" s="124">
        <f>Data!DA7</f>
        <v>50</v>
      </c>
      <c r="CZ69" s="124">
        <f>Data!DB7</f>
        <v>50</v>
      </c>
      <c r="DA69" s="124">
        <f>Data!DC7</f>
        <v>50</v>
      </c>
      <c r="DB69" s="124">
        <f>Data!DD7</f>
        <v>50</v>
      </c>
      <c r="DC69" s="124">
        <f>Data!DE7</f>
        <v>50</v>
      </c>
      <c r="DD69" s="124">
        <f>Data!DF7</f>
        <v>50</v>
      </c>
      <c r="DE69" s="124">
        <f>Data!DG7</f>
        <v>50</v>
      </c>
      <c r="DF69" s="124">
        <f>Data!DH7</f>
        <v>50</v>
      </c>
      <c r="DG69" s="124">
        <f>Data!DI7</f>
        <v>50</v>
      </c>
      <c r="DH69" s="124">
        <f>Data!DJ7</f>
        <v>50</v>
      </c>
      <c r="DI69" s="124">
        <f>Data!DK7</f>
        <v>50</v>
      </c>
      <c r="DJ69" s="124">
        <f>Data!DL7</f>
        <v>50</v>
      </c>
      <c r="DK69" s="124">
        <f>Data!DM7</f>
        <v>50</v>
      </c>
      <c r="DL69" s="124">
        <f>Data!DN7</f>
        <v>50</v>
      </c>
      <c r="DM69" s="124">
        <f>Data!DO7</f>
        <v>50</v>
      </c>
      <c r="DN69" s="124">
        <f>Data!DP7</f>
        <v>50</v>
      </c>
      <c r="DO69" s="124">
        <f>Data!DQ7</f>
        <v>50</v>
      </c>
      <c r="DP69" s="124">
        <f>Data!DR7</f>
        <v>50</v>
      </c>
      <c r="DQ69" s="124">
        <f>Data!DS7</f>
        <v>50</v>
      </c>
      <c r="DR69" s="124">
        <f>Data!DT7</f>
        <v>50</v>
      </c>
      <c r="DS69" s="124">
        <f>Data!DU7</f>
        <v>50</v>
      </c>
      <c r="DT69" s="124">
        <f>Data!DV7</f>
        <v>50</v>
      </c>
      <c r="DU69" s="415">
        <f>Data!DW7</f>
        <v>50</v>
      </c>
      <c r="DV69" s="687"/>
    </row>
    <row r="70" spans="2:147" x14ac:dyDescent="0.3">
      <c r="B70" s="612" t="str">
        <f>Data!D8</f>
        <v>Net Attended FTE's</v>
      </c>
      <c r="C70" s="567"/>
      <c r="D70" s="387"/>
      <c r="E70" s="169">
        <f>Data!G8</f>
        <v>50</v>
      </c>
      <c r="F70" s="124">
        <f>Data!H8</f>
        <v>50</v>
      </c>
      <c r="G70" s="124">
        <f>Data!I8</f>
        <v>50</v>
      </c>
      <c r="H70" s="124">
        <f>Data!J8</f>
        <v>50</v>
      </c>
      <c r="I70" s="124">
        <f>Data!K8</f>
        <v>50</v>
      </c>
      <c r="J70" s="124">
        <f>Data!L8</f>
        <v>50</v>
      </c>
      <c r="K70" s="124">
        <f>Data!M8</f>
        <v>50</v>
      </c>
      <c r="L70" s="124">
        <f>Data!N8</f>
        <v>50</v>
      </c>
      <c r="M70" s="124">
        <f>Data!O8</f>
        <v>50</v>
      </c>
      <c r="N70" s="124">
        <f>Data!P8</f>
        <v>50</v>
      </c>
      <c r="O70" s="124">
        <f>Data!Q8</f>
        <v>50</v>
      </c>
      <c r="P70" s="124">
        <f>Data!R8</f>
        <v>50</v>
      </c>
      <c r="Q70" s="124">
        <f>Data!S8</f>
        <v>50</v>
      </c>
      <c r="R70" s="124">
        <f>Data!T8</f>
        <v>50</v>
      </c>
      <c r="S70" s="124">
        <f>Data!U8</f>
        <v>50</v>
      </c>
      <c r="T70" s="124">
        <f>Data!V8</f>
        <v>50</v>
      </c>
      <c r="U70" s="124">
        <f>Data!W8</f>
        <v>50</v>
      </c>
      <c r="V70" s="124">
        <f>Data!X8</f>
        <v>50</v>
      </c>
      <c r="W70" s="124">
        <f>Data!Y8</f>
        <v>50</v>
      </c>
      <c r="X70" s="124">
        <f>Data!Z8</f>
        <v>50</v>
      </c>
      <c r="Y70" s="124">
        <f>Data!AA8</f>
        <v>50</v>
      </c>
      <c r="Z70" s="124">
        <f>Data!AB8</f>
        <v>50</v>
      </c>
      <c r="AA70" s="124">
        <f>Data!AC8</f>
        <v>50</v>
      </c>
      <c r="AB70" s="124">
        <f>Data!AD8</f>
        <v>50</v>
      </c>
      <c r="AC70" s="124">
        <f>Data!AE8</f>
        <v>50</v>
      </c>
      <c r="AD70" s="124">
        <f>Data!AF8</f>
        <v>50</v>
      </c>
      <c r="AE70" s="124">
        <f>Data!AG8</f>
        <v>50</v>
      </c>
      <c r="AF70" s="124">
        <f>Data!AH8</f>
        <v>50</v>
      </c>
      <c r="AG70" s="124">
        <f>Data!AI8</f>
        <v>50</v>
      </c>
      <c r="AH70" s="124">
        <f>Data!AJ8</f>
        <v>50</v>
      </c>
      <c r="AI70" s="124">
        <f>Data!AK8</f>
        <v>50</v>
      </c>
      <c r="AJ70" s="124">
        <f>Data!AL8</f>
        <v>50</v>
      </c>
      <c r="AK70" s="124">
        <f>Data!AM8</f>
        <v>50</v>
      </c>
      <c r="AL70" s="124">
        <f>Data!AN8</f>
        <v>50</v>
      </c>
      <c r="AM70" s="124">
        <f>Data!AO8</f>
        <v>50</v>
      </c>
      <c r="AN70" s="124">
        <f>Data!AP8</f>
        <v>50</v>
      </c>
      <c r="AO70" s="124">
        <f>Data!AQ8</f>
        <v>50</v>
      </c>
      <c r="AP70" s="124">
        <f>Data!AR8</f>
        <v>50</v>
      </c>
      <c r="AQ70" s="124">
        <f>Data!AS8</f>
        <v>50</v>
      </c>
      <c r="AR70" s="124">
        <f>Data!AT8</f>
        <v>50</v>
      </c>
      <c r="AS70" s="124">
        <f>Data!AU8</f>
        <v>50</v>
      </c>
      <c r="AT70" s="124">
        <f>Data!AV8</f>
        <v>50</v>
      </c>
      <c r="AU70" s="124">
        <f>Data!AW8</f>
        <v>50</v>
      </c>
      <c r="AV70" s="124">
        <f>Data!AX8</f>
        <v>50</v>
      </c>
      <c r="AW70" s="124">
        <f>Data!AY8</f>
        <v>50</v>
      </c>
      <c r="AX70" s="124">
        <f>Data!AZ8</f>
        <v>50</v>
      </c>
      <c r="AY70" s="124">
        <f>Data!BA8</f>
        <v>50</v>
      </c>
      <c r="AZ70" s="124">
        <f>Data!BB8</f>
        <v>50</v>
      </c>
      <c r="BA70" s="124">
        <f>Data!BC8</f>
        <v>50</v>
      </c>
      <c r="BB70" s="124">
        <f>Data!BD8</f>
        <v>50</v>
      </c>
      <c r="BC70" s="124">
        <f>Data!BE8</f>
        <v>50</v>
      </c>
      <c r="BD70" s="124">
        <f>Data!BF8</f>
        <v>50</v>
      </c>
      <c r="BE70" s="124">
        <f>Data!BG8</f>
        <v>50</v>
      </c>
      <c r="BF70" s="124">
        <f>Data!BH8</f>
        <v>50</v>
      </c>
      <c r="BG70" s="124">
        <f>Data!BI8</f>
        <v>50</v>
      </c>
      <c r="BH70" s="124">
        <f>Data!BJ8</f>
        <v>50</v>
      </c>
      <c r="BI70" s="124">
        <f>Data!BK8</f>
        <v>50</v>
      </c>
      <c r="BJ70" s="124">
        <f>Data!BL8</f>
        <v>50</v>
      </c>
      <c r="BK70" s="124">
        <f>Data!BM8</f>
        <v>50</v>
      </c>
      <c r="BL70" s="124">
        <f>Data!BN8</f>
        <v>50</v>
      </c>
      <c r="BM70" s="124">
        <f>Data!BO8</f>
        <v>50</v>
      </c>
      <c r="BN70" s="124">
        <f>Data!BP8</f>
        <v>50</v>
      </c>
      <c r="BO70" s="124">
        <f>Data!BQ8</f>
        <v>50</v>
      </c>
      <c r="BP70" s="124">
        <f>Data!BR8</f>
        <v>50</v>
      </c>
      <c r="BQ70" s="124">
        <f>Data!BS8</f>
        <v>50</v>
      </c>
      <c r="BR70" s="124">
        <f>Data!BT8</f>
        <v>50</v>
      </c>
      <c r="BS70" s="124">
        <f>Data!BU8</f>
        <v>50</v>
      </c>
      <c r="BT70" s="124">
        <f>Data!BV8</f>
        <v>50</v>
      </c>
      <c r="BU70" s="124">
        <f>Data!BW8</f>
        <v>50</v>
      </c>
      <c r="BV70" s="124">
        <f>Data!BX8</f>
        <v>50</v>
      </c>
      <c r="BW70" s="124">
        <f>Data!BY8</f>
        <v>50</v>
      </c>
      <c r="BX70" s="124">
        <f>Data!BZ8</f>
        <v>50</v>
      </c>
      <c r="BY70" s="124">
        <f>Data!CA8</f>
        <v>50</v>
      </c>
      <c r="BZ70" s="124">
        <f>Data!CB8</f>
        <v>50</v>
      </c>
      <c r="CA70" s="124">
        <f>Data!CC8</f>
        <v>50</v>
      </c>
      <c r="CB70" s="124">
        <f>Data!CD8</f>
        <v>50</v>
      </c>
      <c r="CC70" s="124">
        <f>Data!CE8</f>
        <v>50</v>
      </c>
      <c r="CD70" s="124">
        <f>Data!CF8</f>
        <v>50</v>
      </c>
      <c r="CE70" s="124">
        <f>Data!CG8</f>
        <v>50</v>
      </c>
      <c r="CF70" s="124">
        <f>Data!CH8</f>
        <v>50</v>
      </c>
      <c r="CG70" s="124">
        <f>Data!CI8</f>
        <v>50</v>
      </c>
      <c r="CH70" s="124">
        <f>Data!CJ8</f>
        <v>50</v>
      </c>
      <c r="CI70" s="124">
        <f>Data!CK8</f>
        <v>50</v>
      </c>
      <c r="CJ70" s="124">
        <f>Data!CL8</f>
        <v>50</v>
      </c>
      <c r="CK70" s="124">
        <f>Data!CM8</f>
        <v>50</v>
      </c>
      <c r="CL70" s="124">
        <f>Data!CN8</f>
        <v>50</v>
      </c>
      <c r="CM70" s="124">
        <f>Data!CO8</f>
        <v>50</v>
      </c>
      <c r="CN70" s="124">
        <f>Data!CP8</f>
        <v>50</v>
      </c>
      <c r="CO70" s="124">
        <f>Data!CQ8</f>
        <v>50</v>
      </c>
      <c r="CP70" s="124">
        <f>Data!CR8</f>
        <v>50</v>
      </c>
      <c r="CQ70" s="124">
        <f>Data!CS8</f>
        <v>50</v>
      </c>
      <c r="CR70" s="124">
        <f>Data!CT8</f>
        <v>50</v>
      </c>
      <c r="CS70" s="124">
        <f>Data!CU8</f>
        <v>50</v>
      </c>
      <c r="CT70" s="124">
        <f>Data!CV8</f>
        <v>50</v>
      </c>
      <c r="CU70" s="124">
        <f>Data!CW8</f>
        <v>50</v>
      </c>
      <c r="CV70" s="124">
        <f>Data!CX8</f>
        <v>50</v>
      </c>
      <c r="CW70" s="124">
        <f>Data!CY8</f>
        <v>50</v>
      </c>
      <c r="CX70" s="124">
        <f>Data!CZ8</f>
        <v>50</v>
      </c>
      <c r="CY70" s="124">
        <f>Data!DA8</f>
        <v>50</v>
      </c>
      <c r="CZ70" s="124">
        <f>Data!DB8</f>
        <v>50</v>
      </c>
      <c r="DA70" s="124">
        <f>Data!DC8</f>
        <v>50</v>
      </c>
      <c r="DB70" s="124">
        <f>Data!DD8</f>
        <v>50</v>
      </c>
      <c r="DC70" s="124">
        <f>Data!DE8</f>
        <v>50</v>
      </c>
      <c r="DD70" s="124">
        <f>Data!DF8</f>
        <v>50</v>
      </c>
      <c r="DE70" s="124">
        <f>Data!DG8</f>
        <v>50</v>
      </c>
      <c r="DF70" s="124">
        <f>Data!DH8</f>
        <v>50</v>
      </c>
      <c r="DG70" s="124">
        <f>Data!DI8</f>
        <v>50</v>
      </c>
      <c r="DH70" s="124">
        <f>Data!DJ8</f>
        <v>50</v>
      </c>
      <c r="DI70" s="124">
        <f>Data!DK8</f>
        <v>50</v>
      </c>
      <c r="DJ70" s="124">
        <f>Data!DL8</f>
        <v>50</v>
      </c>
      <c r="DK70" s="124">
        <f>Data!DM8</f>
        <v>50</v>
      </c>
      <c r="DL70" s="124">
        <f>Data!DN8</f>
        <v>50</v>
      </c>
      <c r="DM70" s="124">
        <f>Data!DO8</f>
        <v>50</v>
      </c>
      <c r="DN70" s="124">
        <f>Data!DP8</f>
        <v>50</v>
      </c>
      <c r="DO70" s="124">
        <f>Data!DQ8</f>
        <v>50</v>
      </c>
      <c r="DP70" s="124">
        <f>Data!DR8</f>
        <v>50</v>
      </c>
      <c r="DQ70" s="124">
        <f>Data!DS8</f>
        <v>50</v>
      </c>
      <c r="DR70" s="124">
        <f>Data!DT8</f>
        <v>50</v>
      </c>
      <c r="DS70" s="124">
        <f>Data!DU8</f>
        <v>50</v>
      </c>
      <c r="DT70" s="124">
        <f>Data!DV8</f>
        <v>50</v>
      </c>
      <c r="DU70" s="415">
        <f>Data!DW8</f>
        <v>50</v>
      </c>
      <c r="DV70" s="687"/>
    </row>
    <row r="71" spans="2:147" x14ac:dyDescent="0.3">
      <c r="B71" s="613" t="str">
        <f>Data!D9</f>
        <v>Shrinkage %</v>
      </c>
      <c r="C71" s="568"/>
      <c r="D71" s="388"/>
      <c r="E71" s="50">
        <f>Data!G9</f>
        <v>0.16781609195402297</v>
      </c>
      <c r="F71" s="51">
        <f>Data!H9</f>
        <v>0.16781609195402297</v>
      </c>
      <c r="G71" s="51">
        <f>Data!I9</f>
        <v>0.16781609195402297</v>
      </c>
      <c r="H71" s="51">
        <f>Data!J9</f>
        <v>0.16781609195402297</v>
      </c>
      <c r="I71" s="51">
        <f>Data!K9</f>
        <v>0.16781609195402297</v>
      </c>
      <c r="J71" s="51">
        <f>Data!L9</f>
        <v>0.16781609195402297</v>
      </c>
      <c r="K71" s="51">
        <f>Data!M9</f>
        <v>0.16781609195402297</v>
      </c>
      <c r="L71" s="51">
        <f>Data!N9</f>
        <v>0.16781609195402297</v>
      </c>
      <c r="M71" s="51">
        <f>Data!O9</f>
        <v>0.16781609195402297</v>
      </c>
      <c r="N71" s="51">
        <f>Data!P9</f>
        <v>0.16781609195402297</v>
      </c>
      <c r="O71" s="51">
        <f>Data!Q9</f>
        <v>0.16781609195402297</v>
      </c>
      <c r="P71" s="51">
        <f>Data!R9</f>
        <v>0.16781609195402297</v>
      </c>
      <c r="Q71" s="51">
        <f>Data!S9</f>
        <v>0.16781609195402297</v>
      </c>
      <c r="R71" s="51">
        <f>Data!T9</f>
        <v>0.16781609195402297</v>
      </c>
      <c r="S71" s="51">
        <f>Data!U9</f>
        <v>0.16781609195402297</v>
      </c>
      <c r="T71" s="51">
        <f>Data!V9</f>
        <v>0.16781609195402297</v>
      </c>
      <c r="U71" s="51">
        <f>Data!W9</f>
        <v>0.16781609195402297</v>
      </c>
      <c r="V71" s="51">
        <f>Data!X9</f>
        <v>0.16781609195402297</v>
      </c>
      <c r="W71" s="51">
        <f>Data!Y9</f>
        <v>0.16781609195402297</v>
      </c>
      <c r="X71" s="51">
        <f>Data!Z9</f>
        <v>0.16781609195402297</v>
      </c>
      <c r="Y71" s="51">
        <f>Data!AA9</f>
        <v>0.16781609195402297</v>
      </c>
      <c r="Z71" s="51">
        <f>Data!AB9</f>
        <v>0.16781609195402297</v>
      </c>
      <c r="AA71" s="51">
        <f>Data!AC9</f>
        <v>0.16781609195402297</v>
      </c>
      <c r="AB71" s="51">
        <f>Data!AD9</f>
        <v>0.16781609195402297</v>
      </c>
      <c r="AC71" s="51">
        <f>Data!AE9</f>
        <v>0.16781609195402297</v>
      </c>
      <c r="AD71" s="51">
        <f>Data!AF9</f>
        <v>0.16781609195402297</v>
      </c>
      <c r="AE71" s="51">
        <f>Data!AG9</f>
        <v>0.16781609195402297</v>
      </c>
      <c r="AF71" s="51">
        <f>Data!AH9</f>
        <v>0.16781609195402297</v>
      </c>
      <c r="AG71" s="51">
        <f>Data!AI9</f>
        <v>0.16781609195402297</v>
      </c>
      <c r="AH71" s="51">
        <f>Data!AJ9</f>
        <v>0.16781609195402297</v>
      </c>
      <c r="AI71" s="51">
        <f>Data!AK9</f>
        <v>0.16781609195402297</v>
      </c>
      <c r="AJ71" s="51">
        <f>Data!AL9</f>
        <v>0.16781609195402297</v>
      </c>
      <c r="AK71" s="51">
        <f>Data!AM9</f>
        <v>0.16781609195402297</v>
      </c>
      <c r="AL71" s="51">
        <f>Data!AN9</f>
        <v>0.16781609195402297</v>
      </c>
      <c r="AM71" s="51">
        <f>Data!AO9</f>
        <v>0.16781609195402297</v>
      </c>
      <c r="AN71" s="51">
        <f>Data!AP9</f>
        <v>0.16781609195402297</v>
      </c>
      <c r="AO71" s="51">
        <f>Data!AQ9</f>
        <v>0.16781609195402297</v>
      </c>
      <c r="AP71" s="51">
        <f>Data!AR9</f>
        <v>0.16781609195402297</v>
      </c>
      <c r="AQ71" s="51">
        <f>Data!AS9</f>
        <v>0.16781609195402297</v>
      </c>
      <c r="AR71" s="51">
        <f>Data!AT9</f>
        <v>0.16781609195402297</v>
      </c>
      <c r="AS71" s="51">
        <f>Data!AU9</f>
        <v>0.16781609195402297</v>
      </c>
      <c r="AT71" s="51">
        <f>Data!AV9</f>
        <v>0.16781609195402297</v>
      </c>
      <c r="AU71" s="51">
        <f>Data!AW9</f>
        <v>0.16781609195402297</v>
      </c>
      <c r="AV71" s="51">
        <f>Data!AX9</f>
        <v>0.16781609195402297</v>
      </c>
      <c r="AW71" s="51">
        <f>Data!AY9</f>
        <v>0.16781609195402297</v>
      </c>
      <c r="AX71" s="51">
        <f>Data!AZ9</f>
        <v>0.16781609195402297</v>
      </c>
      <c r="AY71" s="51">
        <f>Data!BA9</f>
        <v>0.16781609195402297</v>
      </c>
      <c r="AZ71" s="51">
        <f>Data!BB9</f>
        <v>0.16781609195402297</v>
      </c>
      <c r="BA71" s="51">
        <f>Data!BC9</f>
        <v>0.16781609195402297</v>
      </c>
      <c r="BB71" s="51">
        <f>Data!BD9</f>
        <v>0.16781609195402297</v>
      </c>
      <c r="BC71" s="51">
        <f>Data!BE9</f>
        <v>0.16781609195402297</v>
      </c>
      <c r="BD71" s="51">
        <f>Data!BF9</f>
        <v>0.16781609195402297</v>
      </c>
      <c r="BE71" s="51">
        <f>Data!BG9</f>
        <v>0.16781609195402297</v>
      </c>
      <c r="BF71" s="51">
        <f>Data!BH9</f>
        <v>0.16781609195402297</v>
      </c>
      <c r="BG71" s="51">
        <f>Data!BI9</f>
        <v>0.16781609195402297</v>
      </c>
      <c r="BH71" s="51">
        <f>Data!BJ9</f>
        <v>0.16781609195402297</v>
      </c>
      <c r="BI71" s="51">
        <f>Data!BK9</f>
        <v>0.16781609195402297</v>
      </c>
      <c r="BJ71" s="51">
        <f>Data!BL9</f>
        <v>0.16781609195402297</v>
      </c>
      <c r="BK71" s="51">
        <f>Data!BM9</f>
        <v>0.16781609195402297</v>
      </c>
      <c r="BL71" s="51">
        <f>Data!BN9</f>
        <v>0.16781609195402297</v>
      </c>
      <c r="BM71" s="51">
        <f>Data!BO9</f>
        <v>0.16781609195402297</v>
      </c>
      <c r="BN71" s="51">
        <f>Data!BP9</f>
        <v>0.16781609195402297</v>
      </c>
      <c r="BO71" s="51">
        <f>Data!BQ9</f>
        <v>0.16781609195402297</v>
      </c>
      <c r="BP71" s="51">
        <f>Data!BR9</f>
        <v>0.16781609195402297</v>
      </c>
      <c r="BQ71" s="51">
        <f>Data!BS9</f>
        <v>0.16781609195402297</v>
      </c>
      <c r="BR71" s="51">
        <f>Data!BT9</f>
        <v>0.16781609195402297</v>
      </c>
      <c r="BS71" s="51">
        <f>Data!BU9</f>
        <v>0.16781609195402297</v>
      </c>
      <c r="BT71" s="51">
        <f>Data!BV9</f>
        <v>0.16781609195402297</v>
      </c>
      <c r="BU71" s="51">
        <f>Data!BW9</f>
        <v>0.16781609195402297</v>
      </c>
      <c r="BV71" s="51">
        <f>Data!BX9</f>
        <v>0.16781609195402297</v>
      </c>
      <c r="BW71" s="51">
        <f>Data!BY9</f>
        <v>0.16781609195402297</v>
      </c>
      <c r="BX71" s="51">
        <f>Data!BZ9</f>
        <v>0.16781609195402297</v>
      </c>
      <c r="BY71" s="51">
        <f>Data!CA9</f>
        <v>0.16781609195402297</v>
      </c>
      <c r="BZ71" s="51">
        <f>Data!CB9</f>
        <v>0.16781609195402297</v>
      </c>
      <c r="CA71" s="51">
        <f>Data!CC9</f>
        <v>0.16781609195402297</v>
      </c>
      <c r="CB71" s="51">
        <f>Data!CD9</f>
        <v>0.16781609195402297</v>
      </c>
      <c r="CC71" s="51">
        <f>Data!CE9</f>
        <v>0.16781609195402297</v>
      </c>
      <c r="CD71" s="51">
        <f>Data!CF9</f>
        <v>0.16781609195402297</v>
      </c>
      <c r="CE71" s="51">
        <f>Data!CG9</f>
        <v>0.16781609195402297</v>
      </c>
      <c r="CF71" s="51">
        <f>Data!CH9</f>
        <v>0.16781609195402297</v>
      </c>
      <c r="CG71" s="51">
        <f>Data!CI9</f>
        <v>0.16781609195402297</v>
      </c>
      <c r="CH71" s="51">
        <f>Data!CJ9</f>
        <v>0.16781609195402297</v>
      </c>
      <c r="CI71" s="51">
        <f>Data!CK9</f>
        <v>0.16781609195402297</v>
      </c>
      <c r="CJ71" s="51">
        <f>Data!CL9</f>
        <v>0.16781609195402297</v>
      </c>
      <c r="CK71" s="51">
        <f>Data!CM9</f>
        <v>0.16781609195402297</v>
      </c>
      <c r="CL71" s="51">
        <f>Data!CN9</f>
        <v>0.16781609195402297</v>
      </c>
      <c r="CM71" s="51">
        <f>Data!CO9</f>
        <v>0.16781609195402297</v>
      </c>
      <c r="CN71" s="51">
        <f>Data!CP9</f>
        <v>0.16781609195402297</v>
      </c>
      <c r="CO71" s="51">
        <f>Data!CQ9</f>
        <v>0.16781609195402297</v>
      </c>
      <c r="CP71" s="51">
        <f>Data!CR9</f>
        <v>0.16781609195402297</v>
      </c>
      <c r="CQ71" s="51">
        <f>Data!CS9</f>
        <v>0.16781609195402297</v>
      </c>
      <c r="CR71" s="51">
        <f>Data!CT9</f>
        <v>0.16781609195402297</v>
      </c>
      <c r="CS71" s="51">
        <f>Data!CU9</f>
        <v>0.16781609195402297</v>
      </c>
      <c r="CT71" s="51">
        <f>Data!CV9</f>
        <v>0.16781609195402297</v>
      </c>
      <c r="CU71" s="51">
        <f>Data!CW9</f>
        <v>0.16781609195402297</v>
      </c>
      <c r="CV71" s="51">
        <f>Data!CX9</f>
        <v>0.16781609195402297</v>
      </c>
      <c r="CW71" s="51">
        <f>Data!CY9</f>
        <v>0.16781609195402297</v>
      </c>
      <c r="CX71" s="51">
        <f>Data!CZ9</f>
        <v>0.16781609195402297</v>
      </c>
      <c r="CY71" s="51">
        <f>Data!DA9</f>
        <v>0.16781609195402297</v>
      </c>
      <c r="CZ71" s="51">
        <f>Data!DB9</f>
        <v>0.16781609195402297</v>
      </c>
      <c r="DA71" s="51">
        <f>Data!DC9</f>
        <v>0.16781609195402297</v>
      </c>
      <c r="DB71" s="51">
        <f>Data!DD9</f>
        <v>0.16781609195402297</v>
      </c>
      <c r="DC71" s="51">
        <f>Data!DE9</f>
        <v>0.16781609195402297</v>
      </c>
      <c r="DD71" s="51">
        <f>Data!DF9</f>
        <v>0.16781609195402297</v>
      </c>
      <c r="DE71" s="51">
        <f>Data!DG9</f>
        <v>0.16781609195402297</v>
      </c>
      <c r="DF71" s="51">
        <f>Data!DH9</f>
        <v>0.16781609195402297</v>
      </c>
      <c r="DG71" s="51">
        <f>Data!DI9</f>
        <v>0.16781609195402297</v>
      </c>
      <c r="DH71" s="51">
        <f>Data!DJ9</f>
        <v>0.16781609195402297</v>
      </c>
      <c r="DI71" s="51">
        <f>Data!DK9</f>
        <v>0.16781609195402297</v>
      </c>
      <c r="DJ71" s="51">
        <f>Data!DL9</f>
        <v>0.16781609195402297</v>
      </c>
      <c r="DK71" s="51">
        <f>Data!DM9</f>
        <v>0.16781609195402297</v>
      </c>
      <c r="DL71" s="51">
        <f>Data!DN9</f>
        <v>0.16781609195402297</v>
      </c>
      <c r="DM71" s="51">
        <f>Data!DO9</f>
        <v>0.16781609195402297</v>
      </c>
      <c r="DN71" s="51">
        <f>Data!DP9</f>
        <v>0.16781609195402297</v>
      </c>
      <c r="DO71" s="51">
        <f>Data!DQ9</f>
        <v>0.16781609195402297</v>
      </c>
      <c r="DP71" s="51">
        <f>Data!DR9</f>
        <v>0.16781609195402297</v>
      </c>
      <c r="DQ71" s="51">
        <f>Data!DS9</f>
        <v>0.16781609195402297</v>
      </c>
      <c r="DR71" s="51">
        <f>Data!DT9</f>
        <v>0.16781609195402297</v>
      </c>
      <c r="DS71" s="51">
        <f>Data!DU9</f>
        <v>0.16781609195402297</v>
      </c>
      <c r="DT71" s="51">
        <f>Data!DV9</f>
        <v>0.16781609195402297</v>
      </c>
      <c r="DU71" s="416">
        <f>Data!DW9</f>
        <v>0.16781609195402297</v>
      </c>
      <c r="DV71" s="688"/>
    </row>
    <row r="72" spans="2:147" x14ac:dyDescent="0.3">
      <c r="B72" s="613" t="str">
        <f>Data!D10</f>
        <v>- Paid Absence</v>
      </c>
      <c r="C72" s="568"/>
      <c r="D72" s="388"/>
      <c r="E72" s="50">
        <f>Data!G10</f>
        <v>0.15249042145593869</v>
      </c>
      <c r="F72" s="51">
        <f>Data!H10</f>
        <v>0.15249042145593869</v>
      </c>
      <c r="G72" s="51">
        <f>Data!I10</f>
        <v>0.15249042145593869</v>
      </c>
      <c r="H72" s="51">
        <f>Data!J10</f>
        <v>0.15249042145593869</v>
      </c>
      <c r="I72" s="51">
        <f>Data!K10</f>
        <v>0.15249042145593869</v>
      </c>
      <c r="J72" s="51">
        <f>Data!L10</f>
        <v>0.15249042145593869</v>
      </c>
      <c r="K72" s="51">
        <f>Data!M10</f>
        <v>0.15249042145593869</v>
      </c>
      <c r="L72" s="51">
        <f>Data!N10</f>
        <v>0.15249042145593869</v>
      </c>
      <c r="M72" s="51">
        <f>Data!O10</f>
        <v>0.15249042145593869</v>
      </c>
      <c r="N72" s="51">
        <f>Data!P10</f>
        <v>0.15249042145593869</v>
      </c>
      <c r="O72" s="51">
        <f>Data!Q10</f>
        <v>0.15249042145593869</v>
      </c>
      <c r="P72" s="51">
        <f>Data!R10</f>
        <v>0.15249042145593869</v>
      </c>
      <c r="Q72" s="51">
        <f>Data!S10</f>
        <v>0.15249042145593869</v>
      </c>
      <c r="R72" s="51">
        <f>Data!T10</f>
        <v>0.15249042145593869</v>
      </c>
      <c r="S72" s="51">
        <f>Data!U10</f>
        <v>0.15249042145593869</v>
      </c>
      <c r="T72" s="51">
        <f>Data!V10</f>
        <v>0.15249042145593869</v>
      </c>
      <c r="U72" s="51">
        <f>Data!W10</f>
        <v>0.15249042145593869</v>
      </c>
      <c r="V72" s="51">
        <f>Data!X10</f>
        <v>0.15249042145593869</v>
      </c>
      <c r="W72" s="51">
        <f>Data!Y10</f>
        <v>0.15249042145593869</v>
      </c>
      <c r="X72" s="51">
        <f>Data!Z10</f>
        <v>0.15249042145593869</v>
      </c>
      <c r="Y72" s="51">
        <f>Data!AA10</f>
        <v>0.15249042145593869</v>
      </c>
      <c r="Z72" s="51">
        <f>Data!AB10</f>
        <v>0.15249042145593869</v>
      </c>
      <c r="AA72" s="51">
        <f>Data!AC10</f>
        <v>0.15249042145593869</v>
      </c>
      <c r="AB72" s="51">
        <f>Data!AD10</f>
        <v>0.15249042145593869</v>
      </c>
      <c r="AC72" s="51">
        <f>Data!AE10</f>
        <v>0.15249042145593869</v>
      </c>
      <c r="AD72" s="51">
        <f>Data!AF10</f>
        <v>0.15249042145593869</v>
      </c>
      <c r="AE72" s="51">
        <f>Data!AG10</f>
        <v>0.15249042145593869</v>
      </c>
      <c r="AF72" s="51">
        <f>Data!AH10</f>
        <v>0.15249042145593869</v>
      </c>
      <c r="AG72" s="51">
        <f>Data!AI10</f>
        <v>0.15249042145593869</v>
      </c>
      <c r="AH72" s="51">
        <f>Data!AJ10</f>
        <v>0.15249042145593869</v>
      </c>
      <c r="AI72" s="51">
        <f>Data!AK10</f>
        <v>0.15249042145593869</v>
      </c>
      <c r="AJ72" s="51">
        <f>Data!AL10</f>
        <v>0.15249042145593869</v>
      </c>
      <c r="AK72" s="51">
        <f>Data!AM10</f>
        <v>0.15249042145593869</v>
      </c>
      <c r="AL72" s="51">
        <f>Data!AN10</f>
        <v>0.15249042145593869</v>
      </c>
      <c r="AM72" s="51">
        <f>Data!AO10</f>
        <v>0.15249042145593869</v>
      </c>
      <c r="AN72" s="51">
        <f>Data!AP10</f>
        <v>0.15249042145593869</v>
      </c>
      <c r="AO72" s="51">
        <f>Data!AQ10</f>
        <v>0.15249042145593869</v>
      </c>
      <c r="AP72" s="51">
        <f>Data!AR10</f>
        <v>0.15249042145593869</v>
      </c>
      <c r="AQ72" s="51">
        <f>Data!AS10</f>
        <v>0.15249042145593869</v>
      </c>
      <c r="AR72" s="51">
        <f>Data!AT10</f>
        <v>0.15249042145593869</v>
      </c>
      <c r="AS72" s="51">
        <f>Data!AU10</f>
        <v>0.15249042145593869</v>
      </c>
      <c r="AT72" s="51">
        <f>Data!AV10</f>
        <v>0.15249042145593869</v>
      </c>
      <c r="AU72" s="51">
        <f>Data!AW10</f>
        <v>0.15249042145593869</v>
      </c>
      <c r="AV72" s="51">
        <f>Data!AX10</f>
        <v>0.15249042145593869</v>
      </c>
      <c r="AW72" s="51">
        <f>Data!AY10</f>
        <v>0.15249042145593869</v>
      </c>
      <c r="AX72" s="51">
        <f>Data!AZ10</f>
        <v>0.15249042145593869</v>
      </c>
      <c r="AY72" s="51">
        <f>Data!BA10</f>
        <v>0.15249042145593869</v>
      </c>
      <c r="AZ72" s="51">
        <f>Data!BB10</f>
        <v>0.15249042145593869</v>
      </c>
      <c r="BA72" s="51">
        <f>Data!BC10</f>
        <v>0.15249042145593869</v>
      </c>
      <c r="BB72" s="51">
        <f>Data!BD10</f>
        <v>0.15249042145593869</v>
      </c>
      <c r="BC72" s="51">
        <f>Data!BE10</f>
        <v>0.15249042145593869</v>
      </c>
      <c r="BD72" s="51">
        <f>Data!BF10</f>
        <v>0.15249042145593869</v>
      </c>
      <c r="BE72" s="51">
        <f>Data!BG10</f>
        <v>0.15249042145593869</v>
      </c>
      <c r="BF72" s="51">
        <f>Data!BH10</f>
        <v>0.15249042145593869</v>
      </c>
      <c r="BG72" s="51">
        <f>Data!BI10</f>
        <v>0.15249042145593869</v>
      </c>
      <c r="BH72" s="51">
        <f>Data!BJ10</f>
        <v>0.15249042145593869</v>
      </c>
      <c r="BI72" s="51">
        <f>Data!BK10</f>
        <v>0.15249042145593869</v>
      </c>
      <c r="BJ72" s="51">
        <f>Data!BL10</f>
        <v>0.15249042145593869</v>
      </c>
      <c r="BK72" s="51">
        <f>Data!BM10</f>
        <v>0.15249042145593869</v>
      </c>
      <c r="BL72" s="51">
        <f>Data!BN10</f>
        <v>0.15249042145593869</v>
      </c>
      <c r="BM72" s="51">
        <f>Data!BO10</f>
        <v>0.15249042145593869</v>
      </c>
      <c r="BN72" s="51">
        <f>Data!BP10</f>
        <v>0.15249042145593869</v>
      </c>
      <c r="BO72" s="51">
        <f>Data!BQ10</f>
        <v>0.15249042145593869</v>
      </c>
      <c r="BP72" s="51">
        <f>Data!BR10</f>
        <v>0.15249042145593869</v>
      </c>
      <c r="BQ72" s="51">
        <f>Data!BS10</f>
        <v>0.15249042145593869</v>
      </c>
      <c r="BR72" s="51">
        <f>Data!BT10</f>
        <v>0.15249042145593869</v>
      </c>
      <c r="BS72" s="51">
        <f>Data!BU10</f>
        <v>0.15249042145593869</v>
      </c>
      <c r="BT72" s="51">
        <f>Data!BV10</f>
        <v>0.15249042145593869</v>
      </c>
      <c r="BU72" s="51">
        <f>Data!BW10</f>
        <v>0.15249042145593869</v>
      </c>
      <c r="BV72" s="51">
        <f>Data!BX10</f>
        <v>0.15249042145593869</v>
      </c>
      <c r="BW72" s="51">
        <f>Data!BY10</f>
        <v>0.15249042145593869</v>
      </c>
      <c r="BX72" s="51">
        <f>Data!BZ10</f>
        <v>0.15249042145593869</v>
      </c>
      <c r="BY72" s="51">
        <f>Data!CA10</f>
        <v>0.15249042145593869</v>
      </c>
      <c r="BZ72" s="51">
        <f>Data!CB10</f>
        <v>0.15249042145593869</v>
      </c>
      <c r="CA72" s="51">
        <f>Data!CC10</f>
        <v>0.15249042145593869</v>
      </c>
      <c r="CB72" s="51">
        <f>Data!CD10</f>
        <v>0.15249042145593869</v>
      </c>
      <c r="CC72" s="51">
        <f>Data!CE10</f>
        <v>0.15249042145593869</v>
      </c>
      <c r="CD72" s="51">
        <f>Data!CF10</f>
        <v>0.15249042145593869</v>
      </c>
      <c r="CE72" s="51">
        <f>Data!CG10</f>
        <v>0.15249042145593869</v>
      </c>
      <c r="CF72" s="51">
        <f>Data!CH10</f>
        <v>0.15249042145593869</v>
      </c>
      <c r="CG72" s="51">
        <f>Data!CI10</f>
        <v>0.15249042145593869</v>
      </c>
      <c r="CH72" s="51">
        <f>Data!CJ10</f>
        <v>0.15249042145593869</v>
      </c>
      <c r="CI72" s="51">
        <f>Data!CK10</f>
        <v>0.15249042145593869</v>
      </c>
      <c r="CJ72" s="51">
        <f>Data!CL10</f>
        <v>0.15249042145593869</v>
      </c>
      <c r="CK72" s="51">
        <f>Data!CM10</f>
        <v>0.15249042145593869</v>
      </c>
      <c r="CL72" s="51">
        <f>Data!CN10</f>
        <v>0.15249042145593869</v>
      </c>
      <c r="CM72" s="51">
        <f>Data!CO10</f>
        <v>0.15249042145593869</v>
      </c>
      <c r="CN72" s="51">
        <f>Data!CP10</f>
        <v>0.15249042145593869</v>
      </c>
      <c r="CO72" s="51">
        <f>Data!CQ10</f>
        <v>0.15249042145593869</v>
      </c>
      <c r="CP72" s="51">
        <f>Data!CR10</f>
        <v>0.15249042145593869</v>
      </c>
      <c r="CQ72" s="51">
        <f>Data!CS10</f>
        <v>0.15249042145593869</v>
      </c>
      <c r="CR72" s="51">
        <f>Data!CT10</f>
        <v>0.15249042145593869</v>
      </c>
      <c r="CS72" s="51">
        <f>Data!CU10</f>
        <v>0.15249042145593869</v>
      </c>
      <c r="CT72" s="51">
        <f>Data!CV10</f>
        <v>0.15249042145593869</v>
      </c>
      <c r="CU72" s="51">
        <f>Data!CW10</f>
        <v>0.15249042145593869</v>
      </c>
      <c r="CV72" s="51">
        <f>Data!CX10</f>
        <v>0.15249042145593869</v>
      </c>
      <c r="CW72" s="51">
        <f>Data!CY10</f>
        <v>0.15249042145593869</v>
      </c>
      <c r="CX72" s="51">
        <f>Data!CZ10</f>
        <v>0.15249042145593869</v>
      </c>
      <c r="CY72" s="51">
        <f>Data!DA10</f>
        <v>0.15249042145593869</v>
      </c>
      <c r="CZ72" s="51">
        <f>Data!DB10</f>
        <v>0.15249042145593869</v>
      </c>
      <c r="DA72" s="51">
        <f>Data!DC10</f>
        <v>0.15249042145593869</v>
      </c>
      <c r="DB72" s="51">
        <f>Data!DD10</f>
        <v>0.15249042145593869</v>
      </c>
      <c r="DC72" s="51">
        <f>Data!DE10</f>
        <v>0.15249042145593869</v>
      </c>
      <c r="DD72" s="51">
        <f>Data!DF10</f>
        <v>0.15249042145593869</v>
      </c>
      <c r="DE72" s="51">
        <f>Data!DG10</f>
        <v>0.15249042145593869</v>
      </c>
      <c r="DF72" s="51">
        <f>Data!DH10</f>
        <v>0.15249042145593869</v>
      </c>
      <c r="DG72" s="51">
        <f>Data!DI10</f>
        <v>0.15249042145593869</v>
      </c>
      <c r="DH72" s="51">
        <f>Data!DJ10</f>
        <v>0.15249042145593869</v>
      </c>
      <c r="DI72" s="51">
        <f>Data!DK10</f>
        <v>0.15249042145593869</v>
      </c>
      <c r="DJ72" s="51">
        <f>Data!DL10</f>
        <v>0.15249042145593869</v>
      </c>
      <c r="DK72" s="51">
        <f>Data!DM10</f>
        <v>0.15249042145593869</v>
      </c>
      <c r="DL72" s="51">
        <f>Data!DN10</f>
        <v>0.15249042145593869</v>
      </c>
      <c r="DM72" s="51">
        <f>Data!DO10</f>
        <v>0.15249042145593869</v>
      </c>
      <c r="DN72" s="51">
        <f>Data!DP10</f>
        <v>0.15249042145593869</v>
      </c>
      <c r="DO72" s="51">
        <f>Data!DQ10</f>
        <v>0.15249042145593869</v>
      </c>
      <c r="DP72" s="51">
        <f>Data!DR10</f>
        <v>0.15249042145593869</v>
      </c>
      <c r="DQ72" s="51">
        <f>Data!DS10</f>
        <v>0.15249042145593869</v>
      </c>
      <c r="DR72" s="51">
        <f>Data!DT10</f>
        <v>0.15249042145593869</v>
      </c>
      <c r="DS72" s="51">
        <f>Data!DU10</f>
        <v>0.15249042145593869</v>
      </c>
      <c r="DT72" s="51">
        <f>Data!DV10</f>
        <v>0.15249042145593869</v>
      </c>
      <c r="DU72" s="416">
        <f>Data!DW10</f>
        <v>0.15249042145593869</v>
      </c>
      <c r="DV72" s="688"/>
    </row>
    <row r="73" spans="2:147" x14ac:dyDescent="0.3">
      <c r="B73" s="613" t="str">
        <f>Data!D11</f>
        <v>- Unplanned Absence</v>
      </c>
      <c r="C73" s="568"/>
      <c r="D73" s="388"/>
      <c r="E73" s="50">
        <f>Data!G11</f>
        <v>1.532567049808429E-2</v>
      </c>
      <c r="F73" s="51">
        <f>Data!H11</f>
        <v>1.532567049808429E-2</v>
      </c>
      <c r="G73" s="51">
        <f>Data!I11</f>
        <v>1.532567049808429E-2</v>
      </c>
      <c r="H73" s="51">
        <f>Data!J11</f>
        <v>1.532567049808429E-2</v>
      </c>
      <c r="I73" s="51">
        <f>Data!K11</f>
        <v>1.532567049808429E-2</v>
      </c>
      <c r="J73" s="51">
        <f>Data!L11</f>
        <v>1.532567049808429E-2</v>
      </c>
      <c r="K73" s="51">
        <f>Data!M11</f>
        <v>1.532567049808429E-2</v>
      </c>
      <c r="L73" s="51">
        <f>Data!N11</f>
        <v>1.532567049808429E-2</v>
      </c>
      <c r="M73" s="51">
        <f>Data!O11</f>
        <v>1.532567049808429E-2</v>
      </c>
      <c r="N73" s="51">
        <f>Data!P11</f>
        <v>1.532567049808429E-2</v>
      </c>
      <c r="O73" s="51">
        <f>Data!Q11</f>
        <v>1.532567049808429E-2</v>
      </c>
      <c r="P73" s="51">
        <f>Data!R11</f>
        <v>1.532567049808429E-2</v>
      </c>
      <c r="Q73" s="51">
        <f>Data!S11</f>
        <v>1.532567049808429E-2</v>
      </c>
      <c r="R73" s="51">
        <f>Data!T11</f>
        <v>1.532567049808429E-2</v>
      </c>
      <c r="S73" s="51">
        <f>Data!U11</f>
        <v>1.532567049808429E-2</v>
      </c>
      <c r="T73" s="51">
        <f>Data!V11</f>
        <v>1.532567049808429E-2</v>
      </c>
      <c r="U73" s="51">
        <f>Data!W11</f>
        <v>1.532567049808429E-2</v>
      </c>
      <c r="V73" s="51">
        <f>Data!X11</f>
        <v>1.532567049808429E-2</v>
      </c>
      <c r="W73" s="51">
        <f>Data!Y11</f>
        <v>1.532567049808429E-2</v>
      </c>
      <c r="X73" s="51">
        <f>Data!Z11</f>
        <v>1.532567049808429E-2</v>
      </c>
      <c r="Y73" s="51">
        <f>Data!AA11</f>
        <v>1.532567049808429E-2</v>
      </c>
      <c r="Z73" s="51">
        <f>Data!AB11</f>
        <v>1.532567049808429E-2</v>
      </c>
      <c r="AA73" s="51">
        <f>Data!AC11</f>
        <v>1.532567049808429E-2</v>
      </c>
      <c r="AB73" s="51">
        <f>Data!AD11</f>
        <v>1.532567049808429E-2</v>
      </c>
      <c r="AC73" s="51">
        <f>Data!AE11</f>
        <v>1.532567049808429E-2</v>
      </c>
      <c r="AD73" s="51">
        <f>Data!AF11</f>
        <v>1.532567049808429E-2</v>
      </c>
      <c r="AE73" s="51">
        <f>Data!AG11</f>
        <v>1.532567049808429E-2</v>
      </c>
      <c r="AF73" s="51">
        <f>Data!AH11</f>
        <v>1.532567049808429E-2</v>
      </c>
      <c r="AG73" s="51">
        <f>Data!AI11</f>
        <v>1.532567049808429E-2</v>
      </c>
      <c r="AH73" s="51">
        <f>Data!AJ11</f>
        <v>1.532567049808429E-2</v>
      </c>
      <c r="AI73" s="51">
        <f>Data!AK11</f>
        <v>1.532567049808429E-2</v>
      </c>
      <c r="AJ73" s="51">
        <f>Data!AL11</f>
        <v>1.532567049808429E-2</v>
      </c>
      <c r="AK73" s="51">
        <f>Data!AM11</f>
        <v>1.532567049808429E-2</v>
      </c>
      <c r="AL73" s="51">
        <f>Data!AN11</f>
        <v>1.532567049808429E-2</v>
      </c>
      <c r="AM73" s="51">
        <f>Data!AO11</f>
        <v>1.532567049808429E-2</v>
      </c>
      <c r="AN73" s="51">
        <f>Data!AP11</f>
        <v>1.532567049808429E-2</v>
      </c>
      <c r="AO73" s="51">
        <f>Data!AQ11</f>
        <v>1.532567049808429E-2</v>
      </c>
      <c r="AP73" s="51">
        <f>Data!AR11</f>
        <v>1.532567049808429E-2</v>
      </c>
      <c r="AQ73" s="51">
        <f>Data!AS11</f>
        <v>1.532567049808429E-2</v>
      </c>
      <c r="AR73" s="51">
        <f>Data!AT11</f>
        <v>1.532567049808429E-2</v>
      </c>
      <c r="AS73" s="51">
        <f>Data!AU11</f>
        <v>1.532567049808429E-2</v>
      </c>
      <c r="AT73" s="51">
        <f>Data!AV11</f>
        <v>1.532567049808429E-2</v>
      </c>
      <c r="AU73" s="51">
        <f>Data!AW11</f>
        <v>1.532567049808429E-2</v>
      </c>
      <c r="AV73" s="51">
        <f>Data!AX11</f>
        <v>1.532567049808429E-2</v>
      </c>
      <c r="AW73" s="51">
        <f>Data!AY11</f>
        <v>1.532567049808429E-2</v>
      </c>
      <c r="AX73" s="51">
        <f>Data!AZ11</f>
        <v>1.532567049808429E-2</v>
      </c>
      <c r="AY73" s="51">
        <f>Data!BA11</f>
        <v>1.532567049808429E-2</v>
      </c>
      <c r="AZ73" s="51">
        <f>Data!BB11</f>
        <v>1.532567049808429E-2</v>
      </c>
      <c r="BA73" s="51">
        <f>Data!BC11</f>
        <v>1.532567049808429E-2</v>
      </c>
      <c r="BB73" s="51">
        <f>Data!BD11</f>
        <v>1.532567049808429E-2</v>
      </c>
      <c r="BC73" s="51">
        <f>Data!BE11</f>
        <v>1.532567049808429E-2</v>
      </c>
      <c r="BD73" s="51">
        <f>Data!BF11</f>
        <v>1.532567049808429E-2</v>
      </c>
      <c r="BE73" s="51">
        <f>Data!BG11</f>
        <v>1.532567049808429E-2</v>
      </c>
      <c r="BF73" s="51">
        <f>Data!BH11</f>
        <v>1.532567049808429E-2</v>
      </c>
      <c r="BG73" s="51">
        <f>Data!BI11</f>
        <v>1.532567049808429E-2</v>
      </c>
      <c r="BH73" s="51">
        <f>Data!BJ11</f>
        <v>1.532567049808429E-2</v>
      </c>
      <c r="BI73" s="51">
        <f>Data!BK11</f>
        <v>1.532567049808429E-2</v>
      </c>
      <c r="BJ73" s="51">
        <f>Data!BL11</f>
        <v>1.532567049808429E-2</v>
      </c>
      <c r="BK73" s="51">
        <f>Data!BM11</f>
        <v>1.532567049808429E-2</v>
      </c>
      <c r="BL73" s="51">
        <f>Data!BN11</f>
        <v>1.532567049808429E-2</v>
      </c>
      <c r="BM73" s="51">
        <f>Data!BO11</f>
        <v>1.532567049808429E-2</v>
      </c>
      <c r="BN73" s="51">
        <f>Data!BP11</f>
        <v>1.532567049808429E-2</v>
      </c>
      <c r="BO73" s="51">
        <f>Data!BQ11</f>
        <v>1.532567049808429E-2</v>
      </c>
      <c r="BP73" s="51">
        <f>Data!BR11</f>
        <v>1.532567049808429E-2</v>
      </c>
      <c r="BQ73" s="51">
        <f>Data!BS11</f>
        <v>1.532567049808429E-2</v>
      </c>
      <c r="BR73" s="51">
        <f>Data!BT11</f>
        <v>1.532567049808429E-2</v>
      </c>
      <c r="BS73" s="51">
        <f>Data!BU11</f>
        <v>1.532567049808429E-2</v>
      </c>
      <c r="BT73" s="51">
        <f>Data!BV11</f>
        <v>1.532567049808429E-2</v>
      </c>
      <c r="BU73" s="51">
        <f>Data!BW11</f>
        <v>1.532567049808429E-2</v>
      </c>
      <c r="BV73" s="51">
        <f>Data!BX11</f>
        <v>1.532567049808429E-2</v>
      </c>
      <c r="BW73" s="51">
        <f>Data!BY11</f>
        <v>1.532567049808429E-2</v>
      </c>
      <c r="BX73" s="51">
        <f>Data!BZ11</f>
        <v>1.532567049808429E-2</v>
      </c>
      <c r="BY73" s="51">
        <f>Data!CA11</f>
        <v>1.532567049808429E-2</v>
      </c>
      <c r="BZ73" s="51">
        <f>Data!CB11</f>
        <v>1.532567049808429E-2</v>
      </c>
      <c r="CA73" s="51">
        <f>Data!CC11</f>
        <v>1.532567049808429E-2</v>
      </c>
      <c r="CB73" s="51">
        <f>Data!CD11</f>
        <v>1.532567049808429E-2</v>
      </c>
      <c r="CC73" s="51">
        <f>Data!CE11</f>
        <v>1.532567049808429E-2</v>
      </c>
      <c r="CD73" s="51">
        <f>Data!CF11</f>
        <v>1.532567049808429E-2</v>
      </c>
      <c r="CE73" s="51">
        <f>Data!CG11</f>
        <v>1.532567049808429E-2</v>
      </c>
      <c r="CF73" s="51">
        <f>Data!CH11</f>
        <v>1.532567049808429E-2</v>
      </c>
      <c r="CG73" s="51">
        <f>Data!CI11</f>
        <v>1.532567049808429E-2</v>
      </c>
      <c r="CH73" s="51">
        <f>Data!CJ11</f>
        <v>1.532567049808429E-2</v>
      </c>
      <c r="CI73" s="51">
        <f>Data!CK11</f>
        <v>1.532567049808429E-2</v>
      </c>
      <c r="CJ73" s="51">
        <f>Data!CL11</f>
        <v>1.532567049808429E-2</v>
      </c>
      <c r="CK73" s="51">
        <f>Data!CM11</f>
        <v>1.532567049808429E-2</v>
      </c>
      <c r="CL73" s="51">
        <f>Data!CN11</f>
        <v>1.532567049808429E-2</v>
      </c>
      <c r="CM73" s="51">
        <f>Data!CO11</f>
        <v>1.532567049808429E-2</v>
      </c>
      <c r="CN73" s="51">
        <f>Data!CP11</f>
        <v>1.532567049808429E-2</v>
      </c>
      <c r="CO73" s="51">
        <f>Data!CQ11</f>
        <v>1.532567049808429E-2</v>
      </c>
      <c r="CP73" s="51">
        <f>Data!CR11</f>
        <v>1.532567049808429E-2</v>
      </c>
      <c r="CQ73" s="51">
        <f>Data!CS11</f>
        <v>1.532567049808429E-2</v>
      </c>
      <c r="CR73" s="51">
        <f>Data!CT11</f>
        <v>1.532567049808429E-2</v>
      </c>
      <c r="CS73" s="51">
        <f>Data!CU11</f>
        <v>1.532567049808429E-2</v>
      </c>
      <c r="CT73" s="51">
        <f>Data!CV11</f>
        <v>1.532567049808429E-2</v>
      </c>
      <c r="CU73" s="51">
        <f>Data!CW11</f>
        <v>1.532567049808429E-2</v>
      </c>
      <c r="CV73" s="51">
        <f>Data!CX11</f>
        <v>1.532567049808429E-2</v>
      </c>
      <c r="CW73" s="51">
        <f>Data!CY11</f>
        <v>1.532567049808429E-2</v>
      </c>
      <c r="CX73" s="51">
        <f>Data!CZ11</f>
        <v>1.532567049808429E-2</v>
      </c>
      <c r="CY73" s="51">
        <f>Data!DA11</f>
        <v>1.532567049808429E-2</v>
      </c>
      <c r="CZ73" s="51">
        <f>Data!DB11</f>
        <v>1.532567049808429E-2</v>
      </c>
      <c r="DA73" s="51">
        <f>Data!DC11</f>
        <v>1.532567049808429E-2</v>
      </c>
      <c r="DB73" s="51">
        <f>Data!DD11</f>
        <v>1.532567049808429E-2</v>
      </c>
      <c r="DC73" s="51">
        <f>Data!DE11</f>
        <v>1.532567049808429E-2</v>
      </c>
      <c r="DD73" s="51">
        <f>Data!DF11</f>
        <v>1.532567049808429E-2</v>
      </c>
      <c r="DE73" s="51">
        <f>Data!DG11</f>
        <v>1.532567049808429E-2</v>
      </c>
      <c r="DF73" s="51">
        <f>Data!DH11</f>
        <v>1.532567049808429E-2</v>
      </c>
      <c r="DG73" s="51">
        <f>Data!DI11</f>
        <v>1.532567049808429E-2</v>
      </c>
      <c r="DH73" s="51">
        <f>Data!DJ11</f>
        <v>1.532567049808429E-2</v>
      </c>
      <c r="DI73" s="51">
        <f>Data!DK11</f>
        <v>1.532567049808429E-2</v>
      </c>
      <c r="DJ73" s="51">
        <f>Data!DL11</f>
        <v>1.532567049808429E-2</v>
      </c>
      <c r="DK73" s="51">
        <f>Data!DM11</f>
        <v>1.532567049808429E-2</v>
      </c>
      <c r="DL73" s="51">
        <f>Data!DN11</f>
        <v>1.532567049808429E-2</v>
      </c>
      <c r="DM73" s="51">
        <f>Data!DO11</f>
        <v>1.532567049808429E-2</v>
      </c>
      <c r="DN73" s="51">
        <f>Data!DP11</f>
        <v>1.532567049808429E-2</v>
      </c>
      <c r="DO73" s="51">
        <f>Data!DQ11</f>
        <v>1.532567049808429E-2</v>
      </c>
      <c r="DP73" s="51">
        <f>Data!DR11</f>
        <v>1.532567049808429E-2</v>
      </c>
      <c r="DQ73" s="51">
        <f>Data!DS11</f>
        <v>1.532567049808429E-2</v>
      </c>
      <c r="DR73" s="51">
        <f>Data!DT11</f>
        <v>1.532567049808429E-2</v>
      </c>
      <c r="DS73" s="51">
        <f>Data!DU11</f>
        <v>1.532567049808429E-2</v>
      </c>
      <c r="DT73" s="51">
        <f>Data!DV11</f>
        <v>1.532567049808429E-2</v>
      </c>
      <c r="DU73" s="416">
        <f>Data!DW11</f>
        <v>1.532567049808429E-2</v>
      </c>
      <c r="DV73" s="688"/>
    </row>
    <row r="74" spans="2:147" x14ac:dyDescent="0.3">
      <c r="B74" s="614" t="str">
        <f>Data!D12</f>
        <v>Required HC</v>
      </c>
      <c r="C74" s="569"/>
      <c r="D74" s="389"/>
      <c r="E74" s="52">
        <f>Data!G12</f>
        <v>61</v>
      </c>
      <c r="F74" s="53">
        <f>Data!H12</f>
        <v>61</v>
      </c>
      <c r="G74" s="53">
        <f>Data!I12</f>
        <v>61</v>
      </c>
      <c r="H74" s="53">
        <f>Data!J12</f>
        <v>61</v>
      </c>
      <c r="I74" s="53">
        <f>Data!K12</f>
        <v>61</v>
      </c>
      <c r="J74" s="53">
        <f>Data!L12</f>
        <v>61</v>
      </c>
      <c r="K74" s="53">
        <f>Data!M12</f>
        <v>61</v>
      </c>
      <c r="L74" s="53">
        <f>Data!N12</f>
        <v>61</v>
      </c>
      <c r="M74" s="53">
        <f>Data!O12</f>
        <v>61</v>
      </c>
      <c r="N74" s="53">
        <f>Data!P12</f>
        <v>61</v>
      </c>
      <c r="O74" s="53">
        <f>Data!Q12</f>
        <v>61</v>
      </c>
      <c r="P74" s="53">
        <f>Data!R12</f>
        <v>61</v>
      </c>
      <c r="Q74" s="53">
        <f>Data!S12</f>
        <v>61</v>
      </c>
      <c r="R74" s="53">
        <f>Data!T12</f>
        <v>61</v>
      </c>
      <c r="S74" s="53">
        <f>Data!U12</f>
        <v>61</v>
      </c>
      <c r="T74" s="53">
        <f>Data!V12</f>
        <v>61</v>
      </c>
      <c r="U74" s="53">
        <f>Data!W12</f>
        <v>61</v>
      </c>
      <c r="V74" s="53">
        <f>Data!X12</f>
        <v>61</v>
      </c>
      <c r="W74" s="53">
        <f>Data!Y12</f>
        <v>61</v>
      </c>
      <c r="X74" s="53">
        <f>Data!Z12</f>
        <v>61</v>
      </c>
      <c r="Y74" s="53">
        <f>Data!AA12</f>
        <v>61</v>
      </c>
      <c r="Z74" s="53">
        <f>Data!AB12</f>
        <v>61</v>
      </c>
      <c r="AA74" s="53">
        <f>Data!AC12</f>
        <v>61</v>
      </c>
      <c r="AB74" s="53">
        <f>Data!AD12</f>
        <v>61</v>
      </c>
      <c r="AC74" s="53">
        <f>Data!AE12</f>
        <v>61</v>
      </c>
      <c r="AD74" s="53">
        <f>Data!AF12</f>
        <v>61</v>
      </c>
      <c r="AE74" s="53">
        <f>Data!AG12</f>
        <v>61</v>
      </c>
      <c r="AF74" s="53">
        <f>Data!AH12</f>
        <v>61</v>
      </c>
      <c r="AG74" s="53">
        <f>Data!AI12</f>
        <v>61</v>
      </c>
      <c r="AH74" s="53">
        <f>Data!AJ12</f>
        <v>61</v>
      </c>
      <c r="AI74" s="53">
        <f>Data!AK12</f>
        <v>61</v>
      </c>
      <c r="AJ74" s="53">
        <f>Data!AL12</f>
        <v>61</v>
      </c>
      <c r="AK74" s="53">
        <f>Data!AM12</f>
        <v>61</v>
      </c>
      <c r="AL74" s="53">
        <f>Data!AN12</f>
        <v>61</v>
      </c>
      <c r="AM74" s="53">
        <f>Data!AO12</f>
        <v>61</v>
      </c>
      <c r="AN74" s="53">
        <f>Data!AP12</f>
        <v>61</v>
      </c>
      <c r="AO74" s="53">
        <f>Data!AQ12</f>
        <v>61</v>
      </c>
      <c r="AP74" s="53">
        <f>Data!AR12</f>
        <v>61</v>
      </c>
      <c r="AQ74" s="53">
        <f>Data!AS12</f>
        <v>61</v>
      </c>
      <c r="AR74" s="53">
        <f>Data!AT12</f>
        <v>61</v>
      </c>
      <c r="AS74" s="53">
        <f>Data!AU12</f>
        <v>61</v>
      </c>
      <c r="AT74" s="53">
        <f>Data!AV12</f>
        <v>61</v>
      </c>
      <c r="AU74" s="53">
        <f>Data!AW12</f>
        <v>61</v>
      </c>
      <c r="AV74" s="53">
        <f>Data!AX12</f>
        <v>61</v>
      </c>
      <c r="AW74" s="53">
        <f>Data!AY12</f>
        <v>61</v>
      </c>
      <c r="AX74" s="53">
        <f>Data!AZ12</f>
        <v>61</v>
      </c>
      <c r="AY74" s="53">
        <f>Data!BA12</f>
        <v>61</v>
      </c>
      <c r="AZ74" s="53">
        <f>Data!BB12</f>
        <v>61</v>
      </c>
      <c r="BA74" s="53">
        <f>Data!BC12</f>
        <v>61</v>
      </c>
      <c r="BB74" s="53">
        <f>Data!BD12</f>
        <v>61</v>
      </c>
      <c r="BC74" s="53">
        <f>Data!BE12</f>
        <v>61</v>
      </c>
      <c r="BD74" s="53">
        <f>Data!BF12</f>
        <v>61</v>
      </c>
      <c r="BE74" s="53">
        <f>Data!BG12</f>
        <v>61</v>
      </c>
      <c r="BF74" s="53">
        <f>Data!BH12</f>
        <v>61</v>
      </c>
      <c r="BG74" s="53">
        <f>Data!BI12</f>
        <v>61</v>
      </c>
      <c r="BH74" s="53">
        <f>Data!BJ12</f>
        <v>61</v>
      </c>
      <c r="BI74" s="53">
        <f>Data!BK12</f>
        <v>61</v>
      </c>
      <c r="BJ74" s="53">
        <f>Data!BL12</f>
        <v>61</v>
      </c>
      <c r="BK74" s="53">
        <f>Data!BM12</f>
        <v>61</v>
      </c>
      <c r="BL74" s="53">
        <f>Data!BN12</f>
        <v>61</v>
      </c>
      <c r="BM74" s="53">
        <f>Data!BO12</f>
        <v>61</v>
      </c>
      <c r="BN74" s="53">
        <f>Data!BP12</f>
        <v>61</v>
      </c>
      <c r="BO74" s="53">
        <f>Data!BQ12</f>
        <v>61</v>
      </c>
      <c r="BP74" s="53">
        <f>Data!BR12</f>
        <v>61</v>
      </c>
      <c r="BQ74" s="53">
        <f>Data!BS12</f>
        <v>61</v>
      </c>
      <c r="BR74" s="53">
        <f>Data!BT12</f>
        <v>61</v>
      </c>
      <c r="BS74" s="53">
        <f>Data!BU12</f>
        <v>61</v>
      </c>
      <c r="BT74" s="53">
        <f>Data!BV12</f>
        <v>61</v>
      </c>
      <c r="BU74" s="53">
        <f>Data!BW12</f>
        <v>61</v>
      </c>
      <c r="BV74" s="53">
        <f>Data!BX12</f>
        <v>61</v>
      </c>
      <c r="BW74" s="53">
        <f>Data!BY12</f>
        <v>61</v>
      </c>
      <c r="BX74" s="53">
        <f>Data!BZ12</f>
        <v>61</v>
      </c>
      <c r="BY74" s="53">
        <f>Data!CA12</f>
        <v>61</v>
      </c>
      <c r="BZ74" s="53">
        <f>Data!CB12</f>
        <v>61</v>
      </c>
      <c r="CA74" s="53">
        <f>Data!CC12</f>
        <v>61</v>
      </c>
      <c r="CB74" s="53">
        <f>Data!CD12</f>
        <v>61</v>
      </c>
      <c r="CC74" s="53">
        <f>Data!CE12</f>
        <v>61</v>
      </c>
      <c r="CD74" s="53">
        <f>Data!CF12</f>
        <v>61</v>
      </c>
      <c r="CE74" s="53">
        <f>Data!CG12</f>
        <v>61</v>
      </c>
      <c r="CF74" s="53">
        <f>Data!CH12</f>
        <v>61</v>
      </c>
      <c r="CG74" s="53">
        <f>Data!CI12</f>
        <v>61</v>
      </c>
      <c r="CH74" s="53">
        <f>Data!CJ12</f>
        <v>61</v>
      </c>
      <c r="CI74" s="53">
        <f>Data!CK12</f>
        <v>61</v>
      </c>
      <c r="CJ74" s="53">
        <f>Data!CL12</f>
        <v>61</v>
      </c>
      <c r="CK74" s="53">
        <f>Data!CM12</f>
        <v>61</v>
      </c>
      <c r="CL74" s="53">
        <f>Data!CN12</f>
        <v>61</v>
      </c>
      <c r="CM74" s="53">
        <f>Data!CO12</f>
        <v>61</v>
      </c>
      <c r="CN74" s="53">
        <f>Data!CP12</f>
        <v>61</v>
      </c>
      <c r="CO74" s="53">
        <f>Data!CQ12</f>
        <v>61</v>
      </c>
      <c r="CP74" s="53">
        <f>Data!CR12</f>
        <v>61</v>
      </c>
      <c r="CQ74" s="53">
        <f>Data!CS12</f>
        <v>61</v>
      </c>
      <c r="CR74" s="53">
        <f>Data!CT12</f>
        <v>61</v>
      </c>
      <c r="CS74" s="53">
        <f>Data!CU12</f>
        <v>61</v>
      </c>
      <c r="CT74" s="53">
        <f>Data!CV12</f>
        <v>61</v>
      </c>
      <c r="CU74" s="53">
        <f>Data!CW12</f>
        <v>61</v>
      </c>
      <c r="CV74" s="53">
        <f>Data!CX12</f>
        <v>61</v>
      </c>
      <c r="CW74" s="53">
        <f>Data!CY12</f>
        <v>61</v>
      </c>
      <c r="CX74" s="53">
        <f>Data!CZ12</f>
        <v>61</v>
      </c>
      <c r="CY74" s="53">
        <f>Data!DA12</f>
        <v>61</v>
      </c>
      <c r="CZ74" s="53">
        <f>Data!DB12</f>
        <v>61</v>
      </c>
      <c r="DA74" s="53">
        <f>Data!DC12</f>
        <v>61</v>
      </c>
      <c r="DB74" s="53">
        <f>Data!DD12</f>
        <v>61</v>
      </c>
      <c r="DC74" s="53">
        <f>Data!DE12</f>
        <v>61</v>
      </c>
      <c r="DD74" s="53">
        <f>Data!DF12</f>
        <v>61</v>
      </c>
      <c r="DE74" s="53">
        <f>Data!DG12</f>
        <v>61</v>
      </c>
      <c r="DF74" s="53">
        <f>Data!DH12</f>
        <v>61</v>
      </c>
      <c r="DG74" s="53">
        <f>Data!DI12</f>
        <v>61</v>
      </c>
      <c r="DH74" s="53">
        <f>Data!DJ12</f>
        <v>61</v>
      </c>
      <c r="DI74" s="53">
        <f>Data!DK12</f>
        <v>61</v>
      </c>
      <c r="DJ74" s="53">
        <f>Data!DL12</f>
        <v>61</v>
      </c>
      <c r="DK74" s="53">
        <f>Data!DM12</f>
        <v>61</v>
      </c>
      <c r="DL74" s="53">
        <f>Data!DN12</f>
        <v>61</v>
      </c>
      <c r="DM74" s="53">
        <f>Data!DO12</f>
        <v>61</v>
      </c>
      <c r="DN74" s="53">
        <f>Data!DP12</f>
        <v>61</v>
      </c>
      <c r="DO74" s="53">
        <f>Data!DQ12</f>
        <v>61</v>
      </c>
      <c r="DP74" s="53">
        <f>Data!DR12</f>
        <v>61</v>
      </c>
      <c r="DQ74" s="53">
        <f>Data!DS12</f>
        <v>61</v>
      </c>
      <c r="DR74" s="53">
        <f>Data!DT12</f>
        <v>61</v>
      </c>
      <c r="DS74" s="53">
        <f>Data!DU12</f>
        <v>61</v>
      </c>
      <c r="DT74" s="53">
        <f>Data!DV12</f>
        <v>61</v>
      </c>
      <c r="DU74" s="417">
        <f>Data!DW12</f>
        <v>61</v>
      </c>
      <c r="DV74" s="689"/>
    </row>
    <row r="75" spans="2:147" x14ac:dyDescent="0.3">
      <c r="B75" s="613" t="str">
        <f>Data!D13</f>
        <v>Training Duration</v>
      </c>
      <c r="C75" s="570"/>
      <c r="D75" s="390"/>
      <c r="E75" s="54">
        <f>Data!G13</f>
        <v>4.33</v>
      </c>
      <c r="F75" s="55">
        <f>Data!H13</f>
        <v>4.33</v>
      </c>
      <c r="G75" s="55">
        <f>Data!I13</f>
        <v>4.33</v>
      </c>
      <c r="H75" s="55">
        <f>Data!J13</f>
        <v>4.33</v>
      </c>
      <c r="I75" s="55">
        <f>Data!K13</f>
        <v>3.4640000000000004</v>
      </c>
      <c r="J75" s="55">
        <f>Data!L13</f>
        <v>3.6639999999999997</v>
      </c>
      <c r="K75" s="55">
        <f>Data!M13</f>
        <v>3.6639999999999997</v>
      </c>
      <c r="L75" s="55">
        <f>Data!N13</f>
        <v>3.6639999999999997</v>
      </c>
      <c r="M75" s="55">
        <f>Data!O13</f>
        <v>3.6639999999999997</v>
      </c>
      <c r="N75" s="55">
        <f>Data!P13</f>
        <v>3.6639999999999997</v>
      </c>
      <c r="O75" s="55">
        <f>Data!Q13</f>
        <v>3.6639999999999997</v>
      </c>
      <c r="P75" s="55">
        <f>Data!R13</f>
        <v>3.6639999999999997</v>
      </c>
      <c r="Q75" s="55">
        <f>Data!S13</f>
        <v>3.6639999999999997</v>
      </c>
      <c r="R75" s="55">
        <f>Data!T13</f>
        <v>3.6639999999999997</v>
      </c>
      <c r="S75" s="55">
        <f>Data!U13</f>
        <v>3.6639999999999997</v>
      </c>
      <c r="T75" s="55">
        <f>Data!V13</f>
        <v>3.6639999999999997</v>
      </c>
      <c r="U75" s="55">
        <f>Data!W13</f>
        <v>3.6639999999999997</v>
      </c>
      <c r="V75" s="55">
        <f>Data!X13</f>
        <v>3.6639999999999997</v>
      </c>
      <c r="W75" s="55">
        <f>Data!Y13</f>
        <v>3.6639999999999997</v>
      </c>
      <c r="X75" s="55">
        <f>Data!Z13</f>
        <v>3.6639999999999997</v>
      </c>
      <c r="Y75" s="55">
        <f>Data!AA13</f>
        <v>3.6639999999999997</v>
      </c>
      <c r="Z75" s="55">
        <f>Data!AB13</f>
        <v>3.6639999999999997</v>
      </c>
      <c r="AA75" s="55">
        <f>Data!AC13</f>
        <v>3.6639999999999997</v>
      </c>
      <c r="AB75" s="55">
        <f>Data!AD13</f>
        <v>3.6639999999999997</v>
      </c>
      <c r="AC75" s="55">
        <f>Data!AE13</f>
        <v>3.6639999999999997</v>
      </c>
      <c r="AD75" s="55">
        <f>Data!AF13</f>
        <v>3.6639999999999997</v>
      </c>
      <c r="AE75" s="55">
        <f>Data!AG13</f>
        <v>3.6639999999999997</v>
      </c>
      <c r="AF75" s="55">
        <f>Data!AH13</f>
        <v>3.6639999999999997</v>
      </c>
      <c r="AG75" s="55">
        <f>Data!AI13</f>
        <v>3.6639999999999997</v>
      </c>
      <c r="AH75" s="55">
        <f>Data!AJ13</f>
        <v>3.6639999999999997</v>
      </c>
      <c r="AI75" s="55">
        <f>Data!AK13</f>
        <v>3.6639999999999997</v>
      </c>
      <c r="AJ75" s="55">
        <f>Data!AL13</f>
        <v>3.6639999999999997</v>
      </c>
      <c r="AK75" s="55">
        <f>Data!AM13</f>
        <v>3.6639999999999997</v>
      </c>
      <c r="AL75" s="55">
        <f>Data!AN13</f>
        <v>3.6639999999999997</v>
      </c>
      <c r="AM75" s="55">
        <f>Data!AO13</f>
        <v>3.6639999999999997</v>
      </c>
      <c r="AN75" s="55">
        <f>Data!AP13</f>
        <v>3.6639999999999997</v>
      </c>
      <c r="AO75" s="55">
        <f>Data!AQ13</f>
        <v>3.6639999999999997</v>
      </c>
      <c r="AP75" s="55">
        <f>Data!AR13</f>
        <v>3.6639999999999997</v>
      </c>
      <c r="AQ75" s="55">
        <f>Data!AS13</f>
        <v>3.6639999999999997</v>
      </c>
      <c r="AR75" s="55">
        <f>Data!AT13</f>
        <v>3.6639999999999997</v>
      </c>
      <c r="AS75" s="55">
        <f>Data!AU13</f>
        <v>3.6639999999999997</v>
      </c>
      <c r="AT75" s="55">
        <f>Data!AV13</f>
        <v>3.6639999999999997</v>
      </c>
      <c r="AU75" s="55">
        <f>Data!AW13</f>
        <v>3.6639999999999997</v>
      </c>
      <c r="AV75" s="55">
        <f>Data!AX13</f>
        <v>3.6639999999999997</v>
      </c>
      <c r="AW75" s="55">
        <f>Data!AY13</f>
        <v>3.6639999999999997</v>
      </c>
      <c r="AX75" s="55">
        <f>Data!AZ13</f>
        <v>3.6639999999999997</v>
      </c>
      <c r="AY75" s="55">
        <f>Data!BA13</f>
        <v>3.6639999999999997</v>
      </c>
      <c r="AZ75" s="55">
        <f>Data!BB13</f>
        <v>3.6639999999999997</v>
      </c>
      <c r="BA75" s="55">
        <f>Data!BC13</f>
        <v>3.6639999999999997</v>
      </c>
      <c r="BB75" s="55">
        <f>Data!BD13</f>
        <v>3.6639999999999997</v>
      </c>
      <c r="BC75" s="55">
        <f>Data!BE13</f>
        <v>3.6639999999999997</v>
      </c>
      <c r="BD75" s="55">
        <f>Data!BF13</f>
        <v>3.6639999999999997</v>
      </c>
      <c r="BE75" s="55">
        <f>Data!BG13</f>
        <v>3.6639999999999997</v>
      </c>
      <c r="BF75" s="55">
        <f>Data!BH13</f>
        <v>3.6639999999999997</v>
      </c>
      <c r="BG75" s="55">
        <f>Data!BI13</f>
        <v>3.6639999999999997</v>
      </c>
      <c r="BH75" s="55">
        <f>Data!BJ13</f>
        <v>3.6639999999999997</v>
      </c>
      <c r="BI75" s="55">
        <f>Data!BK13</f>
        <v>3.6639999999999997</v>
      </c>
      <c r="BJ75" s="55">
        <f>Data!BL13</f>
        <v>3.6639999999999997</v>
      </c>
      <c r="BK75" s="55">
        <f>Data!BM13</f>
        <v>3.6639999999999997</v>
      </c>
      <c r="BL75" s="55">
        <f>Data!BN13</f>
        <v>3.6639999999999997</v>
      </c>
      <c r="BM75" s="55">
        <f>Data!BO13</f>
        <v>3.6639999999999997</v>
      </c>
      <c r="BN75" s="55">
        <f>Data!BP13</f>
        <v>3.6639999999999997</v>
      </c>
      <c r="BO75" s="55">
        <f>Data!BQ13</f>
        <v>3.6639999999999997</v>
      </c>
      <c r="BP75" s="55">
        <f>Data!BR13</f>
        <v>3.6639999999999997</v>
      </c>
      <c r="BQ75" s="55">
        <f>Data!BS13</f>
        <v>3.6639999999999997</v>
      </c>
      <c r="BR75" s="55">
        <f>Data!BT13</f>
        <v>3.6639999999999997</v>
      </c>
      <c r="BS75" s="55">
        <f>Data!BU13</f>
        <v>3.6639999999999997</v>
      </c>
      <c r="BT75" s="55">
        <f>Data!BV13</f>
        <v>3.6639999999999997</v>
      </c>
      <c r="BU75" s="55">
        <f>Data!BW13</f>
        <v>3.6639999999999997</v>
      </c>
      <c r="BV75" s="55">
        <f>Data!BX13</f>
        <v>3.6639999999999997</v>
      </c>
      <c r="BW75" s="55">
        <f>Data!BY13</f>
        <v>3.6639999999999997</v>
      </c>
      <c r="BX75" s="55">
        <f>Data!BZ13</f>
        <v>3.6639999999999997</v>
      </c>
      <c r="BY75" s="55">
        <f>Data!CA13</f>
        <v>3.6639999999999997</v>
      </c>
      <c r="BZ75" s="55">
        <f>Data!CB13</f>
        <v>3.6639999999999997</v>
      </c>
      <c r="CA75" s="55">
        <f>Data!CC13</f>
        <v>3.6639999999999997</v>
      </c>
      <c r="CB75" s="55">
        <f>Data!CD13</f>
        <v>3.6639999999999997</v>
      </c>
      <c r="CC75" s="55">
        <f>Data!CE13</f>
        <v>3.6639999999999997</v>
      </c>
      <c r="CD75" s="55">
        <f>Data!CF13</f>
        <v>3.6639999999999997</v>
      </c>
      <c r="CE75" s="55">
        <f>Data!CG13</f>
        <v>3.6639999999999997</v>
      </c>
      <c r="CF75" s="55">
        <f>Data!CH13</f>
        <v>3.6639999999999997</v>
      </c>
      <c r="CG75" s="55">
        <f>Data!CI13</f>
        <v>3.6639999999999997</v>
      </c>
      <c r="CH75" s="55">
        <f>Data!CJ13</f>
        <v>3.6639999999999997</v>
      </c>
      <c r="CI75" s="55">
        <f>Data!CK13</f>
        <v>3.6639999999999997</v>
      </c>
      <c r="CJ75" s="55">
        <f>Data!CL13</f>
        <v>3.6639999999999997</v>
      </c>
      <c r="CK75" s="55">
        <f>Data!CM13</f>
        <v>3.6639999999999997</v>
      </c>
      <c r="CL75" s="55">
        <f>Data!CN13</f>
        <v>3.6639999999999997</v>
      </c>
      <c r="CM75" s="55">
        <f>Data!CO13</f>
        <v>3.6639999999999997</v>
      </c>
      <c r="CN75" s="55">
        <f>Data!CP13</f>
        <v>3.6639999999999997</v>
      </c>
      <c r="CO75" s="55">
        <f>Data!CQ13</f>
        <v>3.6639999999999997</v>
      </c>
      <c r="CP75" s="55">
        <f>Data!CR13</f>
        <v>3.6639999999999997</v>
      </c>
      <c r="CQ75" s="55">
        <f>Data!CS13</f>
        <v>3.6639999999999997</v>
      </c>
      <c r="CR75" s="55">
        <f>Data!CT13</f>
        <v>3.6639999999999997</v>
      </c>
      <c r="CS75" s="55">
        <f>Data!CU13</f>
        <v>3.6639999999999997</v>
      </c>
      <c r="CT75" s="55">
        <f>Data!CV13</f>
        <v>3.6639999999999997</v>
      </c>
      <c r="CU75" s="55">
        <f>Data!CW13</f>
        <v>3.6639999999999997</v>
      </c>
      <c r="CV75" s="55">
        <f>Data!CX13</f>
        <v>3.6639999999999997</v>
      </c>
      <c r="CW75" s="55">
        <f>Data!CY13</f>
        <v>3.6639999999999997</v>
      </c>
      <c r="CX75" s="55">
        <f>Data!CZ13</f>
        <v>3.6639999999999997</v>
      </c>
      <c r="CY75" s="55">
        <f>Data!DA13</f>
        <v>3.6639999999999997</v>
      </c>
      <c r="CZ75" s="55">
        <f>Data!DB13</f>
        <v>3.6639999999999997</v>
      </c>
      <c r="DA75" s="55">
        <f>Data!DC13</f>
        <v>3.6639999999999997</v>
      </c>
      <c r="DB75" s="55">
        <f>Data!DD13</f>
        <v>3.6639999999999997</v>
      </c>
      <c r="DC75" s="55">
        <f>Data!DE13</f>
        <v>3.6639999999999997</v>
      </c>
      <c r="DD75" s="55">
        <f>Data!DF13</f>
        <v>3.6639999999999997</v>
      </c>
      <c r="DE75" s="55">
        <f>Data!DG13</f>
        <v>3.6639999999999997</v>
      </c>
      <c r="DF75" s="55">
        <f>Data!DH13</f>
        <v>3.6639999999999997</v>
      </c>
      <c r="DG75" s="55">
        <f>Data!DI13</f>
        <v>3.6639999999999997</v>
      </c>
      <c r="DH75" s="55">
        <f>Data!DJ13</f>
        <v>3.6639999999999997</v>
      </c>
      <c r="DI75" s="55">
        <f>Data!DK13</f>
        <v>3.6639999999999997</v>
      </c>
      <c r="DJ75" s="55">
        <f>Data!DL13</f>
        <v>3.6639999999999997</v>
      </c>
      <c r="DK75" s="55">
        <f>Data!DM13</f>
        <v>3.6639999999999997</v>
      </c>
      <c r="DL75" s="55">
        <f>Data!DN13</f>
        <v>3.6639999999999997</v>
      </c>
      <c r="DM75" s="55">
        <f>Data!DO13</f>
        <v>3.6639999999999997</v>
      </c>
      <c r="DN75" s="55">
        <f>Data!DP13</f>
        <v>3.6639999999999997</v>
      </c>
      <c r="DO75" s="55">
        <f>Data!DQ13</f>
        <v>3.6639999999999997</v>
      </c>
      <c r="DP75" s="55">
        <f>Data!DR13</f>
        <v>3.6639999999999997</v>
      </c>
      <c r="DQ75" s="55">
        <f>Data!DS13</f>
        <v>3.6639999999999997</v>
      </c>
      <c r="DR75" s="55">
        <f>Data!DT13</f>
        <v>3.6639999999999997</v>
      </c>
      <c r="DS75" s="55">
        <f>Data!DU13</f>
        <v>3.6639999999999997</v>
      </c>
      <c r="DT75" s="55">
        <f>Data!DV13</f>
        <v>3.6639999999999997</v>
      </c>
      <c r="DU75" s="418">
        <f>Data!DW13</f>
        <v>3.6639999999999997</v>
      </c>
      <c r="DV75" s="690"/>
    </row>
    <row r="76" spans="2:147" x14ac:dyDescent="0.3">
      <c r="B76" s="613" t="str">
        <f>Data!D14</f>
        <v>- Preprocess</v>
      </c>
      <c r="C76" s="570"/>
      <c r="D76" s="390"/>
      <c r="E76" s="1374">
        <f>Data!G14</f>
        <v>1</v>
      </c>
      <c r="F76" s="55">
        <f>Data!H14</f>
        <v>1</v>
      </c>
      <c r="G76" s="55">
        <f>Data!I14</f>
        <v>1</v>
      </c>
      <c r="H76" s="55">
        <f>Data!J14</f>
        <v>1</v>
      </c>
      <c r="I76" s="55">
        <f>Data!K14</f>
        <v>1</v>
      </c>
      <c r="J76" s="55">
        <f>Data!L14</f>
        <v>1</v>
      </c>
      <c r="K76" s="55">
        <f>Data!M14</f>
        <v>1</v>
      </c>
      <c r="L76" s="55">
        <f>Data!N14</f>
        <v>1</v>
      </c>
      <c r="M76" s="55">
        <f>Data!O14</f>
        <v>1</v>
      </c>
      <c r="N76" s="55">
        <f>Data!P14</f>
        <v>1</v>
      </c>
      <c r="O76" s="55">
        <f>Data!Q14</f>
        <v>1</v>
      </c>
      <c r="P76" s="55">
        <f>Data!R14</f>
        <v>1</v>
      </c>
      <c r="Q76" s="55">
        <f>Data!S14</f>
        <v>1</v>
      </c>
      <c r="R76" s="55">
        <f>Data!T14</f>
        <v>1</v>
      </c>
      <c r="S76" s="55">
        <f>Data!U14</f>
        <v>1</v>
      </c>
      <c r="T76" s="55">
        <f>Data!V14</f>
        <v>1</v>
      </c>
      <c r="U76" s="55">
        <f>Data!W14</f>
        <v>1</v>
      </c>
      <c r="V76" s="55">
        <f>Data!X14</f>
        <v>1</v>
      </c>
      <c r="W76" s="55">
        <f>Data!Y14</f>
        <v>1</v>
      </c>
      <c r="X76" s="55">
        <f>Data!Z14</f>
        <v>1</v>
      </c>
      <c r="Y76" s="55">
        <f>Data!AA14</f>
        <v>1</v>
      </c>
      <c r="Z76" s="55">
        <f>Data!AB14</f>
        <v>1</v>
      </c>
      <c r="AA76" s="55">
        <f>Data!AC14</f>
        <v>1</v>
      </c>
      <c r="AB76" s="55">
        <f>Data!AD14</f>
        <v>1</v>
      </c>
      <c r="AC76" s="55">
        <f>Data!AE14</f>
        <v>1</v>
      </c>
      <c r="AD76" s="55">
        <f>Data!AF14</f>
        <v>1</v>
      </c>
      <c r="AE76" s="55">
        <f>Data!AG14</f>
        <v>1</v>
      </c>
      <c r="AF76" s="55">
        <f>Data!AH14</f>
        <v>1</v>
      </c>
      <c r="AG76" s="55">
        <f>Data!AI14</f>
        <v>1</v>
      </c>
      <c r="AH76" s="55">
        <f>Data!AJ14</f>
        <v>1</v>
      </c>
      <c r="AI76" s="55">
        <f>Data!AK14</f>
        <v>1</v>
      </c>
      <c r="AJ76" s="55">
        <f>Data!AL14</f>
        <v>1</v>
      </c>
      <c r="AK76" s="55">
        <f>Data!AM14</f>
        <v>1</v>
      </c>
      <c r="AL76" s="55">
        <f>Data!AN14</f>
        <v>1</v>
      </c>
      <c r="AM76" s="55">
        <f>Data!AO14</f>
        <v>1</v>
      </c>
      <c r="AN76" s="55">
        <f>Data!AP14</f>
        <v>1</v>
      </c>
      <c r="AO76" s="55">
        <f>Data!AQ14</f>
        <v>1</v>
      </c>
      <c r="AP76" s="55">
        <f>Data!AR14</f>
        <v>1</v>
      </c>
      <c r="AQ76" s="55">
        <f>Data!AS14</f>
        <v>1</v>
      </c>
      <c r="AR76" s="55">
        <f>Data!AT14</f>
        <v>1</v>
      </c>
      <c r="AS76" s="55">
        <f>Data!AU14</f>
        <v>1</v>
      </c>
      <c r="AT76" s="55">
        <f>Data!AV14</f>
        <v>1</v>
      </c>
      <c r="AU76" s="55">
        <f>Data!AW14</f>
        <v>1</v>
      </c>
      <c r="AV76" s="55">
        <f>Data!AX14</f>
        <v>1</v>
      </c>
      <c r="AW76" s="55">
        <f>Data!AY14</f>
        <v>1</v>
      </c>
      <c r="AX76" s="55">
        <f>Data!AZ14</f>
        <v>1</v>
      </c>
      <c r="AY76" s="55">
        <f>Data!BA14</f>
        <v>1</v>
      </c>
      <c r="AZ76" s="55">
        <f>Data!BB14</f>
        <v>1</v>
      </c>
      <c r="BA76" s="55">
        <f>Data!BC14</f>
        <v>1</v>
      </c>
      <c r="BB76" s="55">
        <f>Data!BD14</f>
        <v>1</v>
      </c>
      <c r="BC76" s="55">
        <f>Data!BE14</f>
        <v>1</v>
      </c>
      <c r="BD76" s="55">
        <f>Data!BF14</f>
        <v>1</v>
      </c>
      <c r="BE76" s="55">
        <f>Data!BG14</f>
        <v>1</v>
      </c>
      <c r="BF76" s="55">
        <f>Data!BH14</f>
        <v>1</v>
      </c>
      <c r="BG76" s="55">
        <f>Data!BI14</f>
        <v>1</v>
      </c>
      <c r="BH76" s="55">
        <f>Data!BJ14</f>
        <v>1</v>
      </c>
      <c r="BI76" s="55">
        <f>Data!BK14</f>
        <v>1</v>
      </c>
      <c r="BJ76" s="55">
        <f>Data!BL14</f>
        <v>1</v>
      </c>
      <c r="BK76" s="55">
        <f>Data!BM14</f>
        <v>1</v>
      </c>
      <c r="BL76" s="55">
        <f>Data!BN14</f>
        <v>1</v>
      </c>
      <c r="BM76" s="55">
        <f>Data!BO14</f>
        <v>1</v>
      </c>
      <c r="BN76" s="55">
        <f>Data!BP14</f>
        <v>1</v>
      </c>
      <c r="BO76" s="55">
        <f>Data!BQ14</f>
        <v>1</v>
      </c>
      <c r="BP76" s="55">
        <f>Data!BR14</f>
        <v>1</v>
      </c>
      <c r="BQ76" s="55">
        <f>Data!BS14</f>
        <v>1</v>
      </c>
      <c r="BR76" s="55">
        <f>Data!BT14</f>
        <v>1</v>
      </c>
      <c r="BS76" s="55">
        <f>Data!BU14</f>
        <v>1</v>
      </c>
      <c r="BT76" s="55">
        <f>Data!BV14</f>
        <v>1</v>
      </c>
      <c r="BU76" s="55">
        <f>Data!BW14</f>
        <v>1</v>
      </c>
      <c r="BV76" s="55">
        <f>Data!BX14</f>
        <v>1</v>
      </c>
      <c r="BW76" s="55">
        <f>Data!BY14</f>
        <v>1</v>
      </c>
      <c r="BX76" s="55">
        <f>Data!BZ14</f>
        <v>1</v>
      </c>
      <c r="BY76" s="55">
        <f>Data!CA14</f>
        <v>1</v>
      </c>
      <c r="BZ76" s="55">
        <f>Data!CB14</f>
        <v>1</v>
      </c>
      <c r="CA76" s="55">
        <f>Data!CC14</f>
        <v>1</v>
      </c>
      <c r="CB76" s="55">
        <f>Data!CD14</f>
        <v>1</v>
      </c>
      <c r="CC76" s="55">
        <f>Data!CE14</f>
        <v>1</v>
      </c>
      <c r="CD76" s="55">
        <f>Data!CF14</f>
        <v>1</v>
      </c>
      <c r="CE76" s="55">
        <f>Data!CG14</f>
        <v>1</v>
      </c>
      <c r="CF76" s="55">
        <f>Data!CH14</f>
        <v>1</v>
      </c>
      <c r="CG76" s="55">
        <f>Data!CI14</f>
        <v>1</v>
      </c>
      <c r="CH76" s="55">
        <f>Data!CJ14</f>
        <v>1</v>
      </c>
      <c r="CI76" s="55">
        <f>Data!CK14</f>
        <v>1</v>
      </c>
      <c r="CJ76" s="55">
        <f>Data!CL14</f>
        <v>1</v>
      </c>
      <c r="CK76" s="55">
        <f>Data!CM14</f>
        <v>1</v>
      </c>
      <c r="CL76" s="55">
        <f>Data!CN14</f>
        <v>1</v>
      </c>
      <c r="CM76" s="55">
        <f>Data!CO14</f>
        <v>1</v>
      </c>
      <c r="CN76" s="55">
        <f>Data!CP14</f>
        <v>1</v>
      </c>
      <c r="CO76" s="55">
        <f>Data!CQ14</f>
        <v>1</v>
      </c>
      <c r="CP76" s="55">
        <f>Data!CR14</f>
        <v>1</v>
      </c>
      <c r="CQ76" s="55">
        <f>Data!CS14</f>
        <v>1</v>
      </c>
      <c r="CR76" s="55">
        <f>Data!CT14</f>
        <v>1</v>
      </c>
      <c r="CS76" s="55">
        <f>Data!CU14</f>
        <v>1</v>
      </c>
      <c r="CT76" s="55">
        <f>Data!CV14</f>
        <v>1</v>
      </c>
      <c r="CU76" s="55">
        <f>Data!CW14</f>
        <v>1</v>
      </c>
      <c r="CV76" s="55">
        <f>Data!CX14</f>
        <v>1</v>
      </c>
      <c r="CW76" s="55">
        <f>Data!CY14</f>
        <v>1</v>
      </c>
      <c r="CX76" s="55">
        <f>Data!CZ14</f>
        <v>1</v>
      </c>
      <c r="CY76" s="55">
        <f>Data!DA14</f>
        <v>1</v>
      </c>
      <c r="CZ76" s="55">
        <f>Data!DB14</f>
        <v>1</v>
      </c>
      <c r="DA76" s="55">
        <f>Data!DC14</f>
        <v>1</v>
      </c>
      <c r="DB76" s="55">
        <f>Data!DD14</f>
        <v>1</v>
      </c>
      <c r="DC76" s="55">
        <f>Data!DE14</f>
        <v>1</v>
      </c>
      <c r="DD76" s="55">
        <f>Data!DF14</f>
        <v>1</v>
      </c>
      <c r="DE76" s="55">
        <f>Data!DG14</f>
        <v>1</v>
      </c>
      <c r="DF76" s="55">
        <f>Data!DH14</f>
        <v>1</v>
      </c>
      <c r="DG76" s="55">
        <f>Data!DI14</f>
        <v>1</v>
      </c>
      <c r="DH76" s="55">
        <f>Data!DJ14</f>
        <v>1</v>
      </c>
      <c r="DI76" s="55">
        <f>Data!DK14</f>
        <v>1</v>
      </c>
      <c r="DJ76" s="55">
        <f>Data!DL14</f>
        <v>1</v>
      </c>
      <c r="DK76" s="55">
        <f>Data!DM14</f>
        <v>1</v>
      </c>
      <c r="DL76" s="55">
        <f>Data!DN14</f>
        <v>1</v>
      </c>
      <c r="DM76" s="55">
        <f>Data!DO14</f>
        <v>1</v>
      </c>
      <c r="DN76" s="55">
        <f>Data!DP14</f>
        <v>1</v>
      </c>
      <c r="DO76" s="55">
        <f>Data!DQ14</f>
        <v>1</v>
      </c>
      <c r="DP76" s="55">
        <f>Data!DR14</f>
        <v>1</v>
      </c>
      <c r="DQ76" s="55">
        <f>Data!DS14</f>
        <v>1</v>
      </c>
      <c r="DR76" s="55">
        <f>Data!DT14</f>
        <v>1</v>
      </c>
      <c r="DS76" s="55">
        <f>Data!DU14</f>
        <v>1</v>
      </c>
      <c r="DT76" s="55">
        <f>Data!DV14</f>
        <v>1</v>
      </c>
      <c r="DU76" s="418">
        <f>Data!DW14</f>
        <v>1</v>
      </c>
      <c r="DV76" s="690"/>
    </row>
    <row r="77" spans="2:147" x14ac:dyDescent="0.3">
      <c r="B77" s="613" t="str">
        <f>Data!D15</f>
        <v>- Process</v>
      </c>
      <c r="C77" s="570"/>
      <c r="D77" s="390"/>
      <c r="E77" s="1374">
        <f>Data!G15</f>
        <v>3.3299999999999996</v>
      </c>
      <c r="F77" s="55">
        <f>Data!H15</f>
        <v>3.3299999999999996</v>
      </c>
      <c r="G77" s="55">
        <f>Data!I15</f>
        <v>3.3299999999999996</v>
      </c>
      <c r="H77" s="55">
        <f>Data!J15</f>
        <v>3.3299999999999996</v>
      </c>
      <c r="I77" s="55">
        <f>Data!K15</f>
        <v>2.6639999999999997</v>
      </c>
      <c r="J77" s="55">
        <f>Data!L15</f>
        <v>2.6639999999999997</v>
      </c>
      <c r="K77" s="55">
        <f>Data!M15</f>
        <v>2.6639999999999997</v>
      </c>
      <c r="L77" s="55">
        <f>Data!N15</f>
        <v>2.6639999999999997</v>
      </c>
      <c r="M77" s="55">
        <f>Data!O15</f>
        <v>2.6639999999999997</v>
      </c>
      <c r="N77" s="55">
        <f>Data!P15</f>
        <v>2.6639999999999997</v>
      </c>
      <c r="O77" s="55">
        <f>Data!Q15</f>
        <v>2.6639999999999997</v>
      </c>
      <c r="P77" s="55">
        <f>Data!R15</f>
        <v>2.6639999999999997</v>
      </c>
      <c r="Q77" s="55">
        <f>Data!S15</f>
        <v>2.6639999999999997</v>
      </c>
      <c r="R77" s="55">
        <f>Data!T15</f>
        <v>2.6639999999999997</v>
      </c>
      <c r="S77" s="55">
        <f>Data!U15</f>
        <v>2.6639999999999997</v>
      </c>
      <c r="T77" s="55">
        <f>Data!V15</f>
        <v>2.6639999999999997</v>
      </c>
      <c r="U77" s="55">
        <f>Data!W15</f>
        <v>2.6639999999999997</v>
      </c>
      <c r="V77" s="55">
        <f>Data!X15</f>
        <v>2.6639999999999997</v>
      </c>
      <c r="W77" s="55">
        <f>Data!Y15</f>
        <v>2.6639999999999997</v>
      </c>
      <c r="X77" s="55">
        <f>Data!Z15</f>
        <v>2.6639999999999997</v>
      </c>
      <c r="Y77" s="55">
        <f>Data!AA15</f>
        <v>2.6639999999999997</v>
      </c>
      <c r="Z77" s="55">
        <f>Data!AB15</f>
        <v>2.6639999999999997</v>
      </c>
      <c r="AA77" s="55">
        <f>Data!AC15</f>
        <v>2.6639999999999997</v>
      </c>
      <c r="AB77" s="55">
        <f>Data!AD15</f>
        <v>2.6639999999999997</v>
      </c>
      <c r="AC77" s="55">
        <f>Data!AE15</f>
        <v>2.6639999999999997</v>
      </c>
      <c r="AD77" s="55">
        <f>Data!AF15</f>
        <v>2.6639999999999997</v>
      </c>
      <c r="AE77" s="55">
        <f>Data!AG15</f>
        <v>2.6639999999999997</v>
      </c>
      <c r="AF77" s="55">
        <f>Data!AH15</f>
        <v>2.6639999999999997</v>
      </c>
      <c r="AG77" s="55">
        <f>Data!AI15</f>
        <v>2.6639999999999997</v>
      </c>
      <c r="AH77" s="55">
        <f>Data!AJ15</f>
        <v>2.6639999999999997</v>
      </c>
      <c r="AI77" s="55">
        <f>Data!AK15</f>
        <v>2.6639999999999997</v>
      </c>
      <c r="AJ77" s="55">
        <f>Data!AL15</f>
        <v>2.6639999999999997</v>
      </c>
      <c r="AK77" s="55">
        <f>Data!AM15</f>
        <v>2.6639999999999997</v>
      </c>
      <c r="AL77" s="55">
        <f>Data!AN15</f>
        <v>2.6639999999999997</v>
      </c>
      <c r="AM77" s="55">
        <f>Data!AO15</f>
        <v>2.6639999999999997</v>
      </c>
      <c r="AN77" s="55">
        <f>Data!AP15</f>
        <v>2.6639999999999997</v>
      </c>
      <c r="AO77" s="55">
        <f>Data!AQ15</f>
        <v>2.6639999999999997</v>
      </c>
      <c r="AP77" s="55">
        <f>Data!AR15</f>
        <v>2.6639999999999997</v>
      </c>
      <c r="AQ77" s="55">
        <f>Data!AS15</f>
        <v>2.6639999999999997</v>
      </c>
      <c r="AR77" s="55">
        <f>Data!AT15</f>
        <v>2.6639999999999997</v>
      </c>
      <c r="AS77" s="55">
        <f>Data!AU15</f>
        <v>2.6639999999999997</v>
      </c>
      <c r="AT77" s="55">
        <f>Data!AV15</f>
        <v>2.6639999999999997</v>
      </c>
      <c r="AU77" s="55">
        <f>Data!AW15</f>
        <v>2.6639999999999997</v>
      </c>
      <c r="AV77" s="55">
        <f>Data!AX15</f>
        <v>2.6639999999999997</v>
      </c>
      <c r="AW77" s="55">
        <f>Data!AY15</f>
        <v>2.6639999999999997</v>
      </c>
      <c r="AX77" s="55">
        <f>Data!AZ15</f>
        <v>2.6639999999999997</v>
      </c>
      <c r="AY77" s="55">
        <f>Data!BA15</f>
        <v>2.6639999999999997</v>
      </c>
      <c r="AZ77" s="55">
        <f>Data!BB15</f>
        <v>2.6639999999999997</v>
      </c>
      <c r="BA77" s="55">
        <f>Data!BC15</f>
        <v>2.6639999999999997</v>
      </c>
      <c r="BB77" s="55">
        <f>Data!BD15</f>
        <v>2.6639999999999997</v>
      </c>
      <c r="BC77" s="55">
        <f>Data!BE15</f>
        <v>2.6639999999999997</v>
      </c>
      <c r="BD77" s="55">
        <f>Data!BF15</f>
        <v>2.6639999999999997</v>
      </c>
      <c r="BE77" s="55">
        <f>Data!BG15</f>
        <v>2.6639999999999997</v>
      </c>
      <c r="BF77" s="55">
        <f>Data!BH15</f>
        <v>2.6639999999999997</v>
      </c>
      <c r="BG77" s="55">
        <f>Data!BI15</f>
        <v>2.6639999999999997</v>
      </c>
      <c r="BH77" s="55">
        <f>Data!BJ15</f>
        <v>2.6639999999999997</v>
      </c>
      <c r="BI77" s="55">
        <f>Data!BK15</f>
        <v>2.6639999999999997</v>
      </c>
      <c r="BJ77" s="55">
        <f>Data!BL15</f>
        <v>2.6639999999999997</v>
      </c>
      <c r="BK77" s="55">
        <f>Data!BM15</f>
        <v>2.6639999999999997</v>
      </c>
      <c r="BL77" s="55">
        <f>Data!BN15</f>
        <v>2.6639999999999997</v>
      </c>
      <c r="BM77" s="55">
        <f>Data!BO15</f>
        <v>2.6639999999999997</v>
      </c>
      <c r="BN77" s="55">
        <f>Data!BP15</f>
        <v>2.6639999999999997</v>
      </c>
      <c r="BO77" s="55">
        <f>Data!BQ15</f>
        <v>2.6639999999999997</v>
      </c>
      <c r="BP77" s="55">
        <f>Data!BR15</f>
        <v>2.6639999999999997</v>
      </c>
      <c r="BQ77" s="55">
        <f>Data!BS15</f>
        <v>2.6639999999999997</v>
      </c>
      <c r="BR77" s="55">
        <f>Data!BT15</f>
        <v>2.6639999999999997</v>
      </c>
      <c r="BS77" s="55">
        <f>Data!BU15</f>
        <v>2.6639999999999997</v>
      </c>
      <c r="BT77" s="55">
        <f>Data!BV15</f>
        <v>2.6639999999999997</v>
      </c>
      <c r="BU77" s="55">
        <f>Data!BW15</f>
        <v>2.6639999999999997</v>
      </c>
      <c r="BV77" s="55">
        <f>Data!BX15</f>
        <v>2.6639999999999997</v>
      </c>
      <c r="BW77" s="55">
        <f>Data!BY15</f>
        <v>2.6639999999999997</v>
      </c>
      <c r="BX77" s="55">
        <f>Data!BZ15</f>
        <v>2.6639999999999997</v>
      </c>
      <c r="BY77" s="55">
        <f>Data!CA15</f>
        <v>2.6639999999999997</v>
      </c>
      <c r="BZ77" s="55">
        <f>Data!CB15</f>
        <v>2.6639999999999997</v>
      </c>
      <c r="CA77" s="55">
        <f>Data!CC15</f>
        <v>2.6639999999999997</v>
      </c>
      <c r="CB77" s="55">
        <f>Data!CD15</f>
        <v>2.6639999999999997</v>
      </c>
      <c r="CC77" s="55">
        <f>Data!CE15</f>
        <v>2.6639999999999997</v>
      </c>
      <c r="CD77" s="55">
        <f>Data!CF15</f>
        <v>2.6639999999999997</v>
      </c>
      <c r="CE77" s="55">
        <f>Data!CG15</f>
        <v>2.6639999999999997</v>
      </c>
      <c r="CF77" s="55">
        <f>Data!CH15</f>
        <v>2.6639999999999997</v>
      </c>
      <c r="CG77" s="55">
        <f>Data!CI15</f>
        <v>2.6639999999999997</v>
      </c>
      <c r="CH77" s="55">
        <f>Data!CJ15</f>
        <v>2.6639999999999997</v>
      </c>
      <c r="CI77" s="55">
        <f>Data!CK15</f>
        <v>2.6639999999999997</v>
      </c>
      <c r="CJ77" s="55">
        <f>Data!CL15</f>
        <v>2.6639999999999997</v>
      </c>
      <c r="CK77" s="55">
        <f>Data!CM15</f>
        <v>2.6639999999999997</v>
      </c>
      <c r="CL77" s="55">
        <f>Data!CN15</f>
        <v>2.6639999999999997</v>
      </c>
      <c r="CM77" s="55">
        <f>Data!CO15</f>
        <v>2.6639999999999997</v>
      </c>
      <c r="CN77" s="55">
        <f>Data!CP15</f>
        <v>2.6639999999999997</v>
      </c>
      <c r="CO77" s="55">
        <f>Data!CQ15</f>
        <v>2.6639999999999997</v>
      </c>
      <c r="CP77" s="55">
        <f>Data!CR15</f>
        <v>2.6639999999999997</v>
      </c>
      <c r="CQ77" s="55">
        <f>Data!CS15</f>
        <v>2.6639999999999997</v>
      </c>
      <c r="CR77" s="55">
        <f>Data!CT15</f>
        <v>2.6639999999999997</v>
      </c>
      <c r="CS77" s="55">
        <f>Data!CU15</f>
        <v>2.6639999999999997</v>
      </c>
      <c r="CT77" s="55">
        <f>Data!CV15</f>
        <v>2.6639999999999997</v>
      </c>
      <c r="CU77" s="55">
        <f>Data!CW15</f>
        <v>2.6639999999999997</v>
      </c>
      <c r="CV77" s="55">
        <f>Data!CX15</f>
        <v>2.6639999999999997</v>
      </c>
      <c r="CW77" s="55">
        <f>Data!CY15</f>
        <v>2.6639999999999997</v>
      </c>
      <c r="CX77" s="55">
        <f>Data!CZ15</f>
        <v>2.6639999999999997</v>
      </c>
      <c r="CY77" s="55">
        <f>Data!DA15</f>
        <v>2.6639999999999997</v>
      </c>
      <c r="CZ77" s="55">
        <f>Data!DB15</f>
        <v>2.6639999999999997</v>
      </c>
      <c r="DA77" s="55">
        <f>Data!DC15</f>
        <v>2.6639999999999997</v>
      </c>
      <c r="DB77" s="55">
        <f>Data!DD15</f>
        <v>2.6639999999999997</v>
      </c>
      <c r="DC77" s="55">
        <f>Data!DE15</f>
        <v>2.6639999999999997</v>
      </c>
      <c r="DD77" s="55">
        <f>Data!DF15</f>
        <v>2.6639999999999997</v>
      </c>
      <c r="DE77" s="55">
        <f>Data!DG15</f>
        <v>2.6639999999999997</v>
      </c>
      <c r="DF77" s="55">
        <f>Data!DH15</f>
        <v>2.6639999999999997</v>
      </c>
      <c r="DG77" s="55">
        <f>Data!DI15</f>
        <v>2.6639999999999997</v>
      </c>
      <c r="DH77" s="55">
        <f>Data!DJ15</f>
        <v>2.6639999999999997</v>
      </c>
      <c r="DI77" s="55">
        <f>Data!DK15</f>
        <v>2.6639999999999997</v>
      </c>
      <c r="DJ77" s="55">
        <f>Data!DL15</f>
        <v>2.6639999999999997</v>
      </c>
      <c r="DK77" s="55">
        <f>Data!DM15</f>
        <v>2.6639999999999997</v>
      </c>
      <c r="DL77" s="55">
        <f>Data!DN15</f>
        <v>2.6639999999999997</v>
      </c>
      <c r="DM77" s="55">
        <f>Data!DO15</f>
        <v>2.6639999999999997</v>
      </c>
      <c r="DN77" s="55">
        <f>Data!DP15</f>
        <v>2.6639999999999997</v>
      </c>
      <c r="DO77" s="55">
        <f>Data!DQ15</f>
        <v>2.6639999999999997</v>
      </c>
      <c r="DP77" s="55">
        <f>Data!DR15</f>
        <v>2.6639999999999997</v>
      </c>
      <c r="DQ77" s="55">
        <f>Data!DS15</f>
        <v>2.6639999999999997</v>
      </c>
      <c r="DR77" s="55">
        <f>Data!DT15</f>
        <v>2.6639999999999997</v>
      </c>
      <c r="DS77" s="55">
        <f>Data!DU15</f>
        <v>2.6639999999999997</v>
      </c>
      <c r="DT77" s="55">
        <f>Data!DV15</f>
        <v>2.6639999999999997</v>
      </c>
      <c r="DU77" s="418">
        <f>Data!DW15</f>
        <v>2.6639999999999997</v>
      </c>
      <c r="DV77" s="690"/>
    </row>
    <row r="78" spans="2:147" x14ac:dyDescent="0.3">
      <c r="B78" s="613" t="str">
        <f>Data!D16</f>
        <v>- OJT</v>
      </c>
      <c r="C78" s="570"/>
      <c r="D78" s="390"/>
      <c r="E78" s="54">
        <f>Data!G16</f>
        <v>0</v>
      </c>
      <c r="F78" s="55">
        <f>Data!H16</f>
        <v>0</v>
      </c>
      <c r="G78" s="55">
        <f>Data!I16</f>
        <v>0</v>
      </c>
      <c r="H78" s="55">
        <f>Data!J16</f>
        <v>0</v>
      </c>
      <c r="I78" s="55">
        <f>Data!K16</f>
        <v>0</v>
      </c>
      <c r="J78" s="55">
        <f>Data!L16</f>
        <v>0</v>
      </c>
      <c r="K78" s="55">
        <f>Data!M16</f>
        <v>0</v>
      </c>
      <c r="L78" s="55">
        <f>Data!N16</f>
        <v>0</v>
      </c>
      <c r="M78" s="55">
        <f>Data!O16</f>
        <v>0</v>
      </c>
      <c r="N78" s="55">
        <f>Data!P16</f>
        <v>0</v>
      </c>
      <c r="O78" s="55">
        <f>Data!Q16</f>
        <v>0</v>
      </c>
      <c r="P78" s="55">
        <f>Data!R16</f>
        <v>0</v>
      </c>
      <c r="Q78" s="55">
        <f>Data!S16</f>
        <v>0</v>
      </c>
      <c r="R78" s="55">
        <f>Data!T16</f>
        <v>0</v>
      </c>
      <c r="S78" s="55">
        <f>Data!U16</f>
        <v>0</v>
      </c>
      <c r="T78" s="55">
        <f>Data!V16</f>
        <v>0</v>
      </c>
      <c r="U78" s="55">
        <f>Data!W16</f>
        <v>0</v>
      </c>
      <c r="V78" s="55">
        <f>Data!X16</f>
        <v>0</v>
      </c>
      <c r="W78" s="55">
        <f>Data!Y16</f>
        <v>0</v>
      </c>
      <c r="X78" s="55">
        <f>Data!Z16</f>
        <v>0</v>
      </c>
      <c r="Y78" s="55">
        <f>Data!AA16</f>
        <v>0</v>
      </c>
      <c r="Z78" s="55">
        <f>Data!AB16</f>
        <v>0</v>
      </c>
      <c r="AA78" s="55">
        <f>Data!AC16</f>
        <v>0</v>
      </c>
      <c r="AB78" s="55">
        <f>Data!AD16</f>
        <v>0</v>
      </c>
      <c r="AC78" s="55">
        <f>Data!AE16</f>
        <v>0</v>
      </c>
      <c r="AD78" s="55">
        <f>Data!AF16</f>
        <v>0</v>
      </c>
      <c r="AE78" s="55">
        <f>Data!AG16</f>
        <v>0</v>
      </c>
      <c r="AF78" s="55">
        <f>Data!AH16</f>
        <v>0</v>
      </c>
      <c r="AG78" s="55">
        <f>Data!AI16</f>
        <v>0</v>
      </c>
      <c r="AH78" s="55">
        <f>Data!AJ16</f>
        <v>0</v>
      </c>
      <c r="AI78" s="55">
        <f>Data!AK16</f>
        <v>0</v>
      </c>
      <c r="AJ78" s="55">
        <f>Data!AL16</f>
        <v>0</v>
      </c>
      <c r="AK78" s="55">
        <f>Data!AM16</f>
        <v>0</v>
      </c>
      <c r="AL78" s="55">
        <f>Data!AN16</f>
        <v>0</v>
      </c>
      <c r="AM78" s="55">
        <f>Data!AO16</f>
        <v>0</v>
      </c>
      <c r="AN78" s="55">
        <f>Data!AP16</f>
        <v>0</v>
      </c>
      <c r="AO78" s="55">
        <f>Data!AQ16</f>
        <v>0</v>
      </c>
      <c r="AP78" s="55">
        <f>Data!AR16</f>
        <v>0</v>
      </c>
      <c r="AQ78" s="55">
        <f>Data!AS16</f>
        <v>0</v>
      </c>
      <c r="AR78" s="55">
        <f>Data!AT16</f>
        <v>0</v>
      </c>
      <c r="AS78" s="55">
        <f>Data!AU16</f>
        <v>0</v>
      </c>
      <c r="AT78" s="55">
        <f>Data!AV16</f>
        <v>0</v>
      </c>
      <c r="AU78" s="55">
        <f>Data!AW16</f>
        <v>0</v>
      </c>
      <c r="AV78" s="55">
        <f>Data!AX16</f>
        <v>0</v>
      </c>
      <c r="AW78" s="55">
        <f>Data!AY16</f>
        <v>0</v>
      </c>
      <c r="AX78" s="55">
        <f>Data!AZ16</f>
        <v>0</v>
      </c>
      <c r="AY78" s="55">
        <f>Data!BA16</f>
        <v>0</v>
      </c>
      <c r="AZ78" s="55">
        <f>Data!BB16</f>
        <v>0</v>
      </c>
      <c r="BA78" s="55">
        <f>Data!BC16</f>
        <v>0</v>
      </c>
      <c r="BB78" s="55">
        <f>Data!BD16</f>
        <v>0</v>
      </c>
      <c r="BC78" s="55">
        <f>Data!BE16</f>
        <v>0</v>
      </c>
      <c r="BD78" s="55">
        <f>Data!BF16</f>
        <v>0</v>
      </c>
      <c r="BE78" s="55">
        <f>Data!BG16</f>
        <v>0</v>
      </c>
      <c r="BF78" s="55">
        <f>Data!BH16</f>
        <v>0</v>
      </c>
      <c r="BG78" s="55">
        <f>Data!BI16</f>
        <v>0</v>
      </c>
      <c r="BH78" s="55">
        <f>Data!BJ16</f>
        <v>0</v>
      </c>
      <c r="BI78" s="55">
        <f>Data!BK16</f>
        <v>0</v>
      </c>
      <c r="BJ78" s="55">
        <f>Data!BL16</f>
        <v>0</v>
      </c>
      <c r="BK78" s="55">
        <f>Data!BM16</f>
        <v>0</v>
      </c>
      <c r="BL78" s="55">
        <f>Data!BN16</f>
        <v>0</v>
      </c>
      <c r="BM78" s="55">
        <f>Data!BO16</f>
        <v>0</v>
      </c>
      <c r="BN78" s="55">
        <f>Data!BP16</f>
        <v>0</v>
      </c>
      <c r="BO78" s="55">
        <f>Data!BQ16</f>
        <v>0</v>
      </c>
      <c r="BP78" s="55">
        <f>Data!BR16</f>
        <v>0</v>
      </c>
      <c r="BQ78" s="55">
        <f>Data!BS16</f>
        <v>0</v>
      </c>
      <c r="BR78" s="55">
        <f>Data!BT16</f>
        <v>0</v>
      </c>
      <c r="BS78" s="55">
        <f>Data!BU16</f>
        <v>0</v>
      </c>
      <c r="BT78" s="55">
        <f>Data!BV16</f>
        <v>0</v>
      </c>
      <c r="BU78" s="55">
        <f>Data!BW16</f>
        <v>0</v>
      </c>
      <c r="BV78" s="55">
        <f>Data!BX16</f>
        <v>0</v>
      </c>
      <c r="BW78" s="55">
        <f>Data!BY16</f>
        <v>0</v>
      </c>
      <c r="BX78" s="55">
        <f>Data!BZ16</f>
        <v>0</v>
      </c>
      <c r="BY78" s="55">
        <f>Data!CA16</f>
        <v>0</v>
      </c>
      <c r="BZ78" s="55">
        <f>Data!CB16</f>
        <v>0</v>
      </c>
      <c r="CA78" s="55">
        <f>Data!CC16</f>
        <v>0</v>
      </c>
      <c r="CB78" s="55">
        <f>Data!CD16</f>
        <v>0</v>
      </c>
      <c r="CC78" s="55">
        <f>Data!CE16</f>
        <v>0</v>
      </c>
      <c r="CD78" s="55">
        <f>Data!CF16</f>
        <v>0</v>
      </c>
      <c r="CE78" s="55">
        <f>Data!CG16</f>
        <v>0</v>
      </c>
      <c r="CF78" s="55">
        <f>Data!CH16</f>
        <v>0</v>
      </c>
      <c r="CG78" s="55">
        <f>Data!CI16</f>
        <v>0</v>
      </c>
      <c r="CH78" s="55">
        <f>Data!CJ16</f>
        <v>0</v>
      </c>
      <c r="CI78" s="55">
        <f>Data!CK16</f>
        <v>0</v>
      </c>
      <c r="CJ78" s="55">
        <f>Data!CL16</f>
        <v>0</v>
      </c>
      <c r="CK78" s="55">
        <f>Data!CM16</f>
        <v>0</v>
      </c>
      <c r="CL78" s="55">
        <f>Data!CN16</f>
        <v>0</v>
      </c>
      <c r="CM78" s="55">
        <f>Data!CO16</f>
        <v>0</v>
      </c>
      <c r="CN78" s="55">
        <f>Data!CP16</f>
        <v>0</v>
      </c>
      <c r="CO78" s="55">
        <f>Data!CQ16</f>
        <v>0</v>
      </c>
      <c r="CP78" s="55">
        <f>Data!CR16</f>
        <v>0</v>
      </c>
      <c r="CQ78" s="55">
        <f>Data!CS16</f>
        <v>0</v>
      </c>
      <c r="CR78" s="55">
        <f>Data!CT16</f>
        <v>0</v>
      </c>
      <c r="CS78" s="55">
        <f>Data!CU16</f>
        <v>0</v>
      </c>
      <c r="CT78" s="55">
        <f>Data!CV16</f>
        <v>0</v>
      </c>
      <c r="CU78" s="55">
        <f>Data!CW16</f>
        <v>0</v>
      </c>
      <c r="CV78" s="55">
        <f>Data!CX16</f>
        <v>0</v>
      </c>
      <c r="CW78" s="55">
        <f>Data!CY16</f>
        <v>0</v>
      </c>
      <c r="CX78" s="55">
        <f>Data!CZ16</f>
        <v>0</v>
      </c>
      <c r="CY78" s="55">
        <f>Data!DA16</f>
        <v>0</v>
      </c>
      <c r="CZ78" s="55">
        <f>Data!DB16</f>
        <v>0</v>
      </c>
      <c r="DA78" s="55">
        <f>Data!DC16</f>
        <v>0</v>
      </c>
      <c r="DB78" s="55">
        <f>Data!DD16</f>
        <v>0</v>
      </c>
      <c r="DC78" s="55">
        <f>Data!DE16</f>
        <v>0</v>
      </c>
      <c r="DD78" s="55">
        <f>Data!DF16</f>
        <v>0</v>
      </c>
      <c r="DE78" s="55">
        <f>Data!DG16</f>
        <v>0</v>
      </c>
      <c r="DF78" s="55">
        <f>Data!DH16</f>
        <v>0</v>
      </c>
      <c r="DG78" s="55">
        <f>Data!DI16</f>
        <v>0</v>
      </c>
      <c r="DH78" s="55">
        <f>Data!DJ16</f>
        <v>0</v>
      </c>
      <c r="DI78" s="55">
        <f>Data!DK16</f>
        <v>0</v>
      </c>
      <c r="DJ78" s="55">
        <f>Data!DL16</f>
        <v>0</v>
      </c>
      <c r="DK78" s="55">
        <f>Data!DM16</f>
        <v>0</v>
      </c>
      <c r="DL78" s="55">
        <f>Data!DN16</f>
        <v>0</v>
      </c>
      <c r="DM78" s="55">
        <f>Data!DO16</f>
        <v>0</v>
      </c>
      <c r="DN78" s="55">
        <f>Data!DP16</f>
        <v>0</v>
      </c>
      <c r="DO78" s="55">
        <f>Data!DQ16</f>
        <v>0</v>
      </c>
      <c r="DP78" s="55">
        <f>Data!DR16</f>
        <v>0</v>
      </c>
      <c r="DQ78" s="55">
        <f>Data!DS16</f>
        <v>0</v>
      </c>
      <c r="DR78" s="55">
        <f>Data!DT16</f>
        <v>0</v>
      </c>
      <c r="DS78" s="55">
        <f>Data!DU16</f>
        <v>0</v>
      </c>
      <c r="DT78" s="55">
        <f>Data!DV16</f>
        <v>0</v>
      </c>
      <c r="DU78" s="418">
        <f>Data!DW16</f>
        <v>0</v>
      </c>
      <c r="DV78" s="690"/>
    </row>
    <row r="79" spans="2:147" x14ac:dyDescent="0.3">
      <c r="B79" s="615" t="str">
        <f>Data!D17</f>
        <v>Overall Training Yield</v>
      </c>
      <c r="C79" s="571"/>
      <c r="D79" s="391"/>
      <c r="E79" s="56">
        <f>Data!G17</f>
        <v>0.9</v>
      </c>
      <c r="F79" s="57">
        <f>Data!H17</f>
        <v>0.9</v>
      </c>
      <c r="G79" s="57">
        <f>Data!I17</f>
        <v>0.9</v>
      </c>
      <c r="H79" s="57">
        <f>Data!J17</f>
        <v>0.9</v>
      </c>
      <c r="I79" s="57">
        <f>Data!K17</f>
        <v>0.9</v>
      </c>
      <c r="J79" s="57">
        <f>Data!L17</f>
        <v>0.9</v>
      </c>
      <c r="K79" s="57">
        <f>Data!M17</f>
        <v>0.9</v>
      </c>
      <c r="L79" s="57">
        <f>Data!N17</f>
        <v>0.9</v>
      </c>
      <c r="M79" s="57">
        <f>Data!O17</f>
        <v>0.9</v>
      </c>
      <c r="N79" s="57">
        <f>Data!P17</f>
        <v>0.9</v>
      </c>
      <c r="O79" s="57">
        <f>Data!Q17</f>
        <v>0.9</v>
      </c>
      <c r="P79" s="57">
        <f>Data!R17</f>
        <v>0.9</v>
      </c>
      <c r="Q79" s="57">
        <f>Data!S17</f>
        <v>0.9</v>
      </c>
      <c r="R79" s="57">
        <f>Data!T17</f>
        <v>0.9</v>
      </c>
      <c r="S79" s="57">
        <f>Data!U17</f>
        <v>0.9</v>
      </c>
      <c r="T79" s="57">
        <f>Data!V17</f>
        <v>0.9</v>
      </c>
      <c r="U79" s="57">
        <f>Data!W17</f>
        <v>0.9</v>
      </c>
      <c r="V79" s="57">
        <f>Data!X17</f>
        <v>0.9</v>
      </c>
      <c r="W79" s="57">
        <f>Data!Y17</f>
        <v>0.9</v>
      </c>
      <c r="X79" s="57">
        <f>Data!Z17</f>
        <v>0.9</v>
      </c>
      <c r="Y79" s="57">
        <f>Data!AA17</f>
        <v>0.9</v>
      </c>
      <c r="Z79" s="57">
        <f>Data!AB17</f>
        <v>0.9</v>
      </c>
      <c r="AA79" s="57">
        <f>Data!AC17</f>
        <v>0.9</v>
      </c>
      <c r="AB79" s="57">
        <f>Data!AD17</f>
        <v>0.9</v>
      </c>
      <c r="AC79" s="57">
        <f>Data!AE17</f>
        <v>0.9</v>
      </c>
      <c r="AD79" s="57">
        <f>Data!AF17</f>
        <v>0.9</v>
      </c>
      <c r="AE79" s="57">
        <f>Data!AG17</f>
        <v>0.9</v>
      </c>
      <c r="AF79" s="57">
        <f>Data!AH17</f>
        <v>0.9</v>
      </c>
      <c r="AG79" s="57">
        <f>Data!AI17</f>
        <v>0.9</v>
      </c>
      <c r="AH79" s="57">
        <f>Data!AJ17</f>
        <v>0.9</v>
      </c>
      <c r="AI79" s="57">
        <f>Data!AK17</f>
        <v>0.9</v>
      </c>
      <c r="AJ79" s="57">
        <f>Data!AL17</f>
        <v>0.9</v>
      </c>
      <c r="AK79" s="57">
        <f>Data!AM17</f>
        <v>0.9</v>
      </c>
      <c r="AL79" s="57">
        <f>Data!AN17</f>
        <v>0.9</v>
      </c>
      <c r="AM79" s="57">
        <f>Data!AO17</f>
        <v>0.9</v>
      </c>
      <c r="AN79" s="57">
        <f>Data!AP17</f>
        <v>0.9</v>
      </c>
      <c r="AO79" s="57">
        <f>Data!AQ17</f>
        <v>0.9</v>
      </c>
      <c r="AP79" s="57">
        <f>Data!AR17</f>
        <v>0.9</v>
      </c>
      <c r="AQ79" s="57">
        <f>Data!AS17</f>
        <v>0.9</v>
      </c>
      <c r="AR79" s="57">
        <f>Data!AT17</f>
        <v>0.9</v>
      </c>
      <c r="AS79" s="57">
        <f>Data!AU17</f>
        <v>0.9</v>
      </c>
      <c r="AT79" s="57">
        <f>Data!AV17</f>
        <v>0.9</v>
      </c>
      <c r="AU79" s="57">
        <f>Data!AW17</f>
        <v>0.9</v>
      </c>
      <c r="AV79" s="57">
        <f>Data!AX17</f>
        <v>0.9</v>
      </c>
      <c r="AW79" s="57">
        <f>Data!AY17</f>
        <v>0.9</v>
      </c>
      <c r="AX79" s="57">
        <f>Data!AZ17</f>
        <v>0.9</v>
      </c>
      <c r="AY79" s="57">
        <f>Data!BA17</f>
        <v>0.9</v>
      </c>
      <c r="AZ79" s="57">
        <f>Data!BB17</f>
        <v>0.9</v>
      </c>
      <c r="BA79" s="57">
        <f>Data!BC17</f>
        <v>0.9</v>
      </c>
      <c r="BB79" s="57">
        <f>Data!BD17</f>
        <v>0.9</v>
      </c>
      <c r="BC79" s="57">
        <f>Data!BE17</f>
        <v>0.9</v>
      </c>
      <c r="BD79" s="57">
        <f>Data!BF17</f>
        <v>0.9</v>
      </c>
      <c r="BE79" s="57">
        <f>Data!BG17</f>
        <v>0.9</v>
      </c>
      <c r="BF79" s="57">
        <f>Data!BH17</f>
        <v>0.9</v>
      </c>
      <c r="BG79" s="57">
        <f>Data!BI17</f>
        <v>0.9</v>
      </c>
      <c r="BH79" s="57">
        <f>Data!BJ17</f>
        <v>0.9</v>
      </c>
      <c r="BI79" s="57">
        <f>Data!BK17</f>
        <v>0.9</v>
      </c>
      <c r="BJ79" s="57">
        <f>Data!BL17</f>
        <v>0.9</v>
      </c>
      <c r="BK79" s="57">
        <f>Data!BM17</f>
        <v>0.9</v>
      </c>
      <c r="BL79" s="57">
        <f>Data!BN17</f>
        <v>0.9</v>
      </c>
      <c r="BM79" s="57">
        <f>Data!BO17</f>
        <v>0.9</v>
      </c>
      <c r="BN79" s="57">
        <f>Data!BP17</f>
        <v>0.9</v>
      </c>
      <c r="BO79" s="57">
        <f>Data!BQ17</f>
        <v>0.9</v>
      </c>
      <c r="BP79" s="57">
        <f>Data!BR17</f>
        <v>0.9</v>
      </c>
      <c r="BQ79" s="57">
        <f>Data!BS17</f>
        <v>0.9</v>
      </c>
      <c r="BR79" s="57">
        <f>Data!BT17</f>
        <v>0.9</v>
      </c>
      <c r="BS79" s="57">
        <f>Data!BU17</f>
        <v>0.9</v>
      </c>
      <c r="BT79" s="57">
        <f>Data!BV17</f>
        <v>0.9</v>
      </c>
      <c r="BU79" s="57">
        <f>Data!BW17</f>
        <v>0.9</v>
      </c>
      <c r="BV79" s="57">
        <f>Data!BX17</f>
        <v>0.9</v>
      </c>
      <c r="BW79" s="57">
        <f>Data!BY17</f>
        <v>0.9</v>
      </c>
      <c r="BX79" s="57">
        <f>Data!BZ17</f>
        <v>0.9</v>
      </c>
      <c r="BY79" s="57">
        <f>Data!CA17</f>
        <v>0.9</v>
      </c>
      <c r="BZ79" s="57">
        <f>Data!CB17</f>
        <v>0.9</v>
      </c>
      <c r="CA79" s="57">
        <f>Data!CC17</f>
        <v>0.9</v>
      </c>
      <c r="CB79" s="57">
        <f>Data!CD17</f>
        <v>0.9</v>
      </c>
      <c r="CC79" s="57">
        <f>Data!CE17</f>
        <v>0.9</v>
      </c>
      <c r="CD79" s="57">
        <f>Data!CF17</f>
        <v>0.9</v>
      </c>
      <c r="CE79" s="57">
        <f>Data!CG17</f>
        <v>0.9</v>
      </c>
      <c r="CF79" s="57">
        <f>Data!CH17</f>
        <v>0.9</v>
      </c>
      <c r="CG79" s="57">
        <f>Data!CI17</f>
        <v>0.9</v>
      </c>
      <c r="CH79" s="57">
        <f>Data!CJ17</f>
        <v>0.9</v>
      </c>
      <c r="CI79" s="57">
        <f>Data!CK17</f>
        <v>0.9</v>
      </c>
      <c r="CJ79" s="57">
        <f>Data!CL17</f>
        <v>0.9</v>
      </c>
      <c r="CK79" s="57">
        <f>Data!CM17</f>
        <v>0.9</v>
      </c>
      <c r="CL79" s="57">
        <f>Data!CN17</f>
        <v>0.9</v>
      </c>
      <c r="CM79" s="57">
        <f>Data!CO17</f>
        <v>0.9</v>
      </c>
      <c r="CN79" s="57">
        <f>Data!CP17</f>
        <v>0.9</v>
      </c>
      <c r="CO79" s="57">
        <f>Data!CQ17</f>
        <v>0.9</v>
      </c>
      <c r="CP79" s="57">
        <f>Data!CR17</f>
        <v>0.9</v>
      </c>
      <c r="CQ79" s="57">
        <f>Data!CS17</f>
        <v>0.9</v>
      </c>
      <c r="CR79" s="57">
        <f>Data!CT17</f>
        <v>0.9</v>
      </c>
      <c r="CS79" s="57">
        <f>Data!CU17</f>
        <v>0.9</v>
      </c>
      <c r="CT79" s="57">
        <f>Data!CV17</f>
        <v>0.9</v>
      </c>
      <c r="CU79" s="57">
        <f>Data!CW17</f>
        <v>0.9</v>
      </c>
      <c r="CV79" s="57">
        <f>Data!CX17</f>
        <v>0.9</v>
      </c>
      <c r="CW79" s="57">
        <f>Data!CY17</f>
        <v>0.9</v>
      </c>
      <c r="CX79" s="57">
        <f>Data!CZ17</f>
        <v>0.9</v>
      </c>
      <c r="CY79" s="57">
        <f>Data!DA17</f>
        <v>0.9</v>
      </c>
      <c r="CZ79" s="57">
        <f>Data!DB17</f>
        <v>0.9</v>
      </c>
      <c r="DA79" s="57">
        <f>Data!DC17</f>
        <v>0.9</v>
      </c>
      <c r="DB79" s="57">
        <f>Data!DD17</f>
        <v>0.9</v>
      </c>
      <c r="DC79" s="57">
        <f>Data!DE17</f>
        <v>0.9</v>
      </c>
      <c r="DD79" s="57">
        <f>Data!DF17</f>
        <v>0.9</v>
      </c>
      <c r="DE79" s="57">
        <f>Data!DG17</f>
        <v>0.9</v>
      </c>
      <c r="DF79" s="57">
        <f>Data!DH17</f>
        <v>0.9</v>
      </c>
      <c r="DG79" s="57">
        <f>Data!DI17</f>
        <v>0.9</v>
      </c>
      <c r="DH79" s="57">
        <f>Data!DJ17</f>
        <v>0.9</v>
      </c>
      <c r="DI79" s="57">
        <f>Data!DK17</f>
        <v>0.9</v>
      </c>
      <c r="DJ79" s="57">
        <f>Data!DL17</f>
        <v>0.9</v>
      </c>
      <c r="DK79" s="57">
        <f>Data!DM17</f>
        <v>0.9</v>
      </c>
      <c r="DL79" s="57">
        <f>Data!DN17</f>
        <v>0.9</v>
      </c>
      <c r="DM79" s="57">
        <f>Data!DO17</f>
        <v>0.9</v>
      </c>
      <c r="DN79" s="57">
        <f>Data!DP17</f>
        <v>0.9</v>
      </c>
      <c r="DO79" s="57">
        <f>Data!DQ17</f>
        <v>0.9</v>
      </c>
      <c r="DP79" s="57">
        <f>Data!DR17</f>
        <v>0.9</v>
      </c>
      <c r="DQ79" s="57">
        <f>Data!DS17</f>
        <v>0.9</v>
      </c>
      <c r="DR79" s="57">
        <f>Data!DT17</f>
        <v>0.9</v>
      </c>
      <c r="DS79" s="57">
        <f>Data!DU17</f>
        <v>0.9</v>
      </c>
      <c r="DT79" s="57">
        <f>Data!DV17</f>
        <v>0.9</v>
      </c>
      <c r="DU79" s="419">
        <f>Data!DW17</f>
        <v>0.9</v>
      </c>
      <c r="DV79" s="691"/>
    </row>
    <row r="80" spans="2:147" x14ac:dyDescent="0.3">
      <c r="B80" s="613" t="str">
        <f>Data!D18</f>
        <v>- Preprocess</v>
      </c>
      <c r="C80" s="572"/>
      <c r="D80" s="392"/>
      <c r="E80" s="58">
        <f>Data!G18</f>
        <v>1</v>
      </c>
      <c r="F80" s="59">
        <f>Data!H18</f>
        <v>1</v>
      </c>
      <c r="G80" s="59">
        <f>Data!I18</f>
        <v>1</v>
      </c>
      <c r="H80" s="59">
        <f>Data!J18</f>
        <v>1</v>
      </c>
      <c r="I80" s="59">
        <f>Data!K18</f>
        <v>1</v>
      </c>
      <c r="J80" s="59">
        <f>Data!L18</f>
        <v>1</v>
      </c>
      <c r="K80" s="59">
        <f>Data!M18</f>
        <v>1</v>
      </c>
      <c r="L80" s="59">
        <f>Data!N18</f>
        <v>1</v>
      </c>
      <c r="M80" s="59">
        <f>Data!O18</f>
        <v>1</v>
      </c>
      <c r="N80" s="59">
        <f>Data!P18</f>
        <v>1</v>
      </c>
      <c r="O80" s="59">
        <f>Data!Q18</f>
        <v>1</v>
      </c>
      <c r="P80" s="59">
        <f>Data!R18</f>
        <v>1</v>
      </c>
      <c r="Q80" s="59">
        <f>Data!S18</f>
        <v>1</v>
      </c>
      <c r="R80" s="59">
        <f>Data!T18</f>
        <v>1</v>
      </c>
      <c r="S80" s="59">
        <f>Data!U18</f>
        <v>1</v>
      </c>
      <c r="T80" s="59">
        <f>Data!V18</f>
        <v>1</v>
      </c>
      <c r="U80" s="59">
        <f>Data!W18</f>
        <v>1</v>
      </c>
      <c r="V80" s="59">
        <f>Data!X18</f>
        <v>1</v>
      </c>
      <c r="W80" s="59">
        <f>Data!Y18</f>
        <v>1</v>
      </c>
      <c r="X80" s="59">
        <f>Data!Z18</f>
        <v>1</v>
      </c>
      <c r="Y80" s="59">
        <f>Data!AA18</f>
        <v>1</v>
      </c>
      <c r="Z80" s="59">
        <f>Data!AB18</f>
        <v>1</v>
      </c>
      <c r="AA80" s="59">
        <f>Data!AC18</f>
        <v>1</v>
      </c>
      <c r="AB80" s="59">
        <f>Data!AD18</f>
        <v>1</v>
      </c>
      <c r="AC80" s="59">
        <f>Data!AE18</f>
        <v>1</v>
      </c>
      <c r="AD80" s="59">
        <f>Data!AF18</f>
        <v>1</v>
      </c>
      <c r="AE80" s="59">
        <f>Data!AG18</f>
        <v>1</v>
      </c>
      <c r="AF80" s="59">
        <f>Data!AH18</f>
        <v>1</v>
      </c>
      <c r="AG80" s="59">
        <f>Data!AI18</f>
        <v>1</v>
      </c>
      <c r="AH80" s="59">
        <f>Data!AJ18</f>
        <v>1</v>
      </c>
      <c r="AI80" s="59">
        <f>Data!AK18</f>
        <v>1</v>
      </c>
      <c r="AJ80" s="59">
        <f>Data!AL18</f>
        <v>1</v>
      </c>
      <c r="AK80" s="59">
        <f>Data!AM18</f>
        <v>1</v>
      </c>
      <c r="AL80" s="59">
        <f>Data!AN18</f>
        <v>1</v>
      </c>
      <c r="AM80" s="59">
        <f>Data!AO18</f>
        <v>1</v>
      </c>
      <c r="AN80" s="59">
        <f>Data!AP18</f>
        <v>1</v>
      </c>
      <c r="AO80" s="59">
        <f>Data!AQ18</f>
        <v>1</v>
      </c>
      <c r="AP80" s="59">
        <f>Data!AR18</f>
        <v>1</v>
      </c>
      <c r="AQ80" s="59">
        <f>Data!AS18</f>
        <v>1</v>
      </c>
      <c r="AR80" s="59">
        <f>Data!AT18</f>
        <v>1</v>
      </c>
      <c r="AS80" s="59">
        <f>Data!AU18</f>
        <v>1</v>
      </c>
      <c r="AT80" s="59">
        <f>Data!AV18</f>
        <v>1</v>
      </c>
      <c r="AU80" s="59">
        <f>Data!AW18</f>
        <v>1</v>
      </c>
      <c r="AV80" s="59">
        <f>Data!AX18</f>
        <v>1</v>
      </c>
      <c r="AW80" s="59">
        <f>Data!AY18</f>
        <v>1</v>
      </c>
      <c r="AX80" s="59">
        <f>Data!AZ18</f>
        <v>1</v>
      </c>
      <c r="AY80" s="59">
        <f>Data!BA18</f>
        <v>1</v>
      </c>
      <c r="AZ80" s="59">
        <f>Data!BB18</f>
        <v>1</v>
      </c>
      <c r="BA80" s="59">
        <f>Data!BC18</f>
        <v>1</v>
      </c>
      <c r="BB80" s="59">
        <f>Data!BD18</f>
        <v>1</v>
      </c>
      <c r="BC80" s="59">
        <f>Data!BE18</f>
        <v>1</v>
      </c>
      <c r="BD80" s="59">
        <f>Data!BF18</f>
        <v>1</v>
      </c>
      <c r="BE80" s="59">
        <f>Data!BG18</f>
        <v>1</v>
      </c>
      <c r="BF80" s="59">
        <f>Data!BH18</f>
        <v>1</v>
      </c>
      <c r="BG80" s="59">
        <f>Data!BI18</f>
        <v>1</v>
      </c>
      <c r="BH80" s="59">
        <f>Data!BJ18</f>
        <v>1</v>
      </c>
      <c r="BI80" s="59">
        <f>Data!BK18</f>
        <v>1</v>
      </c>
      <c r="BJ80" s="59">
        <f>Data!BL18</f>
        <v>1</v>
      </c>
      <c r="BK80" s="59">
        <f>Data!BM18</f>
        <v>1</v>
      </c>
      <c r="BL80" s="59">
        <f>Data!BN18</f>
        <v>1</v>
      </c>
      <c r="BM80" s="59">
        <f>Data!BO18</f>
        <v>1</v>
      </c>
      <c r="BN80" s="59">
        <f>Data!BP18</f>
        <v>1</v>
      </c>
      <c r="BO80" s="59">
        <f>Data!BQ18</f>
        <v>1</v>
      </c>
      <c r="BP80" s="59">
        <f>Data!BR18</f>
        <v>1</v>
      </c>
      <c r="BQ80" s="59">
        <f>Data!BS18</f>
        <v>1</v>
      </c>
      <c r="BR80" s="59">
        <f>Data!BT18</f>
        <v>1</v>
      </c>
      <c r="BS80" s="59">
        <f>Data!BU18</f>
        <v>1</v>
      </c>
      <c r="BT80" s="59">
        <f>Data!BV18</f>
        <v>1</v>
      </c>
      <c r="BU80" s="59">
        <f>Data!BW18</f>
        <v>1</v>
      </c>
      <c r="BV80" s="59">
        <f>Data!BX18</f>
        <v>1</v>
      </c>
      <c r="BW80" s="59">
        <f>Data!BY18</f>
        <v>1</v>
      </c>
      <c r="BX80" s="59">
        <f>Data!BZ18</f>
        <v>1</v>
      </c>
      <c r="BY80" s="59">
        <f>Data!CA18</f>
        <v>1</v>
      </c>
      <c r="BZ80" s="59">
        <f>Data!CB18</f>
        <v>1</v>
      </c>
      <c r="CA80" s="59">
        <f>Data!CC18</f>
        <v>1</v>
      </c>
      <c r="CB80" s="59">
        <f>Data!CD18</f>
        <v>1</v>
      </c>
      <c r="CC80" s="59">
        <f>Data!CE18</f>
        <v>1</v>
      </c>
      <c r="CD80" s="59">
        <f>Data!CF18</f>
        <v>1</v>
      </c>
      <c r="CE80" s="59">
        <f>Data!CG18</f>
        <v>1</v>
      </c>
      <c r="CF80" s="59">
        <f>Data!CH18</f>
        <v>1</v>
      </c>
      <c r="CG80" s="59">
        <f>Data!CI18</f>
        <v>1</v>
      </c>
      <c r="CH80" s="59">
        <f>Data!CJ18</f>
        <v>1</v>
      </c>
      <c r="CI80" s="59">
        <f>Data!CK18</f>
        <v>1</v>
      </c>
      <c r="CJ80" s="59">
        <f>Data!CL18</f>
        <v>1</v>
      </c>
      <c r="CK80" s="59">
        <f>Data!CM18</f>
        <v>1</v>
      </c>
      <c r="CL80" s="59">
        <f>Data!CN18</f>
        <v>1</v>
      </c>
      <c r="CM80" s="59">
        <f>Data!CO18</f>
        <v>1</v>
      </c>
      <c r="CN80" s="59">
        <f>Data!CP18</f>
        <v>1</v>
      </c>
      <c r="CO80" s="59">
        <f>Data!CQ18</f>
        <v>1</v>
      </c>
      <c r="CP80" s="59">
        <f>Data!CR18</f>
        <v>1</v>
      </c>
      <c r="CQ80" s="59">
        <f>Data!CS18</f>
        <v>1</v>
      </c>
      <c r="CR80" s="59">
        <f>Data!CT18</f>
        <v>1</v>
      </c>
      <c r="CS80" s="59">
        <f>Data!CU18</f>
        <v>1</v>
      </c>
      <c r="CT80" s="59">
        <f>Data!CV18</f>
        <v>1</v>
      </c>
      <c r="CU80" s="59">
        <f>Data!CW18</f>
        <v>1</v>
      </c>
      <c r="CV80" s="59">
        <f>Data!CX18</f>
        <v>1</v>
      </c>
      <c r="CW80" s="59">
        <f>Data!CY18</f>
        <v>1</v>
      </c>
      <c r="CX80" s="59">
        <f>Data!CZ18</f>
        <v>1</v>
      </c>
      <c r="CY80" s="59">
        <f>Data!DA18</f>
        <v>1</v>
      </c>
      <c r="CZ80" s="59">
        <f>Data!DB18</f>
        <v>1</v>
      </c>
      <c r="DA80" s="59">
        <f>Data!DC18</f>
        <v>1</v>
      </c>
      <c r="DB80" s="59">
        <f>Data!DD18</f>
        <v>1</v>
      </c>
      <c r="DC80" s="59">
        <f>Data!DE18</f>
        <v>1</v>
      </c>
      <c r="DD80" s="59">
        <f>Data!DF18</f>
        <v>1</v>
      </c>
      <c r="DE80" s="59">
        <f>Data!DG18</f>
        <v>1</v>
      </c>
      <c r="DF80" s="59">
        <f>Data!DH18</f>
        <v>1</v>
      </c>
      <c r="DG80" s="59">
        <f>Data!DI18</f>
        <v>1</v>
      </c>
      <c r="DH80" s="59">
        <f>Data!DJ18</f>
        <v>1</v>
      </c>
      <c r="DI80" s="59">
        <f>Data!DK18</f>
        <v>1</v>
      </c>
      <c r="DJ80" s="59">
        <f>Data!DL18</f>
        <v>1</v>
      </c>
      <c r="DK80" s="59">
        <f>Data!DM18</f>
        <v>1</v>
      </c>
      <c r="DL80" s="59">
        <f>Data!DN18</f>
        <v>1</v>
      </c>
      <c r="DM80" s="59">
        <f>Data!DO18</f>
        <v>1</v>
      </c>
      <c r="DN80" s="59">
        <f>Data!DP18</f>
        <v>1</v>
      </c>
      <c r="DO80" s="59">
        <f>Data!DQ18</f>
        <v>1</v>
      </c>
      <c r="DP80" s="59">
        <f>Data!DR18</f>
        <v>1</v>
      </c>
      <c r="DQ80" s="59">
        <f>Data!DS18</f>
        <v>1</v>
      </c>
      <c r="DR80" s="59">
        <f>Data!DT18</f>
        <v>1</v>
      </c>
      <c r="DS80" s="59">
        <f>Data!DU18</f>
        <v>1</v>
      </c>
      <c r="DT80" s="59">
        <f>Data!DV18</f>
        <v>1</v>
      </c>
      <c r="DU80" s="420">
        <f>Data!DW18</f>
        <v>1</v>
      </c>
      <c r="DV80" s="692"/>
    </row>
    <row r="81" spans="2:126" x14ac:dyDescent="0.3">
      <c r="B81" s="613" t="str">
        <f>Data!D19</f>
        <v>- Process</v>
      </c>
      <c r="C81" s="572"/>
      <c r="D81" s="392"/>
      <c r="E81" s="58">
        <f>Data!G19</f>
        <v>0.9</v>
      </c>
      <c r="F81" s="59">
        <f>Data!H19</f>
        <v>0.9</v>
      </c>
      <c r="G81" s="59">
        <f>Data!I19</f>
        <v>0.9</v>
      </c>
      <c r="H81" s="59">
        <f>Data!J19</f>
        <v>0.9</v>
      </c>
      <c r="I81" s="59">
        <f>Data!K19</f>
        <v>0.9</v>
      </c>
      <c r="J81" s="59">
        <f>Data!L19</f>
        <v>0.9</v>
      </c>
      <c r="K81" s="59">
        <f>Data!M19</f>
        <v>0.9</v>
      </c>
      <c r="L81" s="59">
        <f>Data!N19</f>
        <v>0.9</v>
      </c>
      <c r="M81" s="59">
        <f>Data!O19</f>
        <v>0.9</v>
      </c>
      <c r="N81" s="59">
        <f>Data!P19</f>
        <v>0.9</v>
      </c>
      <c r="O81" s="59">
        <f>Data!Q19</f>
        <v>0.9</v>
      </c>
      <c r="P81" s="59">
        <f>Data!R19</f>
        <v>0.9</v>
      </c>
      <c r="Q81" s="59">
        <f>Data!S19</f>
        <v>0.9</v>
      </c>
      <c r="R81" s="59">
        <f>Data!T19</f>
        <v>0.9</v>
      </c>
      <c r="S81" s="59">
        <f>Data!U19</f>
        <v>0.9</v>
      </c>
      <c r="T81" s="59">
        <f>Data!V19</f>
        <v>0.9</v>
      </c>
      <c r="U81" s="59">
        <f>Data!W19</f>
        <v>0.9</v>
      </c>
      <c r="V81" s="59">
        <f>Data!X19</f>
        <v>0.9</v>
      </c>
      <c r="W81" s="59">
        <f>Data!Y19</f>
        <v>0.9</v>
      </c>
      <c r="X81" s="59">
        <f>Data!Z19</f>
        <v>0.9</v>
      </c>
      <c r="Y81" s="59">
        <f>Data!AA19</f>
        <v>0.9</v>
      </c>
      <c r="Z81" s="59">
        <f>Data!AB19</f>
        <v>0.9</v>
      </c>
      <c r="AA81" s="59">
        <f>Data!AC19</f>
        <v>0.9</v>
      </c>
      <c r="AB81" s="59">
        <f>Data!AD19</f>
        <v>0.9</v>
      </c>
      <c r="AC81" s="59">
        <f>Data!AE19</f>
        <v>0.9</v>
      </c>
      <c r="AD81" s="59">
        <f>Data!AF19</f>
        <v>0.9</v>
      </c>
      <c r="AE81" s="59">
        <f>Data!AG19</f>
        <v>0.9</v>
      </c>
      <c r="AF81" s="59">
        <f>Data!AH19</f>
        <v>0.9</v>
      </c>
      <c r="AG81" s="59">
        <f>Data!AI19</f>
        <v>0.9</v>
      </c>
      <c r="AH81" s="59">
        <f>Data!AJ19</f>
        <v>0.9</v>
      </c>
      <c r="AI81" s="59">
        <f>Data!AK19</f>
        <v>0.9</v>
      </c>
      <c r="AJ81" s="59">
        <f>Data!AL19</f>
        <v>0.9</v>
      </c>
      <c r="AK81" s="59">
        <f>Data!AM19</f>
        <v>0.9</v>
      </c>
      <c r="AL81" s="59">
        <f>Data!AN19</f>
        <v>0.9</v>
      </c>
      <c r="AM81" s="59">
        <f>Data!AO19</f>
        <v>0.9</v>
      </c>
      <c r="AN81" s="59">
        <f>Data!AP19</f>
        <v>0.9</v>
      </c>
      <c r="AO81" s="59">
        <f>Data!AQ19</f>
        <v>0.9</v>
      </c>
      <c r="AP81" s="59">
        <f>Data!AR19</f>
        <v>0.9</v>
      </c>
      <c r="AQ81" s="59">
        <f>Data!AS19</f>
        <v>0.9</v>
      </c>
      <c r="AR81" s="59">
        <f>Data!AT19</f>
        <v>0.9</v>
      </c>
      <c r="AS81" s="59">
        <f>Data!AU19</f>
        <v>0.9</v>
      </c>
      <c r="AT81" s="59">
        <f>Data!AV19</f>
        <v>0.9</v>
      </c>
      <c r="AU81" s="59">
        <f>Data!AW19</f>
        <v>0.9</v>
      </c>
      <c r="AV81" s="59">
        <f>Data!AX19</f>
        <v>0.9</v>
      </c>
      <c r="AW81" s="59">
        <f>Data!AY19</f>
        <v>0.9</v>
      </c>
      <c r="AX81" s="59">
        <f>Data!AZ19</f>
        <v>0.9</v>
      </c>
      <c r="AY81" s="59">
        <f>Data!BA19</f>
        <v>0.9</v>
      </c>
      <c r="AZ81" s="59">
        <f>Data!BB19</f>
        <v>0.9</v>
      </c>
      <c r="BA81" s="59">
        <f>Data!BC19</f>
        <v>0.9</v>
      </c>
      <c r="BB81" s="59">
        <f>Data!BD19</f>
        <v>0.9</v>
      </c>
      <c r="BC81" s="59">
        <f>Data!BE19</f>
        <v>0.9</v>
      </c>
      <c r="BD81" s="59">
        <f>Data!BF19</f>
        <v>0.9</v>
      </c>
      <c r="BE81" s="59">
        <f>Data!BG19</f>
        <v>0.9</v>
      </c>
      <c r="BF81" s="59">
        <f>Data!BH19</f>
        <v>0.9</v>
      </c>
      <c r="BG81" s="59">
        <f>Data!BI19</f>
        <v>0.9</v>
      </c>
      <c r="BH81" s="59">
        <f>Data!BJ19</f>
        <v>0.9</v>
      </c>
      <c r="BI81" s="59">
        <f>Data!BK19</f>
        <v>0.9</v>
      </c>
      <c r="BJ81" s="59">
        <f>Data!BL19</f>
        <v>0.9</v>
      </c>
      <c r="BK81" s="59">
        <f>Data!BM19</f>
        <v>0.9</v>
      </c>
      <c r="BL81" s="59">
        <f>Data!BN19</f>
        <v>0.9</v>
      </c>
      <c r="BM81" s="59">
        <f>Data!BO19</f>
        <v>0.9</v>
      </c>
      <c r="BN81" s="59">
        <f>Data!BP19</f>
        <v>0.9</v>
      </c>
      <c r="BO81" s="59">
        <f>Data!BQ19</f>
        <v>0.9</v>
      </c>
      <c r="BP81" s="59">
        <f>Data!BR19</f>
        <v>0.9</v>
      </c>
      <c r="BQ81" s="59">
        <f>Data!BS19</f>
        <v>0.9</v>
      </c>
      <c r="BR81" s="59">
        <f>Data!BT19</f>
        <v>0.9</v>
      </c>
      <c r="BS81" s="59">
        <f>Data!BU19</f>
        <v>0.9</v>
      </c>
      <c r="BT81" s="59">
        <f>Data!BV19</f>
        <v>0.9</v>
      </c>
      <c r="BU81" s="59">
        <f>Data!BW19</f>
        <v>0.9</v>
      </c>
      <c r="BV81" s="59">
        <f>Data!BX19</f>
        <v>0.9</v>
      </c>
      <c r="BW81" s="59">
        <f>Data!BY19</f>
        <v>0.9</v>
      </c>
      <c r="BX81" s="59">
        <f>Data!BZ19</f>
        <v>0.9</v>
      </c>
      <c r="BY81" s="59">
        <f>Data!CA19</f>
        <v>0.9</v>
      </c>
      <c r="BZ81" s="59">
        <f>Data!CB19</f>
        <v>0.9</v>
      </c>
      <c r="CA81" s="59">
        <f>Data!CC19</f>
        <v>0.9</v>
      </c>
      <c r="CB81" s="59">
        <f>Data!CD19</f>
        <v>0.9</v>
      </c>
      <c r="CC81" s="59">
        <f>Data!CE19</f>
        <v>0.9</v>
      </c>
      <c r="CD81" s="59">
        <f>Data!CF19</f>
        <v>0.9</v>
      </c>
      <c r="CE81" s="59">
        <f>Data!CG19</f>
        <v>0.9</v>
      </c>
      <c r="CF81" s="59">
        <f>Data!CH19</f>
        <v>0.9</v>
      </c>
      <c r="CG81" s="59">
        <f>Data!CI19</f>
        <v>0.9</v>
      </c>
      <c r="CH81" s="59">
        <f>Data!CJ19</f>
        <v>0.9</v>
      </c>
      <c r="CI81" s="59">
        <f>Data!CK19</f>
        <v>0.9</v>
      </c>
      <c r="CJ81" s="59">
        <f>Data!CL19</f>
        <v>0.9</v>
      </c>
      <c r="CK81" s="59">
        <f>Data!CM19</f>
        <v>0.9</v>
      </c>
      <c r="CL81" s="59">
        <f>Data!CN19</f>
        <v>0.9</v>
      </c>
      <c r="CM81" s="59">
        <f>Data!CO19</f>
        <v>0.9</v>
      </c>
      <c r="CN81" s="59">
        <f>Data!CP19</f>
        <v>0.9</v>
      </c>
      <c r="CO81" s="59">
        <f>Data!CQ19</f>
        <v>0.9</v>
      </c>
      <c r="CP81" s="59">
        <f>Data!CR19</f>
        <v>0.9</v>
      </c>
      <c r="CQ81" s="59">
        <f>Data!CS19</f>
        <v>0.9</v>
      </c>
      <c r="CR81" s="59">
        <f>Data!CT19</f>
        <v>0.9</v>
      </c>
      <c r="CS81" s="59">
        <f>Data!CU19</f>
        <v>0.9</v>
      </c>
      <c r="CT81" s="59">
        <f>Data!CV19</f>
        <v>0.9</v>
      </c>
      <c r="CU81" s="59">
        <f>Data!CW19</f>
        <v>0.9</v>
      </c>
      <c r="CV81" s="59">
        <f>Data!CX19</f>
        <v>0.9</v>
      </c>
      <c r="CW81" s="59">
        <f>Data!CY19</f>
        <v>0.9</v>
      </c>
      <c r="CX81" s="59">
        <f>Data!CZ19</f>
        <v>0.9</v>
      </c>
      <c r="CY81" s="59">
        <f>Data!DA19</f>
        <v>0.9</v>
      </c>
      <c r="CZ81" s="59">
        <f>Data!DB19</f>
        <v>0.9</v>
      </c>
      <c r="DA81" s="59">
        <f>Data!DC19</f>
        <v>0.9</v>
      </c>
      <c r="DB81" s="59">
        <f>Data!DD19</f>
        <v>0.9</v>
      </c>
      <c r="DC81" s="59">
        <f>Data!DE19</f>
        <v>0.9</v>
      </c>
      <c r="DD81" s="59">
        <f>Data!DF19</f>
        <v>0.9</v>
      </c>
      <c r="DE81" s="59">
        <f>Data!DG19</f>
        <v>0.9</v>
      </c>
      <c r="DF81" s="59">
        <f>Data!DH19</f>
        <v>0.9</v>
      </c>
      <c r="DG81" s="59">
        <f>Data!DI19</f>
        <v>0.9</v>
      </c>
      <c r="DH81" s="59">
        <f>Data!DJ19</f>
        <v>0.9</v>
      </c>
      <c r="DI81" s="59">
        <f>Data!DK19</f>
        <v>0.9</v>
      </c>
      <c r="DJ81" s="59">
        <f>Data!DL19</f>
        <v>0.9</v>
      </c>
      <c r="DK81" s="59">
        <f>Data!DM19</f>
        <v>0.9</v>
      </c>
      <c r="DL81" s="59">
        <f>Data!DN19</f>
        <v>0.9</v>
      </c>
      <c r="DM81" s="59">
        <f>Data!DO19</f>
        <v>0.9</v>
      </c>
      <c r="DN81" s="59">
        <f>Data!DP19</f>
        <v>0.9</v>
      </c>
      <c r="DO81" s="59">
        <f>Data!DQ19</f>
        <v>0.9</v>
      </c>
      <c r="DP81" s="59">
        <f>Data!DR19</f>
        <v>0.9</v>
      </c>
      <c r="DQ81" s="59">
        <f>Data!DS19</f>
        <v>0.9</v>
      </c>
      <c r="DR81" s="59">
        <f>Data!DT19</f>
        <v>0.9</v>
      </c>
      <c r="DS81" s="59">
        <f>Data!DU19</f>
        <v>0.9</v>
      </c>
      <c r="DT81" s="59">
        <f>Data!DV19</f>
        <v>0.9</v>
      </c>
      <c r="DU81" s="420">
        <f>Data!DW19</f>
        <v>0.9</v>
      </c>
      <c r="DV81" s="692"/>
    </row>
    <row r="82" spans="2:126" x14ac:dyDescent="0.3">
      <c r="B82" s="616" t="str">
        <f>Data!D20</f>
        <v>- OJT</v>
      </c>
      <c r="C82" s="572"/>
      <c r="D82" s="392"/>
      <c r="E82" s="58">
        <f>Data!G20</f>
        <v>1</v>
      </c>
      <c r="F82" s="59">
        <f>Data!H20</f>
        <v>1</v>
      </c>
      <c r="G82" s="59">
        <f>Data!I20</f>
        <v>1</v>
      </c>
      <c r="H82" s="59">
        <f>Data!J20</f>
        <v>1</v>
      </c>
      <c r="I82" s="59">
        <f>Data!K20</f>
        <v>1</v>
      </c>
      <c r="J82" s="59">
        <f>Data!L20</f>
        <v>1</v>
      </c>
      <c r="K82" s="59">
        <f>Data!M20</f>
        <v>1</v>
      </c>
      <c r="L82" s="59">
        <f>Data!N20</f>
        <v>1</v>
      </c>
      <c r="M82" s="59">
        <f>Data!O20</f>
        <v>1</v>
      </c>
      <c r="N82" s="59">
        <f>Data!P20</f>
        <v>1</v>
      </c>
      <c r="O82" s="59">
        <f>Data!Q20</f>
        <v>1</v>
      </c>
      <c r="P82" s="59">
        <f>Data!R20</f>
        <v>1</v>
      </c>
      <c r="Q82" s="59">
        <f>Data!S20</f>
        <v>1</v>
      </c>
      <c r="R82" s="59">
        <f>Data!T20</f>
        <v>1</v>
      </c>
      <c r="S82" s="59">
        <f>Data!U20</f>
        <v>1</v>
      </c>
      <c r="T82" s="59">
        <f>Data!V20</f>
        <v>1</v>
      </c>
      <c r="U82" s="59">
        <f>Data!W20</f>
        <v>1</v>
      </c>
      <c r="V82" s="59">
        <f>Data!X20</f>
        <v>1</v>
      </c>
      <c r="W82" s="59">
        <f>Data!Y20</f>
        <v>1</v>
      </c>
      <c r="X82" s="59">
        <f>Data!Z20</f>
        <v>1</v>
      </c>
      <c r="Y82" s="59">
        <f>Data!AA20</f>
        <v>1</v>
      </c>
      <c r="Z82" s="59">
        <f>Data!AB20</f>
        <v>1</v>
      </c>
      <c r="AA82" s="59">
        <f>Data!AC20</f>
        <v>1</v>
      </c>
      <c r="AB82" s="59">
        <f>Data!AD20</f>
        <v>1</v>
      </c>
      <c r="AC82" s="59">
        <f>Data!AE20</f>
        <v>1</v>
      </c>
      <c r="AD82" s="59">
        <f>Data!AF20</f>
        <v>1</v>
      </c>
      <c r="AE82" s="59">
        <f>Data!AG20</f>
        <v>1</v>
      </c>
      <c r="AF82" s="59">
        <f>Data!AH20</f>
        <v>1</v>
      </c>
      <c r="AG82" s="59">
        <f>Data!AI20</f>
        <v>1</v>
      </c>
      <c r="AH82" s="59">
        <f>Data!AJ20</f>
        <v>1</v>
      </c>
      <c r="AI82" s="59">
        <f>Data!AK20</f>
        <v>1</v>
      </c>
      <c r="AJ82" s="59">
        <f>Data!AL20</f>
        <v>1</v>
      </c>
      <c r="AK82" s="59">
        <f>Data!AM20</f>
        <v>1</v>
      </c>
      <c r="AL82" s="59">
        <f>Data!AN20</f>
        <v>1</v>
      </c>
      <c r="AM82" s="59">
        <f>Data!AO20</f>
        <v>1</v>
      </c>
      <c r="AN82" s="59">
        <f>Data!AP20</f>
        <v>1</v>
      </c>
      <c r="AO82" s="59">
        <f>Data!AQ20</f>
        <v>1</v>
      </c>
      <c r="AP82" s="59">
        <f>Data!AR20</f>
        <v>1</v>
      </c>
      <c r="AQ82" s="59">
        <f>Data!AS20</f>
        <v>1</v>
      </c>
      <c r="AR82" s="59">
        <f>Data!AT20</f>
        <v>1</v>
      </c>
      <c r="AS82" s="59">
        <f>Data!AU20</f>
        <v>1</v>
      </c>
      <c r="AT82" s="59">
        <f>Data!AV20</f>
        <v>1</v>
      </c>
      <c r="AU82" s="59">
        <f>Data!AW20</f>
        <v>1</v>
      </c>
      <c r="AV82" s="59">
        <f>Data!AX20</f>
        <v>1</v>
      </c>
      <c r="AW82" s="59">
        <f>Data!AY20</f>
        <v>1</v>
      </c>
      <c r="AX82" s="59">
        <f>Data!AZ20</f>
        <v>1</v>
      </c>
      <c r="AY82" s="59">
        <f>Data!BA20</f>
        <v>1</v>
      </c>
      <c r="AZ82" s="59">
        <f>Data!BB20</f>
        <v>1</v>
      </c>
      <c r="BA82" s="59">
        <f>Data!BC20</f>
        <v>1</v>
      </c>
      <c r="BB82" s="59">
        <f>Data!BD20</f>
        <v>1</v>
      </c>
      <c r="BC82" s="59">
        <f>Data!BE20</f>
        <v>1</v>
      </c>
      <c r="BD82" s="59">
        <f>Data!BF20</f>
        <v>1</v>
      </c>
      <c r="BE82" s="59">
        <f>Data!BG20</f>
        <v>1</v>
      </c>
      <c r="BF82" s="59">
        <f>Data!BH20</f>
        <v>1</v>
      </c>
      <c r="BG82" s="59">
        <f>Data!BI20</f>
        <v>1</v>
      </c>
      <c r="BH82" s="59">
        <f>Data!BJ20</f>
        <v>1</v>
      </c>
      <c r="BI82" s="59">
        <f>Data!BK20</f>
        <v>1</v>
      </c>
      <c r="BJ82" s="59">
        <f>Data!BL20</f>
        <v>1</v>
      </c>
      <c r="BK82" s="59">
        <f>Data!BM20</f>
        <v>1</v>
      </c>
      <c r="BL82" s="59">
        <f>Data!BN20</f>
        <v>1</v>
      </c>
      <c r="BM82" s="59">
        <f>Data!BO20</f>
        <v>1</v>
      </c>
      <c r="BN82" s="59">
        <f>Data!BP20</f>
        <v>1</v>
      </c>
      <c r="BO82" s="59">
        <f>Data!BQ20</f>
        <v>1</v>
      </c>
      <c r="BP82" s="59">
        <f>Data!BR20</f>
        <v>1</v>
      </c>
      <c r="BQ82" s="59">
        <f>Data!BS20</f>
        <v>1</v>
      </c>
      <c r="BR82" s="59">
        <f>Data!BT20</f>
        <v>1</v>
      </c>
      <c r="BS82" s="59">
        <f>Data!BU20</f>
        <v>1</v>
      </c>
      <c r="BT82" s="59">
        <f>Data!BV20</f>
        <v>1</v>
      </c>
      <c r="BU82" s="59">
        <f>Data!BW20</f>
        <v>1</v>
      </c>
      <c r="BV82" s="59">
        <f>Data!BX20</f>
        <v>1</v>
      </c>
      <c r="BW82" s="59">
        <f>Data!BY20</f>
        <v>1</v>
      </c>
      <c r="BX82" s="59">
        <f>Data!BZ20</f>
        <v>1</v>
      </c>
      <c r="BY82" s="59">
        <f>Data!CA20</f>
        <v>1</v>
      </c>
      <c r="BZ82" s="59">
        <f>Data!CB20</f>
        <v>1</v>
      </c>
      <c r="CA82" s="59">
        <f>Data!CC20</f>
        <v>1</v>
      </c>
      <c r="CB82" s="59">
        <f>Data!CD20</f>
        <v>1</v>
      </c>
      <c r="CC82" s="59">
        <f>Data!CE20</f>
        <v>1</v>
      </c>
      <c r="CD82" s="59">
        <f>Data!CF20</f>
        <v>1</v>
      </c>
      <c r="CE82" s="59">
        <f>Data!CG20</f>
        <v>1</v>
      </c>
      <c r="CF82" s="59">
        <f>Data!CH20</f>
        <v>1</v>
      </c>
      <c r="CG82" s="59">
        <f>Data!CI20</f>
        <v>1</v>
      </c>
      <c r="CH82" s="59">
        <f>Data!CJ20</f>
        <v>1</v>
      </c>
      <c r="CI82" s="59">
        <f>Data!CK20</f>
        <v>1</v>
      </c>
      <c r="CJ82" s="59">
        <f>Data!CL20</f>
        <v>1</v>
      </c>
      <c r="CK82" s="59">
        <f>Data!CM20</f>
        <v>1</v>
      </c>
      <c r="CL82" s="59">
        <f>Data!CN20</f>
        <v>1</v>
      </c>
      <c r="CM82" s="59">
        <f>Data!CO20</f>
        <v>1</v>
      </c>
      <c r="CN82" s="59">
        <f>Data!CP20</f>
        <v>1</v>
      </c>
      <c r="CO82" s="59">
        <f>Data!CQ20</f>
        <v>1</v>
      </c>
      <c r="CP82" s="59">
        <f>Data!CR20</f>
        <v>1</v>
      </c>
      <c r="CQ82" s="59">
        <f>Data!CS20</f>
        <v>1</v>
      </c>
      <c r="CR82" s="59">
        <f>Data!CT20</f>
        <v>1</v>
      </c>
      <c r="CS82" s="59">
        <f>Data!CU20</f>
        <v>1</v>
      </c>
      <c r="CT82" s="59">
        <f>Data!CV20</f>
        <v>1</v>
      </c>
      <c r="CU82" s="59">
        <f>Data!CW20</f>
        <v>1</v>
      </c>
      <c r="CV82" s="59">
        <f>Data!CX20</f>
        <v>1</v>
      </c>
      <c r="CW82" s="59">
        <f>Data!CY20</f>
        <v>1</v>
      </c>
      <c r="CX82" s="59">
        <f>Data!CZ20</f>
        <v>1</v>
      </c>
      <c r="CY82" s="59">
        <f>Data!DA20</f>
        <v>1</v>
      </c>
      <c r="CZ82" s="59">
        <f>Data!DB20</f>
        <v>1</v>
      </c>
      <c r="DA82" s="59">
        <f>Data!DC20</f>
        <v>1</v>
      </c>
      <c r="DB82" s="59">
        <f>Data!DD20</f>
        <v>1</v>
      </c>
      <c r="DC82" s="59">
        <f>Data!DE20</f>
        <v>1</v>
      </c>
      <c r="DD82" s="59">
        <f>Data!DF20</f>
        <v>1</v>
      </c>
      <c r="DE82" s="59">
        <f>Data!DG20</f>
        <v>1</v>
      </c>
      <c r="DF82" s="59">
        <f>Data!DH20</f>
        <v>1</v>
      </c>
      <c r="DG82" s="59">
        <f>Data!DI20</f>
        <v>1</v>
      </c>
      <c r="DH82" s="59">
        <f>Data!DJ20</f>
        <v>1</v>
      </c>
      <c r="DI82" s="59">
        <f>Data!DK20</f>
        <v>1</v>
      </c>
      <c r="DJ82" s="59">
        <f>Data!DL20</f>
        <v>1</v>
      </c>
      <c r="DK82" s="59">
        <f>Data!DM20</f>
        <v>1</v>
      </c>
      <c r="DL82" s="59">
        <f>Data!DN20</f>
        <v>1</v>
      </c>
      <c r="DM82" s="59">
        <f>Data!DO20</f>
        <v>1</v>
      </c>
      <c r="DN82" s="59">
        <f>Data!DP20</f>
        <v>1</v>
      </c>
      <c r="DO82" s="59">
        <f>Data!DQ20</f>
        <v>1</v>
      </c>
      <c r="DP82" s="59">
        <f>Data!DR20</f>
        <v>1</v>
      </c>
      <c r="DQ82" s="59">
        <f>Data!DS20</f>
        <v>1</v>
      </c>
      <c r="DR82" s="59">
        <f>Data!DT20</f>
        <v>1</v>
      </c>
      <c r="DS82" s="59">
        <f>Data!DU20</f>
        <v>1</v>
      </c>
      <c r="DT82" s="59">
        <f>Data!DV20</f>
        <v>1</v>
      </c>
      <c r="DU82" s="420">
        <f>Data!DW20</f>
        <v>1</v>
      </c>
      <c r="DV82" s="692"/>
    </row>
    <row r="83" spans="2:126" x14ac:dyDescent="0.3">
      <c r="B83" s="614" t="str">
        <f>Data!D21</f>
        <v>Attrition</v>
      </c>
      <c r="C83" s="573"/>
      <c r="D83" s="393"/>
      <c r="E83" s="61">
        <f>Data!G21</f>
        <v>5.5E-2</v>
      </c>
      <c r="F83" s="62">
        <f>Data!H21</f>
        <v>5.5E-2</v>
      </c>
      <c r="G83" s="62">
        <f>Data!I21</f>
        <v>5.5E-2</v>
      </c>
      <c r="H83" s="62">
        <f>Data!J21</f>
        <v>5.5E-2</v>
      </c>
      <c r="I83" s="62">
        <f>Data!K21</f>
        <v>5.5E-2</v>
      </c>
      <c r="J83" s="62">
        <f>Data!L21</f>
        <v>4.4999999999999998E-2</v>
      </c>
      <c r="K83" s="62">
        <f>Data!M21</f>
        <v>4.4999999999999998E-2</v>
      </c>
      <c r="L83" s="62">
        <f>Data!N21</f>
        <v>4.4999999999999998E-2</v>
      </c>
      <c r="M83" s="62">
        <f>Data!O21</f>
        <v>4.4999999999999998E-2</v>
      </c>
      <c r="N83" s="62">
        <f>Data!P21</f>
        <v>4.4999999999999998E-2</v>
      </c>
      <c r="O83" s="62">
        <f>Data!Q21</f>
        <v>4.4999999999999998E-2</v>
      </c>
      <c r="P83" s="62">
        <f>Data!R21</f>
        <v>0.04</v>
      </c>
      <c r="Q83" s="62">
        <f>Data!S21</f>
        <v>0.04</v>
      </c>
      <c r="R83" s="62">
        <f>Data!T21</f>
        <v>0.04</v>
      </c>
      <c r="S83" s="62">
        <f>Data!U21</f>
        <v>0.04</v>
      </c>
      <c r="T83" s="62">
        <f>Data!V21</f>
        <v>0.04</v>
      </c>
      <c r="U83" s="62">
        <f>Data!W21</f>
        <v>0.04</v>
      </c>
      <c r="V83" s="62">
        <f>Data!X21</f>
        <v>0.04</v>
      </c>
      <c r="W83" s="62">
        <f>Data!Y21</f>
        <v>0.04</v>
      </c>
      <c r="X83" s="62">
        <f>Data!Z21</f>
        <v>0.04</v>
      </c>
      <c r="Y83" s="62">
        <f>Data!AA21</f>
        <v>0.04</v>
      </c>
      <c r="Z83" s="62">
        <f>Data!AB21</f>
        <v>0.04</v>
      </c>
      <c r="AA83" s="62">
        <f>Data!AC21</f>
        <v>0.04</v>
      </c>
      <c r="AB83" s="62">
        <f>Data!AD21</f>
        <v>0.04</v>
      </c>
      <c r="AC83" s="62">
        <f>Data!AE21</f>
        <v>0.04</v>
      </c>
      <c r="AD83" s="62">
        <f>Data!AF21</f>
        <v>0.04</v>
      </c>
      <c r="AE83" s="62">
        <f>Data!AG21</f>
        <v>0.04</v>
      </c>
      <c r="AF83" s="62">
        <f>Data!AH21</f>
        <v>0.04</v>
      </c>
      <c r="AG83" s="62">
        <f>Data!AI21</f>
        <v>0.04</v>
      </c>
      <c r="AH83" s="62">
        <f>Data!AJ21</f>
        <v>0.04</v>
      </c>
      <c r="AI83" s="62">
        <f>Data!AK21</f>
        <v>0.04</v>
      </c>
      <c r="AJ83" s="62">
        <f>Data!AL21</f>
        <v>0.04</v>
      </c>
      <c r="AK83" s="62">
        <f>Data!AM21</f>
        <v>0.04</v>
      </c>
      <c r="AL83" s="62">
        <f>Data!AN21</f>
        <v>0.04</v>
      </c>
      <c r="AM83" s="62">
        <f>Data!AO21</f>
        <v>0.04</v>
      </c>
      <c r="AN83" s="62">
        <f>Data!AP21</f>
        <v>0.04</v>
      </c>
      <c r="AO83" s="62">
        <f>Data!AQ21</f>
        <v>0.04</v>
      </c>
      <c r="AP83" s="62">
        <f>Data!AR21</f>
        <v>0.04</v>
      </c>
      <c r="AQ83" s="62">
        <f>Data!AS21</f>
        <v>0.04</v>
      </c>
      <c r="AR83" s="62">
        <f>Data!AT21</f>
        <v>0.04</v>
      </c>
      <c r="AS83" s="62">
        <f>Data!AU21</f>
        <v>0.04</v>
      </c>
      <c r="AT83" s="62">
        <f>Data!AV21</f>
        <v>0.04</v>
      </c>
      <c r="AU83" s="62">
        <f>Data!AW21</f>
        <v>0.04</v>
      </c>
      <c r="AV83" s="62">
        <f>Data!AX21</f>
        <v>0.04</v>
      </c>
      <c r="AW83" s="62">
        <f>Data!AY21</f>
        <v>0.04</v>
      </c>
      <c r="AX83" s="62">
        <f>Data!AZ21</f>
        <v>0.04</v>
      </c>
      <c r="AY83" s="62">
        <f>Data!BA21</f>
        <v>0.04</v>
      </c>
      <c r="AZ83" s="62">
        <f>Data!BB21</f>
        <v>0.04</v>
      </c>
      <c r="BA83" s="62">
        <f>Data!BC21</f>
        <v>0.04</v>
      </c>
      <c r="BB83" s="62">
        <f>Data!BD21</f>
        <v>0.04</v>
      </c>
      <c r="BC83" s="62">
        <f>Data!BE21</f>
        <v>0.04</v>
      </c>
      <c r="BD83" s="62">
        <f>Data!BF21</f>
        <v>0.04</v>
      </c>
      <c r="BE83" s="62">
        <f>Data!BG21</f>
        <v>0.04</v>
      </c>
      <c r="BF83" s="62">
        <f>Data!BH21</f>
        <v>0.04</v>
      </c>
      <c r="BG83" s="62">
        <f>Data!BI21</f>
        <v>0.04</v>
      </c>
      <c r="BH83" s="62">
        <f>Data!BJ21</f>
        <v>0.04</v>
      </c>
      <c r="BI83" s="62">
        <f>Data!BK21</f>
        <v>0.04</v>
      </c>
      <c r="BJ83" s="62">
        <f>Data!BL21</f>
        <v>0.04</v>
      </c>
      <c r="BK83" s="62">
        <f>Data!BM21</f>
        <v>0.04</v>
      </c>
      <c r="BL83" s="62">
        <f>Data!BN21</f>
        <v>0.04</v>
      </c>
      <c r="BM83" s="62">
        <f>Data!BO21</f>
        <v>0.04</v>
      </c>
      <c r="BN83" s="62">
        <f>Data!BP21</f>
        <v>0.04</v>
      </c>
      <c r="BO83" s="62">
        <f>Data!BQ21</f>
        <v>0.04</v>
      </c>
      <c r="BP83" s="62">
        <f>Data!BR21</f>
        <v>0.04</v>
      </c>
      <c r="BQ83" s="62">
        <f>Data!BS21</f>
        <v>0.04</v>
      </c>
      <c r="BR83" s="62">
        <f>Data!BT21</f>
        <v>0.04</v>
      </c>
      <c r="BS83" s="62">
        <f>Data!BU21</f>
        <v>0.04</v>
      </c>
      <c r="BT83" s="62">
        <f>Data!BV21</f>
        <v>0.04</v>
      </c>
      <c r="BU83" s="62">
        <f>Data!BW21</f>
        <v>0.04</v>
      </c>
      <c r="BV83" s="62">
        <f>Data!BX21</f>
        <v>0.04</v>
      </c>
      <c r="BW83" s="62">
        <f>Data!BY21</f>
        <v>0.04</v>
      </c>
      <c r="BX83" s="62">
        <f>Data!BZ21</f>
        <v>0.04</v>
      </c>
      <c r="BY83" s="62">
        <f>Data!CA21</f>
        <v>0.04</v>
      </c>
      <c r="BZ83" s="62">
        <f>Data!CB21</f>
        <v>0.04</v>
      </c>
      <c r="CA83" s="62">
        <f>Data!CC21</f>
        <v>0.04</v>
      </c>
      <c r="CB83" s="62">
        <f>Data!CD21</f>
        <v>0.04</v>
      </c>
      <c r="CC83" s="62">
        <f>Data!CE21</f>
        <v>0.04</v>
      </c>
      <c r="CD83" s="62">
        <f>Data!CF21</f>
        <v>0.04</v>
      </c>
      <c r="CE83" s="62">
        <f>Data!CG21</f>
        <v>0.04</v>
      </c>
      <c r="CF83" s="62">
        <f>Data!CH21</f>
        <v>0.04</v>
      </c>
      <c r="CG83" s="62">
        <f>Data!CI21</f>
        <v>0.04</v>
      </c>
      <c r="CH83" s="62">
        <f>Data!CJ21</f>
        <v>0.04</v>
      </c>
      <c r="CI83" s="62">
        <f>Data!CK21</f>
        <v>0.04</v>
      </c>
      <c r="CJ83" s="62">
        <f>Data!CL21</f>
        <v>0.04</v>
      </c>
      <c r="CK83" s="62">
        <f>Data!CM21</f>
        <v>0.04</v>
      </c>
      <c r="CL83" s="62">
        <f>Data!CN21</f>
        <v>0.04</v>
      </c>
      <c r="CM83" s="62">
        <f>Data!CO21</f>
        <v>0.04</v>
      </c>
      <c r="CN83" s="62">
        <f>Data!CP21</f>
        <v>0.04</v>
      </c>
      <c r="CO83" s="62">
        <f>Data!CQ21</f>
        <v>0.04</v>
      </c>
      <c r="CP83" s="62">
        <f>Data!CR21</f>
        <v>0.04</v>
      </c>
      <c r="CQ83" s="62">
        <f>Data!CS21</f>
        <v>0.04</v>
      </c>
      <c r="CR83" s="62">
        <f>Data!CT21</f>
        <v>0.04</v>
      </c>
      <c r="CS83" s="62">
        <f>Data!CU21</f>
        <v>0.04</v>
      </c>
      <c r="CT83" s="62">
        <f>Data!CV21</f>
        <v>0.04</v>
      </c>
      <c r="CU83" s="62">
        <f>Data!CW21</f>
        <v>0.04</v>
      </c>
      <c r="CV83" s="62">
        <f>Data!CX21</f>
        <v>0.04</v>
      </c>
      <c r="CW83" s="62">
        <f>Data!CY21</f>
        <v>0.04</v>
      </c>
      <c r="CX83" s="62">
        <f>Data!CZ21</f>
        <v>0.04</v>
      </c>
      <c r="CY83" s="62">
        <f>Data!DA21</f>
        <v>0.04</v>
      </c>
      <c r="CZ83" s="62">
        <f>Data!DB21</f>
        <v>0.04</v>
      </c>
      <c r="DA83" s="62">
        <f>Data!DC21</f>
        <v>0.04</v>
      </c>
      <c r="DB83" s="62">
        <f>Data!DD21</f>
        <v>0.04</v>
      </c>
      <c r="DC83" s="62">
        <f>Data!DE21</f>
        <v>0.04</v>
      </c>
      <c r="DD83" s="62">
        <f>Data!DF21</f>
        <v>0.04</v>
      </c>
      <c r="DE83" s="62">
        <f>Data!DG21</f>
        <v>0.04</v>
      </c>
      <c r="DF83" s="62">
        <f>Data!DH21</f>
        <v>0.04</v>
      </c>
      <c r="DG83" s="62">
        <f>Data!DI21</f>
        <v>0.04</v>
      </c>
      <c r="DH83" s="62">
        <f>Data!DJ21</f>
        <v>0.04</v>
      </c>
      <c r="DI83" s="62">
        <f>Data!DK21</f>
        <v>0.04</v>
      </c>
      <c r="DJ83" s="62">
        <f>Data!DL21</f>
        <v>0.04</v>
      </c>
      <c r="DK83" s="62">
        <f>Data!DM21</f>
        <v>0.04</v>
      </c>
      <c r="DL83" s="62">
        <f>Data!DN21</f>
        <v>0.04</v>
      </c>
      <c r="DM83" s="62">
        <f>Data!DO21</f>
        <v>0.04</v>
      </c>
      <c r="DN83" s="62">
        <f>Data!DP21</f>
        <v>0.04</v>
      </c>
      <c r="DO83" s="62">
        <f>Data!DQ21</f>
        <v>0.04</v>
      </c>
      <c r="DP83" s="62">
        <f>Data!DR21</f>
        <v>0.04</v>
      </c>
      <c r="DQ83" s="62">
        <f>Data!DS21</f>
        <v>0.04</v>
      </c>
      <c r="DR83" s="62">
        <f>Data!DT21</f>
        <v>0.04</v>
      </c>
      <c r="DS83" s="62">
        <f>Data!DU21</f>
        <v>0.04</v>
      </c>
      <c r="DT83" s="62">
        <f>Data!DV21</f>
        <v>0.04</v>
      </c>
      <c r="DU83" s="421">
        <f>Data!DW21</f>
        <v>0.04</v>
      </c>
      <c r="DV83" s="693"/>
    </row>
    <row r="85" spans="2:126" x14ac:dyDescent="0.3">
      <c r="B85" s="617" t="s">
        <v>147</v>
      </c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422"/>
      <c r="DV85" s="65"/>
    </row>
    <row r="86" spans="2:126" x14ac:dyDescent="0.3">
      <c r="B86" s="618" t="str">
        <f>Data!D40</f>
        <v>Total Production CSA</v>
      </c>
      <c r="C86" s="574"/>
      <c r="D86" s="394"/>
      <c r="E86" s="66">
        <f>Data!G40</f>
        <v>0</v>
      </c>
      <c r="F86" s="67">
        <f>Data!H40</f>
        <v>60.999999999999993</v>
      </c>
      <c r="G86" s="67">
        <f>Data!I40</f>
        <v>61</v>
      </c>
      <c r="H86" s="67">
        <f>Data!J40</f>
        <v>61</v>
      </c>
      <c r="I86" s="67">
        <f>Data!K40</f>
        <v>61</v>
      </c>
      <c r="J86" s="67">
        <f>Data!L40</f>
        <v>61</v>
      </c>
      <c r="K86" s="67">
        <f>Data!M40</f>
        <v>61</v>
      </c>
      <c r="L86" s="67">
        <f>Data!N40</f>
        <v>61</v>
      </c>
      <c r="M86" s="67">
        <f>Data!O40</f>
        <v>61</v>
      </c>
      <c r="N86" s="67">
        <f>Data!P40</f>
        <v>61</v>
      </c>
      <c r="O86" s="67">
        <f>Data!Q40</f>
        <v>61</v>
      </c>
      <c r="P86" s="67">
        <f>Data!R40</f>
        <v>61</v>
      </c>
      <c r="Q86" s="67">
        <f>Data!S40</f>
        <v>61</v>
      </c>
      <c r="R86" s="67">
        <f>Data!T40</f>
        <v>61</v>
      </c>
      <c r="S86" s="67">
        <f>Data!U40</f>
        <v>61</v>
      </c>
      <c r="T86" s="67">
        <f>Data!V40</f>
        <v>61</v>
      </c>
      <c r="U86" s="67">
        <f>Data!W40</f>
        <v>61</v>
      </c>
      <c r="V86" s="67">
        <f>Data!X40</f>
        <v>61</v>
      </c>
      <c r="W86" s="67">
        <f>Data!Y40</f>
        <v>61</v>
      </c>
      <c r="X86" s="67">
        <f>Data!Z40</f>
        <v>61</v>
      </c>
      <c r="Y86" s="67">
        <f>Data!AA40</f>
        <v>61</v>
      </c>
      <c r="Z86" s="67">
        <f>Data!AB40</f>
        <v>61</v>
      </c>
      <c r="AA86" s="67">
        <f>Data!AC40</f>
        <v>61</v>
      </c>
      <c r="AB86" s="67">
        <f>Data!AD40</f>
        <v>61</v>
      </c>
      <c r="AC86" s="67">
        <f>Data!AE40</f>
        <v>61</v>
      </c>
      <c r="AD86" s="67">
        <f>Data!AF40</f>
        <v>61</v>
      </c>
      <c r="AE86" s="67">
        <f>Data!AG40</f>
        <v>61</v>
      </c>
      <c r="AF86" s="67">
        <f>Data!AH40</f>
        <v>61</v>
      </c>
      <c r="AG86" s="67">
        <f>Data!AI40</f>
        <v>61</v>
      </c>
      <c r="AH86" s="67">
        <f>Data!AJ40</f>
        <v>61</v>
      </c>
      <c r="AI86" s="67">
        <f>Data!AK40</f>
        <v>61</v>
      </c>
      <c r="AJ86" s="67">
        <f>Data!AL40</f>
        <v>61</v>
      </c>
      <c r="AK86" s="67">
        <f>Data!AM40</f>
        <v>61</v>
      </c>
      <c r="AL86" s="67">
        <f>Data!AN40</f>
        <v>61</v>
      </c>
      <c r="AM86" s="67">
        <f>Data!AO40</f>
        <v>61</v>
      </c>
      <c r="AN86" s="67">
        <f>Data!AP40</f>
        <v>61</v>
      </c>
      <c r="AO86" s="67">
        <f>Data!AQ40</f>
        <v>61</v>
      </c>
      <c r="AP86" s="67">
        <f>Data!AR40</f>
        <v>61</v>
      </c>
      <c r="AQ86" s="67">
        <f>Data!AS40</f>
        <v>61</v>
      </c>
      <c r="AR86" s="67">
        <f>Data!AT40</f>
        <v>61</v>
      </c>
      <c r="AS86" s="67">
        <f>Data!AU40</f>
        <v>61</v>
      </c>
      <c r="AT86" s="67">
        <f>Data!AV40</f>
        <v>61</v>
      </c>
      <c r="AU86" s="67">
        <f>Data!AW40</f>
        <v>61</v>
      </c>
      <c r="AV86" s="67">
        <f>Data!AX40</f>
        <v>61</v>
      </c>
      <c r="AW86" s="67">
        <f>Data!AY40</f>
        <v>61</v>
      </c>
      <c r="AX86" s="67">
        <f>Data!AZ40</f>
        <v>61</v>
      </c>
      <c r="AY86" s="67">
        <f>Data!BA40</f>
        <v>61</v>
      </c>
      <c r="AZ86" s="67">
        <f>Data!BB40</f>
        <v>61</v>
      </c>
      <c r="BA86" s="67">
        <f>Data!BC40</f>
        <v>61</v>
      </c>
      <c r="BB86" s="67">
        <f>Data!BD40</f>
        <v>61</v>
      </c>
      <c r="BC86" s="67">
        <f>Data!BE40</f>
        <v>61</v>
      </c>
      <c r="BD86" s="67">
        <f>Data!BF40</f>
        <v>61</v>
      </c>
      <c r="BE86" s="67">
        <f>Data!BG40</f>
        <v>61</v>
      </c>
      <c r="BF86" s="67">
        <f>Data!BH40</f>
        <v>61</v>
      </c>
      <c r="BG86" s="67">
        <f>Data!BI40</f>
        <v>61</v>
      </c>
      <c r="BH86" s="67">
        <f>Data!BJ40</f>
        <v>61</v>
      </c>
      <c r="BI86" s="67">
        <f>Data!BK40</f>
        <v>61</v>
      </c>
      <c r="BJ86" s="67">
        <f>Data!BL40</f>
        <v>61</v>
      </c>
      <c r="BK86" s="67">
        <f>Data!BM40</f>
        <v>61</v>
      </c>
      <c r="BL86" s="67">
        <f>Data!BN40</f>
        <v>61</v>
      </c>
      <c r="BM86" s="67">
        <f>Data!BO40</f>
        <v>61</v>
      </c>
      <c r="BN86" s="67">
        <f>Data!BP40</f>
        <v>61</v>
      </c>
      <c r="BO86" s="67">
        <f>Data!BQ40</f>
        <v>61</v>
      </c>
      <c r="BP86" s="67">
        <f>Data!BR40</f>
        <v>61</v>
      </c>
      <c r="BQ86" s="67">
        <f>Data!BS40</f>
        <v>61</v>
      </c>
      <c r="BR86" s="67">
        <f>Data!BT40</f>
        <v>61</v>
      </c>
      <c r="BS86" s="67">
        <f>Data!BU40</f>
        <v>61</v>
      </c>
      <c r="BT86" s="67">
        <f>Data!BV40</f>
        <v>61</v>
      </c>
      <c r="BU86" s="67">
        <f>Data!BW40</f>
        <v>61</v>
      </c>
      <c r="BV86" s="67">
        <f>Data!BX40</f>
        <v>61</v>
      </c>
      <c r="BW86" s="67">
        <f>Data!BY40</f>
        <v>61</v>
      </c>
      <c r="BX86" s="67">
        <f>Data!BZ40</f>
        <v>61</v>
      </c>
      <c r="BY86" s="67">
        <f>Data!CA40</f>
        <v>61</v>
      </c>
      <c r="BZ86" s="67">
        <f>Data!CB40</f>
        <v>61</v>
      </c>
      <c r="CA86" s="67">
        <f>Data!CC40</f>
        <v>61</v>
      </c>
      <c r="CB86" s="67">
        <f>Data!CD40</f>
        <v>61</v>
      </c>
      <c r="CC86" s="67">
        <f>Data!CE40</f>
        <v>61</v>
      </c>
      <c r="CD86" s="67">
        <f>Data!CF40</f>
        <v>61</v>
      </c>
      <c r="CE86" s="67">
        <f>Data!CG40</f>
        <v>61</v>
      </c>
      <c r="CF86" s="67">
        <f>Data!CH40</f>
        <v>61</v>
      </c>
      <c r="CG86" s="67">
        <f>Data!CI40</f>
        <v>61</v>
      </c>
      <c r="CH86" s="67">
        <f>Data!CJ40</f>
        <v>61</v>
      </c>
      <c r="CI86" s="67">
        <f>Data!CK40</f>
        <v>61</v>
      </c>
      <c r="CJ86" s="67">
        <f>Data!CL40</f>
        <v>61</v>
      </c>
      <c r="CK86" s="67">
        <f>Data!CM40</f>
        <v>61</v>
      </c>
      <c r="CL86" s="67">
        <f>Data!CN40</f>
        <v>61</v>
      </c>
      <c r="CM86" s="67">
        <f>Data!CO40</f>
        <v>61</v>
      </c>
      <c r="CN86" s="67">
        <f>Data!CP40</f>
        <v>61</v>
      </c>
      <c r="CO86" s="67">
        <f>Data!CQ40</f>
        <v>61</v>
      </c>
      <c r="CP86" s="67">
        <f>Data!CR40</f>
        <v>61</v>
      </c>
      <c r="CQ86" s="67">
        <f>Data!CS40</f>
        <v>61</v>
      </c>
      <c r="CR86" s="67">
        <f>Data!CT40</f>
        <v>61</v>
      </c>
      <c r="CS86" s="67">
        <f>Data!CU40</f>
        <v>61</v>
      </c>
      <c r="CT86" s="67">
        <f>Data!CV40</f>
        <v>61</v>
      </c>
      <c r="CU86" s="67">
        <f>Data!CW40</f>
        <v>61</v>
      </c>
      <c r="CV86" s="67">
        <f>Data!CX40</f>
        <v>61</v>
      </c>
      <c r="CW86" s="67">
        <f>Data!CY40</f>
        <v>61</v>
      </c>
      <c r="CX86" s="67">
        <f>Data!CZ40</f>
        <v>61</v>
      </c>
      <c r="CY86" s="67">
        <f>Data!DA40</f>
        <v>61</v>
      </c>
      <c r="CZ86" s="67">
        <f>Data!DB40</f>
        <v>61</v>
      </c>
      <c r="DA86" s="67">
        <f>Data!DC40</f>
        <v>61</v>
      </c>
      <c r="DB86" s="67">
        <f>Data!DD40</f>
        <v>61</v>
      </c>
      <c r="DC86" s="67">
        <f>Data!DE40</f>
        <v>61</v>
      </c>
      <c r="DD86" s="67">
        <f>Data!DF40</f>
        <v>61</v>
      </c>
      <c r="DE86" s="67">
        <f>Data!DG40</f>
        <v>61</v>
      </c>
      <c r="DF86" s="67">
        <f>Data!DH40</f>
        <v>61</v>
      </c>
      <c r="DG86" s="67">
        <f>Data!DI40</f>
        <v>61</v>
      </c>
      <c r="DH86" s="67">
        <f>Data!DJ40</f>
        <v>61</v>
      </c>
      <c r="DI86" s="67">
        <f>Data!DK40</f>
        <v>61</v>
      </c>
      <c r="DJ86" s="67">
        <f>Data!DL40</f>
        <v>61</v>
      </c>
      <c r="DK86" s="67">
        <f>Data!DM40</f>
        <v>61</v>
      </c>
      <c r="DL86" s="67">
        <f>Data!DN40</f>
        <v>61</v>
      </c>
      <c r="DM86" s="67">
        <f>Data!DO40</f>
        <v>61</v>
      </c>
      <c r="DN86" s="67">
        <f>Data!DP40</f>
        <v>61</v>
      </c>
      <c r="DO86" s="67">
        <f>Data!DQ40</f>
        <v>61</v>
      </c>
      <c r="DP86" s="67">
        <f>Data!DR40</f>
        <v>61</v>
      </c>
      <c r="DQ86" s="67">
        <f>Data!DS40</f>
        <v>61</v>
      </c>
      <c r="DR86" s="67">
        <f>Data!DT40</f>
        <v>61</v>
      </c>
      <c r="DS86" s="67">
        <f>Data!DU40</f>
        <v>61</v>
      </c>
      <c r="DT86" s="67">
        <f>Data!DV40</f>
        <v>61</v>
      </c>
      <c r="DU86" s="423">
        <f>Data!DW40</f>
        <v>61</v>
      </c>
      <c r="DV86" s="694"/>
    </row>
    <row r="87" spans="2:126" x14ac:dyDescent="0.3">
      <c r="B87" s="619" t="str">
        <f>Data!D41</f>
        <v>Month 3 Training</v>
      </c>
      <c r="C87" s="575"/>
      <c r="D87" s="395"/>
      <c r="E87" s="66">
        <f>Data!G41</f>
        <v>0</v>
      </c>
      <c r="F87" s="67">
        <f>Data!H41</f>
        <v>0</v>
      </c>
      <c r="G87" s="67">
        <f>Data!I41</f>
        <v>0</v>
      </c>
      <c r="H87" s="67">
        <f>Data!J41</f>
        <v>0</v>
      </c>
      <c r="I87" s="67">
        <f>Data!K41</f>
        <v>0</v>
      </c>
      <c r="J87" s="67">
        <f>Data!L41</f>
        <v>0</v>
      </c>
      <c r="K87" s="67">
        <f>Data!M41</f>
        <v>0</v>
      </c>
      <c r="L87" s="67">
        <f>Data!N41</f>
        <v>0</v>
      </c>
      <c r="M87" s="67">
        <f>Data!O41</f>
        <v>0</v>
      </c>
      <c r="N87" s="67">
        <f>Data!P41</f>
        <v>0</v>
      </c>
      <c r="O87" s="67">
        <f>Data!Q41</f>
        <v>0</v>
      </c>
      <c r="P87" s="67">
        <f>Data!R41</f>
        <v>0</v>
      </c>
      <c r="Q87" s="67">
        <f>Data!S41</f>
        <v>0</v>
      </c>
      <c r="R87" s="67">
        <f>Data!T41</f>
        <v>0</v>
      </c>
      <c r="S87" s="67">
        <f>Data!U41</f>
        <v>0</v>
      </c>
      <c r="T87" s="67">
        <f>Data!V41</f>
        <v>0</v>
      </c>
      <c r="U87" s="67">
        <f>Data!W41</f>
        <v>0</v>
      </c>
      <c r="V87" s="67">
        <f>Data!X41</f>
        <v>0</v>
      </c>
      <c r="W87" s="67">
        <f>Data!Y41</f>
        <v>0</v>
      </c>
      <c r="X87" s="67">
        <f>Data!Z41</f>
        <v>0</v>
      </c>
      <c r="Y87" s="67">
        <f>Data!AA41</f>
        <v>0</v>
      </c>
      <c r="Z87" s="67">
        <f>Data!AB41</f>
        <v>0</v>
      </c>
      <c r="AA87" s="67">
        <f>Data!AC41</f>
        <v>0</v>
      </c>
      <c r="AB87" s="67">
        <f>Data!AD41</f>
        <v>0</v>
      </c>
      <c r="AC87" s="67">
        <f>Data!AE41</f>
        <v>0</v>
      </c>
      <c r="AD87" s="67">
        <f>Data!AF41</f>
        <v>0</v>
      </c>
      <c r="AE87" s="67">
        <f>Data!AG41</f>
        <v>0</v>
      </c>
      <c r="AF87" s="67">
        <f>Data!AH41</f>
        <v>0</v>
      </c>
      <c r="AG87" s="67">
        <f>Data!AI41</f>
        <v>0</v>
      </c>
      <c r="AH87" s="67">
        <f>Data!AJ41</f>
        <v>0</v>
      </c>
      <c r="AI87" s="67">
        <f>Data!AK41</f>
        <v>0</v>
      </c>
      <c r="AJ87" s="67">
        <f>Data!AL41</f>
        <v>0</v>
      </c>
      <c r="AK87" s="67">
        <f>Data!AM41</f>
        <v>0</v>
      </c>
      <c r="AL87" s="67">
        <f>Data!AN41</f>
        <v>0</v>
      </c>
      <c r="AM87" s="67">
        <f>Data!AO41</f>
        <v>0</v>
      </c>
      <c r="AN87" s="67">
        <f>Data!AP41</f>
        <v>0</v>
      </c>
      <c r="AO87" s="67">
        <f>Data!AQ41</f>
        <v>0</v>
      </c>
      <c r="AP87" s="67">
        <f>Data!AR41</f>
        <v>0</v>
      </c>
      <c r="AQ87" s="67">
        <f>Data!AS41</f>
        <v>0</v>
      </c>
      <c r="AR87" s="67">
        <f>Data!AT41</f>
        <v>0</v>
      </c>
      <c r="AS87" s="67">
        <f>Data!AU41</f>
        <v>0</v>
      </c>
      <c r="AT87" s="67">
        <f>Data!AV41</f>
        <v>0</v>
      </c>
      <c r="AU87" s="67">
        <f>Data!AW41</f>
        <v>0</v>
      </c>
      <c r="AV87" s="67">
        <f>Data!AX41</f>
        <v>0</v>
      </c>
      <c r="AW87" s="67">
        <f>Data!AY41</f>
        <v>0</v>
      </c>
      <c r="AX87" s="67">
        <f>Data!AZ41</f>
        <v>0</v>
      </c>
      <c r="AY87" s="67">
        <f>Data!BA41</f>
        <v>0</v>
      </c>
      <c r="AZ87" s="67">
        <f>Data!BB41</f>
        <v>0</v>
      </c>
      <c r="BA87" s="67">
        <f>Data!BC41</f>
        <v>0</v>
      </c>
      <c r="BB87" s="67">
        <f>Data!BD41</f>
        <v>0</v>
      </c>
      <c r="BC87" s="67">
        <f>Data!BE41</f>
        <v>0</v>
      </c>
      <c r="BD87" s="67">
        <f>Data!BF41</f>
        <v>0</v>
      </c>
      <c r="BE87" s="67">
        <f>Data!BG41</f>
        <v>0</v>
      </c>
      <c r="BF87" s="67">
        <f>Data!BH41</f>
        <v>0</v>
      </c>
      <c r="BG87" s="67">
        <f>Data!BI41</f>
        <v>0</v>
      </c>
      <c r="BH87" s="67">
        <f>Data!BJ41</f>
        <v>0</v>
      </c>
      <c r="BI87" s="67">
        <f>Data!BK41</f>
        <v>0</v>
      </c>
      <c r="BJ87" s="67">
        <f>Data!BL41</f>
        <v>0</v>
      </c>
      <c r="BK87" s="67">
        <f>Data!BM41</f>
        <v>0</v>
      </c>
      <c r="BL87" s="67">
        <f>Data!BN41</f>
        <v>0</v>
      </c>
      <c r="BM87" s="67">
        <f>Data!BO41</f>
        <v>0</v>
      </c>
      <c r="BN87" s="67">
        <f>Data!BP41</f>
        <v>0</v>
      </c>
      <c r="BO87" s="67">
        <f>Data!BQ41</f>
        <v>0</v>
      </c>
      <c r="BP87" s="67">
        <f>Data!BR41</f>
        <v>0</v>
      </c>
      <c r="BQ87" s="67">
        <f>Data!BS41</f>
        <v>0</v>
      </c>
      <c r="BR87" s="67">
        <f>Data!BT41</f>
        <v>0</v>
      </c>
      <c r="BS87" s="67">
        <f>Data!BU41</f>
        <v>0</v>
      </c>
      <c r="BT87" s="67">
        <f>Data!BV41</f>
        <v>0</v>
      </c>
      <c r="BU87" s="67">
        <f>Data!BW41</f>
        <v>0</v>
      </c>
      <c r="BV87" s="67">
        <f>Data!BX41</f>
        <v>0</v>
      </c>
      <c r="BW87" s="67">
        <f>Data!BY41</f>
        <v>0</v>
      </c>
      <c r="BX87" s="67">
        <f>Data!BZ41</f>
        <v>0</v>
      </c>
      <c r="BY87" s="67">
        <f>Data!CA41</f>
        <v>0</v>
      </c>
      <c r="BZ87" s="67">
        <f>Data!CB41</f>
        <v>0</v>
      </c>
      <c r="CA87" s="67">
        <f>Data!CC41</f>
        <v>0</v>
      </c>
      <c r="CB87" s="67">
        <f>Data!CD41</f>
        <v>0</v>
      </c>
      <c r="CC87" s="67">
        <f>Data!CE41</f>
        <v>0</v>
      </c>
      <c r="CD87" s="67">
        <f>Data!CF41</f>
        <v>0</v>
      </c>
      <c r="CE87" s="67">
        <f>Data!CG41</f>
        <v>0</v>
      </c>
      <c r="CF87" s="67">
        <f>Data!CH41</f>
        <v>0</v>
      </c>
      <c r="CG87" s="67">
        <f>Data!CI41</f>
        <v>0</v>
      </c>
      <c r="CH87" s="67">
        <f>Data!CJ41</f>
        <v>0</v>
      </c>
      <c r="CI87" s="67">
        <f>Data!CK41</f>
        <v>0</v>
      </c>
      <c r="CJ87" s="67">
        <f>Data!CL41</f>
        <v>0</v>
      </c>
      <c r="CK87" s="67">
        <f>Data!CM41</f>
        <v>0</v>
      </c>
      <c r="CL87" s="67">
        <f>Data!CN41</f>
        <v>0</v>
      </c>
      <c r="CM87" s="67">
        <f>Data!CO41</f>
        <v>0</v>
      </c>
      <c r="CN87" s="67">
        <f>Data!CP41</f>
        <v>0</v>
      </c>
      <c r="CO87" s="67">
        <f>Data!CQ41</f>
        <v>0</v>
      </c>
      <c r="CP87" s="67">
        <f>Data!CR41</f>
        <v>0</v>
      </c>
      <c r="CQ87" s="67">
        <f>Data!CS41</f>
        <v>0</v>
      </c>
      <c r="CR87" s="67">
        <f>Data!CT41</f>
        <v>0</v>
      </c>
      <c r="CS87" s="67">
        <f>Data!CU41</f>
        <v>0</v>
      </c>
      <c r="CT87" s="67">
        <f>Data!CV41</f>
        <v>0</v>
      </c>
      <c r="CU87" s="67">
        <f>Data!CW41</f>
        <v>0</v>
      </c>
      <c r="CV87" s="67">
        <f>Data!CX41</f>
        <v>0</v>
      </c>
      <c r="CW87" s="67">
        <f>Data!CY41</f>
        <v>0</v>
      </c>
      <c r="CX87" s="67">
        <f>Data!CZ41</f>
        <v>0</v>
      </c>
      <c r="CY87" s="67">
        <f>Data!DA41</f>
        <v>0</v>
      </c>
      <c r="CZ87" s="67">
        <f>Data!DB41</f>
        <v>0</v>
      </c>
      <c r="DA87" s="67">
        <f>Data!DC41</f>
        <v>0</v>
      </c>
      <c r="DB87" s="67">
        <f>Data!DD41</f>
        <v>0</v>
      </c>
      <c r="DC87" s="67">
        <f>Data!DE41</f>
        <v>0</v>
      </c>
      <c r="DD87" s="67">
        <f>Data!DF41</f>
        <v>0</v>
      </c>
      <c r="DE87" s="67">
        <f>Data!DG41</f>
        <v>0</v>
      </c>
      <c r="DF87" s="67">
        <f>Data!DH41</f>
        <v>0</v>
      </c>
      <c r="DG87" s="67">
        <f>Data!DI41</f>
        <v>0</v>
      </c>
      <c r="DH87" s="67">
        <f>Data!DJ41</f>
        <v>0</v>
      </c>
      <c r="DI87" s="67">
        <f>Data!DK41</f>
        <v>0</v>
      </c>
      <c r="DJ87" s="67">
        <f>Data!DL41</f>
        <v>0</v>
      </c>
      <c r="DK87" s="67">
        <f>Data!DM41</f>
        <v>0</v>
      </c>
      <c r="DL87" s="67">
        <f>Data!DN41</f>
        <v>0</v>
      </c>
      <c r="DM87" s="67">
        <f>Data!DO41</f>
        <v>0</v>
      </c>
      <c r="DN87" s="67">
        <f>Data!DP41</f>
        <v>0</v>
      </c>
      <c r="DO87" s="67">
        <f>Data!DQ41</f>
        <v>0</v>
      </c>
      <c r="DP87" s="67">
        <f>Data!DR41</f>
        <v>0</v>
      </c>
      <c r="DQ87" s="67">
        <f>Data!DS41</f>
        <v>0</v>
      </c>
      <c r="DR87" s="67">
        <f>Data!DT41</f>
        <v>0</v>
      </c>
      <c r="DS87" s="67">
        <f>Data!DU41</f>
        <v>0</v>
      </c>
      <c r="DT87" s="67">
        <f>Data!DV41</f>
        <v>0</v>
      </c>
      <c r="DU87" s="423">
        <f>Data!DW41</f>
        <v>0</v>
      </c>
      <c r="DV87" s="694"/>
    </row>
    <row r="88" spans="2:126" x14ac:dyDescent="0.3">
      <c r="B88" s="619" t="str">
        <f>Data!D42</f>
        <v>Month 2 Training</v>
      </c>
      <c r="C88" s="575"/>
      <c r="D88" s="395"/>
      <c r="E88" s="68">
        <f>Data!G42</f>
        <v>0</v>
      </c>
      <c r="F88" s="69">
        <f>Data!H42</f>
        <v>0</v>
      </c>
      <c r="G88" s="69">
        <f>Data!I42</f>
        <v>0</v>
      </c>
      <c r="H88" s="69">
        <f>Data!J42</f>
        <v>0</v>
      </c>
      <c r="I88" s="69">
        <f>Data!K42</f>
        <v>0</v>
      </c>
      <c r="J88" s="69">
        <f>Data!L42</f>
        <v>0</v>
      </c>
      <c r="K88" s="69">
        <f>Data!M42</f>
        <v>0</v>
      </c>
      <c r="L88" s="69">
        <f>Data!N42</f>
        <v>0</v>
      </c>
      <c r="M88" s="69">
        <f>Data!O42</f>
        <v>0</v>
      </c>
      <c r="N88" s="69">
        <f>Data!P42</f>
        <v>0</v>
      </c>
      <c r="O88" s="69">
        <f>Data!Q42</f>
        <v>0</v>
      </c>
      <c r="P88" s="69">
        <f>Data!R42</f>
        <v>0</v>
      </c>
      <c r="Q88" s="69">
        <f>Data!S42</f>
        <v>0</v>
      </c>
      <c r="R88" s="69">
        <f>Data!T42</f>
        <v>0</v>
      </c>
      <c r="S88" s="69">
        <f>Data!U42</f>
        <v>0</v>
      </c>
      <c r="T88" s="69">
        <f>Data!V42</f>
        <v>0</v>
      </c>
      <c r="U88" s="69">
        <f>Data!W42</f>
        <v>0</v>
      </c>
      <c r="V88" s="69">
        <f>Data!X42</f>
        <v>0</v>
      </c>
      <c r="W88" s="69">
        <f>Data!Y42</f>
        <v>0</v>
      </c>
      <c r="X88" s="69">
        <f>Data!Z42</f>
        <v>0</v>
      </c>
      <c r="Y88" s="69">
        <f>Data!AA42</f>
        <v>0</v>
      </c>
      <c r="Z88" s="69">
        <f>Data!AB42</f>
        <v>0</v>
      </c>
      <c r="AA88" s="69">
        <f>Data!AC42</f>
        <v>0</v>
      </c>
      <c r="AB88" s="69">
        <f>Data!AD42</f>
        <v>0</v>
      </c>
      <c r="AC88" s="69">
        <f>Data!AE42</f>
        <v>0</v>
      </c>
      <c r="AD88" s="69">
        <f>Data!AF42</f>
        <v>0</v>
      </c>
      <c r="AE88" s="69">
        <f>Data!AG42</f>
        <v>0</v>
      </c>
      <c r="AF88" s="69">
        <f>Data!AH42</f>
        <v>0</v>
      </c>
      <c r="AG88" s="69">
        <f>Data!AI42</f>
        <v>0</v>
      </c>
      <c r="AH88" s="69">
        <f>Data!AJ42</f>
        <v>0</v>
      </c>
      <c r="AI88" s="69">
        <f>Data!AK42</f>
        <v>0</v>
      </c>
      <c r="AJ88" s="69">
        <f>Data!AL42</f>
        <v>0</v>
      </c>
      <c r="AK88" s="69">
        <f>Data!AM42</f>
        <v>0</v>
      </c>
      <c r="AL88" s="69">
        <f>Data!AN42</f>
        <v>0</v>
      </c>
      <c r="AM88" s="69">
        <f>Data!AO42</f>
        <v>0</v>
      </c>
      <c r="AN88" s="69">
        <f>Data!AP42</f>
        <v>0</v>
      </c>
      <c r="AO88" s="69">
        <f>Data!AQ42</f>
        <v>0</v>
      </c>
      <c r="AP88" s="69">
        <f>Data!AR42</f>
        <v>0</v>
      </c>
      <c r="AQ88" s="69">
        <f>Data!AS42</f>
        <v>0</v>
      </c>
      <c r="AR88" s="69">
        <f>Data!AT42</f>
        <v>0</v>
      </c>
      <c r="AS88" s="69">
        <f>Data!AU42</f>
        <v>0</v>
      </c>
      <c r="AT88" s="69">
        <f>Data!AV42</f>
        <v>0</v>
      </c>
      <c r="AU88" s="69">
        <f>Data!AW42</f>
        <v>0</v>
      </c>
      <c r="AV88" s="69">
        <f>Data!AX42</f>
        <v>0</v>
      </c>
      <c r="AW88" s="69">
        <f>Data!AY42</f>
        <v>0</v>
      </c>
      <c r="AX88" s="69">
        <f>Data!AZ42</f>
        <v>0</v>
      </c>
      <c r="AY88" s="69">
        <f>Data!BA42</f>
        <v>0</v>
      </c>
      <c r="AZ88" s="69">
        <f>Data!BB42</f>
        <v>0</v>
      </c>
      <c r="BA88" s="69">
        <f>Data!BC42</f>
        <v>0</v>
      </c>
      <c r="BB88" s="69">
        <f>Data!BD42</f>
        <v>0</v>
      </c>
      <c r="BC88" s="69">
        <f>Data!BE42</f>
        <v>0</v>
      </c>
      <c r="BD88" s="69">
        <f>Data!BF42</f>
        <v>0</v>
      </c>
      <c r="BE88" s="69">
        <f>Data!BG42</f>
        <v>0</v>
      </c>
      <c r="BF88" s="69">
        <f>Data!BH42</f>
        <v>0</v>
      </c>
      <c r="BG88" s="69">
        <f>Data!BI42</f>
        <v>0</v>
      </c>
      <c r="BH88" s="69">
        <f>Data!BJ42</f>
        <v>0</v>
      </c>
      <c r="BI88" s="69">
        <f>Data!BK42</f>
        <v>0</v>
      </c>
      <c r="BJ88" s="69">
        <f>Data!BL42</f>
        <v>0</v>
      </c>
      <c r="BK88" s="69">
        <f>Data!BM42</f>
        <v>0</v>
      </c>
      <c r="BL88" s="69">
        <f>Data!BN42</f>
        <v>0</v>
      </c>
      <c r="BM88" s="69">
        <f>Data!BO42</f>
        <v>0</v>
      </c>
      <c r="BN88" s="69">
        <f>Data!BP42</f>
        <v>0</v>
      </c>
      <c r="BO88" s="69">
        <f>Data!BQ42</f>
        <v>0</v>
      </c>
      <c r="BP88" s="69">
        <f>Data!BR42</f>
        <v>0</v>
      </c>
      <c r="BQ88" s="69">
        <f>Data!BS42</f>
        <v>0</v>
      </c>
      <c r="BR88" s="69">
        <f>Data!BT42</f>
        <v>0</v>
      </c>
      <c r="BS88" s="69">
        <f>Data!BU42</f>
        <v>0</v>
      </c>
      <c r="BT88" s="69">
        <f>Data!BV42</f>
        <v>0</v>
      </c>
      <c r="BU88" s="69">
        <f>Data!BW42</f>
        <v>0</v>
      </c>
      <c r="BV88" s="69">
        <f>Data!BX42</f>
        <v>0</v>
      </c>
      <c r="BW88" s="69">
        <f>Data!BY42</f>
        <v>0</v>
      </c>
      <c r="BX88" s="69">
        <f>Data!BZ42</f>
        <v>0</v>
      </c>
      <c r="BY88" s="69">
        <f>Data!CA42</f>
        <v>0</v>
      </c>
      <c r="BZ88" s="69">
        <f>Data!CB42</f>
        <v>0</v>
      </c>
      <c r="CA88" s="69">
        <f>Data!CC42</f>
        <v>0</v>
      </c>
      <c r="CB88" s="69">
        <f>Data!CD42</f>
        <v>0</v>
      </c>
      <c r="CC88" s="69">
        <f>Data!CE42</f>
        <v>0</v>
      </c>
      <c r="CD88" s="69">
        <f>Data!CF42</f>
        <v>0</v>
      </c>
      <c r="CE88" s="69">
        <f>Data!CG42</f>
        <v>0</v>
      </c>
      <c r="CF88" s="69">
        <f>Data!CH42</f>
        <v>0</v>
      </c>
      <c r="CG88" s="69">
        <f>Data!CI42</f>
        <v>0</v>
      </c>
      <c r="CH88" s="69">
        <f>Data!CJ42</f>
        <v>0</v>
      </c>
      <c r="CI88" s="69">
        <f>Data!CK42</f>
        <v>0</v>
      </c>
      <c r="CJ88" s="69">
        <f>Data!CL42</f>
        <v>0</v>
      </c>
      <c r="CK88" s="69">
        <f>Data!CM42</f>
        <v>0</v>
      </c>
      <c r="CL88" s="69">
        <f>Data!CN42</f>
        <v>0</v>
      </c>
      <c r="CM88" s="69">
        <f>Data!CO42</f>
        <v>0</v>
      </c>
      <c r="CN88" s="69">
        <f>Data!CP42</f>
        <v>0</v>
      </c>
      <c r="CO88" s="69">
        <f>Data!CQ42</f>
        <v>0</v>
      </c>
      <c r="CP88" s="69">
        <f>Data!CR42</f>
        <v>0</v>
      </c>
      <c r="CQ88" s="69">
        <f>Data!CS42</f>
        <v>0</v>
      </c>
      <c r="CR88" s="69">
        <f>Data!CT42</f>
        <v>0</v>
      </c>
      <c r="CS88" s="69">
        <f>Data!CU42</f>
        <v>0</v>
      </c>
      <c r="CT88" s="69">
        <f>Data!CV42</f>
        <v>0</v>
      </c>
      <c r="CU88" s="69">
        <f>Data!CW42</f>
        <v>0</v>
      </c>
      <c r="CV88" s="69">
        <f>Data!CX42</f>
        <v>0</v>
      </c>
      <c r="CW88" s="69">
        <f>Data!CY42</f>
        <v>0</v>
      </c>
      <c r="CX88" s="69">
        <f>Data!CZ42</f>
        <v>0</v>
      </c>
      <c r="CY88" s="69">
        <f>Data!DA42</f>
        <v>0</v>
      </c>
      <c r="CZ88" s="69">
        <f>Data!DB42</f>
        <v>0</v>
      </c>
      <c r="DA88" s="69">
        <f>Data!DC42</f>
        <v>0</v>
      </c>
      <c r="DB88" s="69">
        <f>Data!DD42</f>
        <v>0</v>
      </c>
      <c r="DC88" s="69">
        <f>Data!DE42</f>
        <v>0</v>
      </c>
      <c r="DD88" s="69">
        <f>Data!DF42</f>
        <v>0</v>
      </c>
      <c r="DE88" s="69">
        <f>Data!DG42</f>
        <v>0</v>
      </c>
      <c r="DF88" s="69">
        <f>Data!DH42</f>
        <v>0</v>
      </c>
      <c r="DG88" s="69">
        <f>Data!DI42</f>
        <v>0</v>
      </c>
      <c r="DH88" s="69">
        <f>Data!DJ42</f>
        <v>0</v>
      </c>
      <c r="DI88" s="69">
        <f>Data!DK42</f>
        <v>0</v>
      </c>
      <c r="DJ88" s="69">
        <f>Data!DL42</f>
        <v>0</v>
      </c>
      <c r="DK88" s="69">
        <f>Data!DM42</f>
        <v>0</v>
      </c>
      <c r="DL88" s="69">
        <f>Data!DN42</f>
        <v>0</v>
      </c>
      <c r="DM88" s="69">
        <f>Data!DO42</f>
        <v>0</v>
      </c>
      <c r="DN88" s="69">
        <f>Data!DP42</f>
        <v>0</v>
      </c>
      <c r="DO88" s="69">
        <f>Data!DQ42</f>
        <v>0</v>
      </c>
      <c r="DP88" s="69">
        <f>Data!DR42</f>
        <v>0</v>
      </c>
      <c r="DQ88" s="69">
        <f>Data!DS42</f>
        <v>0</v>
      </c>
      <c r="DR88" s="69">
        <f>Data!DT42</f>
        <v>0</v>
      </c>
      <c r="DS88" s="69">
        <f>Data!DU42</f>
        <v>0</v>
      </c>
      <c r="DT88" s="69">
        <f>Data!DV42</f>
        <v>0</v>
      </c>
      <c r="DU88" s="424">
        <f>Data!DW42</f>
        <v>0</v>
      </c>
      <c r="DV88" s="694"/>
    </row>
    <row r="89" spans="2:126" x14ac:dyDescent="0.3">
      <c r="B89" s="620" t="str">
        <f>Data!D43</f>
        <v>Month 1 Training</v>
      </c>
      <c r="C89" s="576"/>
      <c r="D89" s="396"/>
      <c r="E89" s="1373">
        <f>Data!G43</f>
        <v>67.777777777777771</v>
      </c>
      <c r="F89" s="71">
        <f>Data!H43</f>
        <v>3.7277777777777898</v>
      </c>
      <c r="G89" s="71">
        <f>Data!I43</f>
        <v>3.7277777777777823</v>
      </c>
      <c r="H89" s="71">
        <f>Data!J43</f>
        <v>3.7277777777777823</v>
      </c>
      <c r="I89" s="71">
        <f>Data!K43</f>
        <v>3.7277777777777823</v>
      </c>
      <c r="J89" s="71">
        <f>Data!L43</f>
        <v>3.0500000000000052</v>
      </c>
      <c r="K89" s="71">
        <f>Data!M43</f>
        <v>3.0500000000000052</v>
      </c>
      <c r="L89" s="71">
        <f>Data!N43</f>
        <v>3.0500000000000052</v>
      </c>
      <c r="M89" s="71">
        <f>Data!O43</f>
        <v>3.0500000000000052</v>
      </c>
      <c r="N89" s="71">
        <f>Data!P43</f>
        <v>3.0500000000000052</v>
      </c>
      <c r="O89" s="71">
        <f>Data!Q43</f>
        <v>3.0500000000000052</v>
      </c>
      <c r="P89" s="71">
        <f>Data!R43</f>
        <v>2.7111111111111166</v>
      </c>
      <c r="Q89" s="71">
        <f>Data!S43</f>
        <v>2.7111111111111166</v>
      </c>
      <c r="R89" s="71">
        <f>Data!T43</f>
        <v>2.7111111111111166</v>
      </c>
      <c r="S89" s="71">
        <f>Data!U43</f>
        <v>2.7111111111111166</v>
      </c>
      <c r="T89" s="71">
        <f>Data!V43</f>
        <v>2.7111111111111166</v>
      </c>
      <c r="U89" s="71">
        <f>Data!W43</f>
        <v>2.7111111111111166</v>
      </c>
      <c r="V89" s="71">
        <f>Data!X43</f>
        <v>2.7111111111111166</v>
      </c>
      <c r="W89" s="71">
        <f>Data!Y43</f>
        <v>2.7111111111111166</v>
      </c>
      <c r="X89" s="71">
        <f>Data!Z43</f>
        <v>2.7111111111111166</v>
      </c>
      <c r="Y89" s="71">
        <f>Data!AA43</f>
        <v>2.7111111111111166</v>
      </c>
      <c r="Z89" s="71">
        <f>Data!AB43</f>
        <v>2.7111111111111166</v>
      </c>
      <c r="AA89" s="71">
        <f>Data!AC43</f>
        <v>2.7111111111111166</v>
      </c>
      <c r="AB89" s="71">
        <f>Data!AD43</f>
        <v>2.7111111111111166</v>
      </c>
      <c r="AC89" s="71">
        <f>Data!AE43</f>
        <v>2.7111111111111166</v>
      </c>
      <c r="AD89" s="71">
        <f>Data!AF43</f>
        <v>2.7111111111111166</v>
      </c>
      <c r="AE89" s="71">
        <f>Data!AG43</f>
        <v>2.7111111111111166</v>
      </c>
      <c r="AF89" s="71">
        <f>Data!AH43</f>
        <v>2.7111111111111166</v>
      </c>
      <c r="AG89" s="71">
        <f>Data!AI43</f>
        <v>2.7111111111111166</v>
      </c>
      <c r="AH89" s="71">
        <f>Data!AJ43</f>
        <v>2.7111111111111166</v>
      </c>
      <c r="AI89" s="71">
        <f>Data!AK43</f>
        <v>2.7111111111111166</v>
      </c>
      <c r="AJ89" s="71">
        <f>Data!AL43</f>
        <v>2.7111111111111166</v>
      </c>
      <c r="AK89" s="71">
        <f>Data!AM43</f>
        <v>2.7111111111111166</v>
      </c>
      <c r="AL89" s="71">
        <f>Data!AN43</f>
        <v>2.7111111111111166</v>
      </c>
      <c r="AM89" s="71">
        <f>Data!AO43</f>
        <v>2.7111111111111166</v>
      </c>
      <c r="AN89" s="71">
        <f>Data!AP43</f>
        <v>2.7111111111111166</v>
      </c>
      <c r="AO89" s="71">
        <f>Data!AQ43</f>
        <v>2.7111111111111166</v>
      </c>
      <c r="AP89" s="71">
        <f>Data!AR43</f>
        <v>2.7111111111111166</v>
      </c>
      <c r="AQ89" s="71">
        <f>Data!AS43</f>
        <v>2.7111111111111166</v>
      </c>
      <c r="AR89" s="71">
        <f>Data!AT43</f>
        <v>2.7111111111111166</v>
      </c>
      <c r="AS89" s="71">
        <f>Data!AU43</f>
        <v>2.7111111111111166</v>
      </c>
      <c r="AT89" s="71">
        <f>Data!AV43</f>
        <v>2.7111111111111166</v>
      </c>
      <c r="AU89" s="71">
        <f>Data!AW43</f>
        <v>2.7111111111111166</v>
      </c>
      <c r="AV89" s="71">
        <f>Data!AX43</f>
        <v>2.7111111111111166</v>
      </c>
      <c r="AW89" s="71">
        <f>Data!AY43</f>
        <v>2.7111111111111166</v>
      </c>
      <c r="AX89" s="71">
        <f>Data!AZ43</f>
        <v>2.7111111111111166</v>
      </c>
      <c r="AY89" s="71">
        <f>Data!BA43</f>
        <v>2.7111111111111166</v>
      </c>
      <c r="AZ89" s="71">
        <f>Data!BB43</f>
        <v>2.7111111111111166</v>
      </c>
      <c r="BA89" s="71">
        <f>Data!BC43</f>
        <v>2.7111111111111166</v>
      </c>
      <c r="BB89" s="71">
        <f>Data!BD43</f>
        <v>2.7111111111111166</v>
      </c>
      <c r="BC89" s="71">
        <f>Data!BE43</f>
        <v>2.7111111111111166</v>
      </c>
      <c r="BD89" s="71">
        <f>Data!BF43</f>
        <v>2.7111111111111166</v>
      </c>
      <c r="BE89" s="71">
        <f>Data!BG43</f>
        <v>2.7111111111111166</v>
      </c>
      <c r="BF89" s="71">
        <f>Data!BH43</f>
        <v>2.7111111111111166</v>
      </c>
      <c r="BG89" s="71">
        <f>Data!BI43</f>
        <v>2.7111111111111166</v>
      </c>
      <c r="BH89" s="71">
        <f>Data!BJ43</f>
        <v>2.7111111111111166</v>
      </c>
      <c r="BI89" s="71">
        <f>Data!BK43</f>
        <v>2.7111111111111166</v>
      </c>
      <c r="BJ89" s="71">
        <f>Data!BL43</f>
        <v>2.7111111111111166</v>
      </c>
      <c r="BK89" s="71">
        <f>Data!BM43</f>
        <v>2.7111111111111166</v>
      </c>
      <c r="BL89" s="71">
        <f>Data!BN43</f>
        <v>2.7111111111111166</v>
      </c>
      <c r="BM89" s="71">
        <f>Data!BO43</f>
        <v>2.7111111111111166</v>
      </c>
      <c r="BN89" s="71">
        <f>Data!BP43</f>
        <v>2.7111111111111166</v>
      </c>
      <c r="BO89" s="71">
        <f>Data!BQ43</f>
        <v>2.7111111111111166</v>
      </c>
      <c r="BP89" s="71">
        <f>Data!BR43</f>
        <v>2.7111111111111166</v>
      </c>
      <c r="BQ89" s="71">
        <f>Data!BS43</f>
        <v>2.7111111111111166</v>
      </c>
      <c r="BR89" s="71">
        <f>Data!BT43</f>
        <v>2.7111111111111166</v>
      </c>
      <c r="BS89" s="71">
        <f>Data!BU43</f>
        <v>2.7111111111111166</v>
      </c>
      <c r="BT89" s="71">
        <f>Data!BV43</f>
        <v>2.7111111111111166</v>
      </c>
      <c r="BU89" s="71">
        <f>Data!BW43</f>
        <v>2.7111111111111166</v>
      </c>
      <c r="BV89" s="71">
        <f>Data!BX43</f>
        <v>2.7111111111111166</v>
      </c>
      <c r="BW89" s="71">
        <f>Data!BY43</f>
        <v>2.7111111111111166</v>
      </c>
      <c r="BX89" s="71">
        <f>Data!BZ43</f>
        <v>2.7111111111111166</v>
      </c>
      <c r="BY89" s="71">
        <f>Data!CA43</f>
        <v>2.7111111111111166</v>
      </c>
      <c r="BZ89" s="71">
        <f>Data!CB43</f>
        <v>2.7111111111111166</v>
      </c>
      <c r="CA89" s="71">
        <f>Data!CC43</f>
        <v>2.7111111111111166</v>
      </c>
      <c r="CB89" s="71">
        <f>Data!CD43</f>
        <v>2.7111111111111166</v>
      </c>
      <c r="CC89" s="71">
        <f>Data!CE43</f>
        <v>2.7111111111111166</v>
      </c>
      <c r="CD89" s="71">
        <f>Data!CF43</f>
        <v>2.7111111111111166</v>
      </c>
      <c r="CE89" s="71">
        <f>Data!CG43</f>
        <v>2.7111111111111166</v>
      </c>
      <c r="CF89" s="71">
        <f>Data!CH43</f>
        <v>2.7111111111111166</v>
      </c>
      <c r="CG89" s="71">
        <f>Data!CI43</f>
        <v>2.7111111111111166</v>
      </c>
      <c r="CH89" s="71">
        <f>Data!CJ43</f>
        <v>2.7111111111111166</v>
      </c>
      <c r="CI89" s="71">
        <f>Data!CK43</f>
        <v>2.7111111111111166</v>
      </c>
      <c r="CJ89" s="71">
        <f>Data!CL43</f>
        <v>2.7111111111111166</v>
      </c>
      <c r="CK89" s="71">
        <f>Data!CM43</f>
        <v>2.7111111111111166</v>
      </c>
      <c r="CL89" s="71">
        <f>Data!CN43</f>
        <v>2.7111111111111166</v>
      </c>
      <c r="CM89" s="71">
        <f>Data!CO43</f>
        <v>2.7111111111111166</v>
      </c>
      <c r="CN89" s="71">
        <f>Data!CP43</f>
        <v>2.7111111111111166</v>
      </c>
      <c r="CO89" s="71">
        <f>Data!CQ43</f>
        <v>2.7111111111111166</v>
      </c>
      <c r="CP89" s="71">
        <f>Data!CR43</f>
        <v>2.7111111111111166</v>
      </c>
      <c r="CQ89" s="71">
        <f>Data!CS43</f>
        <v>2.7111111111111166</v>
      </c>
      <c r="CR89" s="71">
        <f>Data!CT43</f>
        <v>2.7111111111111166</v>
      </c>
      <c r="CS89" s="71">
        <f>Data!CU43</f>
        <v>2.7111111111111166</v>
      </c>
      <c r="CT89" s="71">
        <f>Data!CV43</f>
        <v>2.7111111111111166</v>
      </c>
      <c r="CU89" s="71">
        <f>Data!CW43</f>
        <v>2.7111111111111166</v>
      </c>
      <c r="CV89" s="71">
        <f>Data!CX43</f>
        <v>2.7111111111111166</v>
      </c>
      <c r="CW89" s="71">
        <f>Data!CY43</f>
        <v>2.7111111111111166</v>
      </c>
      <c r="CX89" s="71">
        <f>Data!CZ43</f>
        <v>2.7111111111111166</v>
      </c>
      <c r="CY89" s="71">
        <f>Data!DA43</f>
        <v>2.7111111111111166</v>
      </c>
      <c r="CZ89" s="71">
        <f>Data!DB43</f>
        <v>2.7111111111111166</v>
      </c>
      <c r="DA89" s="71">
        <f>Data!DC43</f>
        <v>2.7111111111111166</v>
      </c>
      <c r="DB89" s="71">
        <f>Data!DD43</f>
        <v>2.7111111111111166</v>
      </c>
      <c r="DC89" s="71">
        <f>Data!DE43</f>
        <v>2.7111111111111166</v>
      </c>
      <c r="DD89" s="71">
        <f>Data!DF43</f>
        <v>2.7111111111111166</v>
      </c>
      <c r="DE89" s="71">
        <f>Data!DG43</f>
        <v>2.7111111111111166</v>
      </c>
      <c r="DF89" s="71">
        <f>Data!DH43</f>
        <v>2.7111111111111166</v>
      </c>
      <c r="DG89" s="71">
        <f>Data!DI43</f>
        <v>2.7111111111111166</v>
      </c>
      <c r="DH89" s="71">
        <f>Data!DJ43</f>
        <v>2.7111111111111166</v>
      </c>
      <c r="DI89" s="71">
        <f>Data!DK43</f>
        <v>2.7111111111111166</v>
      </c>
      <c r="DJ89" s="71">
        <f>Data!DL43</f>
        <v>2.7111111111111166</v>
      </c>
      <c r="DK89" s="71">
        <f>Data!DM43</f>
        <v>2.7111111111111166</v>
      </c>
      <c r="DL89" s="71">
        <f>Data!DN43</f>
        <v>2.7111111111111166</v>
      </c>
      <c r="DM89" s="71">
        <f>Data!DO43</f>
        <v>2.7111111111111166</v>
      </c>
      <c r="DN89" s="71">
        <f>Data!DP43</f>
        <v>2.7111111111111166</v>
      </c>
      <c r="DO89" s="71">
        <f>Data!DQ43</f>
        <v>2.7111111111111166</v>
      </c>
      <c r="DP89" s="71">
        <f>Data!DR43</f>
        <v>2.7111111111111166</v>
      </c>
      <c r="DQ89" s="71">
        <f>Data!DS43</f>
        <v>2.7111111111111166</v>
      </c>
      <c r="DR89" s="71">
        <f>Data!DT43</f>
        <v>2.7111111111111166</v>
      </c>
      <c r="DS89" s="71">
        <f>Data!DU43</f>
        <v>2.7111111111111166</v>
      </c>
      <c r="DT89" s="71">
        <f>Data!DV43</f>
        <v>2.7111111111111166</v>
      </c>
      <c r="DU89" s="425">
        <f>Data!DW43</f>
        <v>2.7111111111111166</v>
      </c>
      <c r="DV89" s="695"/>
    </row>
    <row r="90" spans="2:126" x14ac:dyDescent="0.3">
      <c r="B90" s="621" t="str">
        <f>Data!D44</f>
        <v>Total H Grade - CSAs</v>
      </c>
      <c r="C90" s="577"/>
      <c r="D90" s="397"/>
      <c r="E90" s="72">
        <f>Data!G44</f>
        <v>67.777777777777771</v>
      </c>
      <c r="F90" s="73">
        <f>Data!H44</f>
        <v>64.727777777777789</v>
      </c>
      <c r="G90" s="1375">
        <f>Data!I44</f>
        <v>64.727777777777789</v>
      </c>
      <c r="H90" s="73">
        <f>Data!J44</f>
        <v>64.727777777777789</v>
      </c>
      <c r="I90" s="73">
        <f>Data!K44</f>
        <v>64.727777777777789</v>
      </c>
      <c r="J90" s="73">
        <f>Data!L44</f>
        <v>64.050000000000011</v>
      </c>
      <c r="K90" s="73">
        <f>Data!M44</f>
        <v>64.050000000000011</v>
      </c>
      <c r="L90" s="73">
        <f>Data!N44</f>
        <v>64.050000000000011</v>
      </c>
      <c r="M90" s="73">
        <f>Data!O44</f>
        <v>64.050000000000011</v>
      </c>
      <c r="N90" s="73">
        <f>Data!P44</f>
        <v>64.050000000000011</v>
      </c>
      <c r="O90" s="73">
        <f>Data!Q44</f>
        <v>64.050000000000011</v>
      </c>
      <c r="P90" s="73">
        <f>Data!R44</f>
        <v>63.711111111111116</v>
      </c>
      <c r="Q90" s="73">
        <f>Data!S44</f>
        <v>63.711111111111116</v>
      </c>
      <c r="R90" s="73">
        <f>Data!T44</f>
        <v>63.711111111111116</v>
      </c>
      <c r="S90" s="73">
        <f>Data!U44</f>
        <v>63.711111111111116</v>
      </c>
      <c r="T90" s="73">
        <f>Data!V44</f>
        <v>63.711111111111116</v>
      </c>
      <c r="U90" s="73">
        <f>Data!W44</f>
        <v>63.711111111111116</v>
      </c>
      <c r="V90" s="73">
        <f>Data!X44</f>
        <v>63.711111111111116</v>
      </c>
      <c r="W90" s="73">
        <f>Data!Y44</f>
        <v>63.711111111111116</v>
      </c>
      <c r="X90" s="73">
        <f>Data!Z44</f>
        <v>63.711111111111116</v>
      </c>
      <c r="Y90" s="73">
        <f>Data!AA44</f>
        <v>63.711111111111116</v>
      </c>
      <c r="Z90" s="73">
        <f>Data!AB44</f>
        <v>63.711111111111116</v>
      </c>
      <c r="AA90" s="73">
        <f>Data!AC44</f>
        <v>63.711111111111116</v>
      </c>
      <c r="AB90" s="73">
        <f>Data!AD44</f>
        <v>63.711111111111116</v>
      </c>
      <c r="AC90" s="73">
        <f>Data!AE44</f>
        <v>63.711111111111116</v>
      </c>
      <c r="AD90" s="73">
        <f>Data!AF44</f>
        <v>63.711111111111116</v>
      </c>
      <c r="AE90" s="73">
        <f>Data!AG44</f>
        <v>63.711111111111116</v>
      </c>
      <c r="AF90" s="73">
        <f>Data!AH44</f>
        <v>63.711111111111116</v>
      </c>
      <c r="AG90" s="73">
        <f>Data!AI44</f>
        <v>63.711111111111116</v>
      </c>
      <c r="AH90" s="73">
        <f>Data!AJ44</f>
        <v>63.711111111111116</v>
      </c>
      <c r="AI90" s="73">
        <f>Data!AK44</f>
        <v>63.711111111111116</v>
      </c>
      <c r="AJ90" s="73">
        <f>Data!AL44</f>
        <v>63.711111111111116</v>
      </c>
      <c r="AK90" s="73">
        <f>Data!AM44</f>
        <v>63.711111111111116</v>
      </c>
      <c r="AL90" s="73">
        <f>Data!AN44</f>
        <v>63.711111111111116</v>
      </c>
      <c r="AM90" s="73">
        <f>Data!AO44</f>
        <v>63.711111111111116</v>
      </c>
      <c r="AN90" s="73">
        <f>Data!AP44</f>
        <v>63.711111111111116</v>
      </c>
      <c r="AO90" s="73">
        <f>Data!AQ44</f>
        <v>63.711111111111116</v>
      </c>
      <c r="AP90" s="73">
        <f>Data!AR44</f>
        <v>63.711111111111116</v>
      </c>
      <c r="AQ90" s="73">
        <f>Data!AS44</f>
        <v>63.711111111111116</v>
      </c>
      <c r="AR90" s="73">
        <f>Data!AT44</f>
        <v>63.711111111111116</v>
      </c>
      <c r="AS90" s="73">
        <f>Data!AU44</f>
        <v>63.711111111111116</v>
      </c>
      <c r="AT90" s="73">
        <f>Data!AV44</f>
        <v>63.711111111111116</v>
      </c>
      <c r="AU90" s="73">
        <f>Data!AW44</f>
        <v>63.711111111111116</v>
      </c>
      <c r="AV90" s="73">
        <f>Data!AX44</f>
        <v>63.711111111111116</v>
      </c>
      <c r="AW90" s="73">
        <f>Data!AY44</f>
        <v>63.711111111111116</v>
      </c>
      <c r="AX90" s="73">
        <f>Data!AZ44</f>
        <v>63.711111111111116</v>
      </c>
      <c r="AY90" s="73">
        <f>Data!BA44</f>
        <v>63.711111111111116</v>
      </c>
      <c r="AZ90" s="73">
        <f>Data!BB44</f>
        <v>63.711111111111116</v>
      </c>
      <c r="BA90" s="73">
        <f>Data!BC44</f>
        <v>63.711111111111116</v>
      </c>
      <c r="BB90" s="73">
        <f>Data!BD44</f>
        <v>63.711111111111116</v>
      </c>
      <c r="BC90" s="73">
        <f>Data!BE44</f>
        <v>63.711111111111116</v>
      </c>
      <c r="BD90" s="73">
        <f>Data!BF44</f>
        <v>63.711111111111116</v>
      </c>
      <c r="BE90" s="73">
        <f>Data!BG44</f>
        <v>63.711111111111116</v>
      </c>
      <c r="BF90" s="73">
        <f>Data!BH44</f>
        <v>63.711111111111116</v>
      </c>
      <c r="BG90" s="73">
        <f>Data!BI44</f>
        <v>63.711111111111116</v>
      </c>
      <c r="BH90" s="73">
        <f>Data!BJ44</f>
        <v>63.711111111111116</v>
      </c>
      <c r="BI90" s="73">
        <f>Data!BK44</f>
        <v>63.711111111111116</v>
      </c>
      <c r="BJ90" s="73">
        <f>Data!BL44</f>
        <v>63.711111111111116</v>
      </c>
      <c r="BK90" s="73">
        <f>Data!BM44</f>
        <v>63.711111111111116</v>
      </c>
      <c r="BL90" s="73">
        <f>Data!BN44</f>
        <v>63.711111111111116</v>
      </c>
      <c r="BM90" s="73">
        <f>Data!BO44</f>
        <v>63.711111111111116</v>
      </c>
      <c r="BN90" s="73">
        <f>Data!BP44</f>
        <v>63.711111111111116</v>
      </c>
      <c r="BO90" s="73">
        <f>Data!BQ44</f>
        <v>63.711111111111116</v>
      </c>
      <c r="BP90" s="73">
        <f>Data!BR44</f>
        <v>63.711111111111116</v>
      </c>
      <c r="BQ90" s="73">
        <f>Data!BS44</f>
        <v>63.711111111111116</v>
      </c>
      <c r="BR90" s="73">
        <f>Data!BT44</f>
        <v>63.711111111111116</v>
      </c>
      <c r="BS90" s="73">
        <f>Data!BU44</f>
        <v>63.711111111111116</v>
      </c>
      <c r="BT90" s="73">
        <f>Data!BV44</f>
        <v>63.711111111111116</v>
      </c>
      <c r="BU90" s="73">
        <f>Data!BW44</f>
        <v>63.711111111111116</v>
      </c>
      <c r="BV90" s="73">
        <f>Data!BX44</f>
        <v>63.711111111111116</v>
      </c>
      <c r="BW90" s="73">
        <f>Data!BY44</f>
        <v>63.711111111111116</v>
      </c>
      <c r="BX90" s="73">
        <f>Data!BZ44</f>
        <v>63.711111111111116</v>
      </c>
      <c r="BY90" s="73">
        <f>Data!CA44</f>
        <v>63.711111111111116</v>
      </c>
      <c r="BZ90" s="73">
        <f>Data!CB44</f>
        <v>63.711111111111116</v>
      </c>
      <c r="CA90" s="73">
        <f>Data!CC44</f>
        <v>63.711111111111116</v>
      </c>
      <c r="CB90" s="73">
        <f>Data!CD44</f>
        <v>63.711111111111116</v>
      </c>
      <c r="CC90" s="73">
        <f>Data!CE44</f>
        <v>63.711111111111116</v>
      </c>
      <c r="CD90" s="73">
        <f>Data!CF44</f>
        <v>63.711111111111116</v>
      </c>
      <c r="CE90" s="73">
        <f>Data!CG44</f>
        <v>63.711111111111116</v>
      </c>
      <c r="CF90" s="73">
        <f>Data!CH44</f>
        <v>63.711111111111116</v>
      </c>
      <c r="CG90" s="73">
        <f>Data!CI44</f>
        <v>63.711111111111116</v>
      </c>
      <c r="CH90" s="73">
        <f>Data!CJ44</f>
        <v>63.711111111111116</v>
      </c>
      <c r="CI90" s="73">
        <f>Data!CK44</f>
        <v>63.711111111111116</v>
      </c>
      <c r="CJ90" s="73">
        <f>Data!CL44</f>
        <v>63.711111111111116</v>
      </c>
      <c r="CK90" s="73">
        <f>Data!CM44</f>
        <v>63.711111111111116</v>
      </c>
      <c r="CL90" s="73">
        <f>Data!CN44</f>
        <v>63.711111111111116</v>
      </c>
      <c r="CM90" s="73">
        <f>Data!CO44</f>
        <v>63.711111111111116</v>
      </c>
      <c r="CN90" s="73">
        <f>Data!CP44</f>
        <v>63.711111111111116</v>
      </c>
      <c r="CO90" s="73">
        <f>Data!CQ44</f>
        <v>63.711111111111116</v>
      </c>
      <c r="CP90" s="73">
        <f>Data!CR44</f>
        <v>63.711111111111116</v>
      </c>
      <c r="CQ90" s="73">
        <f>Data!CS44</f>
        <v>63.711111111111116</v>
      </c>
      <c r="CR90" s="73">
        <f>Data!CT44</f>
        <v>63.711111111111116</v>
      </c>
      <c r="CS90" s="73">
        <f>Data!CU44</f>
        <v>63.711111111111116</v>
      </c>
      <c r="CT90" s="73">
        <f>Data!CV44</f>
        <v>63.711111111111116</v>
      </c>
      <c r="CU90" s="73">
        <f>Data!CW44</f>
        <v>63.711111111111116</v>
      </c>
      <c r="CV90" s="73">
        <f>Data!CX44</f>
        <v>63.711111111111116</v>
      </c>
      <c r="CW90" s="73">
        <f>Data!CY44</f>
        <v>63.711111111111116</v>
      </c>
      <c r="CX90" s="73">
        <f>Data!CZ44</f>
        <v>63.711111111111116</v>
      </c>
      <c r="CY90" s="73">
        <f>Data!DA44</f>
        <v>63.711111111111116</v>
      </c>
      <c r="CZ90" s="73">
        <f>Data!DB44</f>
        <v>63.711111111111116</v>
      </c>
      <c r="DA90" s="73">
        <f>Data!DC44</f>
        <v>63.711111111111116</v>
      </c>
      <c r="DB90" s="73">
        <f>Data!DD44</f>
        <v>63.711111111111116</v>
      </c>
      <c r="DC90" s="73">
        <f>Data!DE44</f>
        <v>63.711111111111116</v>
      </c>
      <c r="DD90" s="73">
        <f>Data!DF44</f>
        <v>63.711111111111116</v>
      </c>
      <c r="DE90" s="73">
        <f>Data!DG44</f>
        <v>63.711111111111116</v>
      </c>
      <c r="DF90" s="73">
        <f>Data!DH44</f>
        <v>63.711111111111116</v>
      </c>
      <c r="DG90" s="73">
        <f>Data!DI44</f>
        <v>63.711111111111116</v>
      </c>
      <c r="DH90" s="73">
        <f>Data!DJ44</f>
        <v>63.711111111111116</v>
      </c>
      <c r="DI90" s="73">
        <f>Data!DK44</f>
        <v>63.711111111111116</v>
      </c>
      <c r="DJ90" s="73">
        <f>Data!DL44</f>
        <v>63.711111111111116</v>
      </c>
      <c r="DK90" s="73">
        <f>Data!DM44</f>
        <v>63.711111111111116</v>
      </c>
      <c r="DL90" s="73">
        <f>Data!DN44</f>
        <v>63.711111111111116</v>
      </c>
      <c r="DM90" s="73">
        <f>Data!DO44</f>
        <v>63.711111111111116</v>
      </c>
      <c r="DN90" s="73">
        <f>Data!DP44</f>
        <v>63.711111111111116</v>
      </c>
      <c r="DO90" s="73">
        <f>Data!DQ44</f>
        <v>63.711111111111116</v>
      </c>
      <c r="DP90" s="73">
        <f>Data!DR44</f>
        <v>63.711111111111116</v>
      </c>
      <c r="DQ90" s="73">
        <f>Data!DS44</f>
        <v>63.711111111111116</v>
      </c>
      <c r="DR90" s="73">
        <f>Data!DT44</f>
        <v>63.711111111111116</v>
      </c>
      <c r="DS90" s="73">
        <f>Data!DU44</f>
        <v>63.711111111111116</v>
      </c>
      <c r="DT90" s="73">
        <f>Data!DV44</f>
        <v>63.711111111111116</v>
      </c>
      <c r="DU90" s="426">
        <f>Data!DW44</f>
        <v>63.711111111111116</v>
      </c>
      <c r="DV90" s="696"/>
    </row>
    <row r="91" spans="2:126" x14ac:dyDescent="0.3">
      <c r="B91" s="620" t="str">
        <f>Data!D45</f>
        <v>TL</v>
      </c>
      <c r="C91" s="578"/>
      <c r="D91" s="398"/>
      <c r="E91" s="74">
        <f>Data!G45</f>
        <v>3.3899999999999997</v>
      </c>
      <c r="F91" s="75">
        <f>Data!H45</f>
        <v>3.3899999999999997</v>
      </c>
      <c r="G91" s="75">
        <f>Data!I45</f>
        <v>3.3899999999999997</v>
      </c>
      <c r="H91" s="75">
        <f>Data!J45</f>
        <v>3.3899999999999997</v>
      </c>
      <c r="I91" s="75">
        <f>Data!K45</f>
        <v>3.3899999999999997</v>
      </c>
      <c r="J91" s="75">
        <f>Data!L45</f>
        <v>3.3899999999999997</v>
      </c>
      <c r="K91" s="1388">
        <f>Data!M45</f>
        <v>3.3899999999999997</v>
      </c>
      <c r="L91" s="75">
        <f>Data!N45</f>
        <v>3.3899999999999997</v>
      </c>
      <c r="M91" s="75">
        <f>Data!O45</f>
        <v>3.3899999999999997</v>
      </c>
      <c r="N91" s="75">
        <f>Data!P45</f>
        <v>3.3899999999999997</v>
      </c>
      <c r="O91" s="75">
        <f>Data!Q45</f>
        <v>3.3899999999999997</v>
      </c>
      <c r="P91" s="75">
        <f>Data!R45</f>
        <v>3.3899999999999997</v>
      </c>
      <c r="Q91" s="75">
        <f>Data!S45</f>
        <v>3.3899999999999997</v>
      </c>
      <c r="R91" s="75">
        <f>Data!T45</f>
        <v>3.3899999999999997</v>
      </c>
      <c r="S91" s="75">
        <f>Data!U45</f>
        <v>3.3899999999999997</v>
      </c>
      <c r="T91" s="75">
        <f>Data!V45</f>
        <v>3.3899999999999997</v>
      </c>
      <c r="U91" s="75">
        <f>Data!W45</f>
        <v>3.3899999999999997</v>
      </c>
      <c r="V91" s="75">
        <f>Data!X45</f>
        <v>3.3899999999999997</v>
      </c>
      <c r="W91" s="75">
        <f>Data!Y45</f>
        <v>3.3899999999999997</v>
      </c>
      <c r="X91" s="75">
        <f>Data!Z45</f>
        <v>3.3899999999999997</v>
      </c>
      <c r="Y91" s="75">
        <f>Data!AA45</f>
        <v>3.3899999999999997</v>
      </c>
      <c r="Z91" s="75">
        <f>Data!AB45</f>
        <v>3.3899999999999997</v>
      </c>
      <c r="AA91" s="75">
        <f>Data!AC45</f>
        <v>3.3899999999999997</v>
      </c>
      <c r="AB91" s="75">
        <f>Data!AD45</f>
        <v>3.3899999999999997</v>
      </c>
      <c r="AC91" s="75">
        <f>Data!AE45</f>
        <v>3.3899999999999997</v>
      </c>
      <c r="AD91" s="75">
        <f>Data!AF45</f>
        <v>3.3899999999999997</v>
      </c>
      <c r="AE91" s="75">
        <f>Data!AG45</f>
        <v>3.3899999999999997</v>
      </c>
      <c r="AF91" s="75">
        <f>Data!AH45</f>
        <v>3.3899999999999997</v>
      </c>
      <c r="AG91" s="75">
        <f>Data!AI45</f>
        <v>3.3899999999999997</v>
      </c>
      <c r="AH91" s="75">
        <f>Data!AJ45</f>
        <v>3.3899999999999997</v>
      </c>
      <c r="AI91" s="75">
        <f>Data!AK45</f>
        <v>3.3899999999999997</v>
      </c>
      <c r="AJ91" s="75">
        <f>Data!AL45</f>
        <v>3.3899999999999997</v>
      </c>
      <c r="AK91" s="75">
        <f>Data!AM45</f>
        <v>3.3899999999999997</v>
      </c>
      <c r="AL91" s="75">
        <f>Data!AN45</f>
        <v>3.3899999999999997</v>
      </c>
      <c r="AM91" s="75">
        <f>Data!AO45</f>
        <v>3.3899999999999997</v>
      </c>
      <c r="AN91" s="75">
        <f>Data!AP45</f>
        <v>3.3899999999999997</v>
      </c>
      <c r="AO91" s="75">
        <f>Data!AQ45</f>
        <v>3.3899999999999997</v>
      </c>
      <c r="AP91" s="75">
        <f>Data!AR45</f>
        <v>3.3899999999999997</v>
      </c>
      <c r="AQ91" s="75">
        <f>Data!AS45</f>
        <v>3.3899999999999997</v>
      </c>
      <c r="AR91" s="75">
        <f>Data!AT45</f>
        <v>3.3899999999999997</v>
      </c>
      <c r="AS91" s="75">
        <f>Data!AU45</f>
        <v>3.3899999999999997</v>
      </c>
      <c r="AT91" s="75">
        <f>Data!AV45</f>
        <v>3.3899999999999997</v>
      </c>
      <c r="AU91" s="75">
        <f>Data!AW45</f>
        <v>3.3899999999999997</v>
      </c>
      <c r="AV91" s="75">
        <f>Data!AX45</f>
        <v>3.3899999999999997</v>
      </c>
      <c r="AW91" s="75">
        <f>Data!AY45</f>
        <v>3.3899999999999997</v>
      </c>
      <c r="AX91" s="75">
        <f>Data!AZ45</f>
        <v>3.3899999999999997</v>
      </c>
      <c r="AY91" s="75">
        <f>Data!BA45</f>
        <v>3.3899999999999997</v>
      </c>
      <c r="AZ91" s="75">
        <f>Data!BB45</f>
        <v>3.3899999999999997</v>
      </c>
      <c r="BA91" s="75">
        <f>Data!BC45</f>
        <v>3.3899999999999997</v>
      </c>
      <c r="BB91" s="75">
        <f>Data!BD45</f>
        <v>3.3899999999999997</v>
      </c>
      <c r="BC91" s="75">
        <f>Data!BE45</f>
        <v>3.3899999999999997</v>
      </c>
      <c r="BD91" s="75">
        <f>Data!BF45</f>
        <v>3.3899999999999997</v>
      </c>
      <c r="BE91" s="75">
        <f>Data!BG45</f>
        <v>3.3899999999999997</v>
      </c>
      <c r="BF91" s="75">
        <f>Data!BH45</f>
        <v>3.3899999999999997</v>
      </c>
      <c r="BG91" s="75">
        <f>Data!BI45</f>
        <v>3.3899999999999997</v>
      </c>
      <c r="BH91" s="75">
        <f>Data!BJ45</f>
        <v>3.3899999999999997</v>
      </c>
      <c r="BI91" s="75">
        <f>Data!BK45</f>
        <v>3.3899999999999997</v>
      </c>
      <c r="BJ91" s="75">
        <f>Data!BL45</f>
        <v>3.3899999999999997</v>
      </c>
      <c r="BK91" s="75">
        <f>Data!BM45</f>
        <v>3.3899999999999997</v>
      </c>
      <c r="BL91" s="75">
        <f>Data!BN45</f>
        <v>3.3899999999999997</v>
      </c>
      <c r="BM91" s="75">
        <f>Data!BO45</f>
        <v>3.3899999999999997</v>
      </c>
      <c r="BN91" s="75">
        <f>Data!BP45</f>
        <v>3.3899999999999997</v>
      </c>
      <c r="BO91" s="75">
        <f>Data!BQ45</f>
        <v>3.3899999999999997</v>
      </c>
      <c r="BP91" s="75">
        <f>Data!BR45</f>
        <v>3.3899999999999997</v>
      </c>
      <c r="BQ91" s="75">
        <f>Data!BS45</f>
        <v>3.3899999999999997</v>
      </c>
      <c r="BR91" s="75">
        <f>Data!BT45</f>
        <v>3.3899999999999997</v>
      </c>
      <c r="BS91" s="75">
        <f>Data!BU45</f>
        <v>3.3899999999999997</v>
      </c>
      <c r="BT91" s="75">
        <f>Data!BV45</f>
        <v>3.3899999999999997</v>
      </c>
      <c r="BU91" s="75">
        <f>Data!BW45</f>
        <v>3.3899999999999997</v>
      </c>
      <c r="BV91" s="75">
        <f>Data!BX45</f>
        <v>3.3899999999999997</v>
      </c>
      <c r="BW91" s="75">
        <f>Data!BY45</f>
        <v>3.3899999999999997</v>
      </c>
      <c r="BX91" s="75">
        <f>Data!BZ45</f>
        <v>3.3899999999999997</v>
      </c>
      <c r="BY91" s="75">
        <f>Data!CA45</f>
        <v>3.3899999999999997</v>
      </c>
      <c r="BZ91" s="75">
        <f>Data!CB45</f>
        <v>3.3899999999999997</v>
      </c>
      <c r="CA91" s="75">
        <f>Data!CC45</f>
        <v>3.3899999999999997</v>
      </c>
      <c r="CB91" s="75">
        <f>Data!CD45</f>
        <v>3.3899999999999997</v>
      </c>
      <c r="CC91" s="75">
        <f>Data!CE45</f>
        <v>3.3899999999999997</v>
      </c>
      <c r="CD91" s="75">
        <f>Data!CF45</f>
        <v>3.3899999999999997</v>
      </c>
      <c r="CE91" s="75">
        <f>Data!CG45</f>
        <v>3.3899999999999997</v>
      </c>
      <c r="CF91" s="75">
        <f>Data!CH45</f>
        <v>3.3899999999999997</v>
      </c>
      <c r="CG91" s="75">
        <f>Data!CI45</f>
        <v>3.3899999999999997</v>
      </c>
      <c r="CH91" s="75">
        <f>Data!CJ45</f>
        <v>3.3899999999999997</v>
      </c>
      <c r="CI91" s="75">
        <f>Data!CK45</f>
        <v>3.3899999999999997</v>
      </c>
      <c r="CJ91" s="75">
        <f>Data!CL45</f>
        <v>3.3899999999999997</v>
      </c>
      <c r="CK91" s="75">
        <f>Data!CM45</f>
        <v>3.3899999999999997</v>
      </c>
      <c r="CL91" s="75">
        <f>Data!CN45</f>
        <v>3.3899999999999997</v>
      </c>
      <c r="CM91" s="75">
        <f>Data!CO45</f>
        <v>3.3899999999999997</v>
      </c>
      <c r="CN91" s="75">
        <f>Data!CP45</f>
        <v>3.3899999999999997</v>
      </c>
      <c r="CO91" s="75">
        <f>Data!CQ45</f>
        <v>3.3899999999999997</v>
      </c>
      <c r="CP91" s="75">
        <f>Data!CR45</f>
        <v>3.3899999999999997</v>
      </c>
      <c r="CQ91" s="75">
        <f>Data!CS45</f>
        <v>3.3899999999999997</v>
      </c>
      <c r="CR91" s="75">
        <f>Data!CT45</f>
        <v>3.3899999999999997</v>
      </c>
      <c r="CS91" s="75">
        <f>Data!CU45</f>
        <v>3.3899999999999997</v>
      </c>
      <c r="CT91" s="75">
        <f>Data!CV45</f>
        <v>3.3899999999999997</v>
      </c>
      <c r="CU91" s="75">
        <f>Data!CW45</f>
        <v>3.3899999999999997</v>
      </c>
      <c r="CV91" s="75">
        <f>Data!CX45</f>
        <v>3.3899999999999997</v>
      </c>
      <c r="CW91" s="75">
        <f>Data!CY45</f>
        <v>3.3899999999999997</v>
      </c>
      <c r="CX91" s="75">
        <f>Data!CZ45</f>
        <v>3.3899999999999997</v>
      </c>
      <c r="CY91" s="75">
        <f>Data!DA45</f>
        <v>3.3899999999999997</v>
      </c>
      <c r="CZ91" s="75">
        <f>Data!DB45</f>
        <v>3.3899999999999997</v>
      </c>
      <c r="DA91" s="75">
        <f>Data!DC45</f>
        <v>3.3899999999999997</v>
      </c>
      <c r="DB91" s="75">
        <f>Data!DD45</f>
        <v>3.3899999999999997</v>
      </c>
      <c r="DC91" s="75">
        <f>Data!DE45</f>
        <v>3.3899999999999997</v>
      </c>
      <c r="DD91" s="75">
        <f>Data!DF45</f>
        <v>3.3899999999999997</v>
      </c>
      <c r="DE91" s="75">
        <f>Data!DG45</f>
        <v>3.3899999999999997</v>
      </c>
      <c r="DF91" s="75">
        <f>Data!DH45</f>
        <v>3.3899999999999997</v>
      </c>
      <c r="DG91" s="75">
        <f>Data!DI45</f>
        <v>3.3899999999999997</v>
      </c>
      <c r="DH91" s="75">
        <f>Data!DJ45</f>
        <v>3.3899999999999997</v>
      </c>
      <c r="DI91" s="75">
        <f>Data!DK45</f>
        <v>3.3899999999999997</v>
      </c>
      <c r="DJ91" s="75">
        <f>Data!DL45</f>
        <v>3.3899999999999997</v>
      </c>
      <c r="DK91" s="75">
        <f>Data!DM45</f>
        <v>3.3899999999999997</v>
      </c>
      <c r="DL91" s="75">
        <f>Data!DN45</f>
        <v>3.3899999999999997</v>
      </c>
      <c r="DM91" s="75">
        <f>Data!DO45</f>
        <v>3.3899999999999997</v>
      </c>
      <c r="DN91" s="75">
        <f>Data!DP45</f>
        <v>3.3899999999999997</v>
      </c>
      <c r="DO91" s="75">
        <f>Data!DQ45</f>
        <v>3.3899999999999997</v>
      </c>
      <c r="DP91" s="75">
        <f>Data!DR45</f>
        <v>3.3899999999999997</v>
      </c>
      <c r="DQ91" s="75">
        <f>Data!DS45</f>
        <v>3.3899999999999997</v>
      </c>
      <c r="DR91" s="75">
        <f>Data!DT45</f>
        <v>3.3899999999999997</v>
      </c>
      <c r="DS91" s="75">
        <f>Data!DU45</f>
        <v>3.3899999999999997</v>
      </c>
      <c r="DT91" s="75">
        <f>Data!DV45</f>
        <v>3.3899999999999997</v>
      </c>
      <c r="DU91" s="427">
        <f>Data!DW45</f>
        <v>3.3899999999999997</v>
      </c>
      <c r="DV91" s="65"/>
    </row>
    <row r="92" spans="2:126" x14ac:dyDescent="0.3">
      <c r="B92" s="620" t="str">
        <f>Data!D46</f>
        <v>AM</v>
      </c>
      <c r="C92" s="579"/>
      <c r="D92" s="399"/>
      <c r="E92" s="74">
        <f>Data!G46</f>
        <v>6.0999999999999992E-6</v>
      </c>
      <c r="F92" s="76">
        <f>Data!H46</f>
        <v>6.0999999999999992E-6</v>
      </c>
      <c r="G92" s="76">
        <f>Data!I46</f>
        <v>6.1E-6</v>
      </c>
      <c r="H92" s="76">
        <f>Data!J46</f>
        <v>6.1E-6</v>
      </c>
      <c r="I92" s="76">
        <f>Data!K46</f>
        <v>6.1E-6</v>
      </c>
      <c r="J92" s="76">
        <f>Data!L46</f>
        <v>6.1E-6</v>
      </c>
      <c r="K92" s="1389">
        <f>Data!M46</f>
        <v>6.1E-6</v>
      </c>
      <c r="L92" s="76">
        <f>Data!N46</f>
        <v>6.1E-6</v>
      </c>
      <c r="M92" s="76">
        <f>Data!O46</f>
        <v>6.1E-6</v>
      </c>
      <c r="N92" s="76">
        <f>Data!P46</f>
        <v>6.1E-6</v>
      </c>
      <c r="O92" s="76">
        <f>Data!Q46</f>
        <v>6.1E-6</v>
      </c>
      <c r="P92" s="76">
        <f>Data!R46</f>
        <v>6.1E-6</v>
      </c>
      <c r="Q92" s="76">
        <f>Data!S46</f>
        <v>6.1E-6</v>
      </c>
      <c r="R92" s="76">
        <f>Data!T46</f>
        <v>6.1E-6</v>
      </c>
      <c r="S92" s="76">
        <f>Data!U46</f>
        <v>6.1E-6</v>
      </c>
      <c r="T92" s="76">
        <f>Data!V46</f>
        <v>6.1E-6</v>
      </c>
      <c r="U92" s="76">
        <f>Data!W46</f>
        <v>6.1E-6</v>
      </c>
      <c r="V92" s="76">
        <f>Data!X46</f>
        <v>6.1E-6</v>
      </c>
      <c r="W92" s="76">
        <f>Data!Y46</f>
        <v>6.1E-6</v>
      </c>
      <c r="X92" s="76">
        <f>Data!Z46</f>
        <v>6.1E-6</v>
      </c>
      <c r="Y92" s="76">
        <f>Data!AA46</f>
        <v>6.1E-6</v>
      </c>
      <c r="Z92" s="76">
        <f>Data!AB46</f>
        <v>6.1E-6</v>
      </c>
      <c r="AA92" s="76">
        <f>Data!AC46</f>
        <v>6.1E-6</v>
      </c>
      <c r="AB92" s="76">
        <f>Data!AD46</f>
        <v>6.1E-6</v>
      </c>
      <c r="AC92" s="76">
        <f>Data!AE46</f>
        <v>6.1E-6</v>
      </c>
      <c r="AD92" s="76">
        <f>Data!AF46</f>
        <v>6.1E-6</v>
      </c>
      <c r="AE92" s="76">
        <f>Data!AG46</f>
        <v>6.1E-6</v>
      </c>
      <c r="AF92" s="76">
        <f>Data!AH46</f>
        <v>6.1E-6</v>
      </c>
      <c r="AG92" s="76">
        <f>Data!AI46</f>
        <v>6.1E-6</v>
      </c>
      <c r="AH92" s="76">
        <f>Data!AJ46</f>
        <v>6.1E-6</v>
      </c>
      <c r="AI92" s="76">
        <f>Data!AK46</f>
        <v>6.1E-6</v>
      </c>
      <c r="AJ92" s="76">
        <f>Data!AL46</f>
        <v>6.1E-6</v>
      </c>
      <c r="AK92" s="76">
        <f>Data!AM46</f>
        <v>6.1E-6</v>
      </c>
      <c r="AL92" s="76">
        <f>Data!AN46</f>
        <v>6.1E-6</v>
      </c>
      <c r="AM92" s="76">
        <f>Data!AO46</f>
        <v>6.1E-6</v>
      </c>
      <c r="AN92" s="76">
        <f>Data!AP46</f>
        <v>6.1E-6</v>
      </c>
      <c r="AO92" s="76">
        <f>Data!AQ46</f>
        <v>6.1E-6</v>
      </c>
      <c r="AP92" s="76">
        <f>Data!AR46</f>
        <v>6.1E-6</v>
      </c>
      <c r="AQ92" s="76">
        <f>Data!AS46</f>
        <v>6.1E-6</v>
      </c>
      <c r="AR92" s="76">
        <f>Data!AT46</f>
        <v>6.1E-6</v>
      </c>
      <c r="AS92" s="76">
        <f>Data!AU46</f>
        <v>6.1E-6</v>
      </c>
      <c r="AT92" s="76">
        <f>Data!AV46</f>
        <v>6.1E-6</v>
      </c>
      <c r="AU92" s="76">
        <f>Data!AW46</f>
        <v>6.1E-6</v>
      </c>
      <c r="AV92" s="76">
        <f>Data!AX46</f>
        <v>6.1E-6</v>
      </c>
      <c r="AW92" s="76">
        <f>Data!AY46</f>
        <v>6.1E-6</v>
      </c>
      <c r="AX92" s="76">
        <f>Data!AZ46</f>
        <v>6.1E-6</v>
      </c>
      <c r="AY92" s="76">
        <f>Data!BA46</f>
        <v>6.1E-6</v>
      </c>
      <c r="AZ92" s="76">
        <f>Data!BB46</f>
        <v>6.1E-6</v>
      </c>
      <c r="BA92" s="76">
        <f>Data!BC46</f>
        <v>6.1E-6</v>
      </c>
      <c r="BB92" s="76">
        <f>Data!BD46</f>
        <v>6.1E-6</v>
      </c>
      <c r="BC92" s="76">
        <f>Data!BE46</f>
        <v>6.1E-6</v>
      </c>
      <c r="BD92" s="76">
        <f>Data!BF46</f>
        <v>6.1E-6</v>
      </c>
      <c r="BE92" s="76">
        <f>Data!BG46</f>
        <v>6.1E-6</v>
      </c>
      <c r="BF92" s="76">
        <f>Data!BH46</f>
        <v>6.1E-6</v>
      </c>
      <c r="BG92" s="76">
        <f>Data!BI46</f>
        <v>6.1E-6</v>
      </c>
      <c r="BH92" s="76">
        <f>Data!BJ46</f>
        <v>6.1E-6</v>
      </c>
      <c r="BI92" s="76">
        <f>Data!BK46</f>
        <v>6.1E-6</v>
      </c>
      <c r="BJ92" s="76">
        <f>Data!BL46</f>
        <v>6.1E-6</v>
      </c>
      <c r="BK92" s="76">
        <f>Data!BM46</f>
        <v>6.1E-6</v>
      </c>
      <c r="BL92" s="76">
        <f>Data!BN46</f>
        <v>6.1E-6</v>
      </c>
      <c r="BM92" s="76">
        <f>Data!BO46</f>
        <v>6.1E-6</v>
      </c>
      <c r="BN92" s="76">
        <f>Data!BP46</f>
        <v>6.1E-6</v>
      </c>
      <c r="BO92" s="76">
        <f>Data!BQ46</f>
        <v>6.1E-6</v>
      </c>
      <c r="BP92" s="76">
        <f>Data!BR46</f>
        <v>6.1E-6</v>
      </c>
      <c r="BQ92" s="76">
        <f>Data!BS46</f>
        <v>6.1E-6</v>
      </c>
      <c r="BR92" s="76">
        <f>Data!BT46</f>
        <v>6.1E-6</v>
      </c>
      <c r="BS92" s="76">
        <f>Data!BU46</f>
        <v>6.1E-6</v>
      </c>
      <c r="BT92" s="76">
        <f>Data!BV46</f>
        <v>6.1E-6</v>
      </c>
      <c r="BU92" s="76">
        <f>Data!BW46</f>
        <v>6.1E-6</v>
      </c>
      <c r="BV92" s="76">
        <f>Data!BX46</f>
        <v>6.1E-6</v>
      </c>
      <c r="BW92" s="76">
        <f>Data!BY46</f>
        <v>6.1E-6</v>
      </c>
      <c r="BX92" s="76">
        <f>Data!BZ46</f>
        <v>6.1E-6</v>
      </c>
      <c r="BY92" s="76">
        <f>Data!CA46</f>
        <v>6.1E-6</v>
      </c>
      <c r="BZ92" s="76">
        <f>Data!CB46</f>
        <v>6.1E-6</v>
      </c>
      <c r="CA92" s="76">
        <f>Data!CC46</f>
        <v>6.1E-6</v>
      </c>
      <c r="CB92" s="76">
        <f>Data!CD46</f>
        <v>6.1E-6</v>
      </c>
      <c r="CC92" s="76">
        <f>Data!CE46</f>
        <v>6.1E-6</v>
      </c>
      <c r="CD92" s="76">
        <f>Data!CF46</f>
        <v>6.1E-6</v>
      </c>
      <c r="CE92" s="76">
        <f>Data!CG46</f>
        <v>6.1E-6</v>
      </c>
      <c r="CF92" s="76">
        <f>Data!CH46</f>
        <v>6.1E-6</v>
      </c>
      <c r="CG92" s="76">
        <f>Data!CI46</f>
        <v>6.1E-6</v>
      </c>
      <c r="CH92" s="76">
        <f>Data!CJ46</f>
        <v>6.1E-6</v>
      </c>
      <c r="CI92" s="76">
        <f>Data!CK46</f>
        <v>6.1E-6</v>
      </c>
      <c r="CJ92" s="76">
        <f>Data!CL46</f>
        <v>6.1E-6</v>
      </c>
      <c r="CK92" s="76">
        <f>Data!CM46</f>
        <v>6.1E-6</v>
      </c>
      <c r="CL92" s="76">
        <f>Data!CN46</f>
        <v>6.1E-6</v>
      </c>
      <c r="CM92" s="76">
        <f>Data!CO46</f>
        <v>6.1E-6</v>
      </c>
      <c r="CN92" s="76">
        <f>Data!CP46</f>
        <v>6.1E-6</v>
      </c>
      <c r="CO92" s="76">
        <f>Data!CQ46</f>
        <v>6.1E-6</v>
      </c>
      <c r="CP92" s="76">
        <f>Data!CR46</f>
        <v>6.1E-6</v>
      </c>
      <c r="CQ92" s="76">
        <f>Data!CS46</f>
        <v>6.1E-6</v>
      </c>
      <c r="CR92" s="76">
        <f>Data!CT46</f>
        <v>6.1E-6</v>
      </c>
      <c r="CS92" s="76">
        <f>Data!CU46</f>
        <v>6.1E-6</v>
      </c>
      <c r="CT92" s="76">
        <f>Data!CV46</f>
        <v>6.1E-6</v>
      </c>
      <c r="CU92" s="76">
        <f>Data!CW46</f>
        <v>6.1E-6</v>
      </c>
      <c r="CV92" s="76">
        <f>Data!CX46</f>
        <v>6.1E-6</v>
      </c>
      <c r="CW92" s="76">
        <f>Data!CY46</f>
        <v>6.1E-6</v>
      </c>
      <c r="CX92" s="76">
        <f>Data!CZ46</f>
        <v>6.1E-6</v>
      </c>
      <c r="CY92" s="76">
        <f>Data!DA46</f>
        <v>6.1E-6</v>
      </c>
      <c r="CZ92" s="76">
        <f>Data!DB46</f>
        <v>6.1E-6</v>
      </c>
      <c r="DA92" s="76">
        <f>Data!DC46</f>
        <v>6.1E-6</v>
      </c>
      <c r="DB92" s="76">
        <f>Data!DD46</f>
        <v>6.1E-6</v>
      </c>
      <c r="DC92" s="76">
        <f>Data!DE46</f>
        <v>6.1E-6</v>
      </c>
      <c r="DD92" s="76">
        <f>Data!DF46</f>
        <v>6.1E-6</v>
      </c>
      <c r="DE92" s="76">
        <f>Data!DG46</f>
        <v>6.1E-6</v>
      </c>
      <c r="DF92" s="76">
        <f>Data!DH46</f>
        <v>6.1E-6</v>
      </c>
      <c r="DG92" s="76">
        <f>Data!DI46</f>
        <v>6.1E-6</v>
      </c>
      <c r="DH92" s="76">
        <f>Data!DJ46</f>
        <v>6.1E-6</v>
      </c>
      <c r="DI92" s="76">
        <f>Data!DK46</f>
        <v>6.1E-6</v>
      </c>
      <c r="DJ92" s="76">
        <f>Data!DL46</f>
        <v>6.1E-6</v>
      </c>
      <c r="DK92" s="76">
        <f>Data!DM46</f>
        <v>6.1E-6</v>
      </c>
      <c r="DL92" s="76">
        <f>Data!DN46</f>
        <v>6.1E-6</v>
      </c>
      <c r="DM92" s="76">
        <f>Data!DO46</f>
        <v>6.1E-6</v>
      </c>
      <c r="DN92" s="76">
        <f>Data!DP46</f>
        <v>6.1E-6</v>
      </c>
      <c r="DO92" s="76">
        <f>Data!DQ46</f>
        <v>6.1E-6</v>
      </c>
      <c r="DP92" s="76">
        <f>Data!DR46</f>
        <v>6.1E-6</v>
      </c>
      <c r="DQ92" s="76">
        <f>Data!DS46</f>
        <v>6.1E-6</v>
      </c>
      <c r="DR92" s="76">
        <f>Data!DT46</f>
        <v>6.1E-6</v>
      </c>
      <c r="DS92" s="76">
        <f>Data!DU46</f>
        <v>6.1E-6</v>
      </c>
      <c r="DT92" s="76">
        <f>Data!DV46</f>
        <v>6.1E-6</v>
      </c>
      <c r="DU92" s="428">
        <f>Data!DW46</f>
        <v>6.1E-6</v>
      </c>
      <c r="DV92" s="697"/>
    </row>
    <row r="93" spans="2:126" x14ac:dyDescent="0.3">
      <c r="B93" s="620" t="str">
        <f>Data!D47</f>
        <v>Ops Manager</v>
      </c>
      <c r="C93" s="579"/>
      <c r="D93" s="399"/>
      <c r="E93" s="74">
        <f>Data!G47</f>
        <v>0.5083333333333333</v>
      </c>
      <c r="F93" s="76">
        <f>Data!H47</f>
        <v>0.5083333333333333</v>
      </c>
      <c r="G93" s="76">
        <f>Data!I47</f>
        <v>0.5083333333333333</v>
      </c>
      <c r="H93" s="76">
        <f>Data!J47</f>
        <v>0.5083333333333333</v>
      </c>
      <c r="I93" s="76">
        <f>Data!K47</f>
        <v>0.5083333333333333</v>
      </c>
      <c r="J93" s="76">
        <f>Data!L47</f>
        <v>0.5083333333333333</v>
      </c>
      <c r="K93" s="1389">
        <f>Data!M47</f>
        <v>0.5083333333333333</v>
      </c>
      <c r="L93" s="76">
        <f>Data!N47</f>
        <v>0.5083333333333333</v>
      </c>
      <c r="M93" s="76">
        <f>Data!O47</f>
        <v>0.5083333333333333</v>
      </c>
      <c r="N93" s="76">
        <f>Data!P47</f>
        <v>0.5083333333333333</v>
      </c>
      <c r="O93" s="76">
        <f>Data!Q47</f>
        <v>0.5083333333333333</v>
      </c>
      <c r="P93" s="76">
        <f>Data!R47</f>
        <v>0.5083333333333333</v>
      </c>
      <c r="Q93" s="76">
        <f>Data!S47</f>
        <v>0.5083333333333333</v>
      </c>
      <c r="R93" s="76">
        <f>Data!T47</f>
        <v>0.5083333333333333</v>
      </c>
      <c r="S93" s="76">
        <f>Data!U47</f>
        <v>0.5083333333333333</v>
      </c>
      <c r="T93" s="76">
        <f>Data!V47</f>
        <v>0.5083333333333333</v>
      </c>
      <c r="U93" s="76">
        <f>Data!W47</f>
        <v>0.5083333333333333</v>
      </c>
      <c r="V93" s="76">
        <f>Data!X47</f>
        <v>0.5083333333333333</v>
      </c>
      <c r="W93" s="76">
        <f>Data!Y47</f>
        <v>0.5083333333333333</v>
      </c>
      <c r="X93" s="76">
        <f>Data!Z47</f>
        <v>0.5083333333333333</v>
      </c>
      <c r="Y93" s="76">
        <f>Data!AA47</f>
        <v>0.5083333333333333</v>
      </c>
      <c r="Z93" s="76">
        <f>Data!AB47</f>
        <v>0.5083333333333333</v>
      </c>
      <c r="AA93" s="76">
        <f>Data!AC47</f>
        <v>0.5083333333333333</v>
      </c>
      <c r="AB93" s="76">
        <f>Data!AD47</f>
        <v>0.5083333333333333</v>
      </c>
      <c r="AC93" s="76">
        <f>Data!AE47</f>
        <v>0.5083333333333333</v>
      </c>
      <c r="AD93" s="76">
        <f>Data!AF47</f>
        <v>0.5083333333333333</v>
      </c>
      <c r="AE93" s="76">
        <f>Data!AG47</f>
        <v>0.5083333333333333</v>
      </c>
      <c r="AF93" s="76">
        <f>Data!AH47</f>
        <v>0.5083333333333333</v>
      </c>
      <c r="AG93" s="76">
        <f>Data!AI47</f>
        <v>0.5083333333333333</v>
      </c>
      <c r="AH93" s="76">
        <f>Data!AJ47</f>
        <v>0.5083333333333333</v>
      </c>
      <c r="AI93" s="76">
        <f>Data!AK47</f>
        <v>0.5083333333333333</v>
      </c>
      <c r="AJ93" s="76">
        <f>Data!AL47</f>
        <v>0.5083333333333333</v>
      </c>
      <c r="AK93" s="76">
        <f>Data!AM47</f>
        <v>0.5083333333333333</v>
      </c>
      <c r="AL93" s="76">
        <f>Data!AN47</f>
        <v>0.5083333333333333</v>
      </c>
      <c r="AM93" s="76">
        <f>Data!AO47</f>
        <v>0.5083333333333333</v>
      </c>
      <c r="AN93" s="76">
        <f>Data!AP47</f>
        <v>0.5083333333333333</v>
      </c>
      <c r="AO93" s="76">
        <f>Data!AQ47</f>
        <v>0.5083333333333333</v>
      </c>
      <c r="AP93" s="76">
        <f>Data!AR47</f>
        <v>0.5083333333333333</v>
      </c>
      <c r="AQ93" s="76">
        <f>Data!AS47</f>
        <v>0.5083333333333333</v>
      </c>
      <c r="AR93" s="76">
        <f>Data!AT47</f>
        <v>0.5083333333333333</v>
      </c>
      <c r="AS93" s="76">
        <f>Data!AU47</f>
        <v>0.5083333333333333</v>
      </c>
      <c r="AT93" s="76">
        <f>Data!AV47</f>
        <v>0.5083333333333333</v>
      </c>
      <c r="AU93" s="76">
        <f>Data!AW47</f>
        <v>0.5083333333333333</v>
      </c>
      <c r="AV93" s="76">
        <f>Data!AX47</f>
        <v>0.5083333333333333</v>
      </c>
      <c r="AW93" s="76">
        <f>Data!AY47</f>
        <v>0.5083333333333333</v>
      </c>
      <c r="AX93" s="76">
        <f>Data!AZ47</f>
        <v>0.5083333333333333</v>
      </c>
      <c r="AY93" s="76">
        <f>Data!BA47</f>
        <v>0.5083333333333333</v>
      </c>
      <c r="AZ93" s="76">
        <f>Data!BB47</f>
        <v>0.5083333333333333</v>
      </c>
      <c r="BA93" s="76">
        <f>Data!BC47</f>
        <v>0.5083333333333333</v>
      </c>
      <c r="BB93" s="76">
        <f>Data!BD47</f>
        <v>0.5083333333333333</v>
      </c>
      <c r="BC93" s="76">
        <f>Data!BE47</f>
        <v>0.5083333333333333</v>
      </c>
      <c r="BD93" s="76">
        <f>Data!BF47</f>
        <v>0.5083333333333333</v>
      </c>
      <c r="BE93" s="76">
        <f>Data!BG47</f>
        <v>0.5083333333333333</v>
      </c>
      <c r="BF93" s="76">
        <f>Data!BH47</f>
        <v>0.5083333333333333</v>
      </c>
      <c r="BG93" s="76">
        <f>Data!BI47</f>
        <v>0.5083333333333333</v>
      </c>
      <c r="BH93" s="76">
        <f>Data!BJ47</f>
        <v>0.5083333333333333</v>
      </c>
      <c r="BI93" s="76">
        <f>Data!BK47</f>
        <v>0.5083333333333333</v>
      </c>
      <c r="BJ93" s="76">
        <f>Data!BL47</f>
        <v>0.5083333333333333</v>
      </c>
      <c r="BK93" s="76">
        <f>Data!BM47</f>
        <v>0.5083333333333333</v>
      </c>
      <c r="BL93" s="76">
        <f>Data!BN47</f>
        <v>0.5083333333333333</v>
      </c>
      <c r="BM93" s="76">
        <f>Data!BO47</f>
        <v>0.5083333333333333</v>
      </c>
      <c r="BN93" s="76">
        <f>Data!BP47</f>
        <v>0.5083333333333333</v>
      </c>
      <c r="BO93" s="76">
        <f>Data!BQ47</f>
        <v>0.5083333333333333</v>
      </c>
      <c r="BP93" s="76">
        <f>Data!BR47</f>
        <v>0.5083333333333333</v>
      </c>
      <c r="BQ93" s="76">
        <f>Data!BS47</f>
        <v>0.5083333333333333</v>
      </c>
      <c r="BR93" s="76">
        <f>Data!BT47</f>
        <v>0.5083333333333333</v>
      </c>
      <c r="BS93" s="76">
        <f>Data!BU47</f>
        <v>0.5083333333333333</v>
      </c>
      <c r="BT93" s="76">
        <f>Data!BV47</f>
        <v>0.5083333333333333</v>
      </c>
      <c r="BU93" s="76">
        <f>Data!BW47</f>
        <v>0.5083333333333333</v>
      </c>
      <c r="BV93" s="76">
        <f>Data!BX47</f>
        <v>0.5083333333333333</v>
      </c>
      <c r="BW93" s="76">
        <f>Data!BY47</f>
        <v>0.5083333333333333</v>
      </c>
      <c r="BX93" s="76">
        <f>Data!BZ47</f>
        <v>0.5083333333333333</v>
      </c>
      <c r="BY93" s="76">
        <f>Data!CA47</f>
        <v>0.5083333333333333</v>
      </c>
      <c r="BZ93" s="76">
        <f>Data!CB47</f>
        <v>0.5083333333333333</v>
      </c>
      <c r="CA93" s="76">
        <f>Data!CC47</f>
        <v>0.5083333333333333</v>
      </c>
      <c r="CB93" s="76">
        <f>Data!CD47</f>
        <v>0.5083333333333333</v>
      </c>
      <c r="CC93" s="76">
        <f>Data!CE47</f>
        <v>0.5083333333333333</v>
      </c>
      <c r="CD93" s="76">
        <f>Data!CF47</f>
        <v>0.5083333333333333</v>
      </c>
      <c r="CE93" s="76">
        <f>Data!CG47</f>
        <v>0.5083333333333333</v>
      </c>
      <c r="CF93" s="76">
        <f>Data!CH47</f>
        <v>0.5083333333333333</v>
      </c>
      <c r="CG93" s="76">
        <f>Data!CI47</f>
        <v>0.5083333333333333</v>
      </c>
      <c r="CH93" s="76">
        <f>Data!CJ47</f>
        <v>0.5083333333333333</v>
      </c>
      <c r="CI93" s="76">
        <f>Data!CK47</f>
        <v>0.5083333333333333</v>
      </c>
      <c r="CJ93" s="76">
        <f>Data!CL47</f>
        <v>0.5083333333333333</v>
      </c>
      <c r="CK93" s="76">
        <f>Data!CM47</f>
        <v>0.5083333333333333</v>
      </c>
      <c r="CL93" s="76">
        <f>Data!CN47</f>
        <v>0.5083333333333333</v>
      </c>
      <c r="CM93" s="76">
        <f>Data!CO47</f>
        <v>0.5083333333333333</v>
      </c>
      <c r="CN93" s="76">
        <f>Data!CP47</f>
        <v>0.5083333333333333</v>
      </c>
      <c r="CO93" s="76">
        <f>Data!CQ47</f>
        <v>0.5083333333333333</v>
      </c>
      <c r="CP93" s="76">
        <f>Data!CR47</f>
        <v>0.5083333333333333</v>
      </c>
      <c r="CQ93" s="76">
        <f>Data!CS47</f>
        <v>0.5083333333333333</v>
      </c>
      <c r="CR93" s="76">
        <f>Data!CT47</f>
        <v>0.5083333333333333</v>
      </c>
      <c r="CS93" s="76">
        <f>Data!CU47</f>
        <v>0.5083333333333333</v>
      </c>
      <c r="CT93" s="76">
        <f>Data!CV47</f>
        <v>0.5083333333333333</v>
      </c>
      <c r="CU93" s="76">
        <f>Data!CW47</f>
        <v>0.5083333333333333</v>
      </c>
      <c r="CV93" s="76">
        <f>Data!CX47</f>
        <v>0.5083333333333333</v>
      </c>
      <c r="CW93" s="76">
        <f>Data!CY47</f>
        <v>0.5083333333333333</v>
      </c>
      <c r="CX93" s="76">
        <f>Data!CZ47</f>
        <v>0.5083333333333333</v>
      </c>
      <c r="CY93" s="76">
        <f>Data!DA47</f>
        <v>0.5083333333333333</v>
      </c>
      <c r="CZ93" s="76">
        <f>Data!DB47</f>
        <v>0.5083333333333333</v>
      </c>
      <c r="DA93" s="76">
        <f>Data!DC47</f>
        <v>0.5083333333333333</v>
      </c>
      <c r="DB93" s="76">
        <f>Data!DD47</f>
        <v>0.5083333333333333</v>
      </c>
      <c r="DC93" s="76">
        <f>Data!DE47</f>
        <v>0.5083333333333333</v>
      </c>
      <c r="DD93" s="76">
        <f>Data!DF47</f>
        <v>0.5083333333333333</v>
      </c>
      <c r="DE93" s="76">
        <f>Data!DG47</f>
        <v>0.5083333333333333</v>
      </c>
      <c r="DF93" s="76">
        <f>Data!DH47</f>
        <v>0.5083333333333333</v>
      </c>
      <c r="DG93" s="76">
        <f>Data!DI47</f>
        <v>0.5083333333333333</v>
      </c>
      <c r="DH93" s="76">
        <f>Data!DJ47</f>
        <v>0.5083333333333333</v>
      </c>
      <c r="DI93" s="76">
        <f>Data!DK47</f>
        <v>0.5083333333333333</v>
      </c>
      <c r="DJ93" s="76">
        <f>Data!DL47</f>
        <v>0.5083333333333333</v>
      </c>
      <c r="DK93" s="76">
        <f>Data!DM47</f>
        <v>0.5083333333333333</v>
      </c>
      <c r="DL93" s="76">
        <f>Data!DN47</f>
        <v>0.5083333333333333</v>
      </c>
      <c r="DM93" s="76">
        <f>Data!DO47</f>
        <v>0.5083333333333333</v>
      </c>
      <c r="DN93" s="76">
        <f>Data!DP47</f>
        <v>0.5083333333333333</v>
      </c>
      <c r="DO93" s="76">
        <f>Data!DQ47</f>
        <v>0.5083333333333333</v>
      </c>
      <c r="DP93" s="76">
        <f>Data!DR47</f>
        <v>0.5083333333333333</v>
      </c>
      <c r="DQ93" s="76">
        <f>Data!DS47</f>
        <v>0.5083333333333333</v>
      </c>
      <c r="DR93" s="76">
        <f>Data!DT47</f>
        <v>0.5083333333333333</v>
      </c>
      <c r="DS93" s="76">
        <f>Data!DU47</f>
        <v>0.5083333333333333</v>
      </c>
      <c r="DT93" s="76">
        <f>Data!DV47</f>
        <v>0.5083333333333333</v>
      </c>
      <c r="DU93" s="428">
        <f>Data!DW47</f>
        <v>0.5083333333333333</v>
      </c>
      <c r="DV93" s="697"/>
    </row>
    <row r="94" spans="2:126" x14ac:dyDescent="0.3">
      <c r="B94" s="620" t="str">
        <f>Data!D48</f>
        <v>Sr Manager</v>
      </c>
      <c r="C94" s="579"/>
      <c r="D94" s="399"/>
      <c r="E94" s="74">
        <f>Data!G48</f>
        <v>6.0999999999999992E-6</v>
      </c>
      <c r="F94" s="76">
        <f>Data!H48</f>
        <v>6.0999999999999992E-6</v>
      </c>
      <c r="G94" s="76">
        <f>Data!I48</f>
        <v>6.1E-6</v>
      </c>
      <c r="H94" s="76">
        <f>Data!J48</f>
        <v>6.1E-6</v>
      </c>
      <c r="I94" s="76">
        <f>Data!K48</f>
        <v>6.1E-6</v>
      </c>
      <c r="J94" s="76">
        <f>Data!L48</f>
        <v>6.1E-6</v>
      </c>
      <c r="K94" s="1389">
        <f>Data!M48</f>
        <v>6.1E-6</v>
      </c>
      <c r="L94" s="76">
        <f>Data!N48</f>
        <v>6.1E-6</v>
      </c>
      <c r="M94" s="76">
        <f>Data!O48</f>
        <v>6.1E-6</v>
      </c>
      <c r="N94" s="76">
        <f>Data!P48</f>
        <v>6.1E-6</v>
      </c>
      <c r="O94" s="76">
        <f>Data!Q48</f>
        <v>6.1E-6</v>
      </c>
      <c r="P94" s="76">
        <f>Data!R48</f>
        <v>6.1E-6</v>
      </c>
      <c r="Q94" s="76">
        <f>Data!S48</f>
        <v>6.1E-6</v>
      </c>
      <c r="R94" s="76">
        <f>Data!T48</f>
        <v>6.1E-6</v>
      </c>
      <c r="S94" s="76">
        <f>Data!U48</f>
        <v>6.1E-6</v>
      </c>
      <c r="T94" s="76">
        <f>Data!V48</f>
        <v>6.1E-6</v>
      </c>
      <c r="U94" s="76">
        <f>Data!W48</f>
        <v>6.1E-6</v>
      </c>
      <c r="V94" s="76">
        <f>Data!X48</f>
        <v>6.1E-6</v>
      </c>
      <c r="W94" s="76">
        <f>Data!Y48</f>
        <v>6.1E-6</v>
      </c>
      <c r="X94" s="76">
        <f>Data!Z48</f>
        <v>6.1E-6</v>
      </c>
      <c r="Y94" s="76">
        <f>Data!AA48</f>
        <v>6.1E-6</v>
      </c>
      <c r="Z94" s="76">
        <f>Data!AB48</f>
        <v>6.1E-6</v>
      </c>
      <c r="AA94" s="76">
        <f>Data!AC48</f>
        <v>6.1E-6</v>
      </c>
      <c r="AB94" s="76">
        <f>Data!AD48</f>
        <v>6.1E-6</v>
      </c>
      <c r="AC94" s="76">
        <f>Data!AE48</f>
        <v>6.1E-6</v>
      </c>
      <c r="AD94" s="76">
        <f>Data!AF48</f>
        <v>6.1E-6</v>
      </c>
      <c r="AE94" s="76">
        <f>Data!AG48</f>
        <v>6.1E-6</v>
      </c>
      <c r="AF94" s="76">
        <f>Data!AH48</f>
        <v>6.1E-6</v>
      </c>
      <c r="AG94" s="76">
        <f>Data!AI48</f>
        <v>6.1E-6</v>
      </c>
      <c r="AH94" s="76">
        <f>Data!AJ48</f>
        <v>6.1E-6</v>
      </c>
      <c r="AI94" s="76">
        <f>Data!AK48</f>
        <v>6.1E-6</v>
      </c>
      <c r="AJ94" s="76">
        <f>Data!AL48</f>
        <v>6.1E-6</v>
      </c>
      <c r="AK94" s="76">
        <f>Data!AM48</f>
        <v>6.1E-6</v>
      </c>
      <c r="AL94" s="76">
        <f>Data!AN48</f>
        <v>6.1E-6</v>
      </c>
      <c r="AM94" s="76">
        <f>Data!AO48</f>
        <v>6.1E-6</v>
      </c>
      <c r="AN94" s="76">
        <f>Data!AP48</f>
        <v>6.1E-6</v>
      </c>
      <c r="AO94" s="76">
        <f>Data!AQ48</f>
        <v>6.1E-6</v>
      </c>
      <c r="AP94" s="76">
        <f>Data!AR48</f>
        <v>6.1E-6</v>
      </c>
      <c r="AQ94" s="76">
        <f>Data!AS48</f>
        <v>6.1E-6</v>
      </c>
      <c r="AR94" s="76">
        <f>Data!AT48</f>
        <v>6.1E-6</v>
      </c>
      <c r="AS94" s="76">
        <f>Data!AU48</f>
        <v>6.1E-6</v>
      </c>
      <c r="AT94" s="76">
        <f>Data!AV48</f>
        <v>6.1E-6</v>
      </c>
      <c r="AU94" s="76">
        <f>Data!AW48</f>
        <v>6.1E-6</v>
      </c>
      <c r="AV94" s="76">
        <f>Data!AX48</f>
        <v>6.1E-6</v>
      </c>
      <c r="AW94" s="76">
        <f>Data!AY48</f>
        <v>6.1E-6</v>
      </c>
      <c r="AX94" s="76">
        <f>Data!AZ48</f>
        <v>6.1E-6</v>
      </c>
      <c r="AY94" s="76">
        <f>Data!BA48</f>
        <v>6.1E-6</v>
      </c>
      <c r="AZ94" s="76">
        <f>Data!BB48</f>
        <v>6.1E-6</v>
      </c>
      <c r="BA94" s="76">
        <f>Data!BC48</f>
        <v>6.1E-6</v>
      </c>
      <c r="BB94" s="76">
        <f>Data!BD48</f>
        <v>6.1E-6</v>
      </c>
      <c r="BC94" s="76">
        <f>Data!BE48</f>
        <v>6.1E-6</v>
      </c>
      <c r="BD94" s="76">
        <f>Data!BF48</f>
        <v>6.1E-6</v>
      </c>
      <c r="BE94" s="76">
        <f>Data!BG48</f>
        <v>6.1E-6</v>
      </c>
      <c r="BF94" s="76">
        <f>Data!BH48</f>
        <v>6.1E-6</v>
      </c>
      <c r="BG94" s="76">
        <f>Data!BI48</f>
        <v>6.1E-6</v>
      </c>
      <c r="BH94" s="76">
        <f>Data!BJ48</f>
        <v>6.1E-6</v>
      </c>
      <c r="BI94" s="76">
        <f>Data!BK48</f>
        <v>6.1E-6</v>
      </c>
      <c r="BJ94" s="76">
        <f>Data!BL48</f>
        <v>6.1E-6</v>
      </c>
      <c r="BK94" s="76">
        <f>Data!BM48</f>
        <v>6.1E-6</v>
      </c>
      <c r="BL94" s="76">
        <f>Data!BN48</f>
        <v>6.1E-6</v>
      </c>
      <c r="BM94" s="76">
        <f>Data!BO48</f>
        <v>6.1E-6</v>
      </c>
      <c r="BN94" s="76">
        <f>Data!BP48</f>
        <v>6.1E-6</v>
      </c>
      <c r="BO94" s="76">
        <f>Data!BQ48</f>
        <v>6.1E-6</v>
      </c>
      <c r="BP94" s="76">
        <f>Data!BR48</f>
        <v>6.1E-6</v>
      </c>
      <c r="BQ94" s="76">
        <f>Data!BS48</f>
        <v>6.1E-6</v>
      </c>
      <c r="BR94" s="76">
        <f>Data!BT48</f>
        <v>6.1E-6</v>
      </c>
      <c r="BS94" s="76">
        <f>Data!BU48</f>
        <v>6.1E-6</v>
      </c>
      <c r="BT94" s="76">
        <f>Data!BV48</f>
        <v>6.1E-6</v>
      </c>
      <c r="BU94" s="76">
        <f>Data!BW48</f>
        <v>6.1E-6</v>
      </c>
      <c r="BV94" s="76">
        <f>Data!BX48</f>
        <v>6.1E-6</v>
      </c>
      <c r="BW94" s="76">
        <f>Data!BY48</f>
        <v>6.1E-6</v>
      </c>
      <c r="BX94" s="76">
        <f>Data!BZ48</f>
        <v>6.1E-6</v>
      </c>
      <c r="BY94" s="76">
        <f>Data!CA48</f>
        <v>6.1E-6</v>
      </c>
      <c r="BZ94" s="76">
        <f>Data!CB48</f>
        <v>6.1E-6</v>
      </c>
      <c r="CA94" s="76">
        <f>Data!CC48</f>
        <v>6.1E-6</v>
      </c>
      <c r="CB94" s="76">
        <f>Data!CD48</f>
        <v>6.1E-6</v>
      </c>
      <c r="CC94" s="76">
        <f>Data!CE48</f>
        <v>6.1E-6</v>
      </c>
      <c r="CD94" s="76">
        <f>Data!CF48</f>
        <v>6.1E-6</v>
      </c>
      <c r="CE94" s="76">
        <f>Data!CG48</f>
        <v>6.1E-6</v>
      </c>
      <c r="CF94" s="76">
        <f>Data!CH48</f>
        <v>6.1E-6</v>
      </c>
      <c r="CG94" s="76">
        <f>Data!CI48</f>
        <v>6.1E-6</v>
      </c>
      <c r="CH94" s="76">
        <f>Data!CJ48</f>
        <v>6.1E-6</v>
      </c>
      <c r="CI94" s="76">
        <f>Data!CK48</f>
        <v>6.1E-6</v>
      </c>
      <c r="CJ94" s="76">
        <f>Data!CL48</f>
        <v>6.1E-6</v>
      </c>
      <c r="CK94" s="76">
        <f>Data!CM48</f>
        <v>6.1E-6</v>
      </c>
      <c r="CL94" s="76">
        <f>Data!CN48</f>
        <v>6.1E-6</v>
      </c>
      <c r="CM94" s="76">
        <f>Data!CO48</f>
        <v>6.1E-6</v>
      </c>
      <c r="CN94" s="76">
        <f>Data!CP48</f>
        <v>6.1E-6</v>
      </c>
      <c r="CO94" s="76">
        <f>Data!CQ48</f>
        <v>6.1E-6</v>
      </c>
      <c r="CP94" s="76">
        <f>Data!CR48</f>
        <v>6.1E-6</v>
      </c>
      <c r="CQ94" s="76">
        <f>Data!CS48</f>
        <v>6.1E-6</v>
      </c>
      <c r="CR94" s="76">
        <f>Data!CT48</f>
        <v>6.1E-6</v>
      </c>
      <c r="CS94" s="76">
        <f>Data!CU48</f>
        <v>6.1E-6</v>
      </c>
      <c r="CT94" s="76">
        <f>Data!CV48</f>
        <v>6.1E-6</v>
      </c>
      <c r="CU94" s="76">
        <f>Data!CW48</f>
        <v>6.1E-6</v>
      </c>
      <c r="CV94" s="76">
        <f>Data!CX48</f>
        <v>6.1E-6</v>
      </c>
      <c r="CW94" s="76">
        <f>Data!CY48</f>
        <v>6.1E-6</v>
      </c>
      <c r="CX94" s="76">
        <f>Data!CZ48</f>
        <v>6.1E-6</v>
      </c>
      <c r="CY94" s="76">
        <f>Data!DA48</f>
        <v>6.1E-6</v>
      </c>
      <c r="CZ94" s="76">
        <f>Data!DB48</f>
        <v>6.1E-6</v>
      </c>
      <c r="DA94" s="76">
        <f>Data!DC48</f>
        <v>6.1E-6</v>
      </c>
      <c r="DB94" s="76">
        <f>Data!DD48</f>
        <v>6.1E-6</v>
      </c>
      <c r="DC94" s="76">
        <f>Data!DE48</f>
        <v>6.1E-6</v>
      </c>
      <c r="DD94" s="76">
        <f>Data!DF48</f>
        <v>6.1E-6</v>
      </c>
      <c r="DE94" s="76">
        <f>Data!DG48</f>
        <v>6.1E-6</v>
      </c>
      <c r="DF94" s="76">
        <f>Data!DH48</f>
        <v>6.1E-6</v>
      </c>
      <c r="DG94" s="76">
        <f>Data!DI48</f>
        <v>6.1E-6</v>
      </c>
      <c r="DH94" s="76">
        <f>Data!DJ48</f>
        <v>6.1E-6</v>
      </c>
      <c r="DI94" s="76">
        <f>Data!DK48</f>
        <v>6.1E-6</v>
      </c>
      <c r="DJ94" s="76">
        <f>Data!DL48</f>
        <v>6.1E-6</v>
      </c>
      <c r="DK94" s="76">
        <f>Data!DM48</f>
        <v>6.1E-6</v>
      </c>
      <c r="DL94" s="76">
        <f>Data!DN48</f>
        <v>6.1E-6</v>
      </c>
      <c r="DM94" s="76">
        <f>Data!DO48</f>
        <v>6.1E-6</v>
      </c>
      <c r="DN94" s="76">
        <f>Data!DP48</f>
        <v>6.1E-6</v>
      </c>
      <c r="DO94" s="76">
        <f>Data!DQ48</f>
        <v>6.1E-6</v>
      </c>
      <c r="DP94" s="76">
        <f>Data!DR48</f>
        <v>6.1E-6</v>
      </c>
      <c r="DQ94" s="76">
        <f>Data!DS48</f>
        <v>6.1E-6</v>
      </c>
      <c r="DR94" s="76">
        <f>Data!DT48</f>
        <v>6.1E-6</v>
      </c>
      <c r="DS94" s="76">
        <f>Data!DU48</f>
        <v>6.1E-6</v>
      </c>
      <c r="DT94" s="76">
        <f>Data!DV48</f>
        <v>6.1E-6</v>
      </c>
      <c r="DU94" s="428">
        <f>Data!DW48</f>
        <v>6.1E-6</v>
      </c>
      <c r="DV94" s="697"/>
    </row>
    <row r="95" spans="2:126" x14ac:dyDescent="0.3">
      <c r="B95" s="620" t="str">
        <f>Data!D49</f>
        <v>DGM / AD</v>
      </c>
      <c r="C95" s="579"/>
      <c r="D95" s="399"/>
      <c r="E95" s="74">
        <f>Data!G49</f>
        <v>0.12708333333333333</v>
      </c>
      <c r="F95" s="76">
        <f>Data!H49</f>
        <v>0.12708333333333333</v>
      </c>
      <c r="G95" s="76">
        <f>Data!I49</f>
        <v>0.12708333333333333</v>
      </c>
      <c r="H95" s="76">
        <f>Data!J49</f>
        <v>0.12708333333333333</v>
      </c>
      <c r="I95" s="76">
        <f>Data!K49</f>
        <v>0.12708333333333333</v>
      </c>
      <c r="J95" s="1389">
        <f>Data!L49</f>
        <v>0.12708333333333333</v>
      </c>
      <c r="K95" s="1389">
        <f>Data!M49</f>
        <v>0.12708333333333333</v>
      </c>
      <c r="L95" s="76">
        <f>Data!N49</f>
        <v>0.12708333333333333</v>
      </c>
      <c r="M95" s="76">
        <f>Data!O49</f>
        <v>0.12708333333333333</v>
      </c>
      <c r="N95" s="76">
        <f>Data!P49</f>
        <v>0.12708333333333333</v>
      </c>
      <c r="O95" s="76">
        <f>Data!Q49</f>
        <v>0.12708333333333333</v>
      </c>
      <c r="P95" s="76">
        <f>Data!R49</f>
        <v>0.12708333333333333</v>
      </c>
      <c r="Q95" s="76">
        <f>Data!S49</f>
        <v>0.12708333333333333</v>
      </c>
      <c r="R95" s="76">
        <f>Data!T49</f>
        <v>0.12708333333333333</v>
      </c>
      <c r="S95" s="76">
        <f>Data!U49</f>
        <v>0.12708333333333333</v>
      </c>
      <c r="T95" s="76">
        <f>Data!V49</f>
        <v>0.12708333333333333</v>
      </c>
      <c r="U95" s="76">
        <f>Data!W49</f>
        <v>0.12708333333333333</v>
      </c>
      <c r="V95" s="76">
        <f>Data!X49</f>
        <v>0.12708333333333333</v>
      </c>
      <c r="W95" s="76">
        <f>Data!Y49</f>
        <v>0.12708333333333333</v>
      </c>
      <c r="X95" s="76">
        <f>Data!Z49</f>
        <v>0.12708333333333333</v>
      </c>
      <c r="Y95" s="76">
        <f>Data!AA49</f>
        <v>0.12708333333333333</v>
      </c>
      <c r="Z95" s="76">
        <f>Data!AB49</f>
        <v>0.12708333333333333</v>
      </c>
      <c r="AA95" s="76">
        <f>Data!AC49</f>
        <v>0.12708333333333333</v>
      </c>
      <c r="AB95" s="76">
        <f>Data!AD49</f>
        <v>0.12708333333333333</v>
      </c>
      <c r="AC95" s="76">
        <f>Data!AE49</f>
        <v>0.12708333333333333</v>
      </c>
      <c r="AD95" s="76">
        <f>Data!AF49</f>
        <v>0.12708333333333333</v>
      </c>
      <c r="AE95" s="76">
        <f>Data!AG49</f>
        <v>0.12708333333333333</v>
      </c>
      <c r="AF95" s="76">
        <f>Data!AH49</f>
        <v>0.12708333333333333</v>
      </c>
      <c r="AG95" s="76">
        <f>Data!AI49</f>
        <v>0.12708333333333333</v>
      </c>
      <c r="AH95" s="76">
        <f>Data!AJ49</f>
        <v>0.12708333333333333</v>
      </c>
      <c r="AI95" s="76">
        <f>Data!AK49</f>
        <v>0.12708333333333333</v>
      </c>
      <c r="AJ95" s="76">
        <f>Data!AL49</f>
        <v>0.12708333333333333</v>
      </c>
      <c r="AK95" s="76">
        <f>Data!AM49</f>
        <v>0.12708333333333333</v>
      </c>
      <c r="AL95" s="76">
        <f>Data!AN49</f>
        <v>0.12708333333333333</v>
      </c>
      <c r="AM95" s="76">
        <f>Data!AO49</f>
        <v>0.12708333333333333</v>
      </c>
      <c r="AN95" s="76">
        <f>Data!AP49</f>
        <v>0.12708333333333333</v>
      </c>
      <c r="AO95" s="76">
        <f>Data!AQ49</f>
        <v>0.12708333333333333</v>
      </c>
      <c r="AP95" s="76">
        <f>Data!AR49</f>
        <v>0.12708333333333333</v>
      </c>
      <c r="AQ95" s="76">
        <f>Data!AS49</f>
        <v>0.12708333333333333</v>
      </c>
      <c r="AR95" s="76">
        <f>Data!AT49</f>
        <v>0.12708333333333333</v>
      </c>
      <c r="AS95" s="76">
        <f>Data!AU49</f>
        <v>0.12708333333333333</v>
      </c>
      <c r="AT95" s="76">
        <f>Data!AV49</f>
        <v>0.12708333333333333</v>
      </c>
      <c r="AU95" s="76">
        <f>Data!AW49</f>
        <v>0.12708333333333333</v>
      </c>
      <c r="AV95" s="76">
        <f>Data!AX49</f>
        <v>0.12708333333333333</v>
      </c>
      <c r="AW95" s="76">
        <f>Data!AY49</f>
        <v>0.12708333333333333</v>
      </c>
      <c r="AX95" s="76">
        <f>Data!AZ49</f>
        <v>0.12708333333333333</v>
      </c>
      <c r="AY95" s="76">
        <f>Data!BA49</f>
        <v>0.12708333333333333</v>
      </c>
      <c r="AZ95" s="76">
        <f>Data!BB49</f>
        <v>0.12708333333333333</v>
      </c>
      <c r="BA95" s="76">
        <f>Data!BC49</f>
        <v>0.12708333333333333</v>
      </c>
      <c r="BB95" s="76">
        <f>Data!BD49</f>
        <v>0.12708333333333333</v>
      </c>
      <c r="BC95" s="76">
        <f>Data!BE49</f>
        <v>0.12708333333333333</v>
      </c>
      <c r="BD95" s="76">
        <f>Data!BF49</f>
        <v>0.12708333333333333</v>
      </c>
      <c r="BE95" s="76">
        <f>Data!BG49</f>
        <v>0.12708333333333333</v>
      </c>
      <c r="BF95" s="76">
        <f>Data!BH49</f>
        <v>0.12708333333333333</v>
      </c>
      <c r="BG95" s="76">
        <f>Data!BI49</f>
        <v>0.12708333333333333</v>
      </c>
      <c r="BH95" s="76">
        <f>Data!BJ49</f>
        <v>0.12708333333333333</v>
      </c>
      <c r="BI95" s="76">
        <f>Data!BK49</f>
        <v>0.12708333333333333</v>
      </c>
      <c r="BJ95" s="76">
        <f>Data!BL49</f>
        <v>0.12708333333333333</v>
      </c>
      <c r="BK95" s="76">
        <f>Data!BM49</f>
        <v>0.12708333333333333</v>
      </c>
      <c r="BL95" s="76">
        <f>Data!BN49</f>
        <v>0.12708333333333333</v>
      </c>
      <c r="BM95" s="76">
        <f>Data!BO49</f>
        <v>0.12708333333333333</v>
      </c>
      <c r="BN95" s="76">
        <f>Data!BP49</f>
        <v>0.12708333333333333</v>
      </c>
      <c r="BO95" s="76">
        <f>Data!BQ49</f>
        <v>0.12708333333333333</v>
      </c>
      <c r="BP95" s="76">
        <f>Data!BR49</f>
        <v>0.12708333333333333</v>
      </c>
      <c r="BQ95" s="76">
        <f>Data!BS49</f>
        <v>0.12708333333333333</v>
      </c>
      <c r="BR95" s="76">
        <f>Data!BT49</f>
        <v>0.12708333333333333</v>
      </c>
      <c r="BS95" s="76">
        <f>Data!BU49</f>
        <v>0.12708333333333333</v>
      </c>
      <c r="BT95" s="76">
        <f>Data!BV49</f>
        <v>0.12708333333333333</v>
      </c>
      <c r="BU95" s="76">
        <f>Data!BW49</f>
        <v>0.12708333333333333</v>
      </c>
      <c r="BV95" s="76">
        <f>Data!BX49</f>
        <v>0.12708333333333333</v>
      </c>
      <c r="BW95" s="76">
        <f>Data!BY49</f>
        <v>0.12708333333333333</v>
      </c>
      <c r="BX95" s="76">
        <f>Data!BZ49</f>
        <v>0.12708333333333333</v>
      </c>
      <c r="BY95" s="76">
        <f>Data!CA49</f>
        <v>0.12708333333333333</v>
      </c>
      <c r="BZ95" s="76">
        <f>Data!CB49</f>
        <v>0.12708333333333333</v>
      </c>
      <c r="CA95" s="76">
        <f>Data!CC49</f>
        <v>0.12708333333333333</v>
      </c>
      <c r="CB95" s="76">
        <f>Data!CD49</f>
        <v>0.12708333333333333</v>
      </c>
      <c r="CC95" s="76">
        <f>Data!CE49</f>
        <v>0.12708333333333333</v>
      </c>
      <c r="CD95" s="76">
        <f>Data!CF49</f>
        <v>0.12708333333333333</v>
      </c>
      <c r="CE95" s="76">
        <f>Data!CG49</f>
        <v>0.12708333333333333</v>
      </c>
      <c r="CF95" s="76">
        <f>Data!CH49</f>
        <v>0.12708333333333333</v>
      </c>
      <c r="CG95" s="76">
        <f>Data!CI49</f>
        <v>0.12708333333333333</v>
      </c>
      <c r="CH95" s="76">
        <f>Data!CJ49</f>
        <v>0.12708333333333333</v>
      </c>
      <c r="CI95" s="76">
        <f>Data!CK49</f>
        <v>0.12708333333333333</v>
      </c>
      <c r="CJ95" s="76">
        <f>Data!CL49</f>
        <v>0.12708333333333333</v>
      </c>
      <c r="CK95" s="76">
        <f>Data!CM49</f>
        <v>0.12708333333333333</v>
      </c>
      <c r="CL95" s="76">
        <f>Data!CN49</f>
        <v>0.12708333333333333</v>
      </c>
      <c r="CM95" s="76">
        <f>Data!CO49</f>
        <v>0.12708333333333333</v>
      </c>
      <c r="CN95" s="76">
        <f>Data!CP49</f>
        <v>0.12708333333333333</v>
      </c>
      <c r="CO95" s="76">
        <f>Data!CQ49</f>
        <v>0.12708333333333333</v>
      </c>
      <c r="CP95" s="76">
        <f>Data!CR49</f>
        <v>0.12708333333333333</v>
      </c>
      <c r="CQ95" s="76">
        <f>Data!CS49</f>
        <v>0.12708333333333333</v>
      </c>
      <c r="CR95" s="76">
        <f>Data!CT49</f>
        <v>0.12708333333333333</v>
      </c>
      <c r="CS95" s="76">
        <f>Data!CU49</f>
        <v>0.12708333333333333</v>
      </c>
      <c r="CT95" s="76">
        <f>Data!CV49</f>
        <v>0.12708333333333333</v>
      </c>
      <c r="CU95" s="76">
        <f>Data!CW49</f>
        <v>0.12708333333333333</v>
      </c>
      <c r="CV95" s="76">
        <f>Data!CX49</f>
        <v>0.12708333333333333</v>
      </c>
      <c r="CW95" s="76">
        <f>Data!CY49</f>
        <v>0.12708333333333333</v>
      </c>
      <c r="CX95" s="76">
        <f>Data!CZ49</f>
        <v>0.12708333333333333</v>
      </c>
      <c r="CY95" s="76">
        <f>Data!DA49</f>
        <v>0.12708333333333333</v>
      </c>
      <c r="CZ95" s="76">
        <f>Data!DB49</f>
        <v>0.12708333333333333</v>
      </c>
      <c r="DA95" s="76">
        <f>Data!DC49</f>
        <v>0.12708333333333333</v>
      </c>
      <c r="DB95" s="76">
        <f>Data!DD49</f>
        <v>0.12708333333333333</v>
      </c>
      <c r="DC95" s="76">
        <f>Data!DE49</f>
        <v>0.12708333333333333</v>
      </c>
      <c r="DD95" s="76">
        <f>Data!DF49</f>
        <v>0.12708333333333333</v>
      </c>
      <c r="DE95" s="76">
        <f>Data!DG49</f>
        <v>0.12708333333333333</v>
      </c>
      <c r="DF95" s="76">
        <f>Data!DH49</f>
        <v>0.12708333333333333</v>
      </c>
      <c r="DG95" s="76">
        <f>Data!DI49</f>
        <v>0.12708333333333333</v>
      </c>
      <c r="DH95" s="76">
        <f>Data!DJ49</f>
        <v>0.12708333333333333</v>
      </c>
      <c r="DI95" s="76">
        <f>Data!DK49</f>
        <v>0.12708333333333333</v>
      </c>
      <c r="DJ95" s="76">
        <f>Data!DL49</f>
        <v>0.12708333333333333</v>
      </c>
      <c r="DK95" s="76">
        <f>Data!DM49</f>
        <v>0.12708333333333333</v>
      </c>
      <c r="DL95" s="76">
        <f>Data!DN49</f>
        <v>0.12708333333333333</v>
      </c>
      <c r="DM95" s="76">
        <f>Data!DO49</f>
        <v>0.12708333333333333</v>
      </c>
      <c r="DN95" s="76">
        <f>Data!DP49</f>
        <v>0.12708333333333333</v>
      </c>
      <c r="DO95" s="76">
        <f>Data!DQ49</f>
        <v>0.12708333333333333</v>
      </c>
      <c r="DP95" s="76">
        <f>Data!DR49</f>
        <v>0.12708333333333333</v>
      </c>
      <c r="DQ95" s="76">
        <f>Data!DS49</f>
        <v>0.12708333333333333</v>
      </c>
      <c r="DR95" s="76">
        <f>Data!DT49</f>
        <v>0.12708333333333333</v>
      </c>
      <c r="DS95" s="76">
        <f>Data!DU49</f>
        <v>0.12708333333333333</v>
      </c>
      <c r="DT95" s="76">
        <f>Data!DV49</f>
        <v>0.12708333333333333</v>
      </c>
      <c r="DU95" s="428">
        <f>Data!DW49</f>
        <v>0.12708333333333333</v>
      </c>
      <c r="DV95" s="697"/>
    </row>
    <row r="96" spans="2:126" x14ac:dyDescent="0.3">
      <c r="B96" s="620" t="str">
        <f>Data!D50</f>
        <v>GM / Director</v>
      </c>
      <c r="C96" s="579"/>
      <c r="D96" s="399"/>
      <c r="E96" s="74">
        <f>Data!G50</f>
        <v>6.3541666666666663E-2</v>
      </c>
      <c r="F96" s="76">
        <f>Data!H50</f>
        <v>6.3541666666666663E-2</v>
      </c>
      <c r="G96" s="76">
        <f>Data!I50</f>
        <v>6.3541666666666663E-2</v>
      </c>
      <c r="H96" s="76">
        <f>Data!J50</f>
        <v>6.3541666666666663E-2</v>
      </c>
      <c r="I96" s="76">
        <f>Data!K50</f>
        <v>6.3541666666666663E-2</v>
      </c>
      <c r="J96" s="1389">
        <f>Data!L50</f>
        <v>6.3541666666666663E-2</v>
      </c>
      <c r="K96" s="1389">
        <f>Data!M50</f>
        <v>6.3541666666666663E-2</v>
      </c>
      <c r="L96" s="76">
        <f>Data!N50</f>
        <v>6.3541666666666663E-2</v>
      </c>
      <c r="M96" s="76">
        <f>Data!O50</f>
        <v>6.3541666666666663E-2</v>
      </c>
      <c r="N96" s="76">
        <f>Data!P50</f>
        <v>6.3541666666666663E-2</v>
      </c>
      <c r="O96" s="76">
        <f>Data!Q50</f>
        <v>6.3541666666666663E-2</v>
      </c>
      <c r="P96" s="76">
        <f>Data!R50</f>
        <v>6.3541666666666663E-2</v>
      </c>
      <c r="Q96" s="76">
        <f>Data!S50</f>
        <v>6.3541666666666663E-2</v>
      </c>
      <c r="R96" s="76">
        <f>Data!T50</f>
        <v>6.3541666666666663E-2</v>
      </c>
      <c r="S96" s="76">
        <f>Data!U50</f>
        <v>6.3541666666666663E-2</v>
      </c>
      <c r="T96" s="76">
        <f>Data!V50</f>
        <v>6.3541666666666663E-2</v>
      </c>
      <c r="U96" s="76">
        <f>Data!W50</f>
        <v>6.3541666666666663E-2</v>
      </c>
      <c r="V96" s="76">
        <f>Data!X50</f>
        <v>6.3541666666666663E-2</v>
      </c>
      <c r="W96" s="76">
        <f>Data!Y50</f>
        <v>6.3541666666666663E-2</v>
      </c>
      <c r="X96" s="76">
        <f>Data!Z50</f>
        <v>6.3541666666666663E-2</v>
      </c>
      <c r="Y96" s="76">
        <f>Data!AA50</f>
        <v>6.3541666666666663E-2</v>
      </c>
      <c r="Z96" s="76">
        <f>Data!AB50</f>
        <v>6.3541666666666663E-2</v>
      </c>
      <c r="AA96" s="76">
        <f>Data!AC50</f>
        <v>6.3541666666666663E-2</v>
      </c>
      <c r="AB96" s="76">
        <f>Data!AD50</f>
        <v>6.3541666666666663E-2</v>
      </c>
      <c r="AC96" s="76">
        <f>Data!AE50</f>
        <v>6.3541666666666663E-2</v>
      </c>
      <c r="AD96" s="76">
        <f>Data!AF50</f>
        <v>6.3541666666666663E-2</v>
      </c>
      <c r="AE96" s="76">
        <f>Data!AG50</f>
        <v>6.3541666666666663E-2</v>
      </c>
      <c r="AF96" s="76">
        <f>Data!AH50</f>
        <v>6.3541666666666663E-2</v>
      </c>
      <c r="AG96" s="76">
        <f>Data!AI50</f>
        <v>6.3541666666666663E-2</v>
      </c>
      <c r="AH96" s="76">
        <f>Data!AJ50</f>
        <v>6.3541666666666663E-2</v>
      </c>
      <c r="AI96" s="76">
        <f>Data!AK50</f>
        <v>6.3541666666666663E-2</v>
      </c>
      <c r="AJ96" s="76">
        <f>Data!AL50</f>
        <v>6.3541666666666663E-2</v>
      </c>
      <c r="AK96" s="76">
        <f>Data!AM50</f>
        <v>6.3541666666666663E-2</v>
      </c>
      <c r="AL96" s="76">
        <f>Data!AN50</f>
        <v>6.3541666666666663E-2</v>
      </c>
      <c r="AM96" s="76">
        <f>Data!AO50</f>
        <v>6.3541666666666663E-2</v>
      </c>
      <c r="AN96" s="76">
        <f>Data!AP50</f>
        <v>6.3541666666666663E-2</v>
      </c>
      <c r="AO96" s="76">
        <f>Data!AQ50</f>
        <v>6.3541666666666663E-2</v>
      </c>
      <c r="AP96" s="76">
        <f>Data!AR50</f>
        <v>6.3541666666666663E-2</v>
      </c>
      <c r="AQ96" s="76">
        <f>Data!AS50</f>
        <v>6.3541666666666663E-2</v>
      </c>
      <c r="AR96" s="76">
        <f>Data!AT50</f>
        <v>6.3541666666666663E-2</v>
      </c>
      <c r="AS96" s="76">
        <f>Data!AU50</f>
        <v>6.3541666666666663E-2</v>
      </c>
      <c r="AT96" s="76">
        <f>Data!AV50</f>
        <v>6.3541666666666663E-2</v>
      </c>
      <c r="AU96" s="76">
        <f>Data!AW50</f>
        <v>6.3541666666666663E-2</v>
      </c>
      <c r="AV96" s="76">
        <f>Data!AX50</f>
        <v>6.3541666666666663E-2</v>
      </c>
      <c r="AW96" s="76">
        <f>Data!AY50</f>
        <v>6.3541666666666663E-2</v>
      </c>
      <c r="AX96" s="76">
        <f>Data!AZ50</f>
        <v>6.3541666666666663E-2</v>
      </c>
      <c r="AY96" s="76">
        <f>Data!BA50</f>
        <v>6.3541666666666663E-2</v>
      </c>
      <c r="AZ96" s="76">
        <f>Data!BB50</f>
        <v>6.3541666666666663E-2</v>
      </c>
      <c r="BA96" s="76">
        <f>Data!BC50</f>
        <v>6.3541666666666663E-2</v>
      </c>
      <c r="BB96" s="76">
        <f>Data!BD50</f>
        <v>6.3541666666666663E-2</v>
      </c>
      <c r="BC96" s="76">
        <f>Data!BE50</f>
        <v>6.3541666666666663E-2</v>
      </c>
      <c r="BD96" s="76">
        <f>Data!BF50</f>
        <v>6.3541666666666663E-2</v>
      </c>
      <c r="BE96" s="76">
        <f>Data!BG50</f>
        <v>6.3541666666666663E-2</v>
      </c>
      <c r="BF96" s="76">
        <f>Data!BH50</f>
        <v>6.3541666666666663E-2</v>
      </c>
      <c r="BG96" s="76">
        <f>Data!BI50</f>
        <v>6.3541666666666663E-2</v>
      </c>
      <c r="BH96" s="76">
        <f>Data!BJ50</f>
        <v>6.3541666666666663E-2</v>
      </c>
      <c r="BI96" s="76">
        <f>Data!BK50</f>
        <v>6.3541666666666663E-2</v>
      </c>
      <c r="BJ96" s="76">
        <f>Data!BL50</f>
        <v>6.3541666666666663E-2</v>
      </c>
      <c r="BK96" s="76">
        <f>Data!BM50</f>
        <v>6.3541666666666663E-2</v>
      </c>
      <c r="BL96" s="76">
        <f>Data!BN50</f>
        <v>6.3541666666666663E-2</v>
      </c>
      <c r="BM96" s="76">
        <f>Data!BO50</f>
        <v>6.3541666666666663E-2</v>
      </c>
      <c r="BN96" s="76">
        <f>Data!BP50</f>
        <v>6.3541666666666663E-2</v>
      </c>
      <c r="BO96" s="76">
        <f>Data!BQ50</f>
        <v>6.3541666666666663E-2</v>
      </c>
      <c r="BP96" s="76">
        <f>Data!BR50</f>
        <v>6.3541666666666663E-2</v>
      </c>
      <c r="BQ96" s="76">
        <f>Data!BS50</f>
        <v>6.3541666666666663E-2</v>
      </c>
      <c r="BR96" s="76">
        <f>Data!BT50</f>
        <v>6.3541666666666663E-2</v>
      </c>
      <c r="BS96" s="76">
        <f>Data!BU50</f>
        <v>6.3541666666666663E-2</v>
      </c>
      <c r="BT96" s="76">
        <f>Data!BV50</f>
        <v>6.3541666666666663E-2</v>
      </c>
      <c r="BU96" s="76">
        <f>Data!BW50</f>
        <v>6.3541666666666663E-2</v>
      </c>
      <c r="BV96" s="76">
        <f>Data!BX50</f>
        <v>6.3541666666666663E-2</v>
      </c>
      <c r="BW96" s="76">
        <f>Data!BY50</f>
        <v>6.3541666666666663E-2</v>
      </c>
      <c r="BX96" s="76">
        <f>Data!BZ50</f>
        <v>6.3541666666666663E-2</v>
      </c>
      <c r="BY96" s="76">
        <f>Data!CA50</f>
        <v>6.3541666666666663E-2</v>
      </c>
      <c r="BZ96" s="76">
        <f>Data!CB50</f>
        <v>6.3541666666666663E-2</v>
      </c>
      <c r="CA96" s="76">
        <f>Data!CC50</f>
        <v>6.3541666666666663E-2</v>
      </c>
      <c r="CB96" s="76">
        <f>Data!CD50</f>
        <v>6.3541666666666663E-2</v>
      </c>
      <c r="CC96" s="76">
        <f>Data!CE50</f>
        <v>6.3541666666666663E-2</v>
      </c>
      <c r="CD96" s="76">
        <f>Data!CF50</f>
        <v>6.3541666666666663E-2</v>
      </c>
      <c r="CE96" s="76">
        <f>Data!CG50</f>
        <v>6.3541666666666663E-2</v>
      </c>
      <c r="CF96" s="76">
        <f>Data!CH50</f>
        <v>6.3541666666666663E-2</v>
      </c>
      <c r="CG96" s="76">
        <f>Data!CI50</f>
        <v>6.3541666666666663E-2</v>
      </c>
      <c r="CH96" s="76">
        <f>Data!CJ50</f>
        <v>6.3541666666666663E-2</v>
      </c>
      <c r="CI96" s="76">
        <f>Data!CK50</f>
        <v>6.3541666666666663E-2</v>
      </c>
      <c r="CJ96" s="76">
        <f>Data!CL50</f>
        <v>6.3541666666666663E-2</v>
      </c>
      <c r="CK96" s="76">
        <f>Data!CM50</f>
        <v>6.3541666666666663E-2</v>
      </c>
      <c r="CL96" s="76">
        <f>Data!CN50</f>
        <v>6.3541666666666663E-2</v>
      </c>
      <c r="CM96" s="76">
        <f>Data!CO50</f>
        <v>6.3541666666666663E-2</v>
      </c>
      <c r="CN96" s="76">
        <f>Data!CP50</f>
        <v>6.3541666666666663E-2</v>
      </c>
      <c r="CO96" s="76">
        <f>Data!CQ50</f>
        <v>6.3541666666666663E-2</v>
      </c>
      <c r="CP96" s="76">
        <f>Data!CR50</f>
        <v>6.3541666666666663E-2</v>
      </c>
      <c r="CQ96" s="76">
        <f>Data!CS50</f>
        <v>6.3541666666666663E-2</v>
      </c>
      <c r="CR96" s="76">
        <f>Data!CT50</f>
        <v>6.3541666666666663E-2</v>
      </c>
      <c r="CS96" s="76">
        <f>Data!CU50</f>
        <v>6.3541666666666663E-2</v>
      </c>
      <c r="CT96" s="76">
        <f>Data!CV50</f>
        <v>6.3541666666666663E-2</v>
      </c>
      <c r="CU96" s="76">
        <f>Data!CW50</f>
        <v>6.3541666666666663E-2</v>
      </c>
      <c r="CV96" s="76">
        <f>Data!CX50</f>
        <v>6.3541666666666663E-2</v>
      </c>
      <c r="CW96" s="76">
        <f>Data!CY50</f>
        <v>6.3541666666666663E-2</v>
      </c>
      <c r="CX96" s="76">
        <f>Data!CZ50</f>
        <v>6.3541666666666663E-2</v>
      </c>
      <c r="CY96" s="76">
        <f>Data!DA50</f>
        <v>6.3541666666666663E-2</v>
      </c>
      <c r="CZ96" s="76">
        <f>Data!DB50</f>
        <v>6.3541666666666663E-2</v>
      </c>
      <c r="DA96" s="76">
        <f>Data!DC50</f>
        <v>6.3541666666666663E-2</v>
      </c>
      <c r="DB96" s="76">
        <f>Data!DD50</f>
        <v>6.3541666666666663E-2</v>
      </c>
      <c r="DC96" s="76">
        <f>Data!DE50</f>
        <v>6.3541666666666663E-2</v>
      </c>
      <c r="DD96" s="76">
        <f>Data!DF50</f>
        <v>6.3541666666666663E-2</v>
      </c>
      <c r="DE96" s="76">
        <f>Data!DG50</f>
        <v>6.3541666666666663E-2</v>
      </c>
      <c r="DF96" s="76">
        <f>Data!DH50</f>
        <v>6.3541666666666663E-2</v>
      </c>
      <c r="DG96" s="76">
        <f>Data!DI50</f>
        <v>6.3541666666666663E-2</v>
      </c>
      <c r="DH96" s="76">
        <f>Data!DJ50</f>
        <v>6.3541666666666663E-2</v>
      </c>
      <c r="DI96" s="76">
        <f>Data!DK50</f>
        <v>6.3541666666666663E-2</v>
      </c>
      <c r="DJ96" s="76">
        <f>Data!DL50</f>
        <v>6.3541666666666663E-2</v>
      </c>
      <c r="DK96" s="76">
        <f>Data!DM50</f>
        <v>6.3541666666666663E-2</v>
      </c>
      <c r="DL96" s="76">
        <f>Data!DN50</f>
        <v>6.3541666666666663E-2</v>
      </c>
      <c r="DM96" s="76">
        <f>Data!DO50</f>
        <v>6.3541666666666663E-2</v>
      </c>
      <c r="DN96" s="76">
        <f>Data!DP50</f>
        <v>6.3541666666666663E-2</v>
      </c>
      <c r="DO96" s="76">
        <f>Data!DQ50</f>
        <v>6.3541666666666663E-2</v>
      </c>
      <c r="DP96" s="76">
        <f>Data!DR50</f>
        <v>6.3541666666666663E-2</v>
      </c>
      <c r="DQ96" s="76">
        <f>Data!DS50</f>
        <v>6.3541666666666663E-2</v>
      </c>
      <c r="DR96" s="76">
        <f>Data!DT50</f>
        <v>6.3541666666666663E-2</v>
      </c>
      <c r="DS96" s="76">
        <f>Data!DU50</f>
        <v>6.3541666666666663E-2</v>
      </c>
      <c r="DT96" s="76">
        <f>Data!DV50</f>
        <v>6.3541666666666663E-2</v>
      </c>
      <c r="DU96" s="428">
        <f>Data!DW50</f>
        <v>6.3541666666666663E-2</v>
      </c>
      <c r="DV96" s="697"/>
    </row>
    <row r="97" spans="1:126" x14ac:dyDescent="0.3">
      <c r="B97" s="620" t="str">
        <f>Data!D51</f>
        <v>AVP / VP</v>
      </c>
      <c r="C97" s="579"/>
      <c r="D97" s="399"/>
      <c r="E97" s="74">
        <f>Data!G51</f>
        <v>6.0999999999999992E-6</v>
      </c>
      <c r="F97" s="76">
        <f>Data!H51</f>
        <v>6.0999999999999992E-6</v>
      </c>
      <c r="G97" s="76">
        <f>Data!I51</f>
        <v>6.1E-6</v>
      </c>
      <c r="H97" s="76">
        <f>Data!J51</f>
        <v>6.1E-6</v>
      </c>
      <c r="I97" s="76">
        <f>Data!K51</f>
        <v>6.1E-6</v>
      </c>
      <c r="J97" s="76">
        <f>Data!L51</f>
        <v>6.1E-6</v>
      </c>
      <c r="K97" s="1389">
        <f>Data!M51</f>
        <v>6.1E-6</v>
      </c>
      <c r="L97" s="76">
        <f>Data!N51</f>
        <v>6.1E-6</v>
      </c>
      <c r="M97" s="76">
        <f>Data!O51</f>
        <v>6.1E-6</v>
      </c>
      <c r="N97" s="76">
        <f>Data!P51</f>
        <v>6.1E-6</v>
      </c>
      <c r="O97" s="76">
        <f>Data!Q51</f>
        <v>6.1E-6</v>
      </c>
      <c r="P97" s="76">
        <f>Data!R51</f>
        <v>6.1E-6</v>
      </c>
      <c r="Q97" s="76">
        <f>Data!S51</f>
        <v>6.1E-6</v>
      </c>
      <c r="R97" s="76">
        <f>Data!T51</f>
        <v>6.1E-6</v>
      </c>
      <c r="S97" s="76">
        <f>Data!U51</f>
        <v>6.1E-6</v>
      </c>
      <c r="T97" s="76">
        <f>Data!V51</f>
        <v>6.1E-6</v>
      </c>
      <c r="U97" s="76">
        <f>Data!W51</f>
        <v>6.1E-6</v>
      </c>
      <c r="V97" s="76">
        <f>Data!X51</f>
        <v>6.1E-6</v>
      </c>
      <c r="W97" s="76">
        <f>Data!Y51</f>
        <v>6.1E-6</v>
      </c>
      <c r="X97" s="76">
        <f>Data!Z51</f>
        <v>6.1E-6</v>
      </c>
      <c r="Y97" s="76">
        <f>Data!AA51</f>
        <v>6.1E-6</v>
      </c>
      <c r="Z97" s="76">
        <f>Data!AB51</f>
        <v>6.1E-6</v>
      </c>
      <c r="AA97" s="76">
        <f>Data!AC51</f>
        <v>6.1E-6</v>
      </c>
      <c r="AB97" s="76">
        <f>Data!AD51</f>
        <v>6.1E-6</v>
      </c>
      <c r="AC97" s="76">
        <f>Data!AE51</f>
        <v>6.1E-6</v>
      </c>
      <c r="AD97" s="76">
        <f>Data!AF51</f>
        <v>6.1E-6</v>
      </c>
      <c r="AE97" s="76">
        <f>Data!AG51</f>
        <v>6.1E-6</v>
      </c>
      <c r="AF97" s="76">
        <f>Data!AH51</f>
        <v>6.1E-6</v>
      </c>
      <c r="AG97" s="76">
        <f>Data!AI51</f>
        <v>6.1E-6</v>
      </c>
      <c r="AH97" s="76">
        <f>Data!AJ51</f>
        <v>6.1E-6</v>
      </c>
      <c r="AI97" s="76">
        <f>Data!AK51</f>
        <v>6.1E-6</v>
      </c>
      <c r="AJ97" s="76">
        <f>Data!AL51</f>
        <v>6.1E-6</v>
      </c>
      <c r="AK97" s="76">
        <f>Data!AM51</f>
        <v>6.1E-6</v>
      </c>
      <c r="AL97" s="76">
        <f>Data!AN51</f>
        <v>6.1E-6</v>
      </c>
      <c r="AM97" s="76">
        <f>Data!AO51</f>
        <v>6.1E-6</v>
      </c>
      <c r="AN97" s="76">
        <f>Data!AP51</f>
        <v>6.1E-6</v>
      </c>
      <c r="AO97" s="76">
        <f>Data!AQ51</f>
        <v>6.1E-6</v>
      </c>
      <c r="AP97" s="76">
        <f>Data!AR51</f>
        <v>6.1E-6</v>
      </c>
      <c r="AQ97" s="76">
        <f>Data!AS51</f>
        <v>6.1E-6</v>
      </c>
      <c r="AR97" s="76">
        <f>Data!AT51</f>
        <v>6.1E-6</v>
      </c>
      <c r="AS97" s="76">
        <f>Data!AU51</f>
        <v>6.1E-6</v>
      </c>
      <c r="AT97" s="76">
        <f>Data!AV51</f>
        <v>6.1E-6</v>
      </c>
      <c r="AU97" s="76">
        <f>Data!AW51</f>
        <v>6.1E-6</v>
      </c>
      <c r="AV97" s="76">
        <f>Data!AX51</f>
        <v>6.1E-6</v>
      </c>
      <c r="AW97" s="76">
        <f>Data!AY51</f>
        <v>6.1E-6</v>
      </c>
      <c r="AX97" s="76">
        <f>Data!AZ51</f>
        <v>6.1E-6</v>
      </c>
      <c r="AY97" s="76">
        <f>Data!BA51</f>
        <v>6.1E-6</v>
      </c>
      <c r="AZ97" s="76">
        <f>Data!BB51</f>
        <v>6.1E-6</v>
      </c>
      <c r="BA97" s="76">
        <f>Data!BC51</f>
        <v>6.1E-6</v>
      </c>
      <c r="BB97" s="76">
        <f>Data!BD51</f>
        <v>6.1E-6</v>
      </c>
      <c r="BC97" s="76">
        <f>Data!BE51</f>
        <v>6.1E-6</v>
      </c>
      <c r="BD97" s="76">
        <f>Data!BF51</f>
        <v>6.1E-6</v>
      </c>
      <c r="BE97" s="76">
        <f>Data!BG51</f>
        <v>6.1E-6</v>
      </c>
      <c r="BF97" s="76">
        <f>Data!BH51</f>
        <v>6.1E-6</v>
      </c>
      <c r="BG97" s="76">
        <f>Data!BI51</f>
        <v>6.1E-6</v>
      </c>
      <c r="BH97" s="76">
        <f>Data!BJ51</f>
        <v>6.1E-6</v>
      </c>
      <c r="BI97" s="76">
        <f>Data!BK51</f>
        <v>6.1E-6</v>
      </c>
      <c r="BJ97" s="76">
        <f>Data!BL51</f>
        <v>6.1E-6</v>
      </c>
      <c r="BK97" s="76">
        <f>Data!BM51</f>
        <v>6.1E-6</v>
      </c>
      <c r="BL97" s="76">
        <f>Data!BN51</f>
        <v>6.1E-6</v>
      </c>
      <c r="BM97" s="76">
        <f>Data!BO51</f>
        <v>6.1E-6</v>
      </c>
      <c r="BN97" s="76">
        <f>Data!BP51</f>
        <v>6.1E-6</v>
      </c>
      <c r="BO97" s="76">
        <f>Data!BQ51</f>
        <v>6.1E-6</v>
      </c>
      <c r="BP97" s="76">
        <f>Data!BR51</f>
        <v>6.1E-6</v>
      </c>
      <c r="BQ97" s="76">
        <f>Data!BS51</f>
        <v>6.1E-6</v>
      </c>
      <c r="BR97" s="76">
        <f>Data!BT51</f>
        <v>6.1E-6</v>
      </c>
      <c r="BS97" s="76">
        <f>Data!BU51</f>
        <v>6.1E-6</v>
      </c>
      <c r="BT97" s="76">
        <f>Data!BV51</f>
        <v>6.1E-6</v>
      </c>
      <c r="BU97" s="76">
        <f>Data!BW51</f>
        <v>6.1E-6</v>
      </c>
      <c r="BV97" s="76">
        <f>Data!BX51</f>
        <v>6.1E-6</v>
      </c>
      <c r="BW97" s="76">
        <f>Data!BY51</f>
        <v>6.1E-6</v>
      </c>
      <c r="BX97" s="76">
        <f>Data!BZ51</f>
        <v>6.1E-6</v>
      </c>
      <c r="BY97" s="76">
        <f>Data!CA51</f>
        <v>6.1E-6</v>
      </c>
      <c r="BZ97" s="76">
        <f>Data!CB51</f>
        <v>6.1E-6</v>
      </c>
      <c r="CA97" s="76">
        <f>Data!CC51</f>
        <v>6.1E-6</v>
      </c>
      <c r="CB97" s="76">
        <f>Data!CD51</f>
        <v>6.1E-6</v>
      </c>
      <c r="CC97" s="76">
        <f>Data!CE51</f>
        <v>6.1E-6</v>
      </c>
      <c r="CD97" s="76">
        <f>Data!CF51</f>
        <v>6.1E-6</v>
      </c>
      <c r="CE97" s="76">
        <f>Data!CG51</f>
        <v>6.1E-6</v>
      </c>
      <c r="CF97" s="76">
        <f>Data!CH51</f>
        <v>6.1E-6</v>
      </c>
      <c r="CG97" s="76">
        <f>Data!CI51</f>
        <v>6.1E-6</v>
      </c>
      <c r="CH97" s="76">
        <f>Data!CJ51</f>
        <v>6.1E-6</v>
      </c>
      <c r="CI97" s="76">
        <f>Data!CK51</f>
        <v>6.1E-6</v>
      </c>
      <c r="CJ97" s="76">
        <f>Data!CL51</f>
        <v>6.1E-6</v>
      </c>
      <c r="CK97" s="76">
        <f>Data!CM51</f>
        <v>6.1E-6</v>
      </c>
      <c r="CL97" s="76">
        <f>Data!CN51</f>
        <v>6.1E-6</v>
      </c>
      <c r="CM97" s="76">
        <f>Data!CO51</f>
        <v>6.1E-6</v>
      </c>
      <c r="CN97" s="76">
        <f>Data!CP51</f>
        <v>6.1E-6</v>
      </c>
      <c r="CO97" s="76">
        <f>Data!CQ51</f>
        <v>6.1E-6</v>
      </c>
      <c r="CP97" s="76">
        <f>Data!CR51</f>
        <v>6.1E-6</v>
      </c>
      <c r="CQ97" s="76">
        <f>Data!CS51</f>
        <v>6.1E-6</v>
      </c>
      <c r="CR97" s="76">
        <f>Data!CT51</f>
        <v>6.1E-6</v>
      </c>
      <c r="CS97" s="76">
        <f>Data!CU51</f>
        <v>6.1E-6</v>
      </c>
      <c r="CT97" s="76">
        <f>Data!CV51</f>
        <v>6.1E-6</v>
      </c>
      <c r="CU97" s="76">
        <f>Data!CW51</f>
        <v>6.1E-6</v>
      </c>
      <c r="CV97" s="76">
        <f>Data!CX51</f>
        <v>6.1E-6</v>
      </c>
      <c r="CW97" s="76">
        <f>Data!CY51</f>
        <v>6.1E-6</v>
      </c>
      <c r="CX97" s="76">
        <f>Data!CZ51</f>
        <v>6.1E-6</v>
      </c>
      <c r="CY97" s="76">
        <f>Data!DA51</f>
        <v>6.1E-6</v>
      </c>
      <c r="CZ97" s="76">
        <f>Data!DB51</f>
        <v>6.1E-6</v>
      </c>
      <c r="DA97" s="76">
        <f>Data!DC51</f>
        <v>6.1E-6</v>
      </c>
      <c r="DB97" s="76">
        <f>Data!DD51</f>
        <v>6.1E-6</v>
      </c>
      <c r="DC97" s="76">
        <f>Data!DE51</f>
        <v>6.1E-6</v>
      </c>
      <c r="DD97" s="76">
        <f>Data!DF51</f>
        <v>6.1E-6</v>
      </c>
      <c r="DE97" s="76">
        <f>Data!DG51</f>
        <v>6.1E-6</v>
      </c>
      <c r="DF97" s="76">
        <f>Data!DH51</f>
        <v>6.1E-6</v>
      </c>
      <c r="DG97" s="76">
        <f>Data!DI51</f>
        <v>6.1E-6</v>
      </c>
      <c r="DH97" s="76">
        <f>Data!DJ51</f>
        <v>6.1E-6</v>
      </c>
      <c r="DI97" s="76">
        <f>Data!DK51</f>
        <v>6.1E-6</v>
      </c>
      <c r="DJ97" s="76">
        <f>Data!DL51</f>
        <v>6.1E-6</v>
      </c>
      <c r="DK97" s="76">
        <f>Data!DM51</f>
        <v>6.1E-6</v>
      </c>
      <c r="DL97" s="76">
        <f>Data!DN51</f>
        <v>6.1E-6</v>
      </c>
      <c r="DM97" s="76">
        <f>Data!DO51</f>
        <v>6.1E-6</v>
      </c>
      <c r="DN97" s="76">
        <f>Data!DP51</f>
        <v>6.1E-6</v>
      </c>
      <c r="DO97" s="76">
        <f>Data!DQ51</f>
        <v>6.1E-6</v>
      </c>
      <c r="DP97" s="76">
        <f>Data!DR51</f>
        <v>6.1E-6</v>
      </c>
      <c r="DQ97" s="76">
        <f>Data!DS51</f>
        <v>6.1E-6</v>
      </c>
      <c r="DR97" s="76">
        <f>Data!DT51</f>
        <v>6.1E-6</v>
      </c>
      <c r="DS97" s="76">
        <f>Data!DU51</f>
        <v>6.1E-6</v>
      </c>
      <c r="DT97" s="76">
        <f>Data!DV51</f>
        <v>6.1E-6</v>
      </c>
      <c r="DU97" s="428">
        <f>Data!DW51</f>
        <v>6.1E-6</v>
      </c>
      <c r="DV97" s="697"/>
    </row>
    <row r="98" spans="1:126" x14ac:dyDescent="0.3">
      <c r="B98" s="620" t="str">
        <f>Data!D52</f>
        <v>SME</v>
      </c>
      <c r="C98" s="579"/>
      <c r="D98" s="399"/>
      <c r="E98" s="74">
        <f>Data!G52</f>
        <v>6.0999999999999992E-6</v>
      </c>
      <c r="F98" s="76">
        <f>Data!H52</f>
        <v>6.0999999999999992E-6</v>
      </c>
      <c r="G98" s="76">
        <f>Data!I52</f>
        <v>6.1E-6</v>
      </c>
      <c r="H98" s="76">
        <f>Data!J52</f>
        <v>6.1E-6</v>
      </c>
      <c r="I98" s="76">
        <f>Data!K52</f>
        <v>6.1E-6</v>
      </c>
      <c r="J98" s="76">
        <f>Data!L52</f>
        <v>6.1E-6</v>
      </c>
      <c r="K98" s="1389">
        <f>Data!M52</f>
        <v>6.1E-6</v>
      </c>
      <c r="L98" s="76">
        <f>Data!N52</f>
        <v>6.1E-6</v>
      </c>
      <c r="M98" s="76">
        <f>Data!O52</f>
        <v>6.1E-6</v>
      </c>
      <c r="N98" s="76">
        <f>Data!P52</f>
        <v>6.1E-6</v>
      </c>
      <c r="O98" s="76">
        <f>Data!Q52</f>
        <v>6.1E-6</v>
      </c>
      <c r="P98" s="76">
        <f>Data!R52</f>
        <v>6.1E-6</v>
      </c>
      <c r="Q98" s="76">
        <f>Data!S52</f>
        <v>6.1E-6</v>
      </c>
      <c r="R98" s="76">
        <f>Data!T52</f>
        <v>6.1E-6</v>
      </c>
      <c r="S98" s="76">
        <f>Data!U52</f>
        <v>6.1E-6</v>
      </c>
      <c r="T98" s="76">
        <f>Data!V52</f>
        <v>6.1E-6</v>
      </c>
      <c r="U98" s="76">
        <f>Data!W52</f>
        <v>6.1E-6</v>
      </c>
      <c r="V98" s="76">
        <f>Data!X52</f>
        <v>6.1E-6</v>
      </c>
      <c r="W98" s="76">
        <f>Data!Y52</f>
        <v>6.1E-6</v>
      </c>
      <c r="X98" s="76">
        <f>Data!Z52</f>
        <v>6.1E-6</v>
      </c>
      <c r="Y98" s="76">
        <f>Data!AA52</f>
        <v>6.1E-6</v>
      </c>
      <c r="Z98" s="76">
        <f>Data!AB52</f>
        <v>6.1E-6</v>
      </c>
      <c r="AA98" s="76">
        <f>Data!AC52</f>
        <v>6.1E-6</v>
      </c>
      <c r="AB98" s="76">
        <f>Data!AD52</f>
        <v>6.1E-6</v>
      </c>
      <c r="AC98" s="76">
        <f>Data!AE52</f>
        <v>6.1E-6</v>
      </c>
      <c r="AD98" s="76">
        <f>Data!AF52</f>
        <v>6.1E-6</v>
      </c>
      <c r="AE98" s="76">
        <f>Data!AG52</f>
        <v>6.1E-6</v>
      </c>
      <c r="AF98" s="76">
        <f>Data!AH52</f>
        <v>6.1E-6</v>
      </c>
      <c r="AG98" s="76">
        <f>Data!AI52</f>
        <v>6.1E-6</v>
      </c>
      <c r="AH98" s="76">
        <f>Data!AJ52</f>
        <v>6.1E-6</v>
      </c>
      <c r="AI98" s="76">
        <f>Data!AK52</f>
        <v>6.1E-6</v>
      </c>
      <c r="AJ98" s="76">
        <f>Data!AL52</f>
        <v>6.1E-6</v>
      </c>
      <c r="AK98" s="76">
        <f>Data!AM52</f>
        <v>6.1E-6</v>
      </c>
      <c r="AL98" s="76">
        <f>Data!AN52</f>
        <v>6.1E-6</v>
      </c>
      <c r="AM98" s="76">
        <f>Data!AO52</f>
        <v>6.1E-6</v>
      </c>
      <c r="AN98" s="76">
        <f>Data!AP52</f>
        <v>6.1E-6</v>
      </c>
      <c r="AO98" s="76">
        <f>Data!AQ52</f>
        <v>6.1E-6</v>
      </c>
      <c r="AP98" s="76">
        <f>Data!AR52</f>
        <v>6.1E-6</v>
      </c>
      <c r="AQ98" s="76">
        <f>Data!AS52</f>
        <v>6.1E-6</v>
      </c>
      <c r="AR98" s="76">
        <f>Data!AT52</f>
        <v>6.1E-6</v>
      </c>
      <c r="AS98" s="76">
        <f>Data!AU52</f>
        <v>6.1E-6</v>
      </c>
      <c r="AT98" s="76">
        <f>Data!AV52</f>
        <v>6.1E-6</v>
      </c>
      <c r="AU98" s="76">
        <f>Data!AW52</f>
        <v>6.1E-6</v>
      </c>
      <c r="AV98" s="76">
        <f>Data!AX52</f>
        <v>6.1E-6</v>
      </c>
      <c r="AW98" s="76">
        <f>Data!AY52</f>
        <v>6.1E-6</v>
      </c>
      <c r="AX98" s="76">
        <f>Data!AZ52</f>
        <v>6.1E-6</v>
      </c>
      <c r="AY98" s="76">
        <f>Data!BA52</f>
        <v>6.1E-6</v>
      </c>
      <c r="AZ98" s="76">
        <f>Data!BB52</f>
        <v>6.1E-6</v>
      </c>
      <c r="BA98" s="76">
        <f>Data!BC52</f>
        <v>6.1E-6</v>
      </c>
      <c r="BB98" s="76">
        <f>Data!BD52</f>
        <v>6.1E-6</v>
      </c>
      <c r="BC98" s="76">
        <f>Data!BE52</f>
        <v>6.1E-6</v>
      </c>
      <c r="BD98" s="76">
        <f>Data!BF52</f>
        <v>6.1E-6</v>
      </c>
      <c r="BE98" s="76">
        <f>Data!BG52</f>
        <v>6.1E-6</v>
      </c>
      <c r="BF98" s="76">
        <f>Data!BH52</f>
        <v>6.1E-6</v>
      </c>
      <c r="BG98" s="76">
        <f>Data!BI52</f>
        <v>6.1E-6</v>
      </c>
      <c r="BH98" s="76">
        <f>Data!BJ52</f>
        <v>6.1E-6</v>
      </c>
      <c r="BI98" s="76">
        <f>Data!BK52</f>
        <v>6.1E-6</v>
      </c>
      <c r="BJ98" s="76">
        <f>Data!BL52</f>
        <v>6.1E-6</v>
      </c>
      <c r="BK98" s="76">
        <f>Data!BM52</f>
        <v>6.1E-6</v>
      </c>
      <c r="BL98" s="76">
        <f>Data!BN52</f>
        <v>6.1E-6</v>
      </c>
      <c r="BM98" s="76">
        <f>Data!BO52</f>
        <v>6.1E-6</v>
      </c>
      <c r="BN98" s="76">
        <f>Data!BP52</f>
        <v>6.1E-6</v>
      </c>
      <c r="BO98" s="76">
        <f>Data!BQ52</f>
        <v>6.1E-6</v>
      </c>
      <c r="BP98" s="76">
        <f>Data!BR52</f>
        <v>6.1E-6</v>
      </c>
      <c r="BQ98" s="76">
        <f>Data!BS52</f>
        <v>6.1E-6</v>
      </c>
      <c r="BR98" s="76">
        <f>Data!BT52</f>
        <v>6.1E-6</v>
      </c>
      <c r="BS98" s="76">
        <f>Data!BU52</f>
        <v>6.1E-6</v>
      </c>
      <c r="BT98" s="76">
        <f>Data!BV52</f>
        <v>6.1E-6</v>
      </c>
      <c r="BU98" s="76">
        <f>Data!BW52</f>
        <v>6.1E-6</v>
      </c>
      <c r="BV98" s="76">
        <f>Data!BX52</f>
        <v>6.1E-6</v>
      </c>
      <c r="BW98" s="76">
        <f>Data!BY52</f>
        <v>6.1E-6</v>
      </c>
      <c r="BX98" s="76">
        <f>Data!BZ52</f>
        <v>6.1E-6</v>
      </c>
      <c r="BY98" s="76">
        <f>Data!CA52</f>
        <v>6.1E-6</v>
      </c>
      <c r="BZ98" s="76">
        <f>Data!CB52</f>
        <v>6.1E-6</v>
      </c>
      <c r="CA98" s="76">
        <f>Data!CC52</f>
        <v>6.1E-6</v>
      </c>
      <c r="CB98" s="76">
        <f>Data!CD52</f>
        <v>6.1E-6</v>
      </c>
      <c r="CC98" s="76">
        <f>Data!CE52</f>
        <v>6.1E-6</v>
      </c>
      <c r="CD98" s="76">
        <f>Data!CF52</f>
        <v>6.1E-6</v>
      </c>
      <c r="CE98" s="76">
        <f>Data!CG52</f>
        <v>6.1E-6</v>
      </c>
      <c r="CF98" s="76">
        <f>Data!CH52</f>
        <v>6.1E-6</v>
      </c>
      <c r="CG98" s="76">
        <f>Data!CI52</f>
        <v>6.1E-6</v>
      </c>
      <c r="CH98" s="76">
        <f>Data!CJ52</f>
        <v>6.1E-6</v>
      </c>
      <c r="CI98" s="76">
        <f>Data!CK52</f>
        <v>6.1E-6</v>
      </c>
      <c r="CJ98" s="76">
        <f>Data!CL52</f>
        <v>6.1E-6</v>
      </c>
      <c r="CK98" s="76">
        <f>Data!CM52</f>
        <v>6.1E-6</v>
      </c>
      <c r="CL98" s="76">
        <f>Data!CN52</f>
        <v>6.1E-6</v>
      </c>
      <c r="CM98" s="76">
        <f>Data!CO52</f>
        <v>6.1E-6</v>
      </c>
      <c r="CN98" s="76">
        <f>Data!CP52</f>
        <v>6.1E-6</v>
      </c>
      <c r="CO98" s="76">
        <f>Data!CQ52</f>
        <v>6.1E-6</v>
      </c>
      <c r="CP98" s="76">
        <f>Data!CR52</f>
        <v>6.1E-6</v>
      </c>
      <c r="CQ98" s="76">
        <f>Data!CS52</f>
        <v>6.1E-6</v>
      </c>
      <c r="CR98" s="76">
        <f>Data!CT52</f>
        <v>6.1E-6</v>
      </c>
      <c r="CS98" s="76">
        <f>Data!CU52</f>
        <v>6.1E-6</v>
      </c>
      <c r="CT98" s="76">
        <f>Data!CV52</f>
        <v>6.1E-6</v>
      </c>
      <c r="CU98" s="76">
        <f>Data!CW52</f>
        <v>6.1E-6</v>
      </c>
      <c r="CV98" s="76">
        <f>Data!CX52</f>
        <v>6.1E-6</v>
      </c>
      <c r="CW98" s="76">
        <f>Data!CY52</f>
        <v>6.1E-6</v>
      </c>
      <c r="CX98" s="76">
        <f>Data!CZ52</f>
        <v>6.1E-6</v>
      </c>
      <c r="CY98" s="76">
        <f>Data!DA52</f>
        <v>6.1E-6</v>
      </c>
      <c r="CZ98" s="76">
        <f>Data!DB52</f>
        <v>6.1E-6</v>
      </c>
      <c r="DA98" s="76">
        <f>Data!DC52</f>
        <v>6.1E-6</v>
      </c>
      <c r="DB98" s="76">
        <f>Data!DD52</f>
        <v>6.1E-6</v>
      </c>
      <c r="DC98" s="76">
        <f>Data!DE52</f>
        <v>6.1E-6</v>
      </c>
      <c r="DD98" s="76">
        <f>Data!DF52</f>
        <v>6.1E-6</v>
      </c>
      <c r="DE98" s="76">
        <f>Data!DG52</f>
        <v>6.1E-6</v>
      </c>
      <c r="DF98" s="76">
        <f>Data!DH52</f>
        <v>6.1E-6</v>
      </c>
      <c r="DG98" s="76">
        <f>Data!DI52</f>
        <v>6.1E-6</v>
      </c>
      <c r="DH98" s="76">
        <f>Data!DJ52</f>
        <v>6.1E-6</v>
      </c>
      <c r="DI98" s="76">
        <f>Data!DK52</f>
        <v>6.1E-6</v>
      </c>
      <c r="DJ98" s="76">
        <f>Data!DL52</f>
        <v>6.1E-6</v>
      </c>
      <c r="DK98" s="76">
        <f>Data!DM52</f>
        <v>6.1E-6</v>
      </c>
      <c r="DL98" s="76">
        <f>Data!DN52</f>
        <v>6.1E-6</v>
      </c>
      <c r="DM98" s="76">
        <f>Data!DO52</f>
        <v>6.1E-6</v>
      </c>
      <c r="DN98" s="76">
        <f>Data!DP52</f>
        <v>6.1E-6</v>
      </c>
      <c r="DO98" s="76">
        <f>Data!DQ52</f>
        <v>6.1E-6</v>
      </c>
      <c r="DP98" s="76">
        <f>Data!DR52</f>
        <v>6.1E-6</v>
      </c>
      <c r="DQ98" s="76">
        <f>Data!DS52</f>
        <v>6.1E-6</v>
      </c>
      <c r="DR98" s="76">
        <f>Data!DT52</f>
        <v>6.1E-6</v>
      </c>
      <c r="DS98" s="76">
        <f>Data!DU52</f>
        <v>6.1E-6</v>
      </c>
      <c r="DT98" s="76">
        <f>Data!DV52</f>
        <v>6.1E-6</v>
      </c>
      <c r="DU98" s="428">
        <f>Data!DW52</f>
        <v>6.1E-6</v>
      </c>
      <c r="DV98" s="697"/>
    </row>
    <row r="99" spans="1:126" x14ac:dyDescent="0.3">
      <c r="B99" s="620" t="str">
        <f>Data!D53</f>
        <v>QA</v>
      </c>
      <c r="C99" s="579"/>
      <c r="D99" s="399"/>
      <c r="E99" s="74">
        <f>Data!G53</f>
        <v>1.5249999999999999</v>
      </c>
      <c r="F99" s="76">
        <f>Data!H53</f>
        <v>1.5249999999999999</v>
      </c>
      <c r="G99" s="76">
        <f>Data!I53</f>
        <v>1.5249999999999999</v>
      </c>
      <c r="H99" s="76">
        <f>Data!J53</f>
        <v>1.5249999999999999</v>
      </c>
      <c r="I99" s="76">
        <f>Data!K53</f>
        <v>1.5249999999999999</v>
      </c>
      <c r="J99" s="76">
        <f>Data!L53</f>
        <v>1.5249999999999999</v>
      </c>
      <c r="K99" s="1389">
        <f>Data!M53</f>
        <v>1.1730769230769231</v>
      </c>
      <c r="L99" s="76">
        <f>Data!N53</f>
        <v>1.1730769230769231</v>
      </c>
      <c r="M99" s="76">
        <f>Data!O53</f>
        <v>1.1730769230769231</v>
      </c>
      <c r="N99" s="76">
        <f>Data!P53</f>
        <v>1.1730769230769231</v>
      </c>
      <c r="O99" s="76">
        <f>Data!Q53</f>
        <v>1.1730769230769231</v>
      </c>
      <c r="P99" s="76">
        <f>Data!R53</f>
        <v>1.1730769230769231</v>
      </c>
      <c r="Q99" s="76">
        <f>Data!S53</f>
        <v>1.1730769230769231</v>
      </c>
      <c r="R99" s="76">
        <f>Data!T53</f>
        <v>1.1730769230769231</v>
      </c>
      <c r="S99" s="76">
        <f>Data!U53</f>
        <v>1.1730769230769231</v>
      </c>
      <c r="T99" s="76">
        <f>Data!V53</f>
        <v>1.1730769230769231</v>
      </c>
      <c r="U99" s="76">
        <f>Data!W53</f>
        <v>1.1730769230769231</v>
      </c>
      <c r="V99" s="76">
        <f>Data!X53</f>
        <v>1.1730769230769231</v>
      </c>
      <c r="W99" s="76">
        <f>Data!Y53</f>
        <v>1.1730769230769231</v>
      </c>
      <c r="X99" s="76">
        <f>Data!Z53</f>
        <v>1.1730769230769231</v>
      </c>
      <c r="Y99" s="76">
        <f>Data!AA53</f>
        <v>1.1730769230769231</v>
      </c>
      <c r="Z99" s="76">
        <f>Data!AB53</f>
        <v>1.1730769230769231</v>
      </c>
      <c r="AA99" s="76">
        <f>Data!AC53</f>
        <v>1.1730769230769231</v>
      </c>
      <c r="AB99" s="76">
        <f>Data!AD53</f>
        <v>1.1730769230769231</v>
      </c>
      <c r="AC99" s="76">
        <f>Data!AE53</f>
        <v>1.1730769230769231</v>
      </c>
      <c r="AD99" s="76">
        <f>Data!AF53</f>
        <v>1.1730769230769231</v>
      </c>
      <c r="AE99" s="76">
        <f>Data!AG53</f>
        <v>1.1730769230769231</v>
      </c>
      <c r="AF99" s="76">
        <f>Data!AH53</f>
        <v>1.1730769230769231</v>
      </c>
      <c r="AG99" s="76">
        <f>Data!AI53</f>
        <v>1.1730769230769231</v>
      </c>
      <c r="AH99" s="76">
        <f>Data!AJ53</f>
        <v>1.1730769230769231</v>
      </c>
      <c r="AI99" s="76">
        <f>Data!AK53</f>
        <v>1.1730769230769231</v>
      </c>
      <c r="AJ99" s="76">
        <f>Data!AL53</f>
        <v>1.1730769230769231</v>
      </c>
      <c r="AK99" s="76">
        <f>Data!AM53</f>
        <v>1.1730769230769231</v>
      </c>
      <c r="AL99" s="76">
        <f>Data!AN53</f>
        <v>1.1730769230769231</v>
      </c>
      <c r="AM99" s="76">
        <f>Data!AO53</f>
        <v>1.1730769230769231</v>
      </c>
      <c r="AN99" s="76">
        <f>Data!AP53</f>
        <v>1.1730769230769231</v>
      </c>
      <c r="AO99" s="76">
        <f>Data!AQ53</f>
        <v>1.1730769230769231</v>
      </c>
      <c r="AP99" s="76">
        <f>Data!AR53</f>
        <v>1.1730769230769231</v>
      </c>
      <c r="AQ99" s="76">
        <f>Data!AS53</f>
        <v>1.1730769230769231</v>
      </c>
      <c r="AR99" s="76">
        <f>Data!AT53</f>
        <v>1.1730769230769231</v>
      </c>
      <c r="AS99" s="76">
        <f>Data!AU53</f>
        <v>1.1730769230769231</v>
      </c>
      <c r="AT99" s="76">
        <f>Data!AV53</f>
        <v>1.1730769230769231</v>
      </c>
      <c r="AU99" s="76">
        <f>Data!AW53</f>
        <v>1.1730769230769231</v>
      </c>
      <c r="AV99" s="76">
        <f>Data!AX53</f>
        <v>1.1730769230769231</v>
      </c>
      <c r="AW99" s="76">
        <f>Data!AY53</f>
        <v>1.1730769230769231</v>
      </c>
      <c r="AX99" s="76">
        <f>Data!AZ53</f>
        <v>1.1730769230769231</v>
      </c>
      <c r="AY99" s="76">
        <f>Data!BA53</f>
        <v>1.1730769230769231</v>
      </c>
      <c r="AZ99" s="76">
        <f>Data!BB53</f>
        <v>1.1730769230769231</v>
      </c>
      <c r="BA99" s="76">
        <f>Data!BC53</f>
        <v>1.1730769230769231</v>
      </c>
      <c r="BB99" s="76">
        <f>Data!BD53</f>
        <v>1.1730769230769231</v>
      </c>
      <c r="BC99" s="76">
        <f>Data!BE53</f>
        <v>1.1730769230769231</v>
      </c>
      <c r="BD99" s="76">
        <f>Data!BF53</f>
        <v>1.1730769230769231</v>
      </c>
      <c r="BE99" s="76">
        <f>Data!BG53</f>
        <v>1.1730769230769231</v>
      </c>
      <c r="BF99" s="76">
        <f>Data!BH53</f>
        <v>1.1730769230769231</v>
      </c>
      <c r="BG99" s="76">
        <f>Data!BI53</f>
        <v>1.1730769230769231</v>
      </c>
      <c r="BH99" s="76">
        <f>Data!BJ53</f>
        <v>1.1730769230769231</v>
      </c>
      <c r="BI99" s="76">
        <f>Data!BK53</f>
        <v>1.1730769230769231</v>
      </c>
      <c r="BJ99" s="76">
        <f>Data!BL53</f>
        <v>1.1730769230769231</v>
      </c>
      <c r="BK99" s="76">
        <f>Data!BM53</f>
        <v>1.1730769230769231</v>
      </c>
      <c r="BL99" s="76">
        <f>Data!BN53</f>
        <v>1.1730769230769231</v>
      </c>
      <c r="BM99" s="76">
        <f>Data!BO53</f>
        <v>1.1730769230769231</v>
      </c>
      <c r="BN99" s="76">
        <f>Data!BP53</f>
        <v>1.1730769230769231</v>
      </c>
      <c r="BO99" s="76">
        <f>Data!BQ53</f>
        <v>1.1730769230769231</v>
      </c>
      <c r="BP99" s="76">
        <f>Data!BR53</f>
        <v>1.1730769230769231</v>
      </c>
      <c r="BQ99" s="76">
        <f>Data!BS53</f>
        <v>1.1730769230769231</v>
      </c>
      <c r="BR99" s="76">
        <f>Data!BT53</f>
        <v>1.1730769230769231</v>
      </c>
      <c r="BS99" s="76">
        <f>Data!BU53</f>
        <v>1.1730769230769231</v>
      </c>
      <c r="BT99" s="76">
        <f>Data!BV53</f>
        <v>1.1730769230769231</v>
      </c>
      <c r="BU99" s="76">
        <f>Data!BW53</f>
        <v>1.1730769230769231</v>
      </c>
      <c r="BV99" s="76">
        <f>Data!BX53</f>
        <v>1.1730769230769231</v>
      </c>
      <c r="BW99" s="76">
        <f>Data!BY53</f>
        <v>1.1730769230769231</v>
      </c>
      <c r="BX99" s="76">
        <f>Data!BZ53</f>
        <v>1.1730769230769231</v>
      </c>
      <c r="BY99" s="76">
        <f>Data!CA53</f>
        <v>1.1730769230769231</v>
      </c>
      <c r="BZ99" s="76">
        <f>Data!CB53</f>
        <v>1.1730769230769231</v>
      </c>
      <c r="CA99" s="76">
        <f>Data!CC53</f>
        <v>1.1730769230769231</v>
      </c>
      <c r="CB99" s="76">
        <f>Data!CD53</f>
        <v>1.1730769230769231</v>
      </c>
      <c r="CC99" s="76">
        <f>Data!CE53</f>
        <v>1.1730769230769231</v>
      </c>
      <c r="CD99" s="76">
        <f>Data!CF53</f>
        <v>1.1730769230769231</v>
      </c>
      <c r="CE99" s="76">
        <f>Data!CG53</f>
        <v>1.1730769230769231</v>
      </c>
      <c r="CF99" s="76">
        <f>Data!CH53</f>
        <v>1.1730769230769231</v>
      </c>
      <c r="CG99" s="76">
        <f>Data!CI53</f>
        <v>1.1730769230769231</v>
      </c>
      <c r="CH99" s="76">
        <f>Data!CJ53</f>
        <v>1.1730769230769231</v>
      </c>
      <c r="CI99" s="76">
        <f>Data!CK53</f>
        <v>1.1730769230769231</v>
      </c>
      <c r="CJ99" s="76">
        <f>Data!CL53</f>
        <v>1.1730769230769231</v>
      </c>
      <c r="CK99" s="76">
        <f>Data!CM53</f>
        <v>1.1730769230769231</v>
      </c>
      <c r="CL99" s="76">
        <f>Data!CN53</f>
        <v>1.1730769230769231</v>
      </c>
      <c r="CM99" s="76">
        <f>Data!CO53</f>
        <v>1.1730769230769231</v>
      </c>
      <c r="CN99" s="76">
        <f>Data!CP53</f>
        <v>1.1730769230769231</v>
      </c>
      <c r="CO99" s="76">
        <f>Data!CQ53</f>
        <v>1.1730769230769231</v>
      </c>
      <c r="CP99" s="76">
        <f>Data!CR53</f>
        <v>1.1730769230769231</v>
      </c>
      <c r="CQ99" s="76">
        <f>Data!CS53</f>
        <v>1.1730769230769231</v>
      </c>
      <c r="CR99" s="76">
        <f>Data!CT53</f>
        <v>1.1730769230769231</v>
      </c>
      <c r="CS99" s="76">
        <f>Data!CU53</f>
        <v>1.1730769230769231</v>
      </c>
      <c r="CT99" s="76">
        <f>Data!CV53</f>
        <v>1.1730769230769231</v>
      </c>
      <c r="CU99" s="76">
        <f>Data!CW53</f>
        <v>1.1730769230769231</v>
      </c>
      <c r="CV99" s="76">
        <f>Data!CX53</f>
        <v>1.1730769230769231</v>
      </c>
      <c r="CW99" s="76">
        <f>Data!CY53</f>
        <v>1.1730769230769231</v>
      </c>
      <c r="CX99" s="76">
        <f>Data!CZ53</f>
        <v>1.1730769230769231</v>
      </c>
      <c r="CY99" s="76">
        <f>Data!DA53</f>
        <v>1.1730769230769231</v>
      </c>
      <c r="CZ99" s="76">
        <f>Data!DB53</f>
        <v>1.1730769230769231</v>
      </c>
      <c r="DA99" s="76">
        <f>Data!DC53</f>
        <v>1.1730769230769231</v>
      </c>
      <c r="DB99" s="76">
        <f>Data!DD53</f>
        <v>1.1730769230769231</v>
      </c>
      <c r="DC99" s="76">
        <f>Data!DE53</f>
        <v>1.1730769230769231</v>
      </c>
      <c r="DD99" s="76">
        <f>Data!DF53</f>
        <v>1.1730769230769231</v>
      </c>
      <c r="DE99" s="76">
        <f>Data!DG53</f>
        <v>1.1730769230769231</v>
      </c>
      <c r="DF99" s="76">
        <f>Data!DH53</f>
        <v>1.1730769230769231</v>
      </c>
      <c r="DG99" s="76">
        <f>Data!DI53</f>
        <v>1.1730769230769231</v>
      </c>
      <c r="DH99" s="76">
        <f>Data!DJ53</f>
        <v>1.1730769230769231</v>
      </c>
      <c r="DI99" s="76">
        <f>Data!DK53</f>
        <v>1.1730769230769231</v>
      </c>
      <c r="DJ99" s="76">
        <f>Data!DL53</f>
        <v>1.1730769230769231</v>
      </c>
      <c r="DK99" s="76">
        <f>Data!DM53</f>
        <v>1.1730769230769231</v>
      </c>
      <c r="DL99" s="76">
        <f>Data!DN53</f>
        <v>1.1730769230769231</v>
      </c>
      <c r="DM99" s="76">
        <f>Data!DO53</f>
        <v>1.1730769230769231</v>
      </c>
      <c r="DN99" s="76">
        <f>Data!DP53</f>
        <v>1.1730769230769231</v>
      </c>
      <c r="DO99" s="76">
        <f>Data!DQ53</f>
        <v>1.1730769230769231</v>
      </c>
      <c r="DP99" s="76">
        <f>Data!DR53</f>
        <v>1.1730769230769231</v>
      </c>
      <c r="DQ99" s="76">
        <f>Data!DS53</f>
        <v>1.1730769230769231</v>
      </c>
      <c r="DR99" s="76">
        <f>Data!DT53</f>
        <v>1.1730769230769231</v>
      </c>
      <c r="DS99" s="76">
        <f>Data!DU53</f>
        <v>1.1730769230769231</v>
      </c>
      <c r="DT99" s="76">
        <f>Data!DV53</f>
        <v>1.1730769230769231</v>
      </c>
      <c r="DU99" s="428">
        <f>Data!DW53</f>
        <v>1.1730769230769231</v>
      </c>
      <c r="DV99" s="697"/>
    </row>
    <row r="100" spans="1:126" x14ac:dyDescent="0.3">
      <c r="B100" s="620" t="str">
        <f>Data!D54</f>
        <v>Trainer</v>
      </c>
      <c r="C100" s="579"/>
      <c r="D100" s="399"/>
      <c r="E100" s="74">
        <f>Data!G54</f>
        <v>3.3888888888888884</v>
      </c>
      <c r="F100" s="76">
        <f>Data!H54</f>
        <v>0.18638888888888949</v>
      </c>
      <c r="G100" s="76">
        <f>Data!I54</f>
        <v>0.81333333333333335</v>
      </c>
      <c r="H100" s="76">
        <f>Data!J54</f>
        <v>0.81333333333333335</v>
      </c>
      <c r="I100" s="76">
        <f>Data!K54</f>
        <v>0.81333333333333335</v>
      </c>
      <c r="J100" s="76">
        <f>Data!L54</f>
        <v>0.81333333333333335</v>
      </c>
      <c r="K100" s="1389">
        <f>Data!M54</f>
        <v>0.81333333333333335</v>
      </c>
      <c r="L100" s="76">
        <f>Data!N54</f>
        <v>0.81333333333333335</v>
      </c>
      <c r="M100" s="76">
        <f>Data!O54</f>
        <v>0.81333333333333335</v>
      </c>
      <c r="N100" s="76">
        <f>Data!P54</f>
        <v>0.81333333333333335</v>
      </c>
      <c r="O100" s="76">
        <f>Data!Q54</f>
        <v>0.81333333333333335</v>
      </c>
      <c r="P100" s="76">
        <f>Data!R54</f>
        <v>0.81333333333333335</v>
      </c>
      <c r="Q100" s="76">
        <f>Data!S54</f>
        <v>0.81333333333333335</v>
      </c>
      <c r="R100" s="76">
        <f>Data!T54</f>
        <v>0.81333333333333335</v>
      </c>
      <c r="S100" s="76">
        <f>Data!U54</f>
        <v>0.81333333333333335</v>
      </c>
      <c r="T100" s="76">
        <f>Data!V54</f>
        <v>0.81333333333333335</v>
      </c>
      <c r="U100" s="76">
        <f>Data!W54</f>
        <v>0.81333333333333335</v>
      </c>
      <c r="V100" s="76">
        <f>Data!X54</f>
        <v>0.81333333333333335</v>
      </c>
      <c r="W100" s="76">
        <f>Data!Y54</f>
        <v>0.81333333333333335</v>
      </c>
      <c r="X100" s="76">
        <f>Data!Z54</f>
        <v>0.81333333333333335</v>
      </c>
      <c r="Y100" s="76">
        <f>Data!AA54</f>
        <v>0.81333333333333335</v>
      </c>
      <c r="Z100" s="76">
        <f>Data!AB54</f>
        <v>0.81333333333333335</v>
      </c>
      <c r="AA100" s="76">
        <f>Data!AC54</f>
        <v>0.81333333333333335</v>
      </c>
      <c r="AB100" s="76">
        <f>Data!AD54</f>
        <v>0.81333333333333335</v>
      </c>
      <c r="AC100" s="76">
        <f>Data!AE54</f>
        <v>0.81333333333333335</v>
      </c>
      <c r="AD100" s="76">
        <f>Data!AF54</f>
        <v>0.81333333333333335</v>
      </c>
      <c r="AE100" s="76">
        <f>Data!AG54</f>
        <v>0.81333333333333335</v>
      </c>
      <c r="AF100" s="76">
        <f>Data!AH54</f>
        <v>0.81333333333333335</v>
      </c>
      <c r="AG100" s="76">
        <f>Data!AI54</f>
        <v>0.81333333333333335</v>
      </c>
      <c r="AH100" s="76">
        <f>Data!AJ54</f>
        <v>0.81333333333333335</v>
      </c>
      <c r="AI100" s="76">
        <f>Data!AK54</f>
        <v>0.81333333333333335</v>
      </c>
      <c r="AJ100" s="76">
        <f>Data!AL54</f>
        <v>0.81333333333333335</v>
      </c>
      <c r="AK100" s="76">
        <f>Data!AM54</f>
        <v>0.81333333333333335</v>
      </c>
      <c r="AL100" s="76">
        <f>Data!AN54</f>
        <v>0.81333333333333335</v>
      </c>
      <c r="AM100" s="76">
        <f>Data!AO54</f>
        <v>0.81333333333333335</v>
      </c>
      <c r="AN100" s="76">
        <f>Data!AP54</f>
        <v>0.81333333333333335</v>
      </c>
      <c r="AO100" s="76">
        <f>Data!AQ54</f>
        <v>0.81333333333333335</v>
      </c>
      <c r="AP100" s="76">
        <f>Data!AR54</f>
        <v>0.81333333333333335</v>
      </c>
      <c r="AQ100" s="76">
        <f>Data!AS54</f>
        <v>0.81333333333333335</v>
      </c>
      <c r="AR100" s="76">
        <f>Data!AT54</f>
        <v>0.81333333333333335</v>
      </c>
      <c r="AS100" s="76">
        <f>Data!AU54</f>
        <v>0.81333333333333335</v>
      </c>
      <c r="AT100" s="76">
        <f>Data!AV54</f>
        <v>0.81333333333333335</v>
      </c>
      <c r="AU100" s="76">
        <f>Data!AW54</f>
        <v>0.81333333333333335</v>
      </c>
      <c r="AV100" s="76">
        <f>Data!AX54</f>
        <v>0.81333333333333335</v>
      </c>
      <c r="AW100" s="76">
        <f>Data!AY54</f>
        <v>0.81333333333333335</v>
      </c>
      <c r="AX100" s="76">
        <f>Data!AZ54</f>
        <v>0.81333333333333335</v>
      </c>
      <c r="AY100" s="76">
        <f>Data!BA54</f>
        <v>0.81333333333333335</v>
      </c>
      <c r="AZ100" s="76">
        <f>Data!BB54</f>
        <v>0.81333333333333335</v>
      </c>
      <c r="BA100" s="76">
        <f>Data!BC54</f>
        <v>0.81333333333333335</v>
      </c>
      <c r="BB100" s="76">
        <f>Data!BD54</f>
        <v>0.81333333333333335</v>
      </c>
      <c r="BC100" s="76">
        <f>Data!BE54</f>
        <v>0.81333333333333335</v>
      </c>
      <c r="BD100" s="76">
        <f>Data!BF54</f>
        <v>0.81333333333333335</v>
      </c>
      <c r="BE100" s="76">
        <f>Data!BG54</f>
        <v>0.81333333333333335</v>
      </c>
      <c r="BF100" s="76">
        <f>Data!BH54</f>
        <v>0.81333333333333335</v>
      </c>
      <c r="BG100" s="76">
        <f>Data!BI54</f>
        <v>0.81333333333333335</v>
      </c>
      <c r="BH100" s="76">
        <f>Data!BJ54</f>
        <v>0.81333333333333335</v>
      </c>
      <c r="BI100" s="76">
        <f>Data!BK54</f>
        <v>0.81333333333333335</v>
      </c>
      <c r="BJ100" s="76">
        <f>Data!BL54</f>
        <v>0.81333333333333335</v>
      </c>
      <c r="BK100" s="76">
        <f>Data!BM54</f>
        <v>0.81333333333333335</v>
      </c>
      <c r="BL100" s="76">
        <f>Data!BN54</f>
        <v>0.81333333333333335</v>
      </c>
      <c r="BM100" s="76">
        <f>Data!BO54</f>
        <v>0.81333333333333335</v>
      </c>
      <c r="BN100" s="76">
        <f>Data!BP54</f>
        <v>0.81333333333333335</v>
      </c>
      <c r="BO100" s="76">
        <f>Data!BQ54</f>
        <v>0.81333333333333335</v>
      </c>
      <c r="BP100" s="76">
        <f>Data!BR54</f>
        <v>0.81333333333333335</v>
      </c>
      <c r="BQ100" s="76">
        <f>Data!BS54</f>
        <v>0.81333333333333335</v>
      </c>
      <c r="BR100" s="76">
        <f>Data!BT54</f>
        <v>0.81333333333333335</v>
      </c>
      <c r="BS100" s="76">
        <f>Data!BU54</f>
        <v>0.81333333333333335</v>
      </c>
      <c r="BT100" s="76">
        <f>Data!BV54</f>
        <v>0.81333333333333335</v>
      </c>
      <c r="BU100" s="76">
        <f>Data!BW54</f>
        <v>0.81333333333333335</v>
      </c>
      <c r="BV100" s="76">
        <f>Data!BX54</f>
        <v>0.81333333333333335</v>
      </c>
      <c r="BW100" s="76">
        <f>Data!BY54</f>
        <v>0.81333333333333335</v>
      </c>
      <c r="BX100" s="76">
        <f>Data!BZ54</f>
        <v>0.81333333333333335</v>
      </c>
      <c r="BY100" s="76">
        <f>Data!CA54</f>
        <v>0.81333333333333335</v>
      </c>
      <c r="BZ100" s="76">
        <f>Data!CB54</f>
        <v>0.81333333333333335</v>
      </c>
      <c r="CA100" s="76">
        <f>Data!CC54</f>
        <v>0.81333333333333335</v>
      </c>
      <c r="CB100" s="76">
        <f>Data!CD54</f>
        <v>0.81333333333333335</v>
      </c>
      <c r="CC100" s="76">
        <f>Data!CE54</f>
        <v>0.81333333333333335</v>
      </c>
      <c r="CD100" s="76">
        <f>Data!CF54</f>
        <v>0.81333333333333335</v>
      </c>
      <c r="CE100" s="76">
        <f>Data!CG54</f>
        <v>0.81333333333333335</v>
      </c>
      <c r="CF100" s="76">
        <f>Data!CH54</f>
        <v>0.81333333333333335</v>
      </c>
      <c r="CG100" s="76">
        <f>Data!CI54</f>
        <v>0.81333333333333335</v>
      </c>
      <c r="CH100" s="76">
        <f>Data!CJ54</f>
        <v>0.81333333333333335</v>
      </c>
      <c r="CI100" s="76">
        <f>Data!CK54</f>
        <v>0.81333333333333335</v>
      </c>
      <c r="CJ100" s="76">
        <f>Data!CL54</f>
        <v>0.81333333333333335</v>
      </c>
      <c r="CK100" s="76">
        <f>Data!CM54</f>
        <v>0.81333333333333335</v>
      </c>
      <c r="CL100" s="76">
        <f>Data!CN54</f>
        <v>0.81333333333333335</v>
      </c>
      <c r="CM100" s="76">
        <f>Data!CO54</f>
        <v>0.81333333333333335</v>
      </c>
      <c r="CN100" s="76">
        <f>Data!CP54</f>
        <v>0.81333333333333335</v>
      </c>
      <c r="CO100" s="76">
        <f>Data!CQ54</f>
        <v>0.81333333333333335</v>
      </c>
      <c r="CP100" s="76">
        <f>Data!CR54</f>
        <v>0.81333333333333335</v>
      </c>
      <c r="CQ100" s="76">
        <f>Data!CS54</f>
        <v>0.81333333333333335</v>
      </c>
      <c r="CR100" s="76">
        <f>Data!CT54</f>
        <v>0.81333333333333335</v>
      </c>
      <c r="CS100" s="76">
        <f>Data!CU54</f>
        <v>0.81333333333333335</v>
      </c>
      <c r="CT100" s="76">
        <f>Data!CV54</f>
        <v>0.81333333333333335</v>
      </c>
      <c r="CU100" s="76">
        <f>Data!CW54</f>
        <v>0.81333333333333335</v>
      </c>
      <c r="CV100" s="76">
        <f>Data!CX54</f>
        <v>0.81333333333333335</v>
      </c>
      <c r="CW100" s="76">
        <f>Data!CY54</f>
        <v>0.81333333333333335</v>
      </c>
      <c r="CX100" s="76">
        <f>Data!CZ54</f>
        <v>0.81333333333333335</v>
      </c>
      <c r="CY100" s="76">
        <f>Data!DA54</f>
        <v>0.81333333333333335</v>
      </c>
      <c r="CZ100" s="76">
        <f>Data!DB54</f>
        <v>0.81333333333333335</v>
      </c>
      <c r="DA100" s="76">
        <f>Data!DC54</f>
        <v>0.81333333333333335</v>
      </c>
      <c r="DB100" s="76">
        <f>Data!DD54</f>
        <v>0.81333333333333335</v>
      </c>
      <c r="DC100" s="76">
        <f>Data!DE54</f>
        <v>0.81333333333333335</v>
      </c>
      <c r="DD100" s="76">
        <f>Data!DF54</f>
        <v>0.81333333333333335</v>
      </c>
      <c r="DE100" s="76">
        <f>Data!DG54</f>
        <v>0.81333333333333335</v>
      </c>
      <c r="DF100" s="76">
        <f>Data!DH54</f>
        <v>0.81333333333333335</v>
      </c>
      <c r="DG100" s="76">
        <f>Data!DI54</f>
        <v>0.81333333333333335</v>
      </c>
      <c r="DH100" s="76">
        <f>Data!DJ54</f>
        <v>0.81333333333333335</v>
      </c>
      <c r="DI100" s="76">
        <f>Data!DK54</f>
        <v>0.81333333333333335</v>
      </c>
      <c r="DJ100" s="76">
        <f>Data!DL54</f>
        <v>0.81333333333333335</v>
      </c>
      <c r="DK100" s="76">
        <f>Data!DM54</f>
        <v>0.81333333333333335</v>
      </c>
      <c r="DL100" s="76">
        <f>Data!DN54</f>
        <v>0.81333333333333335</v>
      </c>
      <c r="DM100" s="76">
        <f>Data!DO54</f>
        <v>0.81333333333333335</v>
      </c>
      <c r="DN100" s="76">
        <f>Data!DP54</f>
        <v>0.81333333333333335</v>
      </c>
      <c r="DO100" s="76">
        <f>Data!DQ54</f>
        <v>0.81333333333333335</v>
      </c>
      <c r="DP100" s="76">
        <f>Data!DR54</f>
        <v>0.81333333333333335</v>
      </c>
      <c r="DQ100" s="76">
        <f>Data!DS54</f>
        <v>0.81333333333333335</v>
      </c>
      <c r="DR100" s="76">
        <f>Data!DT54</f>
        <v>0.81333333333333335</v>
      </c>
      <c r="DS100" s="76">
        <f>Data!DU54</f>
        <v>0.81333333333333335</v>
      </c>
      <c r="DT100" s="76">
        <f>Data!DV54</f>
        <v>0.81333333333333335</v>
      </c>
      <c r="DU100" s="428">
        <f>Data!DW54</f>
        <v>0.81333333333333335</v>
      </c>
      <c r="DV100" s="697"/>
    </row>
    <row r="101" spans="1:126" x14ac:dyDescent="0.3">
      <c r="B101" s="620" t="str">
        <f>Data!D55</f>
        <v>RTA/WFM</v>
      </c>
      <c r="C101" s="579"/>
      <c r="D101" s="399"/>
      <c r="E101" s="74">
        <f>Data!G55</f>
        <v>0.60999999999999988</v>
      </c>
      <c r="F101" s="76">
        <f>Data!H55</f>
        <v>0.60999999999999988</v>
      </c>
      <c r="G101" s="76">
        <f>Data!I55</f>
        <v>0.61</v>
      </c>
      <c r="H101" s="76">
        <f>Data!J55</f>
        <v>0.61</v>
      </c>
      <c r="I101" s="76">
        <f>Data!K55</f>
        <v>0.61</v>
      </c>
      <c r="J101" s="76">
        <f>Data!L55</f>
        <v>0.61</v>
      </c>
      <c r="K101" s="1389">
        <f>Data!M55</f>
        <v>0.61</v>
      </c>
      <c r="L101" s="76">
        <f>Data!N55</f>
        <v>0.61</v>
      </c>
      <c r="M101" s="76">
        <f>Data!O55</f>
        <v>0.61</v>
      </c>
      <c r="N101" s="76">
        <f>Data!P55</f>
        <v>0.61</v>
      </c>
      <c r="O101" s="76">
        <f>Data!Q55</f>
        <v>0.61</v>
      </c>
      <c r="P101" s="76">
        <f>Data!R55</f>
        <v>0.61</v>
      </c>
      <c r="Q101" s="76">
        <f>Data!S55</f>
        <v>0.61</v>
      </c>
      <c r="R101" s="76">
        <f>Data!T55</f>
        <v>0.61</v>
      </c>
      <c r="S101" s="76">
        <f>Data!U55</f>
        <v>0.61</v>
      </c>
      <c r="T101" s="76">
        <f>Data!V55</f>
        <v>0.61</v>
      </c>
      <c r="U101" s="76">
        <f>Data!W55</f>
        <v>0.61</v>
      </c>
      <c r="V101" s="76">
        <f>Data!X55</f>
        <v>0.61</v>
      </c>
      <c r="W101" s="76">
        <f>Data!Y55</f>
        <v>0.61</v>
      </c>
      <c r="X101" s="76">
        <f>Data!Z55</f>
        <v>0.61</v>
      </c>
      <c r="Y101" s="76">
        <f>Data!AA55</f>
        <v>0.61</v>
      </c>
      <c r="Z101" s="76">
        <f>Data!AB55</f>
        <v>0.61</v>
      </c>
      <c r="AA101" s="76">
        <f>Data!AC55</f>
        <v>0.61</v>
      </c>
      <c r="AB101" s="76">
        <f>Data!AD55</f>
        <v>0.61</v>
      </c>
      <c r="AC101" s="76">
        <f>Data!AE55</f>
        <v>0.61</v>
      </c>
      <c r="AD101" s="76">
        <f>Data!AF55</f>
        <v>0.61</v>
      </c>
      <c r="AE101" s="76">
        <f>Data!AG55</f>
        <v>0.61</v>
      </c>
      <c r="AF101" s="76">
        <f>Data!AH55</f>
        <v>0.61</v>
      </c>
      <c r="AG101" s="76">
        <f>Data!AI55</f>
        <v>0.61</v>
      </c>
      <c r="AH101" s="76">
        <f>Data!AJ55</f>
        <v>0.61</v>
      </c>
      <c r="AI101" s="76">
        <f>Data!AK55</f>
        <v>0.61</v>
      </c>
      <c r="AJ101" s="76">
        <f>Data!AL55</f>
        <v>0.61</v>
      </c>
      <c r="AK101" s="76">
        <f>Data!AM55</f>
        <v>0.61</v>
      </c>
      <c r="AL101" s="76">
        <f>Data!AN55</f>
        <v>0.61</v>
      </c>
      <c r="AM101" s="76">
        <f>Data!AO55</f>
        <v>0.61</v>
      </c>
      <c r="AN101" s="76">
        <f>Data!AP55</f>
        <v>0.61</v>
      </c>
      <c r="AO101" s="76">
        <f>Data!AQ55</f>
        <v>0.61</v>
      </c>
      <c r="AP101" s="76">
        <f>Data!AR55</f>
        <v>0.61</v>
      </c>
      <c r="AQ101" s="76">
        <f>Data!AS55</f>
        <v>0.61</v>
      </c>
      <c r="AR101" s="76">
        <f>Data!AT55</f>
        <v>0.61</v>
      </c>
      <c r="AS101" s="76">
        <f>Data!AU55</f>
        <v>0.61</v>
      </c>
      <c r="AT101" s="76">
        <f>Data!AV55</f>
        <v>0.61</v>
      </c>
      <c r="AU101" s="76">
        <f>Data!AW55</f>
        <v>0.61</v>
      </c>
      <c r="AV101" s="76">
        <f>Data!AX55</f>
        <v>0.61</v>
      </c>
      <c r="AW101" s="76">
        <f>Data!AY55</f>
        <v>0.61</v>
      </c>
      <c r="AX101" s="76">
        <f>Data!AZ55</f>
        <v>0.61</v>
      </c>
      <c r="AY101" s="76">
        <f>Data!BA55</f>
        <v>0.61</v>
      </c>
      <c r="AZ101" s="76">
        <f>Data!BB55</f>
        <v>0.61</v>
      </c>
      <c r="BA101" s="76">
        <f>Data!BC55</f>
        <v>0.61</v>
      </c>
      <c r="BB101" s="76">
        <f>Data!BD55</f>
        <v>0.61</v>
      </c>
      <c r="BC101" s="76">
        <f>Data!BE55</f>
        <v>0.61</v>
      </c>
      <c r="BD101" s="76">
        <f>Data!BF55</f>
        <v>0.61</v>
      </c>
      <c r="BE101" s="76">
        <f>Data!BG55</f>
        <v>0.61</v>
      </c>
      <c r="BF101" s="76">
        <f>Data!BH55</f>
        <v>0.61</v>
      </c>
      <c r="BG101" s="76">
        <f>Data!BI55</f>
        <v>0.61</v>
      </c>
      <c r="BH101" s="76">
        <f>Data!BJ55</f>
        <v>0.61</v>
      </c>
      <c r="BI101" s="76">
        <f>Data!BK55</f>
        <v>0.61</v>
      </c>
      <c r="BJ101" s="76">
        <f>Data!BL55</f>
        <v>0.61</v>
      </c>
      <c r="BK101" s="76">
        <f>Data!BM55</f>
        <v>0.61</v>
      </c>
      <c r="BL101" s="76">
        <f>Data!BN55</f>
        <v>0.61</v>
      </c>
      <c r="BM101" s="76">
        <f>Data!BO55</f>
        <v>0.61</v>
      </c>
      <c r="BN101" s="76">
        <f>Data!BP55</f>
        <v>0.61</v>
      </c>
      <c r="BO101" s="76">
        <f>Data!BQ55</f>
        <v>0.61</v>
      </c>
      <c r="BP101" s="76">
        <f>Data!BR55</f>
        <v>0.61</v>
      </c>
      <c r="BQ101" s="76">
        <f>Data!BS55</f>
        <v>0.61</v>
      </c>
      <c r="BR101" s="76">
        <f>Data!BT55</f>
        <v>0.61</v>
      </c>
      <c r="BS101" s="76">
        <f>Data!BU55</f>
        <v>0.61</v>
      </c>
      <c r="BT101" s="76">
        <f>Data!BV55</f>
        <v>0.61</v>
      </c>
      <c r="BU101" s="76">
        <f>Data!BW55</f>
        <v>0.61</v>
      </c>
      <c r="BV101" s="76">
        <f>Data!BX55</f>
        <v>0.61</v>
      </c>
      <c r="BW101" s="76">
        <f>Data!BY55</f>
        <v>0.61</v>
      </c>
      <c r="BX101" s="76">
        <f>Data!BZ55</f>
        <v>0.61</v>
      </c>
      <c r="BY101" s="76">
        <f>Data!CA55</f>
        <v>0.61</v>
      </c>
      <c r="BZ101" s="76">
        <f>Data!CB55</f>
        <v>0.61</v>
      </c>
      <c r="CA101" s="76">
        <f>Data!CC55</f>
        <v>0.61</v>
      </c>
      <c r="CB101" s="76">
        <f>Data!CD55</f>
        <v>0.61</v>
      </c>
      <c r="CC101" s="76">
        <f>Data!CE55</f>
        <v>0.61</v>
      </c>
      <c r="CD101" s="76">
        <f>Data!CF55</f>
        <v>0.61</v>
      </c>
      <c r="CE101" s="76">
        <f>Data!CG55</f>
        <v>0.61</v>
      </c>
      <c r="CF101" s="76">
        <f>Data!CH55</f>
        <v>0.61</v>
      </c>
      <c r="CG101" s="76">
        <f>Data!CI55</f>
        <v>0.61</v>
      </c>
      <c r="CH101" s="76">
        <f>Data!CJ55</f>
        <v>0.61</v>
      </c>
      <c r="CI101" s="76">
        <f>Data!CK55</f>
        <v>0.61</v>
      </c>
      <c r="CJ101" s="76">
        <f>Data!CL55</f>
        <v>0.61</v>
      </c>
      <c r="CK101" s="76">
        <f>Data!CM55</f>
        <v>0.61</v>
      </c>
      <c r="CL101" s="76">
        <f>Data!CN55</f>
        <v>0.61</v>
      </c>
      <c r="CM101" s="76">
        <f>Data!CO55</f>
        <v>0.61</v>
      </c>
      <c r="CN101" s="76">
        <f>Data!CP55</f>
        <v>0.61</v>
      </c>
      <c r="CO101" s="76">
        <f>Data!CQ55</f>
        <v>0.61</v>
      </c>
      <c r="CP101" s="76">
        <f>Data!CR55</f>
        <v>0.61</v>
      </c>
      <c r="CQ101" s="76">
        <f>Data!CS55</f>
        <v>0.61</v>
      </c>
      <c r="CR101" s="76">
        <f>Data!CT55</f>
        <v>0.61</v>
      </c>
      <c r="CS101" s="76">
        <f>Data!CU55</f>
        <v>0.61</v>
      </c>
      <c r="CT101" s="76">
        <f>Data!CV55</f>
        <v>0.61</v>
      </c>
      <c r="CU101" s="76">
        <f>Data!CW55</f>
        <v>0.61</v>
      </c>
      <c r="CV101" s="76">
        <f>Data!CX55</f>
        <v>0.61</v>
      </c>
      <c r="CW101" s="76">
        <f>Data!CY55</f>
        <v>0.61</v>
      </c>
      <c r="CX101" s="76">
        <f>Data!CZ55</f>
        <v>0.61</v>
      </c>
      <c r="CY101" s="76">
        <f>Data!DA55</f>
        <v>0.61</v>
      </c>
      <c r="CZ101" s="76">
        <f>Data!DB55</f>
        <v>0.61</v>
      </c>
      <c r="DA101" s="76">
        <f>Data!DC55</f>
        <v>0.61</v>
      </c>
      <c r="DB101" s="76">
        <f>Data!DD55</f>
        <v>0.61</v>
      </c>
      <c r="DC101" s="76">
        <f>Data!DE55</f>
        <v>0.61</v>
      </c>
      <c r="DD101" s="76">
        <f>Data!DF55</f>
        <v>0.61</v>
      </c>
      <c r="DE101" s="76">
        <f>Data!DG55</f>
        <v>0.61</v>
      </c>
      <c r="DF101" s="76">
        <f>Data!DH55</f>
        <v>0.61</v>
      </c>
      <c r="DG101" s="76">
        <f>Data!DI55</f>
        <v>0.61</v>
      </c>
      <c r="DH101" s="76">
        <f>Data!DJ55</f>
        <v>0.61</v>
      </c>
      <c r="DI101" s="76">
        <f>Data!DK55</f>
        <v>0.61</v>
      </c>
      <c r="DJ101" s="76">
        <f>Data!DL55</f>
        <v>0.61</v>
      </c>
      <c r="DK101" s="76">
        <f>Data!DM55</f>
        <v>0.61</v>
      </c>
      <c r="DL101" s="76">
        <f>Data!DN55</f>
        <v>0.61</v>
      </c>
      <c r="DM101" s="76">
        <f>Data!DO55</f>
        <v>0.61</v>
      </c>
      <c r="DN101" s="76">
        <f>Data!DP55</f>
        <v>0.61</v>
      </c>
      <c r="DO101" s="76">
        <f>Data!DQ55</f>
        <v>0.61</v>
      </c>
      <c r="DP101" s="76">
        <f>Data!DR55</f>
        <v>0.61</v>
      </c>
      <c r="DQ101" s="76">
        <f>Data!DS55</f>
        <v>0.61</v>
      </c>
      <c r="DR101" s="76">
        <f>Data!DT55</f>
        <v>0.61</v>
      </c>
      <c r="DS101" s="76">
        <f>Data!DU55</f>
        <v>0.61</v>
      </c>
      <c r="DT101" s="76">
        <f>Data!DV55</f>
        <v>0.61</v>
      </c>
      <c r="DU101" s="428">
        <f>Data!DW55</f>
        <v>0.61</v>
      </c>
      <c r="DV101" s="697"/>
    </row>
    <row r="102" spans="1:126" x14ac:dyDescent="0.3">
      <c r="B102" s="620" t="str">
        <f>Data!D56</f>
        <v>Transition Resource</v>
      </c>
      <c r="C102" s="579"/>
      <c r="D102" s="399"/>
      <c r="E102" s="74">
        <f>Data!G56</f>
        <v>0.60999999999999988</v>
      </c>
      <c r="F102" s="76">
        <f>Data!H56</f>
        <v>0.60999999999999988</v>
      </c>
      <c r="G102" s="76">
        <f>Data!I56</f>
        <v>0.61</v>
      </c>
      <c r="H102" s="76">
        <f>Data!J56</f>
        <v>0.61</v>
      </c>
      <c r="I102" s="76">
        <f>Data!K56</f>
        <v>0.61</v>
      </c>
      <c r="J102" s="76">
        <f>Data!L56</f>
        <v>0.61</v>
      </c>
      <c r="K102" s="1389">
        <f>Data!M56</f>
        <v>6.1E-6</v>
      </c>
      <c r="L102" s="76">
        <f>Data!N56</f>
        <v>6.1E-6</v>
      </c>
      <c r="M102" s="76">
        <f>Data!O56</f>
        <v>6.1E-6</v>
      </c>
      <c r="N102" s="76">
        <f>Data!P56</f>
        <v>6.1E-6</v>
      </c>
      <c r="O102" s="76">
        <f>Data!Q56</f>
        <v>6.1E-6</v>
      </c>
      <c r="P102" s="76">
        <f>Data!R56</f>
        <v>6.1E-6</v>
      </c>
      <c r="Q102" s="76">
        <f>Data!S56</f>
        <v>6.1E-6</v>
      </c>
      <c r="R102" s="76">
        <f>Data!T56</f>
        <v>6.1E-6</v>
      </c>
      <c r="S102" s="76">
        <f>Data!U56</f>
        <v>6.1E-6</v>
      </c>
      <c r="T102" s="76">
        <f>Data!V56</f>
        <v>6.1E-6</v>
      </c>
      <c r="U102" s="76">
        <f>Data!W56</f>
        <v>6.1E-6</v>
      </c>
      <c r="V102" s="76">
        <f>Data!X56</f>
        <v>6.1E-6</v>
      </c>
      <c r="W102" s="76">
        <f>Data!Y56</f>
        <v>6.1E-6</v>
      </c>
      <c r="X102" s="76">
        <f>Data!Z56</f>
        <v>6.1E-6</v>
      </c>
      <c r="Y102" s="76">
        <f>Data!AA56</f>
        <v>6.1E-6</v>
      </c>
      <c r="Z102" s="76">
        <f>Data!AB56</f>
        <v>6.1E-6</v>
      </c>
      <c r="AA102" s="76">
        <f>Data!AC56</f>
        <v>6.1E-6</v>
      </c>
      <c r="AB102" s="76">
        <f>Data!AD56</f>
        <v>6.1E-6</v>
      </c>
      <c r="AC102" s="76">
        <f>Data!AE56</f>
        <v>6.1E-6</v>
      </c>
      <c r="AD102" s="76">
        <f>Data!AF56</f>
        <v>6.1E-6</v>
      </c>
      <c r="AE102" s="76">
        <f>Data!AG56</f>
        <v>6.1E-6</v>
      </c>
      <c r="AF102" s="76">
        <f>Data!AH56</f>
        <v>6.1E-6</v>
      </c>
      <c r="AG102" s="76">
        <f>Data!AI56</f>
        <v>6.1E-6</v>
      </c>
      <c r="AH102" s="76">
        <f>Data!AJ56</f>
        <v>6.1E-6</v>
      </c>
      <c r="AI102" s="76">
        <f>Data!AK56</f>
        <v>6.1E-6</v>
      </c>
      <c r="AJ102" s="76">
        <f>Data!AL56</f>
        <v>6.1E-6</v>
      </c>
      <c r="AK102" s="76">
        <f>Data!AM56</f>
        <v>6.1E-6</v>
      </c>
      <c r="AL102" s="76">
        <f>Data!AN56</f>
        <v>6.1E-6</v>
      </c>
      <c r="AM102" s="76">
        <f>Data!AO56</f>
        <v>6.1E-6</v>
      </c>
      <c r="AN102" s="76">
        <f>Data!AP56</f>
        <v>6.1E-6</v>
      </c>
      <c r="AO102" s="76">
        <f>Data!AQ56</f>
        <v>6.1E-6</v>
      </c>
      <c r="AP102" s="76">
        <f>Data!AR56</f>
        <v>6.1E-6</v>
      </c>
      <c r="AQ102" s="76">
        <f>Data!AS56</f>
        <v>6.1E-6</v>
      </c>
      <c r="AR102" s="76">
        <f>Data!AT56</f>
        <v>6.1E-6</v>
      </c>
      <c r="AS102" s="76">
        <f>Data!AU56</f>
        <v>6.1E-6</v>
      </c>
      <c r="AT102" s="76">
        <f>Data!AV56</f>
        <v>6.1E-6</v>
      </c>
      <c r="AU102" s="76">
        <f>Data!AW56</f>
        <v>6.1E-6</v>
      </c>
      <c r="AV102" s="76">
        <f>Data!AX56</f>
        <v>6.1E-6</v>
      </c>
      <c r="AW102" s="76">
        <f>Data!AY56</f>
        <v>6.1E-6</v>
      </c>
      <c r="AX102" s="76">
        <f>Data!AZ56</f>
        <v>6.1E-6</v>
      </c>
      <c r="AY102" s="76">
        <f>Data!BA56</f>
        <v>6.1E-6</v>
      </c>
      <c r="AZ102" s="76">
        <f>Data!BB56</f>
        <v>6.1E-6</v>
      </c>
      <c r="BA102" s="76">
        <f>Data!BC56</f>
        <v>6.1E-6</v>
      </c>
      <c r="BB102" s="76">
        <f>Data!BD56</f>
        <v>6.1E-6</v>
      </c>
      <c r="BC102" s="76">
        <f>Data!BE56</f>
        <v>6.1E-6</v>
      </c>
      <c r="BD102" s="76">
        <f>Data!BF56</f>
        <v>6.1E-6</v>
      </c>
      <c r="BE102" s="76">
        <f>Data!BG56</f>
        <v>6.1E-6</v>
      </c>
      <c r="BF102" s="76">
        <f>Data!BH56</f>
        <v>6.1E-6</v>
      </c>
      <c r="BG102" s="76">
        <f>Data!BI56</f>
        <v>6.1E-6</v>
      </c>
      <c r="BH102" s="76">
        <f>Data!BJ56</f>
        <v>6.1E-6</v>
      </c>
      <c r="BI102" s="76">
        <f>Data!BK56</f>
        <v>6.1E-6</v>
      </c>
      <c r="BJ102" s="76">
        <f>Data!BL56</f>
        <v>6.1E-6</v>
      </c>
      <c r="BK102" s="76">
        <f>Data!BM56</f>
        <v>6.1E-6</v>
      </c>
      <c r="BL102" s="76">
        <f>Data!BN56</f>
        <v>6.1E-6</v>
      </c>
      <c r="BM102" s="76">
        <f>Data!BO56</f>
        <v>6.1E-6</v>
      </c>
      <c r="BN102" s="76">
        <f>Data!BP56</f>
        <v>6.1E-6</v>
      </c>
      <c r="BO102" s="76">
        <f>Data!BQ56</f>
        <v>6.1E-6</v>
      </c>
      <c r="BP102" s="76">
        <f>Data!BR56</f>
        <v>6.1E-6</v>
      </c>
      <c r="BQ102" s="76">
        <f>Data!BS56</f>
        <v>6.1E-6</v>
      </c>
      <c r="BR102" s="76">
        <f>Data!BT56</f>
        <v>6.1E-6</v>
      </c>
      <c r="BS102" s="76">
        <f>Data!BU56</f>
        <v>6.1E-6</v>
      </c>
      <c r="BT102" s="76">
        <f>Data!BV56</f>
        <v>6.1E-6</v>
      </c>
      <c r="BU102" s="76">
        <f>Data!BW56</f>
        <v>6.1E-6</v>
      </c>
      <c r="BV102" s="76">
        <f>Data!BX56</f>
        <v>6.1E-6</v>
      </c>
      <c r="BW102" s="76">
        <f>Data!BY56</f>
        <v>6.1E-6</v>
      </c>
      <c r="BX102" s="76">
        <f>Data!BZ56</f>
        <v>6.1E-6</v>
      </c>
      <c r="BY102" s="76">
        <f>Data!CA56</f>
        <v>6.1E-6</v>
      </c>
      <c r="BZ102" s="76">
        <f>Data!CB56</f>
        <v>6.1E-6</v>
      </c>
      <c r="CA102" s="76">
        <f>Data!CC56</f>
        <v>6.1E-6</v>
      </c>
      <c r="CB102" s="76">
        <f>Data!CD56</f>
        <v>6.1E-6</v>
      </c>
      <c r="CC102" s="76">
        <f>Data!CE56</f>
        <v>6.1E-6</v>
      </c>
      <c r="CD102" s="76">
        <f>Data!CF56</f>
        <v>6.1E-6</v>
      </c>
      <c r="CE102" s="76">
        <f>Data!CG56</f>
        <v>6.1E-6</v>
      </c>
      <c r="CF102" s="76">
        <f>Data!CH56</f>
        <v>6.1E-6</v>
      </c>
      <c r="CG102" s="76">
        <f>Data!CI56</f>
        <v>6.1E-6</v>
      </c>
      <c r="CH102" s="76">
        <f>Data!CJ56</f>
        <v>6.1E-6</v>
      </c>
      <c r="CI102" s="76">
        <f>Data!CK56</f>
        <v>6.1E-6</v>
      </c>
      <c r="CJ102" s="76">
        <f>Data!CL56</f>
        <v>6.1E-6</v>
      </c>
      <c r="CK102" s="76">
        <f>Data!CM56</f>
        <v>6.1E-6</v>
      </c>
      <c r="CL102" s="76">
        <f>Data!CN56</f>
        <v>6.1E-6</v>
      </c>
      <c r="CM102" s="76">
        <f>Data!CO56</f>
        <v>6.1E-6</v>
      </c>
      <c r="CN102" s="76">
        <f>Data!CP56</f>
        <v>6.1E-6</v>
      </c>
      <c r="CO102" s="76">
        <f>Data!CQ56</f>
        <v>6.1E-6</v>
      </c>
      <c r="CP102" s="76">
        <f>Data!CR56</f>
        <v>6.1E-6</v>
      </c>
      <c r="CQ102" s="76">
        <f>Data!CS56</f>
        <v>6.1E-6</v>
      </c>
      <c r="CR102" s="76">
        <f>Data!CT56</f>
        <v>6.1E-6</v>
      </c>
      <c r="CS102" s="76">
        <f>Data!CU56</f>
        <v>6.1E-6</v>
      </c>
      <c r="CT102" s="76">
        <f>Data!CV56</f>
        <v>6.1E-6</v>
      </c>
      <c r="CU102" s="76">
        <f>Data!CW56</f>
        <v>6.1E-6</v>
      </c>
      <c r="CV102" s="76">
        <f>Data!CX56</f>
        <v>6.1E-6</v>
      </c>
      <c r="CW102" s="76">
        <f>Data!CY56</f>
        <v>6.1E-6</v>
      </c>
      <c r="CX102" s="76">
        <f>Data!CZ56</f>
        <v>6.1E-6</v>
      </c>
      <c r="CY102" s="76">
        <f>Data!DA56</f>
        <v>6.1E-6</v>
      </c>
      <c r="CZ102" s="76">
        <f>Data!DB56</f>
        <v>6.1E-6</v>
      </c>
      <c r="DA102" s="76">
        <f>Data!DC56</f>
        <v>6.1E-6</v>
      </c>
      <c r="DB102" s="76">
        <f>Data!DD56</f>
        <v>6.1E-6</v>
      </c>
      <c r="DC102" s="76">
        <f>Data!DE56</f>
        <v>6.1E-6</v>
      </c>
      <c r="DD102" s="76">
        <f>Data!DF56</f>
        <v>6.1E-6</v>
      </c>
      <c r="DE102" s="76">
        <f>Data!DG56</f>
        <v>6.1E-6</v>
      </c>
      <c r="DF102" s="76">
        <f>Data!DH56</f>
        <v>6.1E-6</v>
      </c>
      <c r="DG102" s="76">
        <f>Data!DI56</f>
        <v>6.1E-6</v>
      </c>
      <c r="DH102" s="76">
        <f>Data!DJ56</f>
        <v>6.1E-6</v>
      </c>
      <c r="DI102" s="76">
        <f>Data!DK56</f>
        <v>6.1E-6</v>
      </c>
      <c r="DJ102" s="76">
        <f>Data!DL56</f>
        <v>6.1E-6</v>
      </c>
      <c r="DK102" s="76">
        <f>Data!DM56</f>
        <v>6.1E-6</v>
      </c>
      <c r="DL102" s="76">
        <f>Data!DN56</f>
        <v>6.1E-6</v>
      </c>
      <c r="DM102" s="76">
        <f>Data!DO56</f>
        <v>6.1E-6</v>
      </c>
      <c r="DN102" s="76">
        <f>Data!DP56</f>
        <v>6.1E-6</v>
      </c>
      <c r="DO102" s="76">
        <f>Data!DQ56</f>
        <v>6.1E-6</v>
      </c>
      <c r="DP102" s="76">
        <f>Data!DR56</f>
        <v>6.1E-6</v>
      </c>
      <c r="DQ102" s="76">
        <f>Data!DS56</f>
        <v>6.1E-6</v>
      </c>
      <c r="DR102" s="76">
        <f>Data!DT56</f>
        <v>6.1E-6</v>
      </c>
      <c r="DS102" s="76">
        <f>Data!DU56</f>
        <v>6.1E-6</v>
      </c>
      <c r="DT102" s="76">
        <f>Data!DV56</f>
        <v>6.1E-6</v>
      </c>
      <c r="DU102" s="428">
        <f>Data!DW56</f>
        <v>6.1E-6</v>
      </c>
      <c r="DV102" s="697"/>
    </row>
    <row r="103" spans="1:126" x14ac:dyDescent="0.3">
      <c r="B103" s="620" t="str">
        <f>Data!D57</f>
        <v>PEx Resource</v>
      </c>
      <c r="C103" s="579"/>
      <c r="D103" s="399"/>
      <c r="E103" s="74">
        <f>Data!G57</f>
        <v>0.15249999999999997</v>
      </c>
      <c r="F103" s="76">
        <f>Data!H57</f>
        <v>0.15249999999999997</v>
      </c>
      <c r="G103" s="76">
        <f>Data!I57</f>
        <v>0.1525</v>
      </c>
      <c r="H103" s="76">
        <f>Data!J57</f>
        <v>0.1525</v>
      </c>
      <c r="I103" s="76">
        <f>Data!K57</f>
        <v>0.1525</v>
      </c>
      <c r="J103" s="76">
        <f>Data!L57</f>
        <v>0.1525</v>
      </c>
      <c r="K103" s="1389">
        <f>Data!M57</f>
        <v>0.1525</v>
      </c>
      <c r="L103" s="76">
        <f>Data!N57</f>
        <v>0.1525</v>
      </c>
      <c r="M103" s="76">
        <f>Data!O57</f>
        <v>0.1525</v>
      </c>
      <c r="N103" s="76">
        <f>Data!P57</f>
        <v>0.1525</v>
      </c>
      <c r="O103" s="76">
        <f>Data!Q57</f>
        <v>0.1525</v>
      </c>
      <c r="P103" s="76">
        <f>Data!R57</f>
        <v>0.1525</v>
      </c>
      <c r="Q103" s="76">
        <f>Data!S57</f>
        <v>0.1525</v>
      </c>
      <c r="R103" s="76">
        <f>Data!T57</f>
        <v>0.1525</v>
      </c>
      <c r="S103" s="76">
        <f>Data!U57</f>
        <v>0.1525</v>
      </c>
      <c r="T103" s="76">
        <f>Data!V57</f>
        <v>0.1525</v>
      </c>
      <c r="U103" s="76">
        <f>Data!W57</f>
        <v>0.1525</v>
      </c>
      <c r="V103" s="76">
        <f>Data!X57</f>
        <v>0.1525</v>
      </c>
      <c r="W103" s="76">
        <f>Data!Y57</f>
        <v>0.1525</v>
      </c>
      <c r="X103" s="76">
        <f>Data!Z57</f>
        <v>0.1525</v>
      </c>
      <c r="Y103" s="76">
        <f>Data!AA57</f>
        <v>0.1525</v>
      </c>
      <c r="Z103" s="76">
        <f>Data!AB57</f>
        <v>0.1525</v>
      </c>
      <c r="AA103" s="76">
        <f>Data!AC57</f>
        <v>0.1525</v>
      </c>
      <c r="AB103" s="76">
        <f>Data!AD57</f>
        <v>0.1525</v>
      </c>
      <c r="AC103" s="76">
        <f>Data!AE57</f>
        <v>0.1525</v>
      </c>
      <c r="AD103" s="76">
        <f>Data!AF57</f>
        <v>0.1525</v>
      </c>
      <c r="AE103" s="76">
        <f>Data!AG57</f>
        <v>0.1525</v>
      </c>
      <c r="AF103" s="76">
        <f>Data!AH57</f>
        <v>0.1525</v>
      </c>
      <c r="AG103" s="76">
        <f>Data!AI57</f>
        <v>0.1525</v>
      </c>
      <c r="AH103" s="76">
        <f>Data!AJ57</f>
        <v>0.1525</v>
      </c>
      <c r="AI103" s="76">
        <f>Data!AK57</f>
        <v>0.1525</v>
      </c>
      <c r="AJ103" s="76">
        <f>Data!AL57</f>
        <v>0.1525</v>
      </c>
      <c r="AK103" s="76">
        <f>Data!AM57</f>
        <v>0.1525</v>
      </c>
      <c r="AL103" s="76">
        <f>Data!AN57</f>
        <v>0.1525</v>
      </c>
      <c r="AM103" s="76">
        <f>Data!AO57</f>
        <v>0.1525</v>
      </c>
      <c r="AN103" s="76">
        <f>Data!AP57</f>
        <v>0.1525</v>
      </c>
      <c r="AO103" s="76">
        <f>Data!AQ57</f>
        <v>0.1525</v>
      </c>
      <c r="AP103" s="76">
        <f>Data!AR57</f>
        <v>0.1525</v>
      </c>
      <c r="AQ103" s="76">
        <f>Data!AS57</f>
        <v>0.1525</v>
      </c>
      <c r="AR103" s="76">
        <f>Data!AT57</f>
        <v>0.1525</v>
      </c>
      <c r="AS103" s="76">
        <f>Data!AU57</f>
        <v>0.1525</v>
      </c>
      <c r="AT103" s="76">
        <f>Data!AV57</f>
        <v>0.1525</v>
      </c>
      <c r="AU103" s="76">
        <f>Data!AW57</f>
        <v>0.1525</v>
      </c>
      <c r="AV103" s="76">
        <f>Data!AX57</f>
        <v>0.1525</v>
      </c>
      <c r="AW103" s="76">
        <f>Data!AY57</f>
        <v>0.1525</v>
      </c>
      <c r="AX103" s="76">
        <f>Data!AZ57</f>
        <v>0.1525</v>
      </c>
      <c r="AY103" s="76">
        <f>Data!BA57</f>
        <v>0.1525</v>
      </c>
      <c r="AZ103" s="76">
        <f>Data!BB57</f>
        <v>0.1525</v>
      </c>
      <c r="BA103" s="76">
        <f>Data!BC57</f>
        <v>0.1525</v>
      </c>
      <c r="BB103" s="76">
        <f>Data!BD57</f>
        <v>0.1525</v>
      </c>
      <c r="BC103" s="76">
        <f>Data!BE57</f>
        <v>0.1525</v>
      </c>
      <c r="BD103" s="76">
        <f>Data!BF57</f>
        <v>0.1525</v>
      </c>
      <c r="BE103" s="76">
        <f>Data!BG57</f>
        <v>0.1525</v>
      </c>
      <c r="BF103" s="76">
        <f>Data!BH57</f>
        <v>0.1525</v>
      </c>
      <c r="BG103" s="76">
        <f>Data!BI57</f>
        <v>0.1525</v>
      </c>
      <c r="BH103" s="76">
        <f>Data!BJ57</f>
        <v>0.1525</v>
      </c>
      <c r="BI103" s="76">
        <f>Data!BK57</f>
        <v>0.1525</v>
      </c>
      <c r="BJ103" s="76">
        <f>Data!BL57</f>
        <v>0.1525</v>
      </c>
      <c r="BK103" s="76">
        <f>Data!BM57</f>
        <v>0.1525</v>
      </c>
      <c r="BL103" s="76">
        <f>Data!BN57</f>
        <v>0.1525</v>
      </c>
      <c r="BM103" s="76">
        <f>Data!BO57</f>
        <v>0.1525</v>
      </c>
      <c r="BN103" s="76">
        <f>Data!BP57</f>
        <v>0.1525</v>
      </c>
      <c r="BO103" s="76">
        <f>Data!BQ57</f>
        <v>0.1525</v>
      </c>
      <c r="BP103" s="76">
        <f>Data!BR57</f>
        <v>0.1525</v>
      </c>
      <c r="BQ103" s="76">
        <f>Data!BS57</f>
        <v>0.1525</v>
      </c>
      <c r="BR103" s="76">
        <f>Data!BT57</f>
        <v>0.1525</v>
      </c>
      <c r="BS103" s="76">
        <f>Data!BU57</f>
        <v>0.1525</v>
      </c>
      <c r="BT103" s="76">
        <f>Data!BV57</f>
        <v>0.1525</v>
      </c>
      <c r="BU103" s="76">
        <f>Data!BW57</f>
        <v>0.1525</v>
      </c>
      <c r="BV103" s="76">
        <f>Data!BX57</f>
        <v>0.1525</v>
      </c>
      <c r="BW103" s="76">
        <f>Data!BY57</f>
        <v>0.1525</v>
      </c>
      <c r="BX103" s="76">
        <f>Data!BZ57</f>
        <v>0.1525</v>
      </c>
      <c r="BY103" s="76">
        <f>Data!CA57</f>
        <v>0.1525</v>
      </c>
      <c r="BZ103" s="76">
        <f>Data!CB57</f>
        <v>0.1525</v>
      </c>
      <c r="CA103" s="76">
        <f>Data!CC57</f>
        <v>0.1525</v>
      </c>
      <c r="CB103" s="76">
        <f>Data!CD57</f>
        <v>0.1525</v>
      </c>
      <c r="CC103" s="76">
        <f>Data!CE57</f>
        <v>0.1525</v>
      </c>
      <c r="CD103" s="76">
        <f>Data!CF57</f>
        <v>0.1525</v>
      </c>
      <c r="CE103" s="76">
        <f>Data!CG57</f>
        <v>0.1525</v>
      </c>
      <c r="CF103" s="76">
        <f>Data!CH57</f>
        <v>0.1525</v>
      </c>
      <c r="CG103" s="76">
        <f>Data!CI57</f>
        <v>0.1525</v>
      </c>
      <c r="CH103" s="76">
        <f>Data!CJ57</f>
        <v>0.1525</v>
      </c>
      <c r="CI103" s="76">
        <f>Data!CK57</f>
        <v>0.1525</v>
      </c>
      <c r="CJ103" s="76">
        <f>Data!CL57</f>
        <v>0.1525</v>
      </c>
      <c r="CK103" s="76">
        <f>Data!CM57</f>
        <v>0.1525</v>
      </c>
      <c r="CL103" s="76">
        <f>Data!CN57</f>
        <v>0.1525</v>
      </c>
      <c r="CM103" s="76">
        <f>Data!CO57</f>
        <v>0.1525</v>
      </c>
      <c r="CN103" s="76">
        <f>Data!CP57</f>
        <v>0.1525</v>
      </c>
      <c r="CO103" s="76">
        <f>Data!CQ57</f>
        <v>0.1525</v>
      </c>
      <c r="CP103" s="76">
        <f>Data!CR57</f>
        <v>0.1525</v>
      </c>
      <c r="CQ103" s="76">
        <f>Data!CS57</f>
        <v>0.1525</v>
      </c>
      <c r="CR103" s="76">
        <f>Data!CT57</f>
        <v>0.1525</v>
      </c>
      <c r="CS103" s="76">
        <f>Data!CU57</f>
        <v>0.1525</v>
      </c>
      <c r="CT103" s="76">
        <f>Data!CV57</f>
        <v>0.1525</v>
      </c>
      <c r="CU103" s="76">
        <f>Data!CW57</f>
        <v>0.1525</v>
      </c>
      <c r="CV103" s="76">
        <f>Data!CX57</f>
        <v>0.1525</v>
      </c>
      <c r="CW103" s="76">
        <f>Data!CY57</f>
        <v>0.1525</v>
      </c>
      <c r="CX103" s="76">
        <f>Data!CZ57</f>
        <v>0.1525</v>
      </c>
      <c r="CY103" s="76">
        <f>Data!DA57</f>
        <v>0.1525</v>
      </c>
      <c r="CZ103" s="76">
        <f>Data!DB57</f>
        <v>0.1525</v>
      </c>
      <c r="DA103" s="76">
        <f>Data!DC57</f>
        <v>0.1525</v>
      </c>
      <c r="DB103" s="76">
        <f>Data!DD57</f>
        <v>0.1525</v>
      </c>
      <c r="DC103" s="76">
        <f>Data!DE57</f>
        <v>0.1525</v>
      </c>
      <c r="DD103" s="76">
        <f>Data!DF57</f>
        <v>0.1525</v>
      </c>
      <c r="DE103" s="76">
        <f>Data!DG57</f>
        <v>0.1525</v>
      </c>
      <c r="DF103" s="76">
        <f>Data!DH57</f>
        <v>0.1525</v>
      </c>
      <c r="DG103" s="76">
        <f>Data!DI57</f>
        <v>0.1525</v>
      </c>
      <c r="DH103" s="76">
        <f>Data!DJ57</f>
        <v>0.1525</v>
      </c>
      <c r="DI103" s="76">
        <f>Data!DK57</f>
        <v>0.1525</v>
      </c>
      <c r="DJ103" s="76">
        <f>Data!DL57</f>
        <v>0.1525</v>
      </c>
      <c r="DK103" s="76">
        <f>Data!DM57</f>
        <v>0.1525</v>
      </c>
      <c r="DL103" s="76">
        <f>Data!DN57</f>
        <v>0.1525</v>
      </c>
      <c r="DM103" s="76">
        <f>Data!DO57</f>
        <v>0.1525</v>
      </c>
      <c r="DN103" s="76">
        <f>Data!DP57</f>
        <v>0.1525</v>
      </c>
      <c r="DO103" s="76">
        <f>Data!DQ57</f>
        <v>0.1525</v>
      </c>
      <c r="DP103" s="76">
        <f>Data!DR57</f>
        <v>0.1525</v>
      </c>
      <c r="DQ103" s="76">
        <f>Data!DS57</f>
        <v>0.1525</v>
      </c>
      <c r="DR103" s="76">
        <f>Data!DT57</f>
        <v>0.1525</v>
      </c>
      <c r="DS103" s="76">
        <f>Data!DU57</f>
        <v>0.1525</v>
      </c>
      <c r="DT103" s="76">
        <f>Data!DV57</f>
        <v>0.1525</v>
      </c>
      <c r="DU103" s="428">
        <f>Data!DW57</f>
        <v>0.1525</v>
      </c>
      <c r="DV103" s="697"/>
    </row>
    <row r="104" spans="1:126" x14ac:dyDescent="0.3">
      <c r="B104" s="620" t="str">
        <f>Data!D58</f>
        <v>Resource3</v>
      </c>
      <c r="C104" s="579"/>
      <c r="D104" s="399"/>
      <c r="E104" s="74">
        <f>Data!G58</f>
        <v>6.0999999999999992E-6</v>
      </c>
      <c r="F104" s="76">
        <f>Data!H58</f>
        <v>6.0999999999999992E-6</v>
      </c>
      <c r="G104" s="76">
        <f>Data!I58</f>
        <v>6.1E-6</v>
      </c>
      <c r="H104" s="76">
        <f>Data!J58</f>
        <v>6.1E-6</v>
      </c>
      <c r="I104" s="76">
        <f>Data!K58</f>
        <v>6.1E-6</v>
      </c>
      <c r="J104" s="76">
        <f>Data!L58</f>
        <v>6.1E-6</v>
      </c>
      <c r="K104" s="1389">
        <f>Data!M58</f>
        <v>6.1E-6</v>
      </c>
      <c r="L104" s="76">
        <f>Data!N58</f>
        <v>6.1E-6</v>
      </c>
      <c r="M104" s="76">
        <f>Data!O58</f>
        <v>6.1E-6</v>
      </c>
      <c r="N104" s="76">
        <f>Data!P58</f>
        <v>6.1E-6</v>
      </c>
      <c r="O104" s="76">
        <f>Data!Q58</f>
        <v>6.1E-6</v>
      </c>
      <c r="P104" s="76">
        <f>Data!R58</f>
        <v>6.1E-6</v>
      </c>
      <c r="Q104" s="76">
        <f>Data!S58</f>
        <v>6.1E-6</v>
      </c>
      <c r="R104" s="76">
        <f>Data!T58</f>
        <v>6.1E-6</v>
      </c>
      <c r="S104" s="76">
        <f>Data!U58</f>
        <v>6.1E-6</v>
      </c>
      <c r="T104" s="76">
        <f>Data!V58</f>
        <v>6.1E-6</v>
      </c>
      <c r="U104" s="76">
        <f>Data!W58</f>
        <v>6.1E-6</v>
      </c>
      <c r="V104" s="76">
        <f>Data!X58</f>
        <v>6.1E-6</v>
      </c>
      <c r="W104" s="76">
        <f>Data!Y58</f>
        <v>6.1E-6</v>
      </c>
      <c r="X104" s="76">
        <f>Data!Z58</f>
        <v>6.1E-6</v>
      </c>
      <c r="Y104" s="76">
        <f>Data!AA58</f>
        <v>6.1E-6</v>
      </c>
      <c r="Z104" s="76">
        <f>Data!AB58</f>
        <v>6.1E-6</v>
      </c>
      <c r="AA104" s="76">
        <f>Data!AC58</f>
        <v>6.1E-6</v>
      </c>
      <c r="AB104" s="76">
        <f>Data!AD58</f>
        <v>6.1E-6</v>
      </c>
      <c r="AC104" s="76">
        <f>Data!AE58</f>
        <v>6.1E-6</v>
      </c>
      <c r="AD104" s="76">
        <f>Data!AF58</f>
        <v>6.1E-6</v>
      </c>
      <c r="AE104" s="76">
        <f>Data!AG58</f>
        <v>6.1E-6</v>
      </c>
      <c r="AF104" s="76">
        <f>Data!AH58</f>
        <v>6.1E-6</v>
      </c>
      <c r="AG104" s="76">
        <f>Data!AI58</f>
        <v>6.1E-6</v>
      </c>
      <c r="AH104" s="76">
        <f>Data!AJ58</f>
        <v>6.1E-6</v>
      </c>
      <c r="AI104" s="76">
        <f>Data!AK58</f>
        <v>6.1E-6</v>
      </c>
      <c r="AJ104" s="76">
        <f>Data!AL58</f>
        <v>6.1E-6</v>
      </c>
      <c r="AK104" s="76">
        <f>Data!AM58</f>
        <v>6.1E-6</v>
      </c>
      <c r="AL104" s="76">
        <f>Data!AN58</f>
        <v>6.1E-6</v>
      </c>
      <c r="AM104" s="76">
        <f>Data!AO58</f>
        <v>6.1E-6</v>
      </c>
      <c r="AN104" s="76">
        <f>Data!AP58</f>
        <v>6.1E-6</v>
      </c>
      <c r="AO104" s="76">
        <f>Data!AQ58</f>
        <v>6.1E-6</v>
      </c>
      <c r="AP104" s="76">
        <f>Data!AR58</f>
        <v>6.1E-6</v>
      </c>
      <c r="AQ104" s="76">
        <f>Data!AS58</f>
        <v>6.1E-6</v>
      </c>
      <c r="AR104" s="76">
        <f>Data!AT58</f>
        <v>6.1E-6</v>
      </c>
      <c r="AS104" s="76">
        <f>Data!AU58</f>
        <v>6.1E-6</v>
      </c>
      <c r="AT104" s="76">
        <f>Data!AV58</f>
        <v>6.1E-6</v>
      </c>
      <c r="AU104" s="76">
        <f>Data!AW58</f>
        <v>6.1E-6</v>
      </c>
      <c r="AV104" s="76">
        <f>Data!AX58</f>
        <v>6.1E-6</v>
      </c>
      <c r="AW104" s="76">
        <f>Data!AY58</f>
        <v>6.1E-6</v>
      </c>
      <c r="AX104" s="76">
        <f>Data!AZ58</f>
        <v>6.1E-6</v>
      </c>
      <c r="AY104" s="76">
        <f>Data!BA58</f>
        <v>6.1E-6</v>
      </c>
      <c r="AZ104" s="76">
        <f>Data!BB58</f>
        <v>6.1E-6</v>
      </c>
      <c r="BA104" s="76">
        <f>Data!BC58</f>
        <v>6.1E-6</v>
      </c>
      <c r="BB104" s="76">
        <f>Data!BD58</f>
        <v>6.1E-6</v>
      </c>
      <c r="BC104" s="76">
        <f>Data!BE58</f>
        <v>6.1E-6</v>
      </c>
      <c r="BD104" s="76">
        <f>Data!BF58</f>
        <v>6.1E-6</v>
      </c>
      <c r="BE104" s="76">
        <f>Data!BG58</f>
        <v>6.1E-6</v>
      </c>
      <c r="BF104" s="76">
        <f>Data!BH58</f>
        <v>6.1E-6</v>
      </c>
      <c r="BG104" s="76">
        <f>Data!BI58</f>
        <v>6.1E-6</v>
      </c>
      <c r="BH104" s="76">
        <f>Data!BJ58</f>
        <v>6.1E-6</v>
      </c>
      <c r="BI104" s="76">
        <f>Data!BK58</f>
        <v>6.1E-6</v>
      </c>
      <c r="BJ104" s="76">
        <f>Data!BL58</f>
        <v>6.1E-6</v>
      </c>
      <c r="BK104" s="76">
        <f>Data!BM58</f>
        <v>6.1E-6</v>
      </c>
      <c r="BL104" s="76">
        <f>Data!BN58</f>
        <v>6.1E-6</v>
      </c>
      <c r="BM104" s="76">
        <f>Data!BO58</f>
        <v>6.1E-6</v>
      </c>
      <c r="BN104" s="76">
        <f>Data!BP58</f>
        <v>6.1E-6</v>
      </c>
      <c r="BO104" s="76">
        <f>Data!BQ58</f>
        <v>6.1E-6</v>
      </c>
      <c r="BP104" s="76">
        <f>Data!BR58</f>
        <v>6.1E-6</v>
      </c>
      <c r="BQ104" s="76">
        <f>Data!BS58</f>
        <v>6.1E-6</v>
      </c>
      <c r="BR104" s="76">
        <f>Data!BT58</f>
        <v>6.1E-6</v>
      </c>
      <c r="BS104" s="76">
        <f>Data!BU58</f>
        <v>6.1E-6</v>
      </c>
      <c r="BT104" s="76">
        <f>Data!BV58</f>
        <v>6.1E-6</v>
      </c>
      <c r="BU104" s="76">
        <f>Data!BW58</f>
        <v>6.1E-6</v>
      </c>
      <c r="BV104" s="76">
        <f>Data!BX58</f>
        <v>6.1E-6</v>
      </c>
      <c r="BW104" s="76">
        <f>Data!BY58</f>
        <v>6.1E-6</v>
      </c>
      <c r="BX104" s="76">
        <f>Data!BZ58</f>
        <v>6.1E-6</v>
      </c>
      <c r="BY104" s="76">
        <f>Data!CA58</f>
        <v>6.1E-6</v>
      </c>
      <c r="BZ104" s="76">
        <f>Data!CB58</f>
        <v>6.1E-6</v>
      </c>
      <c r="CA104" s="76">
        <f>Data!CC58</f>
        <v>6.1E-6</v>
      </c>
      <c r="CB104" s="76">
        <f>Data!CD58</f>
        <v>6.1E-6</v>
      </c>
      <c r="CC104" s="76">
        <f>Data!CE58</f>
        <v>6.1E-6</v>
      </c>
      <c r="CD104" s="76">
        <f>Data!CF58</f>
        <v>6.1E-6</v>
      </c>
      <c r="CE104" s="76">
        <f>Data!CG58</f>
        <v>6.1E-6</v>
      </c>
      <c r="CF104" s="76">
        <f>Data!CH58</f>
        <v>6.1E-6</v>
      </c>
      <c r="CG104" s="76">
        <f>Data!CI58</f>
        <v>6.1E-6</v>
      </c>
      <c r="CH104" s="76">
        <f>Data!CJ58</f>
        <v>6.1E-6</v>
      </c>
      <c r="CI104" s="76">
        <f>Data!CK58</f>
        <v>6.1E-6</v>
      </c>
      <c r="CJ104" s="76">
        <f>Data!CL58</f>
        <v>6.1E-6</v>
      </c>
      <c r="CK104" s="76">
        <f>Data!CM58</f>
        <v>6.1E-6</v>
      </c>
      <c r="CL104" s="76">
        <f>Data!CN58</f>
        <v>6.1E-6</v>
      </c>
      <c r="CM104" s="76">
        <f>Data!CO58</f>
        <v>6.1E-6</v>
      </c>
      <c r="CN104" s="76">
        <f>Data!CP58</f>
        <v>6.1E-6</v>
      </c>
      <c r="CO104" s="76">
        <f>Data!CQ58</f>
        <v>6.1E-6</v>
      </c>
      <c r="CP104" s="76">
        <f>Data!CR58</f>
        <v>6.1E-6</v>
      </c>
      <c r="CQ104" s="76">
        <f>Data!CS58</f>
        <v>6.1E-6</v>
      </c>
      <c r="CR104" s="76">
        <f>Data!CT58</f>
        <v>6.1E-6</v>
      </c>
      <c r="CS104" s="76">
        <f>Data!CU58</f>
        <v>6.1E-6</v>
      </c>
      <c r="CT104" s="76">
        <f>Data!CV58</f>
        <v>6.1E-6</v>
      </c>
      <c r="CU104" s="76">
        <f>Data!CW58</f>
        <v>6.1E-6</v>
      </c>
      <c r="CV104" s="76">
        <f>Data!CX58</f>
        <v>6.1E-6</v>
      </c>
      <c r="CW104" s="76">
        <f>Data!CY58</f>
        <v>6.1E-6</v>
      </c>
      <c r="CX104" s="76">
        <f>Data!CZ58</f>
        <v>6.1E-6</v>
      </c>
      <c r="CY104" s="76">
        <f>Data!DA58</f>
        <v>6.1E-6</v>
      </c>
      <c r="CZ104" s="76">
        <f>Data!DB58</f>
        <v>6.1E-6</v>
      </c>
      <c r="DA104" s="76">
        <f>Data!DC58</f>
        <v>6.1E-6</v>
      </c>
      <c r="DB104" s="76">
        <f>Data!DD58</f>
        <v>6.1E-6</v>
      </c>
      <c r="DC104" s="76">
        <f>Data!DE58</f>
        <v>6.1E-6</v>
      </c>
      <c r="DD104" s="76">
        <f>Data!DF58</f>
        <v>6.1E-6</v>
      </c>
      <c r="DE104" s="76">
        <f>Data!DG58</f>
        <v>6.1E-6</v>
      </c>
      <c r="DF104" s="76">
        <f>Data!DH58</f>
        <v>6.1E-6</v>
      </c>
      <c r="DG104" s="76">
        <f>Data!DI58</f>
        <v>6.1E-6</v>
      </c>
      <c r="DH104" s="76">
        <f>Data!DJ58</f>
        <v>6.1E-6</v>
      </c>
      <c r="DI104" s="76">
        <f>Data!DK58</f>
        <v>6.1E-6</v>
      </c>
      <c r="DJ104" s="76">
        <f>Data!DL58</f>
        <v>6.1E-6</v>
      </c>
      <c r="DK104" s="76">
        <f>Data!DM58</f>
        <v>6.1E-6</v>
      </c>
      <c r="DL104" s="76">
        <f>Data!DN58</f>
        <v>6.1E-6</v>
      </c>
      <c r="DM104" s="76">
        <f>Data!DO58</f>
        <v>6.1E-6</v>
      </c>
      <c r="DN104" s="76">
        <f>Data!DP58</f>
        <v>6.1E-6</v>
      </c>
      <c r="DO104" s="76">
        <f>Data!DQ58</f>
        <v>6.1E-6</v>
      </c>
      <c r="DP104" s="76">
        <f>Data!DR58</f>
        <v>6.1E-6</v>
      </c>
      <c r="DQ104" s="76">
        <f>Data!DS58</f>
        <v>6.1E-6</v>
      </c>
      <c r="DR104" s="76">
        <f>Data!DT58</f>
        <v>6.1E-6</v>
      </c>
      <c r="DS104" s="76">
        <f>Data!DU58</f>
        <v>6.1E-6</v>
      </c>
      <c r="DT104" s="76">
        <f>Data!DV58</f>
        <v>6.1E-6</v>
      </c>
      <c r="DU104" s="428">
        <f>Data!DW58</f>
        <v>6.1E-6</v>
      </c>
      <c r="DV104" s="697"/>
    </row>
    <row r="105" spans="1:126" x14ac:dyDescent="0.3">
      <c r="B105" s="620" t="str">
        <f>Data!D59</f>
        <v>Resource4</v>
      </c>
      <c r="C105" s="579"/>
      <c r="D105" s="399"/>
      <c r="E105" s="74">
        <f>Data!G59</f>
        <v>6.0999999999999992E-6</v>
      </c>
      <c r="F105" s="76">
        <f>Data!H59</f>
        <v>6.0999999999999992E-6</v>
      </c>
      <c r="G105" s="76">
        <f>Data!I59</f>
        <v>6.1E-6</v>
      </c>
      <c r="H105" s="76">
        <f>Data!J59</f>
        <v>6.1E-6</v>
      </c>
      <c r="I105" s="76">
        <f>Data!K59</f>
        <v>6.1E-6</v>
      </c>
      <c r="J105" s="76">
        <f>Data!L59</f>
        <v>6.1E-6</v>
      </c>
      <c r="K105" s="1389">
        <f>Data!M59</f>
        <v>6.1E-6</v>
      </c>
      <c r="L105" s="76">
        <f>Data!N59</f>
        <v>6.1E-6</v>
      </c>
      <c r="M105" s="76">
        <f>Data!O59</f>
        <v>6.1E-6</v>
      </c>
      <c r="N105" s="76">
        <f>Data!P59</f>
        <v>6.1E-6</v>
      </c>
      <c r="O105" s="76">
        <f>Data!Q59</f>
        <v>6.1E-6</v>
      </c>
      <c r="P105" s="76">
        <f>Data!R59</f>
        <v>6.1E-6</v>
      </c>
      <c r="Q105" s="76">
        <f>Data!S59</f>
        <v>6.1E-6</v>
      </c>
      <c r="R105" s="76">
        <f>Data!T59</f>
        <v>6.1E-6</v>
      </c>
      <c r="S105" s="76">
        <f>Data!U59</f>
        <v>6.1E-6</v>
      </c>
      <c r="T105" s="76">
        <f>Data!V59</f>
        <v>6.1E-6</v>
      </c>
      <c r="U105" s="76">
        <f>Data!W59</f>
        <v>6.1E-6</v>
      </c>
      <c r="V105" s="76">
        <f>Data!X59</f>
        <v>6.1E-6</v>
      </c>
      <c r="W105" s="76">
        <f>Data!Y59</f>
        <v>6.1E-6</v>
      </c>
      <c r="X105" s="76">
        <f>Data!Z59</f>
        <v>6.1E-6</v>
      </c>
      <c r="Y105" s="76">
        <f>Data!AA59</f>
        <v>6.1E-6</v>
      </c>
      <c r="Z105" s="76">
        <f>Data!AB59</f>
        <v>6.1E-6</v>
      </c>
      <c r="AA105" s="76">
        <f>Data!AC59</f>
        <v>6.1E-6</v>
      </c>
      <c r="AB105" s="76">
        <f>Data!AD59</f>
        <v>6.1E-6</v>
      </c>
      <c r="AC105" s="76">
        <f>Data!AE59</f>
        <v>6.1E-6</v>
      </c>
      <c r="AD105" s="76">
        <f>Data!AF59</f>
        <v>6.1E-6</v>
      </c>
      <c r="AE105" s="76">
        <f>Data!AG59</f>
        <v>6.1E-6</v>
      </c>
      <c r="AF105" s="76">
        <f>Data!AH59</f>
        <v>6.1E-6</v>
      </c>
      <c r="AG105" s="76">
        <f>Data!AI59</f>
        <v>6.1E-6</v>
      </c>
      <c r="AH105" s="76">
        <f>Data!AJ59</f>
        <v>6.1E-6</v>
      </c>
      <c r="AI105" s="76">
        <f>Data!AK59</f>
        <v>6.1E-6</v>
      </c>
      <c r="AJ105" s="76">
        <f>Data!AL59</f>
        <v>6.1E-6</v>
      </c>
      <c r="AK105" s="76">
        <f>Data!AM59</f>
        <v>6.1E-6</v>
      </c>
      <c r="AL105" s="76">
        <f>Data!AN59</f>
        <v>6.1E-6</v>
      </c>
      <c r="AM105" s="76">
        <f>Data!AO59</f>
        <v>6.1E-6</v>
      </c>
      <c r="AN105" s="76">
        <f>Data!AP59</f>
        <v>6.1E-6</v>
      </c>
      <c r="AO105" s="76">
        <f>Data!AQ59</f>
        <v>6.1E-6</v>
      </c>
      <c r="AP105" s="76">
        <f>Data!AR59</f>
        <v>6.1E-6</v>
      </c>
      <c r="AQ105" s="76">
        <f>Data!AS59</f>
        <v>6.1E-6</v>
      </c>
      <c r="AR105" s="76">
        <f>Data!AT59</f>
        <v>6.1E-6</v>
      </c>
      <c r="AS105" s="76">
        <f>Data!AU59</f>
        <v>6.1E-6</v>
      </c>
      <c r="AT105" s="76">
        <f>Data!AV59</f>
        <v>6.1E-6</v>
      </c>
      <c r="AU105" s="76">
        <f>Data!AW59</f>
        <v>6.1E-6</v>
      </c>
      <c r="AV105" s="76">
        <f>Data!AX59</f>
        <v>6.1E-6</v>
      </c>
      <c r="AW105" s="76">
        <f>Data!AY59</f>
        <v>6.1E-6</v>
      </c>
      <c r="AX105" s="76">
        <f>Data!AZ59</f>
        <v>6.1E-6</v>
      </c>
      <c r="AY105" s="76">
        <f>Data!BA59</f>
        <v>6.1E-6</v>
      </c>
      <c r="AZ105" s="76">
        <f>Data!BB59</f>
        <v>6.1E-6</v>
      </c>
      <c r="BA105" s="76">
        <f>Data!BC59</f>
        <v>6.1E-6</v>
      </c>
      <c r="BB105" s="76">
        <f>Data!BD59</f>
        <v>6.1E-6</v>
      </c>
      <c r="BC105" s="76">
        <f>Data!BE59</f>
        <v>6.1E-6</v>
      </c>
      <c r="BD105" s="76">
        <f>Data!BF59</f>
        <v>6.1E-6</v>
      </c>
      <c r="BE105" s="76">
        <f>Data!BG59</f>
        <v>6.1E-6</v>
      </c>
      <c r="BF105" s="76">
        <f>Data!BH59</f>
        <v>6.1E-6</v>
      </c>
      <c r="BG105" s="76">
        <f>Data!BI59</f>
        <v>6.1E-6</v>
      </c>
      <c r="BH105" s="76">
        <f>Data!BJ59</f>
        <v>6.1E-6</v>
      </c>
      <c r="BI105" s="76">
        <f>Data!BK59</f>
        <v>6.1E-6</v>
      </c>
      <c r="BJ105" s="76">
        <f>Data!BL59</f>
        <v>6.1E-6</v>
      </c>
      <c r="BK105" s="76">
        <f>Data!BM59</f>
        <v>6.1E-6</v>
      </c>
      <c r="BL105" s="76">
        <f>Data!BN59</f>
        <v>6.1E-6</v>
      </c>
      <c r="BM105" s="76">
        <f>Data!BO59</f>
        <v>6.1E-6</v>
      </c>
      <c r="BN105" s="76">
        <f>Data!BP59</f>
        <v>6.1E-6</v>
      </c>
      <c r="BO105" s="76">
        <f>Data!BQ59</f>
        <v>6.1E-6</v>
      </c>
      <c r="BP105" s="76">
        <f>Data!BR59</f>
        <v>6.1E-6</v>
      </c>
      <c r="BQ105" s="76">
        <f>Data!BS59</f>
        <v>6.1E-6</v>
      </c>
      <c r="BR105" s="76">
        <f>Data!BT59</f>
        <v>6.1E-6</v>
      </c>
      <c r="BS105" s="76">
        <f>Data!BU59</f>
        <v>6.1E-6</v>
      </c>
      <c r="BT105" s="76">
        <f>Data!BV59</f>
        <v>6.1E-6</v>
      </c>
      <c r="BU105" s="76">
        <f>Data!BW59</f>
        <v>6.1E-6</v>
      </c>
      <c r="BV105" s="76">
        <f>Data!BX59</f>
        <v>6.1E-6</v>
      </c>
      <c r="BW105" s="76">
        <f>Data!BY59</f>
        <v>6.1E-6</v>
      </c>
      <c r="BX105" s="76">
        <f>Data!BZ59</f>
        <v>6.1E-6</v>
      </c>
      <c r="BY105" s="76">
        <f>Data!CA59</f>
        <v>6.1E-6</v>
      </c>
      <c r="BZ105" s="76">
        <f>Data!CB59</f>
        <v>6.1E-6</v>
      </c>
      <c r="CA105" s="76">
        <f>Data!CC59</f>
        <v>6.1E-6</v>
      </c>
      <c r="CB105" s="76">
        <f>Data!CD59</f>
        <v>6.1E-6</v>
      </c>
      <c r="CC105" s="76">
        <f>Data!CE59</f>
        <v>6.1E-6</v>
      </c>
      <c r="CD105" s="76">
        <f>Data!CF59</f>
        <v>6.1E-6</v>
      </c>
      <c r="CE105" s="76">
        <f>Data!CG59</f>
        <v>6.1E-6</v>
      </c>
      <c r="CF105" s="76">
        <f>Data!CH59</f>
        <v>6.1E-6</v>
      </c>
      <c r="CG105" s="76">
        <f>Data!CI59</f>
        <v>6.1E-6</v>
      </c>
      <c r="CH105" s="76">
        <f>Data!CJ59</f>
        <v>6.1E-6</v>
      </c>
      <c r="CI105" s="76">
        <f>Data!CK59</f>
        <v>6.1E-6</v>
      </c>
      <c r="CJ105" s="76">
        <f>Data!CL59</f>
        <v>6.1E-6</v>
      </c>
      <c r="CK105" s="76">
        <f>Data!CM59</f>
        <v>6.1E-6</v>
      </c>
      <c r="CL105" s="76">
        <f>Data!CN59</f>
        <v>6.1E-6</v>
      </c>
      <c r="CM105" s="76">
        <f>Data!CO59</f>
        <v>6.1E-6</v>
      </c>
      <c r="CN105" s="76">
        <f>Data!CP59</f>
        <v>6.1E-6</v>
      </c>
      <c r="CO105" s="76">
        <f>Data!CQ59</f>
        <v>6.1E-6</v>
      </c>
      <c r="CP105" s="76">
        <f>Data!CR59</f>
        <v>6.1E-6</v>
      </c>
      <c r="CQ105" s="76">
        <f>Data!CS59</f>
        <v>6.1E-6</v>
      </c>
      <c r="CR105" s="76">
        <f>Data!CT59</f>
        <v>6.1E-6</v>
      </c>
      <c r="CS105" s="76">
        <f>Data!CU59</f>
        <v>6.1E-6</v>
      </c>
      <c r="CT105" s="76">
        <f>Data!CV59</f>
        <v>6.1E-6</v>
      </c>
      <c r="CU105" s="76">
        <f>Data!CW59</f>
        <v>6.1E-6</v>
      </c>
      <c r="CV105" s="76">
        <f>Data!CX59</f>
        <v>6.1E-6</v>
      </c>
      <c r="CW105" s="76">
        <f>Data!CY59</f>
        <v>6.1E-6</v>
      </c>
      <c r="CX105" s="76">
        <f>Data!CZ59</f>
        <v>6.1E-6</v>
      </c>
      <c r="CY105" s="76">
        <f>Data!DA59</f>
        <v>6.1E-6</v>
      </c>
      <c r="CZ105" s="76">
        <f>Data!DB59</f>
        <v>6.1E-6</v>
      </c>
      <c r="DA105" s="76">
        <f>Data!DC59</f>
        <v>6.1E-6</v>
      </c>
      <c r="DB105" s="76">
        <f>Data!DD59</f>
        <v>6.1E-6</v>
      </c>
      <c r="DC105" s="76">
        <f>Data!DE59</f>
        <v>6.1E-6</v>
      </c>
      <c r="DD105" s="76">
        <f>Data!DF59</f>
        <v>6.1E-6</v>
      </c>
      <c r="DE105" s="76">
        <f>Data!DG59</f>
        <v>6.1E-6</v>
      </c>
      <c r="DF105" s="76">
        <f>Data!DH59</f>
        <v>6.1E-6</v>
      </c>
      <c r="DG105" s="76">
        <f>Data!DI59</f>
        <v>6.1E-6</v>
      </c>
      <c r="DH105" s="76">
        <f>Data!DJ59</f>
        <v>6.1E-6</v>
      </c>
      <c r="DI105" s="76">
        <f>Data!DK59</f>
        <v>6.1E-6</v>
      </c>
      <c r="DJ105" s="76">
        <f>Data!DL59</f>
        <v>6.1E-6</v>
      </c>
      <c r="DK105" s="76">
        <f>Data!DM59</f>
        <v>6.1E-6</v>
      </c>
      <c r="DL105" s="76">
        <f>Data!DN59</f>
        <v>6.1E-6</v>
      </c>
      <c r="DM105" s="76">
        <f>Data!DO59</f>
        <v>6.1E-6</v>
      </c>
      <c r="DN105" s="76">
        <f>Data!DP59</f>
        <v>6.1E-6</v>
      </c>
      <c r="DO105" s="76">
        <f>Data!DQ59</f>
        <v>6.1E-6</v>
      </c>
      <c r="DP105" s="76">
        <f>Data!DR59</f>
        <v>6.1E-6</v>
      </c>
      <c r="DQ105" s="76">
        <f>Data!DS59</f>
        <v>6.1E-6</v>
      </c>
      <c r="DR105" s="76">
        <f>Data!DT59</f>
        <v>6.1E-6</v>
      </c>
      <c r="DS105" s="76">
        <f>Data!DU59</f>
        <v>6.1E-6</v>
      </c>
      <c r="DT105" s="76">
        <f>Data!DV59</f>
        <v>6.1E-6</v>
      </c>
      <c r="DU105" s="428">
        <f>Data!DW59</f>
        <v>6.1E-6</v>
      </c>
      <c r="DV105" s="697"/>
    </row>
    <row r="106" spans="1:126" x14ac:dyDescent="0.3">
      <c r="B106" s="622" t="str">
        <f>Data!D60</f>
        <v>Total Employees</v>
      </c>
      <c r="C106" s="580"/>
      <c r="D106" s="400"/>
      <c r="E106" s="77">
        <f>Data!G60</f>
        <v>78.153161599999962</v>
      </c>
      <c r="F106" s="78">
        <f>Data!H60</f>
        <v>71.900661599999978</v>
      </c>
      <c r="G106" s="1376">
        <f>Data!I60</f>
        <v>72.527606044444425</v>
      </c>
      <c r="H106" s="78">
        <f>Data!J60</f>
        <v>72.527606044444425</v>
      </c>
      <c r="I106" s="78">
        <f>Data!K60</f>
        <v>72.527606044444425</v>
      </c>
      <c r="J106" s="78">
        <f>Data!L60</f>
        <v>71.849828266666648</v>
      </c>
      <c r="K106" s="78">
        <f>Data!M60</f>
        <v>70.887911289743556</v>
      </c>
      <c r="L106" s="78">
        <f>Data!N60</f>
        <v>70.887911289743556</v>
      </c>
      <c r="M106" s="78">
        <f>Data!O60</f>
        <v>70.887911289743556</v>
      </c>
      <c r="N106" s="78">
        <f>Data!P60</f>
        <v>70.887911289743556</v>
      </c>
      <c r="O106" s="78">
        <f>Data!Q60</f>
        <v>70.887911289743556</v>
      </c>
      <c r="P106" s="78">
        <f>Data!R60</f>
        <v>70.549022400854653</v>
      </c>
      <c r="Q106" s="78">
        <f>Data!S60</f>
        <v>70.549022400854653</v>
      </c>
      <c r="R106" s="78">
        <f>Data!T60</f>
        <v>70.549022400854653</v>
      </c>
      <c r="S106" s="78">
        <f>Data!U60</f>
        <v>70.549022400854653</v>
      </c>
      <c r="T106" s="78">
        <f>Data!V60</f>
        <v>70.549022400854653</v>
      </c>
      <c r="U106" s="78">
        <f>Data!W60</f>
        <v>70.549022400854653</v>
      </c>
      <c r="V106" s="78">
        <f>Data!X60</f>
        <v>70.549022400854653</v>
      </c>
      <c r="W106" s="78">
        <f>Data!Y60</f>
        <v>70.549022400854653</v>
      </c>
      <c r="X106" s="78">
        <f>Data!Z60</f>
        <v>70.549022400854653</v>
      </c>
      <c r="Y106" s="78">
        <f>Data!AA60</f>
        <v>70.549022400854653</v>
      </c>
      <c r="Z106" s="78">
        <f>Data!AB60</f>
        <v>70.549022400854653</v>
      </c>
      <c r="AA106" s="78">
        <f>Data!AC60</f>
        <v>70.549022400854653</v>
      </c>
      <c r="AB106" s="78">
        <f>Data!AD60</f>
        <v>70.549022400854653</v>
      </c>
      <c r="AC106" s="78">
        <f>Data!AE60</f>
        <v>70.549022400854653</v>
      </c>
      <c r="AD106" s="78">
        <f>Data!AF60</f>
        <v>70.549022400854653</v>
      </c>
      <c r="AE106" s="78">
        <f>Data!AG60</f>
        <v>70.549022400854653</v>
      </c>
      <c r="AF106" s="78">
        <f>Data!AH60</f>
        <v>70.549022400854653</v>
      </c>
      <c r="AG106" s="78">
        <f>Data!AI60</f>
        <v>70.549022400854653</v>
      </c>
      <c r="AH106" s="78">
        <f>Data!AJ60</f>
        <v>70.549022400854653</v>
      </c>
      <c r="AI106" s="78">
        <f>Data!AK60</f>
        <v>70.549022400854653</v>
      </c>
      <c r="AJ106" s="78">
        <f>Data!AL60</f>
        <v>70.549022400854653</v>
      </c>
      <c r="AK106" s="78">
        <f>Data!AM60</f>
        <v>70.549022400854653</v>
      </c>
      <c r="AL106" s="78">
        <f>Data!AN60</f>
        <v>70.549022400854653</v>
      </c>
      <c r="AM106" s="78">
        <f>Data!AO60</f>
        <v>70.549022400854653</v>
      </c>
      <c r="AN106" s="78">
        <f>Data!AP60</f>
        <v>70.549022400854653</v>
      </c>
      <c r="AO106" s="78">
        <f>Data!AQ60</f>
        <v>70.549022400854653</v>
      </c>
      <c r="AP106" s="78">
        <f>Data!AR60</f>
        <v>70.549022400854653</v>
      </c>
      <c r="AQ106" s="78">
        <f>Data!AS60</f>
        <v>70.549022400854653</v>
      </c>
      <c r="AR106" s="78">
        <f>Data!AT60</f>
        <v>70.549022400854653</v>
      </c>
      <c r="AS106" s="78">
        <f>Data!AU60</f>
        <v>70.549022400854653</v>
      </c>
      <c r="AT106" s="78">
        <f>Data!AV60</f>
        <v>70.549022400854653</v>
      </c>
      <c r="AU106" s="78">
        <f>Data!AW60</f>
        <v>70.549022400854653</v>
      </c>
      <c r="AV106" s="78">
        <f>Data!AX60</f>
        <v>70.549022400854653</v>
      </c>
      <c r="AW106" s="78">
        <f>Data!AY60</f>
        <v>70.549022400854653</v>
      </c>
      <c r="AX106" s="78">
        <f>Data!AZ60</f>
        <v>70.549022400854653</v>
      </c>
      <c r="AY106" s="78">
        <f>Data!BA60</f>
        <v>70.549022400854653</v>
      </c>
      <c r="AZ106" s="78">
        <f>Data!BB60</f>
        <v>70.549022400854653</v>
      </c>
      <c r="BA106" s="78">
        <f>Data!BC60</f>
        <v>70.549022400854653</v>
      </c>
      <c r="BB106" s="78">
        <f>Data!BD60</f>
        <v>70.549022400854653</v>
      </c>
      <c r="BC106" s="78">
        <f>Data!BE60</f>
        <v>70.549022400854653</v>
      </c>
      <c r="BD106" s="78">
        <f>Data!BF60</f>
        <v>70.549022400854653</v>
      </c>
      <c r="BE106" s="78">
        <f>Data!BG60</f>
        <v>70.549022400854653</v>
      </c>
      <c r="BF106" s="78">
        <f>Data!BH60</f>
        <v>70.549022400854653</v>
      </c>
      <c r="BG106" s="78">
        <f>Data!BI60</f>
        <v>70.549022400854653</v>
      </c>
      <c r="BH106" s="78">
        <f>Data!BJ60</f>
        <v>70.549022400854653</v>
      </c>
      <c r="BI106" s="78">
        <f>Data!BK60</f>
        <v>70.549022400854653</v>
      </c>
      <c r="BJ106" s="78">
        <f>Data!BL60</f>
        <v>70.549022400854653</v>
      </c>
      <c r="BK106" s="78">
        <f>Data!BM60</f>
        <v>70.549022400854653</v>
      </c>
      <c r="BL106" s="78">
        <f>Data!BN60</f>
        <v>70.549022400854653</v>
      </c>
      <c r="BM106" s="78">
        <f>Data!BO60</f>
        <v>70.549022400854653</v>
      </c>
      <c r="BN106" s="78">
        <f>Data!BP60</f>
        <v>70.549022400854653</v>
      </c>
      <c r="BO106" s="78">
        <f>Data!BQ60</f>
        <v>70.549022400854653</v>
      </c>
      <c r="BP106" s="78">
        <f>Data!BR60</f>
        <v>70.549022400854653</v>
      </c>
      <c r="BQ106" s="78">
        <f>Data!BS60</f>
        <v>70.549022400854653</v>
      </c>
      <c r="BR106" s="78">
        <f>Data!BT60</f>
        <v>70.549022400854653</v>
      </c>
      <c r="BS106" s="78">
        <f>Data!BU60</f>
        <v>70.549022400854653</v>
      </c>
      <c r="BT106" s="78">
        <f>Data!BV60</f>
        <v>70.549022400854653</v>
      </c>
      <c r="BU106" s="78">
        <f>Data!BW60</f>
        <v>70.549022400854653</v>
      </c>
      <c r="BV106" s="78">
        <f>Data!BX60</f>
        <v>70.549022400854653</v>
      </c>
      <c r="BW106" s="78">
        <f>Data!BY60</f>
        <v>70.549022400854653</v>
      </c>
      <c r="BX106" s="78">
        <f>Data!BZ60</f>
        <v>70.549022400854653</v>
      </c>
      <c r="BY106" s="78">
        <f>Data!CA60</f>
        <v>70.549022400854653</v>
      </c>
      <c r="BZ106" s="78">
        <f>Data!CB60</f>
        <v>70.549022400854653</v>
      </c>
      <c r="CA106" s="78">
        <f>Data!CC60</f>
        <v>70.549022400854653</v>
      </c>
      <c r="CB106" s="78">
        <f>Data!CD60</f>
        <v>70.549022400854653</v>
      </c>
      <c r="CC106" s="78">
        <f>Data!CE60</f>
        <v>70.549022400854653</v>
      </c>
      <c r="CD106" s="78">
        <f>Data!CF60</f>
        <v>70.549022400854653</v>
      </c>
      <c r="CE106" s="78">
        <f>Data!CG60</f>
        <v>70.549022400854653</v>
      </c>
      <c r="CF106" s="78">
        <f>Data!CH60</f>
        <v>70.549022400854653</v>
      </c>
      <c r="CG106" s="78">
        <f>Data!CI60</f>
        <v>70.549022400854653</v>
      </c>
      <c r="CH106" s="78">
        <f>Data!CJ60</f>
        <v>70.549022400854653</v>
      </c>
      <c r="CI106" s="78">
        <f>Data!CK60</f>
        <v>70.549022400854653</v>
      </c>
      <c r="CJ106" s="78">
        <f>Data!CL60</f>
        <v>70.549022400854653</v>
      </c>
      <c r="CK106" s="78">
        <f>Data!CM60</f>
        <v>70.549022400854653</v>
      </c>
      <c r="CL106" s="78">
        <f>Data!CN60</f>
        <v>70.549022400854653</v>
      </c>
      <c r="CM106" s="78">
        <f>Data!CO60</f>
        <v>70.549022400854653</v>
      </c>
      <c r="CN106" s="78">
        <f>Data!CP60</f>
        <v>70.549022400854653</v>
      </c>
      <c r="CO106" s="78">
        <f>Data!CQ60</f>
        <v>70.549022400854653</v>
      </c>
      <c r="CP106" s="78">
        <f>Data!CR60</f>
        <v>70.549022400854653</v>
      </c>
      <c r="CQ106" s="78">
        <f>Data!CS60</f>
        <v>70.549022400854653</v>
      </c>
      <c r="CR106" s="78">
        <f>Data!CT60</f>
        <v>70.549022400854653</v>
      </c>
      <c r="CS106" s="78">
        <f>Data!CU60</f>
        <v>70.549022400854653</v>
      </c>
      <c r="CT106" s="78">
        <f>Data!CV60</f>
        <v>70.549022400854653</v>
      </c>
      <c r="CU106" s="78">
        <f>Data!CW60</f>
        <v>70.549022400854653</v>
      </c>
      <c r="CV106" s="78">
        <f>Data!CX60</f>
        <v>70.549022400854653</v>
      </c>
      <c r="CW106" s="78">
        <f>Data!CY60</f>
        <v>70.549022400854653</v>
      </c>
      <c r="CX106" s="78">
        <f>Data!CZ60</f>
        <v>70.549022400854653</v>
      </c>
      <c r="CY106" s="78">
        <f>Data!DA60</f>
        <v>70.549022400854653</v>
      </c>
      <c r="CZ106" s="78">
        <f>Data!DB60</f>
        <v>70.549022400854653</v>
      </c>
      <c r="DA106" s="78">
        <f>Data!DC60</f>
        <v>70.549022400854653</v>
      </c>
      <c r="DB106" s="78">
        <f>Data!DD60</f>
        <v>70.549022400854653</v>
      </c>
      <c r="DC106" s="78">
        <f>Data!DE60</f>
        <v>70.549022400854653</v>
      </c>
      <c r="DD106" s="78">
        <f>Data!DF60</f>
        <v>70.549022400854653</v>
      </c>
      <c r="DE106" s="78">
        <f>Data!DG60</f>
        <v>70.549022400854653</v>
      </c>
      <c r="DF106" s="78">
        <f>Data!DH60</f>
        <v>70.549022400854653</v>
      </c>
      <c r="DG106" s="78">
        <f>Data!DI60</f>
        <v>70.549022400854653</v>
      </c>
      <c r="DH106" s="78">
        <f>Data!DJ60</f>
        <v>70.549022400854653</v>
      </c>
      <c r="DI106" s="78">
        <f>Data!DK60</f>
        <v>70.549022400854653</v>
      </c>
      <c r="DJ106" s="78">
        <f>Data!DL60</f>
        <v>70.549022400854653</v>
      </c>
      <c r="DK106" s="78">
        <f>Data!DM60</f>
        <v>70.549022400854653</v>
      </c>
      <c r="DL106" s="78">
        <f>Data!DN60</f>
        <v>70.549022400854653</v>
      </c>
      <c r="DM106" s="78">
        <f>Data!DO60</f>
        <v>70.549022400854653</v>
      </c>
      <c r="DN106" s="78">
        <f>Data!DP60</f>
        <v>70.549022400854653</v>
      </c>
      <c r="DO106" s="78">
        <f>Data!DQ60</f>
        <v>70.549022400854653</v>
      </c>
      <c r="DP106" s="78">
        <f>Data!DR60</f>
        <v>70.549022400854653</v>
      </c>
      <c r="DQ106" s="78">
        <f>Data!DS60</f>
        <v>70.549022400854653</v>
      </c>
      <c r="DR106" s="78">
        <f>Data!DT60</f>
        <v>70.549022400854653</v>
      </c>
      <c r="DS106" s="78">
        <f>Data!DU60</f>
        <v>70.549022400854653</v>
      </c>
      <c r="DT106" s="78">
        <f>Data!DV60</f>
        <v>70.549022400854653</v>
      </c>
      <c r="DU106" s="429">
        <f>Data!DW60</f>
        <v>70.549022400854653</v>
      </c>
      <c r="DV106" s="698"/>
    </row>
    <row r="107" spans="1:126" x14ac:dyDescent="0.3">
      <c r="A107" s="79"/>
      <c r="B107" s="620" t="str">
        <f>Data!D61</f>
        <v>Production Seats</v>
      </c>
      <c r="C107" s="581"/>
      <c r="D107" s="401"/>
      <c r="E107" s="80">
        <f>Data!G61</f>
        <v>50.763218390804596</v>
      </c>
      <c r="F107" s="81">
        <f>Data!H61</f>
        <v>50.763218390804596</v>
      </c>
      <c r="G107" s="81">
        <f>Data!I61</f>
        <v>50.763218390804596</v>
      </c>
      <c r="H107" s="81">
        <f>Data!J61</f>
        <v>50.763218390804596</v>
      </c>
      <c r="I107" s="81">
        <f>Data!K61</f>
        <v>50.763218390804596</v>
      </c>
      <c r="J107" s="81">
        <f>Data!L61</f>
        <v>50.763218390804596</v>
      </c>
      <c r="K107" s="81">
        <f>Data!M61</f>
        <v>50.763218390804596</v>
      </c>
      <c r="L107" s="81">
        <f>Data!N61</f>
        <v>50.763218390804596</v>
      </c>
      <c r="M107" s="81">
        <f>Data!O61</f>
        <v>50.763218390804596</v>
      </c>
      <c r="N107" s="81">
        <f>Data!P61</f>
        <v>50.763218390804596</v>
      </c>
      <c r="O107" s="81">
        <f>Data!Q61</f>
        <v>50.763218390804596</v>
      </c>
      <c r="P107" s="81">
        <f>Data!R61</f>
        <v>50.763218390804596</v>
      </c>
      <c r="Q107" s="81">
        <f>Data!S61</f>
        <v>50.763218390804596</v>
      </c>
      <c r="R107" s="81">
        <f>Data!T61</f>
        <v>50.763218390804596</v>
      </c>
      <c r="S107" s="81">
        <f>Data!U61</f>
        <v>50.763218390804596</v>
      </c>
      <c r="T107" s="81">
        <f>Data!V61</f>
        <v>50.763218390804596</v>
      </c>
      <c r="U107" s="81">
        <f>Data!W61</f>
        <v>50.763218390804596</v>
      </c>
      <c r="V107" s="81">
        <f>Data!X61</f>
        <v>50.763218390804596</v>
      </c>
      <c r="W107" s="81">
        <f>Data!Y61</f>
        <v>50.763218390804596</v>
      </c>
      <c r="X107" s="81">
        <f>Data!Z61</f>
        <v>50.763218390804596</v>
      </c>
      <c r="Y107" s="81">
        <f>Data!AA61</f>
        <v>50.763218390804596</v>
      </c>
      <c r="Z107" s="81">
        <f>Data!AB61</f>
        <v>50.763218390804596</v>
      </c>
      <c r="AA107" s="81">
        <f>Data!AC61</f>
        <v>50.763218390804596</v>
      </c>
      <c r="AB107" s="81">
        <f>Data!AD61</f>
        <v>50.763218390804596</v>
      </c>
      <c r="AC107" s="81">
        <f>Data!AE61</f>
        <v>50.763218390804596</v>
      </c>
      <c r="AD107" s="81">
        <f>Data!AF61</f>
        <v>50.763218390804596</v>
      </c>
      <c r="AE107" s="81">
        <f>Data!AG61</f>
        <v>50.763218390804596</v>
      </c>
      <c r="AF107" s="81">
        <f>Data!AH61</f>
        <v>50.763218390804596</v>
      </c>
      <c r="AG107" s="81">
        <f>Data!AI61</f>
        <v>50.763218390804596</v>
      </c>
      <c r="AH107" s="81">
        <f>Data!AJ61</f>
        <v>50.763218390804596</v>
      </c>
      <c r="AI107" s="81">
        <f>Data!AK61</f>
        <v>50.763218390804596</v>
      </c>
      <c r="AJ107" s="81">
        <f>Data!AL61</f>
        <v>50.763218390804596</v>
      </c>
      <c r="AK107" s="81">
        <f>Data!AM61</f>
        <v>50.763218390804596</v>
      </c>
      <c r="AL107" s="81">
        <f>Data!AN61</f>
        <v>50.763218390804596</v>
      </c>
      <c r="AM107" s="81">
        <f>Data!AO61</f>
        <v>50.763218390804596</v>
      </c>
      <c r="AN107" s="81">
        <f>Data!AP61</f>
        <v>50.763218390804596</v>
      </c>
      <c r="AO107" s="81">
        <f>Data!AQ61</f>
        <v>50.763218390804596</v>
      </c>
      <c r="AP107" s="81">
        <f>Data!AR61</f>
        <v>50.763218390804596</v>
      </c>
      <c r="AQ107" s="81">
        <f>Data!AS61</f>
        <v>50.763218390804596</v>
      </c>
      <c r="AR107" s="81">
        <f>Data!AT61</f>
        <v>50.763218390804596</v>
      </c>
      <c r="AS107" s="81">
        <f>Data!AU61</f>
        <v>50.763218390804596</v>
      </c>
      <c r="AT107" s="81">
        <f>Data!AV61</f>
        <v>50.763218390804596</v>
      </c>
      <c r="AU107" s="81">
        <f>Data!AW61</f>
        <v>50.763218390804596</v>
      </c>
      <c r="AV107" s="81">
        <f>Data!AX61</f>
        <v>50.763218390804596</v>
      </c>
      <c r="AW107" s="81">
        <f>Data!AY61</f>
        <v>50.763218390804596</v>
      </c>
      <c r="AX107" s="81">
        <f>Data!AZ61</f>
        <v>50.763218390804596</v>
      </c>
      <c r="AY107" s="81">
        <f>Data!BA61</f>
        <v>50.763218390804596</v>
      </c>
      <c r="AZ107" s="81">
        <f>Data!BB61</f>
        <v>50.763218390804596</v>
      </c>
      <c r="BA107" s="81">
        <f>Data!BC61</f>
        <v>50.763218390804596</v>
      </c>
      <c r="BB107" s="81">
        <f>Data!BD61</f>
        <v>50.763218390804596</v>
      </c>
      <c r="BC107" s="81">
        <f>Data!BE61</f>
        <v>50.763218390804596</v>
      </c>
      <c r="BD107" s="81">
        <f>Data!BF61</f>
        <v>50.763218390804596</v>
      </c>
      <c r="BE107" s="81">
        <f>Data!BG61</f>
        <v>50.763218390804596</v>
      </c>
      <c r="BF107" s="81">
        <f>Data!BH61</f>
        <v>50.763218390804596</v>
      </c>
      <c r="BG107" s="81">
        <f>Data!BI61</f>
        <v>50.763218390804596</v>
      </c>
      <c r="BH107" s="81">
        <f>Data!BJ61</f>
        <v>50.763218390804596</v>
      </c>
      <c r="BI107" s="81">
        <f>Data!BK61</f>
        <v>50.763218390804596</v>
      </c>
      <c r="BJ107" s="81">
        <f>Data!BL61</f>
        <v>50.763218390804596</v>
      </c>
      <c r="BK107" s="81">
        <f>Data!BM61</f>
        <v>50.763218390804596</v>
      </c>
      <c r="BL107" s="81">
        <f>Data!BN61</f>
        <v>50.763218390804596</v>
      </c>
      <c r="BM107" s="81">
        <f>Data!BO61</f>
        <v>50.763218390804596</v>
      </c>
      <c r="BN107" s="81">
        <f>Data!BP61</f>
        <v>50.763218390804596</v>
      </c>
      <c r="BO107" s="81">
        <f>Data!BQ61</f>
        <v>50.763218390804596</v>
      </c>
      <c r="BP107" s="81">
        <f>Data!BR61</f>
        <v>50.763218390804596</v>
      </c>
      <c r="BQ107" s="81">
        <f>Data!BS61</f>
        <v>50.763218390804596</v>
      </c>
      <c r="BR107" s="81">
        <f>Data!BT61</f>
        <v>50.763218390804596</v>
      </c>
      <c r="BS107" s="81">
        <f>Data!BU61</f>
        <v>50.763218390804596</v>
      </c>
      <c r="BT107" s="81">
        <f>Data!BV61</f>
        <v>50.763218390804596</v>
      </c>
      <c r="BU107" s="81">
        <f>Data!BW61</f>
        <v>50.763218390804596</v>
      </c>
      <c r="BV107" s="81">
        <f>Data!BX61</f>
        <v>50.763218390804596</v>
      </c>
      <c r="BW107" s="81">
        <f>Data!BY61</f>
        <v>50.763218390804596</v>
      </c>
      <c r="BX107" s="81">
        <f>Data!BZ61</f>
        <v>50.763218390804596</v>
      </c>
      <c r="BY107" s="81">
        <f>Data!CA61</f>
        <v>50.763218390804596</v>
      </c>
      <c r="BZ107" s="81">
        <f>Data!CB61</f>
        <v>50.763218390804596</v>
      </c>
      <c r="CA107" s="81">
        <f>Data!CC61</f>
        <v>50.763218390804596</v>
      </c>
      <c r="CB107" s="81">
        <f>Data!CD61</f>
        <v>50.763218390804596</v>
      </c>
      <c r="CC107" s="81">
        <f>Data!CE61</f>
        <v>50.763218390804596</v>
      </c>
      <c r="CD107" s="81">
        <f>Data!CF61</f>
        <v>50.763218390804596</v>
      </c>
      <c r="CE107" s="81">
        <f>Data!CG61</f>
        <v>50.763218390804596</v>
      </c>
      <c r="CF107" s="81">
        <f>Data!CH61</f>
        <v>50.763218390804596</v>
      </c>
      <c r="CG107" s="81">
        <f>Data!CI61</f>
        <v>50.763218390804596</v>
      </c>
      <c r="CH107" s="81">
        <f>Data!CJ61</f>
        <v>50.763218390804596</v>
      </c>
      <c r="CI107" s="81">
        <f>Data!CK61</f>
        <v>50.763218390804596</v>
      </c>
      <c r="CJ107" s="81">
        <f>Data!CL61</f>
        <v>50.763218390804596</v>
      </c>
      <c r="CK107" s="81">
        <f>Data!CM61</f>
        <v>50.763218390804596</v>
      </c>
      <c r="CL107" s="81">
        <f>Data!CN61</f>
        <v>50.763218390804596</v>
      </c>
      <c r="CM107" s="81">
        <f>Data!CO61</f>
        <v>50.763218390804596</v>
      </c>
      <c r="CN107" s="81">
        <f>Data!CP61</f>
        <v>50.763218390804596</v>
      </c>
      <c r="CO107" s="81">
        <f>Data!CQ61</f>
        <v>50.763218390804596</v>
      </c>
      <c r="CP107" s="81">
        <f>Data!CR61</f>
        <v>50.763218390804596</v>
      </c>
      <c r="CQ107" s="81">
        <f>Data!CS61</f>
        <v>50.763218390804596</v>
      </c>
      <c r="CR107" s="81">
        <f>Data!CT61</f>
        <v>50.763218390804596</v>
      </c>
      <c r="CS107" s="81">
        <f>Data!CU61</f>
        <v>50.763218390804596</v>
      </c>
      <c r="CT107" s="81">
        <f>Data!CV61</f>
        <v>50.763218390804596</v>
      </c>
      <c r="CU107" s="81">
        <f>Data!CW61</f>
        <v>50.763218390804596</v>
      </c>
      <c r="CV107" s="81">
        <f>Data!CX61</f>
        <v>50.763218390804596</v>
      </c>
      <c r="CW107" s="81">
        <f>Data!CY61</f>
        <v>50.763218390804596</v>
      </c>
      <c r="CX107" s="81">
        <f>Data!CZ61</f>
        <v>50.763218390804596</v>
      </c>
      <c r="CY107" s="81">
        <f>Data!DA61</f>
        <v>50.763218390804596</v>
      </c>
      <c r="CZ107" s="81">
        <f>Data!DB61</f>
        <v>50.763218390804596</v>
      </c>
      <c r="DA107" s="81">
        <f>Data!DC61</f>
        <v>50.763218390804596</v>
      </c>
      <c r="DB107" s="81">
        <f>Data!DD61</f>
        <v>50.763218390804596</v>
      </c>
      <c r="DC107" s="81">
        <f>Data!DE61</f>
        <v>50.763218390804596</v>
      </c>
      <c r="DD107" s="81">
        <f>Data!DF61</f>
        <v>50.763218390804596</v>
      </c>
      <c r="DE107" s="81">
        <f>Data!DG61</f>
        <v>50.763218390804596</v>
      </c>
      <c r="DF107" s="81">
        <f>Data!DH61</f>
        <v>50.763218390804596</v>
      </c>
      <c r="DG107" s="81">
        <f>Data!DI61</f>
        <v>50.763218390804596</v>
      </c>
      <c r="DH107" s="81">
        <f>Data!DJ61</f>
        <v>50.763218390804596</v>
      </c>
      <c r="DI107" s="81">
        <f>Data!DK61</f>
        <v>50.763218390804596</v>
      </c>
      <c r="DJ107" s="81">
        <f>Data!DL61</f>
        <v>50.763218390804596</v>
      </c>
      <c r="DK107" s="81">
        <f>Data!DM61</f>
        <v>50.763218390804596</v>
      </c>
      <c r="DL107" s="81">
        <f>Data!DN61</f>
        <v>50.763218390804596</v>
      </c>
      <c r="DM107" s="81">
        <f>Data!DO61</f>
        <v>50.763218390804596</v>
      </c>
      <c r="DN107" s="81">
        <f>Data!DP61</f>
        <v>50.763218390804596</v>
      </c>
      <c r="DO107" s="81">
        <f>Data!DQ61</f>
        <v>50.763218390804596</v>
      </c>
      <c r="DP107" s="81">
        <f>Data!DR61</f>
        <v>50.763218390804596</v>
      </c>
      <c r="DQ107" s="81">
        <f>Data!DS61</f>
        <v>50.763218390804596</v>
      </c>
      <c r="DR107" s="81">
        <f>Data!DT61</f>
        <v>50.763218390804596</v>
      </c>
      <c r="DS107" s="81">
        <f>Data!DU61</f>
        <v>50.763218390804596</v>
      </c>
      <c r="DT107" s="81">
        <f>Data!DV61</f>
        <v>50.763218390804596</v>
      </c>
      <c r="DU107" s="430">
        <f>Data!DW61</f>
        <v>50.763218390804596</v>
      </c>
      <c r="DV107" s="699"/>
    </row>
    <row r="108" spans="1:126" x14ac:dyDescent="0.3">
      <c r="B108" s="620" t="str">
        <f>Data!D62</f>
        <v>Support Seats</v>
      </c>
      <c r="C108" s="581"/>
      <c r="D108" s="401"/>
      <c r="E108" s="1441">
        <f>Data!G62</f>
        <v>6.61</v>
      </c>
      <c r="F108" s="1388">
        <f>Data!H62</f>
        <v>6.61</v>
      </c>
      <c r="G108" s="1388">
        <f>Data!I62</f>
        <v>6.61</v>
      </c>
      <c r="H108" s="1388">
        <f>Data!J62</f>
        <v>6.61</v>
      </c>
      <c r="I108" s="1388">
        <f>Data!K62</f>
        <v>6.61</v>
      </c>
      <c r="J108" s="1388">
        <f>Data!L62</f>
        <v>6.61</v>
      </c>
      <c r="K108" s="1388">
        <f>Data!M62</f>
        <v>5.8100000000000005</v>
      </c>
      <c r="L108" s="1388">
        <f>Data!N62</f>
        <v>5.8100000000000005</v>
      </c>
      <c r="M108" s="1388">
        <f>Data!O62</f>
        <v>5.8100000000000005</v>
      </c>
      <c r="N108" s="1388">
        <f>Data!P62</f>
        <v>5.8100000000000005</v>
      </c>
      <c r="O108" s="1388">
        <f>Data!Q62</f>
        <v>5.8100000000000005</v>
      </c>
      <c r="P108" s="1388">
        <f>Data!R62</f>
        <v>5.8100000000000005</v>
      </c>
      <c r="Q108" s="1388">
        <f>Data!S62</f>
        <v>5.8100000000000005</v>
      </c>
      <c r="R108" s="1388">
        <f>Data!T62</f>
        <v>5.8100000000000005</v>
      </c>
      <c r="S108" s="1388">
        <f>Data!U62</f>
        <v>5.8100000000000005</v>
      </c>
      <c r="T108" s="1388">
        <f>Data!V62</f>
        <v>5.8100000000000005</v>
      </c>
      <c r="U108" s="1388">
        <f>Data!W62</f>
        <v>5.8100000000000005</v>
      </c>
      <c r="V108" s="1388">
        <f>Data!X62</f>
        <v>5.8100000000000005</v>
      </c>
      <c r="W108" s="1388">
        <f>Data!Y62</f>
        <v>5.8100000000000005</v>
      </c>
      <c r="X108" s="1388">
        <f>Data!Z62</f>
        <v>5.8100000000000005</v>
      </c>
      <c r="Y108" s="1388">
        <f>Data!AA62</f>
        <v>5.8100000000000005</v>
      </c>
      <c r="Z108" s="1388">
        <f>Data!AB62</f>
        <v>5.8100000000000005</v>
      </c>
      <c r="AA108" s="1388">
        <f>Data!AC62</f>
        <v>5.8100000000000005</v>
      </c>
      <c r="AB108" s="1388">
        <f>Data!AD62</f>
        <v>5.8100000000000005</v>
      </c>
      <c r="AC108" s="1388">
        <f>Data!AE62</f>
        <v>5.8100000000000005</v>
      </c>
      <c r="AD108" s="1388">
        <f>Data!AF62</f>
        <v>5.8100000000000005</v>
      </c>
      <c r="AE108" s="1388">
        <f>Data!AG62</f>
        <v>5.8100000000000005</v>
      </c>
      <c r="AF108" s="1388">
        <f>Data!AH62</f>
        <v>5.8100000000000005</v>
      </c>
      <c r="AG108" s="1388">
        <f>Data!AI62</f>
        <v>5.8100000000000005</v>
      </c>
      <c r="AH108" s="1388">
        <f>Data!AJ62</f>
        <v>5.8100000000000005</v>
      </c>
      <c r="AI108" s="1388">
        <f>Data!AK62</f>
        <v>5.8100000000000005</v>
      </c>
      <c r="AJ108" s="1388">
        <f>Data!AL62</f>
        <v>5.8100000000000005</v>
      </c>
      <c r="AK108" s="1388">
        <f>Data!AM62</f>
        <v>5.8100000000000005</v>
      </c>
      <c r="AL108" s="1388">
        <f>Data!AN62</f>
        <v>5.8100000000000005</v>
      </c>
      <c r="AM108" s="1388">
        <f>Data!AO62</f>
        <v>5.8100000000000005</v>
      </c>
      <c r="AN108" s="1388">
        <f>Data!AP62</f>
        <v>5.8100000000000005</v>
      </c>
      <c r="AO108" s="1388">
        <f>Data!AQ62</f>
        <v>5.8100000000000005</v>
      </c>
      <c r="AP108" s="1388">
        <f>Data!AR62</f>
        <v>5.8100000000000005</v>
      </c>
      <c r="AQ108" s="1388">
        <f>Data!AS62</f>
        <v>5.8100000000000005</v>
      </c>
      <c r="AR108" s="1388">
        <f>Data!AT62</f>
        <v>5.8100000000000005</v>
      </c>
      <c r="AS108" s="1388">
        <f>Data!AU62</f>
        <v>5.8100000000000005</v>
      </c>
      <c r="AT108" s="1388">
        <f>Data!AV62</f>
        <v>5.8100000000000005</v>
      </c>
      <c r="AU108" s="1388">
        <f>Data!AW62</f>
        <v>5.8100000000000005</v>
      </c>
      <c r="AV108" s="1388">
        <f>Data!AX62</f>
        <v>5.8100000000000005</v>
      </c>
      <c r="AW108" s="1388">
        <f>Data!AY62</f>
        <v>5.8100000000000005</v>
      </c>
      <c r="AX108" s="1388">
        <f>Data!AZ62</f>
        <v>5.8100000000000005</v>
      </c>
      <c r="AY108" s="1388">
        <f>Data!BA62</f>
        <v>5.8100000000000005</v>
      </c>
      <c r="AZ108" s="1388">
        <f>Data!BB62</f>
        <v>5.8100000000000005</v>
      </c>
      <c r="BA108" s="1388">
        <f>Data!BC62</f>
        <v>5.8100000000000005</v>
      </c>
      <c r="BB108" s="1388">
        <f>Data!BD62</f>
        <v>5.8100000000000005</v>
      </c>
      <c r="BC108" s="1388">
        <f>Data!BE62</f>
        <v>5.8100000000000005</v>
      </c>
      <c r="BD108" s="1388">
        <f>Data!BF62</f>
        <v>5.8100000000000005</v>
      </c>
      <c r="BE108" s="1388">
        <f>Data!BG62</f>
        <v>5.8100000000000005</v>
      </c>
      <c r="BF108" s="1388">
        <f>Data!BH62</f>
        <v>5.8100000000000005</v>
      </c>
      <c r="BG108" s="1388">
        <f>Data!BI62</f>
        <v>5.8100000000000005</v>
      </c>
      <c r="BH108" s="1388">
        <f>Data!BJ62</f>
        <v>5.8100000000000005</v>
      </c>
      <c r="BI108" s="1388">
        <f>Data!BK62</f>
        <v>5.8100000000000005</v>
      </c>
      <c r="BJ108" s="1388">
        <f>Data!BL62</f>
        <v>5.8100000000000005</v>
      </c>
      <c r="BK108" s="1388">
        <f>Data!BM62</f>
        <v>5.8100000000000005</v>
      </c>
      <c r="BL108" s="1388">
        <f>Data!BN62</f>
        <v>5.8100000000000005</v>
      </c>
      <c r="BM108" s="1388">
        <f>Data!BO62</f>
        <v>5.8100000000000005</v>
      </c>
      <c r="BN108" s="1388">
        <f>Data!BP62</f>
        <v>5.8100000000000005</v>
      </c>
      <c r="BO108" s="1388">
        <f>Data!BQ62</f>
        <v>5.8100000000000005</v>
      </c>
      <c r="BP108" s="1388">
        <f>Data!BR62</f>
        <v>5.8100000000000005</v>
      </c>
      <c r="BQ108" s="1388">
        <f>Data!BS62</f>
        <v>5.8100000000000005</v>
      </c>
      <c r="BR108" s="1388">
        <f>Data!BT62</f>
        <v>5.8100000000000005</v>
      </c>
      <c r="BS108" s="1388">
        <f>Data!BU62</f>
        <v>5.8100000000000005</v>
      </c>
      <c r="BT108" s="1388">
        <f>Data!BV62</f>
        <v>5.8100000000000005</v>
      </c>
      <c r="BU108" s="1388">
        <f>Data!BW62</f>
        <v>5.8100000000000005</v>
      </c>
      <c r="BV108" s="1388">
        <f>Data!BX62</f>
        <v>5.8100000000000005</v>
      </c>
      <c r="BW108" s="1388">
        <f>Data!BY62</f>
        <v>5.8100000000000005</v>
      </c>
      <c r="BX108" s="1388">
        <f>Data!BZ62</f>
        <v>5.8100000000000005</v>
      </c>
      <c r="BY108" s="1388">
        <f>Data!CA62</f>
        <v>5.8100000000000005</v>
      </c>
      <c r="BZ108" s="1388">
        <f>Data!CB62</f>
        <v>5.8100000000000005</v>
      </c>
      <c r="CA108" s="1388">
        <f>Data!CC62</f>
        <v>5.8100000000000005</v>
      </c>
      <c r="CB108" s="1388">
        <f>Data!CD62</f>
        <v>5.8100000000000005</v>
      </c>
      <c r="CC108" s="1388">
        <f>Data!CE62</f>
        <v>5.8100000000000005</v>
      </c>
      <c r="CD108" s="1388">
        <f>Data!CF62</f>
        <v>5.8100000000000005</v>
      </c>
      <c r="CE108" s="1388">
        <f>Data!CG62</f>
        <v>5.8100000000000005</v>
      </c>
      <c r="CF108" s="1388">
        <f>Data!CH62</f>
        <v>5.8100000000000005</v>
      </c>
      <c r="CG108" s="1388">
        <f>Data!CI62</f>
        <v>5.8100000000000005</v>
      </c>
      <c r="CH108" s="1388">
        <f>Data!CJ62</f>
        <v>5.8100000000000005</v>
      </c>
      <c r="CI108" s="1388">
        <f>Data!CK62</f>
        <v>5.8100000000000005</v>
      </c>
      <c r="CJ108" s="1388">
        <f>Data!CL62</f>
        <v>5.8100000000000005</v>
      </c>
      <c r="CK108" s="1388">
        <f>Data!CM62</f>
        <v>5.8100000000000005</v>
      </c>
      <c r="CL108" s="1388">
        <f>Data!CN62</f>
        <v>5.8100000000000005</v>
      </c>
      <c r="CM108" s="1388">
        <f>Data!CO62</f>
        <v>5.8100000000000005</v>
      </c>
      <c r="CN108" s="1388">
        <f>Data!CP62</f>
        <v>5.8100000000000005</v>
      </c>
      <c r="CO108" s="1388">
        <f>Data!CQ62</f>
        <v>5.8100000000000005</v>
      </c>
      <c r="CP108" s="1388">
        <f>Data!CR62</f>
        <v>5.8100000000000005</v>
      </c>
      <c r="CQ108" s="1388">
        <f>Data!CS62</f>
        <v>5.8100000000000005</v>
      </c>
      <c r="CR108" s="1388">
        <f>Data!CT62</f>
        <v>5.8100000000000005</v>
      </c>
      <c r="CS108" s="1388">
        <f>Data!CU62</f>
        <v>5.8100000000000005</v>
      </c>
      <c r="CT108" s="1388">
        <f>Data!CV62</f>
        <v>5.8100000000000005</v>
      </c>
      <c r="CU108" s="1388">
        <f>Data!CW62</f>
        <v>5.8100000000000005</v>
      </c>
      <c r="CV108" s="1388">
        <f>Data!CX62</f>
        <v>5.8100000000000005</v>
      </c>
      <c r="CW108" s="1388">
        <f>Data!CY62</f>
        <v>5.8100000000000005</v>
      </c>
      <c r="CX108" s="1388">
        <f>Data!CZ62</f>
        <v>5.8100000000000005</v>
      </c>
      <c r="CY108" s="1388">
        <f>Data!DA62</f>
        <v>5.8100000000000005</v>
      </c>
      <c r="CZ108" s="1388">
        <f>Data!DB62</f>
        <v>5.8100000000000005</v>
      </c>
      <c r="DA108" s="1388">
        <f>Data!DC62</f>
        <v>5.8100000000000005</v>
      </c>
      <c r="DB108" s="1388">
        <f>Data!DD62</f>
        <v>5.8100000000000005</v>
      </c>
      <c r="DC108" s="1388">
        <f>Data!DE62</f>
        <v>5.8100000000000005</v>
      </c>
      <c r="DD108" s="1388">
        <f>Data!DF62</f>
        <v>5.8100000000000005</v>
      </c>
      <c r="DE108" s="1388">
        <f>Data!DG62</f>
        <v>5.8100000000000005</v>
      </c>
      <c r="DF108" s="1388">
        <f>Data!DH62</f>
        <v>5.8100000000000005</v>
      </c>
      <c r="DG108" s="1388">
        <f>Data!DI62</f>
        <v>5.8100000000000005</v>
      </c>
      <c r="DH108" s="1388">
        <f>Data!DJ62</f>
        <v>5.8100000000000005</v>
      </c>
      <c r="DI108" s="1388">
        <f>Data!DK62</f>
        <v>5.8100000000000005</v>
      </c>
      <c r="DJ108" s="1388">
        <f>Data!DL62</f>
        <v>5.8100000000000005</v>
      </c>
      <c r="DK108" s="1388">
        <f>Data!DM62</f>
        <v>5.8100000000000005</v>
      </c>
      <c r="DL108" s="1388">
        <f>Data!DN62</f>
        <v>5.8100000000000005</v>
      </c>
      <c r="DM108" s="1388">
        <f>Data!DO62</f>
        <v>5.8100000000000005</v>
      </c>
      <c r="DN108" s="1388">
        <f>Data!DP62</f>
        <v>5.8100000000000005</v>
      </c>
      <c r="DO108" s="1388">
        <f>Data!DQ62</f>
        <v>5.8100000000000005</v>
      </c>
      <c r="DP108" s="1388">
        <f>Data!DR62</f>
        <v>5.8100000000000005</v>
      </c>
      <c r="DQ108" s="1388">
        <f>Data!DS62</f>
        <v>5.8100000000000005</v>
      </c>
      <c r="DR108" s="1388">
        <f>Data!DT62</f>
        <v>5.8100000000000005</v>
      </c>
      <c r="DS108" s="1388">
        <f>Data!DU62</f>
        <v>5.8100000000000005</v>
      </c>
      <c r="DT108" s="1388">
        <f>Data!DV62</f>
        <v>5.8100000000000005</v>
      </c>
      <c r="DU108" s="1442">
        <f>Data!DW62</f>
        <v>5.8100000000000005</v>
      </c>
      <c r="DV108" s="699"/>
    </row>
    <row r="109" spans="1:126" x14ac:dyDescent="0.3">
      <c r="B109" s="622" t="str">
        <f>Data!D63</f>
        <v>Total Seats for Facility Cost</v>
      </c>
      <c r="C109" s="582"/>
      <c r="D109" s="402"/>
      <c r="E109" s="82">
        <f>Data!G63</f>
        <v>57.373218390804595</v>
      </c>
      <c r="F109" s="1443">
        <f>Data!H63</f>
        <v>57.373218390804595</v>
      </c>
      <c r="G109" s="1443">
        <f>Data!I63</f>
        <v>57.373218390804595</v>
      </c>
      <c r="H109" s="1443">
        <f>Data!J63</f>
        <v>57.373218390804595</v>
      </c>
      <c r="I109" s="1443">
        <f>Data!K63</f>
        <v>57.373218390804595</v>
      </c>
      <c r="J109" s="1443">
        <f>Data!L63</f>
        <v>57.373218390804595</v>
      </c>
      <c r="K109" s="1443">
        <f>Data!M63</f>
        <v>56.573218390804598</v>
      </c>
      <c r="L109" s="1443">
        <f>Data!N63</f>
        <v>56.573218390804598</v>
      </c>
      <c r="M109" s="1443">
        <f>Data!O63</f>
        <v>56.573218390804598</v>
      </c>
      <c r="N109" s="1443">
        <f>Data!P63</f>
        <v>56.573218390804598</v>
      </c>
      <c r="O109" s="1443">
        <f>Data!Q63</f>
        <v>56.573218390804598</v>
      </c>
      <c r="P109" s="1443">
        <f>Data!R63</f>
        <v>56.573218390804598</v>
      </c>
      <c r="Q109" s="1443">
        <f>Data!S63</f>
        <v>56.573218390804598</v>
      </c>
      <c r="R109" s="1443">
        <f>Data!T63</f>
        <v>56.573218390804598</v>
      </c>
      <c r="S109" s="1443">
        <f>Data!U63</f>
        <v>56.573218390804598</v>
      </c>
      <c r="T109" s="1443">
        <f>Data!V63</f>
        <v>56.573218390804598</v>
      </c>
      <c r="U109" s="1443">
        <f>Data!W63</f>
        <v>56.573218390804598</v>
      </c>
      <c r="V109" s="83">
        <f>Data!X63</f>
        <v>56.573218390804598</v>
      </c>
      <c r="W109" s="83">
        <f>Data!Y63</f>
        <v>56.573218390804598</v>
      </c>
      <c r="X109" s="83">
        <f>Data!Z63</f>
        <v>56.573218390804598</v>
      </c>
      <c r="Y109" s="83">
        <f>Data!AA63</f>
        <v>56.573218390804598</v>
      </c>
      <c r="Z109" s="83">
        <f>Data!AB63</f>
        <v>56.573218390804598</v>
      </c>
      <c r="AA109" s="83">
        <f>Data!AC63</f>
        <v>56.573218390804598</v>
      </c>
      <c r="AB109" s="83">
        <f>Data!AD63</f>
        <v>56.573218390804598</v>
      </c>
      <c r="AC109" s="83">
        <f>Data!AE63</f>
        <v>56.573218390804598</v>
      </c>
      <c r="AD109" s="83">
        <f>Data!AF63</f>
        <v>56.573218390804598</v>
      </c>
      <c r="AE109" s="83">
        <f>Data!AG63</f>
        <v>56.573218390804598</v>
      </c>
      <c r="AF109" s="83">
        <f>Data!AH63</f>
        <v>56.573218390804598</v>
      </c>
      <c r="AG109" s="83">
        <f>Data!AI63</f>
        <v>56.573218390804598</v>
      </c>
      <c r="AH109" s="83">
        <f>Data!AJ63</f>
        <v>56.573218390804598</v>
      </c>
      <c r="AI109" s="83">
        <f>Data!AK63</f>
        <v>56.573218390804598</v>
      </c>
      <c r="AJ109" s="83">
        <f>Data!AL63</f>
        <v>56.573218390804598</v>
      </c>
      <c r="AK109" s="83">
        <f>Data!AM63</f>
        <v>56.573218390804598</v>
      </c>
      <c r="AL109" s="83">
        <f>Data!AN63</f>
        <v>56.573218390804598</v>
      </c>
      <c r="AM109" s="83">
        <f>Data!AO63</f>
        <v>56.573218390804598</v>
      </c>
      <c r="AN109" s="83">
        <f>Data!AP63</f>
        <v>56.573218390804598</v>
      </c>
      <c r="AO109" s="83">
        <f>Data!AQ63</f>
        <v>56.573218390804598</v>
      </c>
      <c r="AP109" s="83">
        <f>Data!AR63</f>
        <v>56.573218390804598</v>
      </c>
      <c r="AQ109" s="83">
        <f>Data!AS63</f>
        <v>56.573218390804598</v>
      </c>
      <c r="AR109" s="83">
        <f>Data!AT63</f>
        <v>56.573218390804598</v>
      </c>
      <c r="AS109" s="83">
        <f>Data!AU63</f>
        <v>56.573218390804598</v>
      </c>
      <c r="AT109" s="83">
        <f>Data!AV63</f>
        <v>56.573218390804598</v>
      </c>
      <c r="AU109" s="83">
        <f>Data!AW63</f>
        <v>56.573218390804598</v>
      </c>
      <c r="AV109" s="83">
        <f>Data!AX63</f>
        <v>56.573218390804598</v>
      </c>
      <c r="AW109" s="83">
        <f>Data!AY63</f>
        <v>56.573218390804598</v>
      </c>
      <c r="AX109" s="83">
        <f>Data!AZ63</f>
        <v>56.573218390804598</v>
      </c>
      <c r="AY109" s="83">
        <f>Data!BA63</f>
        <v>56.573218390804598</v>
      </c>
      <c r="AZ109" s="83">
        <f>Data!BB63</f>
        <v>56.573218390804598</v>
      </c>
      <c r="BA109" s="83">
        <f>Data!BC63</f>
        <v>56.573218390804598</v>
      </c>
      <c r="BB109" s="83">
        <f>Data!BD63</f>
        <v>56.573218390804598</v>
      </c>
      <c r="BC109" s="83">
        <f>Data!BE63</f>
        <v>56.573218390804598</v>
      </c>
      <c r="BD109" s="83">
        <f>Data!BF63</f>
        <v>56.573218390804598</v>
      </c>
      <c r="BE109" s="83">
        <f>Data!BG63</f>
        <v>56.573218390804598</v>
      </c>
      <c r="BF109" s="83">
        <f>Data!BH63</f>
        <v>56.573218390804598</v>
      </c>
      <c r="BG109" s="83">
        <f>Data!BI63</f>
        <v>56.573218390804598</v>
      </c>
      <c r="BH109" s="83">
        <f>Data!BJ63</f>
        <v>56.573218390804598</v>
      </c>
      <c r="BI109" s="83">
        <f>Data!BK63</f>
        <v>56.573218390804598</v>
      </c>
      <c r="BJ109" s="83">
        <f>Data!BL63</f>
        <v>56.573218390804598</v>
      </c>
      <c r="BK109" s="83">
        <f>Data!BM63</f>
        <v>56.573218390804598</v>
      </c>
      <c r="BL109" s="83">
        <f>Data!BN63</f>
        <v>56.573218390804598</v>
      </c>
      <c r="BM109" s="83">
        <f>Data!BO63</f>
        <v>56.573218390804598</v>
      </c>
      <c r="BN109" s="83">
        <f>Data!BP63</f>
        <v>56.573218390804598</v>
      </c>
      <c r="BO109" s="83">
        <f>Data!BQ63</f>
        <v>56.573218390804598</v>
      </c>
      <c r="BP109" s="83">
        <f>Data!BR63</f>
        <v>56.573218390804598</v>
      </c>
      <c r="BQ109" s="83">
        <f>Data!BS63</f>
        <v>56.573218390804598</v>
      </c>
      <c r="BR109" s="83">
        <f>Data!BT63</f>
        <v>56.573218390804598</v>
      </c>
      <c r="BS109" s="83">
        <f>Data!BU63</f>
        <v>56.573218390804598</v>
      </c>
      <c r="BT109" s="83">
        <f>Data!BV63</f>
        <v>56.573218390804598</v>
      </c>
      <c r="BU109" s="83">
        <f>Data!BW63</f>
        <v>56.573218390804598</v>
      </c>
      <c r="BV109" s="83">
        <f>Data!BX63</f>
        <v>56.573218390804598</v>
      </c>
      <c r="BW109" s="83">
        <f>Data!BY63</f>
        <v>56.573218390804598</v>
      </c>
      <c r="BX109" s="83">
        <f>Data!BZ63</f>
        <v>56.573218390804598</v>
      </c>
      <c r="BY109" s="83">
        <f>Data!CA63</f>
        <v>56.573218390804598</v>
      </c>
      <c r="BZ109" s="83">
        <f>Data!CB63</f>
        <v>56.573218390804598</v>
      </c>
      <c r="CA109" s="83">
        <f>Data!CC63</f>
        <v>56.573218390804598</v>
      </c>
      <c r="CB109" s="83">
        <f>Data!CD63</f>
        <v>56.573218390804598</v>
      </c>
      <c r="CC109" s="83">
        <f>Data!CE63</f>
        <v>56.573218390804598</v>
      </c>
      <c r="CD109" s="83">
        <f>Data!CF63</f>
        <v>56.573218390804598</v>
      </c>
      <c r="CE109" s="83">
        <f>Data!CG63</f>
        <v>56.573218390804598</v>
      </c>
      <c r="CF109" s="83">
        <f>Data!CH63</f>
        <v>56.573218390804598</v>
      </c>
      <c r="CG109" s="83">
        <f>Data!CI63</f>
        <v>56.573218390804598</v>
      </c>
      <c r="CH109" s="83">
        <f>Data!CJ63</f>
        <v>56.573218390804598</v>
      </c>
      <c r="CI109" s="83">
        <f>Data!CK63</f>
        <v>56.573218390804598</v>
      </c>
      <c r="CJ109" s="83">
        <f>Data!CL63</f>
        <v>56.573218390804598</v>
      </c>
      <c r="CK109" s="83">
        <f>Data!CM63</f>
        <v>56.573218390804598</v>
      </c>
      <c r="CL109" s="83">
        <f>Data!CN63</f>
        <v>56.573218390804598</v>
      </c>
      <c r="CM109" s="83">
        <f>Data!CO63</f>
        <v>56.573218390804598</v>
      </c>
      <c r="CN109" s="83">
        <f>Data!CP63</f>
        <v>56.573218390804598</v>
      </c>
      <c r="CO109" s="83">
        <f>Data!CQ63</f>
        <v>56.573218390804598</v>
      </c>
      <c r="CP109" s="83">
        <f>Data!CR63</f>
        <v>56.573218390804598</v>
      </c>
      <c r="CQ109" s="83">
        <f>Data!CS63</f>
        <v>56.573218390804598</v>
      </c>
      <c r="CR109" s="83">
        <f>Data!CT63</f>
        <v>56.573218390804598</v>
      </c>
      <c r="CS109" s="83">
        <f>Data!CU63</f>
        <v>56.573218390804598</v>
      </c>
      <c r="CT109" s="83">
        <f>Data!CV63</f>
        <v>56.573218390804598</v>
      </c>
      <c r="CU109" s="83">
        <f>Data!CW63</f>
        <v>56.573218390804598</v>
      </c>
      <c r="CV109" s="83">
        <f>Data!CX63</f>
        <v>56.573218390804598</v>
      </c>
      <c r="CW109" s="83">
        <f>Data!CY63</f>
        <v>56.573218390804598</v>
      </c>
      <c r="CX109" s="83">
        <f>Data!CZ63</f>
        <v>56.573218390804598</v>
      </c>
      <c r="CY109" s="83">
        <f>Data!DA63</f>
        <v>56.573218390804598</v>
      </c>
      <c r="CZ109" s="83">
        <f>Data!DB63</f>
        <v>56.573218390804598</v>
      </c>
      <c r="DA109" s="83">
        <f>Data!DC63</f>
        <v>56.573218390804598</v>
      </c>
      <c r="DB109" s="83">
        <f>Data!DD63</f>
        <v>56.573218390804598</v>
      </c>
      <c r="DC109" s="83">
        <f>Data!DE63</f>
        <v>56.573218390804598</v>
      </c>
      <c r="DD109" s="83">
        <f>Data!DF63</f>
        <v>56.573218390804598</v>
      </c>
      <c r="DE109" s="83">
        <f>Data!DG63</f>
        <v>56.573218390804598</v>
      </c>
      <c r="DF109" s="83">
        <f>Data!DH63</f>
        <v>56.573218390804598</v>
      </c>
      <c r="DG109" s="83">
        <f>Data!DI63</f>
        <v>56.573218390804598</v>
      </c>
      <c r="DH109" s="83">
        <f>Data!DJ63</f>
        <v>56.573218390804598</v>
      </c>
      <c r="DI109" s="83">
        <f>Data!DK63</f>
        <v>56.573218390804598</v>
      </c>
      <c r="DJ109" s="83">
        <f>Data!DL63</f>
        <v>56.573218390804598</v>
      </c>
      <c r="DK109" s="83">
        <f>Data!DM63</f>
        <v>56.573218390804598</v>
      </c>
      <c r="DL109" s="83">
        <f>Data!DN63</f>
        <v>56.573218390804598</v>
      </c>
      <c r="DM109" s="83">
        <f>Data!DO63</f>
        <v>56.573218390804598</v>
      </c>
      <c r="DN109" s="83">
        <f>Data!DP63</f>
        <v>56.573218390804598</v>
      </c>
      <c r="DO109" s="83">
        <f>Data!DQ63</f>
        <v>56.573218390804598</v>
      </c>
      <c r="DP109" s="83">
        <f>Data!DR63</f>
        <v>56.573218390804598</v>
      </c>
      <c r="DQ109" s="83">
        <f>Data!DS63</f>
        <v>56.573218390804598</v>
      </c>
      <c r="DR109" s="83">
        <f>Data!DT63</f>
        <v>56.573218390804598</v>
      </c>
      <c r="DS109" s="83">
        <f>Data!DU63</f>
        <v>56.573218390804598</v>
      </c>
      <c r="DT109" s="83">
        <f>Data!DV63</f>
        <v>56.573218390804598</v>
      </c>
      <c r="DU109" s="431">
        <f>Data!DW63</f>
        <v>56.573218390804598</v>
      </c>
      <c r="DV109" s="700"/>
    </row>
    <row r="110" spans="1:126" x14ac:dyDescent="0.3">
      <c r="B110" s="622" t="str">
        <f>Data!D64</f>
        <v>IT  Keats Required</v>
      </c>
      <c r="C110" s="630">
        <f>Data!E64</f>
        <v>0</v>
      </c>
      <c r="D110" s="403">
        <f>Data!F64</f>
        <v>0</v>
      </c>
      <c r="E110" s="432">
        <f>Data!G64</f>
        <v>56.849675385236267</v>
      </c>
      <c r="F110" s="366">
        <f>Data!H64</f>
        <v>56.849675385236267</v>
      </c>
      <c r="G110" s="366">
        <f>Data!I64</f>
        <v>57.371408463141762</v>
      </c>
      <c r="H110" s="366">
        <f>Data!J64</f>
        <v>57.371408463141762</v>
      </c>
      <c r="I110" s="366">
        <f>Data!K64</f>
        <v>57.371408463141762</v>
      </c>
      <c r="J110" s="366">
        <f>Data!L64</f>
        <v>57.371408463141762</v>
      </c>
      <c r="K110" s="366">
        <f>Data!M64</f>
        <v>56.570916634070144</v>
      </c>
      <c r="L110" s="366">
        <f>Data!N64</f>
        <v>56.570916634070144</v>
      </c>
      <c r="M110" s="366">
        <f>Data!O64</f>
        <v>56.570916634070144</v>
      </c>
      <c r="N110" s="366">
        <f>Data!P64</f>
        <v>56.570916634070144</v>
      </c>
      <c r="O110" s="366">
        <f>Data!Q64</f>
        <v>56.570916634070144</v>
      </c>
      <c r="P110" s="366">
        <f>Data!R64</f>
        <v>56.570916634070144</v>
      </c>
      <c r="Q110" s="366">
        <f>Data!S64</f>
        <v>56.570916634070144</v>
      </c>
      <c r="R110" s="366">
        <f>Data!T64</f>
        <v>56.570916634070144</v>
      </c>
      <c r="S110" s="366">
        <f>Data!U64</f>
        <v>56.570916634070144</v>
      </c>
      <c r="T110" s="366">
        <f>Data!V64</f>
        <v>56.570916634070144</v>
      </c>
      <c r="U110" s="366">
        <f>Data!W64</f>
        <v>56.570916634070144</v>
      </c>
      <c r="V110" s="366">
        <f>Data!X64</f>
        <v>56.570916634070144</v>
      </c>
      <c r="W110" s="366">
        <f>Data!Y64</f>
        <v>56.570916634070144</v>
      </c>
      <c r="X110" s="366">
        <f>Data!Z64</f>
        <v>56.570916634070144</v>
      </c>
      <c r="Y110" s="366">
        <f>Data!AA64</f>
        <v>56.570916634070144</v>
      </c>
      <c r="Z110" s="366">
        <f>Data!AB64</f>
        <v>56.570916634070144</v>
      </c>
      <c r="AA110" s="366">
        <f>Data!AC64</f>
        <v>56.570916634070144</v>
      </c>
      <c r="AB110" s="366">
        <f>Data!AD64</f>
        <v>56.570916634070144</v>
      </c>
      <c r="AC110" s="366">
        <f>Data!AE64</f>
        <v>56.570916634070144</v>
      </c>
      <c r="AD110" s="366">
        <f>Data!AF64</f>
        <v>56.570916634070144</v>
      </c>
      <c r="AE110" s="366">
        <f>Data!AG64</f>
        <v>56.570916634070144</v>
      </c>
      <c r="AF110" s="366">
        <f>Data!AH64</f>
        <v>56.570916634070144</v>
      </c>
      <c r="AG110" s="366">
        <f>Data!AI64</f>
        <v>56.570916634070144</v>
      </c>
      <c r="AH110" s="366">
        <f>Data!AJ64</f>
        <v>56.570916634070144</v>
      </c>
      <c r="AI110" s="366">
        <f>Data!AK64</f>
        <v>56.570916634070144</v>
      </c>
      <c r="AJ110" s="366">
        <f>Data!AL64</f>
        <v>56.570916634070144</v>
      </c>
      <c r="AK110" s="366">
        <f>Data!AM64</f>
        <v>56.570916634070144</v>
      </c>
      <c r="AL110" s="366">
        <f>Data!AN64</f>
        <v>56.570916634070144</v>
      </c>
      <c r="AM110" s="366">
        <f>Data!AO64</f>
        <v>56.570916634070144</v>
      </c>
      <c r="AN110" s="366">
        <f>Data!AP64</f>
        <v>56.570916634070144</v>
      </c>
      <c r="AO110" s="366">
        <f>Data!AQ64</f>
        <v>56.570916634070144</v>
      </c>
      <c r="AP110" s="366">
        <f>Data!AR64</f>
        <v>56.570916634070144</v>
      </c>
      <c r="AQ110" s="366">
        <f>Data!AS64</f>
        <v>56.570916634070144</v>
      </c>
      <c r="AR110" s="366">
        <f>Data!AT64</f>
        <v>56.570916634070144</v>
      </c>
      <c r="AS110" s="366">
        <f>Data!AU64</f>
        <v>56.570916634070144</v>
      </c>
      <c r="AT110" s="366">
        <f>Data!AV64</f>
        <v>56.570916634070144</v>
      </c>
      <c r="AU110" s="366">
        <f>Data!AW64</f>
        <v>56.570916634070144</v>
      </c>
      <c r="AV110" s="366">
        <f>Data!AX64</f>
        <v>56.570916634070144</v>
      </c>
      <c r="AW110" s="366">
        <f>Data!AY64</f>
        <v>56.570916634070144</v>
      </c>
      <c r="AX110" s="366">
        <f>Data!AZ64</f>
        <v>56.570916634070144</v>
      </c>
      <c r="AY110" s="366">
        <f>Data!BA64</f>
        <v>56.570916634070144</v>
      </c>
      <c r="AZ110" s="366">
        <f>Data!BB64</f>
        <v>56.570916634070144</v>
      </c>
      <c r="BA110" s="366">
        <f>Data!BC64</f>
        <v>56.570916634070144</v>
      </c>
      <c r="BB110" s="366">
        <f>Data!BD64</f>
        <v>56.570916634070144</v>
      </c>
      <c r="BC110" s="366">
        <f>Data!BE64</f>
        <v>56.570916634070144</v>
      </c>
      <c r="BD110" s="366">
        <f>Data!BF64</f>
        <v>56.570916634070144</v>
      </c>
      <c r="BE110" s="366">
        <f>Data!BG64</f>
        <v>56.570916634070144</v>
      </c>
      <c r="BF110" s="366">
        <f>Data!BH64</f>
        <v>56.570916634070144</v>
      </c>
      <c r="BG110" s="366">
        <f>Data!BI64</f>
        <v>56.570916634070144</v>
      </c>
      <c r="BH110" s="366">
        <f>Data!BJ64</f>
        <v>56.570916634070144</v>
      </c>
      <c r="BI110" s="366">
        <f>Data!BK64</f>
        <v>56.570916634070144</v>
      </c>
      <c r="BJ110" s="366">
        <f>Data!BL64</f>
        <v>56.570916634070144</v>
      </c>
      <c r="BK110" s="366">
        <f>Data!BM64</f>
        <v>56.570916634070144</v>
      </c>
      <c r="BL110" s="366">
        <f>Data!BN64</f>
        <v>56.570916634070144</v>
      </c>
      <c r="BM110" s="366">
        <f>Data!BO64</f>
        <v>56.570916634070144</v>
      </c>
      <c r="BN110" s="366">
        <f>Data!BP64</f>
        <v>56.570916634070144</v>
      </c>
      <c r="BO110" s="366">
        <f>Data!BQ64</f>
        <v>56.570916634070144</v>
      </c>
      <c r="BP110" s="366">
        <f>Data!BR64</f>
        <v>56.570916634070144</v>
      </c>
      <c r="BQ110" s="366">
        <f>Data!BS64</f>
        <v>56.570916634070144</v>
      </c>
      <c r="BR110" s="366">
        <f>Data!BT64</f>
        <v>56.570916634070144</v>
      </c>
      <c r="BS110" s="366">
        <f>Data!BU64</f>
        <v>56.570916634070144</v>
      </c>
      <c r="BT110" s="366">
        <f>Data!BV64</f>
        <v>56.570916634070144</v>
      </c>
      <c r="BU110" s="366">
        <f>Data!BW64</f>
        <v>56.570916634070144</v>
      </c>
      <c r="BV110" s="366">
        <f>Data!BX64</f>
        <v>56.570916634070144</v>
      </c>
      <c r="BW110" s="366">
        <f>Data!BY64</f>
        <v>56.570916634070144</v>
      </c>
      <c r="BX110" s="366">
        <f>Data!BZ64</f>
        <v>56.570916634070144</v>
      </c>
      <c r="BY110" s="366">
        <f>Data!CA64</f>
        <v>56.570916634070144</v>
      </c>
      <c r="BZ110" s="366">
        <f>Data!CB64</f>
        <v>56.570916634070144</v>
      </c>
      <c r="CA110" s="366">
        <f>Data!CC64</f>
        <v>56.570916634070144</v>
      </c>
      <c r="CB110" s="366">
        <f>Data!CD64</f>
        <v>56.570916634070144</v>
      </c>
      <c r="CC110" s="366">
        <f>Data!CE64</f>
        <v>56.570916634070144</v>
      </c>
      <c r="CD110" s="366">
        <f>Data!CF64</f>
        <v>56.570916634070144</v>
      </c>
      <c r="CE110" s="366">
        <f>Data!CG64</f>
        <v>56.570916634070144</v>
      </c>
      <c r="CF110" s="366">
        <f>Data!CH64</f>
        <v>56.570916634070144</v>
      </c>
      <c r="CG110" s="366">
        <f>Data!CI64</f>
        <v>56.570916634070144</v>
      </c>
      <c r="CH110" s="366">
        <f>Data!CJ64</f>
        <v>56.570916634070144</v>
      </c>
      <c r="CI110" s="366">
        <f>Data!CK64</f>
        <v>56.570916634070144</v>
      </c>
      <c r="CJ110" s="366">
        <f>Data!CL64</f>
        <v>56.570916634070144</v>
      </c>
      <c r="CK110" s="366">
        <f>Data!CM64</f>
        <v>56.570916634070144</v>
      </c>
      <c r="CL110" s="366">
        <f>Data!CN64</f>
        <v>56.570916634070144</v>
      </c>
      <c r="CM110" s="366">
        <f>Data!CO64</f>
        <v>56.570916634070144</v>
      </c>
      <c r="CN110" s="366">
        <f>Data!CP64</f>
        <v>56.570916634070144</v>
      </c>
      <c r="CO110" s="366">
        <f>Data!CQ64</f>
        <v>56.570916634070144</v>
      </c>
      <c r="CP110" s="366">
        <f>Data!CR64</f>
        <v>56.570916634070144</v>
      </c>
      <c r="CQ110" s="366">
        <f>Data!CS64</f>
        <v>56.570916634070144</v>
      </c>
      <c r="CR110" s="366">
        <f>Data!CT64</f>
        <v>56.570916634070144</v>
      </c>
      <c r="CS110" s="366">
        <f>Data!CU64</f>
        <v>56.570916634070144</v>
      </c>
      <c r="CT110" s="366">
        <f>Data!CV64</f>
        <v>56.570916634070144</v>
      </c>
      <c r="CU110" s="366">
        <f>Data!CW64</f>
        <v>56.570916634070144</v>
      </c>
      <c r="CV110" s="366">
        <f>Data!CX64</f>
        <v>56.570916634070144</v>
      </c>
      <c r="CW110" s="366">
        <f>Data!CY64</f>
        <v>56.570916634070144</v>
      </c>
      <c r="CX110" s="366">
        <f>Data!CZ64</f>
        <v>56.570916634070144</v>
      </c>
      <c r="CY110" s="366">
        <f>Data!DA64</f>
        <v>56.570916634070144</v>
      </c>
      <c r="CZ110" s="366">
        <f>Data!DB64</f>
        <v>56.570916634070144</v>
      </c>
      <c r="DA110" s="366">
        <f>Data!DC64</f>
        <v>56.570916634070144</v>
      </c>
      <c r="DB110" s="366">
        <f>Data!DD64</f>
        <v>56.570916634070144</v>
      </c>
      <c r="DC110" s="366">
        <f>Data!DE64</f>
        <v>56.570916634070144</v>
      </c>
      <c r="DD110" s="366">
        <f>Data!DF64</f>
        <v>56.570916634070144</v>
      </c>
      <c r="DE110" s="366">
        <f>Data!DG64</f>
        <v>56.570916634070144</v>
      </c>
      <c r="DF110" s="366">
        <f>Data!DH64</f>
        <v>56.570916634070144</v>
      </c>
      <c r="DG110" s="366">
        <f>Data!DI64</f>
        <v>56.570916634070144</v>
      </c>
      <c r="DH110" s="366">
        <f>Data!DJ64</f>
        <v>56.570916634070144</v>
      </c>
      <c r="DI110" s="366">
        <f>Data!DK64</f>
        <v>56.570916634070144</v>
      </c>
      <c r="DJ110" s="366">
        <f>Data!DL64</f>
        <v>56.570916634070144</v>
      </c>
      <c r="DK110" s="366">
        <f>Data!DM64</f>
        <v>56.570916634070144</v>
      </c>
      <c r="DL110" s="366">
        <f>Data!DN64</f>
        <v>56.570916634070144</v>
      </c>
      <c r="DM110" s="366">
        <f>Data!DO64</f>
        <v>56.570916634070144</v>
      </c>
      <c r="DN110" s="366">
        <f>Data!DP64</f>
        <v>56.570916634070144</v>
      </c>
      <c r="DO110" s="366">
        <f>Data!DQ64</f>
        <v>56.570916634070144</v>
      </c>
      <c r="DP110" s="366">
        <f>Data!DR64</f>
        <v>56.570916634070144</v>
      </c>
      <c r="DQ110" s="366">
        <f>Data!DS64</f>
        <v>56.570916634070144</v>
      </c>
      <c r="DR110" s="366">
        <f>Data!DT64</f>
        <v>56.570916634070144</v>
      </c>
      <c r="DS110" s="366">
        <f>Data!DU64</f>
        <v>56.570916634070144</v>
      </c>
      <c r="DT110" s="366">
        <f>Data!DV64</f>
        <v>56.570916634070144</v>
      </c>
      <c r="DU110" s="433">
        <f>Data!DW64</f>
        <v>56.570916634070144</v>
      </c>
      <c r="DV110" s="701"/>
    </row>
    <row r="111" spans="1:126" x14ac:dyDescent="0.3">
      <c r="E111" s="738"/>
    </row>
    <row r="112" spans="1:126" x14ac:dyDescent="0.3">
      <c r="B112" s="623" t="s">
        <v>148</v>
      </c>
      <c r="R112" s="260"/>
      <c r="DU112" s="324"/>
    </row>
    <row r="113" spans="2:126" x14ac:dyDescent="0.3">
      <c r="B113" s="624" t="str">
        <f>Data!D67</f>
        <v>Agent</v>
      </c>
      <c r="C113" s="184"/>
      <c r="D113" s="184"/>
      <c r="E113" s="434">
        <f>Data!G67</f>
        <v>25791.666666666668</v>
      </c>
      <c r="F113" s="184">
        <f>Data!H67</f>
        <v>25791.666666666668</v>
      </c>
      <c r="G113" s="184">
        <f>Data!I67</f>
        <v>25791.666666666668</v>
      </c>
      <c r="H113" s="184">
        <f>Data!J67</f>
        <v>25791.666666666668</v>
      </c>
      <c r="I113" s="184">
        <f>Data!K67</f>
        <v>25791.666666666668</v>
      </c>
      <c r="J113" s="184">
        <f>Data!L67</f>
        <v>25791.666666666668</v>
      </c>
      <c r="K113" s="184">
        <f>Data!M67</f>
        <v>25791.666666666668</v>
      </c>
      <c r="L113" s="184">
        <f>Data!N67</f>
        <v>25791.666666666668</v>
      </c>
      <c r="M113" s="184">
        <f>Data!O67</f>
        <v>25791.666666666668</v>
      </c>
      <c r="N113" s="184">
        <f>Data!P67</f>
        <v>25791.666666666668</v>
      </c>
      <c r="O113" s="184">
        <f>Data!Q67</f>
        <v>25791.666666666668</v>
      </c>
      <c r="P113" s="184">
        <f>Data!R67</f>
        <v>25791.666666666668</v>
      </c>
      <c r="Q113" s="184">
        <f>Data!S67</f>
        <v>25791.666666666668</v>
      </c>
      <c r="R113" s="279">
        <f>Data!T67</f>
        <v>27081.250000000004</v>
      </c>
      <c r="S113" s="184">
        <f>Data!U67</f>
        <v>27081.250000000004</v>
      </c>
      <c r="T113" s="184">
        <f>Data!V67</f>
        <v>27081.250000000004</v>
      </c>
      <c r="U113" s="184">
        <f>Data!W67</f>
        <v>27081.250000000004</v>
      </c>
      <c r="V113" s="184">
        <f>Data!X67</f>
        <v>27081.250000000004</v>
      </c>
      <c r="W113" s="184">
        <f>Data!Y67</f>
        <v>27081.250000000004</v>
      </c>
      <c r="X113" s="184">
        <f>Data!Z67</f>
        <v>27081.250000000004</v>
      </c>
      <c r="Y113" s="184">
        <f>Data!AA67</f>
        <v>27081.250000000004</v>
      </c>
      <c r="Z113" s="184">
        <f>Data!AB67</f>
        <v>27081.250000000004</v>
      </c>
      <c r="AA113" s="184">
        <f>Data!AC67</f>
        <v>27081.250000000004</v>
      </c>
      <c r="AB113" s="184">
        <f>Data!AD67</f>
        <v>27081.250000000004</v>
      </c>
      <c r="AC113" s="184">
        <f>Data!AE67</f>
        <v>27081.250000000004</v>
      </c>
      <c r="AD113" s="279">
        <f>Data!AF67</f>
        <v>28435.312500000004</v>
      </c>
      <c r="AE113" s="184">
        <f>Data!AG67</f>
        <v>28435.312500000004</v>
      </c>
      <c r="AF113" s="184">
        <f>Data!AH67</f>
        <v>28435.312500000004</v>
      </c>
      <c r="AG113" s="184">
        <f>Data!AI67</f>
        <v>28435.312500000004</v>
      </c>
      <c r="AH113" s="184">
        <f>Data!AJ67</f>
        <v>28435.312500000004</v>
      </c>
      <c r="AI113" s="184">
        <f>Data!AK67</f>
        <v>28435.312500000004</v>
      </c>
      <c r="AJ113" s="184">
        <f>Data!AL67</f>
        <v>28435.312500000004</v>
      </c>
      <c r="AK113" s="184">
        <f>Data!AM67</f>
        <v>28435.312500000004</v>
      </c>
      <c r="AL113" s="184">
        <f>Data!AN67</f>
        <v>28435.312500000004</v>
      </c>
      <c r="AM113" s="184">
        <f>Data!AO67</f>
        <v>28435.312500000004</v>
      </c>
      <c r="AN113" s="184">
        <f>Data!AP67</f>
        <v>28435.312500000004</v>
      </c>
      <c r="AO113" s="184">
        <f>Data!AQ67</f>
        <v>28435.312500000004</v>
      </c>
      <c r="AP113" s="279">
        <f>Data!AR67</f>
        <v>29857.078125000004</v>
      </c>
      <c r="AQ113" s="184">
        <f>Data!AS67</f>
        <v>29857.078125000004</v>
      </c>
      <c r="AR113" s="184">
        <f>Data!AT67</f>
        <v>29857.078125000004</v>
      </c>
      <c r="AS113" s="184">
        <f>Data!AU67</f>
        <v>29857.078125000004</v>
      </c>
      <c r="AT113" s="184">
        <f>Data!AV67</f>
        <v>29857.078125000004</v>
      </c>
      <c r="AU113" s="184">
        <f>Data!AW67</f>
        <v>29857.078125000004</v>
      </c>
      <c r="AV113" s="184">
        <f>Data!AX67</f>
        <v>29857.078125000004</v>
      </c>
      <c r="AW113" s="184">
        <f>Data!AY67</f>
        <v>29857.078125000004</v>
      </c>
      <c r="AX113" s="184">
        <f>Data!AZ67</f>
        <v>29857.078125000004</v>
      </c>
      <c r="AY113" s="184">
        <f>Data!BA67</f>
        <v>29857.078125000004</v>
      </c>
      <c r="AZ113" s="184">
        <f>Data!BB67</f>
        <v>29857.078125000004</v>
      </c>
      <c r="BA113" s="184">
        <f>Data!BC67</f>
        <v>29857.078125000004</v>
      </c>
      <c r="BB113" s="279">
        <f>Data!BD67</f>
        <v>31349.932031250006</v>
      </c>
      <c r="BC113" s="184">
        <f>Data!BE67</f>
        <v>31349.932031250006</v>
      </c>
      <c r="BD113" s="184">
        <f>Data!BF67</f>
        <v>31349.932031250006</v>
      </c>
      <c r="BE113" s="184">
        <f>Data!BG67</f>
        <v>31349.932031250006</v>
      </c>
      <c r="BF113" s="184">
        <f>Data!BH67</f>
        <v>31349.932031250006</v>
      </c>
      <c r="BG113" s="184">
        <f>Data!BI67</f>
        <v>31349.932031250006</v>
      </c>
      <c r="BH113" s="184">
        <f>Data!BJ67</f>
        <v>31349.932031250006</v>
      </c>
      <c r="BI113" s="184">
        <f>Data!BK67</f>
        <v>31349.932031250006</v>
      </c>
      <c r="BJ113" s="184">
        <f>Data!BL67</f>
        <v>31349.932031250006</v>
      </c>
      <c r="BK113" s="184">
        <f>Data!BM67</f>
        <v>31349.932031250006</v>
      </c>
      <c r="BL113" s="184">
        <f>Data!BN67</f>
        <v>31349.932031250006</v>
      </c>
      <c r="BM113" s="184">
        <f>Data!BO67</f>
        <v>31349.932031250006</v>
      </c>
      <c r="BN113" s="184">
        <f>Data!BP67</f>
        <v>32917.428632812509</v>
      </c>
      <c r="BO113" s="184">
        <f>Data!BQ67</f>
        <v>32917.428632812509</v>
      </c>
      <c r="BP113" s="184">
        <f>Data!BR67</f>
        <v>32917.428632812509</v>
      </c>
      <c r="BQ113" s="184">
        <f>Data!BS67</f>
        <v>32917.428632812509</v>
      </c>
      <c r="BR113" s="184">
        <f>Data!BT67</f>
        <v>32917.428632812509</v>
      </c>
      <c r="BS113" s="184">
        <f>Data!BU67</f>
        <v>32917.428632812509</v>
      </c>
      <c r="BT113" s="184">
        <f>Data!BV67</f>
        <v>32917.428632812509</v>
      </c>
      <c r="BU113" s="184">
        <f>Data!BW67</f>
        <v>32917.428632812509</v>
      </c>
      <c r="BV113" s="184">
        <f>Data!BX67</f>
        <v>32917.428632812509</v>
      </c>
      <c r="BW113" s="184">
        <f>Data!BY67</f>
        <v>32917.428632812509</v>
      </c>
      <c r="BX113" s="184">
        <f>Data!BZ67</f>
        <v>32917.428632812509</v>
      </c>
      <c r="BY113" s="184">
        <f>Data!CA67</f>
        <v>32917.428632812509</v>
      </c>
      <c r="BZ113" s="184">
        <f>Data!CB67</f>
        <v>34563.300064453135</v>
      </c>
      <c r="CA113" s="184">
        <f>Data!CC67</f>
        <v>34563.300064453135</v>
      </c>
      <c r="CB113" s="184">
        <f>Data!CD67</f>
        <v>34563.300064453135</v>
      </c>
      <c r="CC113" s="184">
        <f>Data!CE67</f>
        <v>34563.300064453135</v>
      </c>
      <c r="CD113" s="184">
        <f>Data!CF67</f>
        <v>34563.300064453135</v>
      </c>
      <c r="CE113" s="184">
        <f>Data!CG67</f>
        <v>34563.300064453135</v>
      </c>
      <c r="CF113" s="184">
        <f>Data!CH67</f>
        <v>34563.300064453135</v>
      </c>
      <c r="CG113" s="184">
        <f>Data!CI67</f>
        <v>34563.300064453135</v>
      </c>
      <c r="CH113" s="184">
        <f>Data!CJ67</f>
        <v>34563.300064453135</v>
      </c>
      <c r="CI113" s="184">
        <f>Data!CK67</f>
        <v>34563.300064453135</v>
      </c>
      <c r="CJ113" s="184">
        <f>Data!CL67</f>
        <v>34563.300064453135</v>
      </c>
      <c r="CK113" s="184">
        <f>Data!CM67</f>
        <v>34563.300064453135</v>
      </c>
      <c r="CL113" s="184">
        <f>Data!CN67</f>
        <v>36291.465067675796</v>
      </c>
      <c r="CM113" s="184">
        <f>Data!CO67</f>
        <v>36291.465067675796</v>
      </c>
      <c r="CN113" s="184">
        <f>Data!CP67</f>
        <v>36291.465067675796</v>
      </c>
      <c r="CO113" s="184">
        <f>Data!CQ67</f>
        <v>36291.465067675796</v>
      </c>
      <c r="CP113" s="184">
        <f>Data!CR67</f>
        <v>36291.465067675796</v>
      </c>
      <c r="CQ113" s="184">
        <f>Data!CS67</f>
        <v>36291.465067675796</v>
      </c>
      <c r="CR113" s="184">
        <f>Data!CT67</f>
        <v>36291.465067675796</v>
      </c>
      <c r="CS113" s="184">
        <f>Data!CU67</f>
        <v>36291.465067675796</v>
      </c>
      <c r="CT113" s="184">
        <f>Data!CV67</f>
        <v>36291.465067675796</v>
      </c>
      <c r="CU113" s="184">
        <f>Data!CW67</f>
        <v>36291.465067675796</v>
      </c>
      <c r="CV113" s="184">
        <f>Data!CX67</f>
        <v>36291.465067675796</v>
      </c>
      <c r="CW113" s="184">
        <f>Data!CY67</f>
        <v>36291.465067675796</v>
      </c>
      <c r="CX113" s="184">
        <f>Data!CZ67</f>
        <v>38106.03832105959</v>
      </c>
      <c r="CY113" s="184">
        <f>Data!DA67</f>
        <v>38106.03832105959</v>
      </c>
      <c r="CZ113" s="184">
        <f>Data!DB67</f>
        <v>38106.03832105959</v>
      </c>
      <c r="DA113" s="184">
        <f>Data!DC67</f>
        <v>38106.03832105959</v>
      </c>
      <c r="DB113" s="184">
        <f>Data!DD67</f>
        <v>38106.03832105959</v>
      </c>
      <c r="DC113" s="184">
        <f>Data!DE67</f>
        <v>38106.03832105959</v>
      </c>
      <c r="DD113" s="184">
        <f>Data!DF67</f>
        <v>38106.03832105959</v>
      </c>
      <c r="DE113" s="184">
        <f>Data!DG67</f>
        <v>38106.03832105959</v>
      </c>
      <c r="DF113" s="184">
        <f>Data!DH67</f>
        <v>38106.03832105959</v>
      </c>
      <c r="DG113" s="184">
        <f>Data!DI67</f>
        <v>38106.03832105959</v>
      </c>
      <c r="DH113" s="184">
        <f>Data!DJ67</f>
        <v>38106.03832105959</v>
      </c>
      <c r="DI113" s="184">
        <f>Data!DK67</f>
        <v>38106.03832105959</v>
      </c>
      <c r="DJ113" s="184">
        <f>Data!DL67</f>
        <v>40011.34023711257</v>
      </c>
      <c r="DK113" s="184">
        <f>Data!DM67</f>
        <v>40011.34023711257</v>
      </c>
      <c r="DL113" s="184">
        <f>Data!DN67</f>
        <v>40011.34023711257</v>
      </c>
      <c r="DM113" s="184">
        <f>Data!DO67</f>
        <v>40011.34023711257</v>
      </c>
      <c r="DN113" s="184">
        <f>Data!DP67</f>
        <v>40011.34023711257</v>
      </c>
      <c r="DO113" s="184">
        <f>Data!DQ67</f>
        <v>40011.34023711257</v>
      </c>
      <c r="DP113" s="184">
        <f>Data!DR67</f>
        <v>40011.34023711257</v>
      </c>
      <c r="DQ113" s="184">
        <f>Data!DS67</f>
        <v>40011.34023711257</v>
      </c>
      <c r="DR113" s="184">
        <f>Data!DT67</f>
        <v>40011.34023711257</v>
      </c>
      <c r="DS113" s="184">
        <f>Data!DU67</f>
        <v>40011.34023711257</v>
      </c>
      <c r="DT113" s="184">
        <f>Data!DV67</f>
        <v>40011.34023711257</v>
      </c>
      <c r="DU113" s="435">
        <f>Data!DW67</f>
        <v>40011.34023711257</v>
      </c>
      <c r="DV113" s="183"/>
    </row>
    <row r="114" spans="2:126" x14ac:dyDescent="0.3">
      <c r="B114" s="613" t="str">
        <f>Data!D68</f>
        <v>TL</v>
      </c>
      <c r="C114" s="183"/>
      <c r="D114" s="183"/>
      <c r="E114" s="436">
        <f>Data!G68</f>
        <v>62500</v>
      </c>
      <c r="F114" s="183">
        <f>Data!H68</f>
        <v>62500</v>
      </c>
      <c r="G114" s="183">
        <f>Data!I68</f>
        <v>62500</v>
      </c>
      <c r="H114" s="183">
        <f>Data!J68</f>
        <v>62500</v>
      </c>
      <c r="I114" s="183">
        <f>Data!K68</f>
        <v>62500</v>
      </c>
      <c r="J114" s="183">
        <f>Data!L68</f>
        <v>62500</v>
      </c>
      <c r="K114" s="183">
        <f>Data!M68</f>
        <v>62500</v>
      </c>
      <c r="L114" s="183">
        <f>Data!N68</f>
        <v>62500</v>
      </c>
      <c r="M114" s="183">
        <f>Data!O68</f>
        <v>62500</v>
      </c>
      <c r="N114" s="183">
        <f>Data!P68</f>
        <v>62500</v>
      </c>
      <c r="O114" s="183">
        <f>Data!Q68</f>
        <v>62500</v>
      </c>
      <c r="P114" s="183">
        <f>Data!R68</f>
        <v>62500</v>
      </c>
      <c r="Q114" s="183">
        <f>Data!S68</f>
        <v>62500</v>
      </c>
      <c r="R114" s="280">
        <f>Data!T68</f>
        <v>65625</v>
      </c>
      <c r="S114" s="183">
        <f>Data!U68</f>
        <v>65625</v>
      </c>
      <c r="T114" s="183">
        <f>Data!V68</f>
        <v>65625</v>
      </c>
      <c r="U114" s="183">
        <f>Data!W68</f>
        <v>65625</v>
      </c>
      <c r="V114" s="183">
        <f>Data!X68</f>
        <v>65625</v>
      </c>
      <c r="W114" s="183">
        <f>Data!Y68</f>
        <v>65625</v>
      </c>
      <c r="X114" s="183">
        <f>Data!Z68</f>
        <v>65625</v>
      </c>
      <c r="Y114" s="183">
        <f>Data!AA68</f>
        <v>65625</v>
      </c>
      <c r="Z114" s="183">
        <f>Data!AB68</f>
        <v>65625</v>
      </c>
      <c r="AA114" s="183">
        <f>Data!AC68</f>
        <v>65625</v>
      </c>
      <c r="AB114" s="183">
        <f>Data!AD68</f>
        <v>65625</v>
      </c>
      <c r="AC114" s="183">
        <f>Data!AE68</f>
        <v>65625</v>
      </c>
      <c r="AD114" s="280">
        <f>Data!AF68</f>
        <v>68906.25</v>
      </c>
      <c r="AE114" s="183">
        <f>Data!AG68</f>
        <v>68906.25</v>
      </c>
      <c r="AF114" s="183">
        <f>Data!AH68</f>
        <v>68906.25</v>
      </c>
      <c r="AG114" s="183">
        <f>Data!AI68</f>
        <v>68906.25</v>
      </c>
      <c r="AH114" s="183">
        <f>Data!AJ68</f>
        <v>68906.25</v>
      </c>
      <c r="AI114" s="183">
        <f>Data!AK68</f>
        <v>68906.25</v>
      </c>
      <c r="AJ114" s="183">
        <f>Data!AL68</f>
        <v>68906.25</v>
      </c>
      <c r="AK114" s="183">
        <f>Data!AM68</f>
        <v>68906.25</v>
      </c>
      <c r="AL114" s="183">
        <f>Data!AN68</f>
        <v>68906.25</v>
      </c>
      <c r="AM114" s="183">
        <f>Data!AO68</f>
        <v>68906.25</v>
      </c>
      <c r="AN114" s="183">
        <f>Data!AP68</f>
        <v>68906.25</v>
      </c>
      <c r="AO114" s="183">
        <f>Data!AQ68</f>
        <v>68906.25</v>
      </c>
      <c r="AP114" s="280">
        <f>Data!AR68</f>
        <v>72351.5625</v>
      </c>
      <c r="AQ114" s="183">
        <f>Data!AS68</f>
        <v>72351.5625</v>
      </c>
      <c r="AR114" s="183">
        <f>Data!AT68</f>
        <v>72351.5625</v>
      </c>
      <c r="AS114" s="183">
        <f>Data!AU68</f>
        <v>72351.5625</v>
      </c>
      <c r="AT114" s="183">
        <f>Data!AV68</f>
        <v>72351.5625</v>
      </c>
      <c r="AU114" s="183">
        <f>Data!AW68</f>
        <v>72351.5625</v>
      </c>
      <c r="AV114" s="183">
        <f>Data!AX68</f>
        <v>72351.5625</v>
      </c>
      <c r="AW114" s="183">
        <f>Data!AY68</f>
        <v>72351.5625</v>
      </c>
      <c r="AX114" s="183">
        <f>Data!AZ68</f>
        <v>72351.5625</v>
      </c>
      <c r="AY114" s="183">
        <f>Data!BA68</f>
        <v>72351.5625</v>
      </c>
      <c r="AZ114" s="183">
        <f>Data!BB68</f>
        <v>72351.5625</v>
      </c>
      <c r="BA114" s="183">
        <f>Data!BC68</f>
        <v>72351.5625</v>
      </c>
      <c r="BB114" s="280">
        <f>Data!BD68</f>
        <v>75969.140625</v>
      </c>
      <c r="BC114" s="183">
        <f>Data!BE68</f>
        <v>75969.140625</v>
      </c>
      <c r="BD114" s="183">
        <f>Data!BF68</f>
        <v>75969.140625</v>
      </c>
      <c r="BE114" s="183">
        <f>Data!BG68</f>
        <v>75969.140625</v>
      </c>
      <c r="BF114" s="183">
        <f>Data!BH68</f>
        <v>75969.140625</v>
      </c>
      <c r="BG114" s="183">
        <f>Data!BI68</f>
        <v>75969.140625</v>
      </c>
      <c r="BH114" s="183">
        <f>Data!BJ68</f>
        <v>75969.140625</v>
      </c>
      <c r="BI114" s="183">
        <f>Data!BK68</f>
        <v>75969.140625</v>
      </c>
      <c r="BJ114" s="183">
        <f>Data!BL68</f>
        <v>75969.140625</v>
      </c>
      <c r="BK114" s="183">
        <f>Data!BM68</f>
        <v>75969.140625</v>
      </c>
      <c r="BL114" s="183">
        <f>Data!BN68</f>
        <v>75969.140625</v>
      </c>
      <c r="BM114" s="183">
        <f>Data!BO68</f>
        <v>75969.140625</v>
      </c>
      <c r="BN114" s="183">
        <f>Data!BP68</f>
        <v>79767.59765625</v>
      </c>
      <c r="BO114" s="183">
        <f>Data!BQ68</f>
        <v>79767.59765625</v>
      </c>
      <c r="BP114" s="183">
        <f>Data!BR68</f>
        <v>79767.59765625</v>
      </c>
      <c r="BQ114" s="183">
        <f>Data!BS68</f>
        <v>79767.59765625</v>
      </c>
      <c r="BR114" s="183">
        <f>Data!BT68</f>
        <v>79767.59765625</v>
      </c>
      <c r="BS114" s="183">
        <f>Data!BU68</f>
        <v>79767.59765625</v>
      </c>
      <c r="BT114" s="183">
        <f>Data!BV68</f>
        <v>79767.59765625</v>
      </c>
      <c r="BU114" s="183">
        <f>Data!BW68</f>
        <v>79767.59765625</v>
      </c>
      <c r="BV114" s="183">
        <f>Data!BX68</f>
        <v>79767.59765625</v>
      </c>
      <c r="BW114" s="183">
        <f>Data!BY68</f>
        <v>79767.59765625</v>
      </c>
      <c r="BX114" s="183">
        <f>Data!BZ68</f>
        <v>79767.59765625</v>
      </c>
      <c r="BY114" s="183">
        <f>Data!CA68</f>
        <v>79767.59765625</v>
      </c>
      <c r="BZ114" s="183">
        <f>Data!CB68</f>
        <v>83755.9775390625</v>
      </c>
      <c r="CA114" s="183">
        <f>Data!CC68</f>
        <v>83755.9775390625</v>
      </c>
      <c r="CB114" s="183">
        <f>Data!CD68</f>
        <v>83755.9775390625</v>
      </c>
      <c r="CC114" s="183">
        <f>Data!CE68</f>
        <v>83755.9775390625</v>
      </c>
      <c r="CD114" s="183">
        <f>Data!CF68</f>
        <v>83755.9775390625</v>
      </c>
      <c r="CE114" s="183">
        <f>Data!CG68</f>
        <v>83755.9775390625</v>
      </c>
      <c r="CF114" s="183">
        <f>Data!CH68</f>
        <v>83755.9775390625</v>
      </c>
      <c r="CG114" s="183">
        <f>Data!CI68</f>
        <v>83755.9775390625</v>
      </c>
      <c r="CH114" s="183">
        <f>Data!CJ68</f>
        <v>83755.9775390625</v>
      </c>
      <c r="CI114" s="183">
        <f>Data!CK68</f>
        <v>83755.9775390625</v>
      </c>
      <c r="CJ114" s="183">
        <f>Data!CL68</f>
        <v>83755.9775390625</v>
      </c>
      <c r="CK114" s="183">
        <f>Data!CM68</f>
        <v>83755.9775390625</v>
      </c>
      <c r="CL114" s="183">
        <f>Data!CN68</f>
        <v>87943.776416015622</v>
      </c>
      <c r="CM114" s="183">
        <f>Data!CO68</f>
        <v>87943.776416015622</v>
      </c>
      <c r="CN114" s="183">
        <f>Data!CP68</f>
        <v>87943.776416015622</v>
      </c>
      <c r="CO114" s="183">
        <f>Data!CQ68</f>
        <v>87943.776416015622</v>
      </c>
      <c r="CP114" s="183">
        <f>Data!CR68</f>
        <v>87943.776416015622</v>
      </c>
      <c r="CQ114" s="183">
        <f>Data!CS68</f>
        <v>87943.776416015622</v>
      </c>
      <c r="CR114" s="183">
        <f>Data!CT68</f>
        <v>87943.776416015622</v>
      </c>
      <c r="CS114" s="183">
        <f>Data!CU68</f>
        <v>87943.776416015622</v>
      </c>
      <c r="CT114" s="183">
        <f>Data!CV68</f>
        <v>87943.776416015622</v>
      </c>
      <c r="CU114" s="183">
        <f>Data!CW68</f>
        <v>87943.776416015622</v>
      </c>
      <c r="CV114" s="183">
        <f>Data!CX68</f>
        <v>87943.776416015622</v>
      </c>
      <c r="CW114" s="183">
        <f>Data!CY68</f>
        <v>87943.776416015622</v>
      </c>
      <c r="CX114" s="183">
        <f>Data!CZ68</f>
        <v>92340.96523681641</v>
      </c>
      <c r="CY114" s="183">
        <f>Data!DA68</f>
        <v>92340.96523681641</v>
      </c>
      <c r="CZ114" s="183">
        <f>Data!DB68</f>
        <v>92340.96523681641</v>
      </c>
      <c r="DA114" s="183">
        <f>Data!DC68</f>
        <v>92340.96523681641</v>
      </c>
      <c r="DB114" s="183">
        <f>Data!DD68</f>
        <v>92340.96523681641</v>
      </c>
      <c r="DC114" s="183">
        <f>Data!DE68</f>
        <v>92340.96523681641</v>
      </c>
      <c r="DD114" s="183">
        <f>Data!DF68</f>
        <v>92340.96523681641</v>
      </c>
      <c r="DE114" s="183">
        <f>Data!DG68</f>
        <v>92340.96523681641</v>
      </c>
      <c r="DF114" s="183">
        <f>Data!DH68</f>
        <v>92340.96523681641</v>
      </c>
      <c r="DG114" s="183">
        <f>Data!DI68</f>
        <v>92340.96523681641</v>
      </c>
      <c r="DH114" s="183">
        <f>Data!DJ68</f>
        <v>92340.96523681641</v>
      </c>
      <c r="DI114" s="183">
        <f>Data!DK68</f>
        <v>92340.96523681641</v>
      </c>
      <c r="DJ114" s="183">
        <f>Data!DL68</f>
        <v>96958.013498657238</v>
      </c>
      <c r="DK114" s="183">
        <f>Data!DM68</f>
        <v>96958.013498657238</v>
      </c>
      <c r="DL114" s="183">
        <f>Data!DN68</f>
        <v>96958.013498657238</v>
      </c>
      <c r="DM114" s="183">
        <f>Data!DO68</f>
        <v>96958.013498657238</v>
      </c>
      <c r="DN114" s="183">
        <f>Data!DP68</f>
        <v>96958.013498657238</v>
      </c>
      <c r="DO114" s="183">
        <f>Data!DQ68</f>
        <v>96958.013498657238</v>
      </c>
      <c r="DP114" s="183">
        <f>Data!DR68</f>
        <v>96958.013498657238</v>
      </c>
      <c r="DQ114" s="183">
        <f>Data!DS68</f>
        <v>96958.013498657238</v>
      </c>
      <c r="DR114" s="183">
        <f>Data!DT68</f>
        <v>96958.013498657238</v>
      </c>
      <c r="DS114" s="183">
        <f>Data!DU68</f>
        <v>96958.013498657238</v>
      </c>
      <c r="DT114" s="183">
        <f>Data!DV68</f>
        <v>96958.013498657238</v>
      </c>
      <c r="DU114" s="437">
        <f>Data!DW68</f>
        <v>96958.013498657238</v>
      </c>
      <c r="DV114" s="183"/>
    </row>
    <row r="115" spans="2:126" x14ac:dyDescent="0.3">
      <c r="B115" s="613" t="str">
        <f>Data!D69</f>
        <v>AM</v>
      </c>
      <c r="C115" s="183"/>
      <c r="D115" s="183"/>
      <c r="E115" s="436">
        <f>Data!G69</f>
        <v>93333.333333333328</v>
      </c>
      <c r="F115" s="183">
        <f>Data!H69</f>
        <v>93333.333333333328</v>
      </c>
      <c r="G115" s="183">
        <f>Data!I69</f>
        <v>93333.333333333328</v>
      </c>
      <c r="H115" s="183">
        <f>Data!J69</f>
        <v>93333.333333333328</v>
      </c>
      <c r="I115" s="183">
        <f>Data!K69</f>
        <v>93333.333333333328</v>
      </c>
      <c r="J115" s="183">
        <f>Data!L69</f>
        <v>93333.333333333328</v>
      </c>
      <c r="K115" s="183">
        <f>Data!M69</f>
        <v>93333.333333333328</v>
      </c>
      <c r="L115" s="183">
        <f>Data!N69</f>
        <v>93333.333333333328</v>
      </c>
      <c r="M115" s="183">
        <f>Data!O69</f>
        <v>93333.333333333328</v>
      </c>
      <c r="N115" s="183">
        <f>Data!P69</f>
        <v>93333.333333333328</v>
      </c>
      <c r="O115" s="183">
        <f>Data!Q69</f>
        <v>93333.333333333328</v>
      </c>
      <c r="P115" s="183">
        <f>Data!R69</f>
        <v>93333.333333333328</v>
      </c>
      <c r="Q115" s="183">
        <f>Data!S69</f>
        <v>93333.333333333328</v>
      </c>
      <c r="R115" s="280">
        <f>Data!T69</f>
        <v>98000</v>
      </c>
      <c r="S115" s="183">
        <f>Data!U69</f>
        <v>98000</v>
      </c>
      <c r="T115" s="183">
        <f>Data!V69</f>
        <v>98000</v>
      </c>
      <c r="U115" s="183">
        <f>Data!W69</f>
        <v>98000</v>
      </c>
      <c r="V115" s="183">
        <f>Data!X69</f>
        <v>98000</v>
      </c>
      <c r="W115" s="183">
        <f>Data!Y69</f>
        <v>98000</v>
      </c>
      <c r="X115" s="183">
        <f>Data!Z69</f>
        <v>98000</v>
      </c>
      <c r="Y115" s="183">
        <f>Data!AA69</f>
        <v>98000</v>
      </c>
      <c r="Z115" s="183">
        <f>Data!AB69</f>
        <v>98000</v>
      </c>
      <c r="AA115" s="183">
        <f>Data!AC69</f>
        <v>98000</v>
      </c>
      <c r="AB115" s="183">
        <f>Data!AD69</f>
        <v>98000</v>
      </c>
      <c r="AC115" s="183">
        <f>Data!AE69</f>
        <v>98000</v>
      </c>
      <c r="AD115" s="280">
        <f>Data!AF69</f>
        <v>102900</v>
      </c>
      <c r="AE115" s="183">
        <f>Data!AG69</f>
        <v>102900</v>
      </c>
      <c r="AF115" s="183">
        <f>Data!AH69</f>
        <v>102900</v>
      </c>
      <c r="AG115" s="183">
        <f>Data!AI69</f>
        <v>102900</v>
      </c>
      <c r="AH115" s="183">
        <f>Data!AJ69</f>
        <v>102900</v>
      </c>
      <c r="AI115" s="183">
        <f>Data!AK69</f>
        <v>102900</v>
      </c>
      <c r="AJ115" s="183">
        <f>Data!AL69</f>
        <v>102900</v>
      </c>
      <c r="AK115" s="183">
        <f>Data!AM69</f>
        <v>102900</v>
      </c>
      <c r="AL115" s="183">
        <f>Data!AN69</f>
        <v>102900</v>
      </c>
      <c r="AM115" s="183">
        <f>Data!AO69</f>
        <v>102900</v>
      </c>
      <c r="AN115" s="183">
        <f>Data!AP69</f>
        <v>102900</v>
      </c>
      <c r="AO115" s="183">
        <f>Data!AQ69</f>
        <v>102900</v>
      </c>
      <c r="AP115" s="280">
        <f>Data!AR69</f>
        <v>108045</v>
      </c>
      <c r="AQ115" s="183">
        <f>Data!AS69</f>
        <v>108045</v>
      </c>
      <c r="AR115" s="183">
        <f>Data!AT69</f>
        <v>108045</v>
      </c>
      <c r="AS115" s="183">
        <f>Data!AU69</f>
        <v>108045</v>
      </c>
      <c r="AT115" s="183">
        <f>Data!AV69</f>
        <v>108045</v>
      </c>
      <c r="AU115" s="183">
        <f>Data!AW69</f>
        <v>108045</v>
      </c>
      <c r="AV115" s="183">
        <f>Data!AX69</f>
        <v>108045</v>
      </c>
      <c r="AW115" s="183">
        <f>Data!AY69</f>
        <v>108045</v>
      </c>
      <c r="AX115" s="183">
        <f>Data!AZ69</f>
        <v>108045</v>
      </c>
      <c r="AY115" s="183">
        <f>Data!BA69</f>
        <v>108045</v>
      </c>
      <c r="AZ115" s="183">
        <f>Data!BB69</f>
        <v>108045</v>
      </c>
      <c r="BA115" s="183">
        <f>Data!BC69</f>
        <v>108045</v>
      </c>
      <c r="BB115" s="280">
        <f>Data!BD69</f>
        <v>113447.25</v>
      </c>
      <c r="BC115" s="183">
        <f>Data!BE69</f>
        <v>113447.25</v>
      </c>
      <c r="BD115" s="183">
        <f>Data!BF69</f>
        <v>113447.25</v>
      </c>
      <c r="BE115" s="183">
        <f>Data!BG69</f>
        <v>113447.25</v>
      </c>
      <c r="BF115" s="183">
        <f>Data!BH69</f>
        <v>113447.25</v>
      </c>
      <c r="BG115" s="183">
        <f>Data!BI69</f>
        <v>113447.25</v>
      </c>
      <c r="BH115" s="183">
        <f>Data!BJ69</f>
        <v>113447.25</v>
      </c>
      <c r="BI115" s="183">
        <f>Data!BK69</f>
        <v>113447.25</v>
      </c>
      <c r="BJ115" s="183">
        <f>Data!BL69</f>
        <v>113447.25</v>
      </c>
      <c r="BK115" s="183">
        <f>Data!BM69</f>
        <v>113447.25</v>
      </c>
      <c r="BL115" s="183">
        <f>Data!BN69</f>
        <v>113447.25</v>
      </c>
      <c r="BM115" s="183">
        <f>Data!BO69</f>
        <v>113447.25</v>
      </c>
      <c r="BN115" s="183">
        <f>Data!BP69</f>
        <v>119119.6125</v>
      </c>
      <c r="BO115" s="183">
        <f>Data!BQ69</f>
        <v>119119.6125</v>
      </c>
      <c r="BP115" s="183">
        <f>Data!BR69</f>
        <v>119119.6125</v>
      </c>
      <c r="BQ115" s="183">
        <f>Data!BS69</f>
        <v>119119.6125</v>
      </c>
      <c r="BR115" s="183">
        <f>Data!BT69</f>
        <v>119119.6125</v>
      </c>
      <c r="BS115" s="183">
        <f>Data!BU69</f>
        <v>119119.6125</v>
      </c>
      <c r="BT115" s="183">
        <f>Data!BV69</f>
        <v>119119.6125</v>
      </c>
      <c r="BU115" s="183">
        <f>Data!BW69</f>
        <v>119119.6125</v>
      </c>
      <c r="BV115" s="183">
        <f>Data!BX69</f>
        <v>119119.6125</v>
      </c>
      <c r="BW115" s="183">
        <f>Data!BY69</f>
        <v>119119.6125</v>
      </c>
      <c r="BX115" s="183">
        <f>Data!BZ69</f>
        <v>119119.6125</v>
      </c>
      <c r="BY115" s="183">
        <f>Data!CA69</f>
        <v>119119.6125</v>
      </c>
      <c r="BZ115" s="183">
        <f>Data!CB69</f>
        <v>125075.59312500001</v>
      </c>
      <c r="CA115" s="183">
        <f>Data!CC69</f>
        <v>125075.59312500001</v>
      </c>
      <c r="CB115" s="183">
        <f>Data!CD69</f>
        <v>125075.59312500001</v>
      </c>
      <c r="CC115" s="183">
        <f>Data!CE69</f>
        <v>125075.59312500001</v>
      </c>
      <c r="CD115" s="183">
        <f>Data!CF69</f>
        <v>125075.59312500001</v>
      </c>
      <c r="CE115" s="183">
        <f>Data!CG69</f>
        <v>125075.59312500001</v>
      </c>
      <c r="CF115" s="183">
        <f>Data!CH69</f>
        <v>125075.59312500001</v>
      </c>
      <c r="CG115" s="183">
        <f>Data!CI69</f>
        <v>125075.59312500001</v>
      </c>
      <c r="CH115" s="183">
        <f>Data!CJ69</f>
        <v>125075.59312500001</v>
      </c>
      <c r="CI115" s="183">
        <f>Data!CK69</f>
        <v>125075.59312500001</v>
      </c>
      <c r="CJ115" s="183">
        <f>Data!CL69</f>
        <v>125075.59312500001</v>
      </c>
      <c r="CK115" s="183">
        <f>Data!CM69</f>
        <v>125075.59312500001</v>
      </c>
      <c r="CL115" s="183">
        <f>Data!CN69</f>
        <v>131329.37278125001</v>
      </c>
      <c r="CM115" s="183">
        <f>Data!CO69</f>
        <v>131329.37278125001</v>
      </c>
      <c r="CN115" s="183">
        <f>Data!CP69</f>
        <v>131329.37278125001</v>
      </c>
      <c r="CO115" s="183">
        <f>Data!CQ69</f>
        <v>131329.37278125001</v>
      </c>
      <c r="CP115" s="183">
        <f>Data!CR69</f>
        <v>131329.37278125001</v>
      </c>
      <c r="CQ115" s="183">
        <f>Data!CS69</f>
        <v>131329.37278125001</v>
      </c>
      <c r="CR115" s="183">
        <f>Data!CT69</f>
        <v>131329.37278125001</v>
      </c>
      <c r="CS115" s="183">
        <f>Data!CU69</f>
        <v>131329.37278125001</v>
      </c>
      <c r="CT115" s="183">
        <f>Data!CV69</f>
        <v>131329.37278125001</v>
      </c>
      <c r="CU115" s="183">
        <f>Data!CW69</f>
        <v>131329.37278125001</v>
      </c>
      <c r="CV115" s="183">
        <f>Data!CX69</f>
        <v>131329.37278125001</v>
      </c>
      <c r="CW115" s="183">
        <f>Data!CY69</f>
        <v>131329.37278125001</v>
      </c>
      <c r="CX115" s="183">
        <f>Data!CZ69</f>
        <v>137895.84142031253</v>
      </c>
      <c r="CY115" s="183">
        <f>Data!DA69</f>
        <v>137895.84142031253</v>
      </c>
      <c r="CZ115" s="183">
        <f>Data!DB69</f>
        <v>137895.84142031253</v>
      </c>
      <c r="DA115" s="183">
        <f>Data!DC69</f>
        <v>137895.84142031253</v>
      </c>
      <c r="DB115" s="183">
        <f>Data!DD69</f>
        <v>137895.84142031253</v>
      </c>
      <c r="DC115" s="183">
        <f>Data!DE69</f>
        <v>137895.84142031253</v>
      </c>
      <c r="DD115" s="183">
        <f>Data!DF69</f>
        <v>137895.84142031253</v>
      </c>
      <c r="DE115" s="183">
        <f>Data!DG69</f>
        <v>137895.84142031253</v>
      </c>
      <c r="DF115" s="183">
        <f>Data!DH69</f>
        <v>137895.84142031253</v>
      </c>
      <c r="DG115" s="183">
        <f>Data!DI69</f>
        <v>137895.84142031253</v>
      </c>
      <c r="DH115" s="183">
        <f>Data!DJ69</f>
        <v>137895.84142031253</v>
      </c>
      <c r="DI115" s="183">
        <f>Data!DK69</f>
        <v>137895.84142031253</v>
      </c>
      <c r="DJ115" s="183">
        <f>Data!DL69</f>
        <v>144790.63349132816</v>
      </c>
      <c r="DK115" s="183">
        <f>Data!DM69</f>
        <v>144790.63349132816</v>
      </c>
      <c r="DL115" s="183">
        <f>Data!DN69</f>
        <v>144790.63349132816</v>
      </c>
      <c r="DM115" s="183">
        <f>Data!DO69</f>
        <v>144790.63349132816</v>
      </c>
      <c r="DN115" s="183">
        <f>Data!DP69</f>
        <v>144790.63349132816</v>
      </c>
      <c r="DO115" s="183">
        <f>Data!DQ69</f>
        <v>144790.63349132816</v>
      </c>
      <c r="DP115" s="183">
        <f>Data!DR69</f>
        <v>144790.63349132816</v>
      </c>
      <c r="DQ115" s="183">
        <f>Data!DS69</f>
        <v>144790.63349132816</v>
      </c>
      <c r="DR115" s="183">
        <f>Data!DT69</f>
        <v>144790.63349132816</v>
      </c>
      <c r="DS115" s="183">
        <f>Data!DU69</f>
        <v>144790.63349132816</v>
      </c>
      <c r="DT115" s="183">
        <f>Data!DV69</f>
        <v>144790.63349132816</v>
      </c>
      <c r="DU115" s="437">
        <f>Data!DW69</f>
        <v>144790.63349132816</v>
      </c>
      <c r="DV115" s="183"/>
    </row>
    <row r="116" spans="2:126" x14ac:dyDescent="0.3">
      <c r="B116" s="613" t="str">
        <f>Data!D70</f>
        <v>Ops Manager</v>
      </c>
      <c r="C116" s="183"/>
      <c r="D116" s="183"/>
      <c r="E116" s="436">
        <f>Data!G70</f>
        <v>150000</v>
      </c>
      <c r="F116" s="183">
        <f>Data!H70</f>
        <v>150000</v>
      </c>
      <c r="G116" s="183">
        <f>Data!I70</f>
        <v>150000</v>
      </c>
      <c r="H116" s="183">
        <f>Data!J70</f>
        <v>150000</v>
      </c>
      <c r="I116" s="183">
        <f>Data!K70</f>
        <v>150000</v>
      </c>
      <c r="J116" s="183">
        <f>Data!L70</f>
        <v>150000</v>
      </c>
      <c r="K116" s="183">
        <f>Data!M70</f>
        <v>150000</v>
      </c>
      <c r="L116" s="183">
        <f>Data!N70</f>
        <v>150000</v>
      </c>
      <c r="M116" s="183">
        <f>Data!O70</f>
        <v>150000</v>
      </c>
      <c r="N116" s="183">
        <f>Data!P70</f>
        <v>150000</v>
      </c>
      <c r="O116" s="183">
        <f>Data!Q70</f>
        <v>150000</v>
      </c>
      <c r="P116" s="183">
        <f>Data!R70</f>
        <v>150000</v>
      </c>
      <c r="Q116" s="183">
        <f>Data!S70</f>
        <v>150000</v>
      </c>
      <c r="R116" s="280">
        <f>Data!T70</f>
        <v>157500</v>
      </c>
      <c r="S116" s="183">
        <f>Data!U70</f>
        <v>157500</v>
      </c>
      <c r="T116" s="183">
        <f>Data!V70</f>
        <v>157500</v>
      </c>
      <c r="U116" s="183">
        <f>Data!W70</f>
        <v>157500</v>
      </c>
      <c r="V116" s="183">
        <f>Data!X70</f>
        <v>157500</v>
      </c>
      <c r="W116" s="183">
        <f>Data!Y70</f>
        <v>157500</v>
      </c>
      <c r="X116" s="183">
        <f>Data!Z70</f>
        <v>157500</v>
      </c>
      <c r="Y116" s="183">
        <f>Data!AA70</f>
        <v>157500</v>
      </c>
      <c r="Z116" s="183">
        <f>Data!AB70</f>
        <v>157500</v>
      </c>
      <c r="AA116" s="183">
        <f>Data!AC70</f>
        <v>157500</v>
      </c>
      <c r="AB116" s="183">
        <f>Data!AD70</f>
        <v>157500</v>
      </c>
      <c r="AC116" s="183">
        <f>Data!AE70</f>
        <v>157500</v>
      </c>
      <c r="AD116" s="280">
        <f>Data!AF70</f>
        <v>165375</v>
      </c>
      <c r="AE116" s="183">
        <f>Data!AG70</f>
        <v>165375</v>
      </c>
      <c r="AF116" s="183">
        <f>Data!AH70</f>
        <v>165375</v>
      </c>
      <c r="AG116" s="183">
        <f>Data!AI70</f>
        <v>165375</v>
      </c>
      <c r="AH116" s="183">
        <f>Data!AJ70</f>
        <v>165375</v>
      </c>
      <c r="AI116" s="183">
        <f>Data!AK70</f>
        <v>165375</v>
      </c>
      <c r="AJ116" s="183">
        <f>Data!AL70</f>
        <v>165375</v>
      </c>
      <c r="AK116" s="183">
        <f>Data!AM70</f>
        <v>165375</v>
      </c>
      <c r="AL116" s="183">
        <f>Data!AN70</f>
        <v>165375</v>
      </c>
      <c r="AM116" s="183">
        <f>Data!AO70</f>
        <v>165375</v>
      </c>
      <c r="AN116" s="183">
        <f>Data!AP70</f>
        <v>165375</v>
      </c>
      <c r="AO116" s="183">
        <f>Data!AQ70</f>
        <v>165375</v>
      </c>
      <c r="AP116" s="280">
        <f>Data!AR70</f>
        <v>173643.75</v>
      </c>
      <c r="AQ116" s="183">
        <f>Data!AS70</f>
        <v>173643.75</v>
      </c>
      <c r="AR116" s="183">
        <f>Data!AT70</f>
        <v>173643.75</v>
      </c>
      <c r="AS116" s="183">
        <f>Data!AU70</f>
        <v>173643.75</v>
      </c>
      <c r="AT116" s="183">
        <f>Data!AV70</f>
        <v>173643.75</v>
      </c>
      <c r="AU116" s="183">
        <f>Data!AW70</f>
        <v>173643.75</v>
      </c>
      <c r="AV116" s="183">
        <f>Data!AX70</f>
        <v>173643.75</v>
      </c>
      <c r="AW116" s="183">
        <f>Data!AY70</f>
        <v>173643.75</v>
      </c>
      <c r="AX116" s="183">
        <f>Data!AZ70</f>
        <v>173643.75</v>
      </c>
      <c r="AY116" s="183">
        <f>Data!BA70</f>
        <v>173643.75</v>
      </c>
      <c r="AZ116" s="183">
        <f>Data!BB70</f>
        <v>173643.75</v>
      </c>
      <c r="BA116" s="183">
        <f>Data!BC70</f>
        <v>173643.75</v>
      </c>
      <c r="BB116" s="280">
        <f>Data!BD70</f>
        <v>182325.9375</v>
      </c>
      <c r="BC116" s="183">
        <f>Data!BE70</f>
        <v>182325.9375</v>
      </c>
      <c r="BD116" s="183">
        <f>Data!BF70</f>
        <v>182325.9375</v>
      </c>
      <c r="BE116" s="183">
        <f>Data!BG70</f>
        <v>182325.9375</v>
      </c>
      <c r="BF116" s="183">
        <f>Data!BH70</f>
        <v>182325.9375</v>
      </c>
      <c r="BG116" s="183">
        <f>Data!BI70</f>
        <v>182325.9375</v>
      </c>
      <c r="BH116" s="183">
        <f>Data!BJ70</f>
        <v>182325.9375</v>
      </c>
      <c r="BI116" s="183">
        <f>Data!BK70</f>
        <v>182325.9375</v>
      </c>
      <c r="BJ116" s="183">
        <f>Data!BL70</f>
        <v>182325.9375</v>
      </c>
      <c r="BK116" s="183">
        <f>Data!BM70</f>
        <v>182325.9375</v>
      </c>
      <c r="BL116" s="183">
        <f>Data!BN70</f>
        <v>182325.9375</v>
      </c>
      <c r="BM116" s="183">
        <f>Data!BO70</f>
        <v>182325.9375</v>
      </c>
      <c r="BN116" s="183">
        <f>Data!BP70</f>
        <v>191442.234375</v>
      </c>
      <c r="BO116" s="183">
        <f>Data!BQ70</f>
        <v>191442.234375</v>
      </c>
      <c r="BP116" s="183">
        <f>Data!BR70</f>
        <v>191442.234375</v>
      </c>
      <c r="BQ116" s="183">
        <f>Data!BS70</f>
        <v>191442.234375</v>
      </c>
      <c r="BR116" s="183">
        <f>Data!BT70</f>
        <v>191442.234375</v>
      </c>
      <c r="BS116" s="183">
        <f>Data!BU70</f>
        <v>191442.234375</v>
      </c>
      <c r="BT116" s="183">
        <f>Data!BV70</f>
        <v>191442.234375</v>
      </c>
      <c r="BU116" s="183">
        <f>Data!BW70</f>
        <v>191442.234375</v>
      </c>
      <c r="BV116" s="183">
        <f>Data!BX70</f>
        <v>191442.234375</v>
      </c>
      <c r="BW116" s="183">
        <f>Data!BY70</f>
        <v>191442.234375</v>
      </c>
      <c r="BX116" s="183">
        <f>Data!BZ70</f>
        <v>191442.234375</v>
      </c>
      <c r="BY116" s="183">
        <f>Data!CA70</f>
        <v>191442.234375</v>
      </c>
      <c r="BZ116" s="183">
        <f>Data!CB70</f>
        <v>201014.34609375001</v>
      </c>
      <c r="CA116" s="183">
        <f>Data!CC70</f>
        <v>201014.34609375001</v>
      </c>
      <c r="CB116" s="183">
        <f>Data!CD70</f>
        <v>201014.34609375001</v>
      </c>
      <c r="CC116" s="183">
        <f>Data!CE70</f>
        <v>201014.34609375001</v>
      </c>
      <c r="CD116" s="183">
        <f>Data!CF70</f>
        <v>201014.34609375001</v>
      </c>
      <c r="CE116" s="183">
        <f>Data!CG70</f>
        <v>201014.34609375001</v>
      </c>
      <c r="CF116" s="183">
        <f>Data!CH70</f>
        <v>201014.34609375001</v>
      </c>
      <c r="CG116" s="183">
        <f>Data!CI70</f>
        <v>201014.34609375001</v>
      </c>
      <c r="CH116" s="183">
        <f>Data!CJ70</f>
        <v>201014.34609375001</v>
      </c>
      <c r="CI116" s="183">
        <f>Data!CK70</f>
        <v>201014.34609375001</v>
      </c>
      <c r="CJ116" s="183">
        <f>Data!CL70</f>
        <v>201014.34609375001</v>
      </c>
      <c r="CK116" s="183">
        <f>Data!CM70</f>
        <v>201014.34609375001</v>
      </c>
      <c r="CL116" s="183">
        <f>Data!CN70</f>
        <v>211065.06339843752</v>
      </c>
      <c r="CM116" s="183">
        <f>Data!CO70</f>
        <v>211065.06339843752</v>
      </c>
      <c r="CN116" s="183">
        <f>Data!CP70</f>
        <v>211065.06339843752</v>
      </c>
      <c r="CO116" s="183">
        <f>Data!CQ70</f>
        <v>211065.06339843752</v>
      </c>
      <c r="CP116" s="183">
        <f>Data!CR70</f>
        <v>211065.06339843752</v>
      </c>
      <c r="CQ116" s="183">
        <f>Data!CS70</f>
        <v>211065.06339843752</v>
      </c>
      <c r="CR116" s="183">
        <f>Data!CT70</f>
        <v>211065.06339843752</v>
      </c>
      <c r="CS116" s="183">
        <f>Data!CU70</f>
        <v>211065.06339843752</v>
      </c>
      <c r="CT116" s="183">
        <f>Data!CV70</f>
        <v>211065.06339843752</v>
      </c>
      <c r="CU116" s="183">
        <f>Data!CW70</f>
        <v>211065.06339843752</v>
      </c>
      <c r="CV116" s="183">
        <f>Data!CX70</f>
        <v>211065.06339843752</v>
      </c>
      <c r="CW116" s="183">
        <f>Data!CY70</f>
        <v>211065.06339843752</v>
      </c>
      <c r="CX116" s="183">
        <f>Data!CZ70</f>
        <v>221618.31656835941</v>
      </c>
      <c r="CY116" s="183">
        <f>Data!DA70</f>
        <v>221618.31656835941</v>
      </c>
      <c r="CZ116" s="183">
        <f>Data!DB70</f>
        <v>221618.31656835941</v>
      </c>
      <c r="DA116" s="183">
        <f>Data!DC70</f>
        <v>221618.31656835941</v>
      </c>
      <c r="DB116" s="183">
        <f>Data!DD70</f>
        <v>221618.31656835941</v>
      </c>
      <c r="DC116" s="183">
        <f>Data!DE70</f>
        <v>221618.31656835941</v>
      </c>
      <c r="DD116" s="183">
        <f>Data!DF70</f>
        <v>221618.31656835941</v>
      </c>
      <c r="DE116" s="183">
        <f>Data!DG70</f>
        <v>221618.31656835941</v>
      </c>
      <c r="DF116" s="183">
        <f>Data!DH70</f>
        <v>221618.31656835941</v>
      </c>
      <c r="DG116" s="183">
        <f>Data!DI70</f>
        <v>221618.31656835941</v>
      </c>
      <c r="DH116" s="183">
        <f>Data!DJ70</f>
        <v>221618.31656835941</v>
      </c>
      <c r="DI116" s="183">
        <f>Data!DK70</f>
        <v>221618.31656835941</v>
      </c>
      <c r="DJ116" s="183">
        <f>Data!DL70</f>
        <v>232699.2323967774</v>
      </c>
      <c r="DK116" s="183">
        <f>Data!DM70</f>
        <v>232699.2323967774</v>
      </c>
      <c r="DL116" s="183">
        <f>Data!DN70</f>
        <v>232699.2323967774</v>
      </c>
      <c r="DM116" s="183">
        <f>Data!DO70</f>
        <v>232699.2323967774</v>
      </c>
      <c r="DN116" s="183">
        <f>Data!DP70</f>
        <v>232699.2323967774</v>
      </c>
      <c r="DO116" s="183">
        <f>Data!DQ70</f>
        <v>232699.2323967774</v>
      </c>
      <c r="DP116" s="183">
        <f>Data!DR70</f>
        <v>232699.2323967774</v>
      </c>
      <c r="DQ116" s="183">
        <f>Data!DS70</f>
        <v>232699.2323967774</v>
      </c>
      <c r="DR116" s="183">
        <f>Data!DT70</f>
        <v>232699.2323967774</v>
      </c>
      <c r="DS116" s="183">
        <f>Data!DU70</f>
        <v>232699.2323967774</v>
      </c>
      <c r="DT116" s="183">
        <f>Data!DV70</f>
        <v>232699.2323967774</v>
      </c>
      <c r="DU116" s="437">
        <f>Data!DW70</f>
        <v>232699.2323967774</v>
      </c>
      <c r="DV116" s="183"/>
    </row>
    <row r="117" spans="2:126" x14ac:dyDescent="0.3">
      <c r="B117" s="613" t="str">
        <f>Data!D71</f>
        <v>Sr Manager</v>
      </c>
      <c r="C117" s="183"/>
      <c r="D117" s="183"/>
      <c r="E117" s="436">
        <f>Data!G71</f>
        <v>250000</v>
      </c>
      <c r="F117" s="183">
        <f>Data!H71</f>
        <v>250000</v>
      </c>
      <c r="G117" s="183">
        <f>Data!I71</f>
        <v>250000</v>
      </c>
      <c r="H117" s="183">
        <f>Data!J71</f>
        <v>250000</v>
      </c>
      <c r="I117" s="183">
        <f>Data!K71</f>
        <v>250000</v>
      </c>
      <c r="J117" s="183">
        <f>Data!L71</f>
        <v>250000</v>
      </c>
      <c r="K117" s="183">
        <f>Data!M71</f>
        <v>250000</v>
      </c>
      <c r="L117" s="183">
        <f>Data!N71</f>
        <v>250000</v>
      </c>
      <c r="M117" s="183">
        <f>Data!O71</f>
        <v>250000</v>
      </c>
      <c r="N117" s="183">
        <f>Data!P71</f>
        <v>250000</v>
      </c>
      <c r="O117" s="183">
        <f>Data!Q71</f>
        <v>250000</v>
      </c>
      <c r="P117" s="183">
        <f>Data!R71</f>
        <v>250000</v>
      </c>
      <c r="Q117" s="183">
        <f>Data!S71</f>
        <v>250000</v>
      </c>
      <c r="R117" s="280">
        <f>Data!T71</f>
        <v>262500</v>
      </c>
      <c r="S117" s="183">
        <f>Data!U71</f>
        <v>262500</v>
      </c>
      <c r="T117" s="183">
        <f>Data!V71</f>
        <v>262500</v>
      </c>
      <c r="U117" s="183">
        <f>Data!W71</f>
        <v>262500</v>
      </c>
      <c r="V117" s="183">
        <f>Data!X71</f>
        <v>262500</v>
      </c>
      <c r="W117" s="183">
        <f>Data!Y71</f>
        <v>262500</v>
      </c>
      <c r="X117" s="183">
        <f>Data!Z71</f>
        <v>262500</v>
      </c>
      <c r="Y117" s="183">
        <f>Data!AA71</f>
        <v>262500</v>
      </c>
      <c r="Z117" s="183">
        <f>Data!AB71</f>
        <v>262500</v>
      </c>
      <c r="AA117" s="183">
        <f>Data!AC71</f>
        <v>262500</v>
      </c>
      <c r="AB117" s="183">
        <f>Data!AD71</f>
        <v>262500</v>
      </c>
      <c r="AC117" s="183">
        <f>Data!AE71</f>
        <v>262500</v>
      </c>
      <c r="AD117" s="280">
        <f>Data!AF71</f>
        <v>275625</v>
      </c>
      <c r="AE117" s="183">
        <f>Data!AG71</f>
        <v>275625</v>
      </c>
      <c r="AF117" s="183">
        <f>Data!AH71</f>
        <v>275625</v>
      </c>
      <c r="AG117" s="183">
        <f>Data!AI71</f>
        <v>275625</v>
      </c>
      <c r="AH117" s="183">
        <f>Data!AJ71</f>
        <v>275625</v>
      </c>
      <c r="AI117" s="183">
        <f>Data!AK71</f>
        <v>275625</v>
      </c>
      <c r="AJ117" s="183">
        <f>Data!AL71</f>
        <v>275625</v>
      </c>
      <c r="AK117" s="183">
        <f>Data!AM71</f>
        <v>275625</v>
      </c>
      <c r="AL117" s="183">
        <f>Data!AN71</f>
        <v>275625</v>
      </c>
      <c r="AM117" s="183">
        <f>Data!AO71</f>
        <v>275625</v>
      </c>
      <c r="AN117" s="183">
        <f>Data!AP71</f>
        <v>275625</v>
      </c>
      <c r="AO117" s="183">
        <f>Data!AQ71</f>
        <v>275625</v>
      </c>
      <c r="AP117" s="280">
        <f>Data!AR71</f>
        <v>289406.25</v>
      </c>
      <c r="AQ117" s="183">
        <f>Data!AS71</f>
        <v>289406.25</v>
      </c>
      <c r="AR117" s="183">
        <f>Data!AT71</f>
        <v>289406.25</v>
      </c>
      <c r="AS117" s="183">
        <f>Data!AU71</f>
        <v>289406.25</v>
      </c>
      <c r="AT117" s="183">
        <f>Data!AV71</f>
        <v>289406.25</v>
      </c>
      <c r="AU117" s="183">
        <f>Data!AW71</f>
        <v>289406.25</v>
      </c>
      <c r="AV117" s="183">
        <f>Data!AX71</f>
        <v>289406.25</v>
      </c>
      <c r="AW117" s="183">
        <f>Data!AY71</f>
        <v>289406.25</v>
      </c>
      <c r="AX117" s="183">
        <f>Data!AZ71</f>
        <v>289406.25</v>
      </c>
      <c r="AY117" s="183">
        <f>Data!BA71</f>
        <v>289406.25</v>
      </c>
      <c r="AZ117" s="183">
        <f>Data!BB71</f>
        <v>289406.25</v>
      </c>
      <c r="BA117" s="183">
        <f>Data!BC71</f>
        <v>289406.25</v>
      </c>
      <c r="BB117" s="280">
        <f>Data!BD71</f>
        <v>303876.5625</v>
      </c>
      <c r="BC117" s="183">
        <f>Data!BE71</f>
        <v>303876.5625</v>
      </c>
      <c r="BD117" s="183">
        <f>Data!BF71</f>
        <v>303876.5625</v>
      </c>
      <c r="BE117" s="183">
        <f>Data!BG71</f>
        <v>303876.5625</v>
      </c>
      <c r="BF117" s="183">
        <f>Data!BH71</f>
        <v>303876.5625</v>
      </c>
      <c r="BG117" s="183">
        <f>Data!BI71</f>
        <v>303876.5625</v>
      </c>
      <c r="BH117" s="183">
        <f>Data!BJ71</f>
        <v>303876.5625</v>
      </c>
      <c r="BI117" s="183">
        <f>Data!BK71</f>
        <v>303876.5625</v>
      </c>
      <c r="BJ117" s="183">
        <f>Data!BL71</f>
        <v>303876.5625</v>
      </c>
      <c r="BK117" s="183">
        <f>Data!BM71</f>
        <v>303876.5625</v>
      </c>
      <c r="BL117" s="183">
        <f>Data!BN71</f>
        <v>303876.5625</v>
      </c>
      <c r="BM117" s="183">
        <f>Data!BO71</f>
        <v>303876.5625</v>
      </c>
      <c r="BN117" s="183">
        <f>Data!BP71</f>
        <v>319070.390625</v>
      </c>
      <c r="BO117" s="183">
        <f>Data!BQ71</f>
        <v>319070.390625</v>
      </c>
      <c r="BP117" s="183">
        <f>Data!BR71</f>
        <v>319070.390625</v>
      </c>
      <c r="BQ117" s="183">
        <f>Data!BS71</f>
        <v>319070.390625</v>
      </c>
      <c r="BR117" s="183">
        <f>Data!BT71</f>
        <v>319070.390625</v>
      </c>
      <c r="BS117" s="183">
        <f>Data!BU71</f>
        <v>319070.390625</v>
      </c>
      <c r="BT117" s="183">
        <f>Data!BV71</f>
        <v>319070.390625</v>
      </c>
      <c r="BU117" s="183">
        <f>Data!BW71</f>
        <v>319070.390625</v>
      </c>
      <c r="BV117" s="183">
        <f>Data!BX71</f>
        <v>319070.390625</v>
      </c>
      <c r="BW117" s="183">
        <f>Data!BY71</f>
        <v>319070.390625</v>
      </c>
      <c r="BX117" s="183">
        <f>Data!BZ71</f>
        <v>319070.390625</v>
      </c>
      <c r="BY117" s="183">
        <f>Data!CA71</f>
        <v>319070.390625</v>
      </c>
      <c r="BZ117" s="183">
        <f>Data!CB71</f>
        <v>335023.91015625</v>
      </c>
      <c r="CA117" s="183">
        <f>Data!CC71</f>
        <v>335023.91015625</v>
      </c>
      <c r="CB117" s="183">
        <f>Data!CD71</f>
        <v>335023.91015625</v>
      </c>
      <c r="CC117" s="183">
        <f>Data!CE71</f>
        <v>335023.91015625</v>
      </c>
      <c r="CD117" s="183">
        <f>Data!CF71</f>
        <v>335023.91015625</v>
      </c>
      <c r="CE117" s="183">
        <f>Data!CG71</f>
        <v>335023.91015625</v>
      </c>
      <c r="CF117" s="183">
        <f>Data!CH71</f>
        <v>335023.91015625</v>
      </c>
      <c r="CG117" s="183">
        <f>Data!CI71</f>
        <v>335023.91015625</v>
      </c>
      <c r="CH117" s="183">
        <f>Data!CJ71</f>
        <v>335023.91015625</v>
      </c>
      <c r="CI117" s="183">
        <f>Data!CK71</f>
        <v>335023.91015625</v>
      </c>
      <c r="CJ117" s="183">
        <f>Data!CL71</f>
        <v>335023.91015625</v>
      </c>
      <c r="CK117" s="183">
        <f>Data!CM71</f>
        <v>335023.91015625</v>
      </c>
      <c r="CL117" s="183">
        <f>Data!CN71</f>
        <v>351775.10566406249</v>
      </c>
      <c r="CM117" s="183">
        <f>Data!CO71</f>
        <v>351775.10566406249</v>
      </c>
      <c r="CN117" s="183">
        <f>Data!CP71</f>
        <v>351775.10566406249</v>
      </c>
      <c r="CO117" s="183">
        <f>Data!CQ71</f>
        <v>351775.10566406249</v>
      </c>
      <c r="CP117" s="183">
        <f>Data!CR71</f>
        <v>351775.10566406249</v>
      </c>
      <c r="CQ117" s="183">
        <f>Data!CS71</f>
        <v>351775.10566406249</v>
      </c>
      <c r="CR117" s="183">
        <f>Data!CT71</f>
        <v>351775.10566406249</v>
      </c>
      <c r="CS117" s="183">
        <f>Data!CU71</f>
        <v>351775.10566406249</v>
      </c>
      <c r="CT117" s="183">
        <f>Data!CV71</f>
        <v>351775.10566406249</v>
      </c>
      <c r="CU117" s="183">
        <f>Data!CW71</f>
        <v>351775.10566406249</v>
      </c>
      <c r="CV117" s="183">
        <f>Data!CX71</f>
        <v>351775.10566406249</v>
      </c>
      <c r="CW117" s="183">
        <f>Data!CY71</f>
        <v>351775.10566406249</v>
      </c>
      <c r="CX117" s="183">
        <f>Data!CZ71</f>
        <v>369363.86094726564</v>
      </c>
      <c r="CY117" s="183">
        <f>Data!DA71</f>
        <v>369363.86094726564</v>
      </c>
      <c r="CZ117" s="183">
        <f>Data!DB71</f>
        <v>369363.86094726564</v>
      </c>
      <c r="DA117" s="183">
        <f>Data!DC71</f>
        <v>369363.86094726564</v>
      </c>
      <c r="DB117" s="183">
        <f>Data!DD71</f>
        <v>369363.86094726564</v>
      </c>
      <c r="DC117" s="183">
        <f>Data!DE71</f>
        <v>369363.86094726564</v>
      </c>
      <c r="DD117" s="183">
        <f>Data!DF71</f>
        <v>369363.86094726564</v>
      </c>
      <c r="DE117" s="183">
        <f>Data!DG71</f>
        <v>369363.86094726564</v>
      </c>
      <c r="DF117" s="183">
        <f>Data!DH71</f>
        <v>369363.86094726564</v>
      </c>
      <c r="DG117" s="183">
        <f>Data!DI71</f>
        <v>369363.86094726564</v>
      </c>
      <c r="DH117" s="183">
        <f>Data!DJ71</f>
        <v>369363.86094726564</v>
      </c>
      <c r="DI117" s="183">
        <f>Data!DK71</f>
        <v>369363.86094726564</v>
      </c>
      <c r="DJ117" s="183">
        <f>Data!DL71</f>
        <v>387832.05399462895</v>
      </c>
      <c r="DK117" s="183">
        <f>Data!DM71</f>
        <v>387832.05399462895</v>
      </c>
      <c r="DL117" s="183">
        <f>Data!DN71</f>
        <v>387832.05399462895</v>
      </c>
      <c r="DM117" s="183">
        <f>Data!DO71</f>
        <v>387832.05399462895</v>
      </c>
      <c r="DN117" s="183">
        <f>Data!DP71</f>
        <v>387832.05399462895</v>
      </c>
      <c r="DO117" s="183">
        <f>Data!DQ71</f>
        <v>387832.05399462895</v>
      </c>
      <c r="DP117" s="183">
        <f>Data!DR71</f>
        <v>387832.05399462895</v>
      </c>
      <c r="DQ117" s="183">
        <f>Data!DS71</f>
        <v>387832.05399462895</v>
      </c>
      <c r="DR117" s="183">
        <f>Data!DT71</f>
        <v>387832.05399462895</v>
      </c>
      <c r="DS117" s="183">
        <f>Data!DU71</f>
        <v>387832.05399462895</v>
      </c>
      <c r="DT117" s="183">
        <f>Data!DV71</f>
        <v>387832.05399462895</v>
      </c>
      <c r="DU117" s="437">
        <f>Data!DW71</f>
        <v>387832.05399462895</v>
      </c>
      <c r="DV117" s="183"/>
    </row>
    <row r="118" spans="2:126" x14ac:dyDescent="0.3">
      <c r="B118" s="613" t="str">
        <f>Data!D72</f>
        <v>DGM / AD</v>
      </c>
      <c r="C118" s="183"/>
      <c r="D118" s="183"/>
      <c r="E118" s="436">
        <f>Data!G72</f>
        <v>282916.66666666669</v>
      </c>
      <c r="F118" s="183">
        <f>Data!H72</f>
        <v>282916.66666666669</v>
      </c>
      <c r="G118" s="183">
        <f>Data!I72</f>
        <v>282916.66666666669</v>
      </c>
      <c r="H118" s="183">
        <f>Data!J72</f>
        <v>282916.66666666669</v>
      </c>
      <c r="I118" s="183">
        <f>Data!K72</f>
        <v>282916.66666666669</v>
      </c>
      <c r="J118" s="183">
        <f>Data!L72</f>
        <v>282916.66666666669</v>
      </c>
      <c r="K118" s="183">
        <f>Data!M72</f>
        <v>282916.66666666669</v>
      </c>
      <c r="L118" s="183">
        <f>Data!N72</f>
        <v>282916.66666666669</v>
      </c>
      <c r="M118" s="183">
        <f>Data!O72</f>
        <v>282916.66666666669</v>
      </c>
      <c r="N118" s="183">
        <f>Data!P72</f>
        <v>282916.66666666669</v>
      </c>
      <c r="O118" s="183">
        <f>Data!Q72</f>
        <v>282916.66666666669</v>
      </c>
      <c r="P118" s="183">
        <f>Data!R72</f>
        <v>282916.66666666669</v>
      </c>
      <c r="Q118" s="183">
        <f>Data!S72</f>
        <v>282916.66666666669</v>
      </c>
      <c r="R118" s="280">
        <f>Data!T72</f>
        <v>297062.50000000006</v>
      </c>
      <c r="S118" s="183">
        <f>Data!U72</f>
        <v>297062.50000000006</v>
      </c>
      <c r="T118" s="183">
        <f>Data!V72</f>
        <v>297062.50000000006</v>
      </c>
      <c r="U118" s="183">
        <f>Data!W72</f>
        <v>297062.50000000006</v>
      </c>
      <c r="V118" s="183">
        <f>Data!X72</f>
        <v>297062.50000000006</v>
      </c>
      <c r="W118" s="183">
        <f>Data!Y72</f>
        <v>297062.50000000006</v>
      </c>
      <c r="X118" s="183">
        <f>Data!Z72</f>
        <v>297062.50000000006</v>
      </c>
      <c r="Y118" s="183">
        <f>Data!AA72</f>
        <v>297062.50000000006</v>
      </c>
      <c r="Z118" s="183">
        <f>Data!AB72</f>
        <v>297062.50000000006</v>
      </c>
      <c r="AA118" s="183">
        <f>Data!AC72</f>
        <v>297062.50000000006</v>
      </c>
      <c r="AB118" s="183">
        <f>Data!AD72</f>
        <v>297062.50000000006</v>
      </c>
      <c r="AC118" s="183">
        <f>Data!AE72</f>
        <v>297062.50000000006</v>
      </c>
      <c r="AD118" s="280">
        <f>Data!AF72</f>
        <v>311915.62500000006</v>
      </c>
      <c r="AE118" s="183">
        <f>Data!AG72</f>
        <v>311915.62500000006</v>
      </c>
      <c r="AF118" s="183">
        <f>Data!AH72</f>
        <v>311915.62500000006</v>
      </c>
      <c r="AG118" s="183">
        <f>Data!AI72</f>
        <v>311915.62500000006</v>
      </c>
      <c r="AH118" s="183">
        <f>Data!AJ72</f>
        <v>311915.62500000006</v>
      </c>
      <c r="AI118" s="183">
        <f>Data!AK72</f>
        <v>311915.62500000006</v>
      </c>
      <c r="AJ118" s="183">
        <f>Data!AL72</f>
        <v>311915.62500000006</v>
      </c>
      <c r="AK118" s="183">
        <f>Data!AM72</f>
        <v>311915.62500000006</v>
      </c>
      <c r="AL118" s="183">
        <f>Data!AN72</f>
        <v>311915.62500000006</v>
      </c>
      <c r="AM118" s="183">
        <f>Data!AO72</f>
        <v>311915.62500000006</v>
      </c>
      <c r="AN118" s="183">
        <f>Data!AP72</f>
        <v>311915.62500000006</v>
      </c>
      <c r="AO118" s="183">
        <f>Data!AQ72</f>
        <v>311915.62500000006</v>
      </c>
      <c r="AP118" s="280">
        <f>Data!AR72</f>
        <v>327511.40625000006</v>
      </c>
      <c r="AQ118" s="183">
        <f>Data!AS72</f>
        <v>327511.40625000006</v>
      </c>
      <c r="AR118" s="183">
        <f>Data!AT72</f>
        <v>327511.40625000006</v>
      </c>
      <c r="AS118" s="183">
        <f>Data!AU72</f>
        <v>327511.40625000006</v>
      </c>
      <c r="AT118" s="183">
        <f>Data!AV72</f>
        <v>327511.40625000006</v>
      </c>
      <c r="AU118" s="183">
        <f>Data!AW72</f>
        <v>327511.40625000006</v>
      </c>
      <c r="AV118" s="183">
        <f>Data!AX72</f>
        <v>327511.40625000006</v>
      </c>
      <c r="AW118" s="183">
        <f>Data!AY72</f>
        <v>327511.40625000006</v>
      </c>
      <c r="AX118" s="183">
        <f>Data!AZ72</f>
        <v>327511.40625000006</v>
      </c>
      <c r="AY118" s="183">
        <f>Data!BA72</f>
        <v>327511.40625000006</v>
      </c>
      <c r="AZ118" s="183">
        <f>Data!BB72</f>
        <v>327511.40625000006</v>
      </c>
      <c r="BA118" s="183">
        <f>Data!BC72</f>
        <v>327511.40625000006</v>
      </c>
      <c r="BB118" s="280">
        <f>Data!BD72</f>
        <v>343886.97656250006</v>
      </c>
      <c r="BC118" s="183">
        <f>Data!BE72</f>
        <v>343886.97656250006</v>
      </c>
      <c r="BD118" s="183">
        <f>Data!BF72</f>
        <v>343886.97656250006</v>
      </c>
      <c r="BE118" s="183">
        <f>Data!BG72</f>
        <v>343886.97656250006</v>
      </c>
      <c r="BF118" s="183">
        <f>Data!BH72</f>
        <v>343886.97656250006</v>
      </c>
      <c r="BG118" s="183">
        <f>Data!BI72</f>
        <v>343886.97656250006</v>
      </c>
      <c r="BH118" s="183">
        <f>Data!BJ72</f>
        <v>343886.97656250006</v>
      </c>
      <c r="BI118" s="183">
        <f>Data!BK72</f>
        <v>343886.97656250006</v>
      </c>
      <c r="BJ118" s="183">
        <f>Data!BL72</f>
        <v>343886.97656250006</v>
      </c>
      <c r="BK118" s="183">
        <f>Data!BM72</f>
        <v>343886.97656250006</v>
      </c>
      <c r="BL118" s="183">
        <f>Data!BN72</f>
        <v>343886.97656250006</v>
      </c>
      <c r="BM118" s="183">
        <f>Data!BO72</f>
        <v>343886.97656250006</v>
      </c>
      <c r="BN118" s="183">
        <f>Data!BP72</f>
        <v>361081.3253906251</v>
      </c>
      <c r="BO118" s="183">
        <f>Data!BQ72</f>
        <v>361081.3253906251</v>
      </c>
      <c r="BP118" s="183">
        <f>Data!BR72</f>
        <v>361081.3253906251</v>
      </c>
      <c r="BQ118" s="183">
        <f>Data!BS72</f>
        <v>361081.3253906251</v>
      </c>
      <c r="BR118" s="183">
        <f>Data!BT72</f>
        <v>361081.3253906251</v>
      </c>
      <c r="BS118" s="183">
        <f>Data!BU72</f>
        <v>361081.3253906251</v>
      </c>
      <c r="BT118" s="183">
        <f>Data!BV72</f>
        <v>361081.3253906251</v>
      </c>
      <c r="BU118" s="183">
        <f>Data!BW72</f>
        <v>361081.3253906251</v>
      </c>
      <c r="BV118" s="183">
        <f>Data!BX72</f>
        <v>361081.3253906251</v>
      </c>
      <c r="BW118" s="183">
        <f>Data!BY72</f>
        <v>361081.3253906251</v>
      </c>
      <c r="BX118" s="183">
        <f>Data!BZ72</f>
        <v>361081.3253906251</v>
      </c>
      <c r="BY118" s="183">
        <f>Data!CA72</f>
        <v>361081.3253906251</v>
      </c>
      <c r="BZ118" s="183">
        <f>Data!CB72</f>
        <v>379135.39166015637</v>
      </c>
      <c r="CA118" s="183">
        <f>Data!CC72</f>
        <v>379135.39166015637</v>
      </c>
      <c r="CB118" s="183">
        <f>Data!CD72</f>
        <v>379135.39166015637</v>
      </c>
      <c r="CC118" s="183">
        <f>Data!CE72</f>
        <v>379135.39166015637</v>
      </c>
      <c r="CD118" s="183">
        <f>Data!CF72</f>
        <v>379135.39166015637</v>
      </c>
      <c r="CE118" s="183">
        <f>Data!CG72</f>
        <v>379135.39166015637</v>
      </c>
      <c r="CF118" s="183">
        <f>Data!CH72</f>
        <v>379135.39166015637</v>
      </c>
      <c r="CG118" s="183">
        <f>Data!CI72</f>
        <v>379135.39166015637</v>
      </c>
      <c r="CH118" s="183">
        <f>Data!CJ72</f>
        <v>379135.39166015637</v>
      </c>
      <c r="CI118" s="183">
        <f>Data!CK72</f>
        <v>379135.39166015637</v>
      </c>
      <c r="CJ118" s="183">
        <f>Data!CL72</f>
        <v>379135.39166015637</v>
      </c>
      <c r="CK118" s="183">
        <f>Data!CM72</f>
        <v>379135.39166015637</v>
      </c>
      <c r="CL118" s="183">
        <f>Data!CN72</f>
        <v>398092.16124316421</v>
      </c>
      <c r="CM118" s="183">
        <f>Data!CO72</f>
        <v>398092.16124316421</v>
      </c>
      <c r="CN118" s="183">
        <f>Data!CP72</f>
        <v>398092.16124316421</v>
      </c>
      <c r="CO118" s="183">
        <f>Data!CQ72</f>
        <v>398092.16124316421</v>
      </c>
      <c r="CP118" s="183">
        <f>Data!CR72</f>
        <v>398092.16124316421</v>
      </c>
      <c r="CQ118" s="183">
        <f>Data!CS72</f>
        <v>398092.16124316421</v>
      </c>
      <c r="CR118" s="183">
        <f>Data!CT72</f>
        <v>398092.16124316421</v>
      </c>
      <c r="CS118" s="183">
        <f>Data!CU72</f>
        <v>398092.16124316421</v>
      </c>
      <c r="CT118" s="183">
        <f>Data!CV72</f>
        <v>398092.16124316421</v>
      </c>
      <c r="CU118" s="183">
        <f>Data!CW72</f>
        <v>398092.16124316421</v>
      </c>
      <c r="CV118" s="183">
        <f>Data!CX72</f>
        <v>398092.16124316421</v>
      </c>
      <c r="CW118" s="183">
        <f>Data!CY72</f>
        <v>398092.16124316421</v>
      </c>
      <c r="CX118" s="183">
        <f>Data!CZ72</f>
        <v>417996.76930532244</v>
      </c>
      <c r="CY118" s="183">
        <f>Data!DA72</f>
        <v>417996.76930532244</v>
      </c>
      <c r="CZ118" s="183">
        <f>Data!DB72</f>
        <v>417996.76930532244</v>
      </c>
      <c r="DA118" s="183">
        <f>Data!DC72</f>
        <v>417996.76930532244</v>
      </c>
      <c r="DB118" s="183">
        <f>Data!DD72</f>
        <v>417996.76930532244</v>
      </c>
      <c r="DC118" s="183">
        <f>Data!DE72</f>
        <v>417996.76930532244</v>
      </c>
      <c r="DD118" s="183">
        <f>Data!DF72</f>
        <v>417996.76930532244</v>
      </c>
      <c r="DE118" s="183">
        <f>Data!DG72</f>
        <v>417996.76930532244</v>
      </c>
      <c r="DF118" s="183">
        <f>Data!DH72</f>
        <v>417996.76930532244</v>
      </c>
      <c r="DG118" s="183">
        <f>Data!DI72</f>
        <v>417996.76930532244</v>
      </c>
      <c r="DH118" s="183">
        <f>Data!DJ72</f>
        <v>417996.76930532244</v>
      </c>
      <c r="DI118" s="183">
        <f>Data!DK72</f>
        <v>417996.76930532244</v>
      </c>
      <c r="DJ118" s="183">
        <f>Data!DL72</f>
        <v>438896.6077705886</v>
      </c>
      <c r="DK118" s="183">
        <f>Data!DM72</f>
        <v>438896.6077705886</v>
      </c>
      <c r="DL118" s="183">
        <f>Data!DN72</f>
        <v>438896.6077705886</v>
      </c>
      <c r="DM118" s="183">
        <f>Data!DO72</f>
        <v>438896.6077705886</v>
      </c>
      <c r="DN118" s="183">
        <f>Data!DP72</f>
        <v>438896.6077705886</v>
      </c>
      <c r="DO118" s="183">
        <f>Data!DQ72</f>
        <v>438896.6077705886</v>
      </c>
      <c r="DP118" s="183">
        <f>Data!DR72</f>
        <v>438896.6077705886</v>
      </c>
      <c r="DQ118" s="183">
        <f>Data!DS72</f>
        <v>438896.6077705886</v>
      </c>
      <c r="DR118" s="183">
        <f>Data!DT72</f>
        <v>438896.6077705886</v>
      </c>
      <c r="DS118" s="183">
        <f>Data!DU72</f>
        <v>438896.6077705886</v>
      </c>
      <c r="DT118" s="183">
        <f>Data!DV72</f>
        <v>438896.6077705886</v>
      </c>
      <c r="DU118" s="437">
        <f>Data!DW72</f>
        <v>438896.6077705886</v>
      </c>
      <c r="DV118" s="183"/>
    </row>
    <row r="119" spans="2:126" x14ac:dyDescent="0.3">
      <c r="B119" s="613" t="str">
        <f>Data!D73</f>
        <v>GM / Director</v>
      </c>
      <c r="C119" s="183"/>
      <c r="D119" s="183"/>
      <c r="E119" s="436">
        <f>Data!G73</f>
        <v>326250</v>
      </c>
      <c r="F119" s="183">
        <f>Data!H73</f>
        <v>326250</v>
      </c>
      <c r="G119" s="183">
        <f>Data!I73</f>
        <v>326250</v>
      </c>
      <c r="H119" s="183">
        <f>Data!J73</f>
        <v>326250</v>
      </c>
      <c r="I119" s="183">
        <f>Data!K73</f>
        <v>326250</v>
      </c>
      <c r="J119" s="183">
        <f>Data!L73</f>
        <v>326250</v>
      </c>
      <c r="K119" s="183">
        <f>Data!M73</f>
        <v>326250</v>
      </c>
      <c r="L119" s="183">
        <f>Data!N73</f>
        <v>326250</v>
      </c>
      <c r="M119" s="183">
        <f>Data!O73</f>
        <v>326250</v>
      </c>
      <c r="N119" s="183">
        <f>Data!P73</f>
        <v>326250</v>
      </c>
      <c r="O119" s="183">
        <f>Data!Q73</f>
        <v>326250</v>
      </c>
      <c r="P119" s="183">
        <f>Data!R73</f>
        <v>326250</v>
      </c>
      <c r="Q119" s="183">
        <f>Data!S73</f>
        <v>326250</v>
      </c>
      <c r="R119" s="280">
        <f>Data!T73</f>
        <v>342562.5</v>
      </c>
      <c r="S119" s="183">
        <f>Data!U73</f>
        <v>342562.5</v>
      </c>
      <c r="T119" s="183">
        <f>Data!V73</f>
        <v>342562.5</v>
      </c>
      <c r="U119" s="183">
        <f>Data!W73</f>
        <v>342562.5</v>
      </c>
      <c r="V119" s="183">
        <f>Data!X73</f>
        <v>342562.5</v>
      </c>
      <c r="W119" s="183">
        <f>Data!Y73</f>
        <v>342562.5</v>
      </c>
      <c r="X119" s="183">
        <f>Data!Z73</f>
        <v>342562.5</v>
      </c>
      <c r="Y119" s="183">
        <f>Data!AA73</f>
        <v>342562.5</v>
      </c>
      <c r="Z119" s="183">
        <f>Data!AB73</f>
        <v>342562.5</v>
      </c>
      <c r="AA119" s="183">
        <f>Data!AC73</f>
        <v>342562.5</v>
      </c>
      <c r="AB119" s="183">
        <f>Data!AD73</f>
        <v>342562.5</v>
      </c>
      <c r="AC119" s="183">
        <f>Data!AE73</f>
        <v>342562.5</v>
      </c>
      <c r="AD119" s="280">
        <f>Data!AF73</f>
        <v>359690.625</v>
      </c>
      <c r="AE119" s="183">
        <f>Data!AG73</f>
        <v>359690.625</v>
      </c>
      <c r="AF119" s="183">
        <f>Data!AH73</f>
        <v>359690.625</v>
      </c>
      <c r="AG119" s="183">
        <f>Data!AI73</f>
        <v>359690.625</v>
      </c>
      <c r="AH119" s="183">
        <f>Data!AJ73</f>
        <v>359690.625</v>
      </c>
      <c r="AI119" s="183">
        <f>Data!AK73</f>
        <v>359690.625</v>
      </c>
      <c r="AJ119" s="183">
        <f>Data!AL73</f>
        <v>359690.625</v>
      </c>
      <c r="AK119" s="183">
        <f>Data!AM73</f>
        <v>359690.625</v>
      </c>
      <c r="AL119" s="183">
        <f>Data!AN73</f>
        <v>359690.625</v>
      </c>
      <c r="AM119" s="183">
        <f>Data!AO73</f>
        <v>359690.625</v>
      </c>
      <c r="AN119" s="183">
        <f>Data!AP73</f>
        <v>359690.625</v>
      </c>
      <c r="AO119" s="183">
        <f>Data!AQ73</f>
        <v>359690.625</v>
      </c>
      <c r="AP119" s="280">
        <f>Data!AR73</f>
        <v>377675.15625</v>
      </c>
      <c r="AQ119" s="183">
        <f>Data!AS73</f>
        <v>377675.15625</v>
      </c>
      <c r="AR119" s="183">
        <f>Data!AT73</f>
        <v>377675.15625</v>
      </c>
      <c r="AS119" s="183">
        <f>Data!AU73</f>
        <v>377675.15625</v>
      </c>
      <c r="AT119" s="183">
        <f>Data!AV73</f>
        <v>377675.15625</v>
      </c>
      <c r="AU119" s="183">
        <f>Data!AW73</f>
        <v>377675.15625</v>
      </c>
      <c r="AV119" s="183">
        <f>Data!AX73</f>
        <v>377675.15625</v>
      </c>
      <c r="AW119" s="183">
        <f>Data!AY73</f>
        <v>377675.15625</v>
      </c>
      <c r="AX119" s="183">
        <f>Data!AZ73</f>
        <v>377675.15625</v>
      </c>
      <c r="AY119" s="183">
        <f>Data!BA73</f>
        <v>377675.15625</v>
      </c>
      <c r="AZ119" s="183">
        <f>Data!BB73</f>
        <v>377675.15625</v>
      </c>
      <c r="BA119" s="183">
        <f>Data!BC73</f>
        <v>377675.15625</v>
      </c>
      <c r="BB119" s="280">
        <f>Data!BD73</f>
        <v>396558.9140625</v>
      </c>
      <c r="BC119" s="183">
        <f>Data!BE73</f>
        <v>396558.9140625</v>
      </c>
      <c r="BD119" s="183">
        <f>Data!BF73</f>
        <v>396558.9140625</v>
      </c>
      <c r="BE119" s="183">
        <f>Data!BG73</f>
        <v>396558.9140625</v>
      </c>
      <c r="BF119" s="183">
        <f>Data!BH73</f>
        <v>396558.9140625</v>
      </c>
      <c r="BG119" s="183">
        <f>Data!BI73</f>
        <v>396558.9140625</v>
      </c>
      <c r="BH119" s="183">
        <f>Data!BJ73</f>
        <v>396558.9140625</v>
      </c>
      <c r="BI119" s="183">
        <f>Data!BK73</f>
        <v>396558.9140625</v>
      </c>
      <c r="BJ119" s="183">
        <f>Data!BL73</f>
        <v>396558.9140625</v>
      </c>
      <c r="BK119" s="183">
        <f>Data!BM73</f>
        <v>396558.9140625</v>
      </c>
      <c r="BL119" s="183">
        <f>Data!BN73</f>
        <v>396558.9140625</v>
      </c>
      <c r="BM119" s="183">
        <f>Data!BO73</f>
        <v>396558.9140625</v>
      </c>
      <c r="BN119" s="183">
        <f>Data!BP73</f>
        <v>416386.85976562503</v>
      </c>
      <c r="BO119" s="183">
        <f>Data!BQ73</f>
        <v>416386.85976562503</v>
      </c>
      <c r="BP119" s="183">
        <f>Data!BR73</f>
        <v>416386.85976562503</v>
      </c>
      <c r="BQ119" s="183">
        <f>Data!BS73</f>
        <v>416386.85976562503</v>
      </c>
      <c r="BR119" s="183">
        <f>Data!BT73</f>
        <v>416386.85976562503</v>
      </c>
      <c r="BS119" s="183">
        <f>Data!BU73</f>
        <v>416386.85976562503</v>
      </c>
      <c r="BT119" s="183">
        <f>Data!BV73</f>
        <v>416386.85976562503</v>
      </c>
      <c r="BU119" s="183">
        <f>Data!BW73</f>
        <v>416386.85976562503</v>
      </c>
      <c r="BV119" s="183">
        <f>Data!BX73</f>
        <v>416386.85976562503</v>
      </c>
      <c r="BW119" s="183">
        <f>Data!BY73</f>
        <v>416386.85976562503</v>
      </c>
      <c r="BX119" s="183">
        <f>Data!BZ73</f>
        <v>416386.85976562503</v>
      </c>
      <c r="BY119" s="183">
        <f>Data!CA73</f>
        <v>416386.85976562503</v>
      </c>
      <c r="BZ119" s="183">
        <f>Data!CB73</f>
        <v>437206.20275390631</v>
      </c>
      <c r="CA119" s="183">
        <f>Data!CC73</f>
        <v>437206.20275390631</v>
      </c>
      <c r="CB119" s="183">
        <f>Data!CD73</f>
        <v>437206.20275390631</v>
      </c>
      <c r="CC119" s="183">
        <f>Data!CE73</f>
        <v>437206.20275390631</v>
      </c>
      <c r="CD119" s="183">
        <f>Data!CF73</f>
        <v>437206.20275390631</v>
      </c>
      <c r="CE119" s="183">
        <f>Data!CG73</f>
        <v>437206.20275390631</v>
      </c>
      <c r="CF119" s="183">
        <f>Data!CH73</f>
        <v>437206.20275390631</v>
      </c>
      <c r="CG119" s="183">
        <f>Data!CI73</f>
        <v>437206.20275390631</v>
      </c>
      <c r="CH119" s="183">
        <f>Data!CJ73</f>
        <v>437206.20275390631</v>
      </c>
      <c r="CI119" s="183">
        <f>Data!CK73</f>
        <v>437206.20275390631</v>
      </c>
      <c r="CJ119" s="183">
        <f>Data!CL73</f>
        <v>437206.20275390631</v>
      </c>
      <c r="CK119" s="183">
        <f>Data!CM73</f>
        <v>437206.20275390631</v>
      </c>
      <c r="CL119" s="183">
        <f>Data!CN73</f>
        <v>459066.51289160165</v>
      </c>
      <c r="CM119" s="183">
        <f>Data!CO73</f>
        <v>459066.51289160165</v>
      </c>
      <c r="CN119" s="183">
        <f>Data!CP73</f>
        <v>459066.51289160165</v>
      </c>
      <c r="CO119" s="183">
        <f>Data!CQ73</f>
        <v>459066.51289160165</v>
      </c>
      <c r="CP119" s="183">
        <f>Data!CR73</f>
        <v>459066.51289160165</v>
      </c>
      <c r="CQ119" s="183">
        <f>Data!CS73</f>
        <v>459066.51289160165</v>
      </c>
      <c r="CR119" s="183">
        <f>Data!CT73</f>
        <v>459066.51289160165</v>
      </c>
      <c r="CS119" s="183">
        <f>Data!CU73</f>
        <v>459066.51289160165</v>
      </c>
      <c r="CT119" s="183">
        <f>Data!CV73</f>
        <v>459066.51289160165</v>
      </c>
      <c r="CU119" s="183">
        <f>Data!CW73</f>
        <v>459066.51289160165</v>
      </c>
      <c r="CV119" s="183">
        <f>Data!CX73</f>
        <v>459066.51289160165</v>
      </c>
      <c r="CW119" s="183">
        <f>Data!CY73</f>
        <v>459066.51289160165</v>
      </c>
      <c r="CX119" s="183">
        <f>Data!CZ73</f>
        <v>482019.83853618178</v>
      </c>
      <c r="CY119" s="183">
        <f>Data!DA73</f>
        <v>482019.83853618178</v>
      </c>
      <c r="CZ119" s="183">
        <f>Data!DB73</f>
        <v>482019.83853618178</v>
      </c>
      <c r="DA119" s="183">
        <f>Data!DC73</f>
        <v>482019.83853618178</v>
      </c>
      <c r="DB119" s="183">
        <f>Data!DD73</f>
        <v>482019.83853618178</v>
      </c>
      <c r="DC119" s="183">
        <f>Data!DE73</f>
        <v>482019.83853618178</v>
      </c>
      <c r="DD119" s="183">
        <f>Data!DF73</f>
        <v>482019.83853618178</v>
      </c>
      <c r="DE119" s="183">
        <f>Data!DG73</f>
        <v>482019.83853618178</v>
      </c>
      <c r="DF119" s="183">
        <f>Data!DH73</f>
        <v>482019.83853618178</v>
      </c>
      <c r="DG119" s="183">
        <f>Data!DI73</f>
        <v>482019.83853618178</v>
      </c>
      <c r="DH119" s="183">
        <f>Data!DJ73</f>
        <v>482019.83853618178</v>
      </c>
      <c r="DI119" s="183">
        <f>Data!DK73</f>
        <v>482019.83853618178</v>
      </c>
      <c r="DJ119" s="183">
        <f>Data!DL73</f>
        <v>506120.83046299091</v>
      </c>
      <c r="DK119" s="183">
        <f>Data!DM73</f>
        <v>506120.83046299091</v>
      </c>
      <c r="DL119" s="183">
        <f>Data!DN73</f>
        <v>506120.83046299091</v>
      </c>
      <c r="DM119" s="183">
        <f>Data!DO73</f>
        <v>506120.83046299091</v>
      </c>
      <c r="DN119" s="183">
        <f>Data!DP73</f>
        <v>506120.83046299091</v>
      </c>
      <c r="DO119" s="183">
        <f>Data!DQ73</f>
        <v>506120.83046299091</v>
      </c>
      <c r="DP119" s="183">
        <f>Data!DR73</f>
        <v>506120.83046299091</v>
      </c>
      <c r="DQ119" s="183">
        <f>Data!DS73</f>
        <v>506120.83046299091</v>
      </c>
      <c r="DR119" s="183">
        <f>Data!DT73</f>
        <v>506120.83046299091</v>
      </c>
      <c r="DS119" s="183">
        <f>Data!DU73</f>
        <v>506120.83046299091</v>
      </c>
      <c r="DT119" s="183">
        <f>Data!DV73</f>
        <v>506120.83046299091</v>
      </c>
      <c r="DU119" s="437">
        <f>Data!DW73</f>
        <v>506120.83046299091</v>
      </c>
      <c r="DV119" s="183"/>
    </row>
    <row r="120" spans="2:126" x14ac:dyDescent="0.3">
      <c r="B120" s="613" t="str">
        <f>Data!D74</f>
        <v>AVP / VP</v>
      </c>
      <c r="C120" s="183"/>
      <c r="D120" s="183"/>
      <c r="E120" s="436">
        <f>Data!G74</f>
        <v>378450</v>
      </c>
      <c r="F120" s="183">
        <f>Data!H74</f>
        <v>378450</v>
      </c>
      <c r="G120" s="183">
        <f>Data!I74</f>
        <v>378450</v>
      </c>
      <c r="H120" s="183">
        <f>Data!J74</f>
        <v>378450</v>
      </c>
      <c r="I120" s="183">
        <f>Data!K74</f>
        <v>378450</v>
      </c>
      <c r="J120" s="183">
        <f>Data!L74</f>
        <v>378450</v>
      </c>
      <c r="K120" s="183">
        <f>Data!M74</f>
        <v>378450</v>
      </c>
      <c r="L120" s="183">
        <f>Data!N74</f>
        <v>378450</v>
      </c>
      <c r="M120" s="183">
        <f>Data!O74</f>
        <v>378450</v>
      </c>
      <c r="N120" s="183">
        <f>Data!P74</f>
        <v>378450</v>
      </c>
      <c r="O120" s="183">
        <f>Data!Q74</f>
        <v>378450</v>
      </c>
      <c r="P120" s="183">
        <f>Data!R74</f>
        <v>378450</v>
      </c>
      <c r="Q120" s="183">
        <f>Data!S74</f>
        <v>378450</v>
      </c>
      <c r="R120" s="280">
        <f>Data!T74</f>
        <v>397372.5</v>
      </c>
      <c r="S120" s="183">
        <f>Data!U74</f>
        <v>397372.5</v>
      </c>
      <c r="T120" s="183">
        <f>Data!V74</f>
        <v>397372.5</v>
      </c>
      <c r="U120" s="183">
        <f>Data!W74</f>
        <v>397372.5</v>
      </c>
      <c r="V120" s="183">
        <f>Data!X74</f>
        <v>397372.5</v>
      </c>
      <c r="W120" s="183">
        <f>Data!Y74</f>
        <v>397372.5</v>
      </c>
      <c r="X120" s="183">
        <f>Data!Z74</f>
        <v>397372.5</v>
      </c>
      <c r="Y120" s="183">
        <f>Data!AA74</f>
        <v>397372.5</v>
      </c>
      <c r="Z120" s="183">
        <f>Data!AB74</f>
        <v>397372.5</v>
      </c>
      <c r="AA120" s="183">
        <f>Data!AC74</f>
        <v>397372.5</v>
      </c>
      <c r="AB120" s="183">
        <f>Data!AD74</f>
        <v>397372.5</v>
      </c>
      <c r="AC120" s="183">
        <f>Data!AE74</f>
        <v>397372.5</v>
      </c>
      <c r="AD120" s="280">
        <f>Data!AF74</f>
        <v>417241.125</v>
      </c>
      <c r="AE120" s="183">
        <f>Data!AG74</f>
        <v>417241.125</v>
      </c>
      <c r="AF120" s="183">
        <f>Data!AH74</f>
        <v>417241.125</v>
      </c>
      <c r="AG120" s="183">
        <f>Data!AI74</f>
        <v>417241.125</v>
      </c>
      <c r="AH120" s="183">
        <f>Data!AJ74</f>
        <v>417241.125</v>
      </c>
      <c r="AI120" s="183">
        <f>Data!AK74</f>
        <v>417241.125</v>
      </c>
      <c r="AJ120" s="183">
        <f>Data!AL74</f>
        <v>417241.125</v>
      </c>
      <c r="AK120" s="183">
        <f>Data!AM74</f>
        <v>417241.125</v>
      </c>
      <c r="AL120" s="183">
        <f>Data!AN74</f>
        <v>417241.125</v>
      </c>
      <c r="AM120" s="183">
        <f>Data!AO74</f>
        <v>417241.125</v>
      </c>
      <c r="AN120" s="183">
        <f>Data!AP74</f>
        <v>417241.125</v>
      </c>
      <c r="AO120" s="183">
        <f>Data!AQ74</f>
        <v>417241.125</v>
      </c>
      <c r="AP120" s="280">
        <f>Data!AR74</f>
        <v>438103.18125000002</v>
      </c>
      <c r="AQ120" s="183">
        <f>Data!AS74</f>
        <v>438103.18125000002</v>
      </c>
      <c r="AR120" s="183">
        <f>Data!AT74</f>
        <v>438103.18125000002</v>
      </c>
      <c r="AS120" s="183">
        <f>Data!AU74</f>
        <v>438103.18125000002</v>
      </c>
      <c r="AT120" s="183">
        <f>Data!AV74</f>
        <v>438103.18125000002</v>
      </c>
      <c r="AU120" s="183">
        <f>Data!AW74</f>
        <v>438103.18125000002</v>
      </c>
      <c r="AV120" s="183">
        <f>Data!AX74</f>
        <v>438103.18125000002</v>
      </c>
      <c r="AW120" s="183">
        <f>Data!AY74</f>
        <v>438103.18125000002</v>
      </c>
      <c r="AX120" s="183">
        <f>Data!AZ74</f>
        <v>438103.18125000002</v>
      </c>
      <c r="AY120" s="183">
        <f>Data!BA74</f>
        <v>438103.18125000002</v>
      </c>
      <c r="AZ120" s="183">
        <f>Data!BB74</f>
        <v>438103.18125000002</v>
      </c>
      <c r="BA120" s="183">
        <f>Data!BC74</f>
        <v>438103.18125000002</v>
      </c>
      <c r="BB120" s="280">
        <f>Data!BD74</f>
        <v>460008.34031250002</v>
      </c>
      <c r="BC120" s="183">
        <f>Data!BE74</f>
        <v>460008.34031250002</v>
      </c>
      <c r="BD120" s="183">
        <f>Data!BF74</f>
        <v>460008.34031250002</v>
      </c>
      <c r="BE120" s="183">
        <f>Data!BG74</f>
        <v>460008.34031250002</v>
      </c>
      <c r="BF120" s="183">
        <f>Data!BH74</f>
        <v>460008.34031250002</v>
      </c>
      <c r="BG120" s="183">
        <f>Data!BI74</f>
        <v>460008.34031250002</v>
      </c>
      <c r="BH120" s="183">
        <f>Data!BJ74</f>
        <v>460008.34031250002</v>
      </c>
      <c r="BI120" s="183">
        <f>Data!BK74</f>
        <v>460008.34031250002</v>
      </c>
      <c r="BJ120" s="183">
        <f>Data!BL74</f>
        <v>460008.34031250002</v>
      </c>
      <c r="BK120" s="183">
        <f>Data!BM74</f>
        <v>460008.34031250002</v>
      </c>
      <c r="BL120" s="183">
        <f>Data!BN74</f>
        <v>460008.34031250002</v>
      </c>
      <c r="BM120" s="183">
        <f>Data!BO74</f>
        <v>460008.34031250002</v>
      </c>
      <c r="BN120" s="183">
        <f>Data!BP74</f>
        <v>483008.75732812507</v>
      </c>
      <c r="BO120" s="183">
        <f>Data!BQ74</f>
        <v>483008.75732812507</v>
      </c>
      <c r="BP120" s="183">
        <f>Data!BR74</f>
        <v>483008.75732812507</v>
      </c>
      <c r="BQ120" s="183">
        <f>Data!BS74</f>
        <v>483008.75732812507</v>
      </c>
      <c r="BR120" s="183">
        <f>Data!BT74</f>
        <v>483008.75732812507</v>
      </c>
      <c r="BS120" s="183">
        <f>Data!BU74</f>
        <v>483008.75732812507</v>
      </c>
      <c r="BT120" s="183">
        <f>Data!BV74</f>
        <v>483008.75732812507</v>
      </c>
      <c r="BU120" s="183">
        <f>Data!BW74</f>
        <v>483008.75732812507</v>
      </c>
      <c r="BV120" s="183">
        <f>Data!BX74</f>
        <v>483008.75732812507</v>
      </c>
      <c r="BW120" s="183">
        <f>Data!BY74</f>
        <v>483008.75732812507</v>
      </c>
      <c r="BX120" s="183">
        <f>Data!BZ74</f>
        <v>483008.75732812507</v>
      </c>
      <c r="BY120" s="183">
        <f>Data!CA74</f>
        <v>483008.75732812507</v>
      </c>
      <c r="BZ120" s="183">
        <f>Data!CB74</f>
        <v>507159.19519453135</v>
      </c>
      <c r="CA120" s="183">
        <f>Data!CC74</f>
        <v>507159.19519453135</v>
      </c>
      <c r="CB120" s="183">
        <f>Data!CD74</f>
        <v>507159.19519453135</v>
      </c>
      <c r="CC120" s="183">
        <f>Data!CE74</f>
        <v>507159.19519453135</v>
      </c>
      <c r="CD120" s="183">
        <f>Data!CF74</f>
        <v>507159.19519453135</v>
      </c>
      <c r="CE120" s="183">
        <f>Data!CG74</f>
        <v>507159.19519453135</v>
      </c>
      <c r="CF120" s="183">
        <f>Data!CH74</f>
        <v>507159.19519453135</v>
      </c>
      <c r="CG120" s="183">
        <f>Data!CI74</f>
        <v>507159.19519453135</v>
      </c>
      <c r="CH120" s="183">
        <f>Data!CJ74</f>
        <v>507159.19519453135</v>
      </c>
      <c r="CI120" s="183">
        <f>Data!CK74</f>
        <v>507159.19519453135</v>
      </c>
      <c r="CJ120" s="183">
        <f>Data!CL74</f>
        <v>507159.19519453135</v>
      </c>
      <c r="CK120" s="183">
        <f>Data!CM74</f>
        <v>507159.19519453135</v>
      </c>
      <c r="CL120" s="183">
        <f>Data!CN74</f>
        <v>532517.15495425789</v>
      </c>
      <c r="CM120" s="183">
        <f>Data!CO74</f>
        <v>532517.15495425789</v>
      </c>
      <c r="CN120" s="183">
        <f>Data!CP74</f>
        <v>532517.15495425789</v>
      </c>
      <c r="CO120" s="183">
        <f>Data!CQ74</f>
        <v>532517.15495425789</v>
      </c>
      <c r="CP120" s="183">
        <f>Data!CR74</f>
        <v>532517.15495425789</v>
      </c>
      <c r="CQ120" s="183">
        <f>Data!CS74</f>
        <v>532517.15495425789</v>
      </c>
      <c r="CR120" s="183">
        <f>Data!CT74</f>
        <v>532517.15495425789</v>
      </c>
      <c r="CS120" s="183">
        <f>Data!CU74</f>
        <v>532517.15495425789</v>
      </c>
      <c r="CT120" s="183">
        <f>Data!CV74</f>
        <v>532517.15495425789</v>
      </c>
      <c r="CU120" s="183">
        <f>Data!CW74</f>
        <v>532517.15495425789</v>
      </c>
      <c r="CV120" s="183">
        <f>Data!CX74</f>
        <v>532517.15495425789</v>
      </c>
      <c r="CW120" s="183">
        <f>Data!CY74</f>
        <v>532517.15495425789</v>
      </c>
      <c r="CX120" s="183">
        <f>Data!CZ74</f>
        <v>559143.01270197076</v>
      </c>
      <c r="CY120" s="183">
        <f>Data!DA74</f>
        <v>559143.01270197076</v>
      </c>
      <c r="CZ120" s="183">
        <f>Data!DB74</f>
        <v>559143.01270197076</v>
      </c>
      <c r="DA120" s="183">
        <f>Data!DC74</f>
        <v>559143.01270197076</v>
      </c>
      <c r="DB120" s="183">
        <f>Data!DD74</f>
        <v>559143.01270197076</v>
      </c>
      <c r="DC120" s="183">
        <f>Data!DE74</f>
        <v>559143.01270197076</v>
      </c>
      <c r="DD120" s="183">
        <f>Data!DF74</f>
        <v>559143.01270197076</v>
      </c>
      <c r="DE120" s="183">
        <f>Data!DG74</f>
        <v>559143.01270197076</v>
      </c>
      <c r="DF120" s="183">
        <f>Data!DH74</f>
        <v>559143.01270197076</v>
      </c>
      <c r="DG120" s="183">
        <f>Data!DI74</f>
        <v>559143.01270197076</v>
      </c>
      <c r="DH120" s="183">
        <f>Data!DJ74</f>
        <v>559143.01270197076</v>
      </c>
      <c r="DI120" s="183">
        <f>Data!DK74</f>
        <v>559143.01270197076</v>
      </c>
      <c r="DJ120" s="183">
        <f>Data!DL74</f>
        <v>587100.16333706933</v>
      </c>
      <c r="DK120" s="183">
        <f>Data!DM74</f>
        <v>587100.16333706933</v>
      </c>
      <c r="DL120" s="183">
        <f>Data!DN74</f>
        <v>587100.16333706933</v>
      </c>
      <c r="DM120" s="183">
        <f>Data!DO74</f>
        <v>587100.16333706933</v>
      </c>
      <c r="DN120" s="183">
        <f>Data!DP74</f>
        <v>587100.16333706933</v>
      </c>
      <c r="DO120" s="183">
        <f>Data!DQ74</f>
        <v>587100.16333706933</v>
      </c>
      <c r="DP120" s="183">
        <f>Data!DR74</f>
        <v>587100.16333706933</v>
      </c>
      <c r="DQ120" s="183">
        <f>Data!DS74</f>
        <v>587100.16333706933</v>
      </c>
      <c r="DR120" s="183">
        <f>Data!DT74</f>
        <v>587100.16333706933</v>
      </c>
      <c r="DS120" s="183">
        <f>Data!DU74</f>
        <v>587100.16333706933</v>
      </c>
      <c r="DT120" s="183">
        <f>Data!DV74</f>
        <v>587100.16333706933</v>
      </c>
      <c r="DU120" s="437">
        <f>Data!DW74</f>
        <v>587100.16333706933</v>
      </c>
      <c r="DV120" s="183"/>
    </row>
    <row r="121" spans="2:126" x14ac:dyDescent="0.3">
      <c r="B121" s="613" t="str">
        <f>Data!D75</f>
        <v>SME</v>
      </c>
      <c r="C121" s="183"/>
      <c r="D121" s="183"/>
      <c r="E121" s="436">
        <f>Data!G75</f>
        <v>62500</v>
      </c>
      <c r="F121" s="183">
        <f>Data!H75</f>
        <v>62500</v>
      </c>
      <c r="G121" s="183">
        <f>Data!I75</f>
        <v>62500</v>
      </c>
      <c r="H121" s="183">
        <f>Data!J75</f>
        <v>62500</v>
      </c>
      <c r="I121" s="183">
        <f>Data!K75</f>
        <v>62500</v>
      </c>
      <c r="J121" s="183">
        <f>Data!L75</f>
        <v>62500</v>
      </c>
      <c r="K121" s="183">
        <f>Data!M75</f>
        <v>62500</v>
      </c>
      <c r="L121" s="183">
        <f>Data!N75</f>
        <v>62500</v>
      </c>
      <c r="M121" s="183">
        <f>Data!O75</f>
        <v>62500</v>
      </c>
      <c r="N121" s="183">
        <f>Data!P75</f>
        <v>62500</v>
      </c>
      <c r="O121" s="183">
        <f>Data!Q75</f>
        <v>62500</v>
      </c>
      <c r="P121" s="183">
        <f>Data!R75</f>
        <v>62500</v>
      </c>
      <c r="Q121" s="183">
        <f>Data!S75</f>
        <v>62500</v>
      </c>
      <c r="R121" s="280">
        <f>Data!T75</f>
        <v>65625</v>
      </c>
      <c r="S121" s="183">
        <f>Data!U75</f>
        <v>65625</v>
      </c>
      <c r="T121" s="183">
        <f>Data!V75</f>
        <v>65625</v>
      </c>
      <c r="U121" s="183">
        <f>Data!W75</f>
        <v>65625</v>
      </c>
      <c r="V121" s="183">
        <f>Data!X75</f>
        <v>65625</v>
      </c>
      <c r="W121" s="183">
        <f>Data!Y75</f>
        <v>65625</v>
      </c>
      <c r="X121" s="183">
        <f>Data!Z75</f>
        <v>65625</v>
      </c>
      <c r="Y121" s="183">
        <f>Data!AA75</f>
        <v>65625</v>
      </c>
      <c r="Z121" s="183">
        <f>Data!AB75</f>
        <v>65625</v>
      </c>
      <c r="AA121" s="183">
        <f>Data!AC75</f>
        <v>65625</v>
      </c>
      <c r="AB121" s="183">
        <f>Data!AD75</f>
        <v>65625</v>
      </c>
      <c r="AC121" s="183">
        <f>Data!AE75</f>
        <v>65625</v>
      </c>
      <c r="AD121" s="280">
        <f>Data!AF75</f>
        <v>68906.25</v>
      </c>
      <c r="AE121" s="183">
        <f>Data!AG75</f>
        <v>68906.25</v>
      </c>
      <c r="AF121" s="183">
        <f>Data!AH75</f>
        <v>68906.25</v>
      </c>
      <c r="AG121" s="183">
        <f>Data!AI75</f>
        <v>68906.25</v>
      </c>
      <c r="AH121" s="183">
        <f>Data!AJ75</f>
        <v>68906.25</v>
      </c>
      <c r="AI121" s="183">
        <f>Data!AK75</f>
        <v>68906.25</v>
      </c>
      <c r="AJ121" s="183">
        <f>Data!AL75</f>
        <v>68906.25</v>
      </c>
      <c r="AK121" s="183">
        <f>Data!AM75</f>
        <v>68906.25</v>
      </c>
      <c r="AL121" s="183">
        <f>Data!AN75</f>
        <v>68906.25</v>
      </c>
      <c r="AM121" s="183">
        <f>Data!AO75</f>
        <v>68906.25</v>
      </c>
      <c r="AN121" s="183">
        <f>Data!AP75</f>
        <v>68906.25</v>
      </c>
      <c r="AO121" s="183">
        <f>Data!AQ75</f>
        <v>68906.25</v>
      </c>
      <c r="AP121" s="280">
        <f>Data!AR75</f>
        <v>72351.5625</v>
      </c>
      <c r="AQ121" s="183">
        <f>Data!AS75</f>
        <v>72351.5625</v>
      </c>
      <c r="AR121" s="183">
        <f>Data!AT75</f>
        <v>72351.5625</v>
      </c>
      <c r="AS121" s="183">
        <f>Data!AU75</f>
        <v>72351.5625</v>
      </c>
      <c r="AT121" s="183">
        <f>Data!AV75</f>
        <v>72351.5625</v>
      </c>
      <c r="AU121" s="183">
        <f>Data!AW75</f>
        <v>72351.5625</v>
      </c>
      <c r="AV121" s="183">
        <f>Data!AX75</f>
        <v>72351.5625</v>
      </c>
      <c r="AW121" s="183">
        <f>Data!AY75</f>
        <v>72351.5625</v>
      </c>
      <c r="AX121" s="183">
        <f>Data!AZ75</f>
        <v>72351.5625</v>
      </c>
      <c r="AY121" s="183">
        <f>Data!BA75</f>
        <v>72351.5625</v>
      </c>
      <c r="AZ121" s="183">
        <f>Data!BB75</f>
        <v>72351.5625</v>
      </c>
      <c r="BA121" s="183">
        <f>Data!BC75</f>
        <v>72351.5625</v>
      </c>
      <c r="BB121" s="280">
        <f>Data!BD75</f>
        <v>75969.140625</v>
      </c>
      <c r="BC121" s="183">
        <f>Data!BE75</f>
        <v>75969.140625</v>
      </c>
      <c r="BD121" s="183">
        <f>Data!BF75</f>
        <v>75969.140625</v>
      </c>
      <c r="BE121" s="183">
        <f>Data!BG75</f>
        <v>75969.140625</v>
      </c>
      <c r="BF121" s="183">
        <f>Data!BH75</f>
        <v>75969.140625</v>
      </c>
      <c r="BG121" s="183">
        <f>Data!BI75</f>
        <v>75969.140625</v>
      </c>
      <c r="BH121" s="183">
        <f>Data!BJ75</f>
        <v>75969.140625</v>
      </c>
      <c r="BI121" s="183">
        <f>Data!BK75</f>
        <v>75969.140625</v>
      </c>
      <c r="BJ121" s="183">
        <f>Data!BL75</f>
        <v>75969.140625</v>
      </c>
      <c r="BK121" s="183">
        <f>Data!BM75</f>
        <v>75969.140625</v>
      </c>
      <c r="BL121" s="183">
        <f>Data!BN75</f>
        <v>75969.140625</v>
      </c>
      <c r="BM121" s="183">
        <f>Data!BO75</f>
        <v>75969.140625</v>
      </c>
      <c r="BN121" s="183">
        <f>Data!BP75</f>
        <v>79767.59765625</v>
      </c>
      <c r="BO121" s="183">
        <f>Data!BQ75</f>
        <v>79767.59765625</v>
      </c>
      <c r="BP121" s="183">
        <f>Data!BR75</f>
        <v>79767.59765625</v>
      </c>
      <c r="BQ121" s="183">
        <f>Data!BS75</f>
        <v>79767.59765625</v>
      </c>
      <c r="BR121" s="183">
        <f>Data!BT75</f>
        <v>79767.59765625</v>
      </c>
      <c r="BS121" s="183">
        <f>Data!BU75</f>
        <v>79767.59765625</v>
      </c>
      <c r="BT121" s="183">
        <f>Data!BV75</f>
        <v>79767.59765625</v>
      </c>
      <c r="BU121" s="183">
        <f>Data!BW75</f>
        <v>79767.59765625</v>
      </c>
      <c r="BV121" s="183">
        <f>Data!BX75</f>
        <v>79767.59765625</v>
      </c>
      <c r="BW121" s="183">
        <f>Data!BY75</f>
        <v>79767.59765625</v>
      </c>
      <c r="BX121" s="183">
        <f>Data!BZ75</f>
        <v>79767.59765625</v>
      </c>
      <c r="BY121" s="183">
        <f>Data!CA75</f>
        <v>79767.59765625</v>
      </c>
      <c r="BZ121" s="183">
        <f>Data!CB75</f>
        <v>83755.9775390625</v>
      </c>
      <c r="CA121" s="183">
        <f>Data!CC75</f>
        <v>83755.9775390625</v>
      </c>
      <c r="CB121" s="183">
        <f>Data!CD75</f>
        <v>83755.9775390625</v>
      </c>
      <c r="CC121" s="183">
        <f>Data!CE75</f>
        <v>83755.9775390625</v>
      </c>
      <c r="CD121" s="183">
        <f>Data!CF75</f>
        <v>83755.9775390625</v>
      </c>
      <c r="CE121" s="183">
        <f>Data!CG75</f>
        <v>83755.9775390625</v>
      </c>
      <c r="CF121" s="183">
        <f>Data!CH75</f>
        <v>83755.9775390625</v>
      </c>
      <c r="CG121" s="183">
        <f>Data!CI75</f>
        <v>83755.9775390625</v>
      </c>
      <c r="CH121" s="183">
        <f>Data!CJ75</f>
        <v>83755.9775390625</v>
      </c>
      <c r="CI121" s="183">
        <f>Data!CK75</f>
        <v>83755.9775390625</v>
      </c>
      <c r="CJ121" s="183">
        <f>Data!CL75</f>
        <v>83755.9775390625</v>
      </c>
      <c r="CK121" s="183">
        <f>Data!CM75</f>
        <v>83755.9775390625</v>
      </c>
      <c r="CL121" s="183">
        <f>Data!CN75</f>
        <v>87943.776416015622</v>
      </c>
      <c r="CM121" s="183">
        <f>Data!CO75</f>
        <v>87943.776416015622</v>
      </c>
      <c r="CN121" s="183">
        <f>Data!CP75</f>
        <v>87943.776416015622</v>
      </c>
      <c r="CO121" s="183">
        <f>Data!CQ75</f>
        <v>87943.776416015622</v>
      </c>
      <c r="CP121" s="183">
        <f>Data!CR75</f>
        <v>87943.776416015622</v>
      </c>
      <c r="CQ121" s="183">
        <f>Data!CS75</f>
        <v>87943.776416015622</v>
      </c>
      <c r="CR121" s="183">
        <f>Data!CT75</f>
        <v>87943.776416015622</v>
      </c>
      <c r="CS121" s="183">
        <f>Data!CU75</f>
        <v>87943.776416015622</v>
      </c>
      <c r="CT121" s="183">
        <f>Data!CV75</f>
        <v>87943.776416015622</v>
      </c>
      <c r="CU121" s="183">
        <f>Data!CW75</f>
        <v>87943.776416015622</v>
      </c>
      <c r="CV121" s="183">
        <f>Data!CX75</f>
        <v>87943.776416015622</v>
      </c>
      <c r="CW121" s="183">
        <f>Data!CY75</f>
        <v>87943.776416015622</v>
      </c>
      <c r="CX121" s="183">
        <f>Data!CZ75</f>
        <v>92340.96523681641</v>
      </c>
      <c r="CY121" s="183">
        <f>Data!DA75</f>
        <v>92340.96523681641</v>
      </c>
      <c r="CZ121" s="183">
        <f>Data!DB75</f>
        <v>92340.96523681641</v>
      </c>
      <c r="DA121" s="183">
        <f>Data!DC75</f>
        <v>92340.96523681641</v>
      </c>
      <c r="DB121" s="183">
        <f>Data!DD75</f>
        <v>92340.96523681641</v>
      </c>
      <c r="DC121" s="183">
        <f>Data!DE75</f>
        <v>92340.96523681641</v>
      </c>
      <c r="DD121" s="183">
        <f>Data!DF75</f>
        <v>92340.96523681641</v>
      </c>
      <c r="DE121" s="183">
        <f>Data!DG75</f>
        <v>92340.96523681641</v>
      </c>
      <c r="DF121" s="183">
        <f>Data!DH75</f>
        <v>92340.96523681641</v>
      </c>
      <c r="DG121" s="183">
        <f>Data!DI75</f>
        <v>92340.96523681641</v>
      </c>
      <c r="DH121" s="183">
        <f>Data!DJ75</f>
        <v>92340.96523681641</v>
      </c>
      <c r="DI121" s="183">
        <f>Data!DK75</f>
        <v>92340.96523681641</v>
      </c>
      <c r="DJ121" s="183">
        <f>Data!DL75</f>
        <v>96958.013498657238</v>
      </c>
      <c r="DK121" s="183">
        <f>Data!DM75</f>
        <v>96958.013498657238</v>
      </c>
      <c r="DL121" s="183">
        <f>Data!DN75</f>
        <v>96958.013498657238</v>
      </c>
      <c r="DM121" s="183">
        <f>Data!DO75</f>
        <v>96958.013498657238</v>
      </c>
      <c r="DN121" s="183">
        <f>Data!DP75</f>
        <v>96958.013498657238</v>
      </c>
      <c r="DO121" s="183">
        <f>Data!DQ75</f>
        <v>96958.013498657238</v>
      </c>
      <c r="DP121" s="183">
        <f>Data!DR75</f>
        <v>96958.013498657238</v>
      </c>
      <c r="DQ121" s="183">
        <f>Data!DS75</f>
        <v>96958.013498657238</v>
      </c>
      <c r="DR121" s="183">
        <f>Data!DT75</f>
        <v>96958.013498657238</v>
      </c>
      <c r="DS121" s="183">
        <f>Data!DU75</f>
        <v>96958.013498657238</v>
      </c>
      <c r="DT121" s="183">
        <f>Data!DV75</f>
        <v>96958.013498657238</v>
      </c>
      <c r="DU121" s="437">
        <f>Data!DW75</f>
        <v>96958.013498657238</v>
      </c>
      <c r="DV121" s="183"/>
    </row>
    <row r="122" spans="2:126" x14ac:dyDescent="0.3">
      <c r="B122" s="613" t="str">
        <f>Data!D76</f>
        <v>QA</v>
      </c>
      <c r="C122" s="183"/>
      <c r="D122" s="183"/>
      <c r="E122" s="436">
        <f>Data!G76</f>
        <v>62500</v>
      </c>
      <c r="F122" s="183">
        <f>Data!H76</f>
        <v>62500</v>
      </c>
      <c r="G122" s="183">
        <f>Data!I76</f>
        <v>62500</v>
      </c>
      <c r="H122" s="183">
        <f>Data!J76</f>
        <v>62500</v>
      </c>
      <c r="I122" s="183">
        <f>Data!K76</f>
        <v>62500</v>
      </c>
      <c r="J122" s="183">
        <f>Data!L76</f>
        <v>62500</v>
      </c>
      <c r="K122" s="183">
        <f>Data!M76</f>
        <v>62500</v>
      </c>
      <c r="L122" s="183">
        <f>Data!N76</f>
        <v>62500</v>
      </c>
      <c r="M122" s="183">
        <f>Data!O76</f>
        <v>62500</v>
      </c>
      <c r="N122" s="183">
        <f>Data!P76</f>
        <v>62500</v>
      </c>
      <c r="O122" s="183">
        <f>Data!Q76</f>
        <v>62500</v>
      </c>
      <c r="P122" s="183">
        <f>Data!R76</f>
        <v>62500</v>
      </c>
      <c r="Q122" s="183">
        <f>Data!S76</f>
        <v>62500</v>
      </c>
      <c r="R122" s="280">
        <f>Data!T76</f>
        <v>65625</v>
      </c>
      <c r="S122" s="183">
        <f>Data!U76</f>
        <v>65625</v>
      </c>
      <c r="T122" s="183">
        <f>Data!V76</f>
        <v>65625</v>
      </c>
      <c r="U122" s="183">
        <f>Data!W76</f>
        <v>65625</v>
      </c>
      <c r="V122" s="183">
        <f>Data!X76</f>
        <v>65625</v>
      </c>
      <c r="W122" s="183">
        <f>Data!Y76</f>
        <v>65625</v>
      </c>
      <c r="X122" s="183">
        <f>Data!Z76</f>
        <v>65625</v>
      </c>
      <c r="Y122" s="183">
        <f>Data!AA76</f>
        <v>65625</v>
      </c>
      <c r="Z122" s="183">
        <f>Data!AB76</f>
        <v>65625</v>
      </c>
      <c r="AA122" s="183">
        <f>Data!AC76</f>
        <v>65625</v>
      </c>
      <c r="AB122" s="183">
        <f>Data!AD76</f>
        <v>65625</v>
      </c>
      <c r="AC122" s="183">
        <f>Data!AE76</f>
        <v>65625</v>
      </c>
      <c r="AD122" s="280">
        <f>Data!AF76</f>
        <v>68906.25</v>
      </c>
      <c r="AE122" s="183">
        <f>Data!AG76</f>
        <v>68906.25</v>
      </c>
      <c r="AF122" s="183">
        <f>Data!AH76</f>
        <v>68906.25</v>
      </c>
      <c r="AG122" s="183">
        <f>Data!AI76</f>
        <v>68906.25</v>
      </c>
      <c r="AH122" s="183">
        <f>Data!AJ76</f>
        <v>68906.25</v>
      </c>
      <c r="AI122" s="183">
        <f>Data!AK76</f>
        <v>68906.25</v>
      </c>
      <c r="AJ122" s="183">
        <f>Data!AL76</f>
        <v>68906.25</v>
      </c>
      <c r="AK122" s="183">
        <f>Data!AM76</f>
        <v>68906.25</v>
      </c>
      <c r="AL122" s="183">
        <f>Data!AN76</f>
        <v>68906.25</v>
      </c>
      <c r="AM122" s="183">
        <f>Data!AO76</f>
        <v>68906.25</v>
      </c>
      <c r="AN122" s="183">
        <f>Data!AP76</f>
        <v>68906.25</v>
      </c>
      <c r="AO122" s="183">
        <f>Data!AQ76</f>
        <v>68906.25</v>
      </c>
      <c r="AP122" s="280">
        <f>Data!AR76</f>
        <v>72351.5625</v>
      </c>
      <c r="AQ122" s="183">
        <f>Data!AS76</f>
        <v>72351.5625</v>
      </c>
      <c r="AR122" s="183">
        <f>Data!AT76</f>
        <v>72351.5625</v>
      </c>
      <c r="AS122" s="183">
        <f>Data!AU76</f>
        <v>72351.5625</v>
      </c>
      <c r="AT122" s="183">
        <f>Data!AV76</f>
        <v>72351.5625</v>
      </c>
      <c r="AU122" s="183">
        <f>Data!AW76</f>
        <v>72351.5625</v>
      </c>
      <c r="AV122" s="183">
        <f>Data!AX76</f>
        <v>72351.5625</v>
      </c>
      <c r="AW122" s="183">
        <f>Data!AY76</f>
        <v>72351.5625</v>
      </c>
      <c r="AX122" s="183">
        <f>Data!AZ76</f>
        <v>72351.5625</v>
      </c>
      <c r="AY122" s="183">
        <f>Data!BA76</f>
        <v>72351.5625</v>
      </c>
      <c r="AZ122" s="183">
        <f>Data!BB76</f>
        <v>72351.5625</v>
      </c>
      <c r="BA122" s="183">
        <f>Data!BC76</f>
        <v>72351.5625</v>
      </c>
      <c r="BB122" s="280">
        <f>Data!BD76</f>
        <v>75969.140625</v>
      </c>
      <c r="BC122" s="183">
        <f>Data!BE76</f>
        <v>75969.140625</v>
      </c>
      <c r="BD122" s="183">
        <f>Data!BF76</f>
        <v>75969.140625</v>
      </c>
      <c r="BE122" s="183">
        <f>Data!BG76</f>
        <v>75969.140625</v>
      </c>
      <c r="BF122" s="183">
        <f>Data!BH76</f>
        <v>75969.140625</v>
      </c>
      <c r="BG122" s="183">
        <f>Data!BI76</f>
        <v>75969.140625</v>
      </c>
      <c r="BH122" s="183">
        <f>Data!BJ76</f>
        <v>75969.140625</v>
      </c>
      <c r="BI122" s="183">
        <f>Data!BK76</f>
        <v>75969.140625</v>
      </c>
      <c r="BJ122" s="183">
        <f>Data!BL76</f>
        <v>75969.140625</v>
      </c>
      <c r="BK122" s="183">
        <f>Data!BM76</f>
        <v>75969.140625</v>
      </c>
      <c r="BL122" s="183">
        <f>Data!BN76</f>
        <v>75969.140625</v>
      </c>
      <c r="BM122" s="183">
        <f>Data!BO76</f>
        <v>75969.140625</v>
      </c>
      <c r="BN122" s="183">
        <f>Data!BP76</f>
        <v>79767.59765625</v>
      </c>
      <c r="BO122" s="183">
        <f>Data!BQ76</f>
        <v>79767.59765625</v>
      </c>
      <c r="BP122" s="183">
        <f>Data!BR76</f>
        <v>79767.59765625</v>
      </c>
      <c r="BQ122" s="183">
        <f>Data!BS76</f>
        <v>79767.59765625</v>
      </c>
      <c r="BR122" s="183">
        <f>Data!BT76</f>
        <v>79767.59765625</v>
      </c>
      <c r="BS122" s="183">
        <f>Data!BU76</f>
        <v>79767.59765625</v>
      </c>
      <c r="BT122" s="183">
        <f>Data!BV76</f>
        <v>79767.59765625</v>
      </c>
      <c r="BU122" s="183">
        <f>Data!BW76</f>
        <v>79767.59765625</v>
      </c>
      <c r="BV122" s="183">
        <f>Data!BX76</f>
        <v>79767.59765625</v>
      </c>
      <c r="BW122" s="183">
        <f>Data!BY76</f>
        <v>79767.59765625</v>
      </c>
      <c r="BX122" s="183">
        <f>Data!BZ76</f>
        <v>79767.59765625</v>
      </c>
      <c r="BY122" s="183">
        <f>Data!CA76</f>
        <v>79767.59765625</v>
      </c>
      <c r="BZ122" s="183">
        <f>Data!CB76</f>
        <v>83755.9775390625</v>
      </c>
      <c r="CA122" s="183">
        <f>Data!CC76</f>
        <v>83755.9775390625</v>
      </c>
      <c r="CB122" s="183">
        <f>Data!CD76</f>
        <v>83755.9775390625</v>
      </c>
      <c r="CC122" s="183">
        <f>Data!CE76</f>
        <v>83755.9775390625</v>
      </c>
      <c r="CD122" s="183">
        <f>Data!CF76</f>
        <v>83755.9775390625</v>
      </c>
      <c r="CE122" s="183">
        <f>Data!CG76</f>
        <v>83755.9775390625</v>
      </c>
      <c r="CF122" s="183">
        <f>Data!CH76</f>
        <v>83755.9775390625</v>
      </c>
      <c r="CG122" s="183">
        <f>Data!CI76</f>
        <v>83755.9775390625</v>
      </c>
      <c r="CH122" s="183">
        <f>Data!CJ76</f>
        <v>83755.9775390625</v>
      </c>
      <c r="CI122" s="183">
        <f>Data!CK76</f>
        <v>83755.9775390625</v>
      </c>
      <c r="CJ122" s="183">
        <f>Data!CL76</f>
        <v>83755.9775390625</v>
      </c>
      <c r="CK122" s="183">
        <f>Data!CM76</f>
        <v>83755.9775390625</v>
      </c>
      <c r="CL122" s="183">
        <f>Data!CN76</f>
        <v>87943.776416015622</v>
      </c>
      <c r="CM122" s="183">
        <f>Data!CO76</f>
        <v>87943.776416015622</v>
      </c>
      <c r="CN122" s="183">
        <f>Data!CP76</f>
        <v>87943.776416015622</v>
      </c>
      <c r="CO122" s="183">
        <f>Data!CQ76</f>
        <v>87943.776416015622</v>
      </c>
      <c r="CP122" s="183">
        <f>Data!CR76</f>
        <v>87943.776416015622</v>
      </c>
      <c r="CQ122" s="183">
        <f>Data!CS76</f>
        <v>87943.776416015622</v>
      </c>
      <c r="CR122" s="183">
        <f>Data!CT76</f>
        <v>87943.776416015622</v>
      </c>
      <c r="CS122" s="183">
        <f>Data!CU76</f>
        <v>87943.776416015622</v>
      </c>
      <c r="CT122" s="183">
        <f>Data!CV76</f>
        <v>87943.776416015622</v>
      </c>
      <c r="CU122" s="183">
        <f>Data!CW76</f>
        <v>87943.776416015622</v>
      </c>
      <c r="CV122" s="183">
        <f>Data!CX76</f>
        <v>87943.776416015622</v>
      </c>
      <c r="CW122" s="183">
        <f>Data!CY76</f>
        <v>87943.776416015622</v>
      </c>
      <c r="CX122" s="183">
        <f>Data!CZ76</f>
        <v>92340.96523681641</v>
      </c>
      <c r="CY122" s="183">
        <f>Data!DA76</f>
        <v>92340.96523681641</v>
      </c>
      <c r="CZ122" s="183">
        <f>Data!DB76</f>
        <v>92340.96523681641</v>
      </c>
      <c r="DA122" s="183">
        <f>Data!DC76</f>
        <v>92340.96523681641</v>
      </c>
      <c r="DB122" s="183">
        <f>Data!DD76</f>
        <v>92340.96523681641</v>
      </c>
      <c r="DC122" s="183">
        <f>Data!DE76</f>
        <v>92340.96523681641</v>
      </c>
      <c r="DD122" s="183">
        <f>Data!DF76</f>
        <v>92340.96523681641</v>
      </c>
      <c r="DE122" s="183">
        <f>Data!DG76</f>
        <v>92340.96523681641</v>
      </c>
      <c r="DF122" s="183">
        <f>Data!DH76</f>
        <v>92340.96523681641</v>
      </c>
      <c r="DG122" s="183">
        <f>Data!DI76</f>
        <v>92340.96523681641</v>
      </c>
      <c r="DH122" s="183">
        <f>Data!DJ76</f>
        <v>92340.96523681641</v>
      </c>
      <c r="DI122" s="183">
        <f>Data!DK76</f>
        <v>92340.96523681641</v>
      </c>
      <c r="DJ122" s="183">
        <f>Data!DL76</f>
        <v>96958.013498657238</v>
      </c>
      <c r="DK122" s="183">
        <f>Data!DM76</f>
        <v>96958.013498657238</v>
      </c>
      <c r="DL122" s="183">
        <f>Data!DN76</f>
        <v>96958.013498657238</v>
      </c>
      <c r="DM122" s="183">
        <f>Data!DO76</f>
        <v>96958.013498657238</v>
      </c>
      <c r="DN122" s="183">
        <f>Data!DP76</f>
        <v>96958.013498657238</v>
      </c>
      <c r="DO122" s="183">
        <f>Data!DQ76</f>
        <v>96958.013498657238</v>
      </c>
      <c r="DP122" s="183">
        <f>Data!DR76</f>
        <v>96958.013498657238</v>
      </c>
      <c r="DQ122" s="183">
        <f>Data!DS76</f>
        <v>96958.013498657238</v>
      </c>
      <c r="DR122" s="183">
        <f>Data!DT76</f>
        <v>96958.013498657238</v>
      </c>
      <c r="DS122" s="183">
        <f>Data!DU76</f>
        <v>96958.013498657238</v>
      </c>
      <c r="DT122" s="183">
        <f>Data!DV76</f>
        <v>96958.013498657238</v>
      </c>
      <c r="DU122" s="437">
        <f>Data!DW76</f>
        <v>96958.013498657238</v>
      </c>
      <c r="DV122" s="183"/>
    </row>
    <row r="123" spans="2:126" x14ac:dyDescent="0.3">
      <c r="B123" s="613" t="str">
        <f>Data!D77</f>
        <v>Trainer</v>
      </c>
      <c r="C123" s="183"/>
      <c r="D123" s="183"/>
      <c r="E123" s="436">
        <f>Data!G77</f>
        <v>75000</v>
      </c>
      <c r="F123" s="183">
        <f>Data!H77</f>
        <v>75000</v>
      </c>
      <c r="G123" s="183">
        <f>Data!I77</f>
        <v>75000</v>
      </c>
      <c r="H123" s="183">
        <f>Data!J77</f>
        <v>75000</v>
      </c>
      <c r="I123" s="183">
        <f>Data!K77</f>
        <v>75000</v>
      </c>
      <c r="J123" s="183">
        <f>Data!L77</f>
        <v>75000</v>
      </c>
      <c r="K123" s="183">
        <f>Data!M77</f>
        <v>75000</v>
      </c>
      <c r="L123" s="183">
        <f>Data!N77</f>
        <v>75000</v>
      </c>
      <c r="M123" s="183">
        <f>Data!O77</f>
        <v>75000</v>
      </c>
      <c r="N123" s="183">
        <f>Data!P77</f>
        <v>75000</v>
      </c>
      <c r="O123" s="183">
        <f>Data!Q77</f>
        <v>75000</v>
      </c>
      <c r="P123" s="183">
        <f>Data!R77</f>
        <v>75000</v>
      </c>
      <c r="Q123" s="183">
        <f>Data!S77</f>
        <v>75000</v>
      </c>
      <c r="R123" s="280">
        <f>Data!T77</f>
        <v>78750</v>
      </c>
      <c r="S123" s="183">
        <f>Data!U77</f>
        <v>78750</v>
      </c>
      <c r="T123" s="183">
        <f>Data!V77</f>
        <v>78750</v>
      </c>
      <c r="U123" s="183">
        <f>Data!W77</f>
        <v>78750</v>
      </c>
      <c r="V123" s="183">
        <f>Data!X77</f>
        <v>78750</v>
      </c>
      <c r="W123" s="183">
        <f>Data!Y77</f>
        <v>78750</v>
      </c>
      <c r="X123" s="183">
        <f>Data!Z77</f>
        <v>78750</v>
      </c>
      <c r="Y123" s="183">
        <f>Data!AA77</f>
        <v>78750</v>
      </c>
      <c r="Z123" s="183">
        <f>Data!AB77</f>
        <v>78750</v>
      </c>
      <c r="AA123" s="183">
        <f>Data!AC77</f>
        <v>78750</v>
      </c>
      <c r="AB123" s="183">
        <f>Data!AD77</f>
        <v>78750</v>
      </c>
      <c r="AC123" s="183">
        <f>Data!AE77</f>
        <v>78750</v>
      </c>
      <c r="AD123" s="280">
        <f>Data!AF77</f>
        <v>82687.5</v>
      </c>
      <c r="AE123" s="183">
        <f>Data!AG77</f>
        <v>82687.5</v>
      </c>
      <c r="AF123" s="183">
        <f>Data!AH77</f>
        <v>82687.5</v>
      </c>
      <c r="AG123" s="183">
        <f>Data!AI77</f>
        <v>82687.5</v>
      </c>
      <c r="AH123" s="183">
        <f>Data!AJ77</f>
        <v>82687.5</v>
      </c>
      <c r="AI123" s="183">
        <f>Data!AK77</f>
        <v>82687.5</v>
      </c>
      <c r="AJ123" s="183">
        <f>Data!AL77</f>
        <v>82687.5</v>
      </c>
      <c r="AK123" s="183">
        <f>Data!AM77</f>
        <v>82687.5</v>
      </c>
      <c r="AL123" s="183">
        <f>Data!AN77</f>
        <v>82687.5</v>
      </c>
      <c r="AM123" s="183">
        <f>Data!AO77</f>
        <v>82687.5</v>
      </c>
      <c r="AN123" s="183">
        <f>Data!AP77</f>
        <v>82687.5</v>
      </c>
      <c r="AO123" s="183">
        <f>Data!AQ77</f>
        <v>82687.5</v>
      </c>
      <c r="AP123" s="280">
        <f>Data!AR77</f>
        <v>86821.875</v>
      </c>
      <c r="AQ123" s="183">
        <f>Data!AS77</f>
        <v>86821.875</v>
      </c>
      <c r="AR123" s="183">
        <f>Data!AT77</f>
        <v>86821.875</v>
      </c>
      <c r="AS123" s="183">
        <f>Data!AU77</f>
        <v>86821.875</v>
      </c>
      <c r="AT123" s="183">
        <f>Data!AV77</f>
        <v>86821.875</v>
      </c>
      <c r="AU123" s="183">
        <f>Data!AW77</f>
        <v>86821.875</v>
      </c>
      <c r="AV123" s="183">
        <f>Data!AX77</f>
        <v>86821.875</v>
      </c>
      <c r="AW123" s="183">
        <f>Data!AY77</f>
        <v>86821.875</v>
      </c>
      <c r="AX123" s="183">
        <f>Data!AZ77</f>
        <v>86821.875</v>
      </c>
      <c r="AY123" s="183">
        <f>Data!BA77</f>
        <v>86821.875</v>
      </c>
      <c r="AZ123" s="183">
        <f>Data!BB77</f>
        <v>86821.875</v>
      </c>
      <c r="BA123" s="183">
        <f>Data!BC77</f>
        <v>86821.875</v>
      </c>
      <c r="BB123" s="280">
        <f>Data!BD77</f>
        <v>91162.96875</v>
      </c>
      <c r="BC123" s="183">
        <f>Data!BE77</f>
        <v>91162.96875</v>
      </c>
      <c r="BD123" s="183">
        <f>Data!BF77</f>
        <v>91162.96875</v>
      </c>
      <c r="BE123" s="183">
        <f>Data!BG77</f>
        <v>91162.96875</v>
      </c>
      <c r="BF123" s="183">
        <f>Data!BH77</f>
        <v>91162.96875</v>
      </c>
      <c r="BG123" s="183">
        <f>Data!BI77</f>
        <v>91162.96875</v>
      </c>
      <c r="BH123" s="183">
        <f>Data!BJ77</f>
        <v>91162.96875</v>
      </c>
      <c r="BI123" s="183">
        <f>Data!BK77</f>
        <v>91162.96875</v>
      </c>
      <c r="BJ123" s="183">
        <f>Data!BL77</f>
        <v>91162.96875</v>
      </c>
      <c r="BK123" s="183">
        <f>Data!BM77</f>
        <v>91162.96875</v>
      </c>
      <c r="BL123" s="183">
        <f>Data!BN77</f>
        <v>91162.96875</v>
      </c>
      <c r="BM123" s="183">
        <f>Data!BO77</f>
        <v>91162.96875</v>
      </c>
      <c r="BN123" s="183">
        <f>Data!BP77</f>
        <v>95721.1171875</v>
      </c>
      <c r="BO123" s="183">
        <f>Data!BQ77</f>
        <v>95721.1171875</v>
      </c>
      <c r="BP123" s="183">
        <f>Data!BR77</f>
        <v>95721.1171875</v>
      </c>
      <c r="BQ123" s="183">
        <f>Data!BS77</f>
        <v>95721.1171875</v>
      </c>
      <c r="BR123" s="183">
        <f>Data!BT77</f>
        <v>95721.1171875</v>
      </c>
      <c r="BS123" s="183">
        <f>Data!BU77</f>
        <v>95721.1171875</v>
      </c>
      <c r="BT123" s="183">
        <f>Data!BV77</f>
        <v>95721.1171875</v>
      </c>
      <c r="BU123" s="183">
        <f>Data!BW77</f>
        <v>95721.1171875</v>
      </c>
      <c r="BV123" s="183">
        <f>Data!BX77</f>
        <v>95721.1171875</v>
      </c>
      <c r="BW123" s="183">
        <f>Data!BY77</f>
        <v>95721.1171875</v>
      </c>
      <c r="BX123" s="183">
        <f>Data!BZ77</f>
        <v>95721.1171875</v>
      </c>
      <c r="BY123" s="183">
        <f>Data!CA77</f>
        <v>95721.1171875</v>
      </c>
      <c r="BZ123" s="183">
        <f>Data!CB77</f>
        <v>100507.173046875</v>
      </c>
      <c r="CA123" s="183">
        <f>Data!CC77</f>
        <v>100507.173046875</v>
      </c>
      <c r="CB123" s="183">
        <f>Data!CD77</f>
        <v>100507.173046875</v>
      </c>
      <c r="CC123" s="183">
        <f>Data!CE77</f>
        <v>100507.173046875</v>
      </c>
      <c r="CD123" s="183">
        <f>Data!CF77</f>
        <v>100507.173046875</v>
      </c>
      <c r="CE123" s="183">
        <f>Data!CG77</f>
        <v>100507.173046875</v>
      </c>
      <c r="CF123" s="183">
        <f>Data!CH77</f>
        <v>100507.173046875</v>
      </c>
      <c r="CG123" s="183">
        <f>Data!CI77</f>
        <v>100507.173046875</v>
      </c>
      <c r="CH123" s="183">
        <f>Data!CJ77</f>
        <v>100507.173046875</v>
      </c>
      <c r="CI123" s="183">
        <f>Data!CK77</f>
        <v>100507.173046875</v>
      </c>
      <c r="CJ123" s="183">
        <f>Data!CL77</f>
        <v>100507.173046875</v>
      </c>
      <c r="CK123" s="183">
        <f>Data!CM77</f>
        <v>100507.173046875</v>
      </c>
      <c r="CL123" s="183">
        <f>Data!CN77</f>
        <v>105532.53169921876</v>
      </c>
      <c r="CM123" s="183">
        <f>Data!CO77</f>
        <v>105532.53169921876</v>
      </c>
      <c r="CN123" s="183">
        <f>Data!CP77</f>
        <v>105532.53169921876</v>
      </c>
      <c r="CO123" s="183">
        <f>Data!CQ77</f>
        <v>105532.53169921876</v>
      </c>
      <c r="CP123" s="183">
        <f>Data!CR77</f>
        <v>105532.53169921876</v>
      </c>
      <c r="CQ123" s="183">
        <f>Data!CS77</f>
        <v>105532.53169921876</v>
      </c>
      <c r="CR123" s="183">
        <f>Data!CT77</f>
        <v>105532.53169921876</v>
      </c>
      <c r="CS123" s="183">
        <f>Data!CU77</f>
        <v>105532.53169921876</v>
      </c>
      <c r="CT123" s="183">
        <f>Data!CV77</f>
        <v>105532.53169921876</v>
      </c>
      <c r="CU123" s="183">
        <f>Data!CW77</f>
        <v>105532.53169921876</v>
      </c>
      <c r="CV123" s="183">
        <f>Data!CX77</f>
        <v>105532.53169921876</v>
      </c>
      <c r="CW123" s="183">
        <f>Data!CY77</f>
        <v>105532.53169921876</v>
      </c>
      <c r="CX123" s="183">
        <f>Data!CZ77</f>
        <v>110809.15828417971</v>
      </c>
      <c r="CY123" s="183">
        <f>Data!DA77</f>
        <v>110809.15828417971</v>
      </c>
      <c r="CZ123" s="183">
        <f>Data!DB77</f>
        <v>110809.15828417971</v>
      </c>
      <c r="DA123" s="183">
        <f>Data!DC77</f>
        <v>110809.15828417971</v>
      </c>
      <c r="DB123" s="183">
        <f>Data!DD77</f>
        <v>110809.15828417971</v>
      </c>
      <c r="DC123" s="183">
        <f>Data!DE77</f>
        <v>110809.15828417971</v>
      </c>
      <c r="DD123" s="183">
        <f>Data!DF77</f>
        <v>110809.15828417971</v>
      </c>
      <c r="DE123" s="183">
        <f>Data!DG77</f>
        <v>110809.15828417971</v>
      </c>
      <c r="DF123" s="183">
        <f>Data!DH77</f>
        <v>110809.15828417971</v>
      </c>
      <c r="DG123" s="183">
        <f>Data!DI77</f>
        <v>110809.15828417971</v>
      </c>
      <c r="DH123" s="183">
        <f>Data!DJ77</f>
        <v>110809.15828417971</v>
      </c>
      <c r="DI123" s="183">
        <f>Data!DK77</f>
        <v>110809.15828417971</v>
      </c>
      <c r="DJ123" s="183">
        <f>Data!DL77</f>
        <v>116349.6161983887</v>
      </c>
      <c r="DK123" s="183">
        <f>Data!DM77</f>
        <v>116349.6161983887</v>
      </c>
      <c r="DL123" s="183">
        <f>Data!DN77</f>
        <v>116349.6161983887</v>
      </c>
      <c r="DM123" s="183">
        <f>Data!DO77</f>
        <v>116349.6161983887</v>
      </c>
      <c r="DN123" s="183">
        <f>Data!DP77</f>
        <v>116349.6161983887</v>
      </c>
      <c r="DO123" s="183">
        <f>Data!DQ77</f>
        <v>116349.6161983887</v>
      </c>
      <c r="DP123" s="183">
        <f>Data!DR77</f>
        <v>116349.6161983887</v>
      </c>
      <c r="DQ123" s="183">
        <f>Data!DS77</f>
        <v>116349.6161983887</v>
      </c>
      <c r="DR123" s="183">
        <f>Data!DT77</f>
        <v>116349.6161983887</v>
      </c>
      <c r="DS123" s="183">
        <f>Data!DU77</f>
        <v>116349.6161983887</v>
      </c>
      <c r="DT123" s="183">
        <f>Data!DV77</f>
        <v>116349.6161983887</v>
      </c>
      <c r="DU123" s="437">
        <f>Data!DW77</f>
        <v>116349.6161983887</v>
      </c>
      <c r="DV123" s="183"/>
    </row>
    <row r="124" spans="2:126" x14ac:dyDescent="0.3">
      <c r="B124" s="613" t="str">
        <f>Data!D78</f>
        <v>RTA/WFM</v>
      </c>
      <c r="C124" s="183"/>
      <c r="D124" s="183"/>
      <c r="E124" s="436">
        <f>Data!G78</f>
        <v>62500</v>
      </c>
      <c r="F124" s="183">
        <f>Data!H78</f>
        <v>62500</v>
      </c>
      <c r="G124" s="183">
        <f>Data!I78</f>
        <v>62500</v>
      </c>
      <c r="H124" s="183">
        <f>Data!J78</f>
        <v>62500</v>
      </c>
      <c r="I124" s="183">
        <f>Data!K78</f>
        <v>62500</v>
      </c>
      <c r="J124" s="183">
        <f>Data!L78</f>
        <v>62500</v>
      </c>
      <c r="K124" s="183">
        <f>Data!M78</f>
        <v>62500</v>
      </c>
      <c r="L124" s="183">
        <f>Data!N78</f>
        <v>62500</v>
      </c>
      <c r="M124" s="183">
        <f>Data!O78</f>
        <v>62500</v>
      </c>
      <c r="N124" s="183">
        <f>Data!P78</f>
        <v>62500</v>
      </c>
      <c r="O124" s="183">
        <f>Data!Q78</f>
        <v>62500</v>
      </c>
      <c r="P124" s="183">
        <f>Data!R78</f>
        <v>62500</v>
      </c>
      <c r="Q124" s="183">
        <f>Data!S78</f>
        <v>62500</v>
      </c>
      <c r="R124" s="280">
        <f>Data!T78</f>
        <v>65625</v>
      </c>
      <c r="S124" s="183">
        <f>Data!U78</f>
        <v>65625</v>
      </c>
      <c r="T124" s="183">
        <f>Data!V78</f>
        <v>65625</v>
      </c>
      <c r="U124" s="183">
        <f>Data!W78</f>
        <v>65625</v>
      </c>
      <c r="V124" s="183">
        <f>Data!X78</f>
        <v>65625</v>
      </c>
      <c r="W124" s="183">
        <f>Data!Y78</f>
        <v>65625</v>
      </c>
      <c r="X124" s="183">
        <f>Data!Z78</f>
        <v>65625</v>
      </c>
      <c r="Y124" s="183">
        <f>Data!AA78</f>
        <v>65625</v>
      </c>
      <c r="Z124" s="183">
        <f>Data!AB78</f>
        <v>65625</v>
      </c>
      <c r="AA124" s="183">
        <f>Data!AC78</f>
        <v>65625</v>
      </c>
      <c r="AB124" s="183">
        <f>Data!AD78</f>
        <v>65625</v>
      </c>
      <c r="AC124" s="183">
        <f>Data!AE78</f>
        <v>65625</v>
      </c>
      <c r="AD124" s="280">
        <f>Data!AF78</f>
        <v>68906.25</v>
      </c>
      <c r="AE124" s="183">
        <f>Data!AG78</f>
        <v>68906.25</v>
      </c>
      <c r="AF124" s="183">
        <f>Data!AH78</f>
        <v>68906.25</v>
      </c>
      <c r="AG124" s="183">
        <f>Data!AI78</f>
        <v>68906.25</v>
      </c>
      <c r="AH124" s="183">
        <f>Data!AJ78</f>
        <v>68906.25</v>
      </c>
      <c r="AI124" s="183">
        <f>Data!AK78</f>
        <v>68906.25</v>
      </c>
      <c r="AJ124" s="183">
        <f>Data!AL78</f>
        <v>68906.25</v>
      </c>
      <c r="AK124" s="183">
        <f>Data!AM78</f>
        <v>68906.25</v>
      </c>
      <c r="AL124" s="183">
        <f>Data!AN78</f>
        <v>68906.25</v>
      </c>
      <c r="AM124" s="183">
        <f>Data!AO78</f>
        <v>68906.25</v>
      </c>
      <c r="AN124" s="183">
        <f>Data!AP78</f>
        <v>68906.25</v>
      </c>
      <c r="AO124" s="183">
        <f>Data!AQ78</f>
        <v>68906.25</v>
      </c>
      <c r="AP124" s="280">
        <f>Data!AR78</f>
        <v>72351.5625</v>
      </c>
      <c r="AQ124" s="183">
        <f>Data!AS78</f>
        <v>72351.5625</v>
      </c>
      <c r="AR124" s="183">
        <f>Data!AT78</f>
        <v>72351.5625</v>
      </c>
      <c r="AS124" s="183">
        <f>Data!AU78</f>
        <v>72351.5625</v>
      </c>
      <c r="AT124" s="183">
        <f>Data!AV78</f>
        <v>72351.5625</v>
      </c>
      <c r="AU124" s="183">
        <f>Data!AW78</f>
        <v>72351.5625</v>
      </c>
      <c r="AV124" s="183">
        <f>Data!AX78</f>
        <v>72351.5625</v>
      </c>
      <c r="AW124" s="183">
        <f>Data!AY78</f>
        <v>72351.5625</v>
      </c>
      <c r="AX124" s="183">
        <f>Data!AZ78</f>
        <v>72351.5625</v>
      </c>
      <c r="AY124" s="183">
        <f>Data!BA78</f>
        <v>72351.5625</v>
      </c>
      <c r="AZ124" s="183">
        <f>Data!BB78</f>
        <v>72351.5625</v>
      </c>
      <c r="BA124" s="183">
        <f>Data!BC78</f>
        <v>72351.5625</v>
      </c>
      <c r="BB124" s="280">
        <f>Data!BD78</f>
        <v>75969.140625</v>
      </c>
      <c r="BC124" s="183">
        <f>Data!BE78</f>
        <v>75969.140625</v>
      </c>
      <c r="BD124" s="183">
        <f>Data!BF78</f>
        <v>75969.140625</v>
      </c>
      <c r="BE124" s="183">
        <f>Data!BG78</f>
        <v>75969.140625</v>
      </c>
      <c r="BF124" s="183">
        <f>Data!BH78</f>
        <v>75969.140625</v>
      </c>
      <c r="BG124" s="183">
        <f>Data!BI78</f>
        <v>75969.140625</v>
      </c>
      <c r="BH124" s="183">
        <f>Data!BJ78</f>
        <v>75969.140625</v>
      </c>
      <c r="BI124" s="183">
        <f>Data!BK78</f>
        <v>75969.140625</v>
      </c>
      <c r="BJ124" s="183">
        <f>Data!BL78</f>
        <v>75969.140625</v>
      </c>
      <c r="BK124" s="183">
        <f>Data!BM78</f>
        <v>75969.140625</v>
      </c>
      <c r="BL124" s="183">
        <f>Data!BN78</f>
        <v>75969.140625</v>
      </c>
      <c r="BM124" s="183">
        <f>Data!BO78</f>
        <v>75969.140625</v>
      </c>
      <c r="BN124" s="183">
        <f>Data!BP78</f>
        <v>79767.59765625</v>
      </c>
      <c r="BO124" s="183">
        <f>Data!BQ78</f>
        <v>79767.59765625</v>
      </c>
      <c r="BP124" s="183">
        <f>Data!BR78</f>
        <v>79767.59765625</v>
      </c>
      <c r="BQ124" s="183">
        <f>Data!BS78</f>
        <v>79767.59765625</v>
      </c>
      <c r="BR124" s="183">
        <f>Data!BT78</f>
        <v>79767.59765625</v>
      </c>
      <c r="BS124" s="183">
        <f>Data!BU78</f>
        <v>79767.59765625</v>
      </c>
      <c r="BT124" s="183">
        <f>Data!BV78</f>
        <v>79767.59765625</v>
      </c>
      <c r="BU124" s="183">
        <f>Data!BW78</f>
        <v>79767.59765625</v>
      </c>
      <c r="BV124" s="183">
        <f>Data!BX78</f>
        <v>79767.59765625</v>
      </c>
      <c r="BW124" s="183">
        <f>Data!BY78</f>
        <v>79767.59765625</v>
      </c>
      <c r="BX124" s="183">
        <f>Data!BZ78</f>
        <v>79767.59765625</v>
      </c>
      <c r="BY124" s="183">
        <f>Data!CA78</f>
        <v>79767.59765625</v>
      </c>
      <c r="BZ124" s="183">
        <f>Data!CB78</f>
        <v>83755.9775390625</v>
      </c>
      <c r="CA124" s="183">
        <f>Data!CC78</f>
        <v>83755.9775390625</v>
      </c>
      <c r="CB124" s="183">
        <f>Data!CD78</f>
        <v>83755.9775390625</v>
      </c>
      <c r="CC124" s="183">
        <f>Data!CE78</f>
        <v>83755.9775390625</v>
      </c>
      <c r="CD124" s="183">
        <f>Data!CF78</f>
        <v>83755.9775390625</v>
      </c>
      <c r="CE124" s="183">
        <f>Data!CG78</f>
        <v>83755.9775390625</v>
      </c>
      <c r="CF124" s="183">
        <f>Data!CH78</f>
        <v>83755.9775390625</v>
      </c>
      <c r="CG124" s="183">
        <f>Data!CI78</f>
        <v>83755.9775390625</v>
      </c>
      <c r="CH124" s="183">
        <f>Data!CJ78</f>
        <v>83755.9775390625</v>
      </c>
      <c r="CI124" s="183">
        <f>Data!CK78</f>
        <v>83755.9775390625</v>
      </c>
      <c r="CJ124" s="183">
        <f>Data!CL78</f>
        <v>83755.9775390625</v>
      </c>
      <c r="CK124" s="183">
        <f>Data!CM78</f>
        <v>83755.9775390625</v>
      </c>
      <c r="CL124" s="183">
        <f>Data!CN78</f>
        <v>87943.776416015622</v>
      </c>
      <c r="CM124" s="183">
        <f>Data!CO78</f>
        <v>87943.776416015622</v>
      </c>
      <c r="CN124" s="183">
        <f>Data!CP78</f>
        <v>87943.776416015622</v>
      </c>
      <c r="CO124" s="183">
        <f>Data!CQ78</f>
        <v>87943.776416015622</v>
      </c>
      <c r="CP124" s="183">
        <f>Data!CR78</f>
        <v>87943.776416015622</v>
      </c>
      <c r="CQ124" s="183">
        <f>Data!CS78</f>
        <v>87943.776416015622</v>
      </c>
      <c r="CR124" s="183">
        <f>Data!CT78</f>
        <v>87943.776416015622</v>
      </c>
      <c r="CS124" s="183">
        <f>Data!CU78</f>
        <v>87943.776416015622</v>
      </c>
      <c r="CT124" s="183">
        <f>Data!CV78</f>
        <v>87943.776416015622</v>
      </c>
      <c r="CU124" s="183">
        <f>Data!CW78</f>
        <v>87943.776416015622</v>
      </c>
      <c r="CV124" s="183">
        <f>Data!CX78</f>
        <v>87943.776416015622</v>
      </c>
      <c r="CW124" s="183">
        <f>Data!CY78</f>
        <v>87943.776416015622</v>
      </c>
      <c r="CX124" s="183">
        <f>Data!CZ78</f>
        <v>92340.96523681641</v>
      </c>
      <c r="CY124" s="183">
        <f>Data!DA78</f>
        <v>92340.96523681641</v>
      </c>
      <c r="CZ124" s="183">
        <f>Data!DB78</f>
        <v>92340.96523681641</v>
      </c>
      <c r="DA124" s="183">
        <f>Data!DC78</f>
        <v>92340.96523681641</v>
      </c>
      <c r="DB124" s="183">
        <f>Data!DD78</f>
        <v>92340.96523681641</v>
      </c>
      <c r="DC124" s="183">
        <f>Data!DE78</f>
        <v>92340.96523681641</v>
      </c>
      <c r="DD124" s="183">
        <f>Data!DF78</f>
        <v>92340.96523681641</v>
      </c>
      <c r="DE124" s="183">
        <f>Data!DG78</f>
        <v>92340.96523681641</v>
      </c>
      <c r="DF124" s="183">
        <f>Data!DH78</f>
        <v>92340.96523681641</v>
      </c>
      <c r="DG124" s="183">
        <f>Data!DI78</f>
        <v>92340.96523681641</v>
      </c>
      <c r="DH124" s="183">
        <f>Data!DJ78</f>
        <v>92340.96523681641</v>
      </c>
      <c r="DI124" s="183">
        <f>Data!DK78</f>
        <v>92340.96523681641</v>
      </c>
      <c r="DJ124" s="183">
        <f>Data!DL78</f>
        <v>96958.013498657238</v>
      </c>
      <c r="DK124" s="183">
        <f>Data!DM78</f>
        <v>96958.013498657238</v>
      </c>
      <c r="DL124" s="183">
        <f>Data!DN78</f>
        <v>96958.013498657238</v>
      </c>
      <c r="DM124" s="183">
        <f>Data!DO78</f>
        <v>96958.013498657238</v>
      </c>
      <c r="DN124" s="183">
        <f>Data!DP78</f>
        <v>96958.013498657238</v>
      </c>
      <c r="DO124" s="183">
        <f>Data!DQ78</f>
        <v>96958.013498657238</v>
      </c>
      <c r="DP124" s="183">
        <f>Data!DR78</f>
        <v>96958.013498657238</v>
      </c>
      <c r="DQ124" s="183">
        <f>Data!DS78</f>
        <v>96958.013498657238</v>
      </c>
      <c r="DR124" s="183">
        <f>Data!DT78</f>
        <v>96958.013498657238</v>
      </c>
      <c r="DS124" s="183">
        <f>Data!DU78</f>
        <v>96958.013498657238</v>
      </c>
      <c r="DT124" s="183">
        <f>Data!DV78</f>
        <v>96958.013498657238</v>
      </c>
      <c r="DU124" s="437">
        <f>Data!DW78</f>
        <v>96958.013498657238</v>
      </c>
      <c r="DV124" s="183"/>
    </row>
    <row r="125" spans="2:126" x14ac:dyDescent="0.3">
      <c r="B125" s="613" t="str">
        <f>Data!D79</f>
        <v>Transition Resource</v>
      </c>
      <c r="C125" s="183"/>
      <c r="D125" s="183"/>
      <c r="E125" s="436">
        <f>Data!G79</f>
        <v>239583.33333333334</v>
      </c>
      <c r="F125" s="183">
        <f>Data!H79</f>
        <v>239583.33333333334</v>
      </c>
      <c r="G125" s="183">
        <f>Data!I79</f>
        <v>239583.33333333334</v>
      </c>
      <c r="H125" s="183">
        <f>Data!J79</f>
        <v>239583.33333333334</v>
      </c>
      <c r="I125" s="183">
        <f>Data!K79</f>
        <v>239583.33333333334</v>
      </c>
      <c r="J125" s="183">
        <f>Data!L79</f>
        <v>239583.33333333334</v>
      </c>
      <c r="K125" s="183">
        <f>Data!M79</f>
        <v>239583.33333333334</v>
      </c>
      <c r="L125" s="183">
        <f>Data!N79</f>
        <v>239583.33333333334</v>
      </c>
      <c r="M125" s="183">
        <f>Data!O79</f>
        <v>239583.33333333334</v>
      </c>
      <c r="N125" s="183">
        <f>Data!P79</f>
        <v>239583.33333333334</v>
      </c>
      <c r="O125" s="183">
        <f>Data!Q79</f>
        <v>239583.33333333334</v>
      </c>
      <c r="P125" s="183">
        <f>Data!R79</f>
        <v>239583.33333333334</v>
      </c>
      <c r="Q125" s="183">
        <f>Data!S79</f>
        <v>239583.33333333334</v>
      </c>
      <c r="R125" s="280">
        <f>Data!T79</f>
        <v>251562.50000000003</v>
      </c>
      <c r="S125" s="183">
        <f>Data!U79</f>
        <v>251562.50000000003</v>
      </c>
      <c r="T125" s="183">
        <f>Data!V79</f>
        <v>251562.50000000003</v>
      </c>
      <c r="U125" s="183">
        <f>Data!W79</f>
        <v>251562.50000000003</v>
      </c>
      <c r="V125" s="183">
        <f>Data!X79</f>
        <v>251562.50000000003</v>
      </c>
      <c r="W125" s="183">
        <f>Data!Y79</f>
        <v>251562.50000000003</v>
      </c>
      <c r="X125" s="183">
        <f>Data!Z79</f>
        <v>251562.50000000003</v>
      </c>
      <c r="Y125" s="183">
        <f>Data!AA79</f>
        <v>251562.50000000003</v>
      </c>
      <c r="Z125" s="183">
        <f>Data!AB79</f>
        <v>251562.50000000003</v>
      </c>
      <c r="AA125" s="183">
        <f>Data!AC79</f>
        <v>251562.50000000003</v>
      </c>
      <c r="AB125" s="183">
        <f>Data!AD79</f>
        <v>251562.50000000003</v>
      </c>
      <c r="AC125" s="183">
        <f>Data!AE79</f>
        <v>251562.50000000003</v>
      </c>
      <c r="AD125" s="280">
        <f>Data!AF79</f>
        <v>264140.62500000006</v>
      </c>
      <c r="AE125" s="183">
        <f>Data!AG79</f>
        <v>264140.62500000006</v>
      </c>
      <c r="AF125" s="183">
        <f>Data!AH79</f>
        <v>264140.62500000006</v>
      </c>
      <c r="AG125" s="183">
        <f>Data!AI79</f>
        <v>264140.62500000006</v>
      </c>
      <c r="AH125" s="183">
        <f>Data!AJ79</f>
        <v>264140.62500000006</v>
      </c>
      <c r="AI125" s="183">
        <f>Data!AK79</f>
        <v>264140.62500000006</v>
      </c>
      <c r="AJ125" s="183">
        <f>Data!AL79</f>
        <v>264140.62500000006</v>
      </c>
      <c r="AK125" s="183">
        <f>Data!AM79</f>
        <v>264140.62500000006</v>
      </c>
      <c r="AL125" s="183">
        <f>Data!AN79</f>
        <v>264140.62500000006</v>
      </c>
      <c r="AM125" s="183">
        <f>Data!AO79</f>
        <v>264140.62500000006</v>
      </c>
      <c r="AN125" s="183">
        <f>Data!AP79</f>
        <v>264140.62500000006</v>
      </c>
      <c r="AO125" s="183">
        <f>Data!AQ79</f>
        <v>264140.62500000006</v>
      </c>
      <c r="AP125" s="280">
        <f>Data!AR79</f>
        <v>277347.65625000006</v>
      </c>
      <c r="AQ125" s="183">
        <f>Data!AS79</f>
        <v>277347.65625000006</v>
      </c>
      <c r="AR125" s="183">
        <f>Data!AT79</f>
        <v>277347.65625000006</v>
      </c>
      <c r="AS125" s="183">
        <f>Data!AU79</f>
        <v>277347.65625000006</v>
      </c>
      <c r="AT125" s="183">
        <f>Data!AV79</f>
        <v>277347.65625000006</v>
      </c>
      <c r="AU125" s="183">
        <f>Data!AW79</f>
        <v>277347.65625000006</v>
      </c>
      <c r="AV125" s="183">
        <f>Data!AX79</f>
        <v>277347.65625000006</v>
      </c>
      <c r="AW125" s="183">
        <f>Data!AY79</f>
        <v>277347.65625000006</v>
      </c>
      <c r="AX125" s="183">
        <f>Data!AZ79</f>
        <v>277347.65625000006</v>
      </c>
      <c r="AY125" s="183">
        <f>Data!BA79</f>
        <v>277347.65625000006</v>
      </c>
      <c r="AZ125" s="183">
        <f>Data!BB79</f>
        <v>277347.65625000006</v>
      </c>
      <c r="BA125" s="183">
        <f>Data!BC79</f>
        <v>277347.65625000006</v>
      </c>
      <c r="BB125" s="280">
        <f>Data!BD79</f>
        <v>291215.03906250006</v>
      </c>
      <c r="BC125" s="183">
        <f>Data!BE79</f>
        <v>291215.03906250006</v>
      </c>
      <c r="BD125" s="183">
        <f>Data!BF79</f>
        <v>291215.03906250006</v>
      </c>
      <c r="BE125" s="183">
        <f>Data!BG79</f>
        <v>291215.03906250006</v>
      </c>
      <c r="BF125" s="183">
        <f>Data!BH79</f>
        <v>291215.03906250006</v>
      </c>
      <c r="BG125" s="183">
        <f>Data!BI79</f>
        <v>291215.03906250006</v>
      </c>
      <c r="BH125" s="183">
        <f>Data!BJ79</f>
        <v>291215.03906250006</v>
      </c>
      <c r="BI125" s="183">
        <f>Data!BK79</f>
        <v>291215.03906250006</v>
      </c>
      <c r="BJ125" s="183">
        <f>Data!BL79</f>
        <v>291215.03906250006</v>
      </c>
      <c r="BK125" s="183">
        <f>Data!BM79</f>
        <v>291215.03906250006</v>
      </c>
      <c r="BL125" s="183">
        <f>Data!BN79</f>
        <v>291215.03906250006</v>
      </c>
      <c r="BM125" s="183">
        <f>Data!BO79</f>
        <v>291215.03906250006</v>
      </c>
      <c r="BN125" s="183">
        <f>Data!BP79</f>
        <v>305775.79101562506</v>
      </c>
      <c r="BO125" s="183">
        <f>Data!BQ79</f>
        <v>305775.79101562506</v>
      </c>
      <c r="BP125" s="183">
        <f>Data!BR79</f>
        <v>305775.79101562506</v>
      </c>
      <c r="BQ125" s="183">
        <f>Data!BS79</f>
        <v>305775.79101562506</v>
      </c>
      <c r="BR125" s="183">
        <f>Data!BT79</f>
        <v>305775.79101562506</v>
      </c>
      <c r="BS125" s="183">
        <f>Data!BU79</f>
        <v>305775.79101562506</v>
      </c>
      <c r="BT125" s="183">
        <f>Data!BV79</f>
        <v>305775.79101562506</v>
      </c>
      <c r="BU125" s="183">
        <f>Data!BW79</f>
        <v>305775.79101562506</v>
      </c>
      <c r="BV125" s="183">
        <f>Data!BX79</f>
        <v>305775.79101562506</v>
      </c>
      <c r="BW125" s="183">
        <f>Data!BY79</f>
        <v>305775.79101562506</v>
      </c>
      <c r="BX125" s="183">
        <f>Data!BZ79</f>
        <v>305775.79101562506</v>
      </c>
      <c r="BY125" s="183">
        <f>Data!CA79</f>
        <v>305775.79101562506</v>
      </c>
      <c r="BZ125" s="183">
        <f>Data!CB79</f>
        <v>321064.58056640631</v>
      </c>
      <c r="CA125" s="183">
        <f>Data!CC79</f>
        <v>321064.58056640631</v>
      </c>
      <c r="CB125" s="183">
        <f>Data!CD79</f>
        <v>321064.58056640631</v>
      </c>
      <c r="CC125" s="183">
        <f>Data!CE79</f>
        <v>321064.58056640631</v>
      </c>
      <c r="CD125" s="183">
        <f>Data!CF79</f>
        <v>321064.58056640631</v>
      </c>
      <c r="CE125" s="183">
        <f>Data!CG79</f>
        <v>321064.58056640631</v>
      </c>
      <c r="CF125" s="183">
        <f>Data!CH79</f>
        <v>321064.58056640631</v>
      </c>
      <c r="CG125" s="183">
        <f>Data!CI79</f>
        <v>321064.58056640631</v>
      </c>
      <c r="CH125" s="183">
        <f>Data!CJ79</f>
        <v>321064.58056640631</v>
      </c>
      <c r="CI125" s="183">
        <f>Data!CK79</f>
        <v>321064.58056640631</v>
      </c>
      <c r="CJ125" s="183">
        <f>Data!CL79</f>
        <v>321064.58056640631</v>
      </c>
      <c r="CK125" s="183">
        <f>Data!CM79</f>
        <v>321064.58056640631</v>
      </c>
      <c r="CL125" s="183">
        <f>Data!CN79</f>
        <v>337117.80959472666</v>
      </c>
      <c r="CM125" s="183">
        <f>Data!CO79</f>
        <v>337117.80959472666</v>
      </c>
      <c r="CN125" s="183">
        <f>Data!CP79</f>
        <v>337117.80959472666</v>
      </c>
      <c r="CO125" s="183">
        <f>Data!CQ79</f>
        <v>337117.80959472666</v>
      </c>
      <c r="CP125" s="183">
        <f>Data!CR79</f>
        <v>337117.80959472666</v>
      </c>
      <c r="CQ125" s="183">
        <f>Data!CS79</f>
        <v>337117.80959472666</v>
      </c>
      <c r="CR125" s="183">
        <f>Data!CT79</f>
        <v>337117.80959472666</v>
      </c>
      <c r="CS125" s="183">
        <f>Data!CU79</f>
        <v>337117.80959472666</v>
      </c>
      <c r="CT125" s="183">
        <f>Data!CV79</f>
        <v>337117.80959472666</v>
      </c>
      <c r="CU125" s="183">
        <f>Data!CW79</f>
        <v>337117.80959472666</v>
      </c>
      <c r="CV125" s="183">
        <f>Data!CX79</f>
        <v>337117.80959472666</v>
      </c>
      <c r="CW125" s="183">
        <f>Data!CY79</f>
        <v>337117.80959472666</v>
      </c>
      <c r="CX125" s="183">
        <f>Data!CZ79</f>
        <v>353973.70007446298</v>
      </c>
      <c r="CY125" s="183">
        <f>Data!DA79</f>
        <v>353973.70007446298</v>
      </c>
      <c r="CZ125" s="183">
        <f>Data!DB79</f>
        <v>353973.70007446298</v>
      </c>
      <c r="DA125" s="183">
        <f>Data!DC79</f>
        <v>353973.70007446298</v>
      </c>
      <c r="DB125" s="183">
        <f>Data!DD79</f>
        <v>353973.70007446298</v>
      </c>
      <c r="DC125" s="183">
        <f>Data!DE79</f>
        <v>353973.70007446298</v>
      </c>
      <c r="DD125" s="183">
        <f>Data!DF79</f>
        <v>353973.70007446298</v>
      </c>
      <c r="DE125" s="183">
        <f>Data!DG79</f>
        <v>353973.70007446298</v>
      </c>
      <c r="DF125" s="183">
        <f>Data!DH79</f>
        <v>353973.70007446298</v>
      </c>
      <c r="DG125" s="183">
        <f>Data!DI79</f>
        <v>353973.70007446298</v>
      </c>
      <c r="DH125" s="183">
        <f>Data!DJ79</f>
        <v>353973.70007446298</v>
      </c>
      <c r="DI125" s="183">
        <f>Data!DK79</f>
        <v>353973.70007446298</v>
      </c>
      <c r="DJ125" s="183">
        <f>Data!DL79</f>
        <v>371672.38507818617</v>
      </c>
      <c r="DK125" s="183">
        <f>Data!DM79</f>
        <v>371672.38507818617</v>
      </c>
      <c r="DL125" s="183">
        <f>Data!DN79</f>
        <v>371672.38507818617</v>
      </c>
      <c r="DM125" s="183">
        <f>Data!DO79</f>
        <v>371672.38507818617</v>
      </c>
      <c r="DN125" s="183">
        <f>Data!DP79</f>
        <v>371672.38507818617</v>
      </c>
      <c r="DO125" s="183">
        <f>Data!DQ79</f>
        <v>371672.38507818617</v>
      </c>
      <c r="DP125" s="183">
        <f>Data!DR79</f>
        <v>371672.38507818617</v>
      </c>
      <c r="DQ125" s="183">
        <f>Data!DS79</f>
        <v>371672.38507818617</v>
      </c>
      <c r="DR125" s="183">
        <f>Data!DT79</f>
        <v>371672.38507818617</v>
      </c>
      <c r="DS125" s="183">
        <f>Data!DU79</f>
        <v>371672.38507818617</v>
      </c>
      <c r="DT125" s="183">
        <f>Data!DV79</f>
        <v>371672.38507818617</v>
      </c>
      <c r="DU125" s="437">
        <f>Data!DW79</f>
        <v>371672.38507818617</v>
      </c>
      <c r="DV125" s="183"/>
    </row>
    <row r="126" spans="2:126" x14ac:dyDescent="0.3">
      <c r="B126" s="613" t="str">
        <f>Data!D80</f>
        <v>PEx Resource</v>
      </c>
      <c r="C126" s="183"/>
      <c r="D126" s="183"/>
      <c r="E126" s="436">
        <f>Data!G80</f>
        <v>250000</v>
      </c>
      <c r="F126" s="183">
        <f>Data!H80</f>
        <v>250000</v>
      </c>
      <c r="G126" s="183">
        <f>Data!I80</f>
        <v>250000</v>
      </c>
      <c r="H126" s="183">
        <f>Data!J80</f>
        <v>250000</v>
      </c>
      <c r="I126" s="183">
        <f>Data!K80</f>
        <v>250000</v>
      </c>
      <c r="J126" s="183">
        <f>Data!L80</f>
        <v>250000</v>
      </c>
      <c r="K126" s="183">
        <f>Data!M80</f>
        <v>250000</v>
      </c>
      <c r="L126" s="183">
        <f>Data!N80</f>
        <v>250000</v>
      </c>
      <c r="M126" s="183">
        <f>Data!O80</f>
        <v>250000</v>
      </c>
      <c r="N126" s="183">
        <f>Data!P80</f>
        <v>250000</v>
      </c>
      <c r="O126" s="183">
        <f>Data!Q80</f>
        <v>250000</v>
      </c>
      <c r="P126" s="183">
        <f>Data!R80</f>
        <v>250000</v>
      </c>
      <c r="Q126" s="183">
        <f>Data!S80</f>
        <v>250000</v>
      </c>
      <c r="R126" s="280">
        <f>Data!T80</f>
        <v>262500</v>
      </c>
      <c r="S126" s="183">
        <f>Data!U80</f>
        <v>262500</v>
      </c>
      <c r="T126" s="183">
        <f>Data!V80</f>
        <v>262500</v>
      </c>
      <c r="U126" s="183">
        <f>Data!W80</f>
        <v>262500</v>
      </c>
      <c r="V126" s="183">
        <f>Data!X80</f>
        <v>262500</v>
      </c>
      <c r="W126" s="183">
        <f>Data!Y80</f>
        <v>262500</v>
      </c>
      <c r="X126" s="183">
        <f>Data!Z80</f>
        <v>262500</v>
      </c>
      <c r="Y126" s="183">
        <f>Data!AA80</f>
        <v>262500</v>
      </c>
      <c r="Z126" s="183">
        <f>Data!AB80</f>
        <v>262500</v>
      </c>
      <c r="AA126" s="183">
        <f>Data!AC80</f>
        <v>262500</v>
      </c>
      <c r="AB126" s="183">
        <f>Data!AD80</f>
        <v>262500</v>
      </c>
      <c r="AC126" s="183">
        <f>Data!AE80</f>
        <v>262500</v>
      </c>
      <c r="AD126" s="280">
        <f>Data!AF80</f>
        <v>275625</v>
      </c>
      <c r="AE126" s="183">
        <f>Data!AG80</f>
        <v>275625</v>
      </c>
      <c r="AF126" s="183">
        <f>Data!AH80</f>
        <v>275625</v>
      </c>
      <c r="AG126" s="183">
        <f>Data!AI80</f>
        <v>275625</v>
      </c>
      <c r="AH126" s="183">
        <f>Data!AJ80</f>
        <v>275625</v>
      </c>
      <c r="AI126" s="183">
        <f>Data!AK80</f>
        <v>275625</v>
      </c>
      <c r="AJ126" s="183">
        <f>Data!AL80</f>
        <v>275625</v>
      </c>
      <c r="AK126" s="183">
        <f>Data!AM80</f>
        <v>275625</v>
      </c>
      <c r="AL126" s="183">
        <f>Data!AN80</f>
        <v>275625</v>
      </c>
      <c r="AM126" s="183">
        <f>Data!AO80</f>
        <v>275625</v>
      </c>
      <c r="AN126" s="183">
        <f>Data!AP80</f>
        <v>275625</v>
      </c>
      <c r="AO126" s="183">
        <f>Data!AQ80</f>
        <v>275625</v>
      </c>
      <c r="AP126" s="280">
        <f>Data!AR80</f>
        <v>289406.25</v>
      </c>
      <c r="AQ126" s="183">
        <f>Data!AS80</f>
        <v>289406.25</v>
      </c>
      <c r="AR126" s="183">
        <f>Data!AT80</f>
        <v>289406.25</v>
      </c>
      <c r="AS126" s="183">
        <f>Data!AU80</f>
        <v>289406.25</v>
      </c>
      <c r="AT126" s="183">
        <f>Data!AV80</f>
        <v>289406.25</v>
      </c>
      <c r="AU126" s="183">
        <f>Data!AW80</f>
        <v>289406.25</v>
      </c>
      <c r="AV126" s="183">
        <f>Data!AX80</f>
        <v>289406.25</v>
      </c>
      <c r="AW126" s="183">
        <f>Data!AY80</f>
        <v>289406.25</v>
      </c>
      <c r="AX126" s="183">
        <f>Data!AZ80</f>
        <v>289406.25</v>
      </c>
      <c r="AY126" s="183">
        <f>Data!BA80</f>
        <v>289406.25</v>
      </c>
      <c r="AZ126" s="183">
        <f>Data!BB80</f>
        <v>289406.25</v>
      </c>
      <c r="BA126" s="183">
        <f>Data!BC80</f>
        <v>289406.25</v>
      </c>
      <c r="BB126" s="280">
        <f>Data!BD80</f>
        <v>303876.5625</v>
      </c>
      <c r="BC126" s="183">
        <f>Data!BE80</f>
        <v>303876.5625</v>
      </c>
      <c r="BD126" s="183">
        <f>Data!BF80</f>
        <v>303876.5625</v>
      </c>
      <c r="BE126" s="183">
        <f>Data!BG80</f>
        <v>303876.5625</v>
      </c>
      <c r="BF126" s="183">
        <f>Data!BH80</f>
        <v>303876.5625</v>
      </c>
      <c r="BG126" s="183">
        <f>Data!BI80</f>
        <v>303876.5625</v>
      </c>
      <c r="BH126" s="183">
        <f>Data!BJ80</f>
        <v>303876.5625</v>
      </c>
      <c r="BI126" s="183">
        <f>Data!BK80</f>
        <v>303876.5625</v>
      </c>
      <c r="BJ126" s="183">
        <f>Data!BL80</f>
        <v>303876.5625</v>
      </c>
      <c r="BK126" s="183">
        <f>Data!BM80</f>
        <v>303876.5625</v>
      </c>
      <c r="BL126" s="183">
        <f>Data!BN80</f>
        <v>303876.5625</v>
      </c>
      <c r="BM126" s="183">
        <f>Data!BO80</f>
        <v>303876.5625</v>
      </c>
      <c r="BN126" s="183">
        <f>Data!BP80</f>
        <v>319070.390625</v>
      </c>
      <c r="BO126" s="183">
        <f>Data!BQ80</f>
        <v>319070.390625</v>
      </c>
      <c r="BP126" s="183">
        <f>Data!BR80</f>
        <v>319070.390625</v>
      </c>
      <c r="BQ126" s="183">
        <f>Data!BS80</f>
        <v>319070.390625</v>
      </c>
      <c r="BR126" s="183">
        <f>Data!BT80</f>
        <v>319070.390625</v>
      </c>
      <c r="BS126" s="183">
        <f>Data!BU80</f>
        <v>319070.390625</v>
      </c>
      <c r="BT126" s="183">
        <f>Data!BV80</f>
        <v>319070.390625</v>
      </c>
      <c r="BU126" s="183">
        <f>Data!BW80</f>
        <v>319070.390625</v>
      </c>
      <c r="BV126" s="183">
        <f>Data!BX80</f>
        <v>319070.390625</v>
      </c>
      <c r="BW126" s="183">
        <f>Data!BY80</f>
        <v>319070.390625</v>
      </c>
      <c r="BX126" s="183">
        <f>Data!BZ80</f>
        <v>319070.390625</v>
      </c>
      <c r="BY126" s="183">
        <f>Data!CA80</f>
        <v>319070.390625</v>
      </c>
      <c r="BZ126" s="183">
        <f>Data!CB80</f>
        <v>335023.91015625</v>
      </c>
      <c r="CA126" s="183">
        <f>Data!CC80</f>
        <v>335023.91015625</v>
      </c>
      <c r="CB126" s="183">
        <f>Data!CD80</f>
        <v>335023.91015625</v>
      </c>
      <c r="CC126" s="183">
        <f>Data!CE80</f>
        <v>335023.91015625</v>
      </c>
      <c r="CD126" s="183">
        <f>Data!CF80</f>
        <v>335023.91015625</v>
      </c>
      <c r="CE126" s="183">
        <f>Data!CG80</f>
        <v>335023.91015625</v>
      </c>
      <c r="CF126" s="183">
        <f>Data!CH80</f>
        <v>335023.91015625</v>
      </c>
      <c r="CG126" s="183">
        <f>Data!CI80</f>
        <v>335023.91015625</v>
      </c>
      <c r="CH126" s="183">
        <f>Data!CJ80</f>
        <v>335023.91015625</v>
      </c>
      <c r="CI126" s="183">
        <f>Data!CK80</f>
        <v>335023.91015625</v>
      </c>
      <c r="CJ126" s="183">
        <f>Data!CL80</f>
        <v>335023.91015625</v>
      </c>
      <c r="CK126" s="183">
        <f>Data!CM80</f>
        <v>335023.91015625</v>
      </c>
      <c r="CL126" s="183">
        <f>Data!CN80</f>
        <v>351775.10566406249</v>
      </c>
      <c r="CM126" s="183">
        <f>Data!CO80</f>
        <v>351775.10566406249</v>
      </c>
      <c r="CN126" s="183">
        <f>Data!CP80</f>
        <v>351775.10566406249</v>
      </c>
      <c r="CO126" s="183">
        <f>Data!CQ80</f>
        <v>351775.10566406249</v>
      </c>
      <c r="CP126" s="183">
        <f>Data!CR80</f>
        <v>351775.10566406249</v>
      </c>
      <c r="CQ126" s="183">
        <f>Data!CS80</f>
        <v>351775.10566406249</v>
      </c>
      <c r="CR126" s="183">
        <f>Data!CT80</f>
        <v>351775.10566406249</v>
      </c>
      <c r="CS126" s="183">
        <f>Data!CU80</f>
        <v>351775.10566406249</v>
      </c>
      <c r="CT126" s="183">
        <f>Data!CV80</f>
        <v>351775.10566406249</v>
      </c>
      <c r="CU126" s="183">
        <f>Data!CW80</f>
        <v>351775.10566406249</v>
      </c>
      <c r="CV126" s="183">
        <f>Data!CX80</f>
        <v>351775.10566406249</v>
      </c>
      <c r="CW126" s="183">
        <f>Data!CY80</f>
        <v>351775.10566406249</v>
      </c>
      <c r="CX126" s="183">
        <f>Data!CZ80</f>
        <v>369363.86094726564</v>
      </c>
      <c r="CY126" s="183">
        <f>Data!DA80</f>
        <v>369363.86094726564</v>
      </c>
      <c r="CZ126" s="183">
        <f>Data!DB80</f>
        <v>369363.86094726564</v>
      </c>
      <c r="DA126" s="183">
        <f>Data!DC80</f>
        <v>369363.86094726564</v>
      </c>
      <c r="DB126" s="183">
        <f>Data!DD80</f>
        <v>369363.86094726564</v>
      </c>
      <c r="DC126" s="183">
        <f>Data!DE80</f>
        <v>369363.86094726564</v>
      </c>
      <c r="DD126" s="183">
        <f>Data!DF80</f>
        <v>369363.86094726564</v>
      </c>
      <c r="DE126" s="183">
        <f>Data!DG80</f>
        <v>369363.86094726564</v>
      </c>
      <c r="DF126" s="183">
        <f>Data!DH80</f>
        <v>369363.86094726564</v>
      </c>
      <c r="DG126" s="183">
        <f>Data!DI80</f>
        <v>369363.86094726564</v>
      </c>
      <c r="DH126" s="183">
        <f>Data!DJ80</f>
        <v>369363.86094726564</v>
      </c>
      <c r="DI126" s="183">
        <f>Data!DK80</f>
        <v>369363.86094726564</v>
      </c>
      <c r="DJ126" s="183">
        <f>Data!DL80</f>
        <v>387832.05399462895</v>
      </c>
      <c r="DK126" s="183">
        <f>Data!DM80</f>
        <v>387832.05399462895</v>
      </c>
      <c r="DL126" s="183">
        <f>Data!DN80</f>
        <v>387832.05399462895</v>
      </c>
      <c r="DM126" s="183">
        <f>Data!DO80</f>
        <v>387832.05399462895</v>
      </c>
      <c r="DN126" s="183">
        <f>Data!DP80</f>
        <v>387832.05399462895</v>
      </c>
      <c r="DO126" s="183">
        <f>Data!DQ80</f>
        <v>387832.05399462895</v>
      </c>
      <c r="DP126" s="183">
        <f>Data!DR80</f>
        <v>387832.05399462895</v>
      </c>
      <c r="DQ126" s="183">
        <f>Data!DS80</f>
        <v>387832.05399462895</v>
      </c>
      <c r="DR126" s="183">
        <f>Data!DT80</f>
        <v>387832.05399462895</v>
      </c>
      <c r="DS126" s="183">
        <f>Data!DU80</f>
        <v>387832.05399462895</v>
      </c>
      <c r="DT126" s="183">
        <f>Data!DV80</f>
        <v>387832.05399462895</v>
      </c>
      <c r="DU126" s="437">
        <f>Data!DW80</f>
        <v>387832.05399462895</v>
      </c>
      <c r="DV126" s="183"/>
    </row>
    <row r="127" spans="2:126" x14ac:dyDescent="0.3">
      <c r="B127" s="613" t="str">
        <f>Data!D81</f>
        <v>Resource3</v>
      </c>
      <c r="C127" s="183"/>
      <c r="D127" s="183"/>
      <c r="E127" s="436">
        <f>Data!G81</f>
        <v>0</v>
      </c>
      <c r="F127" s="183">
        <f>Data!H81</f>
        <v>0</v>
      </c>
      <c r="G127" s="183">
        <f>Data!I81</f>
        <v>0</v>
      </c>
      <c r="H127" s="183">
        <f>Data!J81</f>
        <v>0</v>
      </c>
      <c r="I127" s="183">
        <f>Data!K81</f>
        <v>0</v>
      </c>
      <c r="J127" s="183">
        <f>Data!L81</f>
        <v>0</v>
      </c>
      <c r="K127" s="183">
        <f>Data!M81</f>
        <v>0</v>
      </c>
      <c r="L127" s="183">
        <f>Data!N81</f>
        <v>0</v>
      </c>
      <c r="M127" s="183">
        <f>Data!O81</f>
        <v>0</v>
      </c>
      <c r="N127" s="183">
        <f>Data!P81</f>
        <v>0</v>
      </c>
      <c r="O127" s="183">
        <f>Data!Q81</f>
        <v>0</v>
      </c>
      <c r="P127" s="183">
        <f>Data!R81</f>
        <v>0</v>
      </c>
      <c r="Q127" s="183">
        <f>Data!S81</f>
        <v>0</v>
      </c>
      <c r="R127" s="280">
        <f>Data!T81</f>
        <v>0</v>
      </c>
      <c r="S127" s="183">
        <f>Data!U81</f>
        <v>0</v>
      </c>
      <c r="T127" s="183">
        <f>Data!V81</f>
        <v>0</v>
      </c>
      <c r="U127" s="183">
        <f>Data!W81</f>
        <v>0</v>
      </c>
      <c r="V127" s="183">
        <f>Data!X81</f>
        <v>0</v>
      </c>
      <c r="W127" s="183">
        <f>Data!Y81</f>
        <v>0</v>
      </c>
      <c r="X127" s="183">
        <f>Data!Z81</f>
        <v>0</v>
      </c>
      <c r="Y127" s="183">
        <f>Data!AA81</f>
        <v>0</v>
      </c>
      <c r="Z127" s="183">
        <f>Data!AB81</f>
        <v>0</v>
      </c>
      <c r="AA127" s="183">
        <f>Data!AC81</f>
        <v>0</v>
      </c>
      <c r="AB127" s="183">
        <f>Data!AD81</f>
        <v>0</v>
      </c>
      <c r="AC127" s="183">
        <f>Data!AE81</f>
        <v>0</v>
      </c>
      <c r="AD127" s="280">
        <f>Data!AF81</f>
        <v>0</v>
      </c>
      <c r="AE127" s="183">
        <f>Data!AG81</f>
        <v>0</v>
      </c>
      <c r="AF127" s="183">
        <f>Data!AH81</f>
        <v>0</v>
      </c>
      <c r="AG127" s="183">
        <f>Data!AI81</f>
        <v>0</v>
      </c>
      <c r="AH127" s="183">
        <f>Data!AJ81</f>
        <v>0</v>
      </c>
      <c r="AI127" s="183">
        <f>Data!AK81</f>
        <v>0</v>
      </c>
      <c r="AJ127" s="183">
        <f>Data!AL81</f>
        <v>0</v>
      </c>
      <c r="AK127" s="183">
        <f>Data!AM81</f>
        <v>0</v>
      </c>
      <c r="AL127" s="183">
        <f>Data!AN81</f>
        <v>0</v>
      </c>
      <c r="AM127" s="183">
        <f>Data!AO81</f>
        <v>0</v>
      </c>
      <c r="AN127" s="183">
        <f>Data!AP81</f>
        <v>0</v>
      </c>
      <c r="AO127" s="183">
        <f>Data!AQ81</f>
        <v>0</v>
      </c>
      <c r="AP127" s="280">
        <f>Data!AR81</f>
        <v>0</v>
      </c>
      <c r="AQ127" s="183">
        <f>Data!AS81</f>
        <v>0</v>
      </c>
      <c r="AR127" s="183">
        <f>Data!AT81</f>
        <v>0</v>
      </c>
      <c r="AS127" s="183">
        <f>Data!AU81</f>
        <v>0</v>
      </c>
      <c r="AT127" s="183">
        <f>Data!AV81</f>
        <v>0</v>
      </c>
      <c r="AU127" s="183">
        <f>Data!AW81</f>
        <v>0</v>
      </c>
      <c r="AV127" s="183">
        <f>Data!AX81</f>
        <v>0</v>
      </c>
      <c r="AW127" s="183">
        <f>Data!AY81</f>
        <v>0</v>
      </c>
      <c r="AX127" s="183">
        <f>Data!AZ81</f>
        <v>0</v>
      </c>
      <c r="AY127" s="183">
        <f>Data!BA81</f>
        <v>0</v>
      </c>
      <c r="AZ127" s="183">
        <f>Data!BB81</f>
        <v>0</v>
      </c>
      <c r="BA127" s="183">
        <f>Data!BC81</f>
        <v>0</v>
      </c>
      <c r="BB127" s="280">
        <f>Data!BD81</f>
        <v>0</v>
      </c>
      <c r="BC127" s="183">
        <f>Data!BE81</f>
        <v>0</v>
      </c>
      <c r="BD127" s="183">
        <f>Data!BF81</f>
        <v>0</v>
      </c>
      <c r="BE127" s="183">
        <f>Data!BG81</f>
        <v>0</v>
      </c>
      <c r="BF127" s="183">
        <f>Data!BH81</f>
        <v>0</v>
      </c>
      <c r="BG127" s="183">
        <f>Data!BI81</f>
        <v>0</v>
      </c>
      <c r="BH127" s="183">
        <f>Data!BJ81</f>
        <v>0</v>
      </c>
      <c r="BI127" s="183">
        <f>Data!BK81</f>
        <v>0</v>
      </c>
      <c r="BJ127" s="183">
        <f>Data!BL81</f>
        <v>0</v>
      </c>
      <c r="BK127" s="183">
        <f>Data!BM81</f>
        <v>0</v>
      </c>
      <c r="BL127" s="183">
        <f>Data!BN81</f>
        <v>0</v>
      </c>
      <c r="BM127" s="183">
        <f>Data!BO81</f>
        <v>0</v>
      </c>
      <c r="BN127" s="183">
        <f>Data!BP81</f>
        <v>0</v>
      </c>
      <c r="BO127" s="183">
        <f>Data!BQ81</f>
        <v>0</v>
      </c>
      <c r="BP127" s="183">
        <f>Data!BR81</f>
        <v>0</v>
      </c>
      <c r="BQ127" s="183">
        <f>Data!BS81</f>
        <v>0</v>
      </c>
      <c r="BR127" s="183">
        <f>Data!BT81</f>
        <v>0</v>
      </c>
      <c r="BS127" s="183">
        <f>Data!BU81</f>
        <v>0</v>
      </c>
      <c r="BT127" s="183">
        <f>Data!BV81</f>
        <v>0</v>
      </c>
      <c r="BU127" s="183">
        <f>Data!BW81</f>
        <v>0</v>
      </c>
      <c r="BV127" s="183">
        <f>Data!BX81</f>
        <v>0</v>
      </c>
      <c r="BW127" s="183">
        <f>Data!BY81</f>
        <v>0</v>
      </c>
      <c r="BX127" s="183">
        <f>Data!BZ81</f>
        <v>0</v>
      </c>
      <c r="BY127" s="183">
        <f>Data!CA81</f>
        <v>0</v>
      </c>
      <c r="BZ127" s="183">
        <f>Data!CB81</f>
        <v>0</v>
      </c>
      <c r="CA127" s="183">
        <f>Data!CC81</f>
        <v>0</v>
      </c>
      <c r="CB127" s="183">
        <f>Data!CD81</f>
        <v>0</v>
      </c>
      <c r="CC127" s="183">
        <f>Data!CE81</f>
        <v>0</v>
      </c>
      <c r="CD127" s="183">
        <f>Data!CF81</f>
        <v>0</v>
      </c>
      <c r="CE127" s="183">
        <f>Data!CG81</f>
        <v>0</v>
      </c>
      <c r="CF127" s="183">
        <f>Data!CH81</f>
        <v>0</v>
      </c>
      <c r="CG127" s="183">
        <f>Data!CI81</f>
        <v>0</v>
      </c>
      <c r="CH127" s="183">
        <f>Data!CJ81</f>
        <v>0</v>
      </c>
      <c r="CI127" s="183">
        <f>Data!CK81</f>
        <v>0</v>
      </c>
      <c r="CJ127" s="183">
        <f>Data!CL81</f>
        <v>0</v>
      </c>
      <c r="CK127" s="183">
        <f>Data!CM81</f>
        <v>0</v>
      </c>
      <c r="CL127" s="183">
        <f>Data!CN81</f>
        <v>0</v>
      </c>
      <c r="CM127" s="183">
        <f>Data!CO81</f>
        <v>0</v>
      </c>
      <c r="CN127" s="183">
        <f>Data!CP81</f>
        <v>0</v>
      </c>
      <c r="CO127" s="183">
        <f>Data!CQ81</f>
        <v>0</v>
      </c>
      <c r="CP127" s="183">
        <f>Data!CR81</f>
        <v>0</v>
      </c>
      <c r="CQ127" s="183">
        <f>Data!CS81</f>
        <v>0</v>
      </c>
      <c r="CR127" s="183">
        <f>Data!CT81</f>
        <v>0</v>
      </c>
      <c r="CS127" s="183">
        <f>Data!CU81</f>
        <v>0</v>
      </c>
      <c r="CT127" s="183">
        <f>Data!CV81</f>
        <v>0</v>
      </c>
      <c r="CU127" s="183">
        <f>Data!CW81</f>
        <v>0</v>
      </c>
      <c r="CV127" s="183">
        <f>Data!CX81</f>
        <v>0</v>
      </c>
      <c r="CW127" s="183">
        <f>Data!CY81</f>
        <v>0</v>
      </c>
      <c r="CX127" s="183">
        <f>Data!CZ81</f>
        <v>0</v>
      </c>
      <c r="CY127" s="183">
        <f>Data!DA81</f>
        <v>0</v>
      </c>
      <c r="CZ127" s="183">
        <f>Data!DB81</f>
        <v>0</v>
      </c>
      <c r="DA127" s="183">
        <f>Data!DC81</f>
        <v>0</v>
      </c>
      <c r="DB127" s="183">
        <f>Data!DD81</f>
        <v>0</v>
      </c>
      <c r="DC127" s="183">
        <f>Data!DE81</f>
        <v>0</v>
      </c>
      <c r="DD127" s="183">
        <f>Data!DF81</f>
        <v>0</v>
      </c>
      <c r="DE127" s="183">
        <f>Data!DG81</f>
        <v>0</v>
      </c>
      <c r="DF127" s="183">
        <f>Data!DH81</f>
        <v>0</v>
      </c>
      <c r="DG127" s="183">
        <f>Data!DI81</f>
        <v>0</v>
      </c>
      <c r="DH127" s="183">
        <f>Data!DJ81</f>
        <v>0</v>
      </c>
      <c r="DI127" s="183">
        <f>Data!DK81</f>
        <v>0</v>
      </c>
      <c r="DJ127" s="183">
        <f>Data!DL81</f>
        <v>0</v>
      </c>
      <c r="DK127" s="183">
        <f>Data!DM81</f>
        <v>0</v>
      </c>
      <c r="DL127" s="183">
        <f>Data!DN81</f>
        <v>0</v>
      </c>
      <c r="DM127" s="183">
        <f>Data!DO81</f>
        <v>0</v>
      </c>
      <c r="DN127" s="183">
        <f>Data!DP81</f>
        <v>0</v>
      </c>
      <c r="DO127" s="183">
        <f>Data!DQ81</f>
        <v>0</v>
      </c>
      <c r="DP127" s="183">
        <f>Data!DR81</f>
        <v>0</v>
      </c>
      <c r="DQ127" s="183">
        <f>Data!DS81</f>
        <v>0</v>
      </c>
      <c r="DR127" s="183">
        <f>Data!DT81</f>
        <v>0</v>
      </c>
      <c r="DS127" s="183">
        <f>Data!DU81</f>
        <v>0</v>
      </c>
      <c r="DT127" s="183">
        <f>Data!DV81</f>
        <v>0</v>
      </c>
      <c r="DU127" s="437">
        <f>Data!DW81</f>
        <v>0</v>
      </c>
      <c r="DV127" s="183"/>
    </row>
    <row r="128" spans="2:126" x14ac:dyDescent="0.3">
      <c r="B128" s="625" t="str">
        <f>Data!D82</f>
        <v>Resource4</v>
      </c>
      <c r="C128" s="187"/>
      <c r="D128" s="187"/>
      <c r="E128" s="438">
        <f>Data!G82</f>
        <v>0</v>
      </c>
      <c r="F128" s="187">
        <f>Data!H82</f>
        <v>0</v>
      </c>
      <c r="G128" s="187">
        <f>Data!I82</f>
        <v>0</v>
      </c>
      <c r="H128" s="187">
        <f>Data!J82</f>
        <v>0</v>
      </c>
      <c r="I128" s="187">
        <f>Data!K82</f>
        <v>0</v>
      </c>
      <c r="J128" s="187">
        <f>Data!L82</f>
        <v>0</v>
      </c>
      <c r="K128" s="187">
        <f>Data!M82</f>
        <v>0</v>
      </c>
      <c r="L128" s="187">
        <f>Data!N82</f>
        <v>0</v>
      </c>
      <c r="M128" s="187">
        <f>Data!O82</f>
        <v>0</v>
      </c>
      <c r="N128" s="187">
        <f>Data!P82</f>
        <v>0</v>
      </c>
      <c r="O128" s="187">
        <f>Data!Q82</f>
        <v>0</v>
      </c>
      <c r="P128" s="187">
        <f>Data!R82</f>
        <v>0</v>
      </c>
      <c r="Q128" s="187">
        <f>Data!S82</f>
        <v>0</v>
      </c>
      <c r="R128" s="281">
        <f>Data!T82</f>
        <v>0</v>
      </c>
      <c r="S128" s="187">
        <f>Data!U82</f>
        <v>0</v>
      </c>
      <c r="T128" s="187">
        <f>Data!V82</f>
        <v>0</v>
      </c>
      <c r="U128" s="187">
        <f>Data!W82</f>
        <v>0</v>
      </c>
      <c r="V128" s="187">
        <f>Data!X82</f>
        <v>0</v>
      </c>
      <c r="W128" s="187">
        <f>Data!Y82</f>
        <v>0</v>
      </c>
      <c r="X128" s="187">
        <f>Data!Z82</f>
        <v>0</v>
      </c>
      <c r="Y128" s="187">
        <f>Data!AA82</f>
        <v>0</v>
      </c>
      <c r="Z128" s="187">
        <f>Data!AB82</f>
        <v>0</v>
      </c>
      <c r="AA128" s="187">
        <f>Data!AC82</f>
        <v>0</v>
      </c>
      <c r="AB128" s="187">
        <f>Data!AD82</f>
        <v>0</v>
      </c>
      <c r="AC128" s="187">
        <f>Data!AE82</f>
        <v>0</v>
      </c>
      <c r="AD128" s="281">
        <f>Data!AF82</f>
        <v>0</v>
      </c>
      <c r="AE128" s="187">
        <f>Data!AG82</f>
        <v>0</v>
      </c>
      <c r="AF128" s="187">
        <f>Data!AH82</f>
        <v>0</v>
      </c>
      <c r="AG128" s="187">
        <f>Data!AI82</f>
        <v>0</v>
      </c>
      <c r="AH128" s="187">
        <f>Data!AJ82</f>
        <v>0</v>
      </c>
      <c r="AI128" s="187">
        <f>Data!AK82</f>
        <v>0</v>
      </c>
      <c r="AJ128" s="187">
        <f>Data!AL82</f>
        <v>0</v>
      </c>
      <c r="AK128" s="187">
        <f>Data!AM82</f>
        <v>0</v>
      </c>
      <c r="AL128" s="187">
        <f>Data!AN82</f>
        <v>0</v>
      </c>
      <c r="AM128" s="187">
        <f>Data!AO82</f>
        <v>0</v>
      </c>
      <c r="AN128" s="187">
        <f>Data!AP82</f>
        <v>0</v>
      </c>
      <c r="AO128" s="187">
        <f>Data!AQ82</f>
        <v>0</v>
      </c>
      <c r="AP128" s="281">
        <f>Data!AR82</f>
        <v>0</v>
      </c>
      <c r="AQ128" s="187">
        <f>Data!AS82</f>
        <v>0</v>
      </c>
      <c r="AR128" s="187">
        <f>Data!AT82</f>
        <v>0</v>
      </c>
      <c r="AS128" s="187">
        <f>Data!AU82</f>
        <v>0</v>
      </c>
      <c r="AT128" s="187">
        <f>Data!AV82</f>
        <v>0</v>
      </c>
      <c r="AU128" s="187">
        <f>Data!AW82</f>
        <v>0</v>
      </c>
      <c r="AV128" s="187">
        <f>Data!AX82</f>
        <v>0</v>
      </c>
      <c r="AW128" s="187">
        <f>Data!AY82</f>
        <v>0</v>
      </c>
      <c r="AX128" s="187">
        <f>Data!AZ82</f>
        <v>0</v>
      </c>
      <c r="AY128" s="187">
        <f>Data!BA82</f>
        <v>0</v>
      </c>
      <c r="AZ128" s="187">
        <f>Data!BB82</f>
        <v>0</v>
      </c>
      <c r="BA128" s="187">
        <f>Data!BC82</f>
        <v>0</v>
      </c>
      <c r="BB128" s="281">
        <f>Data!BD82</f>
        <v>0</v>
      </c>
      <c r="BC128" s="187">
        <f>Data!BE82</f>
        <v>0</v>
      </c>
      <c r="BD128" s="187">
        <f>Data!BF82</f>
        <v>0</v>
      </c>
      <c r="BE128" s="187">
        <f>Data!BG82</f>
        <v>0</v>
      </c>
      <c r="BF128" s="187">
        <f>Data!BH82</f>
        <v>0</v>
      </c>
      <c r="BG128" s="187">
        <f>Data!BI82</f>
        <v>0</v>
      </c>
      <c r="BH128" s="187">
        <f>Data!BJ82</f>
        <v>0</v>
      </c>
      <c r="BI128" s="187">
        <f>Data!BK82</f>
        <v>0</v>
      </c>
      <c r="BJ128" s="187">
        <f>Data!BL82</f>
        <v>0</v>
      </c>
      <c r="BK128" s="187">
        <f>Data!BM82</f>
        <v>0</v>
      </c>
      <c r="BL128" s="187">
        <f>Data!BN82</f>
        <v>0</v>
      </c>
      <c r="BM128" s="187">
        <f>Data!BO82</f>
        <v>0</v>
      </c>
      <c r="BN128" s="187">
        <f>Data!BP82</f>
        <v>0</v>
      </c>
      <c r="BO128" s="187">
        <f>Data!BQ82</f>
        <v>0</v>
      </c>
      <c r="BP128" s="187">
        <f>Data!BR82</f>
        <v>0</v>
      </c>
      <c r="BQ128" s="187">
        <f>Data!BS82</f>
        <v>0</v>
      </c>
      <c r="BR128" s="187">
        <f>Data!BT82</f>
        <v>0</v>
      </c>
      <c r="BS128" s="187">
        <f>Data!BU82</f>
        <v>0</v>
      </c>
      <c r="BT128" s="187">
        <f>Data!BV82</f>
        <v>0</v>
      </c>
      <c r="BU128" s="187">
        <f>Data!BW82</f>
        <v>0</v>
      </c>
      <c r="BV128" s="187">
        <f>Data!BX82</f>
        <v>0</v>
      </c>
      <c r="BW128" s="187">
        <f>Data!BY82</f>
        <v>0</v>
      </c>
      <c r="BX128" s="187">
        <f>Data!BZ82</f>
        <v>0</v>
      </c>
      <c r="BY128" s="187">
        <f>Data!CA82</f>
        <v>0</v>
      </c>
      <c r="BZ128" s="187">
        <f>Data!CB82</f>
        <v>0</v>
      </c>
      <c r="CA128" s="187">
        <f>Data!CC82</f>
        <v>0</v>
      </c>
      <c r="CB128" s="187">
        <f>Data!CD82</f>
        <v>0</v>
      </c>
      <c r="CC128" s="187">
        <f>Data!CE82</f>
        <v>0</v>
      </c>
      <c r="CD128" s="187">
        <f>Data!CF82</f>
        <v>0</v>
      </c>
      <c r="CE128" s="187">
        <f>Data!CG82</f>
        <v>0</v>
      </c>
      <c r="CF128" s="187">
        <f>Data!CH82</f>
        <v>0</v>
      </c>
      <c r="CG128" s="187">
        <f>Data!CI82</f>
        <v>0</v>
      </c>
      <c r="CH128" s="187">
        <f>Data!CJ82</f>
        <v>0</v>
      </c>
      <c r="CI128" s="187">
        <f>Data!CK82</f>
        <v>0</v>
      </c>
      <c r="CJ128" s="187">
        <f>Data!CL82</f>
        <v>0</v>
      </c>
      <c r="CK128" s="187">
        <f>Data!CM82</f>
        <v>0</v>
      </c>
      <c r="CL128" s="187">
        <f>Data!CN82</f>
        <v>0</v>
      </c>
      <c r="CM128" s="187">
        <f>Data!CO82</f>
        <v>0</v>
      </c>
      <c r="CN128" s="187">
        <f>Data!CP82</f>
        <v>0</v>
      </c>
      <c r="CO128" s="187">
        <f>Data!CQ82</f>
        <v>0</v>
      </c>
      <c r="CP128" s="187">
        <f>Data!CR82</f>
        <v>0</v>
      </c>
      <c r="CQ128" s="187">
        <f>Data!CS82</f>
        <v>0</v>
      </c>
      <c r="CR128" s="187">
        <f>Data!CT82</f>
        <v>0</v>
      </c>
      <c r="CS128" s="187">
        <f>Data!CU82</f>
        <v>0</v>
      </c>
      <c r="CT128" s="187">
        <f>Data!CV82</f>
        <v>0</v>
      </c>
      <c r="CU128" s="187">
        <f>Data!CW82</f>
        <v>0</v>
      </c>
      <c r="CV128" s="187">
        <f>Data!CX82</f>
        <v>0</v>
      </c>
      <c r="CW128" s="187">
        <f>Data!CY82</f>
        <v>0</v>
      </c>
      <c r="CX128" s="187">
        <f>Data!CZ82</f>
        <v>0</v>
      </c>
      <c r="CY128" s="187">
        <f>Data!DA82</f>
        <v>0</v>
      </c>
      <c r="CZ128" s="187">
        <f>Data!DB82</f>
        <v>0</v>
      </c>
      <c r="DA128" s="187">
        <f>Data!DC82</f>
        <v>0</v>
      </c>
      <c r="DB128" s="187">
        <f>Data!DD82</f>
        <v>0</v>
      </c>
      <c r="DC128" s="187">
        <f>Data!DE82</f>
        <v>0</v>
      </c>
      <c r="DD128" s="187">
        <f>Data!DF82</f>
        <v>0</v>
      </c>
      <c r="DE128" s="187">
        <f>Data!DG82</f>
        <v>0</v>
      </c>
      <c r="DF128" s="187">
        <f>Data!DH82</f>
        <v>0</v>
      </c>
      <c r="DG128" s="187">
        <f>Data!DI82</f>
        <v>0</v>
      </c>
      <c r="DH128" s="187">
        <f>Data!DJ82</f>
        <v>0</v>
      </c>
      <c r="DI128" s="187">
        <f>Data!DK82</f>
        <v>0</v>
      </c>
      <c r="DJ128" s="187">
        <f>Data!DL82</f>
        <v>0</v>
      </c>
      <c r="DK128" s="187">
        <f>Data!DM82</f>
        <v>0</v>
      </c>
      <c r="DL128" s="187">
        <f>Data!DN82</f>
        <v>0</v>
      </c>
      <c r="DM128" s="187">
        <f>Data!DO82</f>
        <v>0</v>
      </c>
      <c r="DN128" s="187">
        <f>Data!DP82</f>
        <v>0</v>
      </c>
      <c r="DO128" s="187">
        <f>Data!DQ82</f>
        <v>0</v>
      </c>
      <c r="DP128" s="187">
        <f>Data!DR82</f>
        <v>0</v>
      </c>
      <c r="DQ128" s="187">
        <f>Data!DS82</f>
        <v>0</v>
      </c>
      <c r="DR128" s="187">
        <f>Data!DT82</f>
        <v>0</v>
      </c>
      <c r="DS128" s="187">
        <f>Data!DU82</f>
        <v>0</v>
      </c>
      <c r="DT128" s="187">
        <f>Data!DV82</f>
        <v>0</v>
      </c>
      <c r="DU128" s="439">
        <f>Data!DW82</f>
        <v>0</v>
      </c>
      <c r="DV128" s="183"/>
    </row>
    <row r="129" spans="1:139" x14ac:dyDescent="0.3">
      <c r="B129" s="1434" t="s">
        <v>149</v>
      </c>
      <c r="C129" s="1435"/>
      <c r="D129" s="1436"/>
      <c r="E129" s="1437">
        <f t="shared" ref="E129:AJ129" si="517">((E86*E113))*(1-E$73)</f>
        <v>0</v>
      </c>
      <c r="F129" s="1438">
        <f t="shared" si="517"/>
        <v>1549179.9169859514</v>
      </c>
      <c r="G129" s="1438">
        <f t="shared" si="517"/>
        <v>1549179.9169859516</v>
      </c>
      <c r="H129" s="1438">
        <f t="shared" si="517"/>
        <v>1549179.9169859516</v>
      </c>
      <c r="I129" s="1438">
        <f t="shared" si="517"/>
        <v>1549179.9169859516</v>
      </c>
      <c r="J129" s="1438">
        <f t="shared" si="517"/>
        <v>1549179.9169859516</v>
      </c>
      <c r="K129" s="1438">
        <f t="shared" si="517"/>
        <v>1549179.9169859516</v>
      </c>
      <c r="L129" s="1438">
        <f t="shared" si="517"/>
        <v>1549179.9169859516</v>
      </c>
      <c r="M129" s="1438">
        <f t="shared" si="517"/>
        <v>1549179.9169859516</v>
      </c>
      <c r="N129" s="1438">
        <f t="shared" si="517"/>
        <v>1549179.9169859516</v>
      </c>
      <c r="O129" s="1438">
        <f t="shared" si="517"/>
        <v>1549179.9169859516</v>
      </c>
      <c r="P129" s="1438">
        <f t="shared" si="517"/>
        <v>1549179.9169859516</v>
      </c>
      <c r="Q129" s="1438">
        <f t="shared" si="517"/>
        <v>1549179.9169859516</v>
      </c>
      <c r="R129" s="1439">
        <f t="shared" si="517"/>
        <v>1626638.9128352492</v>
      </c>
      <c r="S129" s="1438">
        <f t="shared" si="517"/>
        <v>1626638.9128352492</v>
      </c>
      <c r="T129" s="1438">
        <f t="shared" si="517"/>
        <v>1626638.9128352492</v>
      </c>
      <c r="U129" s="1438">
        <f t="shared" si="517"/>
        <v>1626638.9128352492</v>
      </c>
      <c r="V129" s="1438">
        <f t="shared" si="517"/>
        <v>1626638.9128352492</v>
      </c>
      <c r="W129" s="1438">
        <f t="shared" si="517"/>
        <v>1626638.9128352492</v>
      </c>
      <c r="X129" s="1438">
        <f t="shared" si="517"/>
        <v>1626638.9128352492</v>
      </c>
      <c r="Y129" s="1438">
        <f t="shared" si="517"/>
        <v>1626638.9128352492</v>
      </c>
      <c r="Z129" s="1438">
        <f t="shared" si="517"/>
        <v>1626638.9128352492</v>
      </c>
      <c r="AA129" s="1438">
        <f t="shared" si="517"/>
        <v>1626638.9128352492</v>
      </c>
      <c r="AB129" s="1438">
        <f t="shared" si="517"/>
        <v>1626638.9128352492</v>
      </c>
      <c r="AC129" s="1438">
        <f t="shared" si="517"/>
        <v>1626638.9128352492</v>
      </c>
      <c r="AD129" s="1439">
        <f t="shared" si="517"/>
        <v>1707970.8584770118</v>
      </c>
      <c r="AE129" s="1438">
        <f t="shared" si="517"/>
        <v>1707970.8584770118</v>
      </c>
      <c r="AF129" s="1438">
        <f t="shared" si="517"/>
        <v>1707970.8584770118</v>
      </c>
      <c r="AG129" s="1438">
        <f t="shared" si="517"/>
        <v>1707970.8584770118</v>
      </c>
      <c r="AH129" s="1438">
        <f t="shared" si="517"/>
        <v>1707970.8584770118</v>
      </c>
      <c r="AI129" s="1438">
        <f t="shared" si="517"/>
        <v>1707970.8584770118</v>
      </c>
      <c r="AJ129" s="1438">
        <f t="shared" si="517"/>
        <v>1707970.8584770118</v>
      </c>
      <c r="AK129" s="1438">
        <f t="shared" ref="AK129:BP129" si="518">((AK86*AK113))*(1-AK$73)</f>
        <v>1707970.8584770118</v>
      </c>
      <c r="AL129" s="1438">
        <f t="shared" si="518"/>
        <v>1707970.8584770118</v>
      </c>
      <c r="AM129" s="1438">
        <f t="shared" si="518"/>
        <v>1707970.8584770118</v>
      </c>
      <c r="AN129" s="1438">
        <f t="shared" si="518"/>
        <v>1707970.8584770118</v>
      </c>
      <c r="AO129" s="1438">
        <f t="shared" si="518"/>
        <v>1707970.8584770118</v>
      </c>
      <c r="AP129" s="1439">
        <f t="shared" si="518"/>
        <v>1793369.4014008623</v>
      </c>
      <c r="AQ129" s="1438">
        <f t="shared" si="518"/>
        <v>1793369.4014008623</v>
      </c>
      <c r="AR129" s="1438">
        <f t="shared" si="518"/>
        <v>1793369.4014008623</v>
      </c>
      <c r="AS129" s="1438">
        <f t="shared" si="518"/>
        <v>1793369.4014008623</v>
      </c>
      <c r="AT129" s="1438">
        <f t="shared" si="518"/>
        <v>1793369.4014008623</v>
      </c>
      <c r="AU129" s="1438">
        <f t="shared" si="518"/>
        <v>1793369.4014008623</v>
      </c>
      <c r="AV129" s="1438">
        <f t="shared" si="518"/>
        <v>1793369.4014008623</v>
      </c>
      <c r="AW129" s="1438">
        <f t="shared" si="518"/>
        <v>1793369.4014008623</v>
      </c>
      <c r="AX129" s="1438">
        <f t="shared" si="518"/>
        <v>1793369.4014008623</v>
      </c>
      <c r="AY129" s="1438">
        <f t="shared" si="518"/>
        <v>1793369.4014008623</v>
      </c>
      <c r="AZ129" s="1438">
        <f t="shared" si="518"/>
        <v>1793369.4014008623</v>
      </c>
      <c r="BA129" s="1438">
        <f t="shared" si="518"/>
        <v>1793369.4014008623</v>
      </c>
      <c r="BB129" s="1439">
        <f t="shared" si="518"/>
        <v>1883037.8714709054</v>
      </c>
      <c r="BC129" s="1438">
        <f t="shared" si="518"/>
        <v>1883037.8714709054</v>
      </c>
      <c r="BD129" s="1438">
        <f t="shared" si="518"/>
        <v>1883037.8714709054</v>
      </c>
      <c r="BE129" s="1438">
        <f t="shared" si="518"/>
        <v>1883037.8714709054</v>
      </c>
      <c r="BF129" s="1438">
        <f t="shared" si="518"/>
        <v>1883037.8714709054</v>
      </c>
      <c r="BG129" s="1438">
        <f t="shared" si="518"/>
        <v>1883037.8714709054</v>
      </c>
      <c r="BH129" s="1438">
        <f t="shared" si="518"/>
        <v>1883037.8714709054</v>
      </c>
      <c r="BI129" s="1438">
        <f t="shared" si="518"/>
        <v>1883037.8714709054</v>
      </c>
      <c r="BJ129" s="1438">
        <f t="shared" si="518"/>
        <v>1883037.8714709054</v>
      </c>
      <c r="BK129" s="1438">
        <f t="shared" si="518"/>
        <v>1883037.8714709054</v>
      </c>
      <c r="BL129" s="1438">
        <f t="shared" si="518"/>
        <v>1883037.8714709054</v>
      </c>
      <c r="BM129" s="1438">
        <f t="shared" si="518"/>
        <v>1883037.8714709054</v>
      </c>
      <c r="BN129" s="1438">
        <f t="shared" si="518"/>
        <v>1977189.765044451</v>
      </c>
      <c r="BO129" s="1438">
        <f t="shared" si="518"/>
        <v>1977189.765044451</v>
      </c>
      <c r="BP129" s="1438">
        <f t="shared" si="518"/>
        <v>1977189.765044451</v>
      </c>
      <c r="BQ129" s="1438">
        <f t="shared" ref="BQ129:CV129" si="519">((BQ86*BQ113))*(1-BQ$73)</f>
        <v>1977189.765044451</v>
      </c>
      <c r="BR129" s="1438">
        <f t="shared" si="519"/>
        <v>1977189.765044451</v>
      </c>
      <c r="BS129" s="1438">
        <f t="shared" si="519"/>
        <v>1977189.765044451</v>
      </c>
      <c r="BT129" s="1438">
        <f t="shared" si="519"/>
        <v>1977189.765044451</v>
      </c>
      <c r="BU129" s="1438">
        <f t="shared" si="519"/>
        <v>1977189.765044451</v>
      </c>
      <c r="BV129" s="1438">
        <f t="shared" si="519"/>
        <v>1977189.765044451</v>
      </c>
      <c r="BW129" s="1438">
        <f t="shared" si="519"/>
        <v>1977189.765044451</v>
      </c>
      <c r="BX129" s="1438">
        <f t="shared" si="519"/>
        <v>1977189.765044451</v>
      </c>
      <c r="BY129" s="1438">
        <f t="shared" si="519"/>
        <v>1977189.765044451</v>
      </c>
      <c r="BZ129" s="1438">
        <f t="shared" si="519"/>
        <v>2076049.2532966738</v>
      </c>
      <c r="CA129" s="1438">
        <f t="shared" si="519"/>
        <v>2076049.2532966738</v>
      </c>
      <c r="CB129" s="1438">
        <f t="shared" si="519"/>
        <v>2076049.2532966738</v>
      </c>
      <c r="CC129" s="1438">
        <f t="shared" si="519"/>
        <v>2076049.2532966738</v>
      </c>
      <c r="CD129" s="1438">
        <f t="shared" si="519"/>
        <v>2076049.2532966738</v>
      </c>
      <c r="CE129" s="1438">
        <f t="shared" si="519"/>
        <v>2076049.2532966738</v>
      </c>
      <c r="CF129" s="1438">
        <f t="shared" si="519"/>
        <v>2076049.2532966738</v>
      </c>
      <c r="CG129" s="1438">
        <f t="shared" si="519"/>
        <v>2076049.2532966738</v>
      </c>
      <c r="CH129" s="1438">
        <f t="shared" si="519"/>
        <v>2076049.2532966738</v>
      </c>
      <c r="CI129" s="1438">
        <f t="shared" si="519"/>
        <v>2076049.2532966738</v>
      </c>
      <c r="CJ129" s="1438">
        <f t="shared" si="519"/>
        <v>2076049.2532966738</v>
      </c>
      <c r="CK129" s="1438">
        <f t="shared" si="519"/>
        <v>2076049.2532966738</v>
      </c>
      <c r="CL129" s="1438">
        <f t="shared" si="519"/>
        <v>2179851.7159615075</v>
      </c>
      <c r="CM129" s="1438">
        <f t="shared" si="519"/>
        <v>2179851.7159615075</v>
      </c>
      <c r="CN129" s="1438">
        <f t="shared" si="519"/>
        <v>2179851.7159615075</v>
      </c>
      <c r="CO129" s="1438">
        <f t="shared" si="519"/>
        <v>2179851.7159615075</v>
      </c>
      <c r="CP129" s="1438">
        <f t="shared" si="519"/>
        <v>2179851.7159615075</v>
      </c>
      <c r="CQ129" s="1438">
        <f t="shared" si="519"/>
        <v>2179851.7159615075</v>
      </c>
      <c r="CR129" s="1438">
        <f t="shared" si="519"/>
        <v>2179851.7159615075</v>
      </c>
      <c r="CS129" s="1438">
        <f t="shared" si="519"/>
        <v>2179851.7159615075</v>
      </c>
      <c r="CT129" s="1438">
        <f t="shared" si="519"/>
        <v>2179851.7159615075</v>
      </c>
      <c r="CU129" s="1438">
        <f t="shared" si="519"/>
        <v>2179851.7159615075</v>
      </c>
      <c r="CV129" s="1438">
        <f t="shared" si="519"/>
        <v>2179851.7159615075</v>
      </c>
      <c r="CW129" s="1438">
        <f t="shared" ref="CW129:DU129" si="520">((CW86*CW113))*(1-CW$73)</f>
        <v>2179851.7159615075</v>
      </c>
      <c r="CX129" s="1438">
        <f t="shared" si="520"/>
        <v>2288844.3017595829</v>
      </c>
      <c r="CY129" s="1438">
        <f t="shared" si="520"/>
        <v>2288844.3017595829</v>
      </c>
      <c r="CZ129" s="1438">
        <f t="shared" si="520"/>
        <v>2288844.3017595829</v>
      </c>
      <c r="DA129" s="1438">
        <f t="shared" si="520"/>
        <v>2288844.3017595829</v>
      </c>
      <c r="DB129" s="1438">
        <f t="shared" si="520"/>
        <v>2288844.3017595829</v>
      </c>
      <c r="DC129" s="1438">
        <f t="shared" si="520"/>
        <v>2288844.3017595829</v>
      </c>
      <c r="DD129" s="1438">
        <f t="shared" si="520"/>
        <v>2288844.3017595829</v>
      </c>
      <c r="DE129" s="1438">
        <f t="shared" si="520"/>
        <v>2288844.3017595829</v>
      </c>
      <c r="DF129" s="1438">
        <f t="shared" si="520"/>
        <v>2288844.3017595829</v>
      </c>
      <c r="DG129" s="1438">
        <f t="shared" si="520"/>
        <v>2288844.3017595829</v>
      </c>
      <c r="DH129" s="1438">
        <f t="shared" si="520"/>
        <v>2288844.3017595829</v>
      </c>
      <c r="DI129" s="1438">
        <f t="shared" si="520"/>
        <v>2288844.3017595829</v>
      </c>
      <c r="DJ129" s="1438">
        <f t="shared" si="520"/>
        <v>2403286.5168475625</v>
      </c>
      <c r="DK129" s="1438">
        <f t="shared" si="520"/>
        <v>2403286.5168475625</v>
      </c>
      <c r="DL129" s="1438">
        <f t="shared" si="520"/>
        <v>2403286.5168475625</v>
      </c>
      <c r="DM129" s="1438">
        <f t="shared" si="520"/>
        <v>2403286.5168475625</v>
      </c>
      <c r="DN129" s="1438">
        <f t="shared" si="520"/>
        <v>2403286.5168475625</v>
      </c>
      <c r="DO129" s="1438">
        <f t="shared" si="520"/>
        <v>2403286.5168475625</v>
      </c>
      <c r="DP129" s="1438">
        <f t="shared" si="520"/>
        <v>2403286.5168475625</v>
      </c>
      <c r="DQ129" s="1438">
        <f t="shared" si="520"/>
        <v>2403286.5168475625</v>
      </c>
      <c r="DR129" s="1438">
        <f t="shared" si="520"/>
        <v>2403286.5168475625</v>
      </c>
      <c r="DS129" s="1438">
        <f t="shared" si="520"/>
        <v>2403286.5168475625</v>
      </c>
      <c r="DT129" s="1438">
        <f t="shared" si="520"/>
        <v>2403286.5168475625</v>
      </c>
      <c r="DU129" s="1440">
        <f t="shared" si="520"/>
        <v>2403286.5168475625</v>
      </c>
      <c r="DV129" s="702"/>
      <c r="DW129" s="412">
        <f>SUM(E129:DU129)</f>
        <v>233825022.16895682</v>
      </c>
      <c r="EI129" s="638">
        <f>DW129/$EE$25</f>
        <v>61.296961853049268</v>
      </c>
    </row>
    <row r="130" spans="1:139" x14ac:dyDescent="0.3">
      <c r="B130" s="1419" t="s">
        <v>678</v>
      </c>
      <c r="C130" s="1420"/>
      <c r="D130" s="1421"/>
      <c r="E130" s="1422">
        <f>SUM(E131:E133)</f>
        <v>1719986.9334741461</v>
      </c>
      <c r="F130" s="1420">
        <f t="shared" ref="F130:BQ130" si="521">SUM(F131:F133)</f>
        <v>94599.281341078356</v>
      </c>
      <c r="G130" s="1420">
        <f t="shared" si="521"/>
        <v>94599.281341078138</v>
      </c>
      <c r="H130" s="1420">
        <f t="shared" si="521"/>
        <v>94599.281341078138</v>
      </c>
      <c r="I130" s="1420">
        <f t="shared" si="521"/>
        <v>75679.425072862534</v>
      </c>
      <c r="J130" s="1420">
        <f t="shared" si="521"/>
        <v>65494.560182729256</v>
      </c>
      <c r="K130" s="1420">
        <f t="shared" si="521"/>
        <v>65494.560182729256</v>
      </c>
      <c r="L130" s="1420">
        <f t="shared" si="521"/>
        <v>65494.560182729256</v>
      </c>
      <c r="M130" s="1420">
        <f t="shared" si="521"/>
        <v>65494.560182729256</v>
      </c>
      <c r="N130" s="1420">
        <f t="shared" si="521"/>
        <v>65494.560182729256</v>
      </c>
      <c r="O130" s="1420">
        <f t="shared" si="521"/>
        <v>65494.560182729256</v>
      </c>
      <c r="P130" s="1420">
        <f t="shared" si="521"/>
        <v>58217.386829092691</v>
      </c>
      <c r="Q130" s="1420">
        <f t="shared" si="521"/>
        <v>58217.386829092691</v>
      </c>
      <c r="R130" s="1423">
        <f t="shared" si="521"/>
        <v>61128.256170547334</v>
      </c>
      <c r="S130" s="1420">
        <f t="shared" si="521"/>
        <v>61128.256170547334</v>
      </c>
      <c r="T130" s="1420">
        <f t="shared" si="521"/>
        <v>61128.256170547334</v>
      </c>
      <c r="U130" s="1420">
        <f t="shared" si="521"/>
        <v>61128.256170547334</v>
      </c>
      <c r="V130" s="1420">
        <f t="shared" si="521"/>
        <v>61128.256170547334</v>
      </c>
      <c r="W130" s="1420">
        <f t="shared" si="521"/>
        <v>61128.256170547334</v>
      </c>
      <c r="X130" s="1420">
        <f t="shared" si="521"/>
        <v>61128.256170547334</v>
      </c>
      <c r="Y130" s="1420">
        <f t="shared" si="521"/>
        <v>61128.256170547334</v>
      </c>
      <c r="Z130" s="1420">
        <f t="shared" si="521"/>
        <v>61128.256170547334</v>
      </c>
      <c r="AA130" s="1420">
        <f t="shared" si="521"/>
        <v>61128.256170547334</v>
      </c>
      <c r="AB130" s="1420">
        <f t="shared" si="521"/>
        <v>61128.256170547334</v>
      </c>
      <c r="AC130" s="1420">
        <f t="shared" si="521"/>
        <v>61128.256170547334</v>
      </c>
      <c r="AD130" s="1423">
        <f t="shared" si="521"/>
        <v>64184.66897907469</v>
      </c>
      <c r="AE130" s="1420">
        <f t="shared" si="521"/>
        <v>64184.66897907469</v>
      </c>
      <c r="AF130" s="1420">
        <f t="shared" si="521"/>
        <v>64184.66897907469</v>
      </c>
      <c r="AG130" s="1420">
        <f t="shared" si="521"/>
        <v>64184.66897907469</v>
      </c>
      <c r="AH130" s="1420">
        <f t="shared" si="521"/>
        <v>64184.66897907469</v>
      </c>
      <c r="AI130" s="1420">
        <f t="shared" si="521"/>
        <v>64184.66897907469</v>
      </c>
      <c r="AJ130" s="1420">
        <f t="shared" si="521"/>
        <v>64184.66897907469</v>
      </c>
      <c r="AK130" s="1420">
        <f t="shared" si="521"/>
        <v>64184.66897907469</v>
      </c>
      <c r="AL130" s="1420">
        <f t="shared" si="521"/>
        <v>64184.66897907469</v>
      </c>
      <c r="AM130" s="1420">
        <f t="shared" si="521"/>
        <v>64184.66897907469</v>
      </c>
      <c r="AN130" s="1420">
        <f t="shared" si="521"/>
        <v>64184.66897907469</v>
      </c>
      <c r="AO130" s="1420">
        <f t="shared" si="521"/>
        <v>64184.66897907469</v>
      </c>
      <c r="AP130" s="1423">
        <f t="shared" si="521"/>
        <v>67393.902428028436</v>
      </c>
      <c r="AQ130" s="1420">
        <f t="shared" si="521"/>
        <v>67393.902428028436</v>
      </c>
      <c r="AR130" s="1420">
        <f t="shared" si="521"/>
        <v>67393.902428028436</v>
      </c>
      <c r="AS130" s="1420">
        <f t="shared" si="521"/>
        <v>67393.902428028436</v>
      </c>
      <c r="AT130" s="1420">
        <f t="shared" si="521"/>
        <v>67393.902428028436</v>
      </c>
      <c r="AU130" s="1420">
        <f t="shared" si="521"/>
        <v>67393.902428028436</v>
      </c>
      <c r="AV130" s="1420">
        <f t="shared" si="521"/>
        <v>67393.902428028436</v>
      </c>
      <c r="AW130" s="1420">
        <f t="shared" si="521"/>
        <v>67393.902428028436</v>
      </c>
      <c r="AX130" s="1420">
        <f t="shared" si="521"/>
        <v>67393.902428028436</v>
      </c>
      <c r="AY130" s="1420">
        <f t="shared" si="521"/>
        <v>67393.902428028436</v>
      </c>
      <c r="AZ130" s="1420">
        <f t="shared" si="521"/>
        <v>67393.902428028436</v>
      </c>
      <c r="BA130" s="1420">
        <f t="shared" si="521"/>
        <v>67393.902428028436</v>
      </c>
      <c r="BB130" s="1423">
        <f t="shared" si="521"/>
        <v>70763.597549429847</v>
      </c>
      <c r="BC130" s="1420">
        <f t="shared" si="521"/>
        <v>70763.597549429847</v>
      </c>
      <c r="BD130" s="1420">
        <f t="shared" si="521"/>
        <v>70763.597549429847</v>
      </c>
      <c r="BE130" s="1420">
        <f t="shared" si="521"/>
        <v>70763.597549429847</v>
      </c>
      <c r="BF130" s="1420">
        <f t="shared" si="521"/>
        <v>70763.597549429847</v>
      </c>
      <c r="BG130" s="1420">
        <f t="shared" si="521"/>
        <v>70763.597549429847</v>
      </c>
      <c r="BH130" s="1420">
        <f t="shared" si="521"/>
        <v>70763.597549429847</v>
      </c>
      <c r="BI130" s="1420">
        <f t="shared" si="521"/>
        <v>70763.597549429847</v>
      </c>
      <c r="BJ130" s="1420">
        <f t="shared" si="521"/>
        <v>70763.597549429847</v>
      </c>
      <c r="BK130" s="1420">
        <f t="shared" si="521"/>
        <v>70763.597549429847</v>
      </c>
      <c r="BL130" s="1420">
        <f t="shared" si="521"/>
        <v>70763.597549429847</v>
      </c>
      <c r="BM130" s="1420">
        <f t="shared" si="521"/>
        <v>70763.597549429847</v>
      </c>
      <c r="BN130" s="1420">
        <f t="shared" si="521"/>
        <v>74301.777426901346</v>
      </c>
      <c r="BO130" s="1420">
        <f t="shared" si="521"/>
        <v>74301.777426901346</v>
      </c>
      <c r="BP130" s="1420">
        <f t="shared" si="521"/>
        <v>74301.777426901346</v>
      </c>
      <c r="BQ130" s="1420">
        <f t="shared" si="521"/>
        <v>74301.777426901346</v>
      </c>
      <c r="BR130" s="1420">
        <f t="shared" ref="BR130:DU130" si="522">SUM(BR131:BR133)</f>
        <v>74301.777426901346</v>
      </c>
      <c r="BS130" s="1420">
        <f t="shared" si="522"/>
        <v>74301.777426901346</v>
      </c>
      <c r="BT130" s="1420">
        <f t="shared" si="522"/>
        <v>74301.777426901346</v>
      </c>
      <c r="BU130" s="1420">
        <f t="shared" si="522"/>
        <v>74301.777426901346</v>
      </c>
      <c r="BV130" s="1420">
        <f t="shared" si="522"/>
        <v>74301.777426901346</v>
      </c>
      <c r="BW130" s="1420">
        <f t="shared" si="522"/>
        <v>74301.777426901346</v>
      </c>
      <c r="BX130" s="1420">
        <f t="shared" si="522"/>
        <v>74301.777426901346</v>
      </c>
      <c r="BY130" s="1420">
        <f t="shared" si="522"/>
        <v>74301.777426901346</v>
      </c>
      <c r="BZ130" s="1420">
        <f t="shared" si="522"/>
        <v>78016.86629824643</v>
      </c>
      <c r="CA130" s="1420">
        <f t="shared" si="522"/>
        <v>78016.86629824643</v>
      </c>
      <c r="CB130" s="1420">
        <f t="shared" si="522"/>
        <v>78016.86629824643</v>
      </c>
      <c r="CC130" s="1420">
        <f t="shared" si="522"/>
        <v>78016.86629824643</v>
      </c>
      <c r="CD130" s="1420">
        <f t="shared" si="522"/>
        <v>78016.86629824643</v>
      </c>
      <c r="CE130" s="1420">
        <f t="shared" si="522"/>
        <v>78016.86629824643</v>
      </c>
      <c r="CF130" s="1420">
        <f t="shared" si="522"/>
        <v>78016.86629824643</v>
      </c>
      <c r="CG130" s="1420">
        <f t="shared" si="522"/>
        <v>78016.86629824643</v>
      </c>
      <c r="CH130" s="1420">
        <f t="shared" si="522"/>
        <v>78016.86629824643</v>
      </c>
      <c r="CI130" s="1420">
        <f t="shared" si="522"/>
        <v>78016.86629824643</v>
      </c>
      <c r="CJ130" s="1420">
        <f t="shared" si="522"/>
        <v>78016.86629824643</v>
      </c>
      <c r="CK130" s="1420">
        <f t="shared" si="522"/>
        <v>78016.86629824643</v>
      </c>
      <c r="CL130" s="1420">
        <f t="shared" si="522"/>
        <v>81917.709613158746</v>
      </c>
      <c r="CM130" s="1420">
        <f t="shared" si="522"/>
        <v>81917.709613158746</v>
      </c>
      <c r="CN130" s="1420">
        <f t="shared" si="522"/>
        <v>81917.709613158746</v>
      </c>
      <c r="CO130" s="1420">
        <f t="shared" si="522"/>
        <v>81917.709613158746</v>
      </c>
      <c r="CP130" s="1420">
        <f t="shared" si="522"/>
        <v>81917.709613158746</v>
      </c>
      <c r="CQ130" s="1420">
        <f t="shared" si="522"/>
        <v>81917.709613158746</v>
      </c>
      <c r="CR130" s="1420">
        <f t="shared" si="522"/>
        <v>81917.709613158746</v>
      </c>
      <c r="CS130" s="1420">
        <f t="shared" si="522"/>
        <v>81917.709613158746</v>
      </c>
      <c r="CT130" s="1420">
        <f t="shared" si="522"/>
        <v>81917.709613158746</v>
      </c>
      <c r="CU130" s="1420">
        <f t="shared" si="522"/>
        <v>81917.709613158746</v>
      </c>
      <c r="CV130" s="1420">
        <f t="shared" si="522"/>
        <v>81917.709613158746</v>
      </c>
      <c r="CW130" s="1420">
        <f t="shared" si="522"/>
        <v>81917.709613158746</v>
      </c>
      <c r="CX130" s="1420">
        <f t="shared" si="522"/>
        <v>86013.595093816693</v>
      </c>
      <c r="CY130" s="1420">
        <f t="shared" si="522"/>
        <v>86013.595093816693</v>
      </c>
      <c r="CZ130" s="1420">
        <f t="shared" si="522"/>
        <v>86013.595093816693</v>
      </c>
      <c r="DA130" s="1420">
        <f t="shared" si="522"/>
        <v>86013.595093816693</v>
      </c>
      <c r="DB130" s="1420">
        <f t="shared" si="522"/>
        <v>86013.595093816693</v>
      </c>
      <c r="DC130" s="1420">
        <f t="shared" si="522"/>
        <v>86013.595093816693</v>
      </c>
      <c r="DD130" s="1420">
        <f t="shared" si="522"/>
        <v>86013.595093816693</v>
      </c>
      <c r="DE130" s="1420">
        <f t="shared" si="522"/>
        <v>86013.595093816693</v>
      </c>
      <c r="DF130" s="1420">
        <f t="shared" si="522"/>
        <v>86013.595093816693</v>
      </c>
      <c r="DG130" s="1420">
        <f t="shared" si="522"/>
        <v>86013.595093816693</v>
      </c>
      <c r="DH130" s="1420">
        <f t="shared" si="522"/>
        <v>86013.595093816693</v>
      </c>
      <c r="DI130" s="1420">
        <f t="shared" si="522"/>
        <v>86013.595093816693</v>
      </c>
      <c r="DJ130" s="1420">
        <f t="shared" si="522"/>
        <v>90314.274848507543</v>
      </c>
      <c r="DK130" s="1420">
        <f t="shared" si="522"/>
        <v>90314.274848507543</v>
      </c>
      <c r="DL130" s="1420">
        <f t="shared" si="522"/>
        <v>90314.274848507543</v>
      </c>
      <c r="DM130" s="1420">
        <f t="shared" si="522"/>
        <v>90314.274848507543</v>
      </c>
      <c r="DN130" s="1420">
        <f t="shared" si="522"/>
        <v>90314.274848507543</v>
      </c>
      <c r="DO130" s="1420">
        <f t="shared" si="522"/>
        <v>90314.274848507543</v>
      </c>
      <c r="DP130" s="1420">
        <f t="shared" si="522"/>
        <v>90314.274848507543</v>
      </c>
      <c r="DQ130" s="1420">
        <f t="shared" si="522"/>
        <v>90314.274848507543</v>
      </c>
      <c r="DR130" s="1420">
        <f t="shared" si="522"/>
        <v>90314.274848507543</v>
      </c>
      <c r="DS130" s="1420">
        <f t="shared" si="522"/>
        <v>90314.274848507543</v>
      </c>
      <c r="DT130" s="1420">
        <f t="shared" si="522"/>
        <v>90314.274848507543</v>
      </c>
      <c r="DU130" s="1424">
        <f t="shared" si="522"/>
        <v>90314.274848507543</v>
      </c>
      <c r="DV130" s="404"/>
      <c r="DW130" s="189">
        <f t="shared" ref="DW130:DW134" si="523">SUM(E130:DU130)</f>
        <v>10677282.118217336</v>
      </c>
      <c r="EI130" s="638">
        <f>DW130/$EE$25</f>
        <v>2.7990372827664984</v>
      </c>
    </row>
    <row r="131" spans="1:139" x14ac:dyDescent="0.3">
      <c r="B131" s="613" t="str">
        <f>B87</f>
        <v>Month 3 Training</v>
      </c>
      <c r="C131" s="1415"/>
      <c r="D131" s="707"/>
      <c r="E131" s="1416">
        <f>((E87*((E113*12)/52)*E176)*(1-E$73))</f>
        <v>0</v>
      </c>
      <c r="F131" s="1415">
        <f t="shared" ref="F131:BQ131" si="524">((F87*((F113*12)/52)*F176)*(1-F$73))</f>
        <v>0</v>
      </c>
      <c r="G131" s="1415">
        <f t="shared" si="524"/>
        <v>0</v>
      </c>
      <c r="H131" s="1415">
        <f t="shared" si="524"/>
        <v>0</v>
      </c>
      <c r="I131" s="1415">
        <f t="shared" si="524"/>
        <v>0</v>
      </c>
      <c r="J131" s="1415">
        <f t="shared" si="524"/>
        <v>0</v>
      </c>
      <c r="K131" s="1415">
        <f t="shared" si="524"/>
        <v>0</v>
      </c>
      <c r="L131" s="1415">
        <f t="shared" si="524"/>
        <v>0</v>
      </c>
      <c r="M131" s="1415">
        <f t="shared" si="524"/>
        <v>0</v>
      </c>
      <c r="N131" s="1415">
        <f t="shared" si="524"/>
        <v>0</v>
      </c>
      <c r="O131" s="1415">
        <f t="shared" si="524"/>
        <v>0</v>
      </c>
      <c r="P131" s="1415">
        <f t="shared" si="524"/>
        <v>0</v>
      </c>
      <c r="Q131" s="1415">
        <f t="shared" si="524"/>
        <v>0</v>
      </c>
      <c r="R131" s="1417">
        <f t="shared" si="524"/>
        <v>0</v>
      </c>
      <c r="S131" s="1415">
        <f t="shared" si="524"/>
        <v>0</v>
      </c>
      <c r="T131" s="1415">
        <f t="shared" si="524"/>
        <v>0</v>
      </c>
      <c r="U131" s="1415">
        <f t="shared" si="524"/>
        <v>0</v>
      </c>
      <c r="V131" s="1415">
        <f t="shared" si="524"/>
        <v>0</v>
      </c>
      <c r="W131" s="1415">
        <f t="shared" si="524"/>
        <v>0</v>
      </c>
      <c r="X131" s="1415">
        <f t="shared" si="524"/>
        <v>0</v>
      </c>
      <c r="Y131" s="1415">
        <f t="shared" si="524"/>
        <v>0</v>
      </c>
      <c r="Z131" s="1415">
        <f t="shared" si="524"/>
        <v>0</v>
      </c>
      <c r="AA131" s="1415">
        <f t="shared" si="524"/>
        <v>0</v>
      </c>
      <c r="AB131" s="1415">
        <f t="shared" si="524"/>
        <v>0</v>
      </c>
      <c r="AC131" s="1415">
        <f t="shared" si="524"/>
        <v>0</v>
      </c>
      <c r="AD131" s="1417">
        <f t="shared" si="524"/>
        <v>0</v>
      </c>
      <c r="AE131" s="1415">
        <f t="shared" si="524"/>
        <v>0</v>
      </c>
      <c r="AF131" s="1415">
        <f t="shared" si="524"/>
        <v>0</v>
      </c>
      <c r="AG131" s="1415">
        <f t="shared" si="524"/>
        <v>0</v>
      </c>
      <c r="AH131" s="1415">
        <f t="shared" si="524"/>
        <v>0</v>
      </c>
      <c r="AI131" s="1415">
        <f t="shared" si="524"/>
        <v>0</v>
      </c>
      <c r="AJ131" s="1415">
        <f t="shared" si="524"/>
        <v>0</v>
      </c>
      <c r="AK131" s="1415">
        <f t="shared" si="524"/>
        <v>0</v>
      </c>
      <c r="AL131" s="1415">
        <f t="shared" si="524"/>
        <v>0</v>
      </c>
      <c r="AM131" s="1415">
        <f t="shared" si="524"/>
        <v>0</v>
      </c>
      <c r="AN131" s="1415">
        <f t="shared" si="524"/>
        <v>0</v>
      </c>
      <c r="AO131" s="1415">
        <f t="shared" si="524"/>
        <v>0</v>
      </c>
      <c r="AP131" s="1417">
        <f t="shared" si="524"/>
        <v>0</v>
      </c>
      <c r="AQ131" s="1415">
        <f t="shared" si="524"/>
        <v>0</v>
      </c>
      <c r="AR131" s="1415">
        <f t="shared" si="524"/>
        <v>0</v>
      </c>
      <c r="AS131" s="1415">
        <f t="shared" si="524"/>
        <v>0</v>
      </c>
      <c r="AT131" s="1415">
        <f t="shared" si="524"/>
        <v>0</v>
      </c>
      <c r="AU131" s="1415">
        <f t="shared" si="524"/>
        <v>0</v>
      </c>
      <c r="AV131" s="1415">
        <f t="shared" si="524"/>
        <v>0</v>
      </c>
      <c r="AW131" s="1415">
        <f t="shared" si="524"/>
        <v>0</v>
      </c>
      <c r="AX131" s="1415">
        <f t="shared" si="524"/>
        <v>0</v>
      </c>
      <c r="AY131" s="1415">
        <f t="shared" si="524"/>
        <v>0</v>
      </c>
      <c r="AZ131" s="1415">
        <f t="shared" si="524"/>
        <v>0</v>
      </c>
      <c r="BA131" s="1415">
        <f t="shared" si="524"/>
        <v>0</v>
      </c>
      <c r="BB131" s="1417">
        <f t="shared" si="524"/>
        <v>0</v>
      </c>
      <c r="BC131" s="1415">
        <f t="shared" si="524"/>
        <v>0</v>
      </c>
      <c r="BD131" s="1415">
        <f t="shared" si="524"/>
        <v>0</v>
      </c>
      <c r="BE131" s="1415">
        <f t="shared" si="524"/>
        <v>0</v>
      </c>
      <c r="BF131" s="1415">
        <f t="shared" si="524"/>
        <v>0</v>
      </c>
      <c r="BG131" s="1415">
        <f t="shared" si="524"/>
        <v>0</v>
      </c>
      <c r="BH131" s="1415">
        <f t="shared" si="524"/>
        <v>0</v>
      </c>
      <c r="BI131" s="1415">
        <f t="shared" si="524"/>
        <v>0</v>
      </c>
      <c r="BJ131" s="1415">
        <f t="shared" si="524"/>
        <v>0</v>
      </c>
      <c r="BK131" s="1415">
        <f t="shared" si="524"/>
        <v>0</v>
      </c>
      <c r="BL131" s="1415">
        <f t="shared" si="524"/>
        <v>0</v>
      </c>
      <c r="BM131" s="1415">
        <f t="shared" si="524"/>
        <v>0</v>
      </c>
      <c r="BN131" s="1415">
        <f t="shared" si="524"/>
        <v>0</v>
      </c>
      <c r="BO131" s="1415">
        <f t="shared" si="524"/>
        <v>0</v>
      </c>
      <c r="BP131" s="1415">
        <f t="shared" si="524"/>
        <v>0</v>
      </c>
      <c r="BQ131" s="1415">
        <f t="shared" si="524"/>
        <v>0</v>
      </c>
      <c r="BR131" s="1415">
        <f t="shared" ref="BR131:DU131" si="525">((BR87*((BR113*12)/52)*BR176)*(1-BR$73))</f>
        <v>0</v>
      </c>
      <c r="BS131" s="1415">
        <f t="shared" si="525"/>
        <v>0</v>
      </c>
      <c r="BT131" s="1415">
        <f t="shared" si="525"/>
        <v>0</v>
      </c>
      <c r="BU131" s="1415">
        <f t="shared" si="525"/>
        <v>0</v>
      </c>
      <c r="BV131" s="1415">
        <f t="shared" si="525"/>
        <v>0</v>
      </c>
      <c r="BW131" s="1415">
        <f t="shared" si="525"/>
        <v>0</v>
      </c>
      <c r="BX131" s="1415">
        <f t="shared" si="525"/>
        <v>0</v>
      </c>
      <c r="BY131" s="1415">
        <f t="shared" si="525"/>
        <v>0</v>
      </c>
      <c r="BZ131" s="1415">
        <f t="shared" si="525"/>
        <v>0</v>
      </c>
      <c r="CA131" s="1415">
        <f t="shared" si="525"/>
        <v>0</v>
      </c>
      <c r="CB131" s="1415">
        <f t="shared" si="525"/>
        <v>0</v>
      </c>
      <c r="CC131" s="1415">
        <f t="shared" si="525"/>
        <v>0</v>
      </c>
      <c r="CD131" s="1415">
        <f t="shared" si="525"/>
        <v>0</v>
      </c>
      <c r="CE131" s="1415">
        <f t="shared" si="525"/>
        <v>0</v>
      </c>
      <c r="CF131" s="1415">
        <f t="shared" si="525"/>
        <v>0</v>
      </c>
      <c r="CG131" s="1415">
        <f t="shared" si="525"/>
        <v>0</v>
      </c>
      <c r="CH131" s="1415">
        <f t="shared" si="525"/>
        <v>0</v>
      </c>
      <c r="CI131" s="1415">
        <f t="shared" si="525"/>
        <v>0</v>
      </c>
      <c r="CJ131" s="1415">
        <f t="shared" si="525"/>
        <v>0</v>
      </c>
      <c r="CK131" s="1415">
        <f t="shared" si="525"/>
        <v>0</v>
      </c>
      <c r="CL131" s="1415">
        <f t="shared" si="525"/>
        <v>0</v>
      </c>
      <c r="CM131" s="1415">
        <f t="shared" si="525"/>
        <v>0</v>
      </c>
      <c r="CN131" s="1415">
        <f t="shared" si="525"/>
        <v>0</v>
      </c>
      <c r="CO131" s="1415">
        <f t="shared" si="525"/>
        <v>0</v>
      </c>
      <c r="CP131" s="1415">
        <f t="shared" si="525"/>
        <v>0</v>
      </c>
      <c r="CQ131" s="1415">
        <f t="shared" si="525"/>
        <v>0</v>
      </c>
      <c r="CR131" s="1415">
        <f t="shared" si="525"/>
        <v>0</v>
      </c>
      <c r="CS131" s="1415">
        <f t="shared" si="525"/>
        <v>0</v>
      </c>
      <c r="CT131" s="1415">
        <f t="shared" si="525"/>
        <v>0</v>
      </c>
      <c r="CU131" s="1415">
        <f t="shared" si="525"/>
        <v>0</v>
      </c>
      <c r="CV131" s="1415">
        <f t="shared" si="525"/>
        <v>0</v>
      </c>
      <c r="CW131" s="1415">
        <f t="shared" si="525"/>
        <v>0</v>
      </c>
      <c r="CX131" s="1415">
        <f t="shared" si="525"/>
        <v>0</v>
      </c>
      <c r="CY131" s="1415">
        <f t="shared" si="525"/>
        <v>0</v>
      </c>
      <c r="CZ131" s="1415">
        <f t="shared" si="525"/>
        <v>0</v>
      </c>
      <c r="DA131" s="1415">
        <f t="shared" si="525"/>
        <v>0</v>
      </c>
      <c r="DB131" s="1415">
        <f t="shared" si="525"/>
        <v>0</v>
      </c>
      <c r="DC131" s="1415">
        <f t="shared" si="525"/>
        <v>0</v>
      </c>
      <c r="DD131" s="1415">
        <f t="shared" si="525"/>
        <v>0</v>
      </c>
      <c r="DE131" s="1415">
        <f t="shared" si="525"/>
        <v>0</v>
      </c>
      <c r="DF131" s="1415">
        <f t="shared" si="525"/>
        <v>0</v>
      </c>
      <c r="DG131" s="1415">
        <f t="shared" si="525"/>
        <v>0</v>
      </c>
      <c r="DH131" s="1415">
        <f t="shared" si="525"/>
        <v>0</v>
      </c>
      <c r="DI131" s="1415">
        <f t="shared" si="525"/>
        <v>0</v>
      </c>
      <c r="DJ131" s="1415">
        <f t="shared" si="525"/>
        <v>0</v>
      </c>
      <c r="DK131" s="1415">
        <f t="shared" si="525"/>
        <v>0</v>
      </c>
      <c r="DL131" s="1415">
        <f t="shared" si="525"/>
        <v>0</v>
      </c>
      <c r="DM131" s="1415">
        <f t="shared" si="525"/>
        <v>0</v>
      </c>
      <c r="DN131" s="1415">
        <f t="shared" si="525"/>
        <v>0</v>
      </c>
      <c r="DO131" s="1415">
        <f t="shared" si="525"/>
        <v>0</v>
      </c>
      <c r="DP131" s="1415">
        <f t="shared" si="525"/>
        <v>0</v>
      </c>
      <c r="DQ131" s="1415">
        <f t="shared" si="525"/>
        <v>0</v>
      </c>
      <c r="DR131" s="1415">
        <f t="shared" si="525"/>
        <v>0</v>
      </c>
      <c r="DS131" s="1415">
        <f t="shared" si="525"/>
        <v>0</v>
      </c>
      <c r="DT131" s="1415">
        <f t="shared" si="525"/>
        <v>0</v>
      </c>
      <c r="DU131" s="1418">
        <f t="shared" si="525"/>
        <v>0</v>
      </c>
      <c r="DV131" s="707"/>
      <c r="DW131" s="189">
        <f t="shared" si="523"/>
        <v>0</v>
      </c>
      <c r="EI131" s="638"/>
    </row>
    <row r="132" spans="1:139" x14ac:dyDescent="0.3">
      <c r="B132" s="613" t="str">
        <f t="shared" ref="B132:B133" si="526">B88</f>
        <v>Month 2 Training</v>
      </c>
      <c r="C132" s="1415"/>
      <c r="D132" s="707"/>
      <c r="E132" s="1416">
        <f>((E88*((E113*12)/52)*E177)*(1-E$73))</f>
        <v>0</v>
      </c>
      <c r="F132" s="1415">
        <f t="shared" ref="F132:BQ132" si="527">((F88*((F113*12)/52)*F177)*(1-F$73))</f>
        <v>0</v>
      </c>
      <c r="G132" s="1415">
        <f t="shared" si="527"/>
        <v>0</v>
      </c>
      <c r="H132" s="1415">
        <f t="shared" si="527"/>
        <v>0</v>
      </c>
      <c r="I132" s="1415">
        <f t="shared" si="527"/>
        <v>0</v>
      </c>
      <c r="J132" s="1415">
        <f t="shared" si="527"/>
        <v>0</v>
      </c>
      <c r="K132" s="1415">
        <f t="shared" si="527"/>
        <v>0</v>
      </c>
      <c r="L132" s="1415">
        <f t="shared" si="527"/>
        <v>0</v>
      </c>
      <c r="M132" s="1415">
        <f t="shared" si="527"/>
        <v>0</v>
      </c>
      <c r="N132" s="1415">
        <f t="shared" si="527"/>
        <v>0</v>
      </c>
      <c r="O132" s="1415">
        <f t="shared" si="527"/>
        <v>0</v>
      </c>
      <c r="P132" s="1415">
        <f t="shared" si="527"/>
        <v>0</v>
      </c>
      <c r="Q132" s="1415">
        <f t="shared" si="527"/>
        <v>0</v>
      </c>
      <c r="R132" s="1417">
        <f t="shared" si="527"/>
        <v>0</v>
      </c>
      <c r="S132" s="1415">
        <f t="shared" si="527"/>
        <v>0</v>
      </c>
      <c r="T132" s="1415">
        <f t="shared" si="527"/>
        <v>0</v>
      </c>
      <c r="U132" s="1415">
        <f t="shared" si="527"/>
        <v>0</v>
      </c>
      <c r="V132" s="1415">
        <f t="shared" si="527"/>
        <v>0</v>
      </c>
      <c r="W132" s="1415">
        <f t="shared" si="527"/>
        <v>0</v>
      </c>
      <c r="X132" s="1415">
        <f t="shared" si="527"/>
        <v>0</v>
      </c>
      <c r="Y132" s="1415">
        <f t="shared" si="527"/>
        <v>0</v>
      </c>
      <c r="Z132" s="1415">
        <f t="shared" si="527"/>
        <v>0</v>
      </c>
      <c r="AA132" s="1415">
        <f t="shared" si="527"/>
        <v>0</v>
      </c>
      <c r="AB132" s="1415">
        <f t="shared" si="527"/>
        <v>0</v>
      </c>
      <c r="AC132" s="1415">
        <f t="shared" si="527"/>
        <v>0</v>
      </c>
      <c r="AD132" s="1417">
        <f t="shared" si="527"/>
        <v>0</v>
      </c>
      <c r="AE132" s="1415">
        <f t="shared" si="527"/>
        <v>0</v>
      </c>
      <c r="AF132" s="1415">
        <f t="shared" si="527"/>
        <v>0</v>
      </c>
      <c r="AG132" s="1415">
        <f t="shared" si="527"/>
        <v>0</v>
      </c>
      <c r="AH132" s="1415">
        <f t="shared" si="527"/>
        <v>0</v>
      </c>
      <c r="AI132" s="1415">
        <f t="shared" si="527"/>
        <v>0</v>
      </c>
      <c r="AJ132" s="1415">
        <f t="shared" si="527"/>
        <v>0</v>
      </c>
      <c r="AK132" s="1415">
        <f t="shared" si="527"/>
        <v>0</v>
      </c>
      <c r="AL132" s="1415">
        <f t="shared" si="527"/>
        <v>0</v>
      </c>
      <c r="AM132" s="1415">
        <f t="shared" si="527"/>
        <v>0</v>
      </c>
      <c r="AN132" s="1415">
        <f t="shared" si="527"/>
        <v>0</v>
      </c>
      <c r="AO132" s="1415">
        <f t="shared" si="527"/>
        <v>0</v>
      </c>
      <c r="AP132" s="1417">
        <f t="shared" si="527"/>
        <v>0</v>
      </c>
      <c r="AQ132" s="1415">
        <f t="shared" si="527"/>
        <v>0</v>
      </c>
      <c r="AR132" s="1415">
        <f t="shared" si="527"/>
        <v>0</v>
      </c>
      <c r="AS132" s="1415">
        <f t="shared" si="527"/>
        <v>0</v>
      </c>
      <c r="AT132" s="1415">
        <f t="shared" si="527"/>
        <v>0</v>
      </c>
      <c r="AU132" s="1415">
        <f t="shared" si="527"/>
        <v>0</v>
      </c>
      <c r="AV132" s="1415">
        <f t="shared" si="527"/>
        <v>0</v>
      </c>
      <c r="AW132" s="1415">
        <f t="shared" si="527"/>
        <v>0</v>
      </c>
      <c r="AX132" s="1415">
        <f t="shared" si="527"/>
        <v>0</v>
      </c>
      <c r="AY132" s="1415">
        <f t="shared" si="527"/>
        <v>0</v>
      </c>
      <c r="AZ132" s="1415">
        <f t="shared" si="527"/>
        <v>0</v>
      </c>
      <c r="BA132" s="1415">
        <f t="shared" si="527"/>
        <v>0</v>
      </c>
      <c r="BB132" s="1417">
        <f t="shared" si="527"/>
        <v>0</v>
      </c>
      <c r="BC132" s="1415">
        <f t="shared" si="527"/>
        <v>0</v>
      </c>
      <c r="BD132" s="1415">
        <f t="shared" si="527"/>
        <v>0</v>
      </c>
      <c r="BE132" s="1415">
        <f t="shared" si="527"/>
        <v>0</v>
      </c>
      <c r="BF132" s="1415">
        <f t="shared" si="527"/>
        <v>0</v>
      </c>
      <c r="BG132" s="1415">
        <f t="shared" si="527"/>
        <v>0</v>
      </c>
      <c r="BH132" s="1415">
        <f t="shared" si="527"/>
        <v>0</v>
      </c>
      <c r="BI132" s="1415">
        <f t="shared" si="527"/>
        <v>0</v>
      </c>
      <c r="BJ132" s="1415">
        <f t="shared" si="527"/>
        <v>0</v>
      </c>
      <c r="BK132" s="1415">
        <f t="shared" si="527"/>
        <v>0</v>
      </c>
      <c r="BL132" s="1415">
        <f t="shared" si="527"/>
        <v>0</v>
      </c>
      <c r="BM132" s="1415">
        <f t="shared" si="527"/>
        <v>0</v>
      </c>
      <c r="BN132" s="1415">
        <f t="shared" si="527"/>
        <v>0</v>
      </c>
      <c r="BO132" s="1415">
        <f t="shared" si="527"/>
        <v>0</v>
      </c>
      <c r="BP132" s="1415">
        <f t="shared" si="527"/>
        <v>0</v>
      </c>
      <c r="BQ132" s="1415">
        <f t="shared" si="527"/>
        <v>0</v>
      </c>
      <c r="BR132" s="1415">
        <f t="shared" ref="BR132:DU132" si="528">((BR88*((BR113*12)/52)*BR177)*(1-BR$73))</f>
        <v>0</v>
      </c>
      <c r="BS132" s="1415">
        <f t="shared" si="528"/>
        <v>0</v>
      </c>
      <c r="BT132" s="1415">
        <f t="shared" si="528"/>
        <v>0</v>
      </c>
      <c r="BU132" s="1415">
        <f t="shared" si="528"/>
        <v>0</v>
      </c>
      <c r="BV132" s="1415">
        <f t="shared" si="528"/>
        <v>0</v>
      </c>
      <c r="BW132" s="1415">
        <f t="shared" si="528"/>
        <v>0</v>
      </c>
      <c r="BX132" s="1415">
        <f t="shared" si="528"/>
        <v>0</v>
      </c>
      <c r="BY132" s="1415">
        <f t="shared" si="528"/>
        <v>0</v>
      </c>
      <c r="BZ132" s="1415">
        <f t="shared" si="528"/>
        <v>0</v>
      </c>
      <c r="CA132" s="1415">
        <f t="shared" si="528"/>
        <v>0</v>
      </c>
      <c r="CB132" s="1415">
        <f t="shared" si="528"/>
        <v>0</v>
      </c>
      <c r="CC132" s="1415">
        <f t="shared" si="528"/>
        <v>0</v>
      </c>
      <c r="CD132" s="1415">
        <f t="shared" si="528"/>
        <v>0</v>
      </c>
      <c r="CE132" s="1415">
        <f t="shared" si="528"/>
        <v>0</v>
      </c>
      <c r="CF132" s="1415">
        <f t="shared" si="528"/>
        <v>0</v>
      </c>
      <c r="CG132" s="1415">
        <f t="shared" si="528"/>
        <v>0</v>
      </c>
      <c r="CH132" s="1415">
        <f t="shared" si="528"/>
        <v>0</v>
      </c>
      <c r="CI132" s="1415">
        <f t="shared" si="528"/>
        <v>0</v>
      </c>
      <c r="CJ132" s="1415">
        <f t="shared" si="528"/>
        <v>0</v>
      </c>
      <c r="CK132" s="1415">
        <f t="shared" si="528"/>
        <v>0</v>
      </c>
      <c r="CL132" s="1415">
        <f t="shared" si="528"/>
        <v>0</v>
      </c>
      <c r="CM132" s="1415">
        <f t="shared" si="528"/>
        <v>0</v>
      </c>
      <c r="CN132" s="1415">
        <f t="shared" si="528"/>
        <v>0</v>
      </c>
      <c r="CO132" s="1415">
        <f t="shared" si="528"/>
        <v>0</v>
      </c>
      <c r="CP132" s="1415">
        <f t="shared" si="528"/>
        <v>0</v>
      </c>
      <c r="CQ132" s="1415">
        <f t="shared" si="528"/>
        <v>0</v>
      </c>
      <c r="CR132" s="1415">
        <f t="shared" si="528"/>
        <v>0</v>
      </c>
      <c r="CS132" s="1415">
        <f t="shared" si="528"/>
        <v>0</v>
      </c>
      <c r="CT132" s="1415">
        <f t="shared" si="528"/>
        <v>0</v>
      </c>
      <c r="CU132" s="1415">
        <f t="shared" si="528"/>
        <v>0</v>
      </c>
      <c r="CV132" s="1415">
        <f t="shared" si="528"/>
        <v>0</v>
      </c>
      <c r="CW132" s="1415">
        <f t="shared" si="528"/>
        <v>0</v>
      </c>
      <c r="CX132" s="1415">
        <f t="shared" si="528"/>
        <v>0</v>
      </c>
      <c r="CY132" s="1415">
        <f t="shared" si="528"/>
        <v>0</v>
      </c>
      <c r="CZ132" s="1415">
        <f t="shared" si="528"/>
        <v>0</v>
      </c>
      <c r="DA132" s="1415">
        <f t="shared" si="528"/>
        <v>0</v>
      </c>
      <c r="DB132" s="1415">
        <f t="shared" si="528"/>
        <v>0</v>
      </c>
      <c r="DC132" s="1415">
        <f t="shared" si="528"/>
        <v>0</v>
      </c>
      <c r="DD132" s="1415">
        <f t="shared" si="528"/>
        <v>0</v>
      </c>
      <c r="DE132" s="1415">
        <f t="shared" si="528"/>
        <v>0</v>
      </c>
      <c r="DF132" s="1415">
        <f t="shared" si="528"/>
        <v>0</v>
      </c>
      <c r="DG132" s="1415">
        <f t="shared" si="528"/>
        <v>0</v>
      </c>
      <c r="DH132" s="1415">
        <f t="shared" si="528"/>
        <v>0</v>
      </c>
      <c r="DI132" s="1415">
        <f t="shared" si="528"/>
        <v>0</v>
      </c>
      <c r="DJ132" s="1415">
        <f t="shared" si="528"/>
        <v>0</v>
      </c>
      <c r="DK132" s="1415">
        <f t="shared" si="528"/>
        <v>0</v>
      </c>
      <c r="DL132" s="1415">
        <f t="shared" si="528"/>
        <v>0</v>
      </c>
      <c r="DM132" s="1415">
        <f t="shared" si="528"/>
        <v>0</v>
      </c>
      <c r="DN132" s="1415">
        <f t="shared" si="528"/>
        <v>0</v>
      </c>
      <c r="DO132" s="1415">
        <f t="shared" si="528"/>
        <v>0</v>
      </c>
      <c r="DP132" s="1415">
        <f t="shared" si="528"/>
        <v>0</v>
      </c>
      <c r="DQ132" s="1415">
        <f t="shared" si="528"/>
        <v>0</v>
      </c>
      <c r="DR132" s="1415">
        <f t="shared" si="528"/>
        <v>0</v>
      </c>
      <c r="DS132" s="1415">
        <f t="shared" si="528"/>
        <v>0</v>
      </c>
      <c r="DT132" s="1415">
        <f t="shared" si="528"/>
        <v>0</v>
      </c>
      <c r="DU132" s="1418">
        <f t="shared" si="528"/>
        <v>0</v>
      </c>
      <c r="DV132" s="707"/>
      <c r="DW132" s="189">
        <f t="shared" si="523"/>
        <v>0</v>
      </c>
      <c r="EI132" s="638"/>
    </row>
    <row r="133" spans="1:139" x14ac:dyDescent="0.3">
      <c r="B133" s="613" t="str">
        <f t="shared" si="526"/>
        <v>Month 1 Training</v>
      </c>
      <c r="C133" s="1415"/>
      <c r="D133" s="707"/>
      <c r="E133" s="1416">
        <f>((E89*((E113*12)/52)*E178)*(1-E$73))</f>
        <v>1719986.9334741461</v>
      </c>
      <c r="F133" s="1415">
        <f t="shared" ref="F133:BQ133" si="529">((F89*((F113*12)/52)*F178)*(1-F$73))</f>
        <v>94599.281341078356</v>
      </c>
      <c r="G133" s="1415">
        <f t="shared" si="529"/>
        <v>94599.281341078138</v>
      </c>
      <c r="H133" s="1415">
        <f t="shared" si="529"/>
        <v>94599.281341078138</v>
      </c>
      <c r="I133" s="1415">
        <f t="shared" si="529"/>
        <v>75679.425072862534</v>
      </c>
      <c r="J133" s="1415">
        <f t="shared" si="529"/>
        <v>65494.560182729256</v>
      </c>
      <c r="K133" s="1415">
        <f t="shared" si="529"/>
        <v>65494.560182729256</v>
      </c>
      <c r="L133" s="1415">
        <f t="shared" si="529"/>
        <v>65494.560182729256</v>
      </c>
      <c r="M133" s="1415">
        <f t="shared" si="529"/>
        <v>65494.560182729256</v>
      </c>
      <c r="N133" s="1415">
        <f t="shared" si="529"/>
        <v>65494.560182729256</v>
      </c>
      <c r="O133" s="1415">
        <f t="shared" si="529"/>
        <v>65494.560182729256</v>
      </c>
      <c r="P133" s="1415">
        <f t="shared" si="529"/>
        <v>58217.386829092691</v>
      </c>
      <c r="Q133" s="1415">
        <f t="shared" si="529"/>
        <v>58217.386829092691</v>
      </c>
      <c r="R133" s="1417">
        <f t="shared" si="529"/>
        <v>61128.256170547334</v>
      </c>
      <c r="S133" s="1415">
        <f t="shared" si="529"/>
        <v>61128.256170547334</v>
      </c>
      <c r="T133" s="1415">
        <f t="shared" si="529"/>
        <v>61128.256170547334</v>
      </c>
      <c r="U133" s="1415">
        <f t="shared" si="529"/>
        <v>61128.256170547334</v>
      </c>
      <c r="V133" s="1415">
        <f t="shared" si="529"/>
        <v>61128.256170547334</v>
      </c>
      <c r="W133" s="1415">
        <f t="shared" si="529"/>
        <v>61128.256170547334</v>
      </c>
      <c r="X133" s="1415">
        <f t="shared" si="529"/>
        <v>61128.256170547334</v>
      </c>
      <c r="Y133" s="1415">
        <f t="shared" si="529"/>
        <v>61128.256170547334</v>
      </c>
      <c r="Z133" s="1415">
        <f t="shared" si="529"/>
        <v>61128.256170547334</v>
      </c>
      <c r="AA133" s="1415">
        <f t="shared" si="529"/>
        <v>61128.256170547334</v>
      </c>
      <c r="AB133" s="1415">
        <f t="shared" si="529"/>
        <v>61128.256170547334</v>
      </c>
      <c r="AC133" s="1415">
        <f t="shared" si="529"/>
        <v>61128.256170547334</v>
      </c>
      <c r="AD133" s="1417">
        <f t="shared" si="529"/>
        <v>64184.66897907469</v>
      </c>
      <c r="AE133" s="1415">
        <f t="shared" si="529"/>
        <v>64184.66897907469</v>
      </c>
      <c r="AF133" s="1415">
        <f t="shared" si="529"/>
        <v>64184.66897907469</v>
      </c>
      <c r="AG133" s="1415">
        <f t="shared" si="529"/>
        <v>64184.66897907469</v>
      </c>
      <c r="AH133" s="1415">
        <f t="shared" si="529"/>
        <v>64184.66897907469</v>
      </c>
      <c r="AI133" s="1415">
        <f t="shared" si="529"/>
        <v>64184.66897907469</v>
      </c>
      <c r="AJ133" s="1415">
        <f t="shared" si="529"/>
        <v>64184.66897907469</v>
      </c>
      <c r="AK133" s="1415">
        <f t="shared" si="529"/>
        <v>64184.66897907469</v>
      </c>
      <c r="AL133" s="1415">
        <f t="shared" si="529"/>
        <v>64184.66897907469</v>
      </c>
      <c r="AM133" s="1415">
        <f t="shared" si="529"/>
        <v>64184.66897907469</v>
      </c>
      <c r="AN133" s="1415">
        <f t="shared" si="529"/>
        <v>64184.66897907469</v>
      </c>
      <c r="AO133" s="1415">
        <f t="shared" si="529"/>
        <v>64184.66897907469</v>
      </c>
      <c r="AP133" s="1417">
        <f t="shared" si="529"/>
        <v>67393.902428028436</v>
      </c>
      <c r="AQ133" s="1415">
        <f t="shared" si="529"/>
        <v>67393.902428028436</v>
      </c>
      <c r="AR133" s="1415">
        <f t="shared" si="529"/>
        <v>67393.902428028436</v>
      </c>
      <c r="AS133" s="1415">
        <f t="shared" si="529"/>
        <v>67393.902428028436</v>
      </c>
      <c r="AT133" s="1415">
        <f t="shared" si="529"/>
        <v>67393.902428028436</v>
      </c>
      <c r="AU133" s="1415">
        <f t="shared" si="529"/>
        <v>67393.902428028436</v>
      </c>
      <c r="AV133" s="1415">
        <f t="shared" si="529"/>
        <v>67393.902428028436</v>
      </c>
      <c r="AW133" s="1415">
        <f t="shared" si="529"/>
        <v>67393.902428028436</v>
      </c>
      <c r="AX133" s="1415">
        <f t="shared" si="529"/>
        <v>67393.902428028436</v>
      </c>
      <c r="AY133" s="1415">
        <f t="shared" si="529"/>
        <v>67393.902428028436</v>
      </c>
      <c r="AZ133" s="1415">
        <f t="shared" si="529"/>
        <v>67393.902428028436</v>
      </c>
      <c r="BA133" s="1415">
        <f t="shared" si="529"/>
        <v>67393.902428028436</v>
      </c>
      <c r="BB133" s="1417">
        <f t="shared" si="529"/>
        <v>70763.597549429847</v>
      </c>
      <c r="BC133" s="1415">
        <f t="shared" si="529"/>
        <v>70763.597549429847</v>
      </c>
      <c r="BD133" s="1415">
        <f t="shared" si="529"/>
        <v>70763.597549429847</v>
      </c>
      <c r="BE133" s="1415">
        <f t="shared" si="529"/>
        <v>70763.597549429847</v>
      </c>
      <c r="BF133" s="1415">
        <f t="shared" si="529"/>
        <v>70763.597549429847</v>
      </c>
      <c r="BG133" s="1415">
        <f t="shared" si="529"/>
        <v>70763.597549429847</v>
      </c>
      <c r="BH133" s="1415">
        <f t="shared" si="529"/>
        <v>70763.597549429847</v>
      </c>
      <c r="BI133" s="1415">
        <f t="shared" si="529"/>
        <v>70763.597549429847</v>
      </c>
      <c r="BJ133" s="1415">
        <f t="shared" si="529"/>
        <v>70763.597549429847</v>
      </c>
      <c r="BK133" s="1415">
        <f t="shared" si="529"/>
        <v>70763.597549429847</v>
      </c>
      <c r="BL133" s="1415">
        <f t="shared" si="529"/>
        <v>70763.597549429847</v>
      </c>
      <c r="BM133" s="1415">
        <f t="shared" si="529"/>
        <v>70763.597549429847</v>
      </c>
      <c r="BN133" s="1415">
        <f t="shared" si="529"/>
        <v>74301.777426901346</v>
      </c>
      <c r="BO133" s="1415">
        <f t="shared" si="529"/>
        <v>74301.777426901346</v>
      </c>
      <c r="BP133" s="1415">
        <f t="shared" si="529"/>
        <v>74301.777426901346</v>
      </c>
      <c r="BQ133" s="1415">
        <f t="shared" si="529"/>
        <v>74301.777426901346</v>
      </c>
      <c r="BR133" s="1415">
        <f t="shared" ref="BR133:DU133" si="530">((BR89*((BR113*12)/52)*BR178)*(1-BR$73))</f>
        <v>74301.777426901346</v>
      </c>
      <c r="BS133" s="1415">
        <f t="shared" si="530"/>
        <v>74301.777426901346</v>
      </c>
      <c r="BT133" s="1415">
        <f t="shared" si="530"/>
        <v>74301.777426901346</v>
      </c>
      <c r="BU133" s="1415">
        <f t="shared" si="530"/>
        <v>74301.777426901346</v>
      </c>
      <c r="BV133" s="1415">
        <f t="shared" si="530"/>
        <v>74301.777426901346</v>
      </c>
      <c r="BW133" s="1415">
        <f t="shared" si="530"/>
        <v>74301.777426901346</v>
      </c>
      <c r="BX133" s="1415">
        <f t="shared" si="530"/>
        <v>74301.777426901346</v>
      </c>
      <c r="BY133" s="1415">
        <f t="shared" si="530"/>
        <v>74301.777426901346</v>
      </c>
      <c r="BZ133" s="1415">
        <f t="shared" si="530"/>
        <v>78016.86629824643</v>
      </c>
      <c r="CA133" s="1415">
        <f t="shared" si="530"/>
        <v>78016.86629824643</v>
      </c>
      <c r="CB133" s="1415">
        <f t="shared" si="530"/>
        <v>78016.86629824643</v>
      </c>
      <c r="CC133" s="1415">
        <f t="shared" si="530"/>
        <v>78016.86629824643</v>
      </c>
      <c r="CD133" s="1415">
        <f t="shared" si="530"/>
        <v>78016.86629824643</v>
      </c>
      <c r="CE133" s="1415">
        <f t="shared" si="530"/>
        <v>78016.86629824643</v>
      </c>
      <c r="CF133" s="1415">
        <f t="shared" si="530"/>
        <v>78016.86629824643</v>
      </c>
      <c r="CG133" s="1415">
        <f t="shared" si="530"/>
        <v>78016.86629824643</v>
      </c>
      <c r="CH133" s="1415">
        <f t="shared" si="530"/>
        <v>78016.86629824643</v>
      </c>
      <c r="CI133" s="1415">
        <f t="shared" si="530"/>
        <v>78016.86629824643</v>
      </c>
      <c r="CJ133" s="1415">
        <f t="shared" si="530"/>
        <v>78016.86629824643</v>
      </c>
      <c r="CK133" s="1415">
        <f t="shared" si="530"/>
        <v>78016.86629824643</v>
      </c>
      <c r="CL133" s="1415">
        <f t="shared" si="530"/>
        <v>81917.709613158746</v>
      </c>
      <c r="CM133" s="1415">
        <f t="shared" si="530"/>
        <v>81917.709613158746</v>
      </c>
      <c r="CN133" s="1415">
        <f t="shared" si="530"/>
        <v>81917.709613158746</v>
      </c>
      <c r="CO133" s="1415">
        <f t="shared" si="530"/>
        <v>81917.709613158746</v>
      </c>
      <c r="CP133" s="1415">
        <f t="shared" si="530"/>
        <v>81917.709613158746</v>
      </c>
      <c r="CQ133" s="1415">
        <f t="shared" si="530"/>
        <v>81917.709613158746</v>
      </c>
      <c r="CR133" s="1415">
        <f t="shared" si="530"/>
        <v>81917.709613158746</v>
      </c>
      <c r="CS133" s="1415">
        <f t="shared" si="530"/>
        <v>81917.709613158746</v>
      </c>
      <c r="CT133" s="1415">
        <f t="shared" si="530"/>
        <v>81917.709613158746</v>
      </c>
      <c r="CU133" s="1415">
        <f t="shared" si="530"/>
        <v>81917.709613158746</v>
      </c>
      <c r="CV133" s="1415">
        <f t="shared" si="530"/>
        <v>81917.709613158746</v>
      </c>
      <c r="CW133" s="1415">
        <f t="shared" si="530"/>
        <v>81917.709613158746</v>
      </c>
      <c r="CX133" s="1415">
        <f t="shared" si="530"/>
        <v>86013.595093816693</v>
      </c>
      <c r="CY133" s="1415">
        <f t="shared" si="530"/>
        <v>86013.595093816693</v>
      </c>
      <c r="CZ133" s="1415">
        <f t="shared" si="530"/>
        <v>86013.595093816693</v>
      </c>
      <c r="DA133" s="1415">
        <f t="shared" si="530"/>
        <v>86013.595093816693</v>
      </c>
      <c r="DB133" s="1415">
        <f t="shared" si="530"/>
        <v>86013.595093816693</v>
      </c>
      <c r="DC133" s="1415">
        <f t="shared" si="530"/>
        <v>86013.595093816693</v>
      </c>
      <c r="DD133" s="1415">
        <f t="shared" si="530"/>
        <v>86013.595093816693</v>
      </c>
      <c r="DE133" s="1415">
        <f t="shared" si="530"/>
        <v>86013.595093816693</v>
      </c>
      <c r="DF133" s="1415">
        <f t="shared" si="530"/>
        <v>86013.595093816693</v>
      </c>
      <c r="DG133" s="1415">
        <f t="shared" si="530"/>
        <v>86013.595093816693</v>
      </c>
      <c r="DH133" s="1415">
        <f t="shared" si="530"/>
        <v>86013.595093816693</v>
      </c>
      <c r="DI133" s="1415">
        <f t="shared" si="530"/>
        <v>86013.595093816693</v>
      </c>
      <c r="DJ133" s="1415">
        <f t="shared" si="530"/>
        <v>90314.274848507543</v>
      </c>
      <c r="DK133" s="1415">
        <f t="shared" si="530"/>
        <v>90314.274848507543</v>
      </c>
      <c r="DL133" s="1415">
        <f t="shared" si="530"/>
        <v>90314.274848507543</v>
      </c>
      <c r="DM133" s="1415">
        <f t="shared" si="530"/>
        <v>90314.274848507543</v>
      </c>
      <c r="DN133" s="1415">
        <f t="shared" si="530"/>
        <v>90314.274848507543</v>
      </c>
      <c r="DO133" s="1415">
        <f t="shared" si="530"/>
        <v>90314.274848507543</v>
      </c>
      <c r="DP133" s="1415">
        <f t="shared" si="530"/>
        <v>90314.274848507543</v>
      </c>
      <c r="DQ133" s="1415">
        <f t="shared" si="530"/>
        <v>90314.274848507543</v>
      </c>
      <c r="DR133" s="1415">
        <f t="shared" si="530"/>
        <v>90314.274848507543</v>
      </c>
      <c r="DS133" s="1415">
        <f t="shared" si="530"/>
        <v>90314.274848507543</v>
      </c>
      <c r="DT133" s="1415">
        <f t="shared" si="530"/>
        <v>90314.274848507543</v>
      </c>
      <c r="DU133" s="1418">
        <f t="shared" si="530"/>
        <v>90314.274848507543</v>
      </c>
      <c r="DV133" s="707"/>
      <c r="DW133" s="189">
        <f t="shared" si="523"/>
        <v>10677282.118217336</v>
      </c>
      <c r="EI133" s="638"/>
    </row>
    <row r="134" spans="1:139" x14ac:dyDescent="0.3">
      <c r="B134" s="1426" t="s">
        <v>150</v>
      </c>
      <c r="C134" s="1427"/>
      <c r="D134" s="1428"/>
      <c r="E134" s="1429">
        <f>((SUMPRODUCT(E91:E105,E114:E128)*12)/52)*E4</f>
        <v>915984.10036009352</v>
      </c>
      <c r="F134" s="1430">
        <f t="shared" ref="F134:AK134" si="531">SUMPRODUCT(F91:F105,F114:F128)</f>
        <v>676501.74593388883</v>
      </c>
      <c r="G134" s="1430">
        <f t="shared" si="531"/>
        <v>723522.5792672222</v>
      </c>
      <c r="H134" s="1430">
        <f t="shared" si="531"/>
        <v>723522.5792672222</v>
      </c>
      <c r="I134" s="1430">
        <f t="shared" si="531"/>
        <v>723522.5792672222</v>
      </c>
      <c r="J134" s="1430">
        <f t="shared" si="531"/>
        <v>723522.5792672222</v>
      </c>
      <c r="K134" s="1430">
        <f t="shared" si="531"/>
        <v>555383.01508452988</v>
      </c>
      <c r="L134" s="1430">
        <f t="shared" si="531"/>
        <v>555383.01508452988</v>
      </c>
      <c r="M134" s="1430">
        <f t="shared" si="531"/>
        <v>555383.01508452988</v>
      </c>
      <c r="N134" s="1430">
        <f t="shared" si="531"/>
        <v>555383.01508452988</v>
      </c>
      <c r="O134" s="1430">
        <f t="shared" si="531"/>
        <v>555383.01508452988</v>
      </c>
      <c r="P134" s="1430">
        <f t="shared" si="531"/>
        <v>555383.01508452988</v>
      </c>
      <c r="Q134" s="1430">
        <f t="shared" si="531"/>
        <v>555383.01508452988</v>
      </c>
      <c r="R134" s="1431">
        <f t="shared" si="531"/>
        <v>583152.16583875648</v>
      </c>
      <c r="S134" s="1430">
        <f t="shared" si="531"/>
        <v>583152.16583875648</v>
      </c>
      <c r="T134" s="1430">
        <f t="shared" si="531"/>
        <v>583152.16583875648</v>
      </c>
      <c r="U134" s="1430">
        <f t="shared" si="531"/>
        <v>583152.16583875648</v>
      </c>
      <c r="V134" s="1430">
        <f t="shared" si="531"/>
        <v>583152.16583875648</v>
      </c>
      <c r="W134" s="1430">
        <f t="shared" si="531"/>
        <v>583152.16583875648</v>
      </c>
      <c r="X134" s="1430">
        <f t="shared" si="531"/>
        <v>583152.16583875648</v>
      </c>
      <c r="Y134" s="1430">
        <f t="shared" si="531"/>
        <v>583152.16583875648</v>
      </c>
      <c r="Z134" s="1430">
        <f t="shared" si="531"/>
        <v>583152.16583875648</v>
      </c>
      <c r="AA134" s="1430">
        <f t="shared" si="531"/>
        <v>583152.16583875648</v>
      </c>
      <c r="AB134" s="1430">
        <f t="shared" si="531"/>
        <v>583152.16583875648</v>
      </c>
      <c r="AC134" s="1430">
        <f t="shared" si="531"/>
        <v>583152.16583875648</v>
      </c>
      <c r="AD134" s="1431">
        <f t="shared" si="531"/>
        <v>612309.77413069422</v>
      </c>
      <c r="AE134" s="1430">
        <f t="shared" si="531"/>
        <v>612309.77413069422</v>
      </c>
      <c r="AF134" s="1430">
        <f t="shared" si="531"/>
        <v>612309.77413069422</v>
      </c>
      <c r="AG134" s="1430">
        <f t="shared" si="531"/>
        <v>612309.77413069422</v>
      </c>
      <c r="AH134" s="1430">
        <f t="shared" si="531"/>
        <v>612309.77413069422</v>
      </c>
      <c r="AI134" s="1430">
        <f t="shared" si="531"/>
        <v>612309.77413069422</v>
      </c>
      <c r="AJ134" s="1430">
        <f t="shared" si="531"/>
        <v>612309.77413069422</v>
      </c>
      <c r="AK134" s="1430">
        <f t="shared" si="531"/>
        <v>612309.77413069422</v>
      </c>
      <c r="AL134" s="1430">
        <f t="shared" ref="AL134:BM134" si="532">SUMPRODUCT(AL91:AL105,AL114:AL128)</f>
        <v>612309.77413069422</v>
      </c>
      <c r="AM134" s="1430">
        <f t="shared" si="532"/>
        <v>612309.77413069422</v>
      </c>
      <c r="AN134" s="1430">
        <f t="shared" si="532"/>
        <v>612309.77413069422</v>
      </c>
      <c r="AO134" s="1430">
        <f t="shared" si="532"/>
        <v>612309.77413069422</v>
      </c>
      <c r="AP134" s="1431">
        <f t="shared" si="532"/>
        <v>642925.26283722895</v>
      </c>
      <c r="AQ134" s="1430">
        <f t="shared" si="532"/>
        <v>642925.26283722895</v>
      </c>
      <c r="AR134" s="1430">
        <f t="shared" si="532"/>
        <v>642925.26283722895</v>
      </c>
      <c r="AS134" s="1430">
        <f t="shared" si="532"/>
        <v>642925.26283722895</v>
      </c>
      <c r="AT134" s="1430">
        <f t="shared" si="532"/>
        <v>642925.26283722895</v>
      </c>
      <c r="AU134" s="1430">
        <f t="shared" si="532"/>
        <v>642925.26283722895</v>
      </c>
      <c r="AV134" s="1430">
        <f t="shared" si="532"/>
        <v>642925.26283722895</v>
      </c>
      <c r="AW134" s="1430">
        <f t="shared" si="532"/>
        <v>642925.26283722895</v>
      </c>
      <c r="AX134" s="1430">
        <f t="shared" si="532"/>
        <v>642925.26283722895</v>
      </c>
      <c r="AY134" s="1430">
        <f t="shared" si="532"/>
        <v>642925.26283722895</v>
      </c>
      <c r="AZ134" s="1430">
        <f t="shared" si="532"/>
        <v>642925.26283722895</v>
      </c>
      <c r="BA134" s="1430">
        <f t="shared" si="532"/>
        <v>642925.26283722895</v>
      </c>
      <c r="BB134" s="1431">
        <f t="shared" si="532"/>
        <v>675071.52597909037</v>
      </c>
      <c r="BC134" s="1430">
        <f t="shared" si="532"/>
        <v>675071.52597909037</v>
      </c>
      <c r="BD134" s="1430">
        <f t="shared" si="532"/>
        <v>675071.52597909037</v>
      </c>
      <c r="BE134" s="1430">
        <f t="shared" si="532"/>
        <v>675071.52597909037</v>
      </c>
      <c r="BF134" s="1430">
        <f t="shared" si="532"/>
        <v>675071.52597909037</v>
      </c>
      <c r="BG134" s="1430">
        <f t="shared" si="532"/>
        <v>675071.52597909037</v>
      </c>
      <c r="BH134" s="1430">
        <f t="shared" si="532"/>
        <v>675071.52597909037</v>
      </c>
      <c r="BI134" s="1430">
        <f t="shared" si="532"/>
        <v>675071.52597909037</v>
      </c>
      <c r="BJ134" s="1430">
        <f t="shared" si="532"/>
        <v>675071.52597909037</v>
      </c>
      <c r="BK134" s="1430">
        <f t="shared" si="532"/>
        <v>675071.52597909037</v>
      </c>
      <c r="BL134" s="1430">
        <f t="shared" si="532"/>
        <v>675071.52597909037</v>
      </c>
      <c r="BM134" s="1430">
        <f t="shared" si="532"/>
        <v>675071.52597909037</v>
      </c>
      <c r="BN134" s="1430">
        <f t="shared" ref="BN134:DU134" si="533">SUMPRODUCT(BN91:BN105,BN114:BN128)</f>
        <v>708825.10227804491</v>
      </c>
      <c r="BO134" s="1430">
        <f t="shared" si="533"/>
        <v>708825.10227804491</v>
      </c>
      <c r="BP134" s="1430">
        <f t="shared" si="533"/>
        <v>708825.10227804491</v>
      </c>
      <c r="BQ134" s="1430">
        <f t="shared" si="533"/>
        <v>708825.10227804491</v>
      </c>
      <c r="BR134" s="1430">
        <f t="shared" si="533"/>
        <v>708825.10227804491</v>
      </c>
      <c r="BS134" s="1430">
        <f t="shared" si="533"/>
        <v>708825.10227804491</v>
      </c>
      <c r="BT134" s="1430">
        <f t="shared" si="533"/>
        <v>708825.10227804491</v>
      </c>
      <c r="BU134" s="1430">
        <f t="shared" si="533"/>
        <v>708825.10227804491</v>
      </c>
      <c r="BV134" s="1430">
        <f t="shared" si="533"/>
        <v>708825.10227804491</v>
      </c>
      <c r="BW134" s="1430">
        <f t="shared" si="533"/>
        <v>708825.10227804491</v>
      </c>
      <c r="BX134" s="1430">
        <f t="shared" si="533"/>
        <v>708825.10227804491</v>
      </c>
      <c r="BY134" s="1430">
        <f t="shared" si="533"/>
        <v>708825.10227804491</v>
      </c>
      <c r="BZ134" s="1430">
        <f t="shared" si="533"/>
        <v>744266.35739194718</v>
      </c>
      <c r="CA134" s="1430">
        <f t="shared" si="533"/>
        <v>744266.35739194718</v>
      </c>
      <c r="CB134" s="1430">
        <f t="shared" si="533"/>
        <v>744266.35739194718</v>
      </c>
      <c r="CC134" s="1430">
        <f t="shared" si="533"/>
        <v>744266.35739194718</v>
      </c>
      <c r="CD134" s="1430">
        <f t="shared" si="533"/>
        <v>744266.35739194718</v>
      </c>
      <c r="CE134" s="1430">
        <f t="shared" si="533"/>
        <v>744266.35739194718</v>
      </c>
      <c r="CF134" s="1430">
        <f t="shared" si="533"/>
        <v>744266.35739194718</v>
      </c>
      <c r="CG134" s="1430">
        <f t="shared" si="533"/>
        <v>744266.35739194718</v>
      </c>
      <c r="CH134" s="1430">
        <f t="shared" si="533"/>
        <v>744266.35739194718</v>
      </c>
      <c r="CI134" s="1430">
        <f t="shared" si="533"/>
        <v>744266.35739194718</v>
      </c>
      <c r="CJ134" s="1430">
        <f t="shared" si="533"/>
        <v>744266.35739194718</v>
      </c>
      <c r="CK134" s="1430">
        <f t="shared" si="533"/>
        <v>744266.35739194718</v>
      </c>
      <c r="CL134" s="1430">
        <f t="shared" si="533"/>
        <v>781479.67526154441</v>
      </c>
      <c r="CM134" s="1430">
        <f t="shared" si="533"/>
        <v>781479.67526154441</v>
      </c>
      <c r="CN134" s="1430">
        <f t="shared" si="533"/>
        <v>781479.67526154441</v>
      </c>
      <c r="CO134" s="1430">
        <f t="shared" si="533"/>
        <v>781479.67526154441</v>
      </c>
      <c r="CP134" s="1430">
        <f t="shared" si="533"/>
        <v>781479.67526154441</v>
      </c>
      <c r="CQ134" s="1430">
        <f t="shared" si="533"/>
        <v>781479.67526154441</v>
      </c>
      <c r="CR134" s="1430">
        <f t="shared" si="533"/>
        <v>781479.67526154441</v>
      </c>
      <c r="CS134" s="1430">
        <f t="shared" si="533"/>
        <v>781479.67526154441</v>
      </c>
      <c r="CT134" s="1430">
        <f t="shared" si="533"/>
        <v>781479.67526154441</v>
      </c>
      <c r="CU134" s="1430">
        <f t="shared" si="533"/>
        <v>781479.67526154441</v>
      </c>
      <c r="CV134" s="1430">
        <f t="shared" si="533"/>
        <v>781479.67526154441</v>
      </c>
      <c r="CW134" s="1430">
        <f t="shared" si="533"/>
        <v>781479.67526154441</v>
      </c>
      <c r="CX134" s="1430">
        <f t="shared" si="533"/>
        <v>820553.65902462171</v>
      </c>
      <c r="CY134" s="1430">
        <f t="shared" si="533"/>
        <v>820553.65902462171</v>
      </c>
      <c r="CZ134" s="1430">
        <f t="shared" si="533"/>
        <v>820553.65902462171</v>
      </c>
      <c r="DA134" s="1430">
        <f t="shared" si="533"/>
        <v>820553.65902462171</v>
      </c>
      <c r="DB134" s="1430">
        <f t="shared" si="533"/>
        <v>820553.65902462171</v>
      </c>
      <c r="DC134" s="1430">
        <f t="shared" si="533"/>
        <v>820553.65902462171</v>
      </c>
      <c r="DD134" s="1430">
        <f t="shared" si="533"/>
        <v>820553.65902462171</v>
      </c>
      <c r="DE134" s="1430">
        <f t="shared" si="533"/>
        <v>820553.65902462171</v>
      </c>
      <c r="DF134" s="1430">
        <f t="shared" si="533"/>
        <v>820553.65902462171</v>
      </c>
      <c r="DG134" s="1430">
        <f t="shared" si="533"/>
        <v>820553.65902462171</v>
      </c>
      <c r="DH134" s="1430">
        <f t="shared" si="533"/>
        <v>820553.65902462171</v>
      </c>
      <c r="DI134" s="1430">
        <f t="shared" si="533"/>
        <v>820553.65902462171</v>
      </c>
      <c r="DJ134" s="1430">
        <f t="shared" si="533"/>
        <v>861581.34197585296</v>
      </c>
      <c r="DK134" s="1430">
        <f t="shared" si="533"/>
        <v>861581.34197585296</v>
      </c>
      <c r="DL134" s="1430">
        <f t="shared" si="533"/>
        <v>861581.34197585296</v>
      </c>
      <c r="DM134" s="1430">
        <f t="shared" si="533"/>
        <v>861581.34197585296</v>
      </c>
      <c r="DN134" s="1430">
        <f t="shared" si="533"/>
        <v>861581.34197585296</v>
      </c>
      <c r="DO134" s="1430">
        <f t="shared" si="533"/>
        <v>861581.34197585296</v>
      </c>
      <c r="DP134" s="1430">
        <f t="shared" si="533"/>
        <v>861581.34197585296</v>
      </c>
      <c r="DQ134" s="1430">
        <f t="shared" si="533"/>
        <v>861581.34197585296</v>
      </c>
      <c r="DR134" s="1430">
        <f t="shared" si="533"/>
        <v>861581.34197585296</v>
      </c>
      <c r="DS134" s="1430">
        <f t="shared" si="533"/>
        <v>861581.34197585296</v>
      </c>
      <c r="DT134" s="1430">
        <f t="shared" si="533"/>
        <v>861581.34197585296</v>
      </c>
      <c r="DU134" s="1432">
        <f t="shared" si="533"/>
        <v>861581.34197585296</v>
      </c>
      <c r="DV134" s="187"/>
      <c r="DW134" s="413">
        <f t="shared" si="523"/>
        <v>85536235.645567909</v>
      </c>
      <c r="EI134" s="638">
        <f>DW134/$EE$25</f>
        <v>22.423226243217258</v>
      </c>
    </row>
    <row r="135" spans="1:139" x14ac:dyDescent="0.3">
      <c r="E135" s="1385"/>
      <c r="F135" s="1385"/>
      <c r="G135" s="1385"/>
      <c r="H135" s="1385"/>
      <c r="I135" s="1385"/>
      <c r="J135" s="1385"/>
      <c r="K135" s="1385"/>
      <c r="L135" s="1385"/>
      <c r="M135" s="1385"/>
      <c r="N135" s="1385"/>
      <c r="O135" s="1385"/>
      <c r="P135" s="1385"/>
      <c r="Q135" s="1385"/>
      <c r="R135" s="1385"/>
      <c r="S135" s="1385"/>
      <c r="T135" s="1385"/>
      <c r="U135" s="1385"/>
      <c r="V135" s="1385"/>
      <c r="W135" s="1385"/>
      <c r="X135" s="1385"/>
      <c r="Y135" s="1385"/>
      <c r="Z135" s="1385"/>
      <c r="AA135" s="1385"/>
      <c r="AB135" s="1385"/>
      <c r="AC135" s="1385"/>
      <c r="AD135" s="1385"/>
      <c r="AE135" s="1385"/>
    </row>
    <row r="136" spans="1:139" x14ac:dyDescent="0.3">
      <c r="A136" s="86"/>
      <c r="B136" s="626" t="str">
        <f>Data!D84</f>
        <v>Support Recruitment Cost &amp; BGV</v>
      </c>
      <c r="E136" s="1385"/>
      <c r="F136" s="1385"/>
      <c r="G136" s="1385"/>
      <c r="H136" s="1385"/>
      <c r="I136" s="1385"/>
      <c r="J136" s="1385"/>
      <c r="K136" s="1385"/>
      <c r="L136" s="1385"/>
      <c r="M136" s="1385"/>
      <c r="N136" s="1385"/>
      <c r="O136" s="1385"/>
      <c r="P136" s="1385"/>
      <c r="Q136" s="1385"/>
      <c r="R136" s="1385"/>
      <c r="S136" s="1385"/>
      <c r="T136" s="1385"/>
      <c r="U136" s="1385"/>
      <c r="V136" s="1385"/>
      <c r="W136" s="1385"/>
      <c r="X136" s="1385"/>
      <c r="Y136" s="1385"/>
      <c r="Z136" s="1385"/>
      <c r="AA136" s="1385"/>
      <c r="AB136" s="1385"/>
      <c r="AC136" s="1385"/>
      <c r="AD136" s="1385"/>
      <c r="AE136" s="1385"/>
      <c r="AP136" s="282"/>
      <c r="BB136" s="282"/>
      <c r="DU136" s="324"/>
    </row>
    <row r="137" spans="1:139" x14ac:dyDescent="0.3">
      <c r="A137" s="87"/>
      <c r="B137" s="627" t="str">
        <f>Data!D85</f>
        <v>Total Monthly Charge</v>
      </c>
      <c r="C137" s="89"/>
      <c r="D137" s="89"/>
      <c r="E137" s="88">
        <f>Data!G85</f>
        <v>668835.33332128881</v>
      </c>
      <c r="F137" s="89">
        <f>Data!H85</f>
        <v>0</v>
      </c>
      <c r="G137" s="89">
        <f>Data!I85</f>
        <v>0</v>
      </c>
      <c r="H137" s="89">
        <f>Data!J85</f>
        <v>0</v>
      </c>
      <c r="I137" s="89">
        <f>Data!K85</f>
        <v>0</v>
      </c>
      <c r="J137" s="89">
        <f>Data!L85</f>
        <v>0</v>
      </c>
      <c r="K137" s="89">
        <f>Data!M85</f>
        <v>0</v>
      </c>
      <c r="L137" s="89">
        <f>Data!N85</f>
        <v>0</v>
      </c>
      <c r="M137" s="89">
        <f>Data!O85</f>
        <v>0</v>
      </c>
      <c r="N137" s="89">
        <f>Data!P85</f>
        <v>0</v>
      </c>
      <c r="O137" s="89">
        <f>Data!Q85</f>
        <v>0</v>
      </c>
      <c r="P137" s="89">
        <f>Data!R85</f>
        <v>0</v>
      </c>
      <c r="Q137" s="89">
        <f>Data!S85</f>
        <v>0</v>
      </c>
      <c r="R137" s="283">
        <f>Data!T85</f>
        <v>19993.788543043076</v>
      </c>
      <c r="S137" s="89">
        <f>Data!U85</f>
        <v>0</v>
      </c>
      <c r="T137" s="89">
        <f>Data!V85</f>
        <v>0</v>
      </c>
      <c r="U137" s="89">
        <f>Data!W85</f>
        <v>0</v>
      </c>
      <c r="V137" s="89">
        <f>Data!X85</f>
        <v>0</v>
      </c>
      <c r="W137" s="89">
        <f>Data!Y85</f>
        <v>0</v>
      </c>
      <c r="X137" s="89">
        <f>Data!Z85</f>
        <v>0</v>
      </c>
      <c r="Y137" s="89">
        <f>Data!AA85</f>
        <v>0</v>
      </c>
      <c r="Z137" s="89">
        <f>Data!AB85</f>
        <v>0</v>
      </c>
      <c r="AA137" s="89">
        <f>Data!AC85</f>
        <v>0</v>
      </c>
      <c r="AB137" s="89">
        <f>Data!AD85</f>
        <v>0</v>
      </c>
      <c r="AC137" s="89">
        <f>Data!AE85</f>
        <v>0</v>
      </c>
      <c r="AD137" s="283">
        <f>Data!AF85</f>
        <v>20993.477970195236</v>
      </c>
      <c r="AE137" s="89">
        <f>Data!AG85</f>
        <v>0</v>
      </c>
      <c r="AF137" s="89">
        <f>Data!AH85</f>
        <v>0</v>
      </c>
      <c r="AG137" s="89">
        <f>Data!AI85</f>
        <v>0</v>
      </c>
      <c r="AH137" s="89">
        <f>Data!AJ85</f>
        <v>0</v>
      </c>
      <c r="AI137" s="89">
        <f>Data!AK85</f>
        <v>0</v>
      </c>
      <c r="AJ137" s="89">
        <f>Data!AL85</f>
        <v>0</v>
      </c>
      <c r="AK137" s="89">
        <f>Data!AM85</f>
        <v>0</v>
      </c>
      <c r="AL137" s="89">
        <f>Data!AN85</f>
        <v>0</v>
      </c>
      <c r="AM137" s="89">
        <f>Data!AO85</f>
        <v>0</v>
      </c>
      <c r="AN137" s="89">
        <f>Data!AP85</f>
        <v>0</v>
      </c>
      <c r="AO137" s="89">
        <f>Data!AQ85</f>
        <v>0</v>
      </c>
      <c r="AP137" s="283">
        <f>Data!AR85</f>
        <v>22043.151868705056</v>
      </c>
      <c r="AQ137" s="89">
        <f>Data!AS85</f>
        <v>0</v>
      </c>
      <c r="AR137" s="89">
        <f>Data!AT85</f>
        <v>0</v>
      </c>
      <c r="AS137" s="89">
        <f>Data!AU85</f>
        <v>0</v>
      </c>
      <c r="AT137" s="89">
        <f>Data!AV85</f>
        <v>0</v>
      </c>
      <c r="AU137" s="89">
        <f>Data!AW85</f>
        <v>0</v>
      </c>
      <c r="AV137" s="89">
        <f>Data!AX85</f>
        <v>0</v>
      </c>
      <c r="AW137" s="89">
        <f>Data!AY85</f>
        <v>0</v>
      </c>
      <c r="AX137" s="89">
        <f>Data!AZ85</f>
        <v>0</v>
      </c>
      <c r="AY137" s="89">
        <f>Data!BA85</f>
        <v>0</v>
      </c>
      <c r="AZ137" s="89">
        <f>Data!BB85</f>
        <v>0</v>
      </c>
      <c r="BA137" s="89">
        <f>Data!BC85</f>
        <v>0</v>
      </c>
      <c r="BB137" s="283">
        <f>Data!BD85</f>
        <v>23145.30946214014</v>
      </c>
      <c r="BC137" s="89">
        <f>Data!BE85</f>
        <v>0</v>
      </c>
      <c r="BD137" s="89">
        <f>Data!BF85</f>
        <v>0</v>
      </c>
      <c r="BE137" s="89">
        <f>Data!BG85</f>
        <v>0</v>
      </c>
      <c r="BF137" s="89">
        <f>Data!BH85</f>
        <v>0</v>
      </c>
      <c r="BG137" s="89">
        <f>Data!BI85</f>
        <v>0</v>
      </c>
      <c r="BH137" s="89">
        <f>Data!BJ85</f>
        <v>0</v>
      </c>
      <c r="BI137" s="89">
        <f>Data!BK85</f>
        <v>0</v>
      </c>
      <c r="BJ137" s="89">
        <f>Data!BL85</f>
        <v>0</v>
      </c>
      <c r="BK137" s="89">
        <f>Data!BM85</f>
        <v>0</v>
      </c>
      <c r="BL137" s="89">
        <f>Data!BN85</f>
        <v>0</v>
      </c>
      <c r="BM137" s="89">
        <f>Data!BO85</f>
        <v>0</v>
      </c>
      <c r="BN137" s="89">
        <f>Data!BP85</f>
        <v>24302.574935247307</v>
      </c>
      <c r="BO137" s="89">
        <f>Data!BQ85</f>
        <v>0</v>
      </c>
      <c r="BP137" s="89">
        <f>Data!BR85</f>
        <v>0</v>
      </c>
      <c r="BQ137" s="89">
        <f>Data!BS85</f>
        <v>0</v>
      </c>
      <c r="BR137" s="89">
        <f>Data!BT85</f>
        <v>0</v>
      </c>
      <c r="BS137" s="89">
        <f>Data!BU85</f>
        <v>0</v>
      </c>
      <c r="BT137" s="89">
        <f>Data!BV85</f>
        <v>0</v>
      </c>
      <c r="BU137" s="89">
        <f>Data!BW85</f>
        <v>0</v>
      </c>
      <c r="BV137" s="89">
        <f>Data!BX85</f>
        <v>0</v>
      </c>
      <c r="BW137" s="89">
        <f>Data!BY85</f>
        <v>0</v>
      </c>
      <c r="BX137" s="89">
        <f>Data!BZ85</f>
        <v>0</v>
      </c>
      <c r="BY137" s="89">
        <f>Data!CA85</f>
        <v>0</v>
      </c>
      <c r="BZ137" s="89">
        <f>Data!CB85</f>
        <v>25517.703682009596</v>
      </c>
      <c r="CA137" s="89">
        <f>Data!CC85</f>
        <v>0</v>
      </c>
      <c r="CB137" s="89">
        <f>Data!CD85</f>
        <v>0</v>
      </c>
      <c r="CC137" s="89">
        <f>Data!CE85</f>
        <v>0</v>
      </c>
      <c r="CD137" s="89">
        <f>Data!CF85</f>
        <v>0</v>
      </c>
      <c r="CE137" s="89">
        <f>Data!CG85</f>
        <v>0</v>
      </c>
      <c r="CF137" s="89">
        <f>Data!CH85</f>
        <v>0</v>
      </c>
      <c r="CG137" s="89">
        <f>Data!CI85</f>
        <v>0</v>
      </c>
      <c r="CH137" s="89">
        <f>Data!CJ85</f>
        <v>0</v>
      </c>
      <c r="CI137" s="89">
        <f>Data!CK85</f>
        <v>0</v>
      </c>
      <c r="CJ137" s="89">
        <f>Data!CL85</f>
        <v>0</v>
      </c>
      <c r="CK137" s="89">
        <f>Data!CM85</f>
        <v>0</v>
      </c>
      <c r="CL137" s="89">
        <f>Data!CN85</f>
        <v>26793.588866110193</v>
      </c>
      <c r="CM137" s="89">
        <f>Data!CO85</f>
        <v>0</v>
      </c>
      <c r="CN137" s="89">
        <f>Data!CP85</f>
        <v>0</v>
      </c>
      <c r="CO137" s="89">
        <f>Data!CQ85</f>
        <v>0</v>
      </c>
      <c r="CP137" s="89">
        <f>Data!CR85</f>
        <v>0</v>
      </c>
      <c r="CQ137" s="89">
        <f>Data!CS85</f>
        <v>0</v>
      </c>
      <c r="CR137" s="89">
        <f>Data!CT85</f>
        <v>0</v>
      </c>
      <c r="CS137" s="89">
        <f>Data!CU85</f>
        <v>0</v>
      </c>
      <c r="CT137" s="89">
        <f>Data!CV85</f>
        <v>0</v>
      </c>
      <c r="CU137" s="89">
        <f>Data!CW85</f>
        <v>0</v>
      </c>
      <c r="CV137" s="89">
        <f>Data!CX85</f>
        <v>0</v>
      </c>
      <c r="CW137" s="89">
        <f>Data!CY85</f>
        <v>0</v>
      </c>
      <c r="CX137" s="89">
        <f>Data!CZ85</f>
        <v>28133.268309415434</v>
      </c>
      <c r="CY137" s="89">
        <f>Data!DA85</f>
        <v>0</v>
      </c>
      <c r="CZ137" s="89">
        <f>Data!DB85</f>
        <v>0</v>
      </c>
      <c r="DA137" s="89">
        <f>Data!DC85</f>
        <v>0</v>
      </c>
      <c r="DB137" s="89">
        <f>Data!DD85</f>
        <v>0</v>
      </c>
      <c r="DC137" s="89">
        <f>Data!DE85</f>
        <v>0</v>
      </c>
      <c r="DD137" s="89">
        <f>Data!DF85</f>
        <v>0</v>
      </c>
      <c r="DE137" s="89">
        <f>Data!DG85</f>
        <v>0</v>
      </c>
      <c r="DF137" s="89">
        <f>Data!DH85</f>
        <v>0</v>
      </c>
      <c r="DG137" s="89">
        <f>Data!DI85</f>
        <v>0</v>
      </c>
      <c r="DH137" s="89">
        <f>Data!DJ85</f>
        <v>0</v>
      </c>
      <c r="DI137" s="89">
        <f>Data!DK85</f>
        <v>0</v>
      </c>
      <c r="DJ137" s="89">
        <f>Data!DL85</f>
        <v>29539.931724886526</v>
      </c>
      <c r="DK137" s="89">
        <f>Data!DM85</f>
        <v>0</v>
      </c>
      <c r="DL137" s="89">
        <f>Data!DN85</f>
        <v>0</v>
      </c>
      <c r="DM137" s="89">
        <f>Data!DO85</f>
        <v>0</v>
      </c>
      <c r="DN137" s="89">
        <f>Data!DP85</f>
        <v>0</v>
      </c>
      <c r="DO137" s="89">
        <f>Data!DQ85</f>
        <v>0</v>
      </c>
      <c r="DP137" s="89">
        <f>Data!DR85</f>
        <v>0</v>
      </c>
      <c r="DQ137" s="89">
        <f>Data!DS85</f>
        <v>0</v>
      </c>
      <c r="DR137" s="89">
        <f>Data!DT85</f>
        <v>0</v>
      </c>
      <c r="DS137" s="89">
        <f>Data!DU85</f>
        <v>0</v>
      </c>
      <c r="DT137" s="89">
        <f>Data!DV85</f>
        <v>0</v>
      </c>
      <c r="DU137" s="440">
        <f>Data!DW85</f>
        <v>0</v>
      </c>
      <c r="DV137" s="703"/>
    </row>
    <row r="138" spans="1:139" x14ac:dyDescent="0.3">
      <c r="A138" s="175"/>
      <c r="B138" s="628" t="str">
        <f>Data!D86</f>
        <v>TL</v>
      </c>
      <c r="C138" s="91"/>
      <c r="D138" s="91"/>
      <c r="E138" s="90">
        <f>Data!G86</f>
        <v>155431.49999999997</v>
      </c>
      <c r="F138" s="91">
        <f>Data!H86</f>
        <v>155431.49999999997</v>
      </c>
      <c r="G138" s="91">
        <f>Data!I86</f>
        <v>155431.49999999997</v>
      </c>
      <c r="H138" s="91">
        <f>Data!J86</f>
        <v>155431.49999999997</v>
      </c>
      <c r="I138" s="91">
        <f>Data!K86</f>
        <v>155431.49999999997</v>
      </c>
      <c r="J138" s="91">
        <f>Data!L86</f>
        <v>155431.49999999997</v>
      </c>
      <c r="K138" s="91">
        <f>Data!M86</f>
        <v>155431.49999999997</v>
      </c>
      <c r="L138" s="91">
        <f>Data!N86</f>
        <v>155431.49999999997</v>
      </c>
      <c r="M138" s="91">
        <f>Data!O86</f>
        <v>155431.49999999997</v>
      </c>
      <c r="N138" s="91">
        <f>Data!P86</f>
        <v>155431.49999999997</v>
      </c>
      <c r="O138" s="91">
        <f>Data!Q86</f>
        <v>155431.49999999997</v>
      </c>
      <c r="P138" s="91">
        <f>Data!R86</f>
        <v>155431.49999999997</v>
      </c>
      <c r="Q138" s="91">
        <f>Data!S86</f>
        <v>155431.49999999997</v>
      </c>
      <c r="R138" s="284">
        <f>Data!T86</f>
        <v>163058.99999999997</v>
      </c>
      <c r="S138" s="91">
        <f>Data!U86</f>
        <v>163058.99999999997</v>
      </c>
      <c r="T138" s="91">
        <f>Data!V86</f>
        <v>163058.99999999997</v>
      </c>
      <c r="U138" s="91">
        <f>Data!W86</f>
        <v>163058.99999999997</v>
      </c>
      <c r="V138" s="91">
        <f>Data!X86</f>
        <v>163058.99999999997</v>
      </c>
      <c r="W138" s="91">
        <f>Data!Y86</f>
        <v>163058.99999999997</v>
      </c>
      <c r="X138" s="91">
        <f>Data!Z86</f>
        <v>163058.99999999997</v>
      </c>
      <c r="Y138" s="91">
        <f>Data!AA86</f>
        <v>163058.99999999997</v>
      </c>
      <c r="Z138" s="91">
        <f>Data!AB86</f>
        <v>163058.99999999997</v>
      </c>
      <c r="AA138" s="91">
        <f>Data!AC86</f>
        <v>163058.99999999997</v>
      </c>
      <c r="AB138" s="91">
        <f>Data!AD86</f>
        <v>163058.99999999997</v>
      </c>
      <c r="AC138" s="91">
        <f>Data!AE86</f>
        <v>163058.99999999997</v>
      </c>
      <c r="AD138" s="284">
        <f>Data!AF86</f>
        <v>171067.87499999997</v>
      </c>
      <c r="AE138" s="91">
        <f>Data!AG86</f>
        <v>171067.87499999997</v>
      </c>
      <c r="AF138" s="91">
        <f>Data!AH86</f>
        <v>171067.87499999997</v>
      </c>
      <c r="AG138" s="91">
        <f>Data!AI86</f>
        <v>171067.87499999997</v>
      </c>
      <c r="AH138" s="91">
        <f>Data!AJ86</f>
        <v>171067.87499999997</v>
      </c>
      <c r="AI138" s="91">
        <f>Data!AK86</f>
        <v>171067.87499999997</v>
      </c>
      <c r="AJ138" s="91">
        <f>Data!AL86</f>
        <v>171067.87499999997</v>
      </c>
      <c r="AK138" s="91">
        <f>Data!AM86</f>
        <v>171067.87499999997</v>
      </c>
      <c r="AL138" s="91">
        <f>Data!AN86</f>
        <v>171067.87499999997</v>
      </c>
      <c r="AM138" s="91">
        <f>Data!AO86</f>
        <v>171067.87499999997</v>
      </c>
      <c r="AN138" s="91">
        <f>Data!AP86</f>
        <v>171067.87499999997</v>
      </c>
      <c r="AO138" s="91">
        <f>Data!AQ86</f>
        <v>171067.87499999997</v>
      </c>
      <c r="AP138" s="284">
        <f>Data!AR86</f>
        <v>179477.19374999998</v>
      </c>
      <c r="AQ138" s="91">
        <f>Data!AS86</f>
        <v>179477.19374999998</v>
      </c>
      <c r="AR138" s="91">
        <f>Data!AT86</f>
        <v>179477.19374999998</v>
      </c>
      <c r="AS138" s="91">
        <f>Data!AU86</f>
        <v>179477.19374999998</v>
      </c>
      <c r="AT138" s="91">
        <f>Data!AV86</f>
        <v>179477.19374999998</v>
      </c>
      <c r="AU138" s="91">
        <f>Data!AW86</f>
        <v>179477.19374999998</v>
      </c>
      <c r="AV138" s="91">
        <f>Data!AX86</f>
        <v>179477.19374999998</v>
      </c>
      <c r="AW138" s="91">
        <f>Data!AY86</f>
        <v>179477.19374999998</v>
      </c>
      <c r="AX138" s="91">
        <f>Data!AZ86</f>
        <v>179477.19374999998</v>
      </c>
      <c r="AY138" s="91">
        <f>Data!BA86</f>
        <v>179477.19374999998</v>
      </c>
      <c r="AZ138" s="91">
        <f>Data!BB86</f>
        <v>179477.19374999998</v>
      </c>
      <c r="BA138" s="91">
        <f>Data!BC86</f>
        <v>179477.19374999998</v>
      </c>
      <c r="BB138" s="284">
        <f>Data!BD86</f>
        <v>188306.97843749996</v>
      </c>
      <c r="BC138" s="91">
        <f>Data!BE86</f>
        <v>188306.97843749996</v>
      </c>
      <c r="BD138" s="91">
        <f>Data!BF86</f>
        <v>188306.97843749996</v>
      </c>
      <c r="BE138" s="91">
        <f>Data!BG86</f>
        <v>188306.97843749996</v>
      </c>
      <c r="BF138" s="91">
        <f>Data!BH86</f>
        <v>188306.97843749996</v>
      </c>
      <c r="BG138" s="91">
        <f>Data!BI86</f>
        <v>188306.97843749996</v>
      </c>
      <c r="BH138" s="91">
        <f>Data!BJ86</f>
        <v>188306.97843749996</v>
      </c>
      <c r="BI138" s="91">
        <f>Data!BK86</f>
        <v>188306.97843749996</v>
      </c>
      <c r="BJ138" s="91">
        <f>Data!BL86</f>
        <v>188306.97843749996</v>
      </c>
      <c r="BK138" s="91">
        <f>Data!BM86</f>
        <v>188306.97843749996</v>
      </c>
      <c r="BL138" s="91">
        <f>Data!BN86</f>
        <v>188306.97843749996</v>
      </c>
      <c r="BM138" s="91">
        <f>Data!BO86</f>
        <v>188306.97843749996</v>
      </c>
      <c r="BN138" s="91">
        <f>Data!BP86</f>
        <v>197578.25235937495</v>
      </c>
      <c r="BO138" s="91">
        <f>Data!BQ86</f>
        <v>197578.25235937495</v>
      </c>
      <c r="BP138" s="91">
        <f>Data!BR86</f>
        <v>197578.25235937495</v>
      </c>
      <c r="BQ138" s="91">
        <f>Data!BS86</f>
        <v>197578.25235937495</v>
      </c>
      <c r="BR138" s="91">
        <f>Data!BT86</f>
        <v>197578.25235937495</v>
      </c>
      <c r="BS138" s="91">
        <f>Data!BU86</f>
        <v>197578.25235937495</v>
      </c>
      <c r="BT138" s="91">
        <f>Data!BV86</f>
        <v>197578.25235937495</v>
      </c>
      <c r="BU138" s="91">
        <f>Data!BW86</f>
        <v>197578.25235937495</v>
      </c>
      <c r="BV138" s="91">
        <f>Data!BX86</f>
        <v>197578.25235937495</v>
      </c>
      <c r="BW138" s="91">
        <f>Data!BY86</f>
        <v>197578.25235937495</v>
      </c>
      <c r="BX138" s="91">
        <f>Data!BZ86</f>
        <v>197578.25235937495</v>
      </c>
      <c r="BY138" s="91">
        <f>Data!CA86</f>
        <v>197578.25235937495</v>
      </c>
      <c r="BZ138" s="91">
        <f>Data!CB86</f>
        <v>207313.08997734374</v>
      </c>
      <c r="CA138" s="91">
        <f>Data!CC86</f>
        <v>207313.08997734374</v>
      </c>
      <c r="CB138" s="91">
        <f>Data!CD86</f>
        <v>207313.08997734374</v>
      </c>
      <c r="CC138" s="91">
        <f>Data!CE86</f>
        <v>207313.08997734374</v>
      </c>
      <c r="CD138" s="91">
        <f>Data!CF86</f>
        <v>207313.08997734374</v>
      </c>
      <c r="CE138" s="91">
        <f>Data!CG86</f>
        <v>207313.08997734374</v>
      </c>
      <c r="CF138" s="91">
        <f>Data!CH86</f>
        <v>207313.08997734374</v>
      </c>
      <c r="CG138" s="91">
        <f>Data!CI86</f>
        <v>207313.08997734374</v>
      </c>
      <c r="CH138" s="91">
        <f>Data!CJ86</f>
        <v>207313.08997734374</v>
      </c>
      <c r="CI138" s="91">
        <f>Data!CK86</f>
        <v>207313.08997734374</v>
      </c>
      <c r="CJ138" s="91">
        <f>Data!CL86</f>
        <v>207313.08997734374</v>
      </c>
      <c r="CK138" s="91">
        <f>Data!CM86</f>
        <v>207313.08997734374</v>
      </c>
      <c r="CL138" s="91">
        <f>Data!CN86</f>
        <v>217534.6694762109</v>
      </c>
      <c r="CM138" s="91">
        <f>Data!CO86</f>
        <v>217534.6694762109</v>
      </c>
      <c r="CN138" s="91">
        <f>Data!CP86</f>
        <v>217534.6694762109</v>
      </c>
      <c r="CO138" s="91">
        <f>Data!CQ86</f>
        <v>217534.6694762109</v>
      </c>
      <c r="CP138" s="91">
        <f>Data!CR86</f>
        <v>217534.6694762109</v>
      </c>
      <c r="CQ138" s="91">
        <f>Data!CS86</f>
        <v>217534.6694762109</v>
      </c>
      <c r="CR138" s="91">
        <f>Data!CT86</f>
        <v>217534.6694762109</v>
      </c>
      <c r="CS138" s="91">
        <f>Data!CU86</f>
        <v>217534.6694762109</v>
      </c>
      <c r="CT138" s="91">
        <f>Data!CV86</f>
        <v>217534.6694762109</v>
      </c>
      <c r="CU138" s="91">
        <f>Data!CW86</f>
        <v>217534.6694762109</v>
      </c>
      <c r="CV138" s="91">
        <f>Data!CX86</f>
        <v>217534.6694762109</v>
      </c>
      <c r="CW138" s="91">
        <f>Data!CY86</f>
        <v>217534.6694762109</v>
      </c>
      <c r="CX138" s="91">
        <f>Data!CZ86</f>
        <v>228267.32795002146</v>
      </c>
      <c r="CY138" s="91">
        <f>Data!DA86</f>
        <v>228267.32795002146</v>
      </c>
      <c r="CZ138" s="91">
        <f>Data!DB86</f>
        <v>228267.32795002146</v>
      </c>
      <c r="DA138" s="91">
        <f>Data!DC86</f>
        <v>228267.32795002146</v>
      </c>
      <c r="DB138" s="91">
        <f>Data!DD86</f>
        <v>228267.32795002146</v>
      </c>
      <c r="DC138" s="91">
        <f>Data!DE86</f>
        <v>228267.32795002146</v>
      </c>
      <c r="DD138" s="91">
        <f>Data!DF86</f>
        <v>228267.32795002146</v>
      </c>
      <c r="DE138" s="91">
        <f>Data!DG86</f>
        <v>228267.32795002146</v>
      </c>
      <c r="DF138" s="91">
        <f>Data!DH86</f>
        <v>228267.32795002146</v>
      </c>
      <c r="DG138" s="91">
        <f>Data!DI86</f>
        <v>228267.32795002146</v>
      </c>
      <c r="DH138" s="91">
        <f>Data!DJ86</f>
        <v>228267.32795002146</v>
      </c>
      <c r="DI138" s="91">
        <f>Data!DK86</f>
        <v>228267.32795002146</v>
      </c>
      <c r="DJ138" s="91">
        <f>Data!DL86</f>
        <v>239536.61934752259</v>
      </c>
      <c r="DK138" s="91">
        <f>Data!DM86</f>
        <v>239536.61934752259</v>
      </c>
      <c r="DL138" s="91">
        <f>Data!DN86</f>
        <v>239536.61934752259</v>
      </c>
      <c r="DM138" s="91">
        <f>Data!DO86</f>
        <v>239536.61934752259</v>
      </c>
      <c r="DN138" s="91">
        <f>Data!DP86</f>
        <v>239536.61934752259</v>
      </c>
      <c r="DO138" s="91">
        <f>Data!DQ86</f>
        <v>239536.61934752259</v>
      </c>
      <c r="DP138" s="91">
        <f>Data!DR86</f>
        <v>239536.61934752259</v>
      </c>
      <c r="DQ138" s="91">
        <f>Data!DS86</f>
        <v>239536.61934752259</v>
      </c>
      <c r="DR138" s="91">
        <f>Data!DT86</f>
        <v>239536.61934752259</v>
      </c>
      <c r="DS138" s="91">
        <f>Data!DU86</f>
        <v>239536.61934752259</v>
      </c>
      <c r="DT138" s="91">
        <f>Data!DV86</f>
        <v>239536.61934752259</v>
      </c>
      <c r="DU138" s="441">
        <f>Data!DW86</f>
        <v>239536.61934752259</v>
      </c>
      <c r="DV138" s="91"/>
      <c r="EE138" s="92"/>
      <c r="EH138" s="92"/>
    </row>
    <row r="139" spans="1:139" x14ac:dyDescent="0.3">
      <c r="A139" s="175"/>
      <c r="B139" s="628" t="str">
        <f>Data!D87</f>
        <v>AM</v>
      </c>
      <c r="C139" s="91"/>
      <c r="D139" s="91"/>
      <c r="E139" s="90">
        <f>Data!G87</f>
        <v>0.41510499999999989</v>
      </c>
      <c r="F139" s="91">
        <f>Data!H87</f>
        <v>0.41510499999999989</v>
      </c>
      <c r="G139" s="91">
        <f>Data!I87</f>
        <v>0.415105</v>
      </c>
      <c r="H139" s="91">
        <f>Data!J87</f>
        <v>0.415105</v>
      </c>
      <c r="I139" s="91">
        <f>Data!K87</f>
        <v>0.415105</v>
      </c>
      <c r="J139" s="91">
        <f>Data!L87</f>
        <v>0.415105</v>
      </c>
      <c r="K139" s="91">
        <f>Data!M87</f>
        <v>0.415105</v>
      </c>
      <c r="L139" s="91">
        <f>Data!N87</f>
        <v>0.415105</v>
      </c>
      <c r="M139" s="91">
        <f>Data!O87</f>
        <v>0.415105</v>
      </c>
      <c r="N139" s="91">
        <f>Data!P87</f>
        <v>0.415105</v>
      </c>
      <c r="O139" s="91">
        <f>Data!Q87</f>
        <v>0.415105</v>
      </c>
      <c r="P139" s="91">
        <f>Data!R87</f>
        <v>0.415105</v>
      </c>
      <c r="Q139" s="91">
        <f>Data!S87</f>
        <v>0.415105</v>
      </c>
      <c r="R139" s="284">
        <f>Data!T87</f>
        <v>0.43560100000000002</v>
      </c>
      <c r="S139" s="91">
        <f>Data!U87</f>
        <v>0.43560100000000002</v>
      </c>
      <c r="T139" s="91">
        <f>Data!V87</f>
        <v>0.43560100000000002</v>
      </c>
      <c r="U139" s="91">
        <f>Data!W87</f>
        <v>0.43560100000000002</v>
      </c>
      <c r="V139" s="91">
        <f>Data!X87</f>
        <v>0.43560100000000002</v>
      </c>
      <c r="W139" s="91">
        <f>Data!Y87</f>
        <v>0.43560100000000002</v>
      </c>
      <c r="X139" s="91">
        <f>Data!Z87</f>
        <v>0.43560100000000002</v>
      </c>
      <c r="Y139" s="91">
        <f>Data!AA87</f>
        <v>0.43560100000000002</v>
      </c>
      <c r="Z139" s="91">
        <f>Data!AB87</f>
        <v>0.43560100000000002</v>
      </c>
      <c r="AA139" s="91">
        <f>Data!AC87</f>
        <v>0.43560100000000002</v>
      </c>
      <c r="AB139" s="91">
        <f>Data!AD87</f>
        <v>0.43560100000000002</v>
      </c>
      <c r="AC139" s="91">
        <f>Data!AE87</f>
        <v>0.43560100000000002</v>
      </c>
      <c r="AD139" s="284">
        <f>Data!AF87</f>
        <v>0.45712179999999997</v>
      </c>
      <c r="AE139" s="91">
        <f>Data!AG87</f>
        <v>0.45712179999999997</v>
      </c>
      <c r="AF139" s="91">
        <f>Data!AH87</f>
        <v>0.45712179999999997</v>
      </c>
      <c r="AG139" s="91">
        <f>Data!AI87</f>
        <v>0.45712179999999997</v>
      </c>
      <c r="AH139" s="91">
        <f>Data!AJ87</f>
        <v>0.45712179999999997</v>
      </c>
      <c r="AI139" s="91">
        <f>Data!AK87</f>
        <v>0.45712179999999997</v>
      </c>
      <c r="AJ139" s="91">
        <f>Data!AL87</f>
        <v>0.45712179999999997</v>
      </c>
      <c r="AK139" s="91">
        <f>Data!AM87</f>
        <v>0.45712179999999997</v>
      </c>
      <c r="AL139" s="91">
        <f>Data!AN87</f>
        <v>0.45712179999999997</v>
      </c>
      <c r="AM139" s="91">
        <f>Data!AO87</f>
        <v>0.45712179999999997</v>
      </c>
      <c r="AN139" s="91">
        <f>Data!AP87</f>
        <v>0.45712179999999997</v>
      </c>
      <c r="AO139" s="91">
        <f>Data!AQ87</f>
        <v>0.45712179999999997</v>
      </c>
      <c r="AP139" s="284">
        <f>Data!AR87</f>
        <v>0.47971863999999997</v>
      </c>
      <c r="AQ139" s="91">
        <f>Data!AS87</f>
        <v>0.47971863999999997</v>
      </c>
      <c r="AR139" s="91">
        <f>Data!AT87</f>
        <v>0.47971863999999997</v>
      </c>
      <c r="AS139" s="91">
        <f>Data!AU87</f>
        <v>0.47971863999999997</v>
      </c>
      <c r="AT139" s="91">
        <f>Data!AV87</f>
        <v>0.47971863999999997</v>
      </c>
      <c r="AU139" s="91">
        <f>Data!AW87</f>
        <v>0.47971863999999997</v>
      </c>
      <c r="AV139" s="91">
        <f>Data!AX87</f>
        <v>0.47971863999999997</v>
      </c>
      <c r="AW139" s="91">
        <f>Data!AY87</f>
        <v>0.47971863999999997</v>
      </c>
      <c r="AX139" s="91">
        <f>Data!AZ87</f>
        <v>0.47971863999999997</v>
      </c>
      <c r="AY139" s="91">
        <f>Data!BA87</f>
        <v>0.47971863999999997</v>
      </c>
      <c r="AZ139" s="91">
        <f>Data!BB87</f>
        <v>0.47971863999999997</v>
      </c>
      <c r="BA139" s="91">
        <f>Data!BC87</f>
        <v>0.47971863999999997</v>
      </c>
      <c r="BB139" s="284">
        <f>Data!BD87</f>
        <v>0.50344532200000003</v>
      </c>
      <c r="BC139" s="91">
        <f>Data!BE87</f>
        <v>0.50344532200000003</v>
      </c>
      <c r="BD139" s="91">
        <f>Data!BF87</f>
        <v>0.50344532200000003</v>
      </c>
      <c r="BE139" s="91">
        <f>Data!BG87</f>
        <v>0.50344532200000003</v>
      </c>
      <c r="BF139" s="91">
        <f>Data!BH87</f>
        <v>0.50344532200000003</v>
      </c>
      <c r="BG139" s="91">
        <f>Data!BI87</f>
        <v>0.50344532200000003</v>
      </c>
      <c r="BH139" s="91">
        <f>Data!BJ87</f>
        <v>0.50344532200000003</v>
      </c>
      <c r="BI139" s="91">
        <f>Data!BK87</f>
        <v>0.50344532200000003</v>
      </c>
      <c r="BJ139" s="91">
        <f>Data!BL87</f>
        <v>0.50344532200000003</v>
      </c>
      <c r="BK139" s="91">
        <f>Data!BM87</f>
        <v>0.50344532200000003</v>
      </c>
      <c r="BL139" s="91">
        <f>Data!BN87</f>
        <v>0.50344532200000003</v>
      </c>
      <c r="BM139" s="91">
        <f>Data!BO87</f>
        <v>0.50344532200000003</v>
      </c>
      <c r="BN139" s="91">
        <f>Data!BP87</f>
        <v>0.52835833809999988</v>
      </c>
      <c r="BO139" s="91">
        <f>Data!BQ87</f>
        <v>0.52835833809999988</v>
      </c>
      <c r="BP139" s="91">
        <f>Data!BR87</f>
        <v>0.52835833809999988</v>
      </c>
      <c r="BQ139" s="91">
        <f>Data!BS87</f>
        <v>0.52835833809999988</v>
      </c>
      <c r="BR139" s="91">
        <f>Data!BT87</f>
        <v>0.52835833809999988</v>
      </c>
      <c r="BS139" s="91">
        <f>Data!BU87</f>
        <v>0.52835833809999988</v>
      </c>
      <c r="BT139" s="91">
        <f>Data!BV87</f>
        <v>0.52835833809999988</v>
      </c>
      <c r="BU139" s="91">
        <f>Data!BW87</f>
        <v>0.52835833809999988</v>
      </c>
      <c r="BV139" s="91">
        <f>Data!BX87</f>
        <v>0.52835833809999988</v>
      </c>
      <c r="BW139" s="91">
        <f>Data!BY87</f>
        <v>0.52835833809999988</v>
      </c>
      <c r="BX139" s="91">
        <f>Data!BZ87</f>
        <v>0.52835833809999988</v>
      </c>
      <c r="BY139" s="91">
        <f>Data!CA87</f>
        <v>0.52835833809999988</v>
      </c>
      <c r="BZ139" s="91">
        <f>Data!CB87</f>
        <v>0.55451700500500012</v>
      </c>
      <c r="CA139" s="91">
        <f>Data!CC87</f>
        <v>0.55451700500500012</v>
      </c>
      <c r="CB139" s="91">
        <f>Data!CD87</f>
        <v>0.55451700500500012</v>
      </c>
      <c r="CC139" s="91">
        <f>Data!CE87</f>
        <v>0.55451700500500012</v>
      </c>
      <c r="CD139" s="91">
        <f>Data!CF87</f>
        <v>0.55451700500500012</v>
      </c>
      <c r="CE139" s="91">
        <f>Data!CG87</f>
        <v>0.55451700500500012</v>
      </c>
      <c r="CF139" s="91">
        <f>Data!CH87</f>
        <v>0.55451700500500012</v>
      </c>
      <c r="CG139" s="91">
        <f>Data!CI87</f>
        <v>0.55451700500500012</v>
      </c>
      <c r="CH139" s="91">
        <f>Data!CJ87</f>
        <v>0.55451700500500012</v>
      </c>
      <c r="CI139" s="91">
        <f>Data!CK87</f>
        <v>0.55451700500500012</v>
      </c>
      <c r="CJ139" s="91">
        <f>Data!CL87</f>
        <v>0.55451700500500012</v>
      </c>
      <c r="CK139" s="91">
        <f>Data!CM87</f>
        <v>0.55451700500500012</v>
      </c>
      <c r="CL139" s="91">
        <f>Data!CN87</f>
        <v>0.58198360525524995</v>
      </c>
      <c r="CM139" s="91">
        <f>Data!CO87</f>
        <v>0.58198360525524995</v>
      </c>
      <c r="CN139" s="91">
        <f>Data!CP87</f>
        <v>0.58198360525524995</v>
      </c>
      <c r="CO139" s="91">
        <f>Data!CQ87</f>
        <v>0.58198360525524995</v>
      </c>
      <c r="CP139" s="91">
        <f>Data!CR87</f>
        <v>0.58198360525524995</v>
      </c>
      <c r="CQ139" s="91">
        <f>Data!CS87</f>
        <v>0.58198360525524995</v>
      </c>
      <c r="CR139" s="91">
        <f>Data!CT87</f>
        <v>0.58198360525524995</v>
      </c>
      <c r="CS139" s="91">
        <f>Data!CU87</f>
        <v>0.58198360525524995</v>
      </c>
      <c r="CT139" s="91">
        <f>Data!CV87</f>
        <v>0.58198360525524995</v>
      </c>
      <c r="CU139" s="91">
        <f>Data!CW87</f>
        <v>0.58198360525524995</v>
      </c>
      <c r="CV139" s="91">
        <f>Data!CX87</f>
        <v>0.58198360525524995</v>
      </c>
      <c r="CW139" s="91">
        <f>Data!CY87</f>
        <v>0.58198360525524995</v>
      </c>
      <c r="CX139" s="91">
        <f>Data!CZ87</f>
        <v>0.61082353551801261</v>
      </c>
      <c r="CY139" s="91">
        <f>Data!DA87</f>
        <v>0.61082353551801261</v>
      </c>
      <c r="CZ139" s="91">
        <f>Data!DB87</f>
        <v>0.61082353551801261</v>
      </c>
      <c r="DA139" s="91">
        <f>Data!DC87</f>
        <v>0.61082353551801261</v>
      </c>
      <c r="DB139" s="91">
        <f>Data!DD87</f>
        <v>0.61082353551801261</v>
      </c>
      <c r="DC139" s="91">
        <f>Data!DE87</f>
        <v>0.61082353551801261</v>
      </c>
      <c r="DD139" s="91">
        <f>Data!DF87</f>
        <v>0.61082353551801261</v>
      </c>
      <c r="DE139" s="91">
        <f>Data!DG87</f>
        <v>0.61082353551801261</v>
      </c>
      <c r="DF139" s="91">
        <f>Data!DH87</f>
        <v>0.61082353551801261</v>
      </c>
      <c r="DG139" s="91">
        <f>Data!DI87</f>
        <v>0.61082353551801261</v>
      </c>
      <c r="DH139" s="91">
        <f>Data!DJ87</f>
        <v>0.61082353551801261</v>
      </c>
      <c r="DI139" s="91">
        <f>Data!DK87</f>
        <v>0.61082353551801261</v>
      </c>
      <c r="DJ139" s="91">
        <f>Data!DL87</f>
        <v>0.6411054622939133</v>
      </c>
      <c r="DK139" s="91">
        <f>Data!DM87</f>
        <v>0.6411054622939133</v>
      </c>
      <c r="DL139" s="91">
        <f>Data!DN87</f>
        <v>0.6411054622939133</v>
      </c>
      <c r="DM139" s="91">
        <f>Data!DO87</f>
        <v>0.6411054622939133</v>
      </c>
      <c r="DN139" s="91">
        <f>Data!DP87</f>
        <v>0.6411054622939133</v>
      </c>
      <c r="DO139" s="91">
        <f>Data!DQ87</f>
        <v>0.6411054622939133</v>
      </c>
      <c r="DP139" s="91">
        <f>Data!DR87</f>
        <v>0.6411054622939133</v>
      </c>
      <c r="DQ139" s="91">
        <f>Data!DS87</f>
        <v>0.6411054622939133</v>
      </c>
      <c r="DR139" s="91">
        <f>Data!DT87</f>
        <v>0.6411054622939133</v>
      </c>
      <c r="DS139" s="91">
        <f>Data!DU87</f>
        <v>0.6411054622939133</v>
      </c>
      <c r="DT139" s="91">
        <f>Data!DV87</f>
        <v>0.6411054622939133</v>
      </c>
      <c r="DU139" s="441">
        <f>Data!DW87</f>
        <v>0.6411054622939133</v>
      </c>
      <c r="DV139" s="91"/>
    </row>
    <row r="140" spans="1:139" x14ac:dyDescent="0.3">
      <c r="A140" s="175"/>
      <c r="B140" s="628" t="str">
        <f>Data!D88</f>
        <v>Ops Manager</v>
      </c>
      <c r="C140" s="91"/>
      <c r="D140" s="91"/>
      <c r="E140" s="90">
        <f>Data!G88</f>
        <v>55332.083333333336</v>
      </c>
      <c r="F140" s="91">
        <f>Data!H88</f>
        <v>55332.083333333336</v>
      </c>
      <c r="G140" s="91">
        <f>Data!I88</f>
        <v>55332.083333333336</v>
      </c>
      <c r="H140" s="91">
        <f>Data!J88</f>
        <v>55332.083333333336</v>
      </c>
      <c r="I140" s="91">
        <f>Data!K88</f>
        <v>55332.083333333336</v>
      </c>
      <c r="J140" s="91">
        <f>Data!L88</f>
        <v>55332.083333333336</v>
      </c>
      <c r="K140" s="91">
        <f>Data!M88</f>
        <v>55332.083333333336</v>
      </c>
      <c r="L140" s="91">
        <f>Data!N88</f>
        <v>55332.083333333336</v>
      </c>
      <c r="M140" s="91">
        <f>Data!O88</f>
        <v>55332.083333333336</v>
      </c>
      <c r="N140" s="91">
        <f>Data!P88</f>
        <v>55332.083333333336</v>
      </c>
      <c r="O140" s="91">
        <f>Data!Q88</f>
        <v>55332.083333333336</v>
      </c>
      <c r="P140" s="91">
        <f>Data!R88</f>
        <v>55332.083333333336</v>
      </c>
      <c r="Q140" s="91">
        <f>Data!S88</f>
        <v>55332.083333333336</v>
      </c>
      <c r="R140" s="284">
        <f>Data!T88</f>
        <v>58077.083333333336</v>
      </c>
      <c r="S140" s="91">
        <f>Data!U88</f>
        <v>58077.083333333336</v>
      </c>
      <c r="T140" s="91">
        <f>Data!V88</f>
        <v>58077.083333333336</v>
      </c>
      <c r="U140" s="91">
        <f>Data!W88</f>
        <v>58077.083333333336</v>
      </c>
      <c r="V140" s="91">
        <f>Data!X88</f>
        <v>58077.083333333336</v>
      </c>
      <c r="W140" s="91">
        <f>Data!Y88</f>
        <v>58077.083333333336</v>
      </c>
      <c r="X140" s="91">
        <f>Data!Z88</f>
        <v>58077.083333333336</v>
      </c>
      <c r="Y140" s="91">
        <f>Data!AA88</f>
        <v>58077.083333333336</v>
      </c>
      <c r="Z140" s="91">
        <f>Data!AB88</f>
        <v>58077.083333333336</v>
      </c>
      <c r="AA140" s="91">
        <f>Data!AC88</f>
        <v>58077.083333333336</v>
      </c>
      <c r="AB140" s="91">
        <f>Data!AD88</f>
        <v>58077.083333333336</v>
      </c>
      <c r="AC140" s="91">
        <f>Data!AE88</f>
        <v>58077.083333333336</v>
      </c>
      <c r="AD140" s="284">
        <f>Data!AF88</f>
        <v>60959.333333333336</v>
      </c>
      <c r="AE140" s="91">
        <f>Data!AG88</f>
        <v>60959.333333333336</v>
      </c>
      <c r="AF140" s="91">
        <f>Data!AH88</f>
        <v>60959.333333333336</v>
      </c>
      <c r="AG140" s="91">
        <f>Data!AI88</f>
        <v>60959.333333333336</v>
      </c>
      <c r="AH140" s="91">
        <f>Data!AJ88</f>
        <v>60959.333333333336</v>
      </c>
      <c r="AI140" s="91">
        <f>Data!AK88</f>
        <v>60959.333333333336</v>
      </c>
      <c r="AJ140" s="91">
        <f>Data!AL88</f>
        <v>60959.333333333336</v>
      </c>
      <c r="AK140" s="91">
        <f>Data!AM88</f>
        <v>60959.333333333336</v>
      </c>
      <c r="AL140" s="91">
        <f>Data!AN88</f>
        <v>60959.333333333336</v>
      </c>
      <c r="AM140" s="91">
        <f>Data!AO88</f>
        <v>60959.333333333336</v>
      </c>
      <c r="AN140" s="91">
        <f>Data!AP88</f>
        <v>60959.333333333336</v>
      </c>
      <c r="AO140" s="91">
        <f>Data!AQ88</f>
        <v>60959.333333333336</v>
      </c>
      <c r="AP140" s="284">
        <f>Data!AR88</f>
        <v>63985.695833333331</v>
      </c>
      <c r="AQ140" s="91">
        <f>Data!AS88</f>
        <v>63985.695833333331</v>
      </c>
      <c r="AR140" s="91">
        <f>Data!AT88</f>
        <v>63985.695833333331</v>
      </c>
      <c r="AS140" s="91">
        <f>Data!AU88</f>
        <v>63985.695833333331</v>
      </c>
      <c r="AT140" s="91">
        <f>Data!AV88</f>
        <v>63985.695833333331</v>
      </c>
      <c r="AU140" s="91">
        <f>Data!AW88</f>
        <v>63985.695833333331</v>
      </c>
      <c r="AV140" s="91">
        <f>Data!AX88</f>
        <v>63985.695833333331</v>
      </c>
      <c r="AW140" s="91">
        <f>Data!AY88</f>
        <v>63985.695833333331</v>
      </c>
      <c r="AX140" s="91">
        <f>Data!AZ88</f>
        <v>63985.695833333331</v>
      </c>
      <c r="AY140" s="91">
        <f>Data!BA88</f>
        <v>63985.695833333331</v>
      </c>
      <c r="AZ140" s="91">
        <f>Data!BB88</f>
        <v>63985.695833333331</v>
      </c>
      <c r="BA140" s="91">
        <f>Data!BC88</f>
        <v>63985.695833333331</v>
      </c>
      <c r="BB140" s="284">
        <f>Data!BD88</f>
        <v>67163.376458333325</v>
      </c>
      <c r="BC140" s="91">
        <f>Data!BE88</f>
        <v>67163.376458333325</v>
      </c>
      <c r="BD140" s="91">
        <f>Data!BF88</f>
        <v>67163.376458333325</v>
      </c>
      <c r="BE140" s="91">
        <f>Data!BG88</f>
        <v>67163.376458333325</v>
      </c>
      <c r="BF140" s="91">
        <f>Data!BH88</f>
        <v>67163.376458333325</v>
      </c>
      <c r="BG140" s="91">
        <f>Data!BI88</f>
        <v>67163.376458333325</v>
      </c>
      <c r="BH140" s="91">
        <f>Data!BJ88</f>
        <v>67163.376458333325</v>
      </c>
      <c r="BI140" s="91">
        <f>Data!BK88</f>
        <v>67163.376458333325</v>
      </c>
      <c r="BJ140" s="91">
        <f>Data!BL88</f>
        <v>67163.376458333325</v>
      </c>
      <c r="BK140" s="91">
        <f>Data!BM88</f>
        <v>67163.376458333325</v>
      </c>
      <c r="BL140" s="91">
        <f>Data!BN88</f>
        <v>67163.376458333325</v>
      </c>
      <c r="BM140" s="91">
        <f>Data!BO88</f>
        <v>67163.376458333325</v>
      </c>
      <c r="BN140" s="91">
        <f>Data!BP88</f>
        <v>70499.941114583329</v>
      </c>
      <c r="BO140" s="91">
        <f>Data!BQ88</f>
        <v>70499.941114583329</v>
      </c>
      <c r="BP140" s="91">
        <f>Data!BR88</f>
        <v>70499.941114583329</v>
      </c>
      <c r="BQ140" s="91">
        <f>Data!BS88</f>
        <v>70499.941114583329</v>
      </c>
      <c r="BR140" s="91">
        <f>Data!BT88</f>
        <v>70499.941114583329</v>
      </c>
      <c r="BS140" s="91">
        <f>Data!BU88</f>
        <v>70499.941114583329</v>
      </c>
      <c r="BT140" s="91">
        <f>Data!BV88</f>
        <v>70499.941114583329</v>
      </c>
      <c r="BU140" s="91">
        <f>Data!BW88</f>
        <v>70499.941114583329</v>
      </c>
      <c r="BV140" s="91">
        <f>Data!BX88</f>
        <v>70499.941114583329</v>
      </c>
      <c r="BW140" s="91">
        <f>Data!BY88</f>
        <v>70499.941114583329</v>
      </c>
      <c r="BX140" s="91">
        <f>Data!BZ88</f>
        <v>70499.941114583329</v>
      </c>
      <c r="BY140" s="91">
        <f>Data!CA88</f>
        <v>70499.941114583329</v>
      </c>
      <c r="BZ140" s="91">
        <f>Data!CB88</f>
        <v>74003.33400364581</v>
      </c>
      <c r="CA140" s="91">
        <f>Data!CC88</f>
        <v>74003.33400364581</v>
      </c>
      <c r="CB140" s="91">
        <f>Data!CD88</f>
        <v>74003.33400364581</v>
      </c>
      <c r="CC140" s="91">
        <f>Data!CE88</f>
        <v>74003.33400364581</v>
      </c>
      <c r="CD140" s="91">
        <f>Data!CF88</f>
        <v>74003.33400364581</v>
      </c>
      <c r="CE140" s="91">
        <f>Data!CG88</f>
        <v>74003.33400364581</v>
      </c>
      <c r="CF140" s="91">
        <f>Data!CH88</f>
        <v>74003.33400364581</v>
      </c>
      <c r="CG140" s="91">
        <f>Data!CI88</f>
        <v>74003.33400364581</v>
      </c>
      <c r="CH140" s="91">
        <f>Data!CJ88</f>
        <v>74003.33400364581</v>
      </c>
      <c r="CI140" s="91">
        <f>Data!CK88</f>
        <v>74003.33400364581</v>
      </c>
      <c r="CJ140" s="91">
        <f>Data!CL88</f>
        <v>74003.33400364581</v>
      </c>
      <c r="CK140" s="91">
        <f>Data!CM88</f>
        <v>74003.33400364581</v>
      </c>
      <c r="CL140" s="91">
        <f>Data!CN88</f>
        <v>77681.896537161461</v>
      </c>
      <c r="CM140" s="91">
        <f>Data!CO88</f>
        <v>77681.896537161461</v>
      </c>
      <c r="CN140" s="91">
        <f>Data!CP88</f>
        <v>77681.896537161461</v>
      </c>
      <c r="CO140" s="91">
        <f>Data!CQ88</f>
        <v>77681.896537161461</v>
      </c>
      <c r="CP140" s="91">
        <f>Data!CR88</f>
        <v>77681.896537161461</v>
      </c>
      <c r="CQ140" s="91">
        <f>Data!CS88</f>
        <v>77681.896537161461</v>
      </c>
      <c r="CR140" s="91">
        <f>Data!CT88</f>
        <v>77681.896537161461</v>
      </c>
      <c r="CS140" s="91">
        <f>Data!CU88</f>
        <v>77681.896537161461</v>
      </c>
      <c r="CT140" s="91">
        <f>Data!CV88</f>
        <v>77681.896537161461</v>
      </c>
      <c r="CU140" s="91">
        <f>Data!CW88</f>
        <v>77681.896537161461</v>
      </c>
      <c r="CV140" s="91">
        <f>Data!CX88</f>
        <v>77681.896537161461</v>
      </c>
      <c r="CW140" s="91">
        <f>Data!CY88</f>
        <v>77681.896537161461</v>
      </c>
      <c r="CX140" s="91">
        <f>Data!CZ88</f>
        <v>81544.387197352858</v>
      </c>
      <c r="CY140" s="91">
        <f>Data!DA88</f>
        <v>81544.387197352858</v>
      </c>
      <c r="CZ140" s="91">
        <f>Data!DB88</f>
        <v>81544.387197352858</v>
      </c>
      <c r="DA140" s="91">
        <f>Data!DC88</f>
        <v>81544.387197352858</v>
      </c>
      <c r="DB140" s="91">
        <f>Data!DD88</f>
        <v>81544.387197352858</v>
      </c>
      <c r="DC140" s="91">
        <f>Data!DE88</f>
        <v>81544.387197352858</v>
      </c>
      <c r="DD140" s="91">
        <f>Data!DF88</f>
        <v>81544.387197352858</v>
      </c>
      <c r="DE140" s="91">
        <f>Data!DG88</f>
        <v>81544.387197352858</v>
      </c>
      <c r="DF140" s="91">
        <f>Data!DH88</f>
        <v>81544.387197352858</v>
      </c>
      <c r="DG140" s="91">
        <f>Data!DI88</f>
        <v>81544.387197352858</v>
      </c>
      <c r="DH140" s="91">
        <f>Data!DJ88</f>
        <v>81544.387197352858</v>
      </c>
      <c r="DI140" s="91">
        <f>Data!DK88</f>
        <v>81544.387197352858</v>
      </c>
      <c r="DJ140" s="91">
        <f>Data!DL88</f>
        <v>85600.002390553855</v>
      </c>
      <c r="DK140" s="91">
        <f>Data!DM88</f>
        <v>85600.002390553855</v>
      </c>
      <c r="DL140" s="91">
        <f>Data!DN88</f>
        <v>85600.002390553855</v>
      </c>
      <c r="DM140" s="91">
        <f>Data!DO88</f>
        <v>85600.002390553855</v>
      </c>
      <c r="DN140" s="91">
        <f>Data!DP88</f>
        <v>85600.002390553855</v>
      </c>
      <c r="DO140" s="91">
        <f>Data!DQ88</f>
        <v>85600.002390553855</v>
      </c>
      <c r="DP140" s="91">
        <f>Data!DR88</f>
        <v>85600.002390553855</v>
      </c>
      <c r="DQ140" s="91">
        <f>Data!DS88</f>
        <v>85600.002390553855</v>
      </c>
      <c r="DR140" s="91">
        <f>Data!DT88</f>
        <v>85600.002390553855</v>
      </c>
      <c r="DS140" s="91">
        <f>Data!DU88</f>
        <v>85600.002390553855</v>
      </c>
      <c r="DT140" s="91">
        <f>Data!DV88</f>
        <v>85600.002390553855</v>
      </c>
      <c r="DU140" s="441">
        <f>Data!DW88</f>
        <v>85600.002390553855</v>
      </c>
      <c r="DV140" s="91"/>
    </row>
    <row r="141" spans="1:139" x14ac:dyDescent="0.3">
      <c r="A141" s="175"/>
      <c r="B141" s="628" t="str">
        <f>Data!D89</f>
        <v>Sr Manager</v>
      </c>
      <c r="C141" s="91"/>
      <c r="D141" s="91"/>
      <c r="E141" s="90">
        <f>Data!G89</f>
        <v>1.1031849999999999</v>
      </c>
      <c r="F141" s="91">
        <f>Data!H89</f>
        <v>1.1031849999999999</v>
      </c>
      <c r="G141" s="91">
        <f>Data!I89</f>
        <v>1.1031849999999999</v>
      </c>
      <c r="H141" s="91">
        <f>Data!J89</f>
        <v>1.1031849999999999</v>
      </c>
      <c r="I141" s="91">
        <f>Data!K89</f>
        <v>1.1031849999999999</v>
      </c>
      <c r="J141" s="91">
        <f>Data!L89</f>
        <v>1.1031849999999999</v>
      </c>
      <c r="K141" s="91">
        <f>Data!M89</f>
        <v>1.1031849999999999</v>
      </c>
      <c r="L141" s="91">
        <f>Data!N89</f>
        <v>1.1031849999999999</v>
      </c>
      <c r="M141" s="91">
        <f>Data!O89</f>
        <v>1.1031849999999999</v>
      </c>
      <c r="N141" s="91">
        <f>Data!P89</f>
        <v>1.1031849999999999</v>
      </c>
      <c r="O141" s="91">
        <f>Data!Q89</f>
        <v>1.1031849999999999</v>
      </c>
      <c r="P141" s="91">
        <f>Data!R89</f>
        <v>1.1031849999999999</v>
      </c>
      <c r="Q141" s="91">
        <f>Data!S89</f>
        <v>1.1031849999999999</v>
      </c>
      <c r="R141" s="284">
        <f>Data!T89</f>
        <v>1.158085</v>
      </c>
      <c r="S141" s="91">
        <f>Data!U89</f>
        <v>1.158085</v>
      </c>
      <c r="T141" s="91">
        <f>Data!V89</f>
        <v>1.158085</v>
      </c>
      <c r="U141" s="91">
        <f>Data!W89</f>
        <v>1.158085</v>
      </c>
      <c r="V141" s="91">
        <f>Data!X89</f>
        <v>1.158085</v>
      </c>
      <c r="W141" s="91">
        <f>Data!Y89</f>
        <v>1.158085</v>
      </c>
      <c r="X141" s="91">
        <f>Data!Z89</f>
        <v>1.158085</v>
      </c>
      <c r="Y141" s="91">
        <f>Data!AA89</f>
        <v>1.158085</v>
      </c>
      <c r="Z141" s="91">
        <f>Data!AB89</f>
        <v>1.158085</v>
      </c>
      <c r="AA141" s="91">
        <f>Data!AC89</f>
        <v>1.158085</v>
      </c>
      <c r="AB141" s="91">
        <f>Data!AD89</f>
        <v>1.158085</v>
      </c>
      <c r="AC141" s="91">
        <f>Data!AE89</f>
        <v>1.158085</v>
      </c>
      <c r="AD141" s="284">
        <f>Data!AF89</f>
        <v>1.21573</v>
      </c>
      <c r="AE141" s="91">
        <f>Data!AG89</f>
        <v>1.21573</v>
      </c>
      <c r="AF141" s="91">
        <f>Data!AH89</f>
        <v>1.21573</v>
      </c>
      <c r="AG141" s="91">
        <f>Data!AI89</f>
        <v>1.21573</v>
      </c>
      <c r="AH141" s="91">
        <f>Data!AJ89</f>
        <v>1.21573</v>
      </c>
      <c r="AI141" s="91">
        <f>Data!AK89</f>
        <v>1.21573</v>
      </c>
      <c r="AJ141" s="91">
        <f>Data!AL89</f>
        <v>1.21573</v>
      </c>
      <c r="AK141" s="91">
        <f>Data!AM89</f>
        <v>1.21573</v>
      </c>
      <c r="AL141" s="91">
        <f>Data!AN89</f>
        <v>1.21573</v>
      </c>
      <c r="AM141" s="91">
        <f>Data!AO89</f>
        <v>1.21573</v>
      </c>
      <c r="AN141" s="91">
        <f>Data!AP89</f>
        <v>1.21573</v>
      </c>
      <c r="AO141" s="91">
        <f>Data!AQ89</f>
        <v>1.21573</v>
      </c>
      <c r="AP141" s="284">
        <f>Data!AR89</f>
        <v>1.27625725</v>
      </c>
      <c r="AQ141" s="91">
        <f>Data!AS89</f>
        <v>1.27625725</v>
      </c>
      <c r="AR141" s="91">
        <f>Data!AT89</f>
        <v>1.27625725</v>
      </c>
      <c r="AS141" s="91">
        <f>Data!AU89</f>
        <v>1.27625725</v>
      </c>
      <c r="AT141" s="91">
        <f>Data!AV89</f>
        <v>1.27625725</v>
      </c>
      <c r="AU141" s="91">
        <f>Data!AW89</f>
        <v>1.27625725</v>
      </c>
      <c r="AV141" s="91">
        <f>Data!AX89</f>
        <v>1.27625725</v>
      </c>
      <c r="AW141" s="91">
        <f>Data!AY89</f>
        <v>1.27625725</v>
      </c>
      <c r="AX141" s="91">
        <f>Data!AZ89</f>
        <v>1.27625725</v>
      </c>
      <c r="AY141" s="91">
        <f>Data!BA89</f>
        <v>1.27625725</v>
      </c>
      <c r="AZ141" s="91">
        <f>Data!BB89</f>
        <v>1.27625725</v>
      </c>
      <c r="BA141" s="91">
        <f>Data!BC89</f>
        <v>1.27625725</v>
      </c>
      <c r="BB141" s="284">
        <f>Data!BD89</f>
        <v>1.3398108624999998</v>
      </c>
      <c r="BC141" s="91">
        <f>Data!BE89</f>
        <v>1.3398108624999998</v>
      </c>
      <c r="BD141" s="91">
        <f>Data!BF89</f>
        <v>1.3398108624999998</v>
      </c>
      <c r="BE141" s="91">
        <f>Data!BG89</f>
        <v>1.3398108624999998</v>
      </c>
      <c r="BF141" s="91">
        <f>Data!BH89</f>
        <v>1.3398108624999998</v>
      </c>
      <c r="BG141" s="91">
        <f>Data!BI89</f>
        <v>1.3398108624999998</v>
      </c>
      <c r="BH141" s="91">
        <f>Data!BJ89</f>
        <v>1.3398108624999998</v>
      </c>
      <c r="BI141" s="91">
        <f>Data!BK89</f>
        <v>1.3398108624999998</v>
      </c>
      <c r="BJ141" s="91">
        <f>Data!BL89</f>
        <v>1.3398108624999998</v>
      </c>
      <c r="BK141" s="91">
        <f>Data!BM89</f>
        <v>1.3398108624999998</v>
      </c>
      <c r="BL141" s="91">
        <f>Data!BN89</f>
        <v>1.3398108624999998</v>
      </c>
      <c r="BM141" s="91">
        <f>Data!BO89</f>
        <v>1.3398108624999998</v>
      </c>
      <c r="BN141" s="91">
        <f>Data!BP89</f>
        <v>1.406542155625</v>
      </c>
      <c r="BO141" s="91">
        <f>Data!BQ89</f>
        <v>1.406542155625</v>
      </c>
      <c r="BP141" s="91">
        <f>Data!BR89</f>
        <v>1.406542155625</v>
      </c>
      <c r="BQ141" s="91">
        <f>Data!BS89</f>
        <v>1.406542155625</v>
      </c>
      <c r="BR141" s="91">
        <f>Data!BT89</f>
        <v>1.406542155625</v>
      </c>
      <c r="BS141" s="91">
        <f>Data!BU89</f>
        <v>1.406542155625</v>
      </c>
      <c r="BT141" s="91">
        <f>Data!BV89</f>
        <v>1.406542155625</v>
      </c>
      <c r="BU141" s="91">
        <f>Data!BW89</f>
        <v>1.406542155625</v>
      </c>
      <c r="BV141" s="91">
        <f>Data!BX89</f>
        <v>1.406542155625</v>
      </c>
      <c r="BW141" s="91">
        <f>Data!BY89</f>
        <v>1.406542155625</v>
      </c>
      <c r="BX141" s="91">
        <f>Data!BZ89</f>
        <v>1.406542155625</v>
      </c>
      <c r="BY141" s="91">
        <f>Data!CA89</f>
        <v>1.406542155625</v>
      </c>
      <c r="BZ141" s="91">
        <f>Data!CB89</f>
        <v>1.4766100134062501</v>
      </c>
      <c r="CA141" s="91">
        <f>Data!CC89</f>
        <v>1.4766100134062501</v>
      </c>
      <c r="CB141" s="91">
        <f>Data!CD89</f>
        <v>1.4766100134062501</v>
      </c>
      <c r="CC141" s="91">
        <f>Data!CE89</f>
        <v>1.4766100134062501</v>
      </c>
      <c r="CD141" s="91">
        <f>Data!CF89</f>
        <v>1.4766100134062501</v>
      </c>
      <c r="CE141" s="91">
        <f>Data!CG89</f>
        <v>1.4766100134062501</v>
      </c>
      <c r="CF141" s="91">
        <f>Data!CH89</f>
        <v>1.4766100134062501</v>
      </c>
      <c r="CG141" s="91">
        <f>Data!CI89</f>
        <v>1.4766100134062501</v>
      </c>
      <c r="CH141" s="91">
        <f>Data!CJ89</f>
        <v>1.4766100134062501</v>
      </c>
      <c r="CI141" s="91">
        <f>Data!CK89</f>
        <v>1.4766100134062501</v>
      </c>
      <c r="CJ141" s="91">
        <f>Data!CL89</f>
        <v>1.4766100134062501</v>
      </c>
      <c r="CK141" s="91">
        <f>Data!CM89</f>
        <v>1.4766100134062501</v>
      </c>
      <c r="CL141" s="91">
        <f>Data!CN89</f>
        <v>1.5501812640765624</v>
      </c>
      <c r="CM141" s="91">
        <f>Data!CO89</f>
        <v>1.5501812640765624</v>
      </c>
      <c r="CN141" s="91">
        <f>Data!CP89</f>
        <v>1.5501812640765624</v>
      </c>
      <c r="CO141" s="91">
        <f>Data!CQ89</f>
        <v>1.5501812640765624</v>
      </c>
      <c r="CP141" s="91">
        <f>Data!CR89</f>
        <v>1.5501812640765624</v>
      </c>
      <c r="CQ141" s="91">
        <f>Data!CS89</f>
        <v>1.5501812640765624</v>
      </c>
      <c r="CR141" s="91">
        <f>Data!CT89</f>
        <v>1.5501812640765624</v>
      </c>
      <c r="CS141" s="91">
        <f>Data!CU89</f>
        <v>1.5501812640765624</v>
      </c>
      <c r="CT141" s="91">
        <f>Data!CV89</f>
        <v>1.5501812640765624</v>
      </c>
      <c r="CU141" s="91">
        <f>Data!CW89</f>
        <v>1.5501812640765624</v>
      </c>
      <c r="CV141" s="91">
        <f>Data!CX89</f>
        <v>1.5501812640765624</v>
      </c>
      <c r="CW141" s="91">
        <f>Data!CY89</f>
        <v>1.5501812640765624</v>
      </c>
      <c r="CX141" s="91">
        <f>Data!CZ89</f>
        <v>1.6274310772803904</v>
      </c>
      <c r="CY141" s="91">
        <f>Data!DA89</f>
        <v>1.6274310772803904</v>
      </c>
      <c r="CZ141" s="91">
        <f>Data!DB89</f>
        <v>1.6274310772803904</v>
      </c>
      <c r="DA141" s="91">
        <f>Data!DC89</f>
        <v>1.6274310772803904</v>
      </c>
      <c r="DB141" s="91">
        <f>Data!DD89</f>
        <v>1.6274310772803904</v>
      </c>
      <c r="DC141" s="91">
        <f>Data!DE89</f>
        <v>1.6274310772803904</v>
      </c>
      <c r="DD141" s="91">
        <f>Data!DF89</f>
        <v>1.6274310772803904</v>
      </c>
      <c r="DE141" s="91">
        <f>Data!DG89</f>
        <v>1.6274310772803904</v>
      </c>
      <c r="DF141" s="91">
        <f>Data!DH89</f>
        <v>1.6274310772803904</v>
      </c>
      <c r="DG141" s="91">
        <f>Data!DI89</f>
        <v>1.6274310772803904</v>
      </c>
      <c r="DH141" s="91">
        <f>Data!DJ89</f>
        <v>1.6274310772803904</v>
      </c>
      <c r="DI141" s="91">
        <f>Data!DK89</f>
        <v>1.6274310772803904</v>
      </c>
      <c r="DJ141" s="91">
        <f>Data!DL89</f>
        <v>1.7085433811444102</v>
      </c>
      <c r="DK141" s="91">
        <f>Data!DM89</f>
        <v>1.7085433811444102</v>
      </c>
      <c r="DL141" s="91">
        <f>Data!DN89</f>
        <v>1.7085433811444102</v>
      </c>
      <c r="DM141" s="91">
        <f>Data!DO89</f>
        <v>1.7085433811444102</v>
      </c>
      <c r="DN141" s="91">
        <f>Data!DP89</f>
        <v>1.7085433811444102</v>
      </c>
      <c r="DO141" s="91">
        <f>Data!DQ89</f>
        <v>1.7085433811444102</v>
      </c>
      <c r="DP141" s="91">
        <f>Data!DR89</f>
        <v>1.7085433811444102</v>
      </c>
      <c r="DQ141" s="91">
        <f>Data!DS89</f>
        <v>1.7085433811444102</v>
      </c>
      <c r="DR141" s="91">
        <f>Data!DT89</f>
        <v>1.7085433811444102</v>
      </c>
      <c r="DS141" s="91">
        <f>Data!DU89</f>
        <v>1.7085433811444102</v>
      </c>
      <c r="DT141" s="91">
        <f>Data!DV89</f>
        <v>1.7085433811444102</v>
      </c>
      <c r="DU141" s="441">
        <f>Data!DW89</f>
        <v>1.7085433811444102</v>
      </c>
      <c r="DV141" s="91"/>
    </row>
    <row r="142" spans="1:139" x14ac:dyDescent="0.3">
      <c r="A142" s="175"/>
      <c r="B142" s="628" t="str">
        <f>Data!D90</f>
        <v>DGM / AD</v>
      </c>
      <c r="C142" s="91"/>
      <c r="D142" s="91"/>
      <c r="E142" s="90">
        <f>Data!G90</f>
        <v>25994.895833333328</v>
      </c>
      <c r="F142" s="91">
        <f>Data!H90</f>
        <v>25994.895833333328</v>
      </c>
      <c r="G142" s="91">
        <f>Data!I90</f>
        <v>25994.895833333328</v>
      </c>
      <c r="H142" s="91">
        <f>Data!J90</f>
        <v>25994.895833333328</v>
      </c>
      <c r="I142" s="91">
        <f>Data!K90</f>
        <v>25994.895833333328</v>
      </c>
      <c r="J142" s="91">
        <f>Data!L90</f>
        <v>25994.895833333328</v>
      </c>
      <c r="K142" s="91">
        <f>Data!M90</f>
        <v>25994.895833333328</v>
      </c>
      <c r="L142" s="91">
        <f>Data!N90</f>
        <v>25994.895833333328</v>
      </c>
      <c r="M142" s="91">
        <f>Data!O90</f>
        <v>25994.895833333328</v>
      </c>
      <c r="N142" s="91">
        <f>Data!P90</f>
        <v>25994.895833333328</v>
      </c>
      <c r="O142" s="91">
        <f>Data!Q90</f>
        <v>25994.895833333328</v>
      </c>
      <c r="P142" s="91">
        <f>Data!R90</f>
        <v>25994.895833333328</v>
      </c>
      <c r="Q142" s="91">
        <f>Data!S90</f>
        <v>25994.895833333328</v>
      </c>
      <c r="R142" s="284">
        <f>Data!T90</f>
        <v>27289.239583333332</v>
      </c>
      <c r="S142" s="91">
        <f>Data!U90</f>
        <v>27289.239583333332</v>
      </c>
      <c r="T142" s="91">
        <f>Data!V90</f>
        <v>27289.239583333332</v>
      </c>
      <c r="U142" s="91">
        <f>Data!W90</f>
        <v>27289.239583333332</v>
      </c>
      <c r="V142" s="91">
        <f>Data!X90</f>
        <v>27289.239583333332</v>
      </c>
      <c r="W142" s="91">
        <f>Data!Y90</f>
        <v>27289.239583333332</v>
      </c>
      <c r="X142" s="91">
        <f>Data!Z90</f>
        <v>27289.239583333332</v>
      </c>
      <c r="Y142" s="91">
        <f>Data!AA90</f>
        <v>27289.239583333332</v>
      </c>
      <c r="Z142" s="91">
        <f>Data!AB90</f>
        <v>27289.239583333332</v>
      </c>
      <c r="AA142" s="91">
        <f>Data!AC90</f>
        <v>27289.239583333332</v>
      </c>
      <c r="AB142" s="91">
        <f>Data!AD90</f>
        <v>27289.239583333332</v>
      </c>
      <c r="AC142" s="91">
        <f>Data!AE90</f>
        <v>27289.239583333332</v>
      </c>
      <c r="AD142" s="284">
        <f>Data!AF90</f>
        <v>28648.300520833338</v>
      </c>
      <c r="AE142" s="91">
        <f>Data!AG90</f>
        <v>28648.300520833338</v>
      </c>
      <c r="AF142" s="91">
        <f>Data!AH90</f>
        <v>28648.300520833338</v>
      </c>
      <c r="AG142" s="91">
        <f>Data!AI90</f>
        <v>28648.300520833338</v>
      </c>
      <c r="AH142" s="91">
        <f>Data!AJ90</f>
        <v>28648.300520833338</v>
      </c>
      <c r="AI142" s="91">
        <f>Data!AK90</f>
        <v>28648.300520833338</v>
      </c>
      <c r="AJ142" s="91">
        <f>Data!AL90</f>
        <v>28648.300520833338</v>
      </c>
      <c r="AK142" s="91">
        <f>Data!AM90</f>
        <v>28648.300520833338</v>
      </c>
      <c r="AL142" s="91">
        <f>Data!AN90</f>
        <v>28648.300520833338</v>
      </c>
      <c r="AM142" s="91">
        <f>Data!AO90</f>
        <v>28648.300520833338</v>
      </c>
      <c r="AN142" s="91">
        <f>Data!AP90</f>
        <v>28648.300520833338</v>
      </c>
      <c r="AO142" s="91">
        <f>Data!AQ90</f>
        <v>28648.300520833338</v>
      </c>
      <c r="AP142" s="284">
        <f>Data!AR90</f>
        <v>30075.314505208338</v>
      </c>
      <c r="AQ142" s="91">
        <f>Data!AS90</f>
        <v>30075.314505208338</v>
      </c>
      <c r="AR142" s="91">
        <f>Data!AT90</f>
        <v>30075.314505208338</v>
      </c>
      <c r="AS142" s="91">
        <f>Data!AU90</f>
        <v>30075.314505208338</v>
      </c>
      <c r="AT142" s="91">
        <f>Data!AV90</f>
        <v>30075.314505208338</v>
      </c>
      <c r="AU142" s="91">
        <f>Data!AW90</f>
        <v>30075.314505208338</v>
      </c>
      <c r="AV142" s="91">
        <f>Data!AX90</f>
        <v>30075.314505208338</v>
      </c>
      <c r="AW142" s="91">
        <f>Data!AY90</f>
        <v>30075.314505208338</v>
      </c>
      <c r="AX142" s="91">
        <f>Data!AZ90</f>
        <v>30075.314505208338</v>
      </c>
      <c r="AY142" s="91">
        <f>Data!BA90</f>
        <v>30075.314505208338</v>
      </c>
      <c r="AZ142" s="91">
        <f>Data!BB90</f>
        <v>30075.314505208338</v>
      </c>
      <c r="BA142" s="91">
        <f>Data!BC90</f>
        <v>30075.314505208338</v>
      </c>
      <c r="BB142" s="284">
        <f>Data!BD90</f>
        <v>31573.679188802082</v>
      </c>
      <c r="BC142" s="91">
        <f>Data!BE90</f>
        <v>31573.679188802082</v>
      </c>
      <c r="BD142" s="91">
        <f>Data!BF90</f>
        <v>31573.679188802082</v>
      </c>
      <c r="BE142" s="91">
        <f>Data!BG90</f>
        <v>31573.679188802082</v>
      </c>
      <c r="BF142" s="91">
        <f>Data!BH90</f>
        <v>31573.679188802082</v>
      </c>
      <c r="BG142" s="91">
        <f>Data!BI90</f>
        <v>31573.679188802082</v>
      </c>
      <c r="BH142" s="91">
        <f>Data!BJ90</f>
        <v>31573.679188802082</v>
      </c>
      <c r="BI142" s="91">
        <f>Data!BK90</f>
        <v>31573.679188802082</v>
      </c>
      <c r="BJ142" s="91">
        <f>Data!BL90</f>
        <v>31573.679188802082</v>
      </c>
      <c r="BK142" s="91">
        <f>Data!BM90</f>
        <v>31573.679188802082</v>
      </c>
      <c r="BL142" s="91">
        <f>Data!BN90</f>
        <v>31573.679188802082</v>
      </c>
      <c r="BM142" s="91">
        <f>Data!BO90</f>
        <v>31573.679188802082</v>
      </c>
      <c r="BN142" s="91">
        <f>Data!BP90</f>
        <v>33146.962106575527</v>
      </c>
      <c r="BO142" s="91">
        <f>Data!BQ90</f>
        <v>33146.962106575527</v>
      </c>
      <c r="BP142" s="91">
        <f>Data!BR90</f>
        <v>33146.962106575527</v>
      </c>
      <c r="BQ142" s="91">
        <f>Data!BS90</f>
        <v>33146.962106575527</v>
      </c>
      <c r="BR142" s="91">
        <f>Data!BT90</f>
        <v>33146.962106575527</v>
      </c>
      <c r="BS142" s="91">
        <f>Data!BU90</f>
        <v>33146.962106575527</v>
      </c>
      <c r="BT142" s="91">
        <f>Data!BV90</f>
        <v>33146.962106575527</v>
      </c>
      <c r="BU142" s="91">
        <f>Data!BW90</f>
        <v>33146.962106575527</v>
      </c>
      <c r="BV142" s="91">
        <f>Data!BX90</f>
        <v>33146.962106575527</v>
      </c>
      <c r="BW142" s="91">
        <f>Data!BY90</f>
        <v>33146.962106575527</v>
      </c>
      <c r="BX142" s="91">
        <f>Data!BZ90</f>
        <v>33146.962106575527</v>
      </c>
      <c r="BY142" s="91">
        <f>Data!CA90</f>
        <v>33146.962106575527</v>
      </c>
      <c r="BZ142" s="91">
        <f>Data!CB90</f>
        <v>34798.909170237639</v>
      </c>
      <c r="CA142" s="91">
        <f>Data!CC90</f>
        <v>34798.909170237639</v>
      </c>
      <c r="CB142" s="91">
        <f>Data!CD90</f>
        <v>34798.909170237639</v>
      </c>
      <c r="CC142" s="91">
        <f>Data!CE90</f>
        <v>34798.909170237639</v>
      </c>
      <c r="CD142" s="91">
        <f>Data!CF90</f>
        <v>34798.909170237639</v>
      </c>
      <c r="CE142" s="91">
        <f>Data!CG90</f>
        <v>34798.909170237639</v>
      </c>
      <c r="CF142" s="91">
        <f>Data!CH90</f>
        <v>34798.909170237639</v>
      </c>
      <c r="CG142" s="91">
        <f>Data!CI90</f>
        <v>34798.909170237639</v>
      </c>
      <c r="CH142" s="91">
        <f>Data!CJ90</f>
        <v>34798.909170237639</v>
      </c>
      <c r="CI142" s="91">
        <f>Data!CK90</f>
        <v>34798.909170237639</v>
      </c>
      <c r="CJ142" s="91">
        <f>Data!CL90</f>
        <v>34798.909170237639</v>
      </c>
      <c r="CK142" s="91">
        <f>Data!CM90</f>
        <v>34798.909170237639</v>
      </c>
      <c r="CL142" s="91">
        <f>Data!CN90</f>
        <v>36533.453587082855</v>
      </c>
      <c r="CM142" s="91">
        <f>Data!CO90</f>
        <v>36533.453587082855</v>
      </c>
      <c r="CN142" s="91">
        <f>Data!CP90</f>
        <v>36533.453587082855</v>
      </c>
      <c r="CO142" s="91">
        <f>Data!CQ90</f>
        <v>36533.453587082855</v>
      </c>
      <c r="CP142" s="91">
        <f>Data!CR90</f>
        <v>36533.453587082855</v>
      </c>
      <c r="CQ142" s="91">
        <f>Data!CS90</f>
        <v>36533.453587082855</v>
      </c>
      <c r="CR142" s="91">
        <f>Data!CT90</f>
        <v>36533.453587082855</v>
      </c>
      <c r="CS142" s="91">
        <f>Data!CU90</f>
        <v>36533.453587082855</v>
      </c>
      <c r="CT142" s="91">
        <f>Data!CV90</f>
        <v>36533.453587082855</v>
      </c>
      <c r="CU142" s="91">
        <f>Data!CW90</f>
        <v>36533.453587082855</v>
      </c>
      <c r="CV142" s="91">
        <f>Data!CX90</f>
        <v>36533.453587082855</v>
      </c>
      <c r="CW142" s="91">
        <f>Data!CY90</f>
        <v>36533.453587082855</v>
      </c>
      <c r="CX142" s="91">
        <f>Data!CZ90</f>
        <v>38354.725224770336</v>
      </c>
      <c r="CY142" s="91">
        <f>Data!DA90</f>
        <v>38354.725224770336</v>
      </c>
      <c r="CZ142" s="91">
        <f>Data!DB90</f>
        <v>38354.725224770336</v>
      </c>
      <c r="DA142" s="91">
        <f>Data!DC90</f>
        <v>38354.725224770336</v>
      </c>
      <c r="DB142" s="91">
        <f>Data!DD90</f>
        <v>38354.725224770336</v>
      </c>
      <c r="DC142" s="91">
        <f>Data!DE90</f>
        <v>38354.725224770336</v>
      </c>
      <c r="DD142" s="91">
        <f>Data!DF90</f>
        <v>38354.725224770336</v>
      </c>
      <c r="DE142" s="91">
        <f>Data!DG90</f>
        <v>38354.725224770336</v>
      </c>
      <c r="DF142" s="91">
        <f>Data!DH90</f>
        <v>38354.725224770336</v>
      </c>
      <c r="DG142" s="91">
        <f>Data!DI90</f>
        <v>38354.725224770336</v>
      </c>
      <c r="DH142" s="91">
        <f>Data!DJ90</f>
        <v>38354.725224770336</v>
      </c>
      <c r="DI142" s="91">
        <f>Data!DK90</f>
        <v>38354.725224770336</v>
      </c>
      <c r="DJ142" s="91">
        <f>Data!DL90</f>
        <v>40267.060444342191</v>
      </c>
      <c r="DK142" s="91">
        <f>Data!DM90</f>
        <v>40267.060444342191</v>
      </c>
      <c r="DL142" s="91">
        <f>Data!DN90</f>
        <v>40267.060444342191</v>
      </c>
      <c r="DM142" s="91">
        <f>Data!DO90</f>
        <v>40267.060444342191</v>
      </c>
      <c r="DN142" s="91">
        <f>Data!DP90</f>
        <v>40267.060444342191</v>
      </c>
      <c r="DO142" s="91">
        <f>Data!DQ90</f>
        <v>40267.060444342191</v>
      </c>
      <c r="DP142" s="91">
        <f>Data!DR90</f>
        <v>40267.060444342191</v>
      </c>
      <c r="DQ142" s="91">
        <f>Data!DS90</f>
        <v>40267.060444342191</v>
      </c>
      <c r="DR142" s="91">
        <f>Data!DT90</f>
        <v>40267.060444342191</v>
      </c>
      <c r="DS142" s="91">
        <f>Data!DU90</f>
        <v>40267.060444342191</v>
      </c>
      <c r="DT142" s="91">
        <f>Data!DV90</f>
        <v>40267.060444342191</v>
      </c>
      <c r="DU142" s="441">
        <f>Data!DW90</f>
        <v>40267.060444342191</v>
      </c>
      <c r="DV142" s="91"/>
    </row>
    <row r="143" spans="1:139" x14ac:dyDescent="0.3">
      <c r="A143" s="175"/>
      <c r="B143" s="628" t="str">
        <f>Data!D91</f>
        <v>GM / Director</v>
      </c>
      <c r="C143" s="91"/>
      <c r="D143" s="91"/>
      <c r="E143" s="90">
        <f>Data!G91</f>
        <v>14979.947916666666</v>
      </c>
      <c r="F143" s="91">
        <f>Data!H91</f>
        <v>14979.947916666666</v>
      </c>
      <c r="G143" s="91">
        <f>Data!I91</f>
        <v>14979.947916666666</v>
      </c>
      <c r="H143" s="91">
        <f>Data!J91</f>
        <v>14979.947916666666</v>
      </c>
      <c r="I143" s="91">
        <f>Data!K91</f>
        <v>14979.947916666666</v>
      </c>
      <c r="J143" s="91">
        <f>Data!L91</f>
        <v>14979.947916666666</v>
      </c>
      <c r="K143" s="91">
        <f>Data!M91</f>
        <v>14979.947916666666</v>
      </c>
      <c r="L143" s="91">
        <f>Data!N91</f>
        <v>14979.947916666666</v>
      </c>
      <c r="M143" s="91">
        <f>Data!O91</f>
        <v>14979.947916666666</v>
      </c>
      <c r="N143" s="91">
        <f>Data!P91</f>
        <v>14979.947916666666</v>
      </c>
      <c r="O143" s="91">
        <f>Data!Q91</f>
        <v>14979.947916666666</v>
      </c>
      <c r="P143" s="91">
        <f>Data!R91</f>
        <v>14979.947916666666</v>
      </c>
      <c r="Q143" s="91">
        <f>Data!S91</f>
        <v>14979.947916666666</v>
      </c>
      <c r="R143" s="284">
        <f>Data!T91</f>
        <v>15726.244791666666</v>
      </c>
      <c r="S143" s="91">
        <f>Data!U91</f>
        <v>15726.244791666666</v>
      </c>
      <c r="T143" s="91">
        <f>Data!V91</f>
        <v>15726.244791666666</v>
      </c>
      <c r="U143" s="91">
        <f>Data!W91</f>
        <v>15726.244791666666</v>
      </c>
      <c r="V143" s="91">
        <f>Data!X91</f>
        <v>15726.244791666666</v>
      </c>
      <c r="W143" s="91">
        <f>Data!Y91</f>
        <v>15726.244791666666</v>
      </c>
      <c r="X143" s="91">
        <f>Data!Z91</f>
        <v>15726.244791666666</v>
      </c>
      <c r="Y143" s="91">
        <f>Data!AA91</f>
        <v>15726.244791666666</v>
      </c>
      <c r="Z143" s="91">
        <f>Data!AB91</f>
        <v>15726.244791666666</v>
      </c>
      <c r="AA143" s="91">
        <f>Data!AC91</f>
        <v>15726.244791666666</v>
      </c>
      <c r="AB143" s="91">
        <f>Data!AD91</f>
        <v>15726.244791666666</v>
      </c>
      <c r="AC143" s="91">
        <f>Data!AE91</f>
        <v>15726.244791666666</v>
      </c>
      <c r="AD143" s="284">
        <f>Data!AF91</f>
        <v>16509.856510416666</v>
      </c>
      <c r="AE143" s="91">
        <f>Data!AG91</f>
        <v>16509.856510416666</v>
      </c>
      <c r="AF143" s="91">
        <f>Data!AH91</f>
        <v>16509.856510416666</v>
      </c>
      <c r="AG143" s="91">
        <f>Data!AI91</f>
        <v>16509.856510416666</v>
      </c>
      <c r="AH143" s="91">
        <f>Data!AJ91</f>
        <v>16509.856510416666</v>
      </c>
      <c r="AI143" s="91">
        <f>Data!AK91</f>
        <v>16509.856510416666</v>
      </c>
      <c r="AJ143" s="91">
        <f>Data!AL91</f>
        <v>16509.856510416666</v>
      </c>
      <c r="AK143" s="91">
        <f>Data!AM91</f>
        <v>16509.856510416666</v>
      </c>
      <c r="AL143" s="91">
        <f>Data!AN91</f>
        <v>16509.856510416666</v>
      </c>
      <c r="AM143" s="91">
        <f>Data!AO91</f>
        <v>16509.856510416666</v>
      </c>
      <c r="AN143" s="91">
        <f>Data!AP91</f>
        <v>16509.856510416666</v>
      </c>
      <c r="AO143" s="91">
        <f>Data!AQ91</f>
        <v>16509.856510416666</v>
      </c>
      <c r="AP143" s="284">
        <f>Data!AR91</f>
        <v>17332.648815104167</v>
      </c>
      <c r="AQ143" s="91">
        <f>Data!AS91</f>
        <v>17332.648815104167</v>
      </c>
      <c r="AR143" s="91">
        <f>Data!AT91</f>
        <v>17332.648815104167</v>
      </c>
      <c r="AS143" s="91">
        <f>Data!AU91</f>
        <v>17332.648815104167</v>
      </c>
      <c r="AT143" s="91">
        <f>Data!AV91</f>
        <v>17332.648815104167</v>
      </c>
      <c r="AU143" s="91">
        <f>Data!AW91</f>
        <v>17332.648815104167</v>
      </c>
      <c r="AV143" s="91">
        <f>Data!AX91</f>
        <v>17332.648815104167</v>
      </c>
      <c r="AW143" s="91">
        <f>Data!AY91</f>
        <v>17332.648815104167</v>
      </c>
      <c r="AX143" s="91">
        <f>Data!AZ91</f>
        <v>17332.648815104167</v>
      </c>
      <c r="AY143" s="91">
        <f>Data!BA91</f>
        <v>17332.648815104167</v>
      </c>
      <c r="AZ143" s="91">
        <f>Data!BB91</f>
        <v>17332.648815104167</v>
      </c>
      <c r="BA143" s="91">
        <f>Data!BC91</f>
        <v>17332.648815104167</v>
      </c>
      <c r="BB143" s="284">
        <f>Data!BD91</f>
        <v>18196.58073502604</v>
      </c>
      <c r="BC143" s="91">
        <f>Data!BE91</f>
        <v>18196.58073502604</v>
      </c>
      <c r="BD143" s="91">
        <f>Data!BF91</f>
        <v>18196.58073502604</v>
      </c>
      <c r="BE143" s="91">
        <f>Data!BG91</f>
        <v>18196.58073502604</v>
      </c>
      <c r="BF143" s="91">
        <f>Data!BH91</f>
        <v>18196.58073502604</v>
      </c>
      <c r="BG143" s="91">
        <f>Data!BI91</f>
        <v>18196.58073502604</v>
      </c>
      <c r="BH143" s="91">
        <f>Data!BJ91</f>
        <v>18196.58073502604</v>
      </c>
      <c r="BI143" s="91">
        <f>Data!BK91</f>
        <v>18196.58073502604</v>
      </c>
      <c r="BJ143" s="91">
        <f>Data!BL91</f>
        <v>18196.58073502604</v>
      </c>
      <c r="BK143" s="91">
        <f>Data!BM91</f>
        <v>18196.58073502604</v>
      </c>
      <c r="BL143" s="91">
        <f>Data!BN91</f>
        <v>18196.58073502604</v>
      </c>
      <c r="BM143" s="91">
        <f>Data!BO91</f>
        <v>18196.58073502604</v>
      </c>
      <c r="BN143" s="91">
        <f>Data!BP91</f>
        <v>19103.709250944012</v>
      </c>
      <c r="BO143" s="91">
        <f>Data!BQ91</f>
        <v>19103.709250944012</v>
      </c>
      <c r="BP143" s="91">
        <f>Data!BR91</f>
        <v>19103.709250944012</v>
      </c>
      <c r="BQ143" s="91">
        <f>Data!BS91</f>
        <v>19103.709250944012</v>
      </c>
      <c r="BR143" s="91">
        <f>Data!BT91</f>
        <v>19103.709250944012</v>
      </c>
      <c r="BS143" s="91">
        <f>Data!BU91</f>
        <v>19103.709250944012</v>
      </c>
      <c r="BT143" s="91">
        <f>Data!BV91</f>
        <v>19103.709250944012</v>
      </c>
      <c r="BU143" s="91">
        <f>Data!BW91</f>
        <v>19103.709250944012</v>
      </c>
      <c r="BV143" s="91">
        <f>Data!BX91</f>
        <v>19103.709250944012</v>
      </c>
      <c r="BW143" s="91">
        <f>Data!BY91</f>
        <v>19103.709250944012</v>
      </c>
      <c r="BX143" s="91">
        <f>Data!BZ91</f>
        <v>19103.709250944012</v>
      </c>
      <c r="BY143" s="91">
        <f>Data!CA91</f>
        <v>19103.709250944012</v>
      </c>
      <c r="BZ143" s="91">
        <f>Data!CB91</f>
        <v>20056.194192657877</v>
      </c>
      <c r="CA143" s="91">
        <f>Data!CC91</f>
        <v>20056.194192657877</v>
      </c>
      <c r="CB143" s="91">
        <f>Data!CD91</f>
        <v>20056.194192657877</v>
      </c>
      <c r="CC143" s="91">
        <f>Data!CE91</f>
        <v>20056.194192657877</v>
      </c>
      <c r="CD143" s="91">
        <f>Data!CF91</f>
        <v>20056.194192657877</v>
      </c>
      <c r="CE143" s="91">
        <f>Data!CG91</f>
        <v>20056.194192657877</v>
      </c>
      <c r="CF143" s="91">
        <f>Data!CH91</f>
        <v>20056.194192657877</v>
      </c>
      <c r="CG143" s="91">
        <f>Data!CI91</f>
        <v>20056.194192657877</v>
      </c>
      <c r="CH143" s="91">
        <f>Data!CJ91</f>
        <v>20056.194192657877</v>
      </c>
      <c r="CI143" s="91">
        <f>Data!CK91</f>
        <v>20056.194192657877</v>
      </c>
      <c r="CJ143" s="91">
        <f>Data!CL91</f>
        <v>20056.194192657877</v>
      </c>
      <c r="CK143" s="91">
        <f>Data!CM91</f>
        <v>20056.194192657877</v>
      </c>
      <c r="CL143" s="91">
        <f>Data!CN91</f>
        <v>21056.303381457441</v>
      </c>
      <c r="CM143" s="91">
        <f>Data!CO91</f>
        <v>21056.303381457441</v>
      </c>
      <c r="CN143" s="91">
        <f>Data!CP91</f>
        <v>21056.303381457441</v>
      </c>
      <c r="CO143" s="91">
        <f>Data!CQ91</f>
        <v>21056.303381457441</v>
      </c>
      <c r="CP143" s="91">
        <f>Data!CR91</f>
        <v>21056.303381457441</v>
      </c>
      <c r="CQ143" s="91">
        <f>Data!CS91</f>
        <v>21056.303381457441</v>
      </c>
      <c r="CR143" s="91">
        <f>Data!CT91</f>
        <v>21056.303381457441</v>
      </c>
      <c r="CS143" s="91">
        <f>Data!CU91</f>
        <v>21056.303381457441</v>
      </c>
      <c r="CT143" s="91">
        <f>Data!CV91</f>
        <v>21056.303381457441</v>
      </c>
      <c r="CU143" s="91">
        <f>Data!CW91</f>
        <v>21056.303381457441</v>
      </c>
      <c r="CV143" s="91">
        <f>Data!CX91</f>
        <v>21056.303381457441</v>
      </c>
      <c r="CW143" s="91">
        <f>Data!CY91</f>
        <v>21056.303381457441</v>
      </c>
      <c r="CX143" s="91">
        <f>Data!CZ91</f>
        <v>22106.418029696979</v>
      </c>
      <c r="CY143" s="91">
        <f>Data!DA91</f>
        <v>22106.418029696979</v>
      </c>
      <c r="CZ143" s="91">
        <f>Data!DB91</f>
        <v>22106.418029696979</v>
      </c>
      <c r="DA143" s="91">
        <f>Data!DC91</f>
        <v>22106.418029696979</v>
      </c>
      <c r="DB143" s="91">
        <f>Data!DD91</f>
        <v>22106.418029696979</v>
      </c>
      <c r="DC143" s="91">
        <f>Data!DE91</f>
        <v>22106.418029696979</v>
      </c>
      <c r="DD143" s="91">
        <f>Data!DF91</f>
        <v>22106.418029696979</v>
      </c>
      <c r="DE143" s="91">
        <f>Data!DG91</f>
        <v>22106.418029696979</v>
      </c>
      <c r="DF143" s="91">
        <f>Data!DH91</f>
        <v>22106.418029696979</v>
      </c>
      <c r="DG143" s="91">
        <f>Data!DI91</f>
        <v>22106.418029696979</v>
      </c>
      <c r="DH143" s="91">
        <f>Data!DJ91</f>
        <v>22106.418029696979</v>
      </c>
      <c r="DI143" s="91">
        <f>Data!DK91</f>
        <v>22106.418029696979</v>
      </c>
      <c r="DJ143" s="91">
        <f>Data!DL91</f>
        <v>23209.038410348501</v>
      </c>
      <c r="DK143" s="91">
        <f>Data!DM91</f>
        <v>23209.038410348501</v>
      </c>
      <c r="DL143" s="91">
        <f>Data!DN91</f>
        <v>23209.038410348501</v>
      </c>
      <c r="DM143" s="91">
        <f>Data!DO91</f>
        <v>23209.038410348501</v>
      </c>
      <c r="DN143" s="91">
        <f>Data!DP91</f>
        <v>23209.038410348501</v>
      </c>
      <c r="DO143" s="91">
        <f>Data!DQ91</f>
        <v>23209.038410348501</v>
      </c>
      <c r="DP143" s="91">
        <f>Data!DR91</f>
        <v>23209.038410348501</v>
      </c>
      <c r="DQ143" s="91">
        <f>Data!DS91</f>
        <v>23209.038410348501</v>
      </c>
      <c r="DR143" s="91">
        <f>Data!DT91</f>
        <v>23209.038410348501</v>
      </c>
      <c r="DS143" s="91">
        <f>Data!DU91</f>
        <v>23209.038410348501</v>
      </c>
      <c r="DT143" s="91">
        <f>Data!DV91</f>
        <v>23209.038410348501</v>
      </c>
      <c r="DU143" s="441">
        <f>Data!DW91</f>
        <v>23209.038410348501</v>
      </c>
      <c r="DV143" s="91"/>
    </row>
    <row r="144" spans="1:139" x14ac:dyDescent="0.3">
      <c r="A144" s="175"/>
      <c r="B144" s="628" t="str">
        <f>Data!D92</f>
        <v>AVP / VP</v>
      </c>
      <c r="C144" s="91"/>
      <c r="D144" s="91"/>
      <c r="E144" s="90">
        <f>Data!G92</f>
        <v>1.6673373999999996</v>
      </c>
      <c r="F144" s="91">
        <f>Data!H92</f>
        <v>1.6673373999999996</v>
      </c>
      <c r="G144" s="91">
        <f>Data!I92</f>
        <v>1.6673373999999999</v>
      </c>
      <c r="H144" s="91">
        <f>Data!J92</f>
        <v>1.6673373999999999</v>
      </c>
      <c r="I144" s="91">
        <f>Data!K92</f>
        <v>1.6673373999999999</v>
      </c>
      <c r="J144" s="91">
        <f>Data!L92</f>
        <v>1.6673373999999999</v>
      </c>
      <c r="K144" s="91">
        <f>Data!M92</f>
        <v>1.6673373999999999</v>
      </c>
      <c r="L144" s="91">
        <f>Data!N92</f>
        <v>1.6673373999999999</v>
      </c>
      <c r="M144" s="91">
        <f>Data!O92</f>
        <v>1.6673373999999999</v>
      </c>
      <c r="N144" s="91">
        <f>Data!P92</f>
        <v>1.6673373999999999</v>
      </c>
      <c r="O144" s="91">
        <f>Data!Q92</f>
        <v>1.6673373999999999</v>
      </c>
      <c r="P144" s="91">
        <f>Data!R92</f>
        <v>1.6673373999999999</v>
      </c>
      <c r="Q144" s="91">
        <f>Data!S92</f>
        <v>1.6673373999999999</v>
      </c>
      <c r="R144" s="284">
        <f>Data!T92</f>
        <v>1.7504450199999997</v>
      </c>
      <c r="S144" s="91">
        <f>Data!U92</f>
        <v>1.7504450199999997</v>
      </c>
      <c r="T144" s="91">
        <f>Data!V92</f>
        <v>1.7504450199999997</v>
      </c>
      <c r="U144" s="91">
        <f>Data!W92</f>
        <v>1.7504450199999997</v>
      </c>
      <c r="V144" s="91">
        <f>Data!X92</f>
        <v>1.7504450199999997</v>
      </c>
      <c r="W144" s="91">
        <f>Data!Y92</f>
        <v>1.7504450199999997</v>
      </c>
      <c r="X144" s="91">
        <f>Data!Z92</f>
        <v>1.7504450199999997</v>
      </c>
      <c r="Y144" s="91">
        <f>Data!AA92</f>
        <v>1.7504450199999997</v>
      </c>
      <c r="Z144" s="91">
        <f>Data!AB92</f>
        <v>1.7504450199999997</v>
      </c>
      <c r="AA144" s="91">
        <f>Data!AC92</f>
        <v>1.7504450199999997</v>
      </c>
      <c r="AB144" s="91">
        <f>Data!AD92</f>
        <v>1.7504450199999997</v>
      </c>
      <c r="AC144" s="91">
        <f>Data!AE92</f>
        <v>1.7504450199999997</v>
      </c>
      <c r="AD144" s="284">
        <f>Data!AF92</f>
        <v>1.8377080209999999</v>
      </c>
      <c r="AE144" s="91">
        <f>Data!AG92</f>
        <v>1.8377080209999999</v>
      </c>
      <c r="AF144" s="91">
        <f>Data!AH92</f>
        <v>1.8377080209999999</v>
      </c>
      <c r="AG144" s="91">
        <f>Data!AI92</f>
        <v>1.8377080209999999</v>
      </c>
      <c r="AH144" s="91">
        <f>Data!AJ92</f>
        <v>1.8377080209999999</v>
      </c>
      <c r="AI144" s="91">
        <f>Data!AK92</f>
        <v>1.8377080209999999</v>
      </c>
      <c r="AJ144" s="91">
        <f>Data!AL92</f>
        <v>1.8377080209999999</v>
      </c>
      <c r="AK144" s="91">
        <f>Data!AM92</f>
        <v>1.8377080209999999</v>
      </c>
      <c r="AL144" s="91">
        <f>Data!AN92</f>
        <v>1.8377080209999999</v>
      </c>
      <c r="AM144" s="91">
        <f>Data!AO92</f>
        <v>1.8377080209999999</v>
      </c>
      <c r="AN144" s="91">
        <f>Data!AP92</f>
        <v>1.8377080209999999</v>
      </c>
      <c r="AO144" s="91">
        <f>Data!AQ92</f>
        <v>1.8377080209999999</v>
      </c>
      <c r="AP144" s="284">
        <f>Data!AR92</f>
        <v>1.9293341720499999</v>
      </c>
      <c r="AQ144" s="91">
        <f>Data!AS92</f>
        <v>1.9293341720499999</v>
      </c>
      <c r="AR144" s="91">
        <f>Data!AT92</f>
        <v>1.9293341720499999</v>
      </c>
      <c r="AS144" s="91">
        <f>Data!AU92</f>
        <v>1.9293341720499999</v>
      </c>
      <c r="AT144" s="91">
        <f>Data!AV92</f>
        <v>1.9293341720499999</v>
      </c>
      <c r="AU144" s="91">
        <f>Data!AW92</f>
        <v>1.9293341720499999</v>
      </c>
      <c r="AV144" s="91">
        <f>Data!AX92</f>
        <v>1.9293341720499999</v>
      </c>
      <c r="AW144" s="91">
        <f>Data!AY92</f>
        <v>1.9293341720499999</v>
      </c>
      <c r="AX144" s="91">
        <f>Data!AZ92</f>
        <v>1.9293341720499999</v>
      </c>
      <c r="AY144" s="91">
        <f>Data!BA92</f>
        <v>1.9293341720499999</v>
      </c>
      <c r="AZ144" s="91">
        <f>Data!BB92</f>
        <v>1.9293341720499999</v>
      </c>
      <c r="BA144" s="91">
        <f>Data!BC92</f>
        <v>1.9293341720499999</v>
      </c>
      <c r="BB144" s="284">
        <f>Data!BD92</f>
        <v>2.0255416306525</v>
      </c>
      <c r="BC144" s="91">
        <f>Data!BE92</f>
        <v>2.0255416306525</v>
      </c>
      <c r="BD144" s="91">
        <f>Data!BF92</f>
        <v>2.0255416306525</v>
      </c>
      <c r="BE144" s="91">
        <f>Data!BG92</f>
        <v>2.0255416306525</v>
      </c>
      <c r="BF144" s="91">
        <f>Data!BH92</f>
        <v>2.0255416306525</v>
      </c>
      <c r="BG144" s="91">
        <f>Data!BI92</f>
        <v>2.0255416306525</v>
      </c>
      <c r="BH144" s="91">
        <f>Data!BJ92</f>
        <v>2.0255416306525</v>
      </c>
      <c r="BI144" s="91">
        <f>Data!BK92</f>
        <v>2.0255416306525</v>
      </c>
      <c r="BJ144" s="91">
        <f>Data!BL92</f>
        <v>2.0255416306525</v>
      </c>
      <c r="BK144" s="91">
        <f>Data!BM92</f>
        <v>2.0255416306525</v>
      </c>
      <c r="BL144" s="91">
        <f>Data!BN92</f>
        <v>2.0255416306525</v>
      </c>
      <c r="BM144" s="91">
        <f>Data!BO92</f>
        <v>2.0255416306525</v>
      </c>
      <c r="BN144" s="91">
        <f>Data!BP92</f>
        <v>2.1265594621851256</v>
      </c>
      <c r="BO144" s="91">
        <f>Data!BQ92</f>
        <v>2.1265594621851256</v>
      </c>
      <c r="BP144" s="91">
        <f>Data!BR92</f>
        <v>2.1265594621851256</v>
      </c>
      <c r="BQ144" s="91">
        <f>Data!BS92</f>
        <v>2.1265594621851256</v>
      </c>
      <c r="BR144" s="91">
        <f>Data!BT92</f>
        <v>2.1265594621851256</v>
      </c>
      <c r="BS144" s="91">
        <f>Data!BU92</f>
        <v>2.1265594621851256</v>
      </c>
      <c r="BT144" s="91">
        <f>Data!BV92</f>
        <v>2.1265594621851256</v>
      </c>
      <c r="BU144" s="91">
        <f>Data!BW92</f>
        <v>2.1265594621851256</v>
      </c>
      <c r="BV144" s="91">
        <f>Data!BX92</f>
        <v>2.1265594621851256</v>
      </c>
      <c r="BW144" s="91">
        <f>Data!BY92</f>
        <v>2.1265594621851256</v>
      </c>
      <c r="BX144" s="91">
        <f>Data!BZ92</f>
        <v>2.1265594621851256</v>
      </c>
      <c r="BY144" s="91">
        <f>Data!CA92</f>
        <v>2.1265594621851256</v>
      </c>
      <c r="BZ144" s="91">
        <f>Data!CB92</f>
        <v>2.2326281852943817</v>
      </c>
      <c r="CA144" s="91">
        <f>Data!CC92</f>
        <v>2.2326281852943817</v>
      </c>
      <c r="CB144" s="91">
        <f>Data!CD92</f>
        <v>2.2326281852943817</v>
      </c>
      <c r="CC144" s="91">
        <f>Data!CE92</f>
        <v>2.2326281852943817</v>
      </c>
      <c r="CD144" s="91">
        <f>Data!CF92</f>
        <v>2.2326281852943817</v>
      </c>
      <c r="CE144" s="91">
        <f>Data!CG92</f>
        <v>2.2326281852943817</v>
      </c>
      <c r="CF144" s="91">
        <f>Data!CH92</f>
        <v>2.2326281852943817</v>
      </c>
      <c r="CG144" s="91">
        <f>Data!CI92</f>
        <v>2.2326281852943817</v>
      </c>
      <c r="CH144" s="91">
        <f>Data!CJ92</f>
        <v>2.2326281852943817</v>
      </c>
      <c r="CI144" s="91">
        <f>Data!CK92</f>
        <v>2.2326281852943817</v>
      </c>
      <c r="CJ144" s="91">
        <f>Data!CL92</f>
        <v>2.2326281852943817</v>
      </c>
      <c r="CK144" s="91">
        <f>Data!CM92</f>
        <v>2.2326281852943817</v>
      </c>
      <c r="CL144" s="91">
        <f>Data!CN92</f>
        <v>2.3440003445591007</v>
      </c>
      <c r="CM144" s="91">
        <f>Data!CO92</f>
        <v>2.3440003445591007</v>
      </c>
      <c r="CN144" s="91">
        <f>Data!CP92</f>
        <v>2.3440003445591007</v>
      </c>
      <c r="CO144" s="91">
        <f>Data!CQ92</f>
        <v>2.3440003445591007</v>
      </c>
      <c r="CP144" s="91">
        <f>Data!CR92</f>
        <v>2.3440003445591007</v>
      </c>
      <c r="CQ144" s="91">
        <f>Data!CS92</f>
        <v>2.3440003445591007</v>
      </c>
      <c r="CR144" s="91">
        <f>Data!CT92</f>
        <v>2.3440003445591007</v>
      </c>
      <c r="CS144" s="91">
        <f>Data!CU92</f>
        <v>2.3440003445591007</v>
      </c>
      <c r="CT144" s="91">
        <f>Data!CV92</f>
        <v>2.3440003445591007</v>
      </c>
      <c r="CU144" s="91">
        <f>Data!CW92</f>
        <v>2.3440003445591007</v>
      </c>
      <c r="CV144" s="91">
        <f>Data!CX92</f>
        <v>2.3440003445591007</v>
      </c>
      <c r="CW144" s="91">
        <f>Data!CY92</f>
        <v>2.3440003445591007</v>
      </c>
      <c r="CX144" s="91">
        <f>Data!CZ92</f>
        <v>2.4609411117870557</v>
      </c>
      <c r="CY144" s="91">
        <f>Data!DA92</f>
        <v>2.4609411117870557</v>
      </c>
      <c r="CZ144" s="91">
        <f>Data!DB92</f>
        <v>2.4609411117870557</v>
      </c>
      <c r="DA144" s="91">
        <f>Data!DC92</f>
        <v>2.4609411117870557</v>
      </c>
      <c r="DB144" s="91">
        <f>Data!DD92</f>
        <v>2.4609411117870557</v>
      </c>
      <c r="DC144" s="91">
        <f>Data!DE92</f>
        <v>2.4609411117870557</v>
      </c>
      <c r="DD144" s="91">
        <f>Data!DF92</f>
        <v>2.4609411117870557</v>
      </c>
      <c r="DE144" s="91">
        <f>Data!DG92</f>
        <v>2.4609411117870557</v>
      </c>
      <c r="DF144" s="91">
        <f>Data!DH92</f>
        <v>2.4609411117870557</v>
      </c>
      <c r="DG144" s="91">
        <f>Data!DI92</f>
        <v>2.4609411117870557</v>
      </c>
      <c r="DH144" s="91">
        <f>Data!DJ92</f>
        <v>2.4609411117870557</v>
      </c>
      <c r="DI144" s="91">
        <f>Data!DK92</f>
        <v>2.4609411117870557</v>
      </c>
      <c r="DJ144" s="91">
        <f>Data!DL92</f>
        <v>2.5837289173764084</v>
      </c>
      <c r="DK144" s="91">
        <f>Data!DM92</f>
        <v>2.5837289173764084</v>
      </c>
      <c r="DL144" s="91">
        <f>Data!DN92</f>
        <v>2.5837289173764084</v>
      </c>
      <c r="DM144" s="91">
        <f>Data!DO92</f>
        <v>2.5837289173764084</v>
      </c>
      <c r="DN144" s="91">
        <f>Data!DP92</f>
        <v>2.5837289173764084</v>
      </c>
      <c r="DO144" s="91">
        <f>Data!DQ92</f>
        <v>2.5837289173764084</v>
      </c>
      <c r="DP144" s="91">
        <f>Data!DR92</f>
        <v>2.5837289173764084</v>
      </c>
      <c r="DQ144" s="91">
        <f>Data!DS92</f>
        <v>2.5837289173764084</v>
      </c>
      <c r="DR144" s="91">
        <f>Data!DT92</f>
        <v>2.5837289173764084</v>
      </c>
      <c r="DS144" s="91">
        <f>Data!DU92</f>
        <v>2.5837289173764084</v>
      </c>
      <c r="DT144" s="91">
        <f>Data!DV92</f>
        <v>2.5837289173764084</v>
      </c>
      <c r="DU144" s="441">
        <f>Data!DW92</f>
        <v>2.5837289173764084</v>
      </c>
      <c r="DV144" s="91"/>
    </row>
    <row r="145" spans="1:126" x14ac:dyDescent="0.3">
      <c r="A145" s="175"/>
      <c r="B145" s="628" t="str">
        <f>Data!D93</f>
        <v>SME</v>
      </c>
      <c r="C145" s="91"/>
      <c r="D145" s="91"/>
      <c r="E145" s="90">
        <f>Data!G93</f>
        <v>0.27968499999999996</v>
      </c>
      <c r="F145" s="91">
        <f>Data!H93</f>
        <v>0.27968499999999996</v>
      </c>
      <c r="G145" s="91">
        <f>Data!I93</f>
        <v>0.27968499999999996</v>
      </c>
      <c r="H145" s="91">
        <f>Data!J93</f>
        <v>0.27968499999999996</v>
      </c>
      <c r="I145" s="91">
        <f>Data!K93</f>
        <v>0.27968499999999996</v>
      </c>
      <c r="J145" s="91">
        <f>Data!L93</f>
        <v>0.27968499999999996</v>
      </c>
      <c r="K145" s="91">
        <f>Data!M93</f>
        <v>0.27968499999999996</v>
      </c>
      <c r="L145" s="91">
        <f>Data!N93</f>
        <v>0.27968499999999996</v>
      </c>
      <c r="M145" s="91">
        <f>Data!O93</f>
        <v>0.27968499999999996</v>
      </c>
      <c r="N145" s="91">
        <f>Data!P93</f>
        <v>0.27968499999999996</v>
      </c>
      <c r="O145" s="91">
        <f>Data!Q93</f>
        <v>0.27968499999999996</v>
      </c>
      <c r="P145" s="91">
        <f>Data!R93</f>
        <v>0.27968499999999996</v>
      </c>
      <c r="Q145" s="91">
        <f>Data!S93</f>
        <v>0.27968499999999996</v>
      </c>
      <c r="R145" s="284">
        <f>Data!T93</f>
        <v>0.29341</v>
      </c>
      <c r="S145" s="91">
        <f>Data!U93</f>
        <v>0.29341</v>
      </c>
      <c r="T145" s="91">
        <f>Data!V93</f>
        <v>0.29341</v>
      </c>
      <c r="U145" s="91">
        <f>Data!W93</f>
        <v>0.29341</v>
      </c>
      <c r="V145" s="91">
        <f>Data!X93</f>
        <v>0.29341</v>
      </c>
      <c r="W145" s="91">
        <f>Data!Y93</f>
        <v>0.29341</v>
      </c>
      <c r="X145" s="91">
        <f>Data!Z93</f>
        <v>0.29341</v>
      </c>
      <c r="Y145" s="91">
        <f>Data!AA93</f>
        <v>0.29341</v>
      </c>
      <c r="Z145" s="91">
        <f>Data!AB93</f>
        <v>0.29341</v>
      </c>
      <c r="AA145" s="91">
        <f>Data!AC93</f>
        <v>0.29341</v>
      </c>
      <c r="AB145" s="91">
        <f>Data!AD93</f>
        <v>0.29341</v>
      </c>
      <c r="AC145" s="91">
        <f>Data!AE93</f>
        <v>0.29341</v>
      </c>
      <c r="AD145" s="284">
        <f>Data!AF93</f>
        <v>0.30782124999999999</v>
      </c>
      <c r="AE145" s="91">
        <f>Data!AG93</f>
        <v>0.30782124999999999</v>
      </c>
      <c r="AF145" s="91">
        <f>Data!AH93</f>
        <v>0.30782124999999999</v>
      </c>
      <c r="AG145" s="91">
        <f>Data!AI93</f>
        <v>0.30782124999999999</v>
      </c>
      <c r="AH145" s="91">
        <f>Data!AJ93</f>
        <v>0.30782124999999999</v>
      </c>
      <c r="AI145" s="91">
        <f>Data!AK93</f>
        <v>0.30782124999999999</v>
      </c>
      <c r="AJ145" s="91">
        <f>Data!AL93</f>
        <v>0.30782124999999999</v>
      </c>
      <c r="AK145" s="91">
        <f>Data!AM93</f>
        <v>0.30782124999999999</v>
      </c>
      <c r="AL145" s="91">
        <f>Data!AN93</f>
        <v>0.30782124999999999</v>
      </c>
      <c r="AM145" s="91">
        <f>Data!AO93</f>
        <v>0.30782124999999999</v>
      </c>
      <c r="AN145" s="91">
        <f>Data!AP93</f>
        <v>0.30782124999999999</v>
      </c>
      <c r="AO145" s="91">
        <f>Data!AQ93</f>
        <v>0.30782124999999999</v>
      </c>
      <c r="AP145" s="284">
        <f>Data!AR93</f>
        <v>0.3229530625</v>
      </c>
      <c r="AQ145" s="91">
        <f>Data!AS93</f>
        <v>0.3229530625</v>
      </c>
      <c r="AR145" s="91">
        <f>Data!AT93</f>
        <v>0.3229530625</v>
      </c>
      <c r="AS145" s="91">
        <f>Data!AU93</f>
        <v>0.3229530625</v>
      </c>
      <c r="AT145" s="91">
        <f>Data!AV93</f>
        <v>0.3229530625</v>
      </c>
      <c r="AU145" s="91">
        <f>Data!AW93</f>
        <v>0.3229530625</v>
      </c>
      <c r="AV145" s="91">
        <f>Data!AX93</f>
        <v>0.3229530625</v>
      </c>
      <c r="AW145" s="91">
        <f>Data!AY93</f>
        <v>0.3229530625</v>
      </c>
      <c r="AX145" s="91">
        <f>Data!AZ93</f>
        <v>0.3229530625</v>
      </c>
      <c r="AY145" s="91">
        <f>Data!BA93</f>
        <v>0.3229530625</v>
      </c>
      <c r="AZ145" s="91">
        <f>Data!BB93</f>
        <v>0.3229530625</v>
      </c>
      <c r="BA145" s="91">
        <f>Data!BC93</f>
        <v>0.3229530625</v>
      </c>
      <c r="BB145" s="284">
        <f>Data!BD93</f>
        <v>0.33884146562499995</v>
      </c>
      <c r="BC145" s="91">
        <f>Data!BE93</f>
        <v>0.33884146562499995</v>
      </c>
      <c r="BD145" s="91">
        <f>Data!BF93</f>
        <v>0.33884146562499995</v>
      </c>
      <c r="BE145" s="91">
        <f>Data!BG93</f>
        <v>0.33884146562499995</v>
      </c>
      <c r="BF145" s="91">
        <f>Data!BH93</f>
        <v>0.33884146562499995</v>
      </c>
      <c r="BG145" s="91">
        <f>Data!BI93</f>
        <v>0.33884146562499995</v>
      </c>
      <c r="BH145" s="91">
        <f>Data!BJ93</f>
        <v>0.33884146562499995</v>
      </c>
      <c r="BI145" s="91">
        <f>Data!BK93</f>
        <v>0.33884146562499995</v>
      </c>
      <c r="BJ145" s="91">
        <f>Data!BL93</f>
        <v>0.33884146562499995</v>
      </c>
      <c r="BK145" s="91">
        <f>Data!BM93</f>
        <v>0.33884146562499995</v>
      </c>
      <c r="BL145" s="91">
        <f>Data!BN93</f>
        <v>0.33884146562499995</v>
      </c>
      <c r="BM145" s="91">
        <f>Data!BO93</f>
        <v>0.33884146562499995</v>
      </c>
      <c r="BN145" s="91">
        <f>Data!BP93</f>
        <v>0.35552428890624999</v>
      </c>
      <c r="BO145" s="91">
        <f>Data!BQ93</f>
        <v>0.35552428890624999</v>
      </c>
      <c r="BP145" s="91">
        <f>Data!BR93</f>
        <v>0.35552428890624999</v>
      </c>
      <c r="BQ145" s="91">
        <f>Data!BS93</f>
        <v>0.35552428890624999</v>
      </c>
      <c r="BR145" s="91">
        <f>Data!BT93</f>
        <v>0.35552428890624999</v>
      </c>
      <c r="BS145" s="91">
        <f>Data!BU93</f>
        <v>0.35552428890624999</v>
      </c>
      <c r="BT145" s="91">
        <f>Data!BV93</f>
        <v>0.35552428890624999</v>
      </c>
      <c r="BU145" s="91">
        <f>Data!BW93</f>
        <v>0.35552428890624999</v>
      </c>
      <c r="BV145" s="91">
        <f>Data!BX93</f>
        <v>0.35552428890624999</v>
      </c>
      <c r="BW145" s="91">
        <f>Data!BY93</f>
        <v>0.35552428890624999</v>
      </c>
      <c r="BX145" s="91">
        <f>Data!BZ93</f>
        <v>0.35552428890624999</v>
      </c>
      <c r="BY145" s="91">
        <f>Data!CA93</f>
        <v>0.35552428890624999</v>
      </c>
      <c r="BZ145" s="91">
        <f>Data!CB93</f>
        <v>0.37304125335156252</v>
      </c>
      <c r="CA145" s="91">
        <f>Data!CC93</f>
        <v>0.37304125335156252</v>
      </c>
      <c r="CB145" s="91">
        <f>Data!CD93</f>
        <v>0.37304125335156252</v>
      </c>
      <c r="CC145" s="91">
        <f>Data!CE93</f>
        <v>0.37304125335156252</v>
      </c>
      <c r="CD145" s="91">
        <f>Data!CF93</f>
        <v>0.37304125335156252</v>
      </c>
      <c r="CE145" s="91">
        <f>Data!CG93</f>
        <v>0.37304125335156252</v>
      </c>
      <c r="CF145" s="91">
        <f>Data!CH93</f>
        <v>0.37304125335156252</v>
      </c>
      <c r="CG145" s="91">
        <f>Data!CI93</f>
        <v>0.37304125335156252</v>
      </c>
      <c r="CH145" s="91">
        <f>Data!CJ93</f>
        <v>0.37304125335156252</v>
      </c>
      <c r="CI145" s="91">
        <f>Data!CK93</f>
        <v>0.37304125335156252</v>
      </c>
      <c r="CJ145" s="91">
        <f>Data!CL93</f>
        <v>0.37304125335156252</v>
      </c>
      <c r="CK145" s="91">
        <f>Data!CM93</f>
        <v>0.37304125335156252</v>
      </c>
      <c r="CL145" s="91">
        <f>Data!CN93</f>
        <v>0.3914340660191406</v>
      </c>
      <c r="CM145" s="91">
        <f>Data!CO93</f>
        <v>0.3914340660191406</v>
      </c>
      <c r="CN145" s="91">
        <f>Data!CP93</f>
        <v>0.3914340660191406</v>
      </c>
      <c r="CO145" s="91">
        <f>Data!CQ93</f>
        <v>0.3914340660191406</v>
      </c>
      <c r="CP145" s="91">
        <f>Data!CR93</f>
        <v>0.3914340660191406</v>
      </c>
      <c r="CQ145" s="91">
        <f>Data!CS93</f>
        <v>0.3914340660191406</v>
      </c>
      <c r="CR145" s="91">
        <f>Data!CT93</f>
        <v>0.3914340660191406</v>
      </c>
      <c r="CS145" s="91">
        <f>Data!CU93</f>
        <v>0.3914340660191406</v>
      </c>
      <c r="CT145" s="91">
        <f>Data!CV93</f>
        <v>0.3914340660191406</v>
      </c>
      <c r="CU145" s="91">
        <f>Data!CW93</f>
        <v>0.3914340660191406</v>
      </c>
      <c r="CV145" s="91">
        <f>Data!CX93</f>
        <v>0.3914340660191406</v>
      </c>
      <c r="CW145" s="91">
        <f>Data!CY93</f>
        <v>0.3914340660191406</v>
      </c>
      <c r="CX145" s="91">
        <f>Data!CZ93</f>
        <v>0.41074651932009759</v>
      </c>
      <c r="CY145" s="91">
        <f>Data!DA93</f>
        <v>0.41074651932009759</v>
      </c>
      <c r="CZ145" s="91">
        <f>Data!DB93</f>
        <v>0.41074651932009759</v>
      </c>
      <c r="DA145" s="91">
        <f>Data!DC93</f>
        <v>0.41074651932009759</v>
      </c>
      <c r="DB145" s="91">
        <f>Data!DD93</f>
        <v>0.41074651932009759</v>
      </c>
      <c r="DC145" s="91">
        <f>Data!DE93</f>
        <v>0.41074651932009759</v>
      </c>
      <c r="DD145" s="91">
        <f>Data!DF93</f>
        <v>0.41074651932009759</v>
      </c>
      <c r="DE145" s="91">
        <f>Data!DG93</f>
        <v>0.41074651932009759</v>
      </c>
      <c r="DF145" s="91">
        <f>Data!DH93</f>
        <v>0.41074651932009759</v>
      </c>
      <c r="DG145" s="91">
        <f>Data!DI93</f>
        <v>0.41074651932009759</v>
      </c>
      <c r="DH145" s="91">
        <f>Data!DJ93</f>
        <v>0.41074651932009759</v>
      </c>
      <c r="DI145" s="91">
        <f>Data!DK93</f>
        <v>0.41074651932009759</v>
      </c>
      <c r="DJ145" s="91">
        <f>Data!DL93</f>
        <v>0.43102459528610254</v>
      </c>
      <c r="DK145" s="91">
        <f>Data!DM93</f>
        <v>0.43102459528610254</v>
      </c>
      <c r="DL145" s="91">
        <f>Data!DN93</f>
        <v>0.43102459528610254</v>
      </c>
      <c r="DM145" s="91">
        <f>Data!DO93</f>
        <v>0.43102459528610254</v>
      </c>
      <c r="DN145" s="91">
        <f>Data!DP93</f>
        <v>0.43102459528610254</v>
      </c>
      <c r="DO145" s="91">
        <f>Data!DQ93</f>
        <v>0.43102459528610254</v>
      </c>
      <c r="DP145" s="91">
        <f>Data!DR93</f>
        <v>0.43102459528610254</v>
      </c>
      <c r="DQ145" s="91">
        <f>Data!DS93</f>
        <v>0.43102459528610254</v>
      </c>
      <c r="DR145" s="91">
        <f>Data!DT93</f>
        <v>0.43102459528610254</v>
      </c>
      <c r="DS145" s="91">
        <f>Data!DU93</f>
        <v>0.43102459528610254</v>
      </c>
      <c r="DT145" s="91">
        <f>Data!DV93</f>
        <v>0.43102459528610254</v>
      </c>
      <c r="DU145" s="441">
        <f>Data!DW93</f>
        <v>0.43102459528610254</v>
      </c>
      <c r="DV145" s="91"/>
    </row>
    <row r="146" spans="1:126" x14ac:dyDescent="0.3">
      <c r="A146" s="175"/>
      <c r="B146" s="628" t="str">
        <f>Data!D94</f>
        <v>QA</v>
      </c>
      <c r="C146" s="91"/>
      <c r="D146" s="91"/>
      <c r="E146" s="90">
        <f>Data!G94</f>
        <v>69921.25</v>
      </c>
      <c r="F146" s="91">
        <f>Data!H94</f>
        <v>69921.25</v>
      </c>
      <c r="G146" s="91">
        <f>Data!I94</f>
        <v>69921.25</v>
      </c>
      <c r="H146" s="91">
        <f>Data!J94</f>
        <v>69921.25</v>
      </c>
      <c r="I146" s="91">
        <f>Data!K94</f>
        <v>69921.25</v>
      </c>
      <c r="J146" s="91">
        <f>Data!L94</f>
        <v>69921.25</v>
      </c>
      <c r="K146" s="91">
        <f>Data!M94</f>
        <v>69921.25</v>
      </c>
      <c r="L146" s="91">
        <f>Data!N94</f>
        <v>53785.576923076929</v>
      </c>
      <c r="M146" s="91">
        <f>Data!O94</f>
        <v>53785.576923076929</v>
      </c>
      <c r="N146" s="91">
        <f>Data!P94</f>
        <v>53785.576923076929</v>
      </c>
      <c r="O146" s="91">
        <f>Data!Q94</f>
        <v>53785.576923076929</v>
      </c>
      <c r="P146" s="91">
        <f>Data!R94</f>
        <v>53785.576923076929</v>
      </c>
      <c r="Q146" s="91">
        <f>Data!S94</f>
        <v>53785.576923076929</v>
      </c>
      <c r="R146" s="284">
        <f>Data!T94</f>
        <v>56425</v>
      </c>
      <c r="S146" s="91">
        <f>Data!U94</f>
        <v>56425</v>
      </c>
      <c r="T146" s="91">
        <f>Data!V94</f>
        <v>56425</v>
      </c>
      <c r="U146" s="91">
        <f>Data!W94</f>
        <v>56425</v>
      </c>
      <c r="V146" s="91">
        <f>Data!X94</f>
        <v>56425</v>
      </c>
      <c r="W146" s="91">
        <f>Data!Y94</f>
        <v>56425</v>
      </c>
      <c r="X146" s="91">
        <f>Data!Z94</f>
        <v>56425</v>
      </c>
      <c r="Y146" s="91">
        <f>Data!AA94</f>
        <v>56425</v>
      </c>
      <c r="Z146" s="91">
        <f>Data!AB94</f>
        <v>56425</v>
      </c>
      <c r="AA146" s="91">
        <f>Data!AC94</f>
        <v>56425</v>
      </c>
      <c r="AB146" s="91">
        <f>Data!AD94</f>
        <v>56425</v>
      </c>
      <c r="AC146" s="91">
        <f>Data!AE94</f>
        <v>56425</v>
      </c>
      <c r="AD146" s="284">
        <f>Data!AF94</f>
        <v>59196.394230769227</v>
      </c>
      <c r="AE146" s="91">
        <f>Data!AG94</f>
        <v>59196.394230769227</v>
      </c>
      <c r="AF146" s="91">
        <f>Data!AH94</f>
        <v>59196.394230769227</v>
      </c>
      <c r="AG146" s="91">
        <f>Data!AI94</f>
        <v>59196.394230769227</v>
      </c>
      <c r="AH146" s="91">
        <f>Data!AJ94</f>
        <v>59196.394230769227</v>
      </c>
      <c r="AI146" s="91">
        <f>Data!AK94</f>
        <v>59196.394230769227</v>
      </c>
      <c r="AJ146" s="91">
        <f>Data!AL94</f>
        <v>59196.394230769227</v>
      </c>
      <c r="AK146" s="91">
        <f>Data!AM94</f>
        <v>59196.394230769227</v>
      </c>
      <c r="AL146" s="91">
        <f>Data!AN94</f>
        <v>59196.394230769227</v>
      </c>
      <c r="AM146" s="91">
        <f>Data!AO94</f>
        <v>59196.394230769227</v>
      </c>
      <c r="AN146" s="91">
        <f>Data!AP94</f>
        <v>59196.394230769227</v>
      </c>
      <c r="AO146" s="91">
        <f>Data!AQ94</f>
        <v>59196.394230769227</v>
      </c>
      <c r="AP146" s="284">
        <f>Data!AR94</f>
        <v>62106.358173076929</v>
      </c>
      <c r="AQ146" s="91">
        <f>Data!AS94</f>
        <v>62106.358173076929</v>
      </c>
      <c r="AR146" s="91">
        <f>Data!AT94</f>
        <v>62106.358173076929</v>
      </c>
      <c r="AS146" s="91">
        <f>Data!AU94</f>
        <v>62106.358173076929</v>
      </c>
      <c r="AT146" s="91">
        <f>Data!AV94</f>
        <v>62106.358173076929</v>
      </c>
      <c r="AU146" s="91">
        <f>Data!AW94</f>
        <v>62106.358173076929</v>
      </c>
      <c r="AV146" s="91">
        <f>Data!AX94</f>
        <v>62106.358173076929</v>
      </c>
      <c r="AW146" s="91">
        <f>Data!AY94</f>
        <v>62106.358173076929</v>
      </c>
      <c r="AX146" s="91">
        <f>Data!AZ94</f>
        <v>62106.358173076929</v>
      </c>
      <c r="AY146" s="91">
        <f>Data!BA94</f>
        <v>62106.358173076929</v>
      </c>
      <c r="AZ146" s="91">
        <f>Data!BB94</f>
        <v>62106.358173076929</v>
      </c>
      <c r="BA146" s="91">
        <f>Data!BC94</f>
        <v>62106.358173076929</v>
      </c>
      <c r="BB146" s="284">
        <f>Data!BD94</f>
        <v>65161.8203125</v>
      </c>
      <c r="BC146" s="91">
        <f>Data!BE94</f>
        <v>65161.8203125</v>
      </c>
      <c r="BD146" s="91">
        <f>Data!BF94</f>
        <v>65161.8203125</v>
      </c>
      <c r="BE146" s="91">
        <f>Data!BG94</f>
        <v>65161.8203125</v>
      </c>
      <c r="BF146" s="91">
        <f>Data!BH94</f>
        <v>65161.8203125</v>
      </c>
      <c r="BG146" s="91">
        <f>Data!BI94</f>
        <v>65161.8203125</v>
      </c>
      <c r="BH146" s="91">
        <f>Data!BJ94</f>
        <v>65161.8203125</v>
      </c>
      <c r="BI146" s="91">
        <f>Data!BK94</f>
        <v>65161.8203125</v>
      </c>
      <c r="BJ146" s="91">
        <f>Data!BL94</f>
        <v>65161.8203125</v>
      </c>
      <c r="BK146" s="91">
        <f>Data!BM94</f>
        <v>65161.8203125</v>
      </c>
      <c r="BL146" s="91">
        <f>Data!BN94</f>
        <v>65161.8203125</v>
      </c>
      <c r="BM146" s="91">
        <f>Data!BO94</f>
        <v>65161.8203125</v>
      </c>
      <c r="BN146" s="91">
        <f>Data!BP94</f>
        <v>68370.055558894237</v>
      </c>
      <c r="BO146" s="91">
        <f>Data!BQ94</f>
        <v>68370.055558894237</v>
      </c>
      <c r="BP146" s="91">
        <f>Data!BR94</f>
        <v>68370.055558894237</v>
      </c>
      <c r="BQ146" s="91">
        <f>Data!BS94</f>
        <v>68370.055558894237</v>
      </c>
      <c r="BR146" s="91">
        <f>Data!BT94</f>
        <v>68370.055558894237</v>
      </c>
      <c r="BS146" s="91">
        <f>Data!BU94</f>
        <v>68370.055558894237</v>
      </c>
      <c r="BT146" s="91">
        <f>Data!BV94</f>
        <v>68370.055558894237</v>
      </c>
      <c r="BU146" s="91">
        <f>Data!BW94</f>
        <v>68370.055558894237</v>
      </c>
      <c r="BV146" s="91">
        <f>Data!BX94</f>
        <v>68370.055558894237</v>
      </c>
      <c r="BW146" s="91">
        <f>Data!BY94</f>
        <v>68370.055558894237</v>
      </c>
      <c r="BX146" s="91">
        <f>Data!BZ94</f>
        <v>68370.055558894237</v>
      </c>
      <c r="BY146" s="91">
        <f>Data!CA94</f>
        <v>68370.055558894237</v>
      </c>
      <c r="BZ146" s="91">
        <f>Data!CB94</f>
        <v>71738.702567608183</v>
      </c>
      <c r="CA146" s="91">
        <f>Data!CC94</f>
        <v>71738.702567608183</v>
      </c>
      <c r="CB146" s="91">
        <f>Data!CD94</f>
        <v>71738.702567608183</v>
      </c>
      <c r="CC146" s="91">
        <f>Data!CE94</f>
        <v>71738.702567608183</v>
      </c>
      <c r="CD146" s="91">
        <f>Data!CF94</f>
        <v>71738.702567608183</v>
      </c>
      <c r="CE146" s="91">
        <f>Data!CG94</f>
        <v>71738.702567608183</v>
      </c>
      <c r="CF146" s="91">
        <f>Data!CH94</f>
        <v>71738.702567608183</v>
      </c>
      <c r="CG146" s="91">
        <f>Data!CI94</f>
        <v>71738.702567608183</v>
      </c>
      <c r="CH146" s="91">
        <f>Data!CJ94</f>
        <v>71738.702567608183</v>
      </c>
      <c r="CI146" s="91">
        <f>Data!CK94</f>
        <v>71738.702567608183</v>
      </c>
      <c r="CJ146" s="91">
        <f>Data!CL94</f>
        <v>71738.702567608183</v>
      </c>
      <c r="CK146" s="91">
        <f>Data!CM94</f>
        <v>71738.702567608183</v>
      </c>
      <c r="CL146" s="91">
        <f>Data!CN94</f>
        <v>75275.781926757816</v>
      </c>
      <c r="CM146" s="91">
        <f>Data!CO94</f>
        <v>75275.781926757816</v>
      </c>
      <c r="CN146" s="91">
        <f>Data!CP94</f>
        <v>75275.781926757816</v>
      </c>
      <c r="CO146" s="91">
        <f>Data!CQ94</f>
        <v>75275.781926757816</v>
      </c>
      <c r="CP146" s="91">
        <f>Data!CR94</f>
        <v>75275.781926757816</v>
      </c>
      <c r="CQ146" s="91">
        <f>Data!CS94</f>
        <v>75275.781926757816</v>
      </c>
      <c r="CR146" s="91">
        <f>Data!CT94</f>
        <v>75275.781926757816</v>
      </c>
      <c r="CS146" s="91">
        <f>Data!CU94</f>
        <v>75275.781926757816</v>
      </c>
      <c r="CT146" s="91">
        <f>Data!CV94</f>
        <v>75275.781926757816</v>
      </c>
      <c r="CU146" s="91">
        <f>Data!CW94</f>
        <v>75275.781926757816</v>
      </c>
      <c r="CV146" s="91">
        <f>Data!CX94</f>
        <v>75275.781926757816</v>
      </c>
      <c r="CW146" s="91">
        <f>Data!CY94</f>
        <v>75275.781926757816</v>
      </c>
      <c r="CX146" s="91">
        <f>Data!CZ94</f>
        <v>78989.715253864939</v>
      </c>
      <c r="CY146" s="91">
        <f>Data!DA94</f>
        <v>78989.715253864939</v>
      </c>
      <c r="CZ146" s="91">
        <f>Data!DB94</f>
        <v>78989.715253864939</v>
      </c>
      <c r="DA146" s="91">
        <f>Data!DC94</f>
        <v>78989.715253864939</v>
      </c>
      <c r="DB146" s="91">
        <f>Data!DD94</f>
        <v>78989.715253864939</v>
      </c>
      <c r="DC146" s="91">
        <f>Data!DE94</f>
        <v>78989.715253864939</v>
      </c>
      <c r="DD146" s="91">
        <f>Data!DF94</f>
        <v>78989.715253864939</v>
      </c>
      <c r="DE146" s="91">
        <f>Data!DG94</f>
        <v>78989.715253864939</v>
      </c>
      <c r="DF146" s="91">
        <f>Data!DH94</f>
        <v>78989.715253864939</v>
      </c>
      <c r="DG146" s="91">
        <f>Data!DI94</f>
        <v>78989.715253864939</v>
      </c>
      <c r="DH146" s="91">
        <f>Data!DJ94</f>
        <v>78989.715253864939</v>
      </c>
      <c r="DI146" s="91">
        <f>Data!DK94</f>
        <v>78989.715253864939</v>
      </c>
      <c r="DJ146" s="91">
        <f>Data!DL94</f>
        <v>82889.345247327423</v>
      </c>
      <c r="DK146" s="91">
        <f>Data!DM94</f>
        <v>82889.345247327423</v>
      </c>
      <c r="DL146" s="91">
        <f>Data!DN94</f>
        <v>82889.345247327423</v>
      </c>
      <c r="DM146" s="91">
        <f>Data!DO94</f>
        <v>82889.345247327423</v>
      </c>
      <c r="DN146" s="91">
        <f>Data!DP94</f>
        <v>82889.345247327423</v>
      </c>
      <c r="DO146" s="91">
        <f>Data!DQ94</f>
        <v>82889.345247327423</v>
      </c>
      <c r="DP146" s="91">
        <f>Data!DR94</f>
        <v>82889.345247327423</v>
      </c>
      <c r="DQ146" s="91">
        <f>Data!DS94</f>
        <v>82889.345247327423</v>
      </c>
      <c r="DR146" s="91">
        <f>Data!DT94</f>
        <v>82889.345247327423</v>
      </c>
      <c r="DS146" s="91">
        <f>Data!DU94</f>
        <v>82889.345247327423</v>
      </c>
      <c r="DT146" s="91">
        <f>Data!DV94</f>
        <v>82889.345247327423</v>
      </c>
      <c r="DU146" s="441">
        <f>Data!DW94</f>
        <v>82889.345247327423</v>
      </c>
      <c r="DV146" s="91"/>
    </row>
    <row r="147" spans="1:126" x14ac:dyDescent="0.3">
      <c r="A147" s="175"/>
      <c r="B147" s="628" t="str">
        <f>Data!D95</f>
        <v>Trainer</v>
      </c>
      <c r="C147" s="91"/>
      <c r="D147" s="91"/>
      <c r="E147" s="90">
        <f>Data!G95</f>
        <v>185880.55555555553</v>
      </c>
      <c r="F147" s="91">
        <f>Data!H95</f>
        <v>185880.55555555553</v>
      </c>
      <c r="G147" s="91">
        <f>Data!I95</f>
        <v>44611.333333333336</v>
      </c>
      <c r="H147" s="91">
        <f>Data!J95</f>
        <v>44611.333333333336</v>
      </c>
      <c r="I147" s="91">
        <f>Data!K95</f>
        <v>44611.333333333336</v>
      </c>
      <c r="J147" s="91">
        <f>Data!L95</f>
        <v>44611.333333333336</v>
      </c>
      <c r="K147" s="91">
        <f>Data!M95</f>
        <v>44611.333333333336</v>
      </c>
      <c r="L147" s="91">
        <f>Data!N95</f>
        <v>44611.333333333336</v>
      </c>
      <c r="M147" s="91">
        <f>Data!O95</f>
        <v>44611.333333333336</v>
      </c>
      <c r="N147" s="91">
        <f>Data!P95</f>
        <v>44611.333333333336</v>
      </c>
      <c r="O147" s="91">
        <f>Data!Q95</f>
        <v>44611.333333333336</v>
      </c>
      <c r="P147" s="91">
        <f>Data!R95</f>
        <v>44611.333333333336</v>
      </c>
      <c r="Q147" s="91">
        <f>Data!S95</f>
        <v>44611.333333333336</v>
      </c>
      <c r="R147" s="284">
        <f>Data!T95</f>
        <v>46807.333333333336</v>
      </c>
      <c r="S147" s="91">
        <f>Data!U95</f>
        <v>46807.333333333336</v>
      </c>
      <c r="T147" s="91">
        <f>Data!V95</f>
        <v>46807.333333333336</v>
      </c>
      <c r="U147" s="91">
        <f>Data!W95</f>
        <v>46807.333333333336</v>
      </c>
      <c r="V147" s="91">
        <f>Data!X95</f>
        <v>46807.333333333336</v>
      </c>
      <c r="W147" s="91">
        <f>Data!Y95</f>
        <v>46807.333333333336</v>
      </c>
      <c r="X147" s="91">
        <f>Data!Z95</f>
        <v>46807.333333333336</v>
      </c>
      <c r="Y147" s="91">
        <f>Data!AA95</f>
        <v>46807.333333333336</v>
      </c>
      <c r="Z147" s="91">
        <f>Data!AB95</f>
        <v>46807.333333333336</v>
      </c>
      <c r="AA147" s="91">
        <f>Data!AC95</f>
        <v>46807.333333333336</v>
      </c>
      <c r="AB147" s="91">
        <f>Data!AD95</f>
        <v>46807.333333333336</v>
      </c>
      <c r="AC147" s="91">
        <f>Data!AE95</f>
        <v>46807.333333333336</v>
      </c>
      <c r="AD147" s="284">
        <f>Data!AF95</f>
        <v>49113.133333333331</v>
      </c>
      <c r="AE147" s="91">
        <f>Data!AG95</f>
        <v>49113.133333333331</v>
      </c>
      <c r="AF147" s="91">
        <f>Data!AH95</f>
        <v>49113.133333333331</v>
      </c>
      <c r="AG147" s="91">
        <f>Data!AI95</f>
        <v>49113.133333333331</v>
      </c>
      <c r="AH147" s="91">
        <f>Data!AJ95</f>
        <v>49113.133333333331</v>
      </c>
      <c r="AI147" s="91">
        <f>Data!AK95</f>
        <v>49113.133333333331</v>
      </c>
      <c r="AJ147" s="91">
        <f>Data!AL95</f>
        <v>49113.133333333331</v>
      </c>
      <c r="AK147" s="91">
        <f>Data!AM95</f>
        <v>49113.133333333331</v>
      </c>
      <c r="AL147" s="91">
        <f>Data!AN95</f>
        <v>49113.133333333331</v>
      </c>
      <c r="AM147" s="91">
        <f>Data!AO95</f>
        <v>49113.133333333331</v>
      </c>
      <c r="AN147" s="91">
        <f>Data!AP95</f>
        <v>49113.133333333331</v>
      </c>
      <c r="AO147" s="91">
        <f>Data!AQ95</f>
        <v>49113.133333333331</v>
      </c>
      <c r="AP147" s="284">
        <f>Data!AR95</f>
        <v>51534.223333333335</v>
      </c>
      <c r="AQ147" s="91">
        <f>Data!AS95</f>
        <v>51534.223333333335</v>
      </c>
      <c r="AR147" s="91">
        <f>Data!AT95</f>
        <v>51534.223333333335</v>
      </c>
      <c r="AS147" s="91">
        <f>Data!AU95</f>
        <v>51534.223333333335</v>
      </c>
      <c r="AT147" s="91">
        <f>Data!AV95</f>
        <v>51534.223333333335</v>
      </c>
      <c r="AU147" s="91">
        <f>Data!AW95</f>
        <v>51534.223333333335</v>
      </c>
      <c r="AV147" s="91">
        <f>Data!AX95</f>
        <v>51534.223333333335</v>
      </c>
      <c r="AW147" s="91">
        <f>Data!AY95</f>
        <v>51534.223333333335</v>
      </c>
      <c r="AX147" s="91">
        <f>Data!AZ95</f>
        <v>51534.223333333335</v>
      </c>
      <c r="AY147" s="91">
        <f>Data!BA95</f>
        <v>51534.223333333335</v>
      </c>
      <c r="AZ147" s="91">
        <f>Data!BB95</f>
        <v>51534.223333333335</v>
      </c>
      <c r="BA147" s="91">
        <f>Data!BC95</f>
        <v>51534.223333333335</v>
      </c>
      <c r="BB147" s="284">
        <f>Data!BD95</f>
        <v>54076.367833333337</v>
      </c>
      <c r="BC147" s="91">
        <f>Data!BE95</f>
        <v>54076.367833333337</v>
      </c>
      <c r="BD147" s="91">
        <f>Data!BF95</f>
        <v>54076.367833333337</v>
      </c>
      <c r="BE147" s="91">
        <f>Data!BG95</f>
        <v>54076.367833333337</v>
      </c>
      <c r="BF147" s="91">
        <f>Data!BH95</f>
        <v>54076.367833333337</v>
      </c>
      <c r="BG147" s="91">
        <f>Data!BI95</f>
        <v>54076.367833333337</v>
      </c>
      <c r="BH147" s="91">
        <f>Data!BJ95</f>
        <v>54076.367833333337</v>
      </c>
      <c r="BI147" s="91">
        <f>Data!BK95</f>
        <v>54076.367833333337</v>
      </c>
      <c r="BJ147" s="91">
        <f>Data!BL95</f>
        <v>54076.367833333337</v>
      </c>
      <c r="BK147" s="91">
        <f>Data!BM95</f>
        <v>54076.367833333337</v>
      </c>
      <c r="BL147" s="91">
        <f>Data!BN95</f>
        <v>54076.367833333337</v>
      </c>
      <c r="BM147" s="91">
        <f>Data!BO95</f>
        <v>54076.367833333337</v>
      </c>
      <c r="BN147" s="91">
        <f>Data!BP95</f>
        <v>56745.619558333332</v>
      </c>
      <c r="BO147" s="91">
        <f>Data!BQ95</f>
        <v>56745.619558333332</v>
      </c>
      <c r="BP147" s="91">
        <f>Data!BR95</f>
        <v>56745.619558333332</v>
      </c>
      <c r="BQ147" s="91">
        <f>Data!BS95</f>
        <v>56745.619558333332</v>
      </c>
      <c r="BR147" s="91">
        <f>Data!BT95</f>
        <v>56745.619558333332</v>
      </c>
      <c r="BS147" s="91">
        <f>Data!BU95</f>
        <v>56745.619558333332</v>
      </c>
      <c r="BT147" s="91">
        <f>Data!BV95</f>
        <v>56745.619558333332</v>
      </c>
      <c r="BU147" s="91">
        <f>Data!BW95</f>
        <v>56745.619558333332</v>
      </c>
      <c r="BV147" s="91">
        <f>Data!BX95</f>
        <v>56745.619558333332</v>
      </c>
      <c r="BW147" s="91">
        <f>Data!BY95</f>
        <v>56745.619558333332</v>
      </c>
      <c r="BX147" s="91">
        <f>Data!BZ95</f>
        <v>56745.619558333332</v>
      </c>
      <c r="BY147" s="91">
        <f>Data!CA95</f>
        <v>56745.619558333332</v>
      </c>
      <c r="BZ147" s="91">
        <f>Data!CB95</f>
        <v>59548.33386958333</v>
      </c>
      <c r="CA147" s="91">
        <f>Data!CC95</f>
        <v>59548.33386958333</v>
      </c>
      <c r="CB147" s="91">
        <f>Data!CD95</f>
        <v>59548.33386958333</v>
      </c>
      <c r="CC147" s="91">
        <f>Data!CE95</f>
        <v>59548.33386958333</v>
      </c>
      <c r="CD147" s="91">
        <f>Data!CF95</f>
        <v>59548.33386958333</v>
      </c>
      <c r="CE147" s="91">
        <f>Data!CG95</f>
        <v>59548.33386958333</v>
      </c>
      <c r="CF147" s="91">
        <f>Data!CH95</f>
        <v>59548.33386958333</v>
      </c>
      <c r="CG147" s="91">
        <f>Data!CI95</f>
        <v>59548.33386958333</v>
      </c>
      <c r="CH147" s="91">
        <f>Data!CJ95</f>
        <v>59548.33386958333</v>
      </c>
      <c r="CI147" s="91">
        <f>Data!CK95</f>
        <v>59548.33386958333</v>
      </c>
      <c r="CJ147" s="91">
        <f>Data!CL95</f>
        <v>59548.33386958333</v>
      </c>
      <c r="CK147" s="91">
        <f>Data!CM95</f>
        <v>59548.33386958333</v>
      </c>
      <c r="CL147" s="91">
        <f>Data!CN95</f>
        <v>62491.183896395836</v>
      </c>
      <c r="CM147" s="91">
        <f>Data!CO95</f>
        <v>62491.183896395836</v>
      </c>
      <c r="CN147" s="91">
        <f>Data!CP95</f>
        <v>62491.183896395836</v>
      </c>
      <c r="CO147" s="91">
        <f>Data!CQ95</f>
        <v>62491.183896395836</v>
      </c>
      <c r="CP147" s="91">
        <f>Data!CR95</f>
        <v>62491.183896395836</v>
      </c>
      <c r="CQ147" s="91">
        <f>Data!CS95</f>
        <v>62491.183896395836</v>
      </c>
      <c r="CR147" s="91">
        <f>Data!CT95</f>
        <v>62491.183896395836</v>
      </c>
      <c r="CS147" s="91">
        <f>Data!CU95</f>
        <v>62491.183896395836</v>
      </c>
      <c r="CT147" s="91">
        <f>Data!CV95</f>
        <v>62491.183896395836</v>
      </c>
      <c r="CU147" s="91">
        <f>Data!CW95</f>
        <v>62491.183896395836</v>
      </c>
      <c r="CV147" s="91">
        <f>Data!CX95</f>
        <v>62491.183896395836</v>
      </c>
      <c r="CW147" s="91">
        <f>Data!CY95</f>
        <v>62491.183896395836</v>
      </c>
      <c r="CX147" s="91">
        <f>Data!CZ95</f>
        <v>65581.176424548976</v>
      </c>
      <c r="CY147" s="91">
        <f>Data!DA95</f>
        <v>65581.176424548976</v>
      </c>
      <c r="CZ147" s="91">
        <f>Data!DB95</f>
        <v>65581.176424548976</v>
      </c>
      <c r="DA147" s="91">
        <f>Data!DC95</f>
        <v>65581.176424548976</v>
      </c>
      <c r="DB147" s="91">
        <f>Data!DD95</f>
        <v>65581.176424548976</v>
      </c>
      <c r="DC147" s="91">
        <f>Data!DE95</f>
        <v>65581.176424548976</v>
      </c>
      <c r="DD147" s="91">
        <f>Data!DF95</f>
        <v>65581.176424548976</v>
      </c>
      <c r="DE147" s="91">
        <f>Data!DG95</f>
        <v>65581.176424548976</v>
      </c>
      <c r="DF147" s="91">
        <f>Data!DH95</f>
        <v>65581.176424548976</v>
      </c>
      <c r="DG147" s="91">
        <f>Data!DI95</f>
        <v>65581.176424548976</v>
      </c>
      <c r="DH147" s="91">
        <f>Data!DJ95</f>
        <v>65581.176424548976</v>
      </c>
      <c r="DI147" s="91">
        <f>Data!DK95</f>
        <v>65581.176424548976</v>
      </c>
      <c r="DJ147" s="91">
        <f>Data!DL95</f>
        <v>68825.668579109755</v>
      </c>
      <c r="DK147" s="91">
        <f>Data!DM95</f>
        <v>68825.668579109755</v>
      </c>
      <c r="DL147" s="91">
        <f>Data!DN95</f>
        <v>68825.668579109755</v>
      </c>
      <c r="DM147" s="91">
        <f>Data!DO95</f>
        <v>68825.668579109755</v>
      </c>
      <c r="DN147" s="91">
        <f>Data!DP95</f>
        <v>68825.668579109755</v>
      </c>
      <c r="DO147" s="91">
        <f>Data!DQ95</f>
        <v>68825.668579109755</v>
      </c>
      <c r="DP147" s="91">
        <f>Data!DR95</f>
        <v>68825.668579109755</v>
      </c>
      <c r="DQ147" s="91">
        <f>Data!DS95</f>
        <v>68825.668579109755</v>
      </c>
      <c r="DR147" s="91">
        <f>Data!DT95</f>
        <v>68825.668579109755</v>
      </c>
      <c r="DS147" s="91">
        <f>Data!DU95</f>
        <v>68825.668579109755</v>
      </c>
      <c r="DT147" s="91">
        <f>Data!DV95</f>
        <v>68825.668579109755</v>
      </c>
      <c r="DU147" s="441">
        <f>Data!DW95</f>
        <v>68825.668579109755</v>
      </c>
      <c r="DV147" s="91"/>
    </row>
    <row r="148" spans="1:126" x14ac:dyDescent="0.3">
      <c r="A148" s="175"/>
      <c r="B148" s="628" t="str">
        <f>Data!D96</f>
        <v>RTA/WFM</v>
      </c>
      <c r="C148" s="91"/>
      <c r="D148" s="91"/>
      <c r="E148" s="90">
        <f>Data!G96</f>
        <v>27968.499999999993</v>
      </c>
      <c r="F148" s="91">
        <f>Data!H96</f>
        <v>27968.499999999993</v>
      </c>
      <c r="G148" s="91">
        <f>Data!I96</f>
        <v>27968.5</v>
      </c>
      <c r="H148" s="91">
        <f>Data!J96</f>
        <v>27968.5</v>
      </c>
      <c r="I148" s="91">
        <f>Data!K96</f>
        <v>27968.5</v>
      </c>
      <c r="J148" s="91">
        <f>Data!L96</f>
        <v>27968.5</v>
      </c>
      <c r="K148" s="91">
        <f>Data!M96</f>
        <v>27968.5</v>
      </c>
      <c r="L148" s="91">
        <f>Data!N96</f>
        <v>27968.5</v>
      </c>
      <c r="M148" s="91">
        <f>Data!O96</f>
        <v>27968.5</v>
      </c>
      <c r="N148" s="91">
        <f>Data!P96</f>
        <v>27968.5</v>
      </c>
      <c r="O148" s="91">
        <f>Data!Q96</f>
        <v>27968.5</v>
      </c>
      <c r="P148" s="91">
        <f>Data!R96</f>
        <v>27968.5</v>
      </c>
      <c r="Q148" s="91">
        <f>Data!S96</f>
        <v>27968.5</v>
      </c>
      <c r="R148" s="284">
        <f>Data!T96</f>
        <v>29341</v>
      </c>
      <c r="S148" s="91">
        <f>Data!U96</f>
        <v>29341</v>
      </c>
      <c r="T148" s="91">
        <f>Data!V96</f>
        <v>29341</v>
      </c>
      <c r="U148" s="91">
        <f>Data!W96</f>
        <v>29341</v>
      </c>
      <c r="V148" s="91">
        <f>Data!X96</f>
        <v>29341</v>
      </c>
      <c r="W148" s="91">
        <f>Data!Y96</f>
        <v>29341</v>
      </c>
      <c r="X148" s="91">
        <f>Data!Z96</f>
        <v>29341</v>
      </c>
      <c r="Y148" s="91">
        <f>Data!AA96</f>
        <v>29341</v>
      </c>
      <c r="Z148" s="91">
        <f>Data!AB96</f>
        <v>29341</v>
      </c>
      <c r="AA148" s="91">
        <f>Data!AC96</f>
        <v>29341</v>
      </c>
      <c r="AB148" s="91">
        <f>Data!AD96</f>
        <v>29341</v>
      </c>
      <c r="AC148" s="91">
        <f>Data!AE96</f>
        <v>29341</v>
      </c>
      <c r="AD148" s="284">
        <f>Data!AF96</f>
        <v>30782.125</v>
      </c>
      <c r="AE148" s="91">
        <f>Data!AG96</f>
        <v>30782.125</v>
      </c>
      <c r="AF148" s="91">
        <f>Data!AH96</f>
        <v>30782.125</v>
      </c>
      <c r="AG148" s="91">
        <f>Data!AI96</f>
        <v>30782.125</v>
      </c>
      <c r="AH148" s="91">
        <f>Data!AJ96</f>
        <v>30782.125</v>
      </c>
      <c r="AI148" s="91">
        <f>Data!AK96</f>
        <v>30782.125</v>
      </c>
      <c r="AJ148" s="91">
        <f>Data!AL96</f>
        <v>30782.125</v>
      </c>
      <c r="AK148" s="91">
        <f>Data!AM96</f>
        <v>30782.125</v>
      </c>
      <c r="AL148" s="91">
        <f>Data!AN96</f>
        <v>30782.125</v>
      </c>
      <c r="AM148" s="91">
        <f>Data!AO96</f>
        <v>30782.125</v>
      </c>
      <c r="AN148" s="91">
        <f>Data!AP96</f>
        <v>30782.125</v>
      </c>
      <c r="AO148" s="91">
        <f>Data!AQ96</f>
        <v>30782.125</v>
      </c>
      <c r="AP148" s="284">
        <f>Data!AR96</f>
        <v>32295.306249999998</v>
      </c>
      <c r="AQ148" s="91">
        <f>Data!AS96</f>
        <v>32295.306249999998</v>
      </c>
      <c r="AR148" s="91">
        <f>Data!AT96</f>
        <v>32295.306249999998</v>
      </c>
      <c r="AS148" s="91">
        <f>Data!AU96</f>
        <v>32295.306249999998</v>
      </c>
      <c r="AT148" s="91">
        <f>Data!AV96</f>
        <v>32295.306249999998</v>
      </c>
      <c r="AU148" s="91">
        <f>Data!AW96</f>
        <v>32295.306249999998</v>
      </c>
      <c r="AV148" s="91">
        <f>Data!AX96</f>
        <v>32295.306249999998</v>
      </c>
      <c r="AW148" s="91">
        <f>Data!AY96</f>
        <v>32295.306249999998</v>
      </c>
      <c r="AX148" s="91">
        <f>Data!AZ96</f>
        <v>32295.306249999998</v>
      </c>
      <c r="AY148" s="91">
        <f>Data!BA96</f>
        <v>32295.306249999998</v>
      </c>
      <c r="AZ148" s="91">
        <f>Data!BB96</f>
        <v>32295.306249999998</v>
      </c>
      <c r="BA148" s="91">
        <f>Data!BC96</f>
        <v>32295.306249999998</v>
      </c>
      <c r="BB148" s="284">
        <f>Data!BD96</f>
        <v>33884.146562499998</v>
      </c>
      <c r="BC148" s="91">
        <f>Data!BE96</f>
        <v>33884.146562499998</v>
      </c>
      <c r="BD148" s="91">
        <f>Data!BF96</f>
        <v>33884.146562499998</v>
      </c>
      <c r="BE148" s="91">
        <f>Data!BG96</f>
        <v>33884.146562499998</v>
      </c>
      <c r="BF148" s="91">
        <f>Data!BH96</f>
        <v>33884.146562499998</v>
      </c>
      <c r="BG148" s="91">
        <f>Data!BI96</f>
        <v>33884.146562499998</v>
      </c>
      <c r="BH148" s="91">
        <f>Data!BJ96</f>
        <v>33884.146562499998</v>
      </c>
      <c r="BI148" s="91">
        <f>Data!BK96</f>
        <v>33884.146562499998</v>
      </c>
      <c r="BJ148" s="91">
        <f>Data!BL96</f>
        <v>33884.146562499998</v>
      </c>
      <c r="BK148" s="91">
        <f>Data!BM96</f>
        <v>33884.146562499998</v>
      </c>
      <c r="BL148" s="91">
        <f>Data!BN96</f>
        <v>33884.146562499998</v>
      </c>
      <c r="BM148" s="91">
        <f>Data!BO96</f>
        <v>33884.146562499998</v>
      </c>
      <c r="BN148" s="91">
        <f>Data!BP96</f>
        <v>35552.428890625</v>
      </c>
      <c r="BO148" s="91">
        <f>Data!BQ96</f>
        <v>35552.428890625</v>
      </c>
      <c r="BP148" s="91">
        <f>Data!BR96</f>
        <v>35552.428890625</v>
      </c>
      <c r="BQ148" s="91">
        <f>Data!BS96</f>
        <v>35552.428890625</v>
      </c>
      <c r="BR148" s="91">
        <f>Data!BT96</f>
        <v>35552.428890625</v>
      </c>
      <c r="BS148" s="91">
        <f>Data!BU96</f>
        <v>35552.428890625</v>
      </c>
      <c r="BT148" s="91">
        <f>Data!BV96</f>
        <v>35552.428890625</v>
      </c>
      <c r="BU148" s="91">
        <f>Data!BW96</f>
        <v>35552.428890625</v>
      </c>
      <c r="BV148" s="91">
        <f>Data!BX96</f>
        <v>35552.428890625</v>
      </c>
      <c r="BW148" s="91">
        <f>Data!BY96</f>
        <v>35552.428890625</v>
      </c>
      <c r="BX148" s="91">
        <f>Data!BZ96</f>
        <v>35552.428890625</v>
      </c>
      <c r="BY148" s="91">
        <f>Data!CA96</f>
        <v>35552.428890625</v>
      </c>
      <c r="BZ148" s="91">
        <f>Data!CB96</f>
        <v>37304.125335156248</v>
      </c>
      <c r="CA148" s="91">
        <f>Data!CC96</f>
        <v>37304.125335156248</v>
      </c>
      <c r="CB148" s="91">
        <f>Data!CD96</f>
        <v>37304.125335156248</v>
      </c>
      <c r="CC148" s="91">
        <f>Data!CE96</f>
        <v>37304.125335156248</v>
      </c>
      <c r="CD148" s="91">
        <f>Data!CF96</f>
        <v>37304.125335156248</v>
      </c>
      <c r="CE148" s="91">
        <f>Data!CG96</f>
        <v>37304.125335156248</v>
      </c>
      <c r="CF148" s="91">
        <f>Data!CH96</f>
        <v>37304.125335156248</v>
      </c>
      <c r="CG148" s="91">
        <f>Data!CI96</f>
        <v>37304.125335156248</v>
      </c>
      <c r="CH148" s="91">
        <f>Data!CJ96</f>
        <v>37304.125335156248</v>
      </c>
      <c r="CI148" s="91">
        <f>Data!CK96</f>
        <v>37304.125335156248</v>
      </c>
      <c r="CJ148" s="91">
        <f>Data!CL96</f>
        <v>37304.125335156248</v>
      </c>
      <c r="CK148" s="91">
        <f>Data!CM96</f>
        <v>37304.125335156248</v>
      </c>
      <c r="CL148" s="91">
        <f>Data!CN96</f>
        <v>39143.406601914059</v>
      </c>
      <c r="CM148" s="91">
        <f>Data!CO96</f>
        <v>39143.406601914059</v>
      </c>
      <c r="CN148" s="91">
        <f>Data!CP96</f>
        <v>39143.406601914059</v>
      </c>
      <c r="CO148" s="91">
        <f>Data!CQ96</f>
        <v>39143.406601914059</v>
      </c>
      <c r="CP148" s="91">
        <f>Data!CR96</f>
        <v>39143.406601914059</v>
      </c>
      <c r="CQ148" s="91">
        <f>Data!CS96</f>
        <v>39143.406601914059</v>
      </c>
      <c r="CR148" s="91">
        <f>Data!CT96</f>
        <v>39143.406601914059</v>
      </c>
      <c r="CS148" s="91">
        <f>Data!CU96</f>
        <v>39143.406601914059</v>
      </c>
      <c r="CT148" s="91">
        <f>Data!CV96</f>
        <v>39143.406601914059</v>
      </c>
      <c r="CU148" s="91">
        <f>Data!CW96</f>
        <v>39143.406601914059</v>
      </c>
      <c r="CV148" s="91">
        <f>Data!CX96</f>
        <v>39143.406601914059</v>
      </c>
      <c r="CW148" s="91">
        <f>Data!CY96</f>
        <v>39143.406601914059</v>
      </c>
      <c r="CX148" s="91">
        <f>Data!CZ96</f>
        <v>41074.651932009765</v>
      </c>
      <c r="CY148" s="91">
        <f>Data!DA96</f>
        <v>41074.651932009765</v>
      </c>
      <c r="CZ148" s="91">
        <f>Data!DB96</f>
        <v>41074.651932009765</v>
      </c>
      <c r="DA148" s="91">
        <f>Data!DC96</f>
        <v>41074.651932009765</v>
      </c>
      <c r="DB148" s="91">
        <f>Data!DD96</f>
        <v>41074.651932009765</v>
      </c>
      <c r="DC148" s="91">
        <f>Data!DE96</f>
        <v>41074.651932009765</v>
      </c>
      <c r="DD148" s="91">
        <f>Data!DF96</f>
        <v>41074.651932009765</v>
      </c>
      <c r="DE148" s="91">
        <f>Data!DG96</f>
        <v>41074.651932009765</v>
      </c>
      <c r="DF148" s="91">
        <f>Data!DH96</f>
        <v>41074.651932009765</v>
      </c>
      <c r="DG148" s="91">
        <f>Data!DI96</f>
        <v>41074.651932009765</v>
      </c>
      <c r="DH148" s="91">
        <f>Data!DJ96</f>
        <v>41074.651932009765</v>
      </c>
      <c r="DI148" s="91">
        <f>Data!DK96</f>
        <v>41074.651932009765</v>
      </c>
      <c r="DJ148" s="91">
        <f>Data!DL96</f>
        <v>43102.459528610256</v>
      </c>
      <c r="DK148" s="91">
        <f>Data!DM96</f>
        <v>43102.459528610256</v>
      </c>
      <c r="DL148" s="91">
        <f>Data!DN96</f>
        <v>43102.459528610256</v>
      </c>
      <c r="DM148" s="91">
        <f>Data!DO96</f>
        <v>43102.459528610256</v>
      </c>
      <c r="DN148" s="91">
        <f>Data!DP96</f>
        <v>43102.459528610256</v>
      </c>
      <c r="DO148" s="91">
        <f>Data!DQ96</f>
        <v>43102.459528610256</v>
      </c>
      <c r="DP148" s="91">
        <f>Data!DR96</f>
        <v>43102.459528610256</v>
      </c>
      <c r="DQ148" s="91">
        <f>Data!DS96</f>
        <v>43102.459528610256</v>
      </c>
      <c r="DR148" s="91">
        <f>Data!DT96</f>
        <v>43102.459528610256</v>
      </c>
      <c r="DS148" s="91">
        <f>Data!DU96</f>
        <v>43102.459528610256</v>
      </c>
      <c r="DT148" s="91">
        <f>Data!DV96</f>
        <v>43102.459528610256</v>
      </c>
      <c r="DU148" s="441">
        <f>Data!DW96</f>
        <v>43102.459528610256</v>
      </c>
      <c r="DV148" s="91"/>
    </row>
    <row r="149" spans="1:126" x14ac:dyDescent="0.3">
      <c r="A149" s="175"/>
      <c r="B149" s="628" t="str">
        <f>Data!D97</f>
        <v>Transition Resource</v>
      </c>
      <c r="C149" s="91"/>
      <c r="D149" s="91"/>
      <c r="E149" s="90">
        <f>Data!G97</f>
        <v>105743.49999999999</v>
      </c>
      <c r="F149" s="91">
        <f>Data!H97</f>
        <v>105743.49999999999</v>
      </c>
      <c r="G149" s="91">
        <f>Data!I97</f>
        <v>105743.5</v>
      </c>
      <c r="H149" s="91">
        <f>Data!J97</f>
        <v>105743.5</v>
      </c>
      <c r="I149" s="91">
        <f>Data!K97</f>
        <v>105743.5</v>
      </c>
      <c r="J149" s="91">
        <f>Data!L97</f>
        <v>105743.5</v>
      </c>
      <c r="K149" s="91">
        <f>Data!M97</f>
        <v>105743.5</v>
      </c>
      <c r="L149" s="91">
        <f>Data!N97</f>
        <v>1.0574350000000001</v>
      </c>
      <c r="M149" s="91">
        <f>Data!O97</f>
        <v>1.0574350000000001</v>
      </c>
      <c r="N149" s="91">
        <f>Data!P97</f>
        <v>1.0574350000000001</v>
      </c>
      <c r="O149" s="91">
        <f>Data!Q97</f>
        <v>1.0574350000000001</v>
      </c>
      <c r="P149" s="91">
        <f>Data!R97</f>
        <v>1.0574350000000001</v>
      </c>
      <c r="Q149" s="91">
        <f>Data!S97</f>
        <v>1.0574350000000001</v>
      </c>
      <c r="R149" s="284">
        <f>Data!T97</f>
        <v>1.1100474999999999</v>
      </c>
      <c r="S149" s="91">
        <f>Data!U97</f>
        <v>1.1100474999999999</v>
      </c>
      <c r="T149" s="91">
        <f>Data!V97</f>
        <v>1.1100474999999999</v>
      </c>
      <c r="U149" s="91">
        <f>Data!W97</f>
        <v>1.1100474999999999</v>
      </c>
      <c r="V149" s="91">
        <f>Data!X97</f>
        <v>1.1100474999999999</v>
      </c>
      <c r="W149" s="91">
        <f>Data!Y97</f>
        <v>1.1100474999999999</v>
      </c>
      <c r="X149" s="91">
        <f>Data!Z97</f>
        <v>1.1100474999999999</v>
      </c>
      <c r="Y149" s="91">
        <f>Data!AA97</f>
        <v>1.1100474999999999</v>
      </c>
      <c r="Z149" s="91">
        <f>Data!AB97</f>
        <v>1.1100474999999999</v>
      </c>
      <c r="AA149" s="91">
        <f>Data!AC97</f>
        <v>1.1100474999999999</v>
      </c>
      <c r="AB149" s="91">
        <f>Data!AD97</f>
        <v>1.1100474999999999</v>
      </c>
      <c r="AC149" s="91">
        <f>Data!AE97</f>
        <v>1.1100474999999999</v>
      </c>
      <c r="AD149" s="284">
        <f>Data!AF97</f>
        <v>1.1652906250000004</v>
      </c>
      <c r="AE149" s="91">
        <f>Data!AG97</f>
        <v>1.1652906250000004</v>
      </c>
      <c r="AF149" s="91">
        <f>Data!AH97</f>
        <v>1.1652906250000004</v>
      </c>
      <c r="AG149" s="91">
        <f>Data!AI97</f>
        <v>1.1652906250000004</v>
      </c>
      <c r="AH149" s="91">
        <f>Data!AJ97</f>
        <v>1.1652906250000004</v>
      </c>
      <c r="AI149" s="91">
        <f>Data!AK97</f>
        <v>1.1652906250000004</v>
      </c>
      <c r="AJ149" s="91">
        <f>Data!AL97</f>
        <v>1.1652906250000004</v>
      </c>
      <c r="AK149" s="91">
        <f>Data!AM97</f>
        <v>1.1652906250000004</v>
      </c>
      <c r="AL149" s="91">
        <f>Data!AN97</f>
        <v>1.1652906250000004</v>
      </c>
      <c r="AM149" s="91">
        <f>Data!AO97</f>
        <v>1.1652906250000004</v>
      </c>
      <c r="AN149" s="91">
        <f>Data!AP97</f>
        <v>1.1652906250000004</v>
      </c>
      <c r="AO149" s="91">
        <f>Data!AQ97</f>
        <v>1.1652906250000004</v>
      </c>
      <c r="AP149" s="284">
        <f>Data!AR97</f>
        <v>1.2232959062500004</v>
      </c>
      <c r="AQ149" s="91">
        <f>Data!AS97</f>
        <v>1.2232959062500004</v>
      </c>
      <c r="AR149" s="91">
        <f>Data!AT97</f>
        <v>1.2232959062500004</v>
      </c>
      <c r="AS149" s="91">
        <f>Data!AU97</f>
        <v>1.2232959062500004</v>
      </c>
      <c r="AT149" s="91">
        <f>Data!AV97</f>
        <v>1.2232959062500004</v>
      </c>
      <c r="AU149" s="91">
        <f>Data!AW97</f>
        <v>1.2232959062500004</v>
      </c>
      <c r="AV149" s="91">
        <f>Data!AX97</f>
        <v>1.2232959062500004</v>
      </c>
      <c r="AW149" s="91">
        <f>Data!AY97</f>
        <v>1.2232959062500004</v>
      </c>
      <c r="AX149" s="91">
        <f>Data!AZ97</f>
        <v>1.2232959062500004</v>
      </c>
      <c r="AY149" s="91">
        <f>Data!BA97</f>
        <v>1.2232959062500004</v>
      </c>
      <c r="AZ149" s="91">
        <f>Data!BB97</f>
        <v>1.2232959062500004</v>
      </c>
      <c r="BA149" s="91">
        <f>Data!BC97</f>
        <v>1.2232959062500004</v>
      </c>
      <c r="BB149" s="284">
        <f>Data!BD97</f>
        <v>1.2842014515625</v>
      </c>
      <c r="BC149" s="91">
        <f>Data!BE97</f>
        <v>1.2842014515625</v>
      </c>
      <c r="BD149" s="91">
        <f>Data!BF97</f>
        <v>1.2842014515625</v>
      </c>
      <c r="BE149" s="91">
        <f>Data!BG97</f>
        <v>1.2842014515625</v>
      </c>
      <c r="BF149" s="91">
        <f>Data!BH97</f>
        <v>1.2842014515625</v>
      </c>
      <c r="BG149" s="91">
        <f>Data!BI97</f>
        <v>1.2842014515625</v>
      </c>
      <c r="BH149" s="91">
        <f>Data!BJ97</f>
        <v>1.2842014515625</v>
      </c>
      <c r="BI149" s="91">
        <f>Data!BK97</f>
        <v>1.2842014515625</v>
      </c>
      <c r="BJ149" s="91">
        <f>Data!BL97</f>
        <v>1.2842014515625</v>
      </c>
      <c r="BK149" s="91">
        <f>Data!BM97</f>
        <v>1.2842014515625</v>
      </c>
      <c r="BL149" s="91">
        <f>Data!BN97</f>
        <v>1.2842014515625</v>
      </c>
      <c r="BM149" s="91">
        <f>Data!BO97</f>
        <v>1.2842014515625</v>
      </c>
      <c r="BN149" s="91">
        <f>Data!BP97</f>
        <v>1.3481522741406251</v>
      </c>
      <c r="BO149" s="91">
        <f>Data!BQ97</f>
        <v>1.3481522741406251</v>
      </c>
      <c r="BP149" s="91">
        <f>Data!BR97</f>
        <v>1.3481522741406251</v>
      </c>
      <c r="BQ149" s="91">
        <f>Data!BS97</f>
        <v>1.3481522741406251</v>
      </c>
      <c r="BR149" s="91">
        <f>Data!BT97</f>
        <v>1.3481522741406251</v>
      </c>
      <c r="BS149" s="91">
        <f>Data!BU97</f>
        <v>1.3481522741406251</v>
      </c>
      <c r="BT149" s="91">
        <f>Data!BV97</f>
        <v>1.3481522741406251</v>
      </c>
      <c r="BU149" s="91">
        <f>Data!BW97</f>
        <v>1.3481522741406251</v>
      </c>
      <c r="BV149" s="91">
        <f>Data!BX97</f>
        <v>1.3481522741406251</v>
      </c>
      <c r="BW149" s="91">
        <f>Data!BY97</f>
        <v>1.3481522741406251</v>
      </c>
      <c r="BX149" s="91">
        <f>Data!BZ97</f>
        <v>1.3481522741406251</v>
      </c>
      <c r="BY149" s="91">
        <f>Data!CA97</f>
        <v>1.3481522741406251</v>
      </c>
      <c r="BZ149" s="91">
        <f>Data!CB97</f>
        <v>1.4153006378476567</v>
      </c>
      <c r="CA149" s="91">
        <f>Data!CC97</f>
        <v>1.4153006378476567</v>
      </c>
      <c r="CB149" s="91">
        <f>Data!CD97</f>
        <v>1.4153006378476567</v>
      </c>
      <c r="CC149" s="91">
        <f>Data!CE97</f>
        <v>1.4153006378476567</v>
      </c>
      <c r="CD149" s="91">
        <f>Data!CF97</f>
        <v>1.4153006378476567</v>
      </c>
      <c r="CE149" s="91">
        <f>Data!CG97</f>
        <v>1.4153006378476567</v>
      </c>
      <c r="CF149" s="91">
        <f>Data!CH97</f>
        <v>1.4153006378476567</v>
      </c>
      <c r="CG149" s="91">
        <f>Data!CI97</f>
        <v>1.4153006378476567</v>
      </c>
      <c r="CH149" s="91">
        <f>Data!CJ97</f>
        <v>1.4153006378476567</v>
      </c>
      <c r="CI149" s="91">
        <f>Data!CK97</f>
        <v>1.4153006378476567</v>
      </c>
      <c r="CJ149" s="91">
        <f>Data!CL97</f>
        <v>1.4153006378476567</v>
      </c>
      <c r="CK149" s="91">
        <f>Data!CM97</f>
        <v>1.4153006378476567</v>
      </c>
      <c r="CL149" s="91">
        <f>Data!CN97</f>
        <v>1.4858064197400396</v>
      </c>
      <c r="CM149" s="91">
        <f>Data!CO97</f>
        <v>1.4858064197400396</v>
      </c>
      <c r="CN149" s="91">
        <f>Data!CP97</f>
        <v>1.4858064197400396</v>
      </c>
      <c r="CO149" s="91">
        <f>Data!CQ97</f>
        <v>1.4858064197400396</v>
      </c>
      <c r="CP149" s="91">
        <f>Data!CR97</f>
        <v>1.4858064197400396</v>
      </c>
      <c r="CQ149" s="91">
        <f>Data!CS97</f>
        <v>1.4858064197400396</v>
      </c>
      <c r="CR149" s="91">
        <f>Data!CT97</f>
        <v>1.4858064197400396</v>
      </c>
      <c r="CS149" s="91">
        <f>Data!CU97</f>
        <v>1.4858064197400396</v>
      </c>
      <c r="CT149" s="91">
        <f>Data!CV97</f>
        <v>1.4858064197400396</v>
      </c>
      <c r="CU149" s="91">
        <f>Data!CW97</f>
        <v>1.4858064197400396</v>
      </c>
      <c r="CV149" s="91">
        <f>Data!CX97</f>
        <v>1.4858064197400396</v>
      </c>
      <c r="CW149" s="91">
        <f>Data!CY97</f>
        <v>1.4858064197400396</v>
      </c>
      <c r="CX149" s="91">
        <f>Data!CZ97</f>
        <v>1.5598374907270416</v>
      </c>
      <c r="CY149" s="91">
        <f>Data!DA97</f>
        <v>1.5598374907270416</v>
      </c>
      <c r="CZ149" s="91">
        <f>Data!DB97</f>
        <v>1.5598374907270416</v>
      </c>
      <c r="DA149" s="91">
        <f>Data!DC97</f>
        <v>1.5598374907270416</v>
      </c>
      <c r="DB149" s="91">
        <f>Data!DD97</f>
        <v>1.5598374907270416</v>
      </c>
      <c r="DC149" s="91">
        <f>Data!DE97</f>
        <v>1.5598374907270416</v>
      </c>
      <c r="DD149" s="91">
        <f>Data!DF97</f>
        <v>1.5598374907270416</v>
      </c>
      <c r="DE149" s="91">
        <f>Data!DG97</f>
        <v>1.5598374907270416</v>
      </c>
      <c r="DF149" s="91">
        <f>Data!DH97</f>
        <v>1.5598374907270416</v>
      </c>
      <c r="DG149" s="91">
        <f>Data!DI97</f>
        <v>1.5598374907270416</v>
      </c>
      <c r="DH149" s="91">
        <f>Data!DJ97</f>
        <v>1.5598374907270416</v>
      </c>
      <c r="DI149" s="91">
        <f>Data!DK97</f>
        <v>1.5598374907270416</v>
      </c>
      <c r="DJ149" s="91">
        <f>Data!DL97</f>
        <v>1.6375701152633937</v>
      </c>
      <c r="DK149" s="91">
        <f>Data!DM97</f>
        <v>1.6375701152633937</v>
      </c>
      <c r="DL149" s="91">
        <f>Data!DN97</f>
        <v>1.6375701152633937</v>
      </c>
      <c r="DM149" s="91">
        <f>Data!DO97</f>
        <v>1.6375701152633937</v>
      </c>
      <c r="DN149" s="91">
        <f>Data!DP97</f>
        <v>1.6375701152633937</v>
      </c>
      <c r="DO149" s="91">
        <f>Data!DQ97</f>
        <v>1.6375701152633937</v>
      </c>
      <c r="DP149" s="91">
        <f>Data!DR97</f>
        <v>1.6375701152633937</v>
      </c>
      <c r="DQ149" s="91">
        <f>Data!DS97</f>
        <v>1.6375701152633937</v>
      </c>
      <c r="DR149" s="91">
        <f>Data!DT97</f>
        <v>1.6375701152633937</v>
      </c>
      <c r="DS149" s="91">
        <f>Data!DU97</f>
        <v>1.6375701152633937</v>
      </c>
      <c r="DT149" s="91">
        <f>Data!DV97</f>
        <v>1.6375701152633937</v>
      </c>
      <c r="DU149" s="441">
        <f>Data!DW97</f>
        <v>1.6375701152633937</v>
      </c>
      <c r="DV149" s="91"/>
    </row>
    <row r="150" spans="1:126" x14ac:dyDescent="0.3">
      <c r="A150" s="175"/>
      <c r="B150" s="628" t="str">
        <f>Data!D98</f>
        <v>PEx Resource</v>
      </c>
      <c r="C150" s="91"/>
      <c r="D150" s="91"/>
      <c r="E150" s="90">
        <f>Data!G98</f>
        <v>27579.624999999993</v>
      </c>
      <c r="F150" s="91">
        <f>Data!H98</f>
        <v>27579.624999999993</v>
      </c>
      <c r="G150" s="91">
        <f>Data!I98</f>
        <v>27579.625</v>
      </c>
      <c r="H150" s="91">
        <f>Data!J98</f>
        <v>27579.625</v>
      </c>
      <c r="I150" s="91">
        <f>Data!K98</f>
        <v>27579.625</v>
      </c>
      <c r="J150" s="91">
        <f>Data!L98</f>
        <v>27579.625</v>
      </c>
      <c r="K150" s="91">
        <f>Data!M98</f>
        <v>27579.625</v>
      </c>
      <c r="L150" s="91">
        <f>Data!N98</f>
        <v>27579.625</v>
      </c>
      <c r="M150" s="91">
        <f>Data!O98</f>
        <v>27579.625</v>
      </c>
      <c r="N150" s="91">
        <f>Data!P98</f>
        <v>27579.625</v>
      </c>
      <c r="O150" s="91">
        <f>Data!Q98</f>
        <v>27579.625</v>
      </c>
      <c r="P150" s="91">
        <f>Data!R98</f>
        <v>27579.625</v>
      </c>
      <c r="Q150" s="91">
        <f>Data!S98</f>
        <v>27579.625</v>
      </c>
      <c r="R150" s="284">
        <f>Data!T98</f>
        <v>28952.125</v>
      </c>
      <c r="S150" s="91">
        <f>Data!U98</f>
        <v>28952.125</v>
      </c>
      <c r="T150" s="91">
        <f>Data!V98</f>
        <v>28952.125</v>
      </c>
      <c r="U150" s="91">
        <f>Data!W98</f>
        <v>28952.125</v>
      </c>
      <c r="V150" s="91">
        <f>Data!X98</f>
        <v>28952.125</v>
      </c>
      <c r="W150" s="91">
        <f>Data!Y98</f>
        <v>28952.125</v>
      </c>
      <c r="X150" s="91">
        <f>Data!Z98</f>
        <v>28952.125</v>
      </c>
      <c r="Y150" s="91">
        <f>Data!AA98</f>
        <v>28952.125</v>
      </c>
      <c r="Z150" s="91">
        <f>Data!AB98</f>
        <v>28952.125</v>
      </c>
      <c r="AA150" s="91">
        <f>Data!AC98</f>
        <v>28952.125</v>
      </c>
      <c r="AB150" s="91">
        <f>Data!AD98</f>
        <v>28952.125</v>
      </c>
      <c r="AC150" s="91">
        <f>Data!AE98</f>
        <v>28952.125</v>
      </c>
      <c r="AD150" s="284">
        <f>Data!AF98</f>
        <v>30393.25</v>
      </c>
      <c r="AE150" s="91">
        <f>Data!AG98</f>
        <v>30393.25</v>
      </c>
      <c r="AF150" s="91">
        <f>Data!AH98</f>
        <v>30393.25</v>
      </c>
      <c r="AG150" s="91">
        <f>Data!AI98</f>
        <v>30393.25</v>
      </c>
      <c r="AH150" s="91">
        <f>Data!AJ98</f>
        <v>30393.25</v>
      </c>
      <c r="AI150" s="91">
        <f>Data!AK98</f>
        <v>30393.25</v>
      </c>
      <c r="AJ150" s="91">
        <f>Data!AL98</f>
        <v>30393.25</v>
      </c>
      <c r="AK150" s="91">
        <f>Data!AM98</f>
        <v>30393.25</v>
      </c>
      <c r="AL150" s="91">
        <f>Data!AN98</f>
        <v>30393.25</v>
      </c>
      <c r="AM150" s="91">
        <f>Data!AO98</f>
        <v>30393.25</v>
      </c>
      <c r="AN150" s="91">
        <f>Data!AP98</f>
        <v>30393.25</v>
      </c>
      <c r="AO150" s="91">
        <f>Data!AQ98</f>
        <v>30393.25</v>
      </c>
      <c r="AP150" s="284">
        <f>Data!AR98</f>
        <v>31906.431249999998</v>
      </c>
      <c r="AQ150" s="91">
        <f>Data!AS98</f>
        <v>31906.431249999998</v>
      </c>
      <c r="AR150" s="91">
        <f>Data!AT98</f>
        <v>31906.431249999998</v>
      </c>
      <c r="AS150" s="91">
        <f>Data!AU98</f>
        <v>31906.431249999998</v>
      </c>
      <c r="AT150" s="91">
        <f>Data!AV98</f>
        <v>31906.431249999998</v>
      </c>
      <c r="AU150" s="91">
        <f>Data!AW98</f>
        <v>31906.431249999998</v>
      </c>
      <c r="AV150" s="91">
        <f>Data!AX98</f>
        <v>31906.431249999998</v>
      </c>
      <c r="AW150" s="91">
        <f>Data!AY98</f>
        <v>31906.431249999998</v>
      </c>
      <c r="AX150" s="91">
        <f>Data!AZ98</f>
        <v>31906.431249999998</v>
      </c>
      <c r="AY150" s="91">
        <f>Data!BA98</f>
        <v>31906.431249999998</v>
      </c>
      <c r="AZ150" s="91">
        <f>Data!BB98</f>
        <v>31906.431249999998</v>
      </c>
      <c r="BA150" s="91">
        <f>Data!BC98</f>
        <v>31906.431249999998</v>
      </c>
      <c r="BB150" s="284">
        <f>Data!BD98</f>
        <v>33495.271562499998</v>
      </c>
      <c r="BC150" s="91">
        <f>Data!BE98</f>
        <v>33495.271562499998</v>
      </c>
      <c r="BD150" s="91">
        <f>Data!BF98</f>
        <v>33495.271562499998</v>
      </c>
      <c r="BE150" s="91">
        <f>Data!BG98</f>
        <v>33495.271562499998</v>
      </c>
      <c r="BF150" s="91">
        <f>Data!BH98</f>
        <v>33495.271562499998</v>
      </c>
      <c r="BG150" s="91">
        <f>Data!BI98</f>
        <v>33495.271562499998</v>
      </c>
      <c r="BH150" s="91">
        <f>Data!BJ98</f>
        <v>33495.271562499998</v>
      </c>
      <c r="BI150" s="91">
        <f>Data!BK98</f>
        <v>33495.271562499998</v>
      </c>
      <c r="BJ150" s="91">
        <f>Data!BL98</f>
        <v>33495.271562499998</v>
      </c>
      <c r="BK150" s="91">
        <f>Data!BM98</f>
        <v>33495.271562499998</v>
      </c>
      <c r="BL150" s="91">
        <f>Data!BN98</f>
        <v>33495.271562499998</v>
      </c>
      <c r="BM150" s="91">
        <f>Data!BO98</f>
        <v>33495.271562499998</v>
      </c>
      <c r="BN150" s="91">
        <f>Data!BP98</f>
        <v>35163.553890625</v>
      </c>
      <c r="BO150" s="91">
        <f>Data!BQ98</f>
        <v>35163.553890625</v>
      </c>
      <c r="BP150" s="91">
        <f>Data!BR98</f>
        <v>35163.553890625</v>
      </c>
      <c r="BQ150" s="91">
        <f>Data!BS98</f>
        <v>35163.553890625</v>
      </c>
      <c r="BR150" s="91">
        <f>Data!BT98</f>
        <v>35163.553890625</v>
      </c>
      <c r="BS150" s="91">
        <f>Data!BU98</f>
        <v>35163.553890625</v>
      </c>
      <c r="BT150" s="91">
        <f>Data!BV98</f>
        <v>35163.553890625</v>
      </c>
      <c r="BU150" s="91">
        <f>Data!BW98</f>
        <v>35163.553890625</v>
      </c>
      <c r="BV150" s="91">
        <f>Data!BX98</f>
        <v>35163.553890625</v>
      </c>
      <c r="BW150" s="91">
        <f>Data!BY98</f>
        <v>35163.553890625</v>
      </c>
      <c r="BX150" s="91">
        <f>Data!BZ98</f>
        <v>35163.553890625</v>
      </c>
      <c r="BY150" s="91">
        <f>Data!CA98</f>
        <v>35163.553890625</v>
      </c>
      <c r="BZ150" s="91">
        <f>Data!CB98</f>
        <v>36915.250335156248</v>
      </c>
      <c r="CA150" s="91">
        <f>Data!CC98</f>
        <v>36915.250335156248</v>
      </c>
      <c r="CB150" s="91">
        <f>Data!CD98</f>
        <v>36915.250335156248</v>
      </c>
      <c r="CC150" s="91">
        <f>Data!CE98</f>
        <v>36915.250335156248</v>
      </c>
      <c r="CD150" s="91">
        <f>Data!CF98</f>
        <v>36915.250335156248</v>
      </c>
      <c r="CE150" s="91">
        <f>Data!CG98</f>
        <v>36915.250335156248</v>
      </c>
      <c r="CF150" s="91">
        <f>Data!CH98</f>
        <v>36915.250335156248</v>
      </c>
      <c r="CG150" s="91">
        <f>Data!CI98</f>
        <v>36915.250335156248</v>
      </c>
      <c r="CH150" s="91">
        <f>Data!CJ98</f>
        <v>36915.250335156248</v>
      </c>
      <c r="CI150" s="91">
        <f>Data!CK98</f>
        <v>36915.250335156248</v>
      </c>
      <c r="CJ150" s="91">
        <f>Data!CL98</f>
        <v>36915.250335156248</v>
      </c>
      <c r="CK150" s="91">
        <f>Data!CM98</f>
        <v>36915.250335156248</v>
      </c>
      <c r="CL150" s="91">
        <f>Data!CN98</f>
        <v>38754.531601914059</v>
      </c>
      <c r="CM150" s="91">
        <f>Data!CO98</f>
        <v>38754.531601914059</v>
      </c>
      <c r="CN150" s="91">
        <f>Data!CP98</f>
        <v>38754.531601914059</v>
      </c>
      <c r="CO150" s="91">
        <f>Data!CQ98</f>
        <v>38754.531601914059</v>
      </c>
      <c r="CP150" s="91">
        <f>Data!CR98</f>
        <v>38754.531601914059</v>
      </c>
      <c r="CQ150" s="91">
        <f>Data!CS98</f>
        <v>38754.531601914059</v>
      </c>
      <c r="CR150" s="91">
        <f>Data!CT98</f>
        <v>38754.531601914059</v>
      </c>
      <c r="CS150" s="91">
        <f>Data!CU98</f>
        <v>38754.531601914059</v>
      </c>
      <c r="CT150" s="91">
        <f>Data!CV98</f>
        <v>38754.531601914059</v>
      </c>
      <c r="CU150" s="91">
        <f>Data!CW98</f>
        <v>38754.531601914059</v>
      </c>
      <c r="CV150" s="91">
        <f>Data!CX98</f>
        <v>38754.531601914059</v>
      </c>
      <c r="CW150" s="91">
        <f>Data!CY98</f>
        <v>38754.531601914059</v>
      </c>
      <c r="CX150" s="91">
        <f>Data!CZ98</f>
        <v>40685.776932009765</v>
      </c>
      <c r="CY150" s="91">
        <f>Data!DA98</f>
        <v>40685.776932009765</v>
      </c>
      <c r="CZ150" s="91">
        <f>Data!DB98</f>
        <v>40685.776932009765</v>
      </c>
      <c r="DA150" s="91">
        <f>Data!DC98</f>
        <v>40685.776932009765</v>
      </c>
      <c r="DB150" s="91">
        <f>Data!DD98</f>
        <v>40685.776932009765</v>
      </c>
      <c r="DC150" s="91">
        <f>Data!DE98</f>
        <v>40685.776932009765</v>
      </c>
      <c r="DD150" s="91">
        <f>Data!DF98</f>
        <v>40685.776932009765</v>
      </c>
      <c r="DE150" s="91">
        <f>Data!DG98</f>
        <v>40685.776932009765</v>
      </c>
      <c r="DF150" s="91">
        <f>Data!DH98</f>
        <v>40685.776932009765</v>
      </c>
      <c r="DG150" s="91">
        <f>Data!DI98</f>
        <v>40685.776932009765</v>
      </c>
      <c r="DH150" s="91">
        <f>Data!DJ98</f>
        <v>40685.776932009765</v>
      </c>
      <c r="DI150" s="91">
        <f>Data!DK98</f>
        <v>40685.776932009765</v>
      </c>
      <c r="DJ150" s="91">
        <f>Data!DL98</f>
        <v>42713.584528610256</v>
      </c>
      <c r="DK150" s="91">
        <f>Data!DM98</f>
        <v>42713.584528610256</v>
      </c>
      <c r="DL150" s="91">
        <f>Data!DN98</f>
        <v>42713.584528610256</v>
      </c>
      <c r="DM150" s="91">
        <f>Data!DO98</f>
        <v>42713.584528610256</v>
      </c>
      <c r="DN150" s="91">
        <f>Data!DP98</f>
        <v>42713.584528610256</v>
      </c>
      <c r="DO150" s="91">
        <f>Data!DQ98</f>
        <v>42713.584528610256</v>
      </c>
      <c r="DP150" s="91">
        <f>Data!DR98</f>
        <v>42713.584528610256</v>
      </c>
      <c r="DQ150" s="91">
        <f>Data!DS98</f>
        <v>42713.584528610256</v>
      </c>
      <c r="DR150" s="91">
        <f>Data!DT98</f>
        <v>42713.584528610256</v>
      </c>
      <c r="DS150" s="91">
        <f>Data!DU98</f>
        <v>42713.584528610256</v>
      </c>
      <c r="DT150" s="91">
        <f>Data!DV98</f>
        <v>42713.584528610256</v>
      </c>
      <c r="DU150" s="441">
        <f>Data!DW98</f>
        <v>42713.584528610256</v>
      </c>
      <c r="DV150" s="91"/>
    </row>
    <row r="151" spans="1:126" x14ac:dyDescent="0.3">
      <c r="A151" s="175"/>
      <c r="B151" s="628" t="str">
        <f>Data!D99</f>
        <v>Resource3</v>
      </c>
      <c r="C151" s="91"/>
      <c r="D151" s="91"/>
      <c r="E151" s="90">
        <f>Data!G99</f>
        <v>5.1849999999999995E-3</v>
      </c>
      <c r="F151" s="91">
        <f>Data!H99</f>
        <v>5.1849999999999995E-3</v>
      </c>
      <c r="G151" s="91">
        <f>Data!I99</f>
        <v>5.1850000000000004E-3</v>
      </c>
      <c r="H151" s="91">
        <f>Data!J99</f>
        <v>5.1850000000000004E-3</v>
      </c>
      <c r="I151" s="91">
        <f>Data!K99</f>
        <v>5.1850000000000004E-3</v>
      </c>
      <c r="J151" s="91">
        <f>Data!L99</f>
        <v>5.1850000000000004E-3</v>
      </c>
      <c r="K151" s="91">
        <f>Data!M99</f>
        <v>5.1850000000000004E-3</v>
      </c>
      <c r="L151" s="91">
        <f>Data!N99</f>
        <v>5.1850000000000004E-3</v>
      </c>
      <c r="M151" s="91">
        <f>Data!O99</f>
        <v>5.1850000000000004E-3</v>
      </c>
      <c r="N151" s="91">
        <f>Data!P99</f>
        <v>5.1850000000000004E-3</v>
      </c>
      <c r="O151" s="91">
        <f>Data!Q99</f>
        <v>5.1850000000000004E-3</v>
      </c>
      <c r="P151" s="91">
        <f>Data!R99</f>
        <v>5.1850000000000004E-3</v>
      </c>
      <c r="Q151" s="91">
        <f>Data!S99</f>
        <v>5.1850000000000004E-3</v>
      </c>
      <c r="R151" s="284">
        <f>Data!T99</f>
        <v>5.1850000000000004E-3</v>
      </c>
      <c r="S151" s="91">
        <f>Data!U99</f>
        <v>5.1850000000000004E-3</v>
      </c>
      <c r="T151" s="91">
        <f>Data!V99</f>
        <v>5.1850000000000004E-3</v>
      </c>
      <c r="U151" s="91">
        <f>Data!W99</f>
        <v>5.1850000000000004E-3</v>
      </c>
      <c r="V151" s="91">
        <f>Data!X99</f>
        <v>5.1850000000000004E-3</v>
      </c>
      <c r="W151" s="91">
        <f>Data!Y99</f>
        <v>5.1850000000000004E-3</v>
      </c>
      <c r="X151" s="91">
        <f>Data!Z99</f>
        <v>5.1850000000000004E-3</v>
      </c>
      <c r="Y151" s="91">
        <f>Data!AA99</f>
        <v>5.1850000000000004E-3</v>
      </c>
      <c r="Z151" s="91">
        <f>Data!AB99</f>
        <v>5.1850000000000004E-3</v>
      </c>
      <c r="AA151" s="91">
        <f>Data!AC99</f>
        <v>5.1850000000000004E-3</v>
      </c>
      <c r="AB151" s="91">
        <f>Data!AD99</f>
        <v>5.1850000000000004E-3</v>
      </c>
      <c r="AC151" s="91">
        <f>Data!AE99</f>
        <v>5.1850000000000004E-3</v>
      </c>
      <c r="AD151" s="284">
        <f>Data!AF99</f>
        <v>5.1850000000000004E-3</v>
      </c>
      <c r="AE151" s="91">
        <f>Data!AG99</f>
        <v>5.1850000000000004E-3</v>
      </c>
      <c r="AF151" s="91">
        <f>Data!AH99</f>
        <v>5.1850000000000004E-3</v>
      </c>
      <c r="AG151" s="91">
        <f>Data!AI99</f>
        <v>5.1850000000000004E-3</v>
      </c>
      <c r="AH151" s="91">
        <f>Data!AJ99</f>
        <v>5.1850000000000004E-3</v>
      </c>
      <c r="AI151" s="91">
        <f>Data!AK99</f>
        <v>5.1850000000000004E-3</v>
      </c>
      <c r="AJ151" s="91">
        <f>Data!AL99</f>
        <v>5.1850000000000004E-3</v>
      </c>
      <c r="AK151" s="91">
        <f>Data!AM99</f>
        <v>5.1850000000000004E-3</v>
      </c>
      <c r="AL151" s="91">
        <f>Data!AN99</f>
        <v>5.1850000000000004E-3</v>
      </c>
      <c r="AM151" s="91">
        <f>Data!AO99</f>
        <v>5.1850000000000004E-3</v>
      </c>
      <c r="AN151" s="91">
        <f>Data!AP99</f>
        <v>5.1850000000000004E-3</v>
      </c>
      <c r="AO151" s="91">
        <f>Data!AQ99</f>
        <v>5.1850000000000004E-3</v>
      </c>
      <c r="AP151" s="284">
        <f>Data!AR99</f>
        <v>5.1850000000000004E-3</v>
      </c>
      <c r="AQ151" s="91">
        <f>Data!AS99</f>
        <v>5.1850000000000004E-3</v>
      </c>
      <c r="AR151" s="91">
        <f>Data!AT99</f>
        <v>5.1850000000000004E-3</v>
      </c>
      <c r="AS151" s="91">
        <f>Data!AU99</f>
        <v>5.1850000000000004E-3</v>
      </c>
      <c r="AT151" s="91">
        <f>Data!AV99</f>
        <v>5.1850000000000004E-3</v>
      </c>
      <c r="AU151" s="91">
        <f>Data!AW99</f>
        <v>5.1850000000000004E-3</v>
      </c>
      <c r="AV151" s="91">
        <f>Data!AX99</f>
        <v>5.1850000000000004E-3</v>
      </c>
      <c r="AW151" s="91">
        <f>Data!AY99</f>
        <v>5.1850000000000004E-3</v>
      </c>
      <c r="AX151" s="91">
        <f>Data!AZ99</f>
        <v>5.1850000000000004E-3</v>
      </c>
      <c r="AY151" s="91">
        <f>Data!BA99</f>
        <v>5.1850000000000004E-3</v>
      </c>
      <c r="AZ151" s="91">
        <f>Data!BB99</f>
        <v>5.1850000000000004E-3</v>
      </c>
      <c r="BA151" s="91">
        <f>Data!BC99</f>
        <v>5.1850000000000004E-3</v>
      </c>
      <c r="BB151" s="284">
        <f>Data!BD99</f>
        <v>5.1850000000000004E-3</v>
      </c>
      <c r="BC151" s="91">
        <f>Data!BE99</f>
        <v>5.1850000000000004E-3</v>
      </c>
      <c r="BD151" s="91">
        <f>Data!BF99</f>
        <v>5.1850000000000004E-3</v>
      </c>
      <c r="BE151" s="91">
        <f>Data!BG99</f>
        <v>5.1850000000000004E-3</v>
      </c>
      <c r="BF151" s="91">
        <f>Data!BH99</f>
        <v>5.1850000000000004E-3</v>
      </c>
      <c r="BG151" s="91">
        <f>Data!BI99</f>
        <v>5.1850000000000004E-3</v>
      </c>
      <c r="BH151" s="91">
        <f>Data!BJ99</f>
        <v>5.1850000000000004E-3</v>
      </c>
      <c r="BI151" s="91">
        <f>Data!BK99</f>
        <v>5.1850000000000004E-3</v>
      </c>
      <c r="BJ151" s="91">
        <f>Data!BL99</f>
        <v>5.1850000000000004E-3</v>
      </c>
      <c r="BK151" s="91">
        <f>Data!BM99</f>
        <v>5.1850000000000004E-3</v>
      </c>
      <c r="BL151" s="91">
        <f>Data!BN99</f>
        <v>5.1850000000000004E-3</v>
      </c>
      <c r="BM151" s="91">
        <f>Data!BO99</f>
        <v>5.1850000000000004E-3</v>
      </c>
      <c r="BN151" s="91">
        <f>Data!BP99</f>
        <v>5.1850000000000004E-3</v>
      </c>
      <c r="BO151" s="91">
        <f>Data!BQ99</f>
        <v>5.1850000000000004E-3</v>
      </c>
      <c r="BP151" s="91">
        <f>Data!BR99</f>
        <v>5.1850000000000004E-3</v>
      </c>
      <c r="BQ151" s="91">
        <f>Data!BS99</f>
        <v>5.1850000000000004E-3</v>
      </c>
      <c r="BR151" s="91">
        <f>Data!BT99</f>
        <v>5.1850000000000004E-3</v>
      </c>
      <c r="BS151" s="91">
        <f>Data!BU99</f>
        <v>5.1850000000000004E-3</v>
      </c>
      <c r="BT151" s="91">
        <f>Data!BV99</f>
        <v>5.1850000000000004E-3</v>
      </c>
      <c r="BU151" s="91">
        <f>Data!BW99</f>
        <v>5.1850000000000004E-3</v>
      </c>
      <c r="BV151" s="91">
        <f>Data!BX99</f>
        <v>5.1850000000000004E-3</v>
      </c>
      <c r="BW151" s="91">
        <f>Data!BY99</f>
        <v>5.1850000000000004E-3</v>
      </c>
      <c r="BX151" s="91">
        <f>Data!BZ99</f>
        <v>5.1850000000000004E-3</v>
      </c>
      <c r="BY151" s="91">
        <f>Data!CA99</f>
        <v>5.1850000000000004E-3</v>
      </c>
      <c r="BZ151" s="91">
        <f>Data!CB99</f>
        <v>5.1850000000000004E-3</v>
      </c>
      <c r="CA151" s="91">
        <f>Data!CC99</f>
        <v>5.1850000000000004E-3</v>
      </c>
      <c r="CB151" s="91">
        <f>Data!CD99</f>
        <v>5.1850000000000004E-3</v>
      </c>
      <c r="CC151" s="91">
        <f>Data!CE99</f>
        <v>5.1850000000000004E-3</v>
      </c>
      <c r="CD151" s="91">
        <f>Data!CF99</f>
        <v>5.1850000000000004E-3</v>
      </c>
      <c r="CE151" s="91">
        <f>Data!CG99</f>
        <v>5.1850000000000004E-3</v>
      </c>
      <c r="CF151" s="91">
        <f>Data!CH99</f>
        <v>5.1850000000000004E-3</v>
      </c>
      <c r="CG151" s="91">
        <f>Data!CI99</f>
        <v>5.1850000000000004E-3</v>
      </c>
      <c r="CH151" s="91">
        <f>Data!CJ99</f>
        <v>5.1850000000000004E-3</v>
      </c>
      <c r="CI151" s="91">
        <f>Data!CK99</f>
        <v>5.1850000000000004E-3</v>
      </c>
      <c r="CJ151" s="91">
        <f>Data!CL99</f>
        <v>5.1850000000000004E-3</v>
      </c>
      <c r="CK151" s="91">
        <f>Data!CM99</f>
        <v>5.1850000000000004E-3</v>
      </c>
      <c r="CL151" s="91">
        <f>Data!CN99</f>
        <v>5.1850000000000004E-3</v>
      </c>
      <c r="CM151" s="91">
        <f>Data!CO99</f>
        <v>5.1850000000000004E-3</v>
      </c>
      <c r="CN151" s="91">
        <f>Data!CP99</f>
        <v>5.1850000000000004E-3</v>
      </c>
      <c r="CO151" s="91">
        <f>Data!CQ99</f>
        <v>5.1850000000000004E-3</v>
      </c>
      <c r="CP151" s="91">
        <f>Data!CR99</f>
        <v>5.1850000000000004E-3</v>
      </c>
      <c r="CQ151" s="91">
        <f>Data!CS99</f>
        <v>5.1850000000000004E-3</v>
      </c>
      <c r="CR151" s="91">
        <f>Data!CT99</f>
        <v>5.1850000000000004E-3</v>
      </c>
      <c r="CS151" s="91">
        <f>Data!CU99</f>
        <v>5.1850000000000004E-3</v>
      </c>
      <c r="CT151" s="91">
        <f>Data!CV99</f>
        <v>5.1850000000000004E-3</v>
      </c>
      <c r="CU151" s="91">
        <f>Data!CW99</f>
        <v>5.1850000000000004E-3</v>
      </c>
      <c r="CV151" s="91">
        <f>Data!CX99</f>
        <v>5.1850000000000004E-3</v>
      </c>
      <c r="CW151" s="91">
        <f>Data!CY99</f>
        <v>5.1850000000000004E-3</v>
      </c>
      <c r="CX151" s="91">
        <f>Data!CZ99</f>
        <v>5.1850000000000004E-3</v>
      </c>
      <c r="CY151" s="91">
        <f>Data!DA99</f>
        <v>5.1850000000000004E-3</v>
      </c>
      <c r="CZ151" s="91">
        <f>Data!DB99</f>
        <v>5.1850000000000004E-3</v>
      </c>
      <c r="DA151" s="91">
        <f>Data!DC99</f>
        <v>5.1850000000000004E-3</v>
      </c>
      <c r="DB151" s="91">
        <f>Data!DD99</f>
        <v>5.1850000000000004E-3</v>
      </c>
      <c r="DC151" s="91">
        <f>Data!DE99</f>
        <v>5.1850000000000004E-3</v>
      </c>
      <c r="DD151" s="91">
        <f>Data!DF99</f>
        <v>5.1850000000000004E-3</v>
      </c>
      <c r="DE151" s="91">
        <f>Data!DG99</f>
        <v>5.1850000000000004E-3</v>
      </c>
      <c r="DF151" s="91">
        <f>Data!DH99</f>
        <v>5.1850000000000004E-3</v>
      </c>
      <c r="DG151" s="91">
        <f>Data!DI99</f>
        <v>5.1850000000000004E-3</v>
      </c>
      <c r="DH151" s="91">
        <f>Data!DJ99</f>
        <v>5.1850000000000004E-3</v>
      </c>
      <c r="DI151" s="91">
        <f>Data!DK99</f>
        <v>5.1850000000000004E-3</v>
      </c>
      <c r="DJ151" s="91">
        <f>Data!DL99</f>
        <v>5.1850000000000004E-3</v>
      </c>
      <c r="DK151" s="91">
        <f>Data!DM99</f>
        <v>5.1850000000000004E-3</v>
      </c>
      <c r="DL151" s="91">
        <f>Data!DN99</f>
        <v>5.1850000000000004E-3</v>
      </c>
      <c r="DM151" s="91">
        <f>Data!DO99</f>
        <v>5.1850000000000004E-3</v>
      </c>
      <c r="DN151" s="91">
        <f>Data!DP99</f>
        <v>5.1850000000000004E-3</v>
      </c>
      <c r="DO151" s="91">
        <f>Data!DQ99</f>
        <v>5.1850000000000004E-3</v>
      </c>
      <c r="DP151" s="91">
        <f>Data!DR99</f>
        <v>5.1850000000000004E-3</v>
      </c>
      <c r="DQ151" s="91">
        <f>Data!DS99</f>
        <v>5.1850000000000004E-3</v>
      </c>
      <c r="DR151" s="91">
        <f>Data!DT99</f>
        <v>5.1850000000000004E-3</v>
      </c>
      <c r="DS151" s="91">
        <f>Data!DU99</f>
        <v>5.1850000000000004E-3</v>
      </c>
      <c r="DT151" s="91">
        <f>Data!DV99</f>
        <v>5.1850000000000004E-3</v>
      </c>
      <c r="DU151" s="441">
        <f>Data!DW99</f>
        <v>5.1850000000000004E-3</v>
      </c>
      <c r="DV151" s="91"/>
    </row>
    <row r="152" spans="1:126" x14ac:dyDescent="0.3">
      <c r="A152" s="175"/>
      <c r="B152" s="628" t="str">
        <f>Data!D100</f>
        <v>Resource4</v>
      </c>
      <c r="C152" s="91"/>
      <c r="D152" s="91"/>
      <c r="E152" s="90">
        <f>Data!G100</f>
        <v>5.1849999999999995E-3</v>
      </c>
      <c r="F152" s="91">
        <f>Data!H100</f>
        <v>5.1849999999999995E-3</v>
      </c>
      <c r="G152" s="91">
        <f>Data!I100</f>
        <v>5.1850000000000004E-3</v>
      </c>
      <c r="H152" s="91">
        <f>Data!J100</f>
        <v>5.1850000000000004E-3</v>
      </c>
      <c r="I152" s="91">
        <f>Data!K100</f>
        <v>5.1850000000000004E-3</v>
      </c>
      <c r="J152" s="91">
        <f>Data!L100</f>
        <v>5.1850000000000004E-3</v>
      </c>
      <c r="K152" s="91">
        <f>Data!M100</f>
        <v>5.1850000000000004E-3</v>
      </c>
      <c r="L152" s="91">
        <f>Data!N100</f>
        <v>5.1850000000000004E-3</v>
      </c>
      <c r="M152" s="91">
        <f>Data!O100</f>
        <v>5.1850000000000004E-3</v>
      </c>
      <c r="N152" s="91">
        <f>Data!P100</f>
        <v>5.1850000000000004E-3</v>
      </c>
      <c r="O152" s="91">
        <f>Data!Q100</f>
        <v>5.1850000000000004E-3</v>
      </c>
      <c r="P152" s="91">
        <f>Data!R100</f>
        <v>5.1850000000000004E-3</v>
      </c>
      <c r="Q152" s="91">
        <f>Data!S100</f>
        <v>5.1850000000000004E-3</v>
      </c>
      <c r="R152" s="284">
        <f>Data!T100</f>
        <v>5.1850000000000004E-3</v>
      </c>
      <c r="S152" s="91">
        <f>Data!U100</f>
        <v>5.1850000000000004E-3</v>
      </c>
      <c r="T152" s="91">
        <f>Data!V100</f>
        <v>5.1850000000000004E-3</v>
      </c>
      <c r="U152" s="91">
        <f>Data!W100</f>
        <v>5.1850000000000004E-3</v>
      </c>
      <c r="V152" s="91">
        <f>Data!X100</f>
        <v>5.1850000000000004E-3</v>
      </c>
      <c r="W152" s="91">
        <f>Data!Y100</f>
        <v>5.1850000000000004E-3</v>
      </c>
      <c r="X152" s="91">
        <f>Data!Z100</f>
        <v>5.1850000000000004E-3</v>
      </c>
      <c r="Y152" s="91">
        <f>Data!AA100</f>
        <v>5.1850000000000004E-3</v>
      </c>
      <c r="Z152" s="91">
        <f>Data!AB100</f>
        <v>5.1850000000000004E-3</v>
      </c>
      <c r="AA152" s="91">
        <f>Data!AC100</f>
        <v>5.1850000000000004E-3</v>
      </c>
      <c r="AB152" s="91">
        <f>Data!AD100</f>
        <v>5.1850000000000004E-3</v>
      </c>
      <c r="AC152" s="91">
        <f>Data!AE100</f>
        <v>5.1850000000000004E-3</v>
      </c>
      <c r="AD152" s="284">
        <f>Data!AF100</f>
        <v>5.1850000000000004E-3</v>
      </c>
      <c r="AE152" s="91">
        <f>Data!AG100</f>
        <v>5.1850000000000004E-3</v>
      </c>
      <c r="AF152" s="91">
        <f>Data!AH100</f>
        <v>5.1850000000000004E-3</v>
      </c>
      <c r="AG152" s="91">
        <f>Data!AI100</f>
        <v>5.1850000000000004E-3</v>
      </c>
      <c r="AH152" s="91">
        <f>Data!AJ100</f>
        <v>5.1850000000000004E-3</v>
      </c>
      <c r="AI152" s="91">
        <f>Data!AK100</f>
        <v>5.1850000000000004E-3</v>
      </c>
      <c r="AJ152" s="91">
        <f>Data!AL100</f>
        <v>5.1850000000000004E-3</v>
      </c>
      <c r="AK152" s="91">
        <f>Data!AM100</f>
        <v>5.1850000000000004E-3</v>
      </c>
      <c r="AL152" s="91">
        <f>Data!AN100</f>
        <v>5.1850000000000004E-3</v>
      </c>
      <c r="AM152" s="91">
        <f>Data!AO100</f>
        <v>5.1850000000000004E-3</v>
      </c>
      <c r="AN152" s="91">
        <f>Data!AP100</f>
        <v>5.1850000000000004E-3</v>
      </c>
      <c r="AO152" s="91">
        <f>Data!AQ100</f>
        <v>5.1850000000000004E-3</v>
      </c>
      <c r="AP152" s="284">
        <f>Data!AR100</f>
        <v>5.1850000000000004E-3</v>
      </c>
      <c r="AQ152" s="91">
        <f>Data!AS100</f>
        <v>5.1850000000000004E-3</v>
      </c>
      <c r="AR152" s="91">
        <f>Data!AT100</f>
        <v>5.1850000000000004E-3</v>
      </c>
      <c r="AS152" s="91">
        <f>Data!AU100</f>
        <v>5.1850000000000004E-3</v>
      </c>
      <c r="AT152" s="91">
        <f>Data!AV100</f>
        <v>5.1850000000000004E-3</v>
      </c>
      <c r="AU152" s="91">
        <f>Data!AW100</f>
        <v>5.1850000000000004E-3</v>
      </c>
      <c r="AV152" s="91">
        <f>Data!AX100</f>
        <v>5.1850000000000004E-3</v>
      </c>
      <c r="AW152" s="91">
        <f>Data!AY100</f>
        <v>5.1850000000000004E-3</v>
      </c>
      <c r="AX152" s="91">
        <f>Data!AZ100</f>
        <v>5.1850000000000004E-3</v>
      </c>
      <c r="AY152" s="91">
        <f>Data!BA100</f>
        <v>5.1850000000000004E-3</v>
      </c>
      <c r="AZ152" s="91">
        <f>Data!BB100</f>
        <v>5.1850000000000004E-3</v>
      </c>
      <c r="BA152" s="91">
        <f>Data!BC100</f>
        <v>5.1850000000000004E-3</v>
      </c>
      <c r="BB152" s="284">
        <f>Data!BD100</f>
        <v>5.1850000000000004E-3</v>
      </c>
      <c r="BC152" s="91">
        <f>Data!BE100</f>
        <v>5.1850000000000004E-3</v>
      </c>
      <c r="BD152" s="91">
        <f>Data!BF100</f>
        <v>5.1850000000000004E-3</v>
      </c>
      <c r="BE152" s="91">
        <f>Data!BG100</f>
        <v>5.1850000000000004E-3</v>
      </c>
      <c r="BF152" s="91">
        <f>Data!BH100</f>
        <v>5.1850000000000004E-3</v>
      </c>
      <c r="BG152" s="91">
        <f>Data!BI100</f>
        <v>5.1850000000000004E-3</v>
      </c>
      <c r="BH152" s="91">
        <f>Data!BJ100</f>
        <v>5.1850000000000004E-3</v>
      </c>
      <c r="BI152" s="91">
        <f>Data!BK100</f>
        <v>5.1850000000000004E-3</v>
      </c>
      <c r="BJ152" s="91">
        <f>Data!BL100</f>
        <v>5.1850000000000004E-3</v>
      </c>
      <c r="BK152" s="91">
        <f>Data!BM100</f>
        <v>5.1850000000000004E-3</v>
      </c>
      <c r="BL152" s="91">
        <f>Data!BN100</f>
        <v>5.1850000000000004E-3</v>
      </c>
      <c r="BM152" s="91">
        <f>Data!BO100</f>
        <v>5.1850000000000004E-3</v>
      </c>
      <c r="BN152" s="91">
        <f>Data!BP100</f>
        <v>5.1850000000000004E-3</v>
      </c>
      <c r="BO152" s="91">
        <f>Data!BQ100</f>
        <v>5.1850000000000004E-3</v>
      </c>
      <c r="BP152" s="91">
        <f>Data!BR100</f>
        <v>5.1850000000000004E-3</v>
      </c>
      <c r="BQ152" s="91">
        <f>Data!BS100</f>
        <v>5.1850000000000004E-3</v>
      </c>
      <c r="BR152" s="91">
        <f>Data!BT100</f>
        <v>5.1850000000000004E-3</v>
      </c>
      <c r="BS152" s="91">
        <f>Data!BU100</f>
        <v>5.1850000000000004E-3</v>
      </c>
      <c r="BT152" s="91">
        <f>Data!BV100</f>
        <v>5.1850000000000004E-3</v>
      </c>
      <c r="BU152" s="91">
        <f>Data!BW100</f>
        <v>5.1850000000000004E-3</v>
      </c>
      <c r="BV152" s="91">
        <f>Data!BX100</f>
        <v>5.1850000000000004E-3</v>
      </c>
      <c r="BW152" s="91">
        <f>Data!BY100</f>
        <v>5.1850000000000004E-3</v>
      </c>
      <c r="BX152" s="91">
        <f>Data!BZ100</f>
        <v>5.1850000000000004E-3</v>
      </c>
      <c r="BY152" s="91">
        <f>Data!CA100</f>
        <v>5.1850000000000004E-3</v>
      </c>
      <c r="BZ152" s="91">
        <f>Data!CB100</f>
        <v>5.1850000000000004E-3</v>
      </c>
      <c r="CA152" s="91">
        <f>Data!CC100</f>
        <v>5.1850000000000004E-3</v>
      </c>
      <c r="CB152" s="91">
        <f>Data!CD100</f>
        <v>5.1850000000000004E-3</v>
      </c>
      <c r="CC152" s="91">
        <f>Data!CE100</f>
        <v>5.1850000000000004E-3</v>
      </c>
      <c r="CD152" s="91">
        <f>Data!CF100</f>
        <v>5.1850000000000004E-3</v>
      </c>
      <c r="CE152" s="91">
        <f>Data!CG100</f>
        <v>5.1850000000000004E-3</v>
      </c>
      <c r="CF152" s="91">
        <f>Data!CH100</f>
        <v>5.1850000000000004E-3</v>
      </c>
      <c r="CG152" s="91">
        <f>Data!CI100</f>
        <v>5.1850000000000004E-3</v>
      </c>
      <c r="CH152" s="91">
        <f>Data!CJ100</f>
        <v>5.1850000000000004E-3</v>
      </c>
      <c r="CI152" s="91">
        <f>Data!CK100</f>
        <v>5.1850000000000004E-3</v>
      </c>
      <c r="CJ152" s="91">
        <f>Data!CL100</f>
        <v>5.1850000000000004E-3</v>
      </c>
      <c r="CK152" s="91">
        <f>Data!CM100</f>
        <v>5.1850000000000004E-3</v>
      </c>
      <c r="CL152" s="91">
        <f>Data!CN100</f>
        <v>5.1850000000000004E-3</v>
      </c>
      <c r="CM152" s="91">
        <f>Data!CO100</f>
        <v>5.1850000000000004E-3</v>
      </c>
      <c r="CN152" s="91">
        <f>Data!CP100</f>
        <v>5.1850000000000004E-3</v>
      </c>
      <c r="CO152" s="91">
        <f>Data!CQ100</f>
        <v>5.1850000000000004E-3</v>
      </c>
      <c r="CP152" s="91">
        <f>Data!CR100</f>
        <v>5.1850000000000004E-3</v>
      </c>
      <c r="CQ152" s="91">
        <f>Data!CS100</f>
        <v>5.1850000000000004E-3</v>
      </c>
      <c r="CR152" s="91">
        <f>Data!CT100</f>
        <v>5.1850000000000004E-3</v>
      </c>
      <c r="CS152" s="91">
        <f>Data!CU100</f>
        <v>5.1850000000000004E-3</v>
      </c>
      <c r="CT152" s="91">
        <f>Data!CV100</f>
        <v>5.1850000000000004E-3</v>
      </c>
      <c r="CU152" s="91">
        <f>Data!CW100</f>
        <v>5.1850000000000004E-3</v>
      </c>
      <c r="CV152" s="91">
        <f>Data!CX100</f>
        <v>5.1850000000000004E-3</v>
      </c>
      <c r="CW152" s="91">
        <f>Data!CY100</f>
        <v>5.1850000000000004E-3</v>
      </c>
      <c r="CX152" s="91">
        <f>Data!CZ100</f>
        <v>5.1850000000000004E-3</v>
      </c>
      <c r="CY152" s="91">
        <f>Data!DA100</f>
        <v>5.1850000000000004E-3</v>
      </c>
      <c r="CZ152" s="91">
        <f>Data!DB100</f>
        <v>5.1850000000000004E-3</v>
      </c>
      <c r="DA152" s="91">
        <f>Data!DC100</f>
        <v>5.1850000000000004E-3</v>
      </c>
      <c r="DB152" s="91">
        <f>Data!DD100</f>
        <v>5.1850000000000004E-3</v>
      </c>
      <c r="DC152" s="91">
        <f>Data!DE100</f>
        <v>5.1850000000000004E-3</v>
      </c>
      <c r="DD152" s="91">
        <f>Data!DF100</f>
        <v>5.1850000000000004E-3</v>
      </c>
      <c r="DE152" s="91">
        <f>Data!DG100</f>
        <v>5.1850000000000004E-3</v>
      </c>
      <c r="DF152" s="91">
        <f>Data!DH100</f>
        <v>5.1850000000000004E-3</v>
      </c>
      <c r="DG152" s="91">
        <f>Data!DI100</f>
        <v>5.1850000000000004E-3</v>
      </c>
      <c r="DH152" s="91">
        <f>Data!DJ100</f>
        <v>5.1850000000000004E-3</v>
      </c>
      <c r="DI152" s="91">
        <f>Data!DK100</f>
        <v>5.1850000000000004E-3</v>
      </c>
      <c r="DJ152" s="91">
        <f>Data!DL100</f>
        <v>5.1850000000000004E-3</v>
      </c>
      <c r="DK152" s="91">
        <f>Data!DM100</f>
        <v>5.1850000000000004E-3</v>
      </c>
      <c r="DL152" s="91">
        <f>Data!DN100</f>
        <v>5.1850000000000004E-3</v>
      </c>
      <c r="DM152" s="91">
        <f>Data!DO100</f>
        <v>5.1850000000000004E-3</v>
      </c>
      <c r="DN152" s="91">
        <f>Data!DP100</f>
        <v>5.1850000000000004E-3</v>
      </c>
      <c r="DO152" s="91">
        <f>Data!DQ100</f>
        <v>5.1850000000000004E-3</v>
      </c>
      <c r="DP152" s="91">
        <f>Data!DR100</f>
        <v>5.1850000000000004E-3</v>
      </c>
      <c r="DQ152" s="91">
        <f>Data!DS100</f>
        <v>5.1850000000000004E-3</v>
      </c>
      <c r="DR152" s="91">
        <f>Data!DT100</f>
        <v>5.1850000000000004E-3</v>
      </c>
      <c r="DS152" s="91">
        <f>Data!DU100</f>
        <v>5.1850000000000004E-3</v>
      </c>
      <c r="DT152" s="91">
        <f>Data!DV100</f>
        <v>5.1850000000000004E-3</v>
      </c>
      <c r="DU152" s="441">
        <f>Data!DW100</f>
        <v>5.1850000000000004E-3</v>
      </c>
      <c r="DV152" s="91"/>
    </row>
    <row r="153" spans="1:126" x14ac:dyDescent="0.3">
      <c r="A153" s="93"/>
      <c r="B153" s="614" t="s">
        <v>50</v>
      </c>
      <c r="C153" s="95"/>
      <c r="D153" s="95"/>
      <c r="E153" s="94">
        <f>SUM(E138:E152)</f>
        <v>668835.33332128881</v>
      </c>
      <c r="F153" s="95">
        <f t="shared" ref="F153:L153" si="534">SUM(F138:F152)</f>
        <v>668835.33332128881</v>
      </c>
      <c r="G153" s="95">
        <f t="shared" si="534"/>
        <v>527566.11109906668</v>
      </c>
      <c r="H153" s="95">
        <f t="shared" si="534"/>
        <v>527566.11109906668</v>
      </c>
      <c r="I153" s="95">
        <f t="shared" si="534"/>
        <v>527566.11109906668</v>
      </c>
      <c r="J153" s="95">
        <f t="shared" si="534"/>
        <v>527566.11109906668</v>
      </c>
      <c r="K153" s="95">
        <f t="shared" si="534"/>
        <v>527566.11109906668</v>
      </c>
      <c r="L153" s="95">
        <f t="shared" si="534"/>
        <v>405687.99545714358</v>
      </c>
      <c r="M153" s="95">
        <f t="shared" ref="M153:AN153" si="535">SUM(M138:M152)</f>
        <v>405687.99545714358</v>
      </c>
      <c r="N153" s="95">
        <f t="shared" si="535"/>
        <v>405687.99545714358</v>
      </c>
      <c r="O153" s="95">
        <f t="shared" si="535"/>
        <v>405687.99545714358</v>
      </c>
      <c r="P153" s="95">
        <f t="shared" si="535"/>
        <v>405687.99545714358</v>
      </c>
      <c r="Q153" s="95">
        <f t="shared" si="535"/>
        <v>405687.99545714358</v>
      </c>
      <c r="R153" s="285">
        <f t="shared" si="535"/>
        <v>425681.78400018666</v>
      </c>
      <c r="S153" s="95">
        <f t="shared" si="535"/>
        <v>425681.78400018666</v>
      </c>
      <c r="T153" s="95">
        <f t="shared" si="535"/>
        <v>425681.78400018666</v>
      </c>
      <c r="U153" s="95">
        <f t="shared" si="535"/>
        <v>425681.78400018666</v>
      </c>
      <c r="V153" s="95">
        <f t="shared" si="535"/>
        <v>425681.78400018666</v>
      </c>
      <c r="W153" s="95">
        <f t="shared" si="535"/>
        <v>425681.78400018666</v>
      </c>
      <c r="X153" s="95">
        <f t="shared" si="535"/>
        <v>425681.78400018666</v>
      </c>
      <c r="Y153" s="95">
        <f t="shared" si="535"/>
        <v>425681.78400018666</v>
      </c>
      <c r="Z153" s="95">
        <f t="shared" si="535"/>
        <v>425681.78400018666</v>
      </c>
      <c r="AA153" s="95">
        <f t="shared" si="535"/>
        <v>425681.78400018666</v>
      </c>
      <c r="AB153" s="95">
        <f t="shared" si="535"/>
        <v>425681.78400018666</v>
      </c>
      <c r="AC153" s="95">
        <f t="shared" si="535"/>
        <v>425681.78400018666</v>
      </c>
      <c r="AD153" s="285">
        <f t="shared" si="535"/>
        <v>446675.26197038189</v>
      </c>
      <c r="AE153" s="95">
        <f t="shared" si="535"/>
        <v>446675.26197038189</v>
      </c>
      <c r="AF153" s="95">
        <f t="shared" si="535"/>
        <v>446675.26197038189</v>
      </c>
      <c r="AG153" s="95">
        <f t="shared" si="535"/>
        <v>446675.26197038189</v>
      </c>
      <c r="AH153" s="95">
        <f t="shared" si="535"/>
        <v>446675.26197038189</v>
      </c>
      <c r="AI153" s="95">
        <f t="shared" si="535"/>
        <v>446675.26197038189</v>
      </c>
      <c r="AJ153" s="95">
        <f t="shared" si="535"/>
        <v>446675.26197038189</v>
      </c>
      <c r="AK153" s="95">
        <f t="shared" si="535"/>
        <v>446675.26197038189</v>
      </c>
      <c r="AL153" s="95">
        <f t="shared" si="535"/>
        <v>446675.26197038189</v>
      </c>
      <c r="AM153" s="95">
        <f t="shared" si="535"/>
        <v>446675.26197038189</v>
      </c>
      <c r="AN153" s="95">
        <f t="shared" si="535"/>
        <v>446675.26197038189</v>
      </c>
      <c r="AO153" s="95">
        <f t="shared" ref="AO153:BM153" si="536">SUM(AO138:AO152)</f>
        <v>446675.26197038189</v>
      </c>
      <c r="AP153" s="285">
        <f t="shared" si="536"/>
        <v>468718.41383908695</v>
      </c>
      <c r="AQ153" s="95">
        <f t="shared" si="536"/>
        <v>468718.41383908695</v>
      </c>
      <c r="AR153" s="95">
        <f t="shared" si="536"/>
        <v>468718.41383908695</v>
      </c>
      <c r="AS153" s="95">
        <f t="shared" si="536"/>
        <v>468718.41383908695</v>
      </c>
      <c r="AT153" s="95">
        <f t="shared" si="536"/>
        <v>468718.41383908695</v>
      </c>
      <c r="AU153" s="95">
        <f t="shared" si="536"/>
        <v>468718.41383908695</v>
      </c>
      <c r="AV153" s="95">
        <f t="shared" si="536"/>
        <v>468718.41383908695</v>
      </c>
      <c r="AW153" s="95">
        <f t="shared" si="536"/>
        <v>468718.41383908695</v>
      </c>
      <c r="AX153" s="95">
        <f t="shared" si="536"/>
        <v>468718.41383908695</v>
      </c>
      <c r="AY153" s="95">
        <f t="shared" si="536"/>
        <v>468718.41383908695</v>
      </c>
      <c r="AZ153" s="95">
        <f t="shared" si="536"/>
        <v>468718.41383908695</v>
      </c>
      <c r="BA153" s="95">
        <f t="shared" si="536"/>
        <v>468718.41383908695</v>
      </c>
      <c r="BB153" s="285">
        <f t="shared" si="536"/>
        <v>491863.72330122709</v>
      </c>
      <c r="BC153" s="95">
        <f t="shared" si="536"/>
        <v>491863.72330122709</v>
      </c>
      <c r="BD153" s="95">
        <f t="shared" si="536"/>
        <v>491863.72330122709</v>
      </c>
      <c r="BE153" s="95">
        <f t="shared" si="536"/>
        <v>491863.72330122709</v>
      </c>
      <c r="BF153" s="95">
        <f t="shared" si="536"/>
        <v>491863.72330122709</v>
      </c>
      <c r="BG153" s="95">
        <f t="shared" si="536"/>
        <v>491863.72330122709</v>
      </c>
      <c r="BH153" s="95">
        <f t="shared" si="536"/>
        <v>491863.72330122709</v>
      </c>
      <c r="BI153" s="95">
        <f t="shared" si="536"/>
        <v>491863.72330122709</v>
      </c>
      <c r="BJ153" s="95">
        <f t="shared" si="536"/>
        <v>491863.72330122709</v>
      </c>
      <c r="BK153" s="95">
        <f t="shared" si="536"/>
        <v>491863.72330122709</v>
      </c>
      <c r="BL153" s="95">
        <f t="shared" si="536"/>
        <v>491863.72330122709</v>
      </c>
      <c r="BM153" s="95">
        <f t="shared" si="536"/>
        <v>491863.72330122709</v>
      </c>
      <c r="BN153" s="95">
        <f t="shared" ref="BN153:DU153" si="537">SUM(BN138:BN152)</f>
        <v>516166.29823647439</v>
      </c>
      <c r="BO153" s="95">
        <f t="shared" si="537"/>
        <v>516166.29823647439</v>
      </c>
      <c r="BP153" s="95">
        <f t="shared" si="537"/>
        <v>516166.29823647439</v>
      </c>
      <c r="BQ153" s="95">
        <f t="shared" si="537"/>
        <v>516166.29823647439</v>
      </c>
      <c r="BR153" s="95">
        <f t="shared" si="537"/>
        <v>516166.29823647439</v>
      </c>
      <c r="BS153" s="95">
        <f t="shared" si="537"/>
        <v>516166.29823647439</v>
      </c>
      <c r="BT153" s="95">
        <f t="shared" si="537"/>
        <v>516166.29823647439</v>
      </c>
      <c r="BU153" s="95">
        <f t="shared" si="537"/>
        <v>516166.29823647439</v>
      </c>
      <c r="BV153" s="95">
        <f t="shared" si="537"/>
        <v>516166.29823647439</v>
      </c>
      <c r="BW153" s="95">
        <f t="shared" si="537"/>
        <v>516166.29823647439</v>
      </c>
      <c r="BX153" s="95">
        <f t="shared" si="537"/>
        <v>516166.29823647439</v>
      </c>
      <c r="BY153" s="95">
        <f t="shared" si="537"/>
        <v>516166.29823647439</v>
      </c>
      <c r="BZ153" s="95">
        <f t="shared" si="537"/>
        <v>541684.00191848399</v>
      </c>
      <c r="CA153" s="95">
        <f t="shared" si="537"/>
        <v>541684.00191848399</v>
      </c>
      <c r="CB153" s="95">
        <f t="shared" si="537"/>
        <v>541684.00191848399</v>
      </c>
      <c r="CC153" s="95">
        <f t="shared" si="537"/>
        <v>541684.00191848399</v>
      </c>
      <c r="CD153" s="95">
        <f t="shared" si="537"/>
        <v>541684.00191848399</v>
      </c>
      <c r="CE153" s="95">
        <f t="shared" si="537"/>
        <v>541684.00191848399</v>
      </c>
      <c r="CF153" s="95">
        <f t="shared" si="537"/>
        <v>541684.00191848399</v>
      </c>
      <c r="CG153" s="95">
        <f t="shared" si="537"/>
        <v>541684.00191848399</v>
      </c>
      <c r="CH153" s="95">
        <f t="shared" si="537"/>
        <v>541684.00191848399</v>
      </c>
      <c r="CI153" s="95">
        <f t="shared" si="537"/>
        <v>541684.00191848399</v>
      </c>
      <c r="CJ153" s="95">
        <f t="shared" si="537"/>
        <v>541684.00191848399</v>
      </c>
      <c r="CK153" s="95">
        <f t="shared" si="537"/>
        <v>541684.00191848399</v>
      </c>
      <c r="CL153" s="95">
        <f t="shared" si="537"/>
        <v>568477.59078459418</v>
      </c>
      <c r="CM153" s="95">
        <f t="shared" si="537"/>
        <v>568477.59078459418</v>
      </c>
      <c r="CN153" s="95">
        <f t="shared" si="537"/>
        <v>568477.59078459418</v>
      </c>
      <c r="CO153" s="95">
        <f t="shared" si="537"/>
        <v>568477.59078459418</v>
      </c>
      <c r="CP153" s="95">
        <f t="shared" si="537"/>
        <v>568477.59078459418</v>
      </c>
      <c r="CQ153" s="95">
        <f t="shared" si="537"/>
        <v>568477.59078459418</v>
      </c>
      <c r="CR153" s="95">
        <f t="shared" si="537"/>
        <v>568477.59078459418</v>
      </c>
      <c r="CS153" s="95">
        <f t="shared" si="537"/>
        <v>568477.59078459418</v>
      </c>
      <c r="CT153" s="95">
        <f t="shared" si="537"/>
        <v>568477.59078459418</v>
      </c>
      <c r="CU153" s="95">
        <f t="shared" si="537"/>
        <v>568477.59078459418</v>
      </c>
      <c r="CV153" s="95">
        <f t="shared" si="537"/>
        <v>568477.59078459418</v>
      </c>
      <c r="CW153" s="95">
        <f t="shared" si="537"/>
        <v>568477.59078459418</v>
      </c>
      <c r="CX153" s="95">
        <f t="shared" si="537"/>
        <v>596610.85909400962</v>
      </c>
      <c r="CY153" s="95">
        <f t="shared" si="537"/>
        <v>596610.85909400962</v>
      </c>
      <c r="CZ153" s="95">
        <f t="shared" si="537"/>
        <v>596610.85909400962</v>
      </c>
      <c r="DA153" s="95">
        <f t="shared" si="537"/>
        <v>596610.85909400962</v>
      </c>
      <c r="DB153" s="95">
        <f t="shared" si="537"/>
        <v>596610.85909400962</v>
      </c>
      <c r="DC153" s="95">
        <f t="shared" si="537"/>
        <v>596610.85909400962</v>
      </c>
      <c r="DD153" s="95">
        <f t="shared" si="537"/>
        <v>596610.85909400962</v>
      </c>
      <c r="DE153" s="95">
        <f t="shared" si="537"/>
        <v>596610.85909400962</v>
      </c>
      <c r="DF153" s="95">
        <f t="shared" si="537"/>
        <v>596610.85909400962</v>
      </c>
      <c r="DG153" s="95">
        <f t="shared" si="537"/>
        <v>596610.85909400962</v>
      </c>
      <c r="DH153" s="95">
        <f t="shared" si="537"/>
        <v>596610.85909400962</v>
      </c>
      <c r="DI153" s="95">
        <f t="shared" si="537"/>
        <v>596610.85909400962</v>
      </c>
      <c r="DJ153" s="95">
        <f t="shared" si="537"/>
        <v>626150.79081889614</v>
      </c>
      <c r="DK153" s="95">
        <f t="shared" si="537"/>
        <v>626150.79081889614</v>
      </c>
      <c r="DL153" s="95">
        <f t="shared" si="537"/>
        <v>626150.79081889614</v>
      </c>
      <c r="DM153" s="95">
        <f t="shared" si="537"/>
        <v>626150.79081889614</v>
      </c>
      <c r="DN153" s="95">
        <f t="shared" si="537"/>
        <v>626150.79081889614</v>
      </c>
      <c r="DO153" s="95">
        <f t="shared" si="537"/>
        <v>626150.79081889614</v>
      </c>
      <c r="DP153" s="95">
        <f t="shared" si="537"/>
        <v>626150.79081889614</v>
      </c>
      <c r="DQ153" s="95">
        <f t="shared" si="537"/>
        <v>626150.79081889614</v>
      </c>
      <c r="DR153" s="95">
        <f t="shared" si="537"/>
        <v>626150.79081889614</v>
      </c>
      <c r="DS153" s="95">
        <f t="shared" si="537"/>
        <v>626150.79081889614</v>
      </c>
      <c r="DT153" s="95">
        <f t="shared" si="537"/>
        <v>626150.79081889614</v>
      </c>
      <c r="DU153" s="442">
        <f t="shared" si="537"/>
        <v>626150.79081889614</v>
      </c>
      <c r="DV153" s="704"/>
    </row>
    <row r="155" spans="1:126" x14ac:dyDescent="0.3">
      <c r="B155" s="629" t="str">
        <f>Data!D103</f>
        <v>Staff Welfare / Emp</v>
      </c>
      <c r="C155" s="583"/>
      <c r="D155" s="405"/>
      <c r="E155" s="190">
        <f>Data!G103</f>
        <v>2363.48</v>
      </c>
      <c r="F155" s="191">
        <f>Data!H103</f>
        <v>2363.48</v>
      </c>
      <c r="G155" s="191">
        <f>Data!I103</f>
        <v>2363.48</v>
      </c>
      <c r="H155" s="191">
        <f>Data!J103</f>
        <v>2363.48</v>
      </c>
      <c r="I155" s="191">
        <f>Data!K103</f>
        <v>2363.48</v>
      </c>
      <c r="J155" s="191">
        <f>Data!L103</f>
        <v>2363.48</v>
      </c>
      <c r="K155" s="191">
        <f>Data!M103</f>
        <v>2363.48</v>
      </c>
      <c r="L155" s="191">
        <f>Data!N103</f>
        <v>2363.48</v>
      </c>
      <c r="M155" s="191">
        <f>Data!O103</f>
        <v>2363.48</v>
      </c>
      <c r="N155" s="191">
        <f>Data!P103</f>
        <v>2363.48</v>
      </c>
      <c r="O155" s="191">
        <f>Data!Q103</f>
        <v>2363.48</v>
      </c>
      <c r="P155" s="191">
        <f>Data!R103</f>
        <v>2363.48</v>
      </c>
      <c r="Q155" s="191">
        <f>Data!S103</f>
        <v>2363.48</v>
      </c>
      <c r="R155" s="286">
        <f>Data!T103</f>
        <v>2481.654</v>
      </c>
      <c r="S155" s="191">
        <f>Data!U103</f>
        <v>2481.654</v>
      </c>
      <c r="T155" s="191">
        <f>Data!V103</f>
        <v>2481.654</v>
      </c>
      <c r="U155" s="191">
        <f>Data!W103</f>
        <v>2481.654</v>
      </c>
      <c r="V155" s="191">
        <f>Data!X103</f>
        <v>2481.654</v>
      </c>
      <c r="W155" s="191">
        <f>Data!Y103</f>
        <v>2481.654</v>
      </c>
      <c r="X155" s="191">
        <f>Data!Z103</f>
        <v>2481.654</v>
      </c>
      <c r="Y155" s="191">
        <f>Data!AA103</f>
        <v>2481.654</v>
      </c>
      <c r="Z155" s="191">
        <f>Data!AB103</f>
        <v>2481.654</v>
      </c>
      <c r="AA155" s="191">
        <f>Data!AC103</f>
        <v>2481.654</v>
      </c>
      <c r="AB155" s="191">
        <f>Data!AD103</f>
        <v>2481.654</v>
      </c>
      <c r="AC155" s="191">
        <f>Data!AE103</f>
        <v>2481.654</v>
      </c>
      <c r="AD155" s="286">
        <f>Data!AF103</f>
        <v>2605.7366999999999</v>
      </c>
      <c r="AE155" s="191">
        <f>Data!AG103</f>
        <v>2605.7366999999999</v>
      </c>
      <c r="AF155" s="191">
        <f>Data!AH103</f>
        <v>2605.7366999999999</v>
      </c>
      <c r="AG155" s="191">
        <f>Data!AI103</f>
        <v>2605.7366999999999</v>
      </c>
      <c r="AH155" s="191">
        <f>Data!AJ103</f>
        <v>2605.7366999999999</v>
      </c>
      <c r="AI155" s="191">
        <f>Data!AK103</f>
        <v>2605.7366999999999</v>
      </c>
      <c r="AJ155" s="191">
        <f>Data!AL103</f>
        <v>2605.7366999999999</v>
      </c>
      <c r="AK155" s="191">
        <f>Data!AM103</f>
        <v>2605.7366999999999</v>
      </c>
      <c r="AL155" s="191">
        <f>Data!AN103</f>
        <v>2605.7366999999999</v>
      </c>
      <c r="AM155" s="191">
        <f>Data!AO103</f>
        <v>2605.7366999999999</v>
      </c>
      <c r="AN155" s="191">
        <f>Data!AP103</f>
        <v>2605.7366999999999</v>
      </c>
      <c r="AO155" s="191">
        <f>Data!AQ103</f>
        <v>2605.7366999999999</v>
      </c>
      <c r="AP155" s="286">
        <f>Data!AR103</f>
        <v>2736.0235350000003</v>
      </c>
      <c r="AQ155" s="191">
        <f>Data!AS103</f>
        <v>2736.0235350000003</v>
      </c>
      <c r="AR155" s="191">
        <f>Data!AT103</f>
        <v>2736.0235350000003</v>
      </c>
      <c r="AS155" s="191">
        <f>Data!AU103</f>
        <v>2736.0235350000003</v>
      </c>
      <c r="AT155" s="191">
        <f>Data!AV103</f>
        <v>2736.0235350000003</v>
      </c>
      <c r="AU155" s="191">
        <f>Data!AW103</f>
        <v>2736.0235350000003</v>
      </c>
      <c r="AV155" s="191">
        <f>Data!AX103</f>
        <v>2736.0235350000003</v>
      </c>
      <c r="AW155" s="191">
        <f>Data!AY103</f>
        <v>2736.0235350000003</v>
      </c>
      <c r="AX155" s="191">
        <f>Data!AZ103</f>
        <v>2736.0235350000003</v>
      </c>
      <c r="AY155" s="191">
        <f>Data!BA103</f>
        <v>2736.0235350000003</v>
      </c>
      <c r="AZ155" s="191">
        <f>Data!BB103</f>
        <v>2736.0235350000003</v>
      </c>
      <c r="BA155" s="191">
        <f>Data!BC103</f>
        <v>2736.0235350000003</v>
      </c>
      <c r="BB155" s="286">
        <f>Data!BD103</f>
        <v>2872.8247117500005</v>
      </c>
      <c r="BC155" s="191">
        <f>Data!BE103</f>
        <v>2872.8247117500005</v>
      </c>
      <c r="BD155" s="191">
        <f>Data!BF103</f>
        <v>2872.8247117500005</v>
      </c>
      <c r="BE155" s="191">
        <f>Data!BG103</f>
        <v>2872.8247117500005</v>
      </c>
      <c r="BF155" s="191">
        <f>Data!BH103</f>
        <v>2872.8247117500005</v>
      </c>
      <c r="BG155" s="191">
        <f>Data!BI103</f>
        <v>2872.8247117500005</v>
      </c>
      <c r="BH155" s="191">
        <f>Data!BJ103</f>
        <v>2872.8247117500005</v>
      </c>
      <c r="BI155" s="191">
        <f>Data!BK103</f>
        <v>2872.8247117500005</v>
      </c>
      <c r="BJ155" s="191">
        <f>Data!BL103</f>
        <v>2872.8247117500005</v>
      </c>
      <c r="BK155" s="191">
        <f>Data!BM103</f>
        <v>2872.8247117500005</v>
      </c>
      <c r="BL155" s="191">
        <f>Data!BN103</f>
        <v>2872.8247117500005</v>
      </c>
      <c r="BM155" s="191">
        <f>Data!BO103</f>
        <v>2872.8247117500005</v>
      </c>
      <c r="BN155" s="191">
        <f>Data!BP103</f>
        <v>3016.4659473375004</v>
      </c>
      <c r="BO155" s="191">
        <f>Data!BQ103</f>
        <v>3016.4659473375004</v>
      </c>
      <c r="BP155" s="191">
        <f>Data!BR103</f>
        <v>3016.4659473375004</v>
      </c>
      <c r="BQ155" s="191">
        <f>Data!BS103</f>
        <v>3016.4659473375004</v>
      </c>
      <c r="BR155" s="191">
        <f>Data!BT103</f>
        <v>3016.4659473375004</v>
      </c>
      <c r="BS155" s="191">
        <f>Data!BU103</f>
        <v>3016.4659473375004</v>
      </c>
      <c r="BT155" s="191">
        <f>Data!BV103</f>
        <v>3016.4659473375004</v>
      </c>
      <c r="BU155" s="191">
        <f>Data!BW103</f>
        <v>3016.4659473375004</v>
      </c>
      <c r="BV155" s="191">
        <f>Data!BX103</f>
        <v>3016.4659473375004</v>
      </c>
      <c r="BW155" s="191">
        <f>Data!BY103</f>
        <v>3016.4659473375004</v>
      </c>
      <c r="BX155" s="191">
        <f>Data!BZ103</f>
        <v>3016.4659473375004</v>
      </c>
      <c r="BY155" s="191">
        <f>Data!CA103</f>
        <v>3016.4659473375004</v>
      </c>
      <c r="BZ155" s="191">
        <f>Data!CB103</f>
        <v>3167.2892447043755</v>
      </c>
      <c r="CA155" s="191">
        <f>Data!CC103</f>
        <v>3167.2892447043755</v>
      </c>
      <c r="CB155" s="191">
        <f>Data!CD103</f>
        <v>3167.2892447043755</v>
      </c>
      <c r="CC155" s="191">
        <f>Data!CE103</f>
        <v>3167.2892447043755</v>
      </c>
      <c r="CD155" s="191">
        <f>Data!CF103</f>
        <v>3167.2892447043755</v>
      </c>
      <c r="CE155" s="191">
        <f>Data!CG103</f>
        <v>3167.2892447043755</v>
      </c>
      <c r="CF155" s="191">
        <f>Data!CH103</f>
        <v>3167.2892447043755</v>
      </c>
      <c r="CG155" s="191">
        <f>Data!CI103</f>
        <v>3167.2892447043755</v>
      </c>
      <c r="CH155" s="191">
        <f>Data!CJ103</f>
        <v>3167.2892447043755</v>
      </c>
      <c r="CI155" s="191">
        <f>Data!CK103</f>
        <v>3167.2892447043755</v>
      </c>
      <c r="CJ155" s="191">
        <f>Data!CL103</f>
        <v>3167.2892447043755</v>
      </c>
      <c r="CK155" s="191">
        <f>Data!CM103</f>
        <v>3167.2892447043755</v>
      </c>
      <c r="CL155" s="191">
        <f>Data!CN103</f>
        <v>3325.6537069395945</v>
      </c>
      <c r="CM155" s="191">
        <f>Data!CO103</f>
        <v>3325.6537069395945</v>
      </c>
      <c r="CN155" s="191">
        <f>Data!CP103</f>
        <v>3325.6537069395945</v>
      </c>
      <c r="CO155" s="191">
        <f>Data!CQ103</f>
        <v>3325.6537069395945</v>
      </c>
      <c r="CP155" s="191">
        <f>Data!CR103</f>
        <v>3325.6537069395945</v>
      </c>
      <c r="CQ155" s="191">
        <f>Data!CS103</f>
        <v>3325.6537069395945</v>
      </c>
      <c r="CR155" s="191">
        <f>Data!CT103</f>
        <v>3325.6537069395945</v>
      </c>
      <c r="CS155" s="191">
        <f>Data!CU103</f>
        <v>3325.6537069395945</v>
      </c>
      <c r="CT155" s="191">
        <f>Data!CV103</f>
        <v>3325.6537069395945</v>
      </c>
      <c r="CU155" s="191">
        <f>Data!CW103</f>
        <v>3325.6537069395945</v>
      </c>
      <c r="CV155" s="191">
        <f>Data!CX103</f>
        <v>3325.6537069395945</v>
      </c>
      <c r="CW155" s="191">
        <f>Data!CY103</f>
        <v>3325.6537069395945</v>
      </c>
      <c r="CX155" s="191">
        <f>Data!CZ103</f>
        <v>3491.9363922865746</v>
      </c>
      <c r="CY155" s="191">
        <f>Data!DA103</f>
        <v>3491.9363922865746</v>
      </c>
      <c r="CZ155" s="191">
        <f>Data!DB103</f>
        <v>3491.9363922865746</v>
      </c>
      <c r="DA155" s="191">
        <f>Data!DC103</f>
        <v>3491.9363922865746</v>
      </c>
      <c r="DB155" s="191">
        <f>Data!DD103</f>
        <v>3491.9363922865746</v>
      </c>
      <c r="DC155" s="191">
        <f>Data!DE103</f>
        <v>3491.9363922865746</v>
      </c>
      <c r="DD155" s="191">
        <f>Data!DF103</f>
        <v>3491.9363922865746</v>
      </c>
      <c r="DE155" s="191">
        <f>Data!DG103</f>
        <v>3491.9363922865746</v>
      </c>
      <c r="DF155" s="191">
        <f>Data!DH103</f>
        <v>3491.9363922865746</v>
      </c>
      <c r="DG155" s="191">
        <f>Data!DI103</f>
        <v>3491.9363922865746</v>
      </c>
      <c r="DH155" s="191">
        <f>Data!DJ103</f>
        <v>3491.9363922865746</v>
      </c>
      <c r="DI155" s="191">
        <f>Data!DK103</f>
        <v>3491.9363922865746</v>
      </c>
      <c r="DJ155" s="191">
        <f>Data!DL103</f>
        <v>3666.5332119009036</v>
      </c>
      <c r="DK155" s="191">
        <f>Data!DM103</f>
        <v>3666.5332119009036</v>
      </c>
      <c r="DL155" s="191">
        <f>Data!DN103</f>
        <v>3666.5332119009036</v>
      </c>
      <c r="DM155" s="191">
        <f>Data!DO103</f>
        <v>3666.5332119009036</v>
      </c>
      <c r="DN155" s="191">
        <f>Data!DP103</f>
        <v>3666.5332119009036</v>
      </c>
      <c r="DO155" s="191">
        <f>Data!DQ103</f>
        <v>3666.5332119009036</v>
      </c>
      <c r="DP155" s="191">
        <f>Data!DR103</f>
        <v>3666.5332119009036</v>
      </c>
      <c r="DQ155" s="191">
        <f>Data!DS103</f>
        <v>3666.5332119009036</v>
      </c>
      <c r="DR155" s="191">
        <f>Data!DT103</f>
        <v>3666.5332119009036</v>
      </c>
      <c r="DS155" s="191">
        <f>Data!DU103</f>
        <v>3666.5332119009036</v>
      </c>
      <c r="DT155" s="191">
        <f>Data!DV103</f>
        <v>3666.5332119009036</v>
      </c>
      <c r="DU155" s="443">
        <f>Data!DW103</f>
        <v>3666.5332119009036</v>
      </c>
      <c r="DV155" s="705"/>
    </row>
    <row r="156" spans="1:126" x14ac:dyDescent="0.3">
      <c r="B156" s="629" t="str">
        <f>Data!D104</f>
        <v>Recruitment BGV / Emp</v>
      </c>
      <c r="C156" s="583"/>
      <c r="D156" s="405"/>
      <c r="E156" s="190">
        <f>Data!G104</f>
        <v>7933.48</v>
      </c>
      <c r="F156" s="191">
        <f>Data!H104</f>
        <v>7933.48</v>
      </c>
      <c r="G156" s="191">
        <f>Data!I104</f>
        <v>7933.48</v>
      </c>
      <c r="H156" s="191">
        <f>Data!J104</f>
        <v>7933.48</v>
      </c>
      <c r="I156" s="191">
        <f>Data!K104</f>
        <v>7933.48</v>
      </c>
      <c r="J156" s="191">
        <f>Data!L104</f>
        <v>7933.48</v>
      </c>
      <c r="K156" s="191">
        <f>Data!M104</f>
        <v>7933.48</v>
      </c>
      <c r="L156" s="191">
        <f>Data!N104</f>
        <v>7933.48</v>
      </c>
      <c r="M156" s="191">
        <f>Data!O104</f>
        <v>7933.48</v>
      </c>
      <c r="N156" s="191">
        <f>Data!P104</f>
        <v>7933.48</v>
      </c>
      <c r="O156" s="191">
        <f>Data!Q104</f>
        <v>7933.48</v>
      </c>
      <c r="P156" s="191">
        <f>Data!R104</f>
        <v>7933.48</v>
      </c>
      <c r="Q156" s="191">
        <f>Data!S104</f>
        <v>7933.48</v>
      </c>
      <c r="R156" s="286">
        <f>Data!T104</f>
        <v>8330.1540000000005</v>
      </c>
      <c r="S156" s="191">
        <f>Data!U104</f>
        <v>8330.1540000000005</v>
      </c>
      <c r="T156" s="191">
        <f>Data!V104</f>
        <v>8330.1540000000005</v>
      </c>
      <c r="U156" s="191">
        <f>Data!W104</f>
        <v>8330.1540000000005</v>
      </c>
      <c r="V156" s="191">
        <f>Data!X104</f>
        <v>8330.1540000000005</v>
      </c>
      <c r="W156" s="191">
        <f>Data!Y104</f>
        <v>8330.1540000000005</v>
      </c>
      <c r="X156" s="191">
        <f>Data!Z104</f>
        <v>8330.1540000000005</v>
      </c>
      <c r="Y156" s="191">
        <f>Data!AA104</f>
        <v>8330.1540000000005</v>
      </c>
      <c r="Z156" s="191">
        <f>Data!AB104</f>
        <v>8330.1540000000005</v>
      </c>
      <c r="AA156" s="191">
        <f>Data!AC104</f>
        <v>8330.1540000000005</v>
      </c>
      <c r="AB156" s="191">
        <f>Data!AD104</f>
        <v>8330.1540000000005</v>
      </c>
      <c r="AC156" s="191">
        <f>Data!AE104</f>
        <v>8330.1540000000005</v>
      </c>
      <c r="AD156" s="286">
        <f>Data!AF104</f>
        <v>8746.6617000000006</v>
      </c>
      <c r="AE156" s="191">
        <f>Data!AG104</f>
        <v>8746.6617000000006</v>
      </c>
      <c r="AF156" s="191">
        <f>Data!AH104</f>
        <v>8746.6617000000006</v>
      </c>
      <c r="AG156" s="191">
        <f>Data!AI104</f>
        <v>8746.6617000000006</v>
      </c>
      <c r="AH156" s="191">
        <f>Data!AJ104</f>
        <v>8746.6617000000006</v>
      </c>
      <c r="AI156" s="191">
        <f>Data!AK104</f>
        <v>8746.6617000000006</v>
      </c>
      <c r="AJ156" s="191">
        <f>Data!AL104</f>
        <v>8746.6617000000006</v>
      </c>
      <c r="AK156" s="191">
        <f>Data!AM104</f>
        <v>8746.6617000000006</v>
      </c>
      <c r="AL156" s="191">
        <f>Data!AN104</f>
        <v>8746.6617000000006</v>
      </c>
      <c r="AM156" s="191">
        <f>Data!AO104</f>
        <v>8746.6617000000006</v>
      </c>
      <c r="AN156" s="191">
        <f>Data!AP104</f>
        <v>8746.6617000000006</v>
      </c>
      <c r="AO156" s="191">
        <f>Data!AQ104</f>
        <v>8746.6617000000006</v>
      </c>
      <c r="AP156" s="286">
        <f>Data!AR104</f>
        <v>9183.9947850000008</v>
      </c>
      <c r="AQ156" s="191">
        <f>Data!AS104</f>
        <v>9183.9947850000008</v>
      </c>
      <c r="AR156" s="191">
        <f>Data!AT104</f>
        <v>9183.9947850000008</v>
      </c>
      <c r="AS156" s="191">
        <f>Data!AU104</f>
        <v>9183.9947850000008</v>
      </c>
      <c r="AT156" s="191">
        <f>Data!AV104</f>
        <v>9183.9947850000008</v>
      </c>
      <c r="AU156" s="191">
        <f>Data!AW104</f>
        <v>9183.9947850000008</v>
      </c>
      <c r="AV156" s="191">
        <f>Data!AX104</f>
        <v>9183.9947850000008</v>
      </c>
      <c r="AW156" s="191">
        <f>Data!AY104</f>
        <v>9183.9947850000008</v>
      </c>
      <c r="AX156" s="191">
        <f>Data!AZ104</f>
        <v>9183.9947850000008</v>
      </c>
      <c r="AY156" s="191">
        <f>Data!BA104</f>
        <v>9183.9947850000008</v>
      </c>
      <c r="AZ156" s="191">
        <f>Data!BB104</f>
        <v>9183.9947850000008</v>
      </c>
      <c r="BA156" s="191">
        <f>Data!BC104</f>
        <v>9183.9947850000008</v>
      </c>
      <c r="BB156" s="286">
        <f>Data!BD104</f>
        <v>9643.1945242500005</v>
      </c>
      <c r="BC156" s="191">
        <f>Data!BE104</f>
        <v>9643.1945242500005</v>
      </c>
      <c r="BD156" s="191">
        <f>Data!BF104</f>
        <v>9643.1945242500005</v>
      </c>
      <c r="BE156" s="191">
        <f>Data!BG104</f>
        <v>9643.1945242500005</v>
      </c>
      <c r="BF156" s="191">
        <f>Data!BH104</f>
        <v>9643.1945242500005</v>
      </c>
      <c r="BG156" s="191">
        <f>Data!BI104</f>
        <v>9643.1945242500005</v>
      </c>
      <c r="BH156" s="191">
        <f>Data!BJ104</f>
        <v>9643.1945242500005</v>
      </c>
      <c r="BI156" s="191">
        <f>Data!BK104</f>
        <v>9643.1945242500005</v>
      </c>
      <c r="BJ156" s="191">
        <f>Data!BL104</f>
        <v>9643.1945242500005</v>
      </c>
      <c r="BK156" s="191">
        <f>Data!BM104</f>
        <v>9643.1945242500005</v>
      </c>
      <c r="BL156" s="191">
        <f>Data!BN104</f>
        <v>9643.1945242500005</v>
      </c>
      <c r="BM156" s="191">
        <f>Data!BO104</f>
        <v>9643.1945242500005</v>
      </c>
      <c r="BN156" s="191">
        <f>Data!BP104</f>
        <v>10125.3542504625</v>
      </c>
      <c r="BO156" s="191">
        <f>Data!BQ104</f>
        <v>10125.3542504625</v>
      </c>
      <c r="BP156" s="191">
        <f>Data!BR104</f>
        <v>10125.3542504625</v>
      </c>
      <c r="BQ156" s="191">
        <f>Data!BS104</f>
        <v>10125.3542504625</v>
      </c>
      <c r="BR156" s="191">
        <f>Data!BT104</f>
        <v>10125.3542504625</v>
      </c>
      <c r="BS156" s="191">
        <f>Data!BU104</f>
        <v>10125.3542504625</v>
      </c>
      <c r="BT156" s="191">
        <f>Data!BV104</f>
        <v>10125.3542504625</v>
      </c>
      <c r="BU156" s="191">
        <f>Data!BW104</f>
        <v>10125.3542504625</v>
      </c>
      <c r="BV156" s="191">
        <f>Data!BX104</f>
        <v>10125.3542504625</v>
      </c>
      <c r="BW156" s="191">
        <f>Data!BY104</f>
        <v>10125.3542504625</v>
      </c>
      <c r="BX156" s="191">
        <f>Data!BZ104</f>
        <v>10125.3542504625</v>
      </c>
      <c r="BY156" s="191">
        <f>Data!CA104</f>
        <v>10125.3542504625</v>
      </c>
      <c r="BZ156" s="191">
        <f>Data!CB104</f>
        <v>10631.621962985626</v>
      </c>
      <c r="CA156" s="191">
        <f>Data!CC104</f>
        <v>10631.621962985626</v>
      </c>
      <c r="CB156" s="191">
        <f>Data!CD104</f>
        <v>10631.621962985626</v>
      </c>
      <c r="CC156" s="191">
        <f>Data!CE104</f>
        <v>10631.621962985626</v>
      </c>
      <c r="CD156" s="191">
        <f>Data!CF104</f>
        <v>10631.621962985626</v>
      </c>
      <c r="CE156" s="191">
        <f>Data!CG104</f>
        <v>10631.621962985626</v>
      </c>
      <c r="CF156" s="191">
        <f>Data!CH104</f>
        <v>10631.621962985626</v>
      </c>
      <c r="CG156" s="191">
        <f>Data!CI104</f>
        <v>10631.621962985626</v>
      </c>
      <c r="CH156" s="191">
        <f>Data!CJ104</f>
        <v>10631.621962985626</v>
      </c>
      <c r="CI156" s="191">
        <f>Data!CK104</f>
        <v>10631.621962985626</v>
      </c>
      <c r="CJ156" s="191">
        <f>Data!CL104</f>
        <v>10631.621962985626</v>
      </c>
      <c r="CK156" s="191">
        <f>Data!CM104</f>
        <v>10631.621962985626</v>
      </c>
      <c r="CL156" s="191">
        <f>Data!CN104</f>
        <v>11163.203061134907</v>
      </c>
      <c r="CM156" s="191">
        <f>Data!CO104</f>
        <v>11163.203061134907</v>
      </c>
      <c r="CN156" s="191">
        <f>Data!CP104</f>
        <v>11163.203061134907</v>
      </c>
      <c r="CO156" s="191">
        <f>Data!CQ104</f>
        <v>11163.203061134907</v>
      </c>
      <c r="CP156" s="191">
        <f>Data!CR104</f>
        <v>11163.203061134907</v>
      </c>
      <c r="CQ156" s="191">
        <f>Data!CS104</f>
        <v>11163.203061134907</v>
      </c>
      <c r="CR156" s="191">
        <f>Data!CT104</f>
        <v>11163.203061134907</v>
      </c>
      <c r="CS156" s="191">
        <f>Data!CU104</f>
        <v>11163.203061134907</v>
      </c>
      <c r="CT156" s="191">
        <f>Data!CV104</f>
        <v>11163.203061134907</v>
      </c>
      <c r="CU156" s="191">
        <f>Data!CW104</f>
        <v>11163.203061134907</v>
      </c>
      <c r="CV156" s="191">
        <f>Data!CX104</f>
        <v>11163.203061134907</v>
      </c>
      <c r="CW156" s="191">
        <f>Data!CY104</f>
        <v>11163.203061134907</v>
      </c>
      <c r="CX156" s="191">
        <f>Data!CZ104</f>
        <v>11721.363214191653</v>
      </c>
      <c r="CY156" s="191">
        <f>Data!DA104</f>
        <v>11721.363214191653</v>
      </c>
      <c r="CZ156" s="191">
        <f>Data!DB104</f>
        <v>11721.363214191653</v>
      </c>
      <c r="DA156" s="191">
        <f>Data!DC104</f>
        <v>11721.363214191653</v>
      </c>
      <c r="DB156" s="191">
        <f>Data!DD104</f>
        <v>11721.363214191653</v>
      </c>
      <c r="DC156" s="191">
        <f>Data!DE104</f>
        <v>11721.363214191653</v>
      </c>
      <c r="DD156" s="191">
        <f>Data!DF104</f>
        <v>11721.363214191653</v>
      </c>
      <c r="DE156" s="191">
        <f>Data!DG104</f>
        <v>11721.363214191653</v>
      </c>
      <c r="DF156" s="191">
        <f>Data!DH104</f>
        <v>11721.363214191653</v>
      </c>
      <c r="DG156" s="191">
        <f>Data!DI104</f>
        <v>11721.363214191653</v>
      </c>
      <c r="DH156" s="191">
        <f>Data!DJ104</f>
        <v>11721.363214191653</v>
      </c>
      <c r="DI156" s="191">
        <f>Data!DK104</f>
        <v>11721.363214191653</v>
      </c>
      <c r="DJ156" s="191">
        <f>Data!DL104</f>
        <v>12307.431374901236</v>
      </c>
      <c r="DK156" s="191">
        <f>Data!DM104</f>
        <v>12307.431374901236</v>
      </c>
      <c r="DL156" s="191">
        <f>Data!DN104</f>
        <v>12307.431374901236</v>
      </c>
      <c r="DM156" s="191">
        <f>Data!DO104</f>
        <v>12307.431374901236</v>
      </c>
      <c r="DN156" s="191">
        <f>Data!DP104</f>
        <v>12307.431374901236</v>
      </c>
      <c r="DO156" s="191">
        <f>Data!DQ104</f>
        <v>12307.431374901236</v>
      </c>
      <c r="DP156" s="191">
        <f>Data!DR104</f>
        <v>12307.431374901236</v>
      </c>
      <c r="DQ156" s="191">
        <f>Data!DS104</f>
        <v>12307.431374901236</v>
      </c>
      <c r="DR156" s="191">
        <f>Data!DT104</f>
        <v>12307.431374901236</v>
      </c>
      <c r="DS156" s="191">
        <f>Data!DU104</f>
        <v>12307.431374901236</v>
      </c>
      <c r="DT156" s="191">
        <f>Data!DV104</f>
        <v>12307.431374901236</v>
      </c>
      <c r="DU156" s="443">
        <f>Data!DW104</f>
        <v>12307.431374901236</v>
      </c>
      <c r="DV156" s="705"/>
    </row>
    <row r="157" spans="1:126" x14ac:dyDescent="0.3">
      <c r="B157" s="629" t="str">
        <f>Data!D105</f>
        <v>Training / Emp</v>
      </c>
      <c r="C157" s="583"/>
      <c r="D157" s="405"/>
      <c r="E157" s="190">
        <f>Data!G105</f>
        <v>300</v>
      </c>
      <c r="F157" s="191">
        <f>Data!H105</f>
        <v>300</v>
      </c>
      <c r="G157" s="191">
        <f>Data!I105</f>
        <v>300</v>
      </c>
      <c r="H157" s="191">
        <f>Data!J105</f>
        <v>300</v>
      </c>
      <c r="I157" s="191">
        <f>Data!K105</f>
        <v>300</v>
      </c>
      <c r="J157" s="191">
        <f>Data!L105</f>
        <v>300</v>
      </c>
      <c r="K157" s="191">
        <f>Data!M105</f>
        <v>300</v>
      </c>
      <c r="L157" s="191">
        <f>Data!N105</f>
        <v>300</v>
      </c>
      <c r="M157" s="191">
        <f>Data!O105</f>
        <v>300</v>
      </c>
      <c r="N157" s="191">
        <f>Data!P105</f>
        <v>300</v>
      </c>
      <c r="O157" s="191">
        <f>Data!Q105</f>
        <v>300</v>
      </c>
      <c r="P157" s="191">
        <f>Data!R105</f>
        <v>300</v>
      </c>
      <c r="Q157" s="191">
        <f>Data!S105</f>
        <v>300</v>
      </c>
      <c r="R157" s="286">
        <f>Data!T105</f>
        <v>315</v>
      </c>
      <c r="S157" s="191">
        <f>Data!U105</f>
        <v>315</v>
      </c>
      <c r="T157" s="191">
        <f>Data!V105</f>
        <v>315</v>
      </c>
      <c r="U157" s="191">
        <f>Data!W105</f>
        <v>315</v>
      </c>
      <c r="V157" s="191">
        <f>Data!X105</f>
        <v>315</v>
      </c>
      <c r="W157" s="191">
        <f>Data!Y105</f>
        <v>315</v>
      </c>
      <c r="X157" s="191">
        <f>Data!Z105</f>
        <v>315</v>
      </c>
      <c r="Y157" s="191">
        <f>Data!AA105</f>
        <v>315</v>
      </c>
      <c r="Z157" s="191">
        <f>Data!AB105</f>
        <v>315</v>
      </c>
      <c r="AA157" s="191">
        <f>Data!AC105</f>
        <v>315</v>
      </c>
      <c r="AB157" s="191">
        <f>Data!AD105</f>
        <v>315</v>
      </c>
      <c r="AC157" s="191">
        <f>Data!AE105</f>
        <v>315</v>
      </c>
      <c r="AD157" s="286">
        <f>Data!AF105</f>
        <v>330.75</v>
      </c>
      <c r="AE157" s="191">
        <f>Data!AG105</f>
        <v>330.75</v>
      </c>
      <c r="AF157" s="191">
        <f>Data!AH105</f>
        <v>330.75</v>
      </c>
      <c r="AG157" s="191">
        <f>Data!AI105</f>
        <v>330.75</v>
      </c>
      <c r="AH157" s="191">
        <f>Data!AJ105</f>
        <v>330.75</v>
      </c>
      <c r="AI157" s="191">
        <f>Data!AK105</f>
        <v>330.75</v>
      </c>
      <c r="AJ157" s="191">
        <f>Data!AL105</f>
        <v>330.75</v>
      </c>
      <c r="AK157" s="191">
        <f>Data!AM105</f>
        <v>330.75</v>
      </c>
      <c r="AL157" s="191">
        <f>Data!AN105</f>
        <v>330.75</v>
      </c>
      <c r="AM157" s="191">
        <f>Data!AO105</f>
        <v>330.75</v>
      </c>
      <c r="AN157" s="191">
        <f>Data!AP105</f>
        <v>330.75</v>
      </c>
      <c r="AO157" s="191">
        <f>Data!AQ105</f>
        <v>330.75</v>
      </c>
      <c r="AP157" s="286">
        <f>Data!AR105</f>
        <v>347.28750000000002</v>
      </c>
      <c r="AQ157" s="191">
        <f>Data!AS105</f>
        <v>347.28750000000002</v>
      </c>
      <c r="AR157" s="191">
        <f>Data!AT105</f>
        <v>347.28750000000002</v>
      </c>
      <c r="AS157" s="191">
        <f>Data!AU105</f>
        <v>347.28750000000002</v>
      </c>
      <c r="AT157" s="191">
        <f>Data!AV105</f>
        <v>347.28750000000002</v>
      </c>
      <c r="AU157" s="191">
        <f>Data!AW105</f>
        <v>347.28750000000002</v>
      </c>
      <c r="AV157" s="191">
        <f>Data!AX105</f>
        <v>347.28750000000002</v>
      </c>
      <c r="AW157" s="191">
        <f>Data!AY105</f>
        <v>347.28750000000002</v>
      </c>
      <c r="AX157" s="191">
        <f>Data!AZ105</f>
        <v>347.28750000000002</v>
      </c>
      <c r="AY157" s="191">
        <f>Data!BA105</f>
        <v>347.28750000000002</v>
      </c>
      <c r="AZ157" s="191">
        <f>Data!BB105</f>
        <v>347.28750000000002</v>
      </c>
      <c r="BA157" s="191">
        <f>Data!BC105</f>
        <v>347.28750000000002</v>
      </c>
      <c r="BB157" s="286">
        <f>Data!BD105</f>
        <v>364.65187500000002</v>
      </c>
      <c r="BC157" s="191">
        <f>Data!BE105</f>
        <v>364.65187500000002</v>
      </c>
      <c r="BD157" s="191">
        <f>Data!BF105</f>
        <v>364.65187500000002</v>
      </c>
      <c r="BE157" s="191">
        <f>Data!BG105</f>
        <v>364.65187500000002</v>
      </c>
      <c r="BF157" s="191">
        <f>Data!BH105</f>
        <v>364.65187500000002</v>
      </c>
      <c r="BG157" s="191">
        <f>Data!BI105</f>
        <v>364.65187500000002</v>
      </c>
      <c r="BH157" s="191">
        <f>Data!BJ105</f>
        <v>364.65187500000002</v>
      </c>
      <c r="BI157" s="191">
        <f>Data!BK105</f>
        <v>364.65187500000002</v>
      </c>
      <c r="BJ157" s="191">
        <f>Data!BL105</f>
        <v>364.65187500000002</v>
      </c>
      <c r="BK157" s="191">
        <f>Data!BM105</f>
        <v>364.65187500000002</v>
      </c>
      <c r="BL157" s="191">
        <f>Data!BN105</f>
        <v>364.65187500000002</v>
      </c>
      <c r="BM157" s="191">
        <f>Data!BO105</f>
        <v>364.65187500000002</v>
      </c>
      <c r="BN157" s="191">
        <f>Data!BP105</f>
        <v>382.88446875000005</v>
      </c>
      <c r="BO157" s="191">
        <f>Data!BQ105</f>
        <v>382.88446875000005</v>
      </c>
      <c r="BP157" s="191">
        <f>Data!BR105</f>
        <v>382.88446875000005</v>
      </c>
      <c r="BQ157" s="191">
        <f>Data!BS105</f>
        <v>382.88446875000005</v>
      </c>
      <c r="BR157" s="191">
        <f>Data!BT105</f>
        <v>382.88446875000005</v>
      </c>
      <c r="BS157" s="191">
        <f>Data!BU105</f>
        <v>382.88446875000005</v>
      </c>
      <c r="BT157" s="191">
        <f>Data!BV105</f>
        <v>382.88446875000005</v>
      </c>
      <c r="BU157" s="191">
        <f>Data!BW105</f>
        <v>382.88446875000005</v>
      </c>
      <c r="BV157" s="191">
        <f>Data!BX105</f>
        <v>382.88446875000005</v>
      </c>
      <c r="BW157" s="191">
        <f>Data!BY105</f>
        <v>382.88446875000005</v>
      </c>
      <c r="BX157" s="191">
        <f>Data!BZ105</f>
        <v>382.88446875000005</v>
      </c>
      <c r="BY157" s="191">
        <f>Data!CA105</f>
        <v>382.88446875000005</v>
      </c>
      <c r="BZ157" s="191">
        <f>Data!CB105</f>
        <v>402.0286921875001</v>
      </c>
      <c r="CA157" s="191">
        <f>Data!CC105</f>
        <v>402.0286921875001</v>
      </c>
      <c r="CB157" s="191">
        <f>Data!CD105</f>
        <v>402.0286921875001</v>
      </c>
      <c r="CC157" s="191">
        <f>Data!CE105</f>
        <v>402.0286921875001</v>
      </c>
      <c r="CD157" s="191">
        <f>Data!CF105</f>
        <v>402.0286921875001</v>
      </c>
      <c r="CE157" s="191">
        <f>Data!CG105</f>
        <v>402.0286921875001</v>
      </c>
      <c r="CF157" s="191">
        <f>Data!CH105</f>
        <v>402.0286921875001</v>
      </c>
      <c r="CG157" s="191">
        <f>Data!CI105</f>
        <v>402.0286921875001</v>
      </c>
      <c r="CH157" s="191">
        <f>Data!CJ105</f>
        <v>402.0286921875001</v>
      </c>
      <c r="CI157" s="191">
        <f>Data!CK105</f>
        <v>402.0286921875001</v>
      </c>
      <c r="CJ157" s="191">
        <f>Data!CL105</f>
        <v>402.0286921875001</v>
      </c>
      <c r="CK157" s="191">
        <f>Data!CM105</f>
        <v>402.0286921875001</v>
      </c>
      <c r="CL157" s="191">
        <f>Data!CN105</f>
        <v>422.13012679687512</v>
      </c>
      <c r="CM157" s="191">
        <f>Data!CO105</f>
        <v>422.13012679687512</v>
      </c>
      <c r="CN157" s="191">
        <f>Data!CP105</f>
        <v>422.13012679687512</v>
      </c>
      <c r="CO157" s="191">
        <f>Data!CQ105</f>
        <v>422.13012679687512</v>
      </c>
      <c r="CP157" s="191">
        <f>Data!CR105</f>
        <v>422.13012679687512</v>
      </c>
      <c r="CQ157" s="191">
        <f>Data!CS105</f>
        <v>422.13012679687512</v>
      </c>
      <c r="CR157" s="191">
        <f>Data!CT105</f>
        <v>422.13012679687512</v>
      </c>
      <c r="CS157" s="191">
        <f>Data!CU105</f>
        <v>422.13012679687512</v>
      </c>
      <c r="CT157" s="191">
        <f>Data!CV105</f>
        <v>422.13012679687512</v>
      </c>
      <c r="CU157" s="191">
        <f>Data!CW105</f>
        <v>422.13012679687512</v>
      </c>
      <c r="CV157" s="191">
        <f>Data!CX105</f>
        <v>422.13012679687512</v>
      </c>
      <c r="CW157" s="191">
        <f>Data!CY105</f>
        <v>422.13012679687512</v>
      </c>
      <c r="CX157" s="191">
        <f>Data!CZ105</f>
        <v>443.23663313671886</v>
      </c>
      <c r="CY157" s="191">
        <f>Data!DA105</f>
        <v>443.23663313671886</v>
      </c>
      <c r="CZ157" s="191">
        <f>Data!DB105</f>
        <v>443.23663313671886</v>
      </c>
      <c r="DA157" s="191">
        <f>Data!DC105</f>
        <v>443.23663313671886</v>
      </c>
      <c r="DB157" s="191">
        <f>Data!DD105</f>
        <v>443.23663313671886</v>
      </c>
      <c r="DC157" s="191">
        <f>Data!DE105</f>
        <v>443.23663313671886</v>
      </c>
      <c r="DD157" s="191">
        <f>Data!DF105</f>
        <v>443.23663313671886</v>
      </c>
      <c r="DE157" s="191">
        <f>Data!DG105</f>
        <v>443.23663313671886</v>
      </c>
      <c r="DF157" s="191">
        <f>Data!DH105</f>
        <v>443.23663313671886</v>
      </c>
      <c r="DG157" s="191">
        <f>Data!DI105</f>
        <v>443.23663313671886</v>
      </c>
      <c r="DH157" s="191">
        <f>Data!DJ105</f>
        <v>443.23663313671886</v>
      </c>
      <c r="DI157" s="191">
        <f>Data!DK105</f>
        <v>443.23663313671886</v>
      </c>
      <c r="DJ157" s="191">
        <f>Data!DL105</f>
        <v>465.39846479355481</v>
      </c>
      <c r="DK157" s="191">
        <f>Data!DM105</f>
        <v>465.39846479355481</v>
      </c>
      <c r="DL157" s="191">
        <f>Data!DN105</f>
        <v>465.39846479355481</v>
      </c>
      <c r="DM157" s="191">
        <f>Data!DO105</f>
        <v>465.39846479355481</v>
      </c>
      <c r="DN157" s="191">
        <f>Data!DP105</f>
        <v>465.39846479355481</v>
      </c>
      <c r="DO157" s="191">
        <f>Data!DQ105</f>
        <v>465.39846479355481</v>
      </c>
      <c r="DP157" s="191">
        <f>Data!DR105</f>
        <v>465.39846479355481</v>
      </c>
      <c r="DQ157" s="191">
        <f>Data!DS105</f>
        <v>465.39846479355481</v>
      </c>
      <c r="DR157" s="191">
        <f>Data!DT105</f>
        <v>465.39846479355481</v>
      </c>
      <c r="DS157" s="191">
        <f>Data!DU105</f>
        <v>465.39846479355481</v>
      </c>
      <c r="DT157" s="191">
        <f>Data!DV105</f>
        <v>465.39846479355481</v>
      </c>
      <c r="DU157" s="443">
        <f>Data!DW105</f>
        <v>465.39846479355481</v>
      </c>
      <c r="DV157" s="705"/>
    </row>
    <row r="158" spans="1:126" x14ac:dyDescent="0.3">
      <c r="B158" s="629" t="str">
        <f>Data!D106</f>
        <v>Conveyance &amp; Car Hire/Emp</v>
      </c>
      <c r="C158" s="583"/>
      <c r="D158" s="405"/>
      <c r="E158" s="190">
        <f>Data!G106</f>
        <v>3331.25</v>
      </c>
      <c r="F158" s="191">
        <f>Data!H106</f>
        <v>3331.25</v>
      </c>
      <c r="G158" s="191">
        <f>Data!I106</f>
        <v>3331.25</v>
      </c>
      <c r="H158" s="191">
        <f>Data!J106</f>
        <v>3331.25</v>
      </c>
      <c r="I158" s="191">
        <f>Data!K106</f>
        <v>3331.25</v>
      </c>
      <c r="J158" s="191">
        <f>Data!L106</f>
        <v>3331.25</v>
      </c>
      <c r="K158" s="191">
        <f>Data!M106</f>
        <v>3331.25</v>
      </c>
      <c r="L158" s="191">
        <f>Data!N106</f>
        <v>3331.25</v>
      </c>
      <c r="M158" s="191">
        <f>Data!O106</f>
        <v>3331.25</v>
      </c>
      <c r="N158" s="191">
        <f>Data!P106</f>
        <v>3331.25</v>
      </c>
      <c r="O158" s="191">
        <f>Data!Q106</f>
        <v>3331.25</v>
      </c>
      <c r="P158" s="191">
        <f>Data!R106</f>
        <v>3331.25</v>
      </c>
      <c r="Q158" s="191">
        <f>Data!S106</f>
        <v>3331.25</v>
      </c>
      <c r="R158" s="286">
        <f>Data!T106</f>
        <v>3497.8125</v>
      </c>
      <c r="S158" s="191">
        <f>Data!U106</f>
        <v>3497.8125</v>
      </c>
      <c r="T158" s="191">
        <f>Data!V106</f>
        <v>3497.8125</v>
      </c>
      <c r="U158" s="191">
        <f>Data!W106</f>
        <v>3497.8125</v>
      </c>
      <c r="V158" s="191">
        <f>Data!X106</f>
        <v>3497.8125</v>
      </c>
      <c r="W158" s="191">
        <f>Data!Y106</f>
        <v>3497.8125</v>
      </c>
      <c r="X158" s="191">
        <f>Data!Z106</f>
        <v>3497.8125</v>
      </c>
      <c r="Y158" s="191">
        <f>Data!AA106</f>
        <v>3497.8125</v>
      </c>
      <c r="Z158" s="191">
        <f>Data!AB106</f>
        <v>3497.8125</v>
      </c>
      <c r="AA158" s="191">
        <f>Data!AC106</f>
        <v>3497.8125</v>
      </c>
      <c r="AB158" s="191">
        <f>Data!AD106</f>
        <v>3497.8125</v>
      </c>
      <c r="AC158" s="191">
        <f>Data!AE106</f>
        <v>3497.8125</v>
      </c>
      <c r="AD158" s="286">
        <f>Data!AF106</f>
        <v>3672.703125</v>
      </c>
      <c r="AE158" s="191">
        <f>Data!AG106</f>
        <v>3672.703125</v>
      </c>
      <c r="AF158" s="191">
        <f>Data!AH106</f>
        <v>3672.703125</v>
      </c>
      <c r="AG158" s="191">
        <f>Data!AI106</f>
        <v>3672.703125</v>
      </c>
      <c r="AH158" s="191">
        <f>Data!AJ106</f>
        <v>3672.703125</v>
      </c>
      <c r="AI158" s="191">
        <f>Data!AK106</f>
        <v>3672.703125</v>
      </c>
      <c r="AJ158" s="191">
        <f>Data!AL106</f>
        <v>3672.703125</v>
      </c>
      <c r="AK158" s="191">
        <f>Data!AM106</f>
        <v>3672.703125</v>
      </c>
      <c r="AL158" s="191">
        <f>Data!AN106</f>
        <v>3672.703125</v>
      </c>
      <c r="AM158" s="191">
        <f>Data!AO106</f>
        <v>3672.703125</v>
      </c>
      <c r="AN158" s="191">
        <f>Data!AP106</f>
        <v>3672.703125</v>
      </c>
      <c r="AO158" s="191">
        <f>Data!AQ106</f>
        <v>3672.703125</v>
      </c>
      <c r="AP158" s="286">
        <f>Data!AR106</f>
        <v>3856.3382812500004</v>
      </c>
      <c r="AQ158" s="191">
        <f>Data!AS106</f>
        <v>3856.3382812500004</v>
      </c>
      <c r="AR158" s="191">
        <f>Data!AT106</f>
        <v>3856.3382812500004</v>
      </c>
      <c r="AS158" s="191">
        <f>Data!AU106</f>
        <v>3856.3382812500004</v>
      </c>
      <c r="AT158" s="191">
        <f>Data!AV106</f>
        <v>3856.3382812500004</v>
      </c>
      <c r="AU158" s="191">
        <f>Data!AW106</f>
        <v>3856.3382812500004</v>
      </c>
      <c r="AV158" s="191">
        <f>Data!AX106</f>
        <v>3856.3382812500004</v>
      </c>
      <c r="AW158" s="191">
        <f>Data!AY106</f>
        <v>3856.3382812500004</v>
      </c>
      <c r="AX158" s="191">
        <f>Data!AZ106</f>
        <v>3856.3382812500004</v>
      </c>
      <c r="AY158" s="191">
        <f>Data!BA106</f>
        <v>3856.3382812500004</v>
      </c>
      <c r="AZ158" s="191">
        <f>Data!BB106</f>
        <v>3856.3382812500004</v>
      </c>
      <c r="BA158" s="191">
        <f>Data!BC106</f>
        <v>3856.3382812500004</v>
      </c>
      <c r="BB158" s="286">
        <f>Data!BD106</f>
        <v>4049.1551953125004</v>
      </c>
      <c r="BC158" s="191">
        <f>Data!BE106</f>
        <v>4049.1551953125004</v>
      </c>
      <c r="BD158" s="191">
        <f>Data!BF106</f>
        <v>4049.1551953125004</v>
      </c>
      <c r="BE158" s="191">
        <f>Data!BG106</f>
        <v>4049.1551953125004</v>
      </c>
      <c r="BF158" s="191">
        <f>Data!BH106</f>
        <v>4049.1551953125004</v>
      </c>
      <c r="BG158" s="191">
        <f>Data!BI106</f>
        <v>4049.1551953125004</v>
      </c>
      <c r="BH158" s="191">
        <f>Data!BJ106</f>
        <v>4049.1551953125004</v>
      </c>
      <c r="BI158" s="191">
        <f>Data!BK106</f>
        <v>4049.1551953125004</v>
      </c>
      <c r="BJ158" s="191">
        <f>Data!BL106</f>
        <v>4049.1551953125004</v>
      </c>
      <c r="BK158" s="191">
        <f>Data!BM106</f>
        <v>4049.1551953125004</v>
      </c>
      <c r="BL158" s="191">
        <f>Data!BN106</f>
        <v>4049.1551953125004</v>
      </c>
      <c r="BM158" s="191">
        <f>Data!BO106</f>
        <v>4049.1551953125004</v>
      </c>
      <c r="BN158" s="191">
        <f>Data!BP106</f>
        <v>4251.6129550781252</v>
      </c>
      <c r="BO158" s="191">
        <f>Data!BQ106</f>
        <v>4251.6129550781252</v>
      </c>
      <c r="BP158" s="191">
        <f>Data!BR106</f>
        <v>4251.6129550781252</v>
      </c>
      <c r="BQ158" s="191">
        <f>Data!BS106</f>
        <v>4251.6129550781252</v>
      </c>
      <c r="BR158" s="191">
        <f>Data!BT106</f>
        <v>4251.6129550781252</v>
      </c>
      <c r="BS158" s="191">
        <f>Data!BU106</f>
        <v>4251.6129550781252</v>
      </c>
      <c r="BT158" s="191">
        <f>Data!BV106</f>
        <v>4251.6129550781252</v>
      </c>
      <c r="BU158" s="191">
        <f>Data!BW106</f>
        <v>4251.6129550781252</v>
      </c>
      <c r="BV158" s="191">
        <f>Data!BX106</f>
        <v>4251.6129550781252</v>
      </c>
      <c r="BW158" s="191">
        <f>Data!BY106</f>
        <v>4251.6129550781252</v>
      </c>
      <c r="BX158" s="191">
        <f>Data!BZ106</f>
        <v>4251.6129550781252</v>
      </c>
      <c r="BY158" s="191">
        <f>Data!CA106</f>
        <v>4251.6129550781252</v>
      </c>
      <c r="BZ158" s="191">
        <f>Data!CB106</f>
        <v>4464.1936028320315</v>
      </c>
      <c r="CA158" s="191">
        <f>Data!CC106</f>
        <v>4464.1936028320315</v>
      </c>
      <c r="CB158" s="191">
        <f>Data!CD106</f>
        <v>4464.1936028320315</v>
      </c>
      <c r="CC158" s="191">
        <f>Data!CE106</f>
        <v>4464.1936028320315</v>
      </c>
      <c r="CD158" s="191">
        <f>Data!CF106</f>
        <v>4464.1936028320315</v>
      </c>
      <c r="CE158" s="191">
        <f>Data!CG106</f>
        <v>4464.1936028320315</v>
      </c>
      <c r="CF158" s="191">
        <f>Data!CH106</f>
        <v>4464.1936028320315</v>
      </c>
      <c r="CG158" s="191">
        <f>Data!CI106</f>
        <v>4464.1936028320315</v>
      </c>
      <c r="CH158" s="191">
        <f>Data!CJ106</f>
        <v>4464.1936028320315</v>
      </c>
      <c r="CI158" s="191">
        <f>Data!CK106</f>
        <v>4464.1936028320315</v>
      </c>
      <c r="CJ158" s="191">
        <f>Data!CL106</f>
        <v>4464.1936028320315</v>
      </c>
      <c r="CK158" s="191">
        <f>Data!CM106</f>
        <v>4464.1936028320315</v>
      </c>
      <c r="CL158" s="191">
        <f>Data!CN106</f>
        <v>4687.4032829736334</v>
      </c>
      <c r="CM158" s="191">
        <f>Data!CO106</f>
        <v>4687.4032829736334</v>
      </c>
      <c r="CN158" s="191">
        <f>Data!CP106</f>
        <v>4687.4032829736334</v>
      </c>
      <c r="CO158" s="191">
        <f>Data!CQ106</f>
        <v>4687.4032829736334</v>
      </c>
      <c r="CP158" s="191">
        <f>Data!CR106</f>
        <v>4687.4032829736334</v>
      </c>
      <c r="CQ158" s="191">
        <f>Data!CS106</f>
        <v>4687.4032829736334</v>
      </c>
      <c r="CR158" s="191">
        <f>Data!CT106</f>
        <v>4687.4032829736334</v>
      </c>
      <c r="CS158" s="191">
        <f>Data!CU106</f>
        <v>4687.4032829736334</v>
      </c>
      <c r="CT158" s="191">
        <f>Data!CV106</f>
        <v>4687.4032829736334</v>
      </c>
      <c r="CU158" s="191">
        <f>Data!CW106</f>
        <v>4687.4032829736334</v>
      </c>
      <c r="CV158" s="191">
        <f>Data!CX106</f>
        <v>4687.4032829736334</v>
      </c>
      <c r="CW158" s="191">
        <f>Data!CY106</f>
        <v>4687.4032829736334</v>
      </c>
      <c r="CX158" s="191">
        <f>Data!CZ106</f>
        <v>4921.7734471223157</v>
      </c>
      <c r="CY158" s="191">
        <f>Data!DA106</f>
        <v>4921.7734471223157</v>
      </c>
      <c r="CZ158" s="191">
        <f>Data!DB106</f>
        <v>4921.7734471223157</v>
      </c>
      <c r="DA158" s="191">
        <f>Data!DC106</f>
        <v>4921.7734471223157</v>
      </c>
      <c r="DB158" s="191">
        <f>Data!DD106</f>
        <v>4921.7734471223157</v>
      </c>
      <c r="DC158" s="191">
        <f>Data!DE106</f>
        <v>4921.7734471223157</v>
      </c>
      <c r="DD158" s="191">
        <f>Data!DF106</f>
        <v>4921.7734471223157</v>
      </c>
      <c r="DE158" s="191">
        <f>Data!DG106</f>
        <v>4921.7734471223157</v>
      </c>
      <c r="DF158" s="191">
        <f>Data!DH106</f>
        <v>4921.7734471223157</v>
      </c>
      <c r="DG158" s="191">
        <f>Data!DI106</f>
        <v>4921.7734471223157</v>
      </c>
      <c r="DH158" s="191">
        <f>Data!DJ106</f>
        <v>4921.7734471223157</v>
      </c>
      <c r="DI158" s="191">
        <f>Data!DK106</f>
        <v>4921.7734471223157</v>
      </c>
      <c r="DJ158" s="191">
        <f>Data!DL106</f>
        <v>5167.8621194784319</v>
      </c>
      <c r="DK158" s="191">
        <f>Data!DM106</f>
        <v>5167.8621194784319</v>
      </c>
      <c r="DL158" s="191">
        <f>Data!DN106</f>
        <v>5167.8621194784319</v>
      </c>
      <c r="DM158" s="191">
        <f>Data!DO106</f>
        <v>5167.8621194784319</v>
      </c>
      <c r="DN158" s="191">
        <f>Data!DP106</f>
        <v>5167.8621194784319</v>
      </c>
      <c r="DO158" s="191">
        <f>Data!DQ106</f>
        <v>5167.8621194784319</v>
      </c>
      <c r="DP158" s="191">
        <f>Data!DR106</f>
        <v>5167.8621194784319</v>
      </c>
      <c r="DQ158" s="191">
        <f>Data!DS106</f>
        <v>5167.8621194784319</v>
      </c>
      <c r="DR158" s="191">
        <f>Data!DT106</f>
        <v>5167.8621194784319</v>
      </c>
      <c r="DS158" s="191">
        <f>Data!DU106</f>
        <v>5167.8621194784319</v>
      </c>
      <c r="DT158" s="191">
        <f>Data!DV106</f>
        <v>5167.8621194784319</v>
      </c>
      <c r="DU158" s="443">
        <f>Data!DW106</f>
        <v>5167.8621194784319</v>
      </c>
      <c r="DV158" s="705"/>
    </row>
    <row r="159" spans="1:126" x14ac:dyDescent="0.3">
      <c r="B159" s="629" t="str">
        <f>Data!D107</f>
        <v>QA Auto. Costs/ User</v>
      </c>
      <c r="C159" s="583"/>
      <c r="D159" s="405"/>
      <c r="E159" s="190">
        <f>Data!G107</f>
        <v>0</v>
      </c>
      <c r="F159" s="191">
        <f>Data!H107</f>
        <v>3160.15</v>
      </c>
      <c r="G159" s="191">
        <f>Data!I107</f>
        <v>3160.15</v>
      </c>
      <c r="H159" s="191">
        <f>Data!J107</f>
        <v>3160.15</v>
      </c>
      <c r="I159" s="191">
        <f>Data!K107</f>
        <v>3160.15</v>
      </c>
      <c r="J159" s="191">
        <f>Data!L107</f>
        <v>3160.15</v>
      </c>
      <c r="K159" s="191">
        <f>Data!M107</f>
        <v>3160.15</v>
      </c>
      <c r="L159" s="191">
        <f>Data!N107</f>
        <v>3160.15</v>
      </c>
      <c r="M159" s="191">
        <f>Data!O107</f>
        <v>3160.15</v>
      </c>
      <c r="N159" s="191">
        <f>Data!P107</f>
        <v>3160.15</v>
      </c>
      <c r="O159" s="191">
        <f>Data!Q107</f>
        <v>3160.15</v>
      </c>
      <c r="P159" s="191">
        <f>Data!R107</f>
        <v>3160.15</v>
      </c>
      <c r="Q159" s="191">
        <f>Data!S107</f>
        <v>3160.15</v>
      </c>
      <c r="R159" s="286">
        <f>Data!T107</f>
        <v>3318.1575000000003</v>
      </c>
      <c r="S159" s="191">
        <f>Data!U107</f>
        <v>3318.1575000000003</v>
      </c>
      <c r="T159" s="191">
        <f>Data!V107</f>
        <v>3318.1575000000003</v>
      </c>
      <c r="U159" s="191">
        <f>Data!W107</f>
        <v>3318.1575000000003</v>
      </c>
      <c r="V159" s="191">
        <f>Data!X107</f>
        <v>3318.1575000000003</v>
      </c>
      <c r="W159" s="191">
        <f>Data!Y107</f>
        <v>3318.1575000000003</v>
      </c>
      <c r="X159" s="191">
        <f>Data!Z107</f>
        <v>3318.1575000000003</v>
      </c>
      <c r="Y159" s="191">
        <f>Data!AA107</f>
        <v>3318.1575000000003</v>
      </c>
      <c r="Z159" s="191">
        <f>Data!AB107</f>
        <v>3318.1575000000003</v>
      </c>
      <c r="AA159" s="191">
        <f>Data!AC107</f>
        <v>3318.1575000000003</v>
      </c>
      <c r="AB159" s="191">
        <f>Data!AD107</f>
        <v>3318.1575000000003</v>
      </c>
      <c r="AC159" s="191">
        <f>Data!AE107</f>
        <v>3318.1575000000003</v>
      </c>
      <c r="AD159" s="286">
        <f>Data!AF107</f>
        <v>3484.0653750000006</v>
      </c>
      <c r="AE159" s="191">
        <f>Data!AG107</f>
        <v>3484.0653750000006</v>
      </c>
      <c r="AF159" s="191">
        <f>Data!AH107</f>
        <v>3484.0653750000006</v>
      </c>
      <c r="AG159" s="191">
        <f>Data!AI107</f>
        <v>3484.0653750000006</v>
      </c>
      <c r="AH159" s="191">
        <f>Data!AJ107</f>
        <v>3484.0653750000006</v>
      </c>
      <c r="AI159" s="191">
        <f>Data!AK107</f>
        <v>3484.0653750000006</v>
      </c>
      <c r="AJ159" s="191">
        <f>Data!AL107</f>
        <v>3484.0653750000006</v>
      </c>
      <c r="AK159" s="191">
        <f>Data!AM107</f>
        <v>3484.0653750000006</v>
      </c>
      <c r="AL159" s="191">
        <f>Data!AN107</f>
        <v>3484.0653750000006</v>
      </c>
      <c r="AM159" s="191">
        <f>Data!AO107</f>
        <v>3484.0653750000006</v>
      </c>
      <c r="AN159" s="191">
        <f>Data!AP107</f>
        <v>3484.0653750000006</v>
      </c>
      <c r="AO159" s="191">
        <f>Data!AQ107</f>
        <v>3484.0653750000006</v>
      </c>
      <c r="AP159" s="286">
        <f>Data!AR107</f>
        <v>3658.2686437500006</v>
      </c>
      <c r="AQ159" s="191">
        <f>Data!AS107</f>
        <v>3658.2686437500006</v>
      </c>
      <c r="AR159" s="191">
        <f>Data!AT107</f>
        <v>3658.2686437500006</v>
      </c>
      <c r="AS159" s="191">
        <f>Data!AU107</f>
        <v>3658.2686437500006</v>
      </c>
      <c r="AT159" s="191">
        <f>Data!AV107</f>
        <v>3658.2686437500006</v>
      </c>
      <c r="AU159" s="191">
        <f>Data!AW107</f>
        <v>3658.2686437500006</v>
      </c>
      <c r="AV159" s="191">
        <f>Data!AX107</f>
        <v>3658.2686437500006</v>
      </c>
      <c r="AW159" s="191">
        <f>Data!AY107</f>
        <v>3658.2686437500006</v>
      </c>
      <c r="AX159" s="191">
        <f>Data!AZ107</f>
        <v>3658.2686437500006</v>
      </c>
      <c r="AY159" s="191">
        <f>Data!BA107</f>
        <v>3658.2686437500006</v>
      </c>
      <c r="AZ159" s="191">
        <f>Data!BB107</f>
        <v>3658.2686437500006</v>
      </c>
      <c r="BA159" s="191">
        <f>Data!BC107</f>
        <v>3658.2686437500006</v>
      </c>
      <c r="BB159" s="286">
        <f>Data!BD107</f>
        <v>3841.1820759375009</v>
      </c>
      <c r="BC159" s="191">
        <f>Data!BE107</f>
        <v>3841.1820759375009</v>
      </c>
      <c r="BD159" s="191">
        <f>Data!BF107</f>
        <v>3841.1820759375009</v>
      </c>
      <c r="BE159" s="191">
        <f>Data!BG107</f>
        <v>3841.1820759375009</v>
      </c>
      <c r="BF159" s="191">
        <f>Data!BH107</f>
        <v>3841.1820759375009</v>
      </c>
      <c r="BG159" s="191">
        <f>Data!BI107</f>
        <v>3841.1820759375009</v>
      </c>
      <c r="BH159" s="191">
        <f>Data!BJ107</f>
        <v>3841.1820759375009</v>
      </c>
      <c r="BI159" s="191">
        <f>Data!BK107</f>
        <v>3841.1820759375009</v>
      </c>
      <c r="BJ159" s="191">
        <f>Data!BL107</f>
        <v>3841.1820759375009</v>
      </c>
      <c r="BK159" s="191">
        <f>Data!BM107</f>
        <v>3841.1820759375009</v>
      </c>
      <c r="BL159" s="191">
        <f>Data!BN107</f>
        <v>3841.1820759375009</v>
      </c>
      <c r="BM159" s="191">
        <f>Data!BO107</f>
        <v>3841.1820759375009</v>
      </c>
      <c r="BN159" s="191">
        <f>Data!BP107</f>
        <v>4033.2411797343761</v>
      </c>
      <c r="BO159" s="191">
        <f>Data!BQ107</f>
        <v>4033.2411797343761</v>
      </c>
      <c r="BP159" s="191">
        <f>Data!BR107</f>
        <v>4033.2411797343761</v>
      </c>
      <c r="BQ159" s="191">
        <f>Data!BS107</f>
        <v>4033.2411797343761</v>
      </c>
      <c r="BR159" s="191">
        <f>Data!BT107</f>
        <v>4033.2411797343761</v>
      </c>
      <c r="BS159" s="191">
        <f>Data!BU107</f>
        <v>4033.2411797343761</v>
      </c>
      <c r="BT159" s="191">
        <f>Data!BV107</f>
        <v>4033.2411797343761</v>
      </c>
      <c r="BU159" s="191">
        <f>Data!BW107</f>
        <v>4033.2411797343761</v>
      </c>
      <c r="BV159" s="191">
        <f>Data!BX107</f>
        <v>4033.2411797343761</v>
      </c>
      <c r="BW159" s="191">
        <f>Data!BY107</f>
        <v>4033.2411797343761</v>
      </c>
      <c r="BX159" s="191">
        <f>Data!BZ107</f>
        <v>4033.2411797343761</v>
      </c>
      <c r="BY159" s="191">
        <f>Data!CA107</f>
        <v>4033.2411797343761</v>
      </c>
      <c r="BZ159" s="191">
        <f>Data!CB107</f>
        <v>4234.9032387210955</v>
      </c>
      <c r="CA159" s="191">
        <f>Data!CC107</f>
        <v>4234.9032387210955</v>
      </c>
      <c r="CB159" s="191">
        <f>Data!CD107</f>
        <v>4234.9032387210955</v>
      </c>
      <c r="CC159" s="191">
        <f>Data!CE107</f>
        <v>4234.9032387210955</v>
      </c>
      <c r="CD159" s="191">
        <f>Data!CF107</f>
        <v>4234.9032387210955</v>
      </c>
      <c r="CE159" s="191">
        <f>Data!CG107</f>
        <v>4234.9032387210955</v>
      </c>
      <c r="CF159" s="191">
        <f>Data!CH107</f>
        <v>4234.9032387210955</v>
      </c>
      <c r="CG159" s="191">
        <f>Data!CI107</f>
        <v>4234.9032387210955</v>
      </c>
      <c r="CH159" s="191">
        <f>Data!CJ107</f>
        <v>4234.9032387210955</v>
      </c>
      <c r="CI159" s="191">
        <f>Data!CK107</f>
        <v>4234.9032387210955</v>
      </c>
      <c r="CJ159" s="191">
        <f>Data!CL107</f>
        <v>4234.9032387210955</v>
      </c>
      <c r="CK159" s="191">
        <f>Data!CM107</f>
        <v>4234.9032387210955</v>
      </c>
      <c r="CL159" s="191">
        <f>Data!CN107</f>
        <v>4446.6484006571509</v>
      </c>
      <c r="CM159" s="191">
        <f>Data!CO107</f>
        <v>4446.6484006571509</v>
      </c>
      <c r="CN159" s="191">
        <f>Data!CP107</f>
        <v>4446.6484006571509</v>
      </c>
      <c r="CO159" s="191">
        <f>Data!CQ107</f>
        <v>4446.6484006571509</v>
      </c>
      <c r="CP159" s="191">
        <f>Data!CR107</f>
        <v>4446.6484006571509</v>
      </c>
      <c r="CQ159" s="191">
        <f>Data!CS107</f>
        <v>4446.6484006571509</v>
      </c>
      <c r="CR159" s="191">
        <f>Data!CT107</f>
        <v>4446.6484006571509</v>
      </c>
      <c r="CS159" s="191">
        <f>Data!CU107</f>
        <v>4446.6484006571509</v>
      </c>
      <c r="CT159" s="191">
        <f>Data!CV107</f>
        <v>4446.6484006571509</v>
      </c>
      <c r="CU159" s="191">
        <f>Data!CW107</f>
        <v>4446.6484006571509</v>
      </c>
      <c r="CV159" s="191">
        <f>Data!CX107</f>
        <v>4446.6484006571509</v>
      </c>
      <c r="CW159" s="191">
        <f>Data!CY107</f>
        <v>4446.6484006571509</v>
      </c>
      <c r="CX159" s="191">
        <f>Data!CZ107</f>
        <v>4668.9808206900088</v>
      </c>
      <c r="CY159" s="191">
        <f>Data!DA107</f>
        <v>4668.9808206900088</v>
      </c>
      <c r="CZ159" s="191">
        <f>Data!DB107</f>
        <v>4668.9808206900088</v>
      </c>
      <c r="DA159" s="191">
        <f>Data!DC107</f>
        <v>4668.9808206900088</v>
      </c>
      <c r="DB159" s="191">
        <f>Data!DD107</f>
        <v>4668.9808206900088</v>
      </c>
      <c r="DC159" s="191">
        <f>Data!DE107</f>
        <v>4668.9808206900088</v>
      </c>
      <c r="DD159" s="191">
        <f>Data!DF107</f>
        <v>4668.9808206900088</v>
      </c>
      <c r="DE159" s="191">
        <f>Data!DG107</f>
        <v>4668.9808206900088</v>
      </c>
      <c r="DF159" s="191">
        <f>Data!DH107</f>
        <v>4668.9808206900088</v>
      </c>
      <c r="DG159" s="191">
        <f>Data!DI107</f>
        <v>4668.9808206900088</v>
      </c>
      <c r="DH159" s="191">
        <f>Data!DJ107</f>
        <v>4668.9808206900088</v>
      </c>
      <c r="DI159" s="191">
        <f>Data!DK107</f>
        <v>4668.9808206900088</v>
      </c>
      <c r="DJ159" s="191">
        <f>Data!DL107</f>
        <v>4902.4298617245095</v>
      </c>
      <c r="DK159" s="191">
        <f>Data!DM107</f>
        <v>4902.4298617245095</v>
      </c>
      <c r="DL159" s="191">
        <f>Data!DN107</f>
        <v>4902.4298617245095</v>
      </c>
      <c r="DM159" s="191">
        <f>Data!DO107</f>
        <v>4902.4298617245095</v>
      </c>
      <c r="DN159" s="191">
        <f>Data!DP107</f>
        <v>4902.4298617245095</v>
      </c>
      <c r="DO159" s="191">
        <f>Data!DQ107</f>
        <v>4902.4298617245095</v>
      </c>
      <c r="DP159" s="191">
        <f>Data!DR107</f>
        <v>4902.4298617245095</v>
      </c>
      <c r="DQ159" s="191">
        <f>Data!DS107</f>
        <v>4902.4298617245095</v>
      </c>
      <c r="DR159" s="191">
        <f>Data!DT107</f>
        <v>4902.4298617245095</v>
      </c>
      <c r="DS159" s="191">
        <f>Data!DU107</f>
        <v>4902.4298617245095</v>
      </c>
      <c r="DT159" s="191">
        <f>Data!DV107</f>
        <v>4902.4298617245095</v>
      </c>
      <c r="DU159" s="443">
        <f>Data!DW107</f>
        <v>4902.4298617245095</v>
      </c>
      <c r="DV159" s="705"/>
    </row>
    <row r="160" spans="1:126" x14ac:dyDescent="0.3">
      <c r="B160" s="629" t="str">
        <f>Data!D108</f>
        <v>- Rent cost / seat / month</v>
      </c>
      <c r="C160" s="583"/>
      <c r="D160" s="405"/>
      <c r="E160" s="190">
        <f>Data!G108</f>
        <v>11020</v>
      </c>
      <c r="F160" s="191">
        <f>Data!H108</f>
        <v>11020</v>
      </c>
      <c r="G160" s="191">
        <f>Data!I108</f>
        <v>11020</v>
      </c>
      <c r="H160" s="191">
        <f>Data!J108</f>
        <v>11020</v>
      </c>
      <c r="I160" s="191">
        <f>Data!K108</f>
        <v>11020</v>
      </c>
      <c r="J160" s="191">
        <f>Data!L108</f>
        <v>11020</v>
      </c>
      <c r="K160" s="191">
        <f>Data!M108</f>
        <v>11020</v>
      </c>
      <c r="L160" s="191">
        <f>Data!N108</f>
        <v>11020</v>
      </c>
      <c r="M160" s="191">
        <f>Data!O108</f>
        <v>11020</v>
      </c>
      <c r="N160" s="191">
        <f>Data!P108</f>
        <v>11020</v>
      </c>
      <c r="O160" s="191">
        <f>Data!Q108</f>
        <v>11020</v>
      </c>
      <c r="P160" s="191">
        <f>Data!R108</f>
        <v>11020</v>
      </c>
      <c r="Q160" s="191">
        <f>Data!S108</f>
        <v>11020</v>
      </c>
      <c r="R160" s="286">
        <f>Data!T108</f>
        <v>11571</v>
      </c>
      <c r="S160" s="191">
        <f>Data!U108</f>
        <v>11571</v>
      </c>
      <c r="T160" s="191">
        <f>Data!V108</f>
        <v>11571</v>
      </c>
      <c r="U160" s="191">
        <f>Data!W108</f>
        <v>11571</v>
      </c>
      <c r="V160" s="191">
        <f>Data!X108</f>
        <v>11571</v>
      </c>
      <c r="W160" s="191">
        <f>Data!Y108</f>
        <v>11571</v>
      </c>
      <c r="X160" s="191">
        <f>Data!Z108</f>
        <v>11571</v>
      </c>
      <c r="Y160" s="191">
        <f>Data!AA108</f>
        <v>11571</v>
      </c>
      <c r="Z160" s="191">
        <f>Data!AB108</f>
        <v>11571</v>
      </c>
      <c r="AA160" s="191">
        <f>Data!AC108</f>
        <v>11571</v>
      </c>
      <c r="AB160" s="191">
        <f>Data!AD108</f>
        <v>11571</v>
      </c>
      <c r="AC160" s="191">
        <f>Data!AE108</f>
        <v>11571</v>
      </c>
      <c r="AD160" s="286">
        <f>Data!AF108</f>
        <v>12149.550000000001</v>
      </c>
      <c r="AE160" s="191">
        <f>Data!AG108</f>
        <v>12149.550000000001</v>
      </c>
      <c r="AF160" s="191">
        <f>Data!AH108</f>
        <v>12149.550000000001</v>
      </c>
      <c r="AG160" s="191">
        <f>Data!AI108</f>
        <v>12149.550000000001</v>
      </c>
      <c r="AH160" s="191">
        <f>Data!AJ108</f>
        <v>12149.550000000001</v>
      </c>
      <c r="AI160" s="191">
        <f>Data!AK108</f>
        <v>12149.550000000001</v>
      </c>
      <c r="AJ160" s="191">
        <f>Data!AL108</f>
        <v>12149.550000000001</v>
      </c>
      <c r="AK160" s="191">
        <f>Data!AM108</f>
        <v>12149.550000000001</v>
      </c>
      <c r="AL160" s="191">
        <f>Data!AN108</f>
        <v>12149.550000000001</v>
      </c>
      <c r="AM160" s="191">
        <f>Data!AO108</f>
        <v>12149.550000000001</v>
      </c>
      <c r="AN160" s="191">
        <f>Data!AP108</f>
        <v>12149.550000000001</v>
      </c>
      <c r="AO160" s="191">
        <f>Data!AQ108</f>
        <v>12149.550000000001</v>
      </c>
      <c r="AP160" s="286">
        <f>Data!AR108</f>
        <v>12757.027500000002</v>
      </c>
      <c r="AQ160" s="191">
        <f>Data!AS108</f>
        <v>12757.027500000002</v>
      </c>
      <c r="AR160" s="191">
        <f>Data!AT108</f>
        <v>12757.027500000002</v>
      </c>
      <c r="AS160" s="191">
        <f>Data!AU108</f>
        <v>12757.027500000002</v>
      </c>
      <c r="AT160" s="191">
        <f>Data!AV108</f>
        <v>12757.027500000002</v>
      </c>
      <c r="AU160" s="191">
        <f>Data!AW108</f>
        <v>12757.027500000002</v>
      </c>
      <c r="AV160" s="191">
        <f>Data!AX108</f>
        <v>12757.027500000002</v>
      </c>
      <c r="AW160" s="191">
        <f>Data!AY108</f>
        <v>12757.027500000002</v>
      </c>
      <c r="AX160" s="191">
        <f>Data!AZ108</f>
        <v>12757.027500000002</v>
      </c>
      <c r="AY160" s="191">
        <f>Data!BA108</f>
        <v>12757.027500000002</v>
      </c>
      <c r="AZ160" s="191">
        <f>Data!BB108</f>
        <v>12757.027500000002</v>
      </c>
      <c r="BA160" s="191">
        <f>Data!BC108</f>
        <v>12757.027500000002</v>
      </c>
      <c r="BB160" s="286">
        <f>Data!BD108</f>
        <v>13394.878875000002</v>
      </c>
      <c r="BC160" s="191">
        <f>Data!BE108</f>
        <v>13394.878875000002</v>
      </c>
      <c r="BD160" s="191">
        <f>Data!BF108</f>
        <v>13394.878875000002</v>
      </c>
      <c r="BE160" s="191">
        <f>Data!BG108</f>
        <v>13394.878875000002</v>
      </c>
      <c r="BF160" s="191">
        <f>Data!BH108</f>
        <v>13394.878875000002</v>
      </c>
      <c r="BG160" s="191">
        <f>Data!BI108</f>
        <v>13394.878875000002</v>
      </c>
      <c r="BH160" s="191">
        <f>Data!BJ108</f>
        <v>13394.878875000002</v>
      </c>
      <c r="BI160" s="191">
        <f>Data!BK108</f>
        <v>13394.878875000002</v>
      </c>
      <c r="BJ160" s="191">
        <f>Data!BL108</f>
        <v>13394.878875000002</v>
      </c>
      <c r="BK160" s="191">
        <f>Data!BM108</f>
        <v>13394.878875000002</v>
      </c>
      <c r="BL160" s="191">
        <f>Data!BN108</f>
        <v>13394.878875000002</v>
      </c>
      <c r="BM160" s="191">
        <f>Data!BO108</f>
        <v>13394.878875000002</v>
      </c>
      <c r="BN160" s="191">
        <f>Data!BP108</f>
        <v>14064.622818750004</v>
      </c>
      <c r="BO160" s="191">
        <f>Data!BQ108</f>
        <v>14064.622818750004</v>
      </c>
      <c r="BP160" s="191">
        <f>Data!BR108</f>
        <v>14064.622818750004</v>
      </c>
      <c r="BQ160" s="191">
        <f>Data!BS108</f>
        <v>14064.622818750004</v>
      </c>
      <c r="BR160" s="191">
        <f>Data!BT108</f>
        <v>14064.622818750004</v>
      </c>
      <c r="BS160" s="191">
        <f>Data!BU108</f>
        <v>14064.622818750004</v>
      </c>
      <c r="BT160" s="191">
        <f>Data!BV108</f>
        <v>14064.622818750004</v>
      </c>
      <c r="BU160" s="191">
        <f>Data!BW108</f>
        <v>14064.622818750004</v>
      </c>
      <c r="BV160" s="191">
        <f>Data!BX108</f>
        <v>14064.622818750004</v>
      </c>
      <c r="BW160" s="191">
        <f>Data!BY108</f>
        <v>14064.622818750004</v>
      </c>
      <c r="BX160" s="191">
        <f>Data!BZ108</f>
        <v>14064.622818750004</v>
      </c>
      <c r="BY160" s="191">
        <f>Data!CA108</f>
        <v>14064.622818750004</v>
      </c>
      <c r="BZ160" s="191">
        <f>Data!CB108</f>
        <v>14767.853959687505</v>
      </c>
      <c r="CA160" s="191">
        <f>Data!CC108</f>
        <v>14767.853959687505</v>
      </c>
      <c r="CB160" s="191">
        <f>Data!CD108</f>
        <v>14767.853959687505</v>
      </c>
      <c r="CC160" s="191">
        <f>Data!CE108</f>
        <v>14767.853959687505</v>
      </c>
      <c r="CD160" s="191">
        <f>Data!CF108</f>
        <v>14767.853959687505</v>
      </c>
      <c r="CE160" s="191">
        <f>Data!CG108</f>
        <v>14767.853959687505</v>
      </c>
      <c r="CF160" s="191">
        <f>Data!CH108</f>
        <v>14767.853959687505</v>
      </c>
      <c r="CG160" s="191">
        <f>Data!CI108</f>
        <v>14767.853959687505</v>
      </c>
      <c r="CH160" s="191">
        <f>Data!CJ108</f>
        <v>14767.853959687505</v>
      </c>
      <c r="CI160" s="191">
        <f>Data!CK108</f>
        <v>14767.853959687505</v>
      </c>
      <c r="CJ160" s="191">
        <f>Data!CL108</f>
        <v>14767.853959687505</v>
      </c>
      <c r="CK160" s="191">
        <f>Data!CM108</f>
        <v>14767.853959687505</v>
      </c>
      <c r="CL160" s="191">
        <f>Data!CN108</f>
        <v>15506.246657671882</v>
      </c>
      <c r="CM160" s="191">
        <f>Data!CO108</f>
        <v>15506.246657671882</v>
      </c>
      <c r="CN160" s="191">
        <f>Data!CP108</f>
        <v>15506.246657671882</v>
      </c>
      <c r="CO160" s="191">
        <f>Data!CQ108</f>
        <v>15506.246657671882</v>
      </c>
      <c r="CP160" s="191">
        <f>Data!CR108</f>
        <v>15506.246657671882</v>
      </c>
      <c r="CQ160" s="191">
        <f>Data!CS108</f>
        <v>15506.246657671882</v>
      </c>
      <c r="CR160" s="191">
        <f>Data!CT108</f>
        <v>15506.246657671882</v>
      </c>
      <c r="CS160" s="191">
        <f>Data!CU108</f>
        <v>15506.246657671882</v>
      </c>
      <c r="CT160" s="191">
        <f>Data!CV108</f>
        <v>15506.246657671882</v>
      </c>
      <c r="CU160" s="191">
        <f>Data!CW108</f>
        <v>15506.246657671882</v>
      </c>
      <c r="CV160" s="191">
        <f>Data!CX108</f>
        <v>15506.246657671882</v>
      </c>
      <c r="CW160" s="191">
        <f>Data!CY108</f>
        <v>15506.246657671882</v>
      </c>
      <c r="CX160" s="191">
        <f>Data!CZ108</f>
        <v>16281.558990555477</v>
      </c>
      <c r="CY160" s="191">
        <f>Data!DA108</f>
        <v>16281.558990555477</v>
      </c>
      <c r="CZ160" s="191">
        <f>Data!DB108</f>
        <v>16281.558990555477</v>
      </c>
      <c r="DA160" s="191">
        <f>Data!DC108</f>
        <v>16281.558990555477</v>
      </c>
      <c r="DB160" s="191">
        <f>Data!DD108</f>
        <v>16281.558990555477</v>
      </c>
      <c r="DC160" s="191">
        <f>Data!DE108</f>
        <v>16281.558990555477</v>
      </c>
      <c r="DD160" s="191">
        <f>Data!DF108</f>
        <v>16281.558990555477</v>
      </c>
      <c r="DE160" s="191">
        <f>Data!DG108</f>
        <v>16281.558990555477</v>
      </c>
      <c r="DF160" s="191">
        <f>Data!DH108</f>
        <v>16281.558990555477</v>
      </c>
      <c r="DG160" s="191">
        <f>Data!DI108</f>
        <v>16281.558990555477</v>
      </c>
      <c r="DH160" s="191">
        <f>Data!DJ108</f>
        <v>16281.558990555477</v>
      </c>
      <c r="DI160" s="191">
        <f>Data!DK108</f>
        <v>16281.558990555477</v>
      </c>
      <c r="DJ160" s="191">
        <f>Data!DL108</f>
        <v>17095.636940083252</v>
      </c>
      <c r="DK160" s="191">
        <f>Data!DM108</f>
        <v>17095.636940083252</v>
      </c>
      <c r="DL160" s="191">
        <f>Data!DN108</f>
        <v>17095.636940083252</v>
      </c>
      <c r="DM160" s="191">
        <f>Data!DO108</f>
        <v>17095.636940083252</v>
      </c>
      <c r="DN160" s="191">
        <f>Data!DP108</f>
        <v>17095.636940083252</v>
      </c>
      <c r="DO160" s="191">
        <f>Data!DQ108</f>
        <v>17095.636940083252</v>
      </c>
      <c r="DP160" s="191">
        <f>Data!DR108</f>
        <v>17095.636940083252</v>
      </c>
      <c r="DQ160" s="191">
        <f>Data!DS108</f>
        <v>17095.636940083252</v>
      </c>
      <c r="DR160" s="191">
        <f>Data!DT108</f>
        <v>17095.636940083252</v>
      </c>
      <c r="DS160" s="191">
        <f>Data!DU108</f>
        <v>17095.636940083252</v>
      </c>
      <c r="DT160" s="191">
        <f>Data!DV108</f>
        <v>17095.636940083252</v>
      </c>
      <c r="DU160" s="443">
        <f>Data!DW108</f>
        <v>17095.636940083252</v>
      </c>
      <c r="DV160" s="705"/>
    </row>
    <row r="161" spans="1:138" x14ac:dyDescent="0.3">
      <c r="B161" s="629" t="str">
        <f>Data!D109</f>
        <v>- Other facility Opex / seat/month</v>
      </c>
      <c r="C161" s="583"/>
      <c r="D161" s="405"/>
      <c r="E161" s="190">
        <f>Data!G109</f>
        <v>5073</v>
      </c>
      <c r="F161" s="191">
        <f>Data!H109</f>
        <v>5073</v>
      </c>
      <c r="G161" s="191">
        <f>Data!I109</f>
        <v>5073</v>
      </c>
      <c r="H161" s="191">
        <f>Data!J109</f>
        <v>5073</v>
      </c>
      <c r="I161" s="191">
        <f>Data!K109</f>
        <v>5073</v>
      </c>
      <c r="J161" s="191">
        <f>Data!L109</f>
        <v>5073</v>
      </c>
      <c r="K161" s="191">
        <f>Data!M109</f>
        <v>5073</v>
      </c>
      <c r="L161" s="191">
        <f>Data!N109</f>
        <v>5073</v>
      </c>
      <c r="M161" s="191">
        <f>Data!O109</f>
        <v>5073</v>
      </c>
      <c r="N161" s="191">
        <f>Data!P109</f>
        <v>5073</v>
      </c>
      <c r="O161" s="191">
        <f>Data!Q109</f>
        <v>5073</v>
      </c>
      <c r="P161" s="191">
        <f>Data!R109</f>
        <v>5073</v>
      </c>
      <c r="Q161" s="191">
        <f>Data!S109</f>
        <v>5073</v>
      </c>
      <c r="R161" s="286">
        <f>Data!T109</f>
        <v>5326.6500000000005</v>
      </c>
      <c r="S161" s="191">
        <f>Data!U109</f>
        <v>5326.6500000000005</v>
      </c>
      <c r="T161" s="191">
        <f>Data!V109</f>
        <v>5326.6500000000005</v>
      </c>
      <c r="U161" s="191">
        <f>Data!W109</f>
        <v>5326.6500000000005</v>
      </c>
      <c r="V161" s="191">
        <f>Data!X109</f>
        <v>5326.6500000000005</v>
      </c>
      <c r="W161" s="191">
        <f>Data!Y109</f>
        <v>5326.6500000000005</v>
      </c>
      <c r="X161" s="191">
        <f>Data!Z109</f>
        <v>5326.6500000000005</v>
      </c>
      <c r="Y161" s="191">
        <f>Data!AA109</f>
        <v>5326.6500000000005</v>
      </c>
      <c r="Z161" s="191">
        <f>Data!AB109</f>
        <v>5326.6500000000005</v>
      </c>
      <c r="AA161" s="191">
        <f>Data!AC109</f>
        <v>5326.6500000000005</v>
      </c>
      <c r="AB161" s="191">
        <f>Data!AD109</f>
        <v>5326.6500000000005</v>
      </c>
      <c r="AC161" s="191">
        <f>Data!AE109</f>
        <v>5326.6500000000005</v>
      </c>
      <c r="AD161" s="286">
        <f>Data!AF109</f>
        <v>5592.982500000001</v>
      </c>
      <c r="AE161" s="191">
        <f>Data!AG109</f>
        <v>5592.982500000001</v>
      </c>
      <c r="AF161" s="191">
        <f>Data!AH109</f>
        <v>5592.982500000001</v>
      </c>
      <c r="AG161" s="191">
        <f>Data!AI109</f>
        <v>5592.982500000001</v>
      </c>
      <c r="AH161" s="191">
        <f>Data!AJ109</f>
        <v>5592.982500000001</v>
      </c>
      <c r="AI161" s="191">
        <f>Data!AK109</f>
        <v>5592.982500000001</v>
      </c>
      <c r="AJ161" s="191">
        <f>Data!AL109</f>
        <v>5592.982500000001</v>
      </c>
      <c r="AK161" s="191">
        <f>Data!AM109</f>
        <v>5592.982500000001</v>
      </c>
      <c r="AL161" s="191">
        <f>Data!AN109</f>
        <v>5592.982500000001</v>
      </c>
      <c r="AM161" s="191">
        <f>Data!AO109</f>
        <v>5592.982500000001</v>
      </c>
      <c r="AN161" s="191">
        <f>Data!AP109</f>
        <v>5592.982500000001</v>
      </c>
      <c r="AO161" s="191">
        <f>Data!AQ109</f>
        <v>5592.982500000001</v>
      </c>
      <c r="AP161" s="286">
        <f>Data!AR109</f>
        <v>5872.6316250000009</v>
      </c>
      <c r="AQ161" s="191">
        <f>Data!AS109</f>
        <v>5872.6316250000009</v>
      </c>
      <c r="AR161" s="191">
        <f>Data!AT109</f>
        <v>5872.6316250000009</v>
      </c>
      <c r="AS161" s="191">
        <f>Data!AU109</f>
        <v>5872.6316250000009</v>
      </c>
      <c r="AT161" s="191">
        <f>Data!AV109</f>
        <v>5872.6316250000009</v>
      </c>
      <c r="AU161" s="191">
        <f>Data!AW109</f>
        <v>5872.6316250000009</v>
      </c>
      <c r="AV161" s="191">
        <f>Data!AX109</f>
        <v>5872.6316250000009</v>
      </c>
      <c r="AW161" s="191">
        <f>Data!AY109</f>
        <v>5872.6316250000009</v>
      </c>
      <c r="AX161" s="191">
        <f>Data!AZ109</f>
        <v>5872.6316250000009</v>
      </c>
      <c r="AY161" s="191">
        <f>Data!BA109</f>
        <v>5872.6316250000009</v>
      </c>
      <c r="AZ161" s="191">
        <f>Data!BB109</f>
        <v>5872.6316250000009</v>
      </c>
      <c r="BA161" s="191">
        <f>Data!BC109</f>
        <v>5872.6316250000009</v>
      </c>
      <c r="BB161" s="286">
        <f>Data!BD109</f>
        <v>6166.2632062500015</v>
      </c>
      <c r="BC161" s="191">
        <f>Data!BE109</f>
        <v>6166.2632062500015</v>
      </c>
      <c r="BD161" s="191">
        <f>Data!BF109</f>
        <v>6166.2632062500015</v>
      </c>
      <c r="BE161" s="191">
        <f>Data!BG109</f>
        <v>6166.2632062500015</v>
      </c>
      <c r="BF161" s="191">
        <f>Data!BH109</f>
        <v>6166.2632062500015</v>
      </c>
      <c r="BG161" s="191">
        <f>Data!BI109</f>
        <v>6166.2632062500015</v>
      </c>
      <c r="BH161" s="191">
        <f>Data!BJ109</f>
        <v>6166.2632062500015</v>
      </c>
      <c r="BI161" s="191">
        <f>Data!BK109</f>
        <v>6166.2632062500015</v>
      </c>
      <c r="BJ161" s="191">
        <f>Data!BL109</f>
        <v>6166.2632062500015</v>
      </c>
      <c r="BK161" s="191">
        <f>Data!BM109</f>
        <v>6166.2632062500015</v>
      </c>
      <c r="BL161" s="191">
        <f>Data!BN109</f>
        <v>6166.2632062500015</v>
      </c>
      <c r="BM161" s="191">
        <f>Data!BO109</f>
        <v>6166.2632062500015</v>
      </c>
      <c r="BN161" s="191">
        <f>Data!BP109</f>
        <v>6474.5763665625018</v>
      </c>
      <c r="BO161" s="191">
        <f>Data!BQ109</f>
        <v>6474.5763665625018</v>
      </c>
      <c r="BP161" s="191">
        <f>Data!BR109</f>
        <v>6474.5763665625018</v>
      </c>
      <c r="BQ161" s="191">
        <f>Data!BS109</f>
        <v>6474.5763665625018</v>
      </c>
      <c r="BR161" s="191">
        <f>Data!BT109</f>
        <v>6474.5763665625018</v>
      </c>
      <c r="BS161" s="191">
        <f>Data!BU109</f>
        <v>6474.5763665625018</v>
      </c>
      <c r="BT161" s="191">
        <f>Data!BV109</f>
        <v>6474.5763665625018</v>
      </c>
      <c r="BU161" s="191">
        <f>Data!BW109</f>
        <v>6474.5763665625018</v>
      </c>
      <c r="BV161" s="191">
        <f>Data!BX109</f>
        <v>6474.5763665625018</v>
      </c>
      <c r="BW161" s="191">
        <f>Data!BY109</f>
        <v>6474.5763665625018</v>
      </c>
      <c r="BX161" s="191">
        <f>Data!BZ109</f>
        <v>6474.5763665625018</v>
      </c>
      <c r="BY161" s="191">
        <f>Data!CA109</f>
        <v>6474.5763665625018</v>
      </c>
      <c r="BZ161" s="191">
        <f>Data!CB109</f>
        <v>6798.3051848906271</v>
      </c>
      <c r="CA161" s="191">
        <f>Data!CC109</f>
        <v>6798.3051848906271</v>
      </c>
      <c r="CB161" s="191">
        <f>Data!CD109</f>
        <v>6798.3051848906271</v>
      </c>
      <c r="CC161" s="191">
        <f>Data!CE109</f>
        <v>6798.3051848906271</v>
      </c>
      <c r="CD161" s="191">
        <f>Data!CF109</f>
        <v>6798.3051848906271</v>
      </c>
      <c r="CE161" s="191">
        <f>Data!CG109</f>
        <v>6798.3051848906271</v>
      </c>
      <c r="CF161" s="191">
        <f>Data!CH109</f>
        <v>6798.3051848906271</v>
      </c>
      <c r="CG161" s="191">
        <f>Data!CI109</f>
        <v>6798.3051848906271</v>
      </c>
      <c r="CH161" s="191">
        <f>Data!CJ109</f>
        <v>6798.3051848906271</v>
      </c>
      <c r="CI161" s="191">
        <f>Data!CK109</f>
        <v>6798.3051848906271</v>
      </c>
      <c r="CJ161" s="191">
        <f>Data!CL109</f>
        <v>6798.3051848906271</v>
      </c>
      <c r="CK161" s="191">
        <f>Data!CM109</f>
        <v>6798.3051848906271</v>
      </c>
      <c r="CL161" s="191">
        <f>Data!CN109</f>
        <v>7138.2204441351587</v>
      </c>
      <c r="CM161" s="191">
        <f>Data!CO109</f>
        <v>7138.2204441351587</v>
      </c>
      <c r="CN161" s="191">
        <f>Data!CP109</f>
        <v>7138.2204441351587</v>
      </c>
      <c r="CO161" s="191">
        <f>Data!CQ109</f>
        <v>7138.2204441351587</v>
      </c>
      <c r="CP161" s="191">
        <f>Data!CR109</f>
        <v>7138.2204441351587</v>
      </c>
      <c r="CQ161" s="191">
        <f>Data!CS109</f>
        <v>7138.2204441351587</v>
      </c>
      <c r="CR161" s="191">
        <f>Data!CT109</f>
        <v>7138.2204441351587</v>
      </c>
      <c r="CS161" s="191">
        <f>Data!CU109</f>
        <v>7138.2204441351587</v>
      </c>
      <c r="CT161" s="191">
        <f>Data!CV109</f>
        <v>7138.2204441351587</v>
      </c>
      <c r="CU161" s="191">
        <f>Data!CW109</f>
        <v>7138.2204441351587</v>
      </c>
      <c r="CV161" s="191">
        <f>Data!CX109</f>
        <v>7138.2204441351587</v>
      </c>
      <c r="CW161" s="191">
        <f>Data!CY109</f>
        <v>7138.2204441351587</v>
      </c>
      <c r="CX161" s="191">
        <f>Data!CZ109</f>
        <v>7495.1314663419171</v>
      </c>
      <c r="CY161" s="191">
        <f>Data!DA109</f>
        <v>7495.1314663419171</v>
      </c>
      <c r="CZ161" s="191">
        <f>Data!DB109</f>
        <v>7495.1314663419171</v>
      </c>
      <c r="DA161" s="191">
        <f>Data!DC109</f>
        <v>7495.1314663419171</v>
      </c>
      <c r="DB161" s="191">
        <f>Data!DD109</f>
        <v>7495.1314663419171</v>
      </c>
      <c r="DC161" s="191">
        <f>Data!DE109</f>
        <v>7495.1314663419171</v>
      </c>
      <c r="DD161" s="191">
        <f>Data!DF109</f>
        <v>7495.1314663419171</v>
      </c>
      <c r="DE161" s="191">
        <f>Data!DG109</f>
        <v>7495.1314663419171</v>
      </c>
      <c r="DF161" s="191">
        <f>Data!DH109</f>
        <v>7495.1314663419171</v>
      </c>
      <c r="DG161" s="191">
        <f>Data!DI109</f>
        <v>7495.1314663419171</v>
      </c>
      <c r="DH161" s="191">
        <f>Data!DJ109</f>
        <v>7495.1314663419171</v>
      </c>
      <c r="DI161" s="191">
        <f>Data!DK109</f>
        <v>7495.1314663419171</v>
      </c>
      <c r="DJ161" s="191">
        <f>Data!DL109</f>
        <v>7869.888039659013</v>
      </c>
      <c r="DK161" s="191">
        <f>Data!DM109</f>
        <v>7869.888039659013</v>
      </c>
      <c r="DL161" s="191">
        <f>Data!DN109</f>
        <v>7869.888039659013</v>
      </c>
      <c r="DM161" s="191">
        <f>Data!DO109</f>
        <v>7869.888039659013</v>
      </c>
      <c r="DN161" s="191">
        <f>Data!DP109</f>
        <v>7869.888039659013</v>
      </c>
      <c r="DO161" s="191">
        <f>Data!DQ109</f>
        <v>7869.888039659013</v>
      </c>
      <c r="DP161" s="191">
        <f>Data!DR109</f>
        <v>7869.888039659013</v>
      </c>
      <c r="DQ161" s="191">
        <f>Data!DS109</f>
        <v>7869.888039659013</v>
      </c>
      <c r="DR161" s="191">
        <f>Data!DT109</f>
        <v>7869.888039659013</v>
      </c>
      <c r="DS161" s="191">
        <f>Data!DU109</f>
        <v>7869.888039659013</v>
      </c>
      <c r="DT161" s="191">
        <f>Data!DV109</f>
        <v>7869.888039659013</v>
      </c>
      <c r="DU161" s="443">
        <f>Data!DW109</f>
        <v>7869.888039659013</v>
      </c>
      <c r="DV161" s="705"/>
    </row>
    <row r="162" spans="1:138" x14ac:dyDescent="0.3">
      <c r="A162" s="260"/>
      <c r="B162" s="629" t="str">
        <f>Data!D110</f>
        <v>Facilities Costs / seat</v>
      </c>
      <c r="C162" s="584"/>
      <c r="D162" s="406"/>
      <c r="E162" s="1067">
        <f>Data!G110</f>
        <v>16093</v>
      </c>
      <c r="F162" s="1068">
        <f>Data!H110</f>
        <v>16093</v>
      </c>
      <c r="G162" s="1068">
        <f>Data!I110</f>
        <v>16093</v>
      </c>
      <c r="H162" s="1068">
        <f>Data!J110</f>
        <v>16093</v>
      </c>
      <c r="I162" s="1068">
        <f>Data!K110</f>
        <v>16093</v>
      </c>
      <c r="J162" s="1068">
        <f>Data!L110</f>
        <v>16093</v>
      </c>
      <c r="K162" s="1068">
        <f>Data!M110</f>
        <v>16093</v>
      </c>
      <c r="L162" s="1068">
        <f>Data!N110</f>
        <v>16093</v>
      </c>
      <c r="M162" s="1068">
        <f>Data!O110</f>
        <v>16093</v>
      </c>
      <c r="N162" s="1068">
        <f>Data!P110</f>
        <v>16093</v>
      </c>
      <c r="O162" s="1068">
        <f>Data!Q110</f>
        <v>16093</v>
      </c>
      <c r="P162" s="1068">
        <f>Data!R110</f>
        <v>16093</v>
      </c>
      <c r="Q162" s="1068">
        <f>Data!S110</f>
        <v>16093</v>
      </c>
      <c r="R162" s="1066">
        <f>Data!T110</f>
        <v>16897.650000000001</v>
      </c>
      <c r="S162" s="1068">
        <f>Data!U110</f>
        <v>16897.650000000001</v>
      </c>
      <c r="T162" s="1068">
        <f>Data!V110</f>
        <v>16897.650000000001</v>
      </c>
      <c r="U162" s="1068">
        <f>Data!W110</f>
        <v>16897.650000000001</v>
      </c>
      <c r="V162" s="1068">
        <f>Data!X110</f>
        <v>16897.650000000001</v>
      </c>
      <c r="W162" s="1068">
        <f>Data!Y110</f>
        <v>16897.650000000001</v>
      </c>
      <c r="X162" s="1068">
        <f>Data!Z110</f>
        <v>16897.650000000001</v>
      </c>
      <c r="Y162" s="1068">
        <f>Data!AA110</f>
        <v>16897.650000000001</v>
      </c>
      <c r="Z162" s="1068">
        <f>Data!AB110</f>
        <v>16897.650000000001</v>
      </c>
      <c r="AA162" s="1068">
        <f>Data!AC110</f>
        <v>16897.650000000001</v>
      </c>
      <c r="AB162" s="1068">
        <f>Data!AD110</f>
        <v>16897.650000000001</v>
      </c>
      <c r="AC162" s="1068">
        <f>Data!AE110</f>
        <v>16897.650000000001</v>
      </c>
      <c r="AD162" s="1066">
        <f>Data!AF110</f>
        <v>17742.532500000001</v>
      </c>
      <c r="AE162" s="1068">
        <f>Data!AG110</f>
        <v>17742.532500000001</v>
      </c>
      <c r="AF162" s="1068">
        <f>Data!AH110</f>
        <v>17742.532500000001</v>
      </c>
      <c r="AG162" s="1068">
        <f>Data!AI110</f>
        <v>17742.532500000001</v>
      </c>
      <c r="AH162" s="1068">
        <f>Data!AJ110</f>
        <v>17742.532500000001</v>
      </c>
      <c r="AI162" s="1068">
        <f>Data!AK110</f>
        <v>17742.532500000001</v>
      </c>
      <c r="AJ162" s="1068">
        <f>Data!AL110</f>
        <v>17742.532500000001</v>
      </c>
      <c r="AK162" s="1068">
        <f>Data!AM110</f>
        <v>17742.532500000001</v>
      </c>
      <c r="AL162" s="1068">
        <f>Data!AN110</f>
        <v>17742.532500000001</v>
      </c>
      <c r="AM162" s="1068">
        <f>Data!AO110</f>
        <v>17742.532500000001</v>
      </c>
      <c r="AN162" s="1068">
        <f>Data!AP110</f>
        <v>17742.532500000001</v>
      </c>
      <c r="AO162" s="1068">
        <f>Data!AQ110</f>
        <v>17742.532500000001</v>
      </c>
      <c r="AP162" s="1066">
        <f>Data!AR110</f>
        <v>18629.659125000002</v>
      </c>
      <c r="AQ162" s="1068">
        <f>Data!AS110</f>
        <v>18629.659125000002</v>
      </c>
      <c r="AR162" s="1068">
        <f>Data!AT110</f>
        <v>18629.659125000002</v>
      </c>
      <c r="AS162" s="1068">
        <f>Data!AU110</f>
        <v>18629.659125000002</v>
      </c>
      <c r="AT162" s="1068">
        <f>Data!AV110</f>
        <v>18629.659125000002</v>
      </c>
      <c r="AU162" s="1068">
        <f>Data!AW110</f>
        <v>18629.659125000002</v>
      </c>
      <c r="AV162" s="1068">
        <f>Data!AX110</f>
        <v>18629.659125000002</v>
      </c>
      <c r="AW162" s="1068">
        <f>Data!AY110</f>
        <v>18629.659125000002</v>
      </c>
      <c r="AX162" s="1068">
        <f>Data!AZ110</f>
        <v>18629.659125000002</v>
      </c>
      <c r="AY162" s="1068">
        <f>Data!BA110</f>
        <v>18629.659125000002</v>
      </c>
      <c r="AZ162" s="1068">
        <f>Data!BB110</f>
        <v>18629.659125000002</v>
      </c>
      <c r="BA162" s="1068">
        <f>Data!BC110</f>
        <v>18629.659125000002</v>
      </c>
      <c r="BB162" s="1066">
        <f>Data!BD110</f>
        <v>19561.142081250004</v>
      </c>
      <c r="BC162" s="1068">
        <f>Data!BE110</f>
        <v>19561.142081250004</v>
      </c>
      <c r="BD162" s="1068">
        <f>Data!BF110</f>
        <v>19561.142081250004</v>
      </c>
      <c r="BE162" s="1068">
        <f>Data!BG110</f>
        <v>19561.142081250004</v>
      </c>
      <c r="BF162" s="1068">
        <f>Data!BH110</f>
        <v>19561.142081250004</v>
      </c>
      <c r="BG162" s="1068">
        <f>Data!BI110</f>
        <v>19561.142081250004</v>
      </c>
      <c r="BH162" s="1068">
        <f>Data!BJ110</f>
        <v>19561.142081250004</v>
      </c>
      <c r="BI162" s="1068">
        <f>Data!BK110</f>
        <v>19561.142081250004</v>
      </c>
      <c r="BJ162" s="1068">
        <f>Data!BL110</f>
        <v>19561.142081250004</v>
      </c>
      <c r="BK162" s="1068">
        <f>Data!BM110</f>
        <v>19561.142081250004</v>
      </c>
      <c r="BL162" s="1068">
        <f>Data!BN110</f>
        <v>19561.142081250004</v>
      </c>
      <c r="BM162" s="1068">
        <f>Data!BO110</f>
        <v>19561.142081250004</v>
      </c>
      <c r="BN162" s="1068">
        <f>Data!BP110</f>
        <v>20539.199185312507</v>
      </c>
      <c r="BO162" s="1068">
        <f>Data!BQ110</f>
        <v>20539.199185312507</v>
      </c>
      <c r="BP162" s="1068">
        <f>Data!BR110</f>
        <v>20539.199185312507</v>
      </c>
      <c r="BQ162" s="1068">
        <f>Data!BS110</f>
        <v>20539.199185312507</v>
      </c>
      <c r="BR162" s="1068">
        <f>Data!BT110</f>
        <v>20539.199185312507</v>
      </c>
      <c r="BS162" s="1068">
        <f>Data!BU110</f>
        <v>20539.199185312507</v>
      </c>
      <c r="BT162" s="1068">
        <f>Data!BV110</f>
        <v>20539.199185312507</v>
      </c>
      <c r="BU162" s="1068">
        <f>Data!BW110</f>
        <v>20539.199185312507</v>
      </c>
      <c r="BV162" s="1068">
        <f>Data!BX110</f>
        <v>20539.199185312507</v>
      </c>
      <c r="BW162" s="1068">
        <f>Data!BY110</f>
        <v>20539.199185312507</v>
      </c>
      <c r="BX162" s="1068">
        <f>Data!BZ110</f>
        <v>20539.199185312507</v>
      </c>
      <c r="BY162" s="1068">
        <f>Data!CA110</f>
        <v>20539.199185312507</v>
      </c>
      <c r="BZ162" s="1068">
        <f>Data!CB110</f>
        <v>21566.159144578131</v>
      </c>
      <c r="CA162" s="1068">
        <f>Data!CC110</f>
        <v>21566.159144578131</v>
      </c>
      <c r="CB162" s="1068">
        <f>Data!CD110</f>
        <v>21566.159144578131</v>
      </c>
      <c r="CC162" s="1068">
        <f>Data!CE110</f>
        <v>21566.159144578131</v>
      </c>
      <c r="CD162" s="1068">
        <f>Data!CF110</f>
        <v>21566.159144578131</v>
      </c>
      <c r="CE162" s="1068">
        <f>Data!CG110</f>
        <v>21566.159144578131</v>
      </c>
      <c r="CF162" s="1068">
        <f>Data!CH110</f>
        <v>21566.159144578131</v>
      </c>
      <c r="CG162" s="1068">
        <f>Data!CI110</f>
        <v>21566.159144578131</v>
      </c>
      <c r="CH162" s="1068">
        <f>Data!CJ110</f>
        <v>21566.159144578131</v>
      </c>
      <c r="CI162" s="1068">
        <f>Data!CK110</f>
        <v>21566.159144578131</v>
      </c>
      <c r="CJ162" s="1068">
        <f>Data!CL110</f>
        <v>21566.159144578131</v>
      </c>
      <c r="CK162" s="1068">
        <f>Data!CM110</f>
        <v>21566.159144578131</v>
      </c>
      <c r="CL162" s="1068">
        <f>Data!CN110</f>
        <v>22644.46710180704</v>
      </c>
      <c r="CM162" s="1068">
        <f>Data!CO110</f>
        <v>22644.46710180704</v>
      </c>
      <c r="CN162" s="1068">
        <f>Data!CP110</f>
        <v>22644.46710180704</v>
      </c>
      <c r="CO162" s="1068">
        <f>Data!CQ110</f>
        <v>22644.46710180704</v>
      </c>
      <c r="CP162" s="1068">
        <f>Data!CR110</f>
        <v>22644.46710180704</v>
      </c>
      <c r="CQ162" s="1068">
        <f>Data!CS110</f>
        <v>22644.46710180704</v>
      </c>
      <c r="CR162" s="1068">
        <f>Data!CT110</f>
        <v>22644.46710180704</v>
      </c>
      <c r="CS162" s="1068">
        <f>Data!CU110</f>
        <v>22644.46710180704</v>
      </c>
      <c r="CT162" s="1068">
        <f>Data!CV110</f>
        <v>22644.46710180704</v>
      </c>
      <c r="CU162" s="1068">
        <f>Data!CW110</f>
        <v>22644.46710180704</v>
      </c>
      <c r="CV162" s="1068">
        <f>Data!CX110</f>
        <v>22644.46710180704</v>
      </c>
      <c r="CW162" s="1068">
        <f>Data!CY110</f>
        <v>22644.46710180704</v>
      </c>
      <c r="CX162" s="1068">
        <f>Data!CZ110</f>
        <v>23776.690456897395</v>
      </c>
      <c r="CY162" s="1068">
        <f>Data!DA110</f>
        <v>23776.690456897395</v>
      </c>
      <c r="CZ162" s="1068">
        <f>Data!DB110</f>
        <v>23776.690456897395</v>
      </c>
      <c r="DA162" s="1068">
        <f>Data!DC110</f>
        <v>23776.690456897395</v>
      </c>
      <c r="DB162" s="1068">
        <f>Data!DD110</f>
        <v>23776.690456897395</v>
      </c>
      <c r="DC162" s="1068">
        <f>Data!DE110</f>
        <v>23776.690456897395</v>
      </c>
      <c r="DD162" s="1068">
        <f>Data!DF110</f>
        <v>23776.690456897395</v>
      </c>
      <c r="DE162" s="1068">
        <f>Data!DG110</f>
        <v>23776.690456897395</v>
      </c>
      <c r="DF162" s="1068">
        <f>Data!DH110</f>
        <v>23776.690456897395</v>
      </c>
      <c r="DG162" s="1068">
        <f>Data!DI110</f>
        <v>23776.690456897395</v>
      </c>
      <c r="DH162" s="1068">
        <f>Data!DJ110</f>
        <v>23776.690456897395</v>
      </c>
      <c r="DI162" s="1068">
        <f>Data!DK110</f>
        <v>23776.690456897395</v>
      </c>
      <c r="DJ162" s="1068">
        <f>Data!DL110</f>
        <v>24965.524979742266</v>
      </c>
      <c r="DK162" s="1068">
        <f>Data!DM110</f>
        <v>24965.524979742266</v>
      </c>
      <c r="DL162" s="1068">
        <f>Data!DN110</f>
        <v>24965.524979742266</v>
      </c>
      <c r="DM162" s="1068">
        <f>Data!DO110</f>
        <v>24965.524979742266</v>
      </c>
      <c r="DN162" s="1068">
        <f>Data!DP110</f>
        <v>24965.524979742266</v>
      </c>
      <c r="DO162" s="1068">
        <f>Data!DQ110</f>
        <v>24965.524979742266</v>
      </c>
      <c r="DP162" s="1068">
        <f>Data!DR110</f>
        <v>24965.524979742266</v>
      </c>
      <c r="DQ162" s="1068">
        <f>Data!DS110</f>
        <v>24965.524979742266</v>
      </c>
      <c r="DR162" s="1068">
        <f>Data!DT110</f>
        <v>24965.524979742266</v>
      </c>
      <c r="DS162" s="1068">
        <f>Data!DU110</f>
        <v>24965.524979742266</v>
      </c>
      <c r="DT162" s="1068">
        <f>Data!DV110</f>
        <v>24965.524979742266</v>
      </c>
      <c r="DU162" s="1390">
        <f>Data!DW110</f>
        <v>24965.524979742266</v>
      </c>
      <c r="DV162" s="706"/>
    </row>
    <row r="163" spans="1:138" x14ac:dyDescent="0.3">
      <c r="B163" s="629" t="str">
        <f>Data!D111</f>
        <v>Technology Costs/ seat / month</v>
      </c>
      <c r="C163" s="583"/>
      <c r="D163" s="405"/>
      <c r="E163" s="192">
        <f>Data!G111</f>
        <v>6611.9000333333324</v>
      </c>
      <c r="F163" s="191">
        <f>Data!H111</f>
        <v>6611.9000333333324</v>
      </c>
      <c r="G163" s="191">
        <f>Data!I111</f>
        <v>6611.9000333333324</v>
      </c>
      <c r="H163" s="191">
        <f>Data!J111</f>
        <v>6611.9000333333324</v>
      </c>
      <c r="I163" s="191">
        <f>Data!K111</f>
        <v>6611.9000333333324</v>
      </c>
      <c r="J163" s="191">
        <f>Data!L111</f>
        <v>6611.9000333333324</v>
      </c>
      <c r="K163" s="191">
        <f>Data!M111</f>
        <v>6611.9000333333324</v>
      </c>
      <c r="L163" s="191">
        <f>Data!N111</f>
        <v>6611.9000333333324</v>
      </c>
      <c r="M163" s="191">
        <f>Data!O111</f>
        <v>6611.9000333333324</v>
      </c>
      <c r="N163" s="191">
        <f>Data!P111</f>
        <v>6611.9000333333324</v>
      </c>
      <c r="O163" s="191">
        <f>Data!Q111</f>
        <v>6611.9000333333324</v>
      </c>
      <c r="P163" s="191">
        <f>Data!R111</f>
        <v>6611.9000333333324</v>
      </c>
      <c r="Q163" s="191">
        <f>Data!S111</f>
        <v>6611.9000333333324</v>
      </c>
      <c r="R163" s="287">
        <f>Data!T111</f>
        <v>6942.495034999999</v>
      </c>
      <c r="S163" s="191">
        <f>Data!U111</f>
        <v>6942.495034999999</v>
      </c>
      <c r="T163" s="191">
        <f>Data!V111</f>
        <v>6942.495034999999</v>
      </c>
      <c r="U163" s="191">
        <f>Data!W111</f>
        <v>6942.495034999999</v>
      </c>
      <c r="V163" s="191">
        <f>Data!X111</f>
        <v>6942.495034999999</v>
      </c>
      <c r="W163" s="191">
        <f>Data!Y111</f>
        <v>6942.495034999999</v>
      </c>
      <c r="X163" s="191">
        <f>Data!Z111</f>
        <v>6942.495034999999</v>
      </c>
      <c r="Y163" s="191">
        <f>Data!AA111</f>
        <v>6942.495034999999</v>
      </c>
      <c r="Z163" s="191">
        <f>Data!AB111</f>
        <v>6942.495034999999</v>
      </c>
      <c r="AA163" s="191">
        <f>Data!AC111</f>
        <v>6942.495034999999</v>
      </c>
      <c r="AB163" s="191">
        <f>Data!AD111</f>
        <v>6942.495034999999</v>
      </c>
      <c r="AC163" s="191">
        <f>Data!AE111</f>
        <v>6942.495034999999</v>
      </c>
      <c r="AD163" s="287">
        <f>Data!AF111</f>
        <v>7289.6197867499995</v>
      </c>
      <c r="AE163" s="191">
        <f>Data!AG111</f>
        <v>7289.6197867499995</v>
      </c>
      <c r="AF163" s="191">
        <f>Data!AH111</f>
        <v>7289.6197867499995</v>
      </c>
      <c r="AG163" s="191">
        <f>Data!AI111</f>
        <v>7289.6197867499995</v>
      </c>
      <c r="AH163" s="191">
        <f>Data!AJ111</f>
        <v>7289.6197867499995</v>
      </c>
      <c r="AI163" s="191">
        <f>Data!AK111</f>
        <v>7289.6197867499995</v>
      </c>
      <c r="AJ163" s="191">
        <f>Data!AL111</f>
        <v>7289.6197867499995</v>
      </c>
      <c r="AK163" s="191">
        <f>Data!AM111</f>
        <v>7289.6197867499995</v>
      </c>
      <c r="AL163" s="191">
        <f>Data!AN111</f>
        <v>7289.6197867499995</v>
      </c>
      <c r="AM163" s="191">
        <f>Data!AO111</f>
        <v>7289.6197867499995</v>
      </c>
      <c r="AN163" s="191">
        <f>Data!AP111</f>
        <v>7289.6197867499995</v>
      </c>
      <c r="AO163" s="191">
        <f>Data!AQ111</f>
        <v>7289.6197867499995</v>
      </c>
      <c r="AP163" s="287">
        <f>Data!AR111</f>
        <v>7654.1007760875</v>
      </c>
      <c r="AQ163" s="191">
        <f>Data!AS111</f>
        <v>7654.1007760875</v>
      </c>
      <c r="AR163" s="191">
        <f>Data!AT111</f>
        <v>7654.1007760875</v>
      </c>
      <c r="AS163" s="191">
        <f>Data!AU111</f>
        <v>7654.1007760875</v>
      </c>
      <c r="AT163" s="191">
        <f>Data!AV111</f>
        <v>7654.1007760875</v>
      </c>
      <c r="AU163" s="191">
        <f>Data!AW111</f>
        <v>7654.1007760875</v>
      </c>
      <c r="AV163" s="191">
        <f>Data!AX111</f>
        <v>7654.1007760875</v>
      </c>
      <c r="AW163" s="191">
        <f>Data!AY111</f>
        <v>7654.1007760875</v>
      </c>
      <c r="AX163" s="191">
        <f>Data!AZ111</f>
        <v>7654.1007760875</v>
      </c>
      <c r="AY163" s="191">
        <f>Data!BA111</f>
        <v>7654.1007760875</v>
      </c>
      <c r="AZ163" s="191">
        <f>Data!BB111</f>
        <v>7654.1007760875</v>
      </c>
      <c r="BA163" s="191">
        <f>Data!BC111</f>
        <v>7654.1007760875</v>
      </c>
      <c r="BB163" s="287">
        <f>Data!BD111</f>
        <v>8036.8058148918753</v>
      </c>
      <c r="BC163" s="191">
        <f>Data!BE111</f>
        <v>8036.8058148918753</v>
      </c>
      <c r="BD163" s="191">
        <f>Data!BF111</f>
        <v>8036.8058148918753</v>
      </c>
      <c r="BE163" s="191">
        <f>Data!BG111</f>
        <v>8036.8058148918753</v>
      </c>
      <c r="BF163" s="191">
        <f>Data!BH111</f>
        <v>8036.8058148918753</v>
      </c>
      <c r="BG163" s="191">
        <f>Data!BI111</f>
        <v>8036.8058148918753</v>
      </c>
      <c r="BH163" s="191">
        <f>Data!BJ111</f>
        <v>8036.8058148918753</v>
      </c>
      <c r="BI163" s="191">
        <f>Data!BK111</f>
        <v>8036.8058148918753</v>
      </c>
      <c r="BJ163" s="191">
        <f>Data!BL111</f>
        <v>8036.8058148918753</v>
      </c>
      <c r="BK163" s="191">
        <f>Data!BM111</f>
        <v>8036.8058148918753</v>
      </c>
      <c r="BL163" s="191">
        <f>Data!BN111</f>
        <v>8036.8058148918753</v>
      </c>
      <c r="BM163" s="191">
        <f>Data!BO111</f>
        <v>8036.8058148918753</v>
      </c>
      <c r="BN163" s="191">
        <f>Data!BP111</f>
        <v>8438.6461056364697</v>
      </c>
      <c r="BO163" s="191">
        <f>Data!BQ111</f>
        <v>8438.6461056364697</v>
      </c>
      <c r="BP163" s="191">
        <f>Data!BR111</f>
        <v>8438.6461056364697</v>
      </c>
      <c r="BQ163" s="191">
        <f>Data!BS111</f>
        <v>8438.6461056364697</v>
      </c>
      <c r="BR163" s="191">
        <f>Data!BT111</f>
        <v>8438.6461056364697</v>
      </c>
      <c r="BS163" s="191">
        <f>Data!BU111</f>
        <v>8438.6461056364697</v>
      </c>
      <c r="BT163" s="191">
        <f>Data!BV111</f>
        <v>8438.6461056364697</v>
      </c>
      <c r="BU163" s="191">
        <f>Data!BW111</f>
        <v>8438.6461056364697</v>
      </c>
      <c r="BV163" s="191">
        <f>Data!BX111</f>
        <v>8438.6461056364697</v>
      </c>
      <c r="BW163" s="191">
        <f>Data!BY111</f>
        <v>8438.6461056364697</v>
      </c>
      <c r="BX163" s="191">
        <f>Data!BZ111</f>
        <v>8438.6461056364697</v>
      </c>
      <c r="BY163" s="191">
        <f>Data!CA111</f>
        <v>8438.6461056364697</v>
      </c>
      <c r="BZ163" s="191">
        <f>Data!CB111</f>
        <v>8860.5784109182932</v>
      </c>
      <c r="CA163" s="191">
        <f>Data!CC111</f>
        <v>8860.5784109182932</v>
      </c>
      <c r="CB163" s="191">
        <f>Data!CD111</f>
        <v>8860.5784109182932</v>
      </c>
      <c r="CC163" s="191">
        <f>Data!CE111</f>
        <v>8860.5784109182932</v>
      </c>
      <c r="CD163" s="191">
        <f>Data!CF111</f>
        <v>8860.5784109182932</v>
      </c>
      <c r="CE163" s="191">
        <f>Data!CG111</f>
        <v>8860.5784109182932</v>
      </c>
      <c r="CF163" s="191">
        <f>Data!CH111</f>
        <v>8860.5784109182932</v>
      </c>
      <c r="CG163" s="191">
        <f>Data!CI111</f>
        <v>8860.5784109182932</v>
      </c>
      <c r="CH163" s="191">
        <f>Data!CJ111</f>
        <v>8860.5784109182932</v>
      </c>
      <c r="CI163" s="191">
        <f>Data!CK111</f>
        <v>8860.5784109182932</v>
      </c>
      <c r="CJ163" s="191">
        <f>Data!CL111</f>
        <v>8860.5784109182932</v>
      </c>
      <c r="CK163" s="191">
        <f>Data!CM111</f>
        <v>8860.5784109182932</v>
      </c>
      <c r="CL163" s="191">
        <f>Data!CN111</f>
        <v>9303.607331464209</v>
      </c>
      <c r="CM163" s="191">
        <f>Data!CO111</f>
        <v>9303.607331464209</v>
      </c>
      <c r="CN163" s="191">
        <f>Data!CP111</f>
        <v>9303.607331464209</v>
      </c>
      <c r="CO163" s="191">
        <f>Data!CQ111</f>
        <v>9303.607331464209</v>
      </c>
      <c r="CP163" s="191">
        <f>Data!CR111</f>
        <v>9303.607331464209</v>
      </c>
      <c r="CQ163" s="191">
        <f>Data!CS111</f>
        <v>9303.607331464209</v>
      </c>
      <c r="CR163" s="191">
        <f>Data!CT111</f>
        <v>9303.607331464209</v>
      </c>
      <c r="CS163" s="191">
        <f>Data!CU111</f>
        <v>9303.607331464209</v>
      </c>
      <c r="CT163" s="191">
        <f>Data!CV111</f>
        <v>9303.607331464209</v>
      </c>
      <c r="CU163" s="191">
        <f>Data!CW111</f>
        <v>9303.607331464209</v>
      </c>
      <c r="CV163" s="191">
        <f>Data!CX111</f>
        <v>9303.607331464209</v>
      </c>
      <c r="CW163" s="191">
        <f>Data!CY111</f>
        <v>9303.607331464209</v>
      </c>
      <c r="CX163" s="191">
        <f>Data!CZ111</f>
        <v>9768.7876980374203</v>
      </c>
      <c r="CY163" s="191">
        <f>Data!DA111</f>
        <v>9768.7876980374203</v>
      </c>
      <c r="CZ163" s="191">
        <f>Data!DB111</f>
        <v>9768.7876980374203</v>
      </c>
      <c r="DA163" s="191">
        <f>Data!DC111</f>
        <v>9768.7876980374203</v>
      </c>
      <c r="DB163" s="191">
        <f>Data!DD111</f>
        <v>9768.7876980374203</v>
      </c>
      <c r="DC163" s="191">
        <f>Data!DE111</f>
        <v>9768.7876980374203</v>
      </c>
      <c r="DD163" s="191">
        <f>Data!DF111</f>
        <v>9768.7876980374203</v>
      </c>
      <c r="DE163" s="191">
        <f>Data!DG111</f>
        <v>9768.7876980374203</v>
      </c>
      <c r="DF163" s="191">
        <f>Data!DH111</f>
        <v>9768.7876980374203</v>
      </c>
      <c r="DG163" s="191">
        <f>Data!DI111</f>
        <v>9768.7876980374203</v>
      </c>
      <c r="DH163" s="191">
        <f>Data!DJ111</f>
        <v>9768.7876980374203</v>
      </c>
      <c r="DI163" s="191">
        <f>Data!DK111</f>
        <v>9768.7876980374203</v>
      </c>
      <c r="DJ163" s="191">
        <f>Data!DL111</f>
        <v>10257.227082939291</v>
      </c>
      <c r="DK163" s="191">
        <f>Data!DM111</f>
        <v>10257.227082939291</v>
      </c>
      <c r="DL163" s="191">
        <f>Data!DN111</f>
        <v>10257.227082939291</v>
      </c>
      <c r="DM163" s="191">
        <f>Data!DO111</f>
        <v>10257.227082939291</v>
      </c>
      <c r="DN163" s="191">
        <f>Data!DP111</f>
        <v>10257.227082939291</v>
      </c>
      <c r="DO163" s="191">
        <f>Data!DQ111</f>
        <v>10257.227082939291</v>
      </c>
      <c r="DP163" s="191">
        <f>Data!DR111</f>
        <v>10257.227082939291</v>
      </c>
      <c r="DQ163" s="191">
        <f>Data!DS111</f>
        <v>10257.227082939291</v>
      </c>
      <c r="DR163" s="191">
        <f>Data!DT111</f>
        <v>10257.227082939291</v>
      </c>
      <c r="DS163" s="191">
        <f>Data!DU111</f>
        <v>10257.227082939291</v>
      </c>
      <c r="DT163" s="191">
        <f>Data!DV111</f>
        <v>10257.227082939291</v>
      </c>
      <c r="DU163" s="443">
        <f>Data!DW111</f>
        <v>10257.227082939291</v>
      </c>
      <c r="DV163" s="705"/>
    </row>
    <row r="164" spans="1:138" x14ac:dyDescent="0.3">
      <c r="B164" s="629" t="str">
        <f>Data!D112</f>
        <v>Support Costs / Emp</v>
      </c>
      <c r="C164" s="583"/>
      <c r="D164" s="405"/>
      <c r="E164" s="190">
        <f>Data!G112</f>
        <v>3642</v>
      </c>
      <c r="F164" s="191">
        <f>Data!H112</f>
        <v>3642</v>
      </c>
      <c r="G164" s="191">
        <f>Data!I112</f>
        <v>3642</v>
      </c>
      <c r="H164" s="191">
        <f>Data!J112</f>
        <v>3642</v>
      </c>
      <c r="I164" s="191">
        <f>Data!K112</f>
        <v>3642</v>
      </c>
      <c r="J164" s="191">
        <f>Data!L112</f>
        <v>3642</v>
      </c>
      <c r="K164" s="191">
        <f>Data!M112</f>
        <v>3642</v>
      </c>
      <c r="L164" s="191">
        <f>Data!N112</f>
        <v>3642</v>
      </c>
      <c r="M164" s="191">
        <f>Data!O112</f>
        <v>3642</v>
      </c>
      <c r="N164" s="191">
        <f>Data!P112</f>
        <v>3642</v>
      </c>
      <c r="O164" s="191">
        <f>Data!Q112</f>
        <v>3642</v>
      </c>
      <c r="P164" s="191">
        <f>Data!R112</f>
        <v>3642</v>
      </c>
      <c r="Q164" s="191">
        <f>Data!S112</f>
        <v>3642</v>
      </c>
      <c r="R164" s="286">
        <f>Data!T112</f>
        <v>3824.1000000000004</v>
      </c>
      <c r="S164" s="191">
        <f>Data!U112</f>
        <v>3824.1000000000004</v>
      </c>
      <c r="T164" s="191">
        <f>Data!V112</f>
        <v>3824.1000000000004</v>
      </c>
      <c r="U164" s="191">
        <f>Data!W112</f>
        <v>3824.1000000000004</v>
      </c>
      <c r="V164" s="191">
        <f>Data!X112</f>
        <v>3824.1000000000004</v>
      </c>
      <c r="W164" s="191">
        <f>Data!Y112</f>
        <v>3824.1000000000004</v>
      </c>
      <c r="X164" s="191">
        <f>Data!Z112</f>
        <v>3824.1000000000004</v>
      </c>
      <c r="Y164" s="191">
        <f>Data!AA112</f>
        <v>3824.1000000000004</v>
      </c>
      <c r="Z164" s="191">
        <f>Data!AB112</f>
        <v>3824.1000000000004</v>
      </c>
      <c r="AA164" s="191">
        <f>Data!AC112</f>
        <v>3824.1000000000004</v>
      </c>
      <c r="AB164" s="191">
        <f>Data!AD112</f>
        <v>3824.1000000000004</v>
      </c>
      <c r="AC164" s="191">
        <f>Data!AE112</f>
        <v>3824.1000000000004</v>
      </c>
      <c r="AD164" s="286">
        <f>Data!AF112</f>
        <v>4015.3050000000007</v>
      </c>
      <c r="AE164" s="191">
        <f>Data!AG112</f>
        <v>4015.3050000000007</v>
      </c>
      <c r="AF164" s="191">
        <f>Data!AH112</f>
        <v>4015.3050000000007</v>
      </c>
      <c r="AG164" s="191">
        <f>Data!AI112</f>
        <v>4015.3050000000007</v>
      </c>
      <c r="AH164" s="191">
        <f>Data!AJ112</f>
        <v>4015.3050000000007</v>
      </c>
      <c r="AI164" s="191">
        <f>Data!AK112</f>
        <v>4015.3050000000007</v>
      </c>
      <c r="AJ164" s="191">
        <f>Data!AL112</f>
        <v>4015.3050000000007</v>
      </c>
      <c r="AK164" s="191">
        <f>Data!AM112</f>
        <v>4015.3050000000007</v>
      </c>
      <c r="AL164" s="191">
        <f>Data!AN112</f>
        <v>4015.3050000000007</v>
      </c>
      <c r="AM164" s="191">
        <f>Data!AO112</f>
        <v>4015.3050000000007</v>
      </c>
      <c r="AN164" s="191">
        <f>Data!AP112</f>
        <v>4015.3050000000007</v>
      </c>
      <c r="AO164" s="191">
        <f>Data!AQ112</f>
        <v>4015.3050000000007</v>
      </c>
      <c r="AP164" s="286">
        <f>Data!AR112</f>
        <v>4216.0702500000007</v>
      </c>
      <c r="AQ164" s="191">
        <f>Data!AS112</f>
        <v>4216.0702500000007</v>
      </c>
      <c r="AR164" s="191">
        <f>Data!AT112</f>
        <v>4216.0702500000007</v>
      </c>
      <c r="AS164" s="191">
        <f>Data!AU112</f>
        <v>4216.0702500000007</v>
      </c>
      <c r="AT164" s="191">
        <f>Data!AV112</f>
        <v>4216.0702500000007</v>
      </c>
      <c r="AU164" s="191">
        <f>Data!AW112</f>
        <v>4216.0702500000007</v>
      </c>
      <c r="AV164" s="191">
        <f>Data!AX112</f>
        <v>4216.0702500000007</v>
      </c>
      <c r="AW164" s="191">
        <f>Data!AY112</f>
        <v>4216.0702500000007</v>
      </c>
      <c r="AX164" s="191">
        <f>Data!AZ112</f>
        <v>4216.0702500000007</v>
      </c>
      <c r="AY164" s="191">
        <f>Data!BA112</f>
        <v>4216.0702500000007</v>
      </c>
      <c r="AZ164" s="191">
        <f>Data!BB112</f>
        <v>4216.0702500000007</v>
      </c>
      <c r="BA164" s="191">
        <f>Data!BC112</f>
        <v>4216.0702500000007</v>
      </c>
      <c r="BB164" s="286">
        <f>Data!BD112</f>
        <v>4426.8737625000012</v>
      </c>
      <c r="BC164" s="191">
        <f>Data!BE112</f>
        <v>4426.8737625000012</v>
      </c>
      <c r="BD164" s="191">
        <f>Data!BF112</f>
        <v>4426.8737625000012</v>
      </c>
      <c r="BE164" s="191">
        <f>Data!BG112</f>
        <v>4426.8737625000012</v>
      </c>
      <c r="BF164" s="191">
        <f>Data!BH112</f>
        <v>4426.8737625000012</v>
      </c>
      <c r="BG164" s="191">
        <f>Data!BI112</f>
        <v>4426.8737625000012</v>
      </c>
      <c r="BH164" s="191">
        <f>Data!BJ112</f>
        <v>4426.8737625000012</v>
      </c>
      <c r="BI164" s="191">
        <f>Data!BK112</f>
        <v>4426.8737625000012</v>
      </c>
      <c r="BJ164" s="191">
        <f>Data!BL112</f>
        <v>4426.8737625000012</v>
      </c>
      <c r="BK164" s="191">
        <f>Data!BM112</f>
        <v>4426.8737625000012</v>
      </c>
      <c r="BL164" s="191">
        <f>Data!BN112</f>
        <v>4426.8737625000012</v>
      </c>
      <c r="BM164" s="191">
        <f>Data!BO112</f>
        <v>4426.8737625000012</v>
      </c>
      <c r="BN164" s="191">
        <f>Data!BP112</f>
        <v>4648.2174506250012</v>
      </c>
      <c r="BO164" s="191">
        <f>Data!BQ112</f>
        <v>4648.2174506250012</v>
      </c>
      <c r="BP164" s="191">
        <f>Data!BR112</f>
        <v>4648.2174506250012</v>
      </c>
      <c r="BQ164" s="191">
        <f>Data!BS112</f>
        <v>4648.2174506250012</v>
      </c>
      <c r="BR164" s="191">
        <f>Data!BT112</f>
        <v>4648.2174506250012</v>
      </c>
      <c r="BS164" s="191">
        <f>Data!BU112</f>
        <v>4648.2174506250012</v>
      </c>
      <c r="BT164" s="191">
        <f>Data!BV112</f>
        <v>4648.2174506250012</v>
      </c>
      <c r="BU164" s="191">
        <f>Data!BW112</f>
        <v>4648.2174506250012</v>
      </c>
      <c r="BV164" s="191">
        <f>Data!BX112</f>
        <v>4648.2174506250012</v>
      </c>
      <c r="BW164" s="191">
        <f>Data!BY112</f>
        <v>4648.2174506250012</v>
      </c>
      <c r="BX164" s="191">
        <f>Data!BZ112</f>
        <v>4648.2174506250012</v>
      </c>
      <c r="BY164" s="191">
        <f>Data!CA112</f>
        <v>4648.2174506250012</v>
      </c>
      <c r="BZ164" s="191">
        <f>Data!CB112</f>
        <v>4880.6283231562511</v>
      </c>
      <c r="CA164" s="191">
        <f>Data!CC112</f>
        <v>4880.6283231562511</v>
      </c>
      <c r="CB164" s="191">
        <f>Data!CD112</f>
        <v>4880.6283231562511</v>
      </c>
      <c r="CC164" s="191">
        <f>Data!CE112</f>
        <v>4880.6283231562511</v>
      </c>
      <c r="CD164" s="191">
        <f>Data!CF112</f>
        <v>4880.6283231562511</v>
      </c>
      <c r="CE164" s="191">
        <f>Data!CG112</f>
        <v>4880.6283231562511</v>
      </c>
      <c r="CF164" s="191">
        <f>Data!CH112</f>
        <v>4880.6283231562511</v>
      </c>
      <c r="CG164" s="191">
        <f>Data!CI112</f>
        <v>4880.6283231562511</v>
      </c>
      <c r="CH164" s="191">
        <f>Data!CJ112</f>
        <v>4880.6283231562511</v>
      </c>
      <c r="CI164" s="191">
        <f>Data!CK112</f>
        <v>4880.6283231562511</v>
      </c>
      <c r="CJ164" s="191">
        <f>Data!CL112</f>
        <v>4880.6283231562511</v>
      </c>
      <c r="CK164" s="191">
        <f>Data!CM112</f>
        <v>4880.6283231562511</v>
      </c>
      <c r="CL164" s="191">
        <f>Data!CN112</f>
        <v>5124.6597393140637</v>
      </c>
      <c r="CM164" s="191">
        <f>Data!CO112</f>
        <v>5124.6597393140637</v>
      </c>
      <c r="CN164" s="191">
        <f>Data!CP112</f>
        <v>5124.6597393140637</v>
      </c>
      <c r="CO164" s="191">
        <f>Data!CQ112</f>
        <v>5124.6597393140637</v>
      </c>
      <c r="CP164" s="191">
        <f>Data!CR112</f>
        <v>5124.6597393140637</v>
      </c>
      <c r="CQ164" s="191">
        <f>Data!CS112</f>
        <v>5124.6597393140637</v>
      </c>
      <c r="CR164" s="191">
        <f>Data!CT112</f>
        <v>5124.6597393140637</v>
      </c>
      <c r="CS164" s="191">
        <f>Data!CU112</f>
        <v>5124.6597393140637</v>
      </c>
      <c r="CT164" s="191">
        <f>Data!CV112</f>
        <v>5124.6597393140637</v>
      </c>
      <c r="CU164" s="191">
        <f>Data!CW112</f>
        <v>5124.6597393140637</v>
      </c>
      <c r="CV164" s="191">
        <f>Data!CX112</f>
        <v>5124.6597393140637</v>
      </c>
      <c r="CW164" s="191">
        <f>Data!CY112</f>
        <v>5124.6597393140637</v>
      </c>
      <c r="CX164" s="191">
        <f>Data!CZ112</f>
        <v>5380.892726279767</v>
      </c>
      <c r="CY164" s="191">
        <f>Data!DA112</f>
        <v>5380.892726279767</v>
      </c>
      <c r="CZ164" s="191">
        <f>Data!DB112</f>
        <v>5380.892726279767</v>
      </c>
      <c r="DA164" s="191">
        <f>Data!DC112</f>
        <v>5380.892726279767</v>
      </c>
      <c r="DB164" s="191">
        <f>Data!DD112</f>
        <v>5380.892726279767</v>
      </c>
      <c r="DC164" s="191">
        <f>Data!DE112</f>
        <v>5380.892726279767</v>
      </c>
      <c r="DD164" s="191">
        <f>Data!DF112</f>
        <v>5380.892726279767</v>
      </c>
      <c r="DE164" s="191">
        <f>Data!DG112</f>
        <v>5380.892726279767</v>
      </c>
      <c r="DF164" s="191">
        <f>Data!DH112</f>
        <v>5380.892726279767</v>
      </c>
      <c r="DG164" s="191">
        <f>Data!DI112</f>
        <v>5380.892726279767</v>
      </c>
      <c r="DH164" s="191">
        <f>Data!DJ112</f>
        <v>5380.892726279767</v>
      </c>
      <c r="DI164" s="191">
        <f>Data!DK112</f>
        <v>5380.892726279767</v>
      </c>
      <c r="DJ164" s="191">
        <f>Data!DL112</f>
        <v>5649.937362593756</v>
      </c>
      <c r="DK164" s="191">
        <f>Data!DM112</f>
        <v>5649.937362593756</v>
      </c>
      <c r="DL164" s="191">
        <f>Data!DN112</f>
        <v>5649.937362593756</v>
      </c>
      <c r="DM164" s="191">
        <f>Data!DO112</f>
        <v>5649.937362593756</v>
      </c>
      <c r="DN164" s="191">
        <f>Data!DP112</f>
        <v>5649.937362593756</v>
      </c>
      <c r="DO164" s="191">
        <f>Data!DQ112</f>
        <v>5649.937362593756</v>
      </c>
      <c r="DP164" s="191">
        <f>Data!DR112</f>
        <v>5649.937362593756</v>
      </c>
      <c r="DQ164" s="191">
        <f>Data!DS112</f>
        <v>5649.937362593756</v>
      </c>
      <c r="DR164" s="191">
        <f>Data!DT112</f>
        <v>5649.937362593756</v>
      </c>
      <c r="DS164" s="191">
        <f>Data!DU112</f>
        <v>5649.937362593756</v>
      </c>
      <c r="DT164" s="191">
        <f>Data!DV112</f>
        <v>5649.937362593756</v>
      </c>
      <c r="DU164" s="443">
        <f>Data!DW112</f>
        <v>5649.937362593756</v>
      </c>
      <c r="DV164" s="705"/>
    </row>
    <row r="165" spans="1:138" x14ac:dyDescent="0.3">
      <c r="F165" s="260"/>
    </row>
    <row r="166" spans="1:138" x14ac:dyDescent="0.3">
      <c r="B166" s="629" t="str">
        <f>Data!D114</f>
        <v>Infra Capex / month</v>
      </c>
      <c r="C166" s="585"/>
      <c r="D166" s="407"/>
      <c r="E166" s="193">
        <f>Data!G114</f>
        <v>109410.72747126437</v>
      </c>
      <c r="F166" s="194">
        <f>Data!H114</f>
        <v>109410.72747126437</v>
      </c>
      <c r="G166" s="194">
        <f>Data!I114</f>
        <v>109410.72747126437</v>
      </c>
      <c r="H166" s="194">
        <f>Data!J114</f>
        <v>109410.72747126437</v>
      </c>
      <c r="I166" s="194">
        <f>Data!K114</f>
        <v>109410.72747126437</v>
      </c>
      <c r="J166" s="194">
        <f>Data!L114</f>
        <v>109410.72747126437</v>
      </c>
      <c r="K166" s="194">
        <f>Data!M114</f>
        <v>109410.72747126437</v>
      </c>
      <c r="L166" s="194">
        <f>Data!N114</f>
        <v>109410.72747126437</v>
      </c>
      <c r="M166" s="194">
        <f>Data!O114</f>
        <v>109410.72747126437</v>
      </c>
      <c r="N166" s="194">
        <f>Data!P114</f>
        <v>109410.72747126437</v>
      </c>
      <c r="O166" s="194">
        <f>Data!Q114</f>
        <v>109410.72747126437</v>
      </c>
      <c r="P166" s="194">
        <f>Data!R114</f>
        <v>109410.72747126437</v>
      </c>
      <c r="Q166" s="194">
        <f>Data!S114</f>
        <v>109410.72747126437</v>
      </c>
      <c r="R166" s="288">
        <f>Data!T114</f>
        <v>107885.12747126436</v>
      </c>
      <c r="S166" s="194">
        <f>Data!U114</f>
        <v>107885.12747126436</v>
      </c>
      <c r="T166" s="194">
        <f>Data!V114</f>
        <v>107885.12747126436</v>
      </c>
      <c r="U166" s="194">
        <f>Data!W114</f>
        <v>107885.12747126436</v>
      </c>
      <c r="V166" s="194">
        <f>Data!X114</f>
        <v>107885.12747126436</v>
      </c>
      <c r="W166" s="194">
        <f>Data!Y114</f>
        <v>107885.12747126436</v>
      </c>
      <c r="X166" s="194">
        <f>Data!Z114</f>
        <v>107885.12747126436</v>
      </c>
      <c r="Y166" s="194">
        <f>Data!AA114</f>
        <v>107885.12747126436</v>
      </c>
      <c r="Z166" s="194">
        <f>Data!AB114</f>
        <v>107885.12747126436</v>
      </c>
      <c r="AA166" s="194">
        <f>Data!AC114</f>
        <v>107885.12747126436</v>
      </c>
      <c r="AB166" s="194">
        <f>Data!AD114</f>
        <v>107885.12747126436</v>
      </c>
      <c r="AC166" s="194">
        <f>Data!AE114</f>
        <v>107885.12747126436</v>
      </c>
      <c r="AD166" s="288">
        <f>Data!AF114</f>
        <v>107885.12747126436</v>
      </c>
      <c r="AE166" s="194">
        <f>Data!AG114</f>
        <v>107885.12747126436</v>
      </c>
      <c r="AF166" s="194">
        <f>Data!AH114</f>
        <v>107885.12747126436</v>
      </c>
      <c r="AG166" s="194">
        <f>Data!AI114</f>
        <v>107885.12747126436</v>
      </c>
      <c r="AH166" s="194">
        <f>Data!AJ114</f>
        <v>107885.12747126436</v>
      </c>
      <c r="AI166" s="194">
        <f>Data!AK114</f>
        <v>107885.12747126436</v>
      </c>
      <c r="AJ166" s="194">
        <f>Data!AL114</f>
        <v>107885.12747126436</v>
      </c>
      <c r="AK166" s="194">
        <f>Data!AM114</f>
        <v>107885.12747126436</v>
      </c>
      <c r="AL166" s="194">
        <f>Data!AN114</f>
        <v>107885.12747126436</v>
      </c>
      <c r="AM166" s="194">
        <f>Data!AO114</f>
        <v>107885.12747126436</v>
      </c>
      <c r="AN166" s="194">
        <f>Data!AP114</f>
        <v>107885.12747126436</v>
      </c>
      <c r="AO166" s="194">
        <f>Data!AQ114</f>
        <v>107885.12747126436</v>
      </c>
      <c r="AP166" s="288">
        <f>Data!AR114</f>
        <v>107885.12747126436</v>
      </c>
      <c r="AQ166" s="194">
        <f>Data!AS114</f>
        <v>107885.12747126436</v>
      </c>
      <c r="AR166" s="194">
        <f>Data!AT114</f>
        <v>107885.12747126436</v>
      </c>
      <c r="AS166" s="194">
        <f>Data!AU114</f>
        <v>107885.12747126436</v>
      </c>
      <c r="AT166" s="194">
        <f>Data!AV114</f>
        <v>107885.12747126436</v>
      </c>
      <c r="AU166" s="194">
        <f>Data!AW114</f>
        <v>107885.12747126436</v>
      </c>
      <c r="AV166" s="194">
        <f>Data!AX114</f>
        <v>107885.12747126436</v>
      </c>
      <c r="AW166" s="194">
        <f>Data!AY114</f>
        <v>107885.12747126436</v>
      </c>
      <c r="AX166" s="194">
        <f>Data!AZ114</f>
        <v>107885.12747126436</v>
      </c>
      <c r="AY166" s="194">
        <f>Data!BA114</f>
        <v>107885.12747126436</v>
      </c>
      <c r="AZ166" s="194">
        <f>Data!BB114</f>
        <v>107885.12747126436</v>
      </c>
      <c r="BA166" s="194">
        <f>Data!BC114</f>
        <v>107885.12747126436</v>
      </c>
      <c r="BB166" s="288">
        <f>Data!BD114</f>
        <v>107885.12747126436</v>
      </c>
      <c r="BC166" s="194">
        <f>Data!BE114</f>
        <v>107885.12747126436</v>
      </c>
      <c r="BD166" s="194">
        <f>Data!BF114</f>
        <v>107885.12747126436</v>
      </c>
      <c r="BE166" s="194">
        <f>Data!BG114</f>
        <v>107885.12747126436</v>
      </c>
      <c r="BF166" s="194">
        <f>Data!BH114</f>
        <v>107885.12747126436</v>
      </c>
      <c r="BG166" s="194">
        <f>Data!BI114</f>
        <v>107885.12747126436</v>
      </c>
      <c r="BH166" s="194">
        <f>Data!BJ114</f>
        <v>107885.12747126436</v>
      </c>
      <c r="BI166" s="194">
        <f>Data!BK114</f>
        <v>107885.12747126436</v>
      </c>
      <c r="BJ166" s="194">
        <f>Data!BL114</f>
        <v>107885.12747126436</v>
      </c>
      <c r="BK166" s="194">
        <f>Data!BM114</f>
        <v>107885.12747126436</v>
      </c>
      <c r="BL166" s="194">
        <f>Data!BN114</f>
        <v>107885.12747126436</v>
      </c>
      <c r="BM166" s="194">
        <f>Data!BO114</f>
        <v>107885.12747126436</v>
      </c>
      <c r="BN166" s="194">
        <f>Data!BP114</f>
        <v>107885.12747126436</v>
      </c>
      <c r="BO166" s="194">
        <f>Data!BQ114</f>
        <v>107885.12747126436</v>
      </c>
      <c r="BP166" s="194">
        <f>Data!BR114</f>
        <v>107885.12747126436</v>
      </c>
      <c r="BQ166" s="194">
        <f>Data!BS114</f>
        <v>107885.12747126436</v>
      </c>
      <c r="BR166" s="194">
        <f>Data!BT114</f>
        <v>107885.12747126436</v>
      </c>
      <c r="BS166" s="194">
        <f>Data!BU114</f>
        <v>107885.12747126436</v>
      </c>
      <c r="BT166" s="194">
        <f>Data!BV114</f>
        <v>107885.12747126436</v>
      </c>
      <c r="BU166" s="194">
        <f>Data!BW114</f>
        <v>107885.12747126436</v>
      </c>
      <c r="BV166" s="194">
        <f>Data!BX114</f>
        <v>107885.12747126436</v>
      </c>
      <c r="BW166" s="194">
        <f>Data!BY114</f>
        <v>107885.12747126436</v>
      </c>
      <c r="BX166" s="194">
        <f>Data!BZ114</f>
        <v>107885.12747126436</v>
      </c>
      <c r="BY166" s="194">
        <f>Data!CA114</f>
        <v>107885.12747126436</v>
      </c>
      <c r="BZ166" s="194">
        <f>Data!CB114</f>
        <v>107885.12747126436</v>
      </c>
      <c r="CA166" s="194">
        <f>Data!CC114</f>
        <v>107885.12747126436</v>
      </c>
      <c r="CB166" s="194">
        <f>Data!CD114</f>
        <v>107885.12747126436</v>
      </c>
      <c r="CC166" s="194">
        <f>Data!CE114</f>
        <v>107885.12747126436</v>
      </c>
      <c r="CD166" s="194">
        <f>Data!CF114</f>
        <v>107885.12747126436</v>
      </c>
      <c r="CE166" s="194">
        <f>Data!CG114</f>
        <v>107885.12747126436</v>
      </c>
      <c r="CF166" s="194">
        <f>Data!CH114</f>
        <v>107885.12747126436</v>
      </c>
      <c r="CG166" s="194">
        <f>Data!CI114</f>
        <v>107885.12747126436</v>
      </c>
      <c r="CH166" s="194">
        <f>Data!CJ114</f>
        <v>107885.12747126436</v>
      </c>
      <c r="CI166" s="194">
        <f>Data!CK114</f>
        <v>107885.12747126436</v>
      </c>
      <c r="CJ166" s="194">
        <f>Data!CL114</f>
        <v>107885.12747126436</v>
      </c>
      <c r="CK166" s="194">
        <f>Data!CM114</f>
        <v>107885.12747126436</v>
      </c>
      <c r="CL166" s="194">
        <f>Data!CN114</f>
        <v>107885.12747126436</v>
      </c>
      <c r="CM166" s="194">
        <f>Data!CO114</f>
        <v>107885.12747126436</v>
      </c>
      <c r="CN166" s="194">
        <f>Data!CP114</f>
        <v>107885.12747126436</v>
      </c>
      <c r="CO166" s="194">
        <f>Data!CQ114</f>
        <v>107885.12747126436</v>
      </c>
      <c r="CP166" s="194">
        <f>Data!CR114</f>
        <v>107885.12747126436</v>
      </c>
      <c r="CQ166" s="194">
        <f>Data!CS114</f>
        <v>107885.12747126436</v>
      </c>
      <c r="CR166" s="194">
        <f>Data!CT114</f>
        <v>107885.12747126436</v>
      </c>
      <c r="CS166" s="194">
        <f>Data!CU114</f>
        <v>107885.12747126436</v>
      </c>
      <c r="CT166" s="194">
        <f>Data!CV114</f>
        <v>107885.12747126436</v>
      </c>
      <c r="CU166" s="194">
        <f>Data!CW114</f>
        <v>107885.12747126436</v>
      </c>
      <c r="CV166" s="194">
        <f>Data!CX114</f>
        <v>107885.12747126436</v>
      </c>
      <c r="CW166" s="194">
        <f>Data!CY114</f>
        <v>107885.12747126436</v>
      </c>
      <c r="CX166" s="194">
        <f>Data!CZ114</f>
        <v>107885.12747126436</v>
      </c>
      <c r="CY166" s="194">
        <f>Data!DA114</f>
        <v>107885.12747126436</v>
      </c>
      <c r="CZ166" s="194">
        <f>Data!DB114</f>
        <v>107885.12747126436</v>
      </c>
      <c r="DA166" s="194">
        <f>Data!DC114</f>
        <v>107885.12747126436</v>
      </c>
      <c r="DB166" s="194">
        <f>Data!DD114</f>
        <v>107885.12747126436</v>
      </c>
      <c r="DC166" s="194">
        <f>Data!DE114</f>
        <v>107885.12747126436</v>
      </c>
      <c r="DD166" s="194">
        <f>Data!DF114</f>
        <v>107885.12747126436</v>
      </c>
      <c r="DE166" s="194">
        <f>Data!DG114</f>
        <v>107885.12747126436</v>
      </c>
      <c r="DF166" s="194">
        <f>Data!DH114</f>
        <v>107885.12747126436</v>
      </c>
      <c r="DG166" s="194">
        <f>Data!DI114</f>
        <v>107885.12747126436</v>
      </c>
      <c r="DH166" s="194">
        <f>Data!DJ114</f>
        <v>107885.12747126436</v>
      </c>
      <c r="DI166" s="194">
        <f>Data!DK114</f>
        <v>107885.12747126436</v>
      </c>
      <c r="DJ166" s="194">
        <f>Data!DL114</f>
        <v>107885.12747126436</v>
      </c>
      <c r="DK166" s="194">
        <f>Data!DM114</f>
        <v>107885.12747126436</v>
      </c>
      <c r="DL166" s="194">
        <f>Data!DN114</f>
        <v>107885.12747126436</v>
      </c>
      <c r="DM166" s="194">
        <f>Data!DO114</f>
        <v>107885.12747126436</v>
      </c>
      <c r="DN166" s="194">
        <f>Data!DP114</f>
        <v>107885.12747126436</v>
      </c>
      <c r="DO166" s="194">
        <f>Data!DQ114</f>
        <v>107885.12747126436</v>
      </c>
      <c r="DP166" s="194">
        <f>Data!DR114</f>
        <v>107885.12747126436</v>
      </c>
      <c r="DQ166" s="194">
        <f>Data!DS114</f>
        <v>107885.12747126436</v>
      </c>
      <c r="DR166" s="194">
        <f>Data!DT114</f>
        <v>107885.12747126436</v>
      </c>
      <c r="DS166" s="194">
        <f>Data!DU114</f>
        <v>107885.12747126436</v>
      </c>
      <c r="DT166" s="194">
        <f>Data!DV114</f>
        <v>107885.12747126436</v>
      </c>
      <c r="DU166" s="444">
        <f>Data!DW114</f>
        <v>107885.12747126436</v>
      </c>
      <c r="DV166" s="183"/>
    </row>
    <row r="167" spans="1:138" x14ac:dyDescent="0.3">
      <c r="B167" s="629" t="str">
        <f>Data!D115</f>
        <v>Tech Capex / month</v>
      </c>
      <c r="C167" s="586"/>
      <c r="D167" s="408"/>
      <c r="E167" s="193">
        <f>Data!G115</f>
        <v>0</v>
      </c>
      <c r="F167" s="196">
        <f>Data!H115</f>
        <v>0</v>
      </c>
      <c r="G167" s="196">
        <f>Data!I115</f>
        <v>0</v>
      </c>
      <c r="H167" s="196">
        <f>Data!J115</f>
        <v>0</v>
      </c>
      <c r="I167" s="196">
        <f>Data!K115</f>
        <v>0</v>
      </c>
      <c r="J167" s="196">
        <f>Data!L115</f>
        <v>0</v>
      </c>
      <c r="K167" s="196">
        <f>Data!M115</f>
        <v>0</v>
      </c>
      <c r="L167" s="196">
        <f>Data!N115</f>
        <v>0</v>
      </c>
      <c r="M167" s="196">
        <f>Data!O115</f>
        <v>0</v>
      </c>
      <c r="N167" s="196">
        <f>Data!P115</f>
        <v>0</v>
      </c>
      <c r="O167" s="196">
        <f>Data!Q115</f>
        <v>0</v>
      </c>
      <c r="P167" s="196">
        <f>Data!R115</f>
        <v>0</v>
      </c>
      <c r="Q167" s="196">
        <f>Data!S115</f>
        <v>0</v>
      </c>
      <c r="R167" s="288">
        <f>Data!T115</f>
        <v>0</v>
      </c>
      <c r="S167" s="196">
        <f>Data!U115</f>
        <v>0</v>
      </c>
      <c r="T167" s="196">
        <f>Data!V115</f>
        <v>0</v>
      </c>
      <c r="U167" s="196">
        <f>Data!W115</f>
        <v>0</v>
      </c>
      <c r="V167" s="196">
        <f>Data!X115</f>
        <v>0</v>
      </c>
      <c r="W167" s="196">
        <f>Data!Y115</f>
        <v>0</v>
      </c>
      <c r="X167" s="196">
        <f>Data!Z115</f>
        <v>0</v>
      </c>
      <c r="Y167" s="196">
        <f>Data!AA115</f>
        <v>0</v>
      </c>
      <c r="Z167" s="196">
        <f>Data!AB115</f>
        <v>0</v>
      </c>
      <c r="AA167" s="196">
        <f>Data!AC115</f>
        <v>0</v>
      </c>
      <c r="AB167" s="196">
        <f>Data!AD115</f>
        <v>0</v>
      </c>
      <c r="AC167" s="196">
        <f>Data!AE115</f>
        <v>0</v>
      </c>
      <c r="AD167" s="288">
        <f>Data!AF115</f>
        <v>0</v>
      </c>
      <c r="AE167" s="196">
        <f>Data!AG115</f>
        <v>0</v>
      </c>
      <c r="AF167" s="196">
        <f>Data!AH115</f>
        <v>0</v>
      </c>
      <c r="AG167" s="196">
        <f>Data!AI115</f>
        <v>0</v>
      </c>
      <c r="AH167" s="196">
        <f>Data!AJ115</f>
        <v>0</v>
      </c>
      <c r="AI167" s="196">
        <f>Data!AK115</f>
        <v>0</v>
      </c>
      <c r="AJ167" s="196">
        <f>Data!AL115</f>
        <v>0</v>
      </c>
      <c r="AK167" s="196">
        <f>Data!AM115</f>
        <v>0</v>
      </c>
      <c r="AL167" s="196">
        <f>Data!AN115</f>
        <v>0</v>
      </c>
      <c r="AM167" s="196">
        <f>Data!AO115</f>
        <v>0</v>
      </c>
      <c r="AN167" s="196">
        <f>Data!AP115</f>
        <v>0</v>
      </c>
      <c r="AO167" s="196">
        <f>Data!AQ115</f>
        <v>0</v>
      </c>
      <c r="AP167" s="288">
        <f>Data!AR115</f>
        <v>0</v>
      </c>
      <c r="AQ167" s="196">
        <f>Data!AS115</f>
        <v>0</v>
      </c>
      <c r="AR167" s="196">
        <f>Data!AT115</f>
        <v>0</v>
      </c>
      <c r="AS167" s="196">
        <f>Data!AU115</f>
        <v>0</v>
      </c>
      <c r="AT167" s="196">
        <f>Data!AV115</f>
        <v>0</v>
      </c>
      <c r="AU167" s="196">
        <f>Data!AW115</f>
        <v>0</v>
      </c>
      <c r="AV167" s="196">
        <f>Data!AX115</f>
        <v>0</v>
      </c>
      <c r="AW167" s="196">
        <f>Data!AY115</f>
        <v>0</v>
      </c>
      <c r="AX167" s="196">
        <f>Data!AZ115</f>
        <v>0</v>
      </c>
      <c r="AY167" s="196">
        <f>Data!BA115</f>
        <v>0</v>
      </c>
      <c r="AZ167" s="196">
        <f>Data!BB115</f>
        <v>0</v>
      </c>
      <c r="BA167" s="196">
        <f>Data!BC115</f>
        <v>0</v>
      </c>
      <c r="BB167" s="288">
        <f>Data!BD115</f>
        <v>0</v>
      </c>
      <c r="BC167" s="196">
        <f>Data!BE115</f>
        <v>0</v>
      </c>
      <c r="BD167" s="196">
        <f>Data!BF115</f>
        <v>0</v>
      </c>
      <c r="BE167" s="196">
        <f>Data!BG115</f>
        <v>0</v>
      </c>
      <c r="BF167" s="196">
        <f>Data!BH115</f>
        <v>0</v>
      </c>
      <c r="BG167" s="196">
        <f>Data!BI115</f>
        <v>0</v>
      </c>
      <c r="BH167" s="196">
        <f>Data!BJ115</f>
        <v>0</v>
      </c>
      <c r="BI167" s="196">
        <f>Data!BK115</f>
        <v>0</v>
      </c>
      <c r="BJ167" s="196">
        <f>Data!BL115</f>
        <v>0</v>
      </c>
      <c r="BK167" s="196">
        <f>Data!BM115</f>
        <v>0</v>
      </c>
      <c r="BL167" s="196">
        <f>Data!BN115</f>
        <v>0</v>
      </c>
      <c r="BM167" s="196">
        <f>Data!BO115</f>
        <v>0</v>
      </c>
      <c r="BN167" s="196">
        <f>Data!BP115</f>
        <v>0</v>
      </c>
      <c r="BO167" s="196">
        <f>Data!BQ115</f>
        <v>0</v>
      </c>
      <c r="BP167" s="196">
        <f>Data!BR115</f>
        <v>0</v>
      </c>
      <c r="BQ167" s="196">
        <f>Data!BS115</f>
        <v>0</v>
      </c>
      <c r="BR167" s="196">
        <f>Data!BT115</f>
        <v>0</v>
      </c>
      <c r="BS167" s="196">
        <f>Data!BU115</f>
        <v>0</v>
      </c>
      <c r="BT167" s="196">
        <f>Data!BV115</f>
        <v>0</v>
      </c>
      <c r="BU167" s="196">
        <f>Data!BW115</f>
        <v>0</v>
      </c>
      <c r="BV167" s="196">
        <f>Data!BX115</f>
        <v>0</v>
      </c>
      <c r="BW167" s="196">
        <f>Data!BY115</f>
        <v>0</v>
      </c>
      <c r="BX167" s="196">
        <f>Data!BZ115</f>
        <v>0</v>
      </c>
      <c r="BY167" s="196">
        <f>Data!CA115</f>
        <v>0</v>
      </c>
      <c r="BZ167" s="196">
        <f>Data!CB115</f>
        <v>0</v>
      </c>
      <c r="CA167" s="196">
        <f>Data!CC115</f>
        <v>0</v>
      </c>
      <c r="CB167" s="196">
        <f>Data!CD115</f>
        <v>0</v>
      </c>
      <c r="CC167" s="196">
        <f>Data!CE115</f>
        <v>0</v>
      </c>
      <c r="CD167" s="196">
        <f>Data!CF115</f>
        <v>0</v>
      </c>
      <c r="CE167" s="196">
        <f>Data!CG115</f>
        <v>0</v>
      </c>
      <c r="CF167" s="196">
        <f>Data!CH115</f>
        <v>0</v>
      </c>
      <c r="CG167" s="196">
        <f>Data!CI115</f>
        <v>0</v>
      </c>
      <c r="CH167" s="196">
        <f>Data!CJ115</f>
        <v>0</v>
      </c>
      <c r="CI167" s="196">
        <f>Data!CK115</f>
        <v>0</v>
      </c>
      <c r="CJ167" s="196">
        <f>Data!CL115</f>
        <v>0</v>
      </c>
      <c r="CK167" s="196">
        <f>Data!CM115</f>
        <v>0</v>
      </c>
      <c r="CL167" s="196">
        <f>Data!CN115</f>
        <v>0</v>
      </c>
      <c r="CM167" s="196">
        <f>Data!CO115</f>
        <v>0</v>
      </c>
      <c r="CN167" s="196">
        <f>Data!CP115</f>
        <v>0</v>
      </c>
      <c r="CO167" s="196">
        <f>Data!CQ115</f>
        <v>0</v>
      </c>
      <c r="CP167" s="196">
        <f>Data!CR115</f>
        <v>0</v>
      </c>
      <c r="CQ167" s="196">
        <f>Data!CS115</f>
        <v>0</v>
      </c>
      <c r="CR167" s="196">
        <f>Data!CT115</f>
        <v>0</v>
      </c>
      <c r="CS167" s="196">
        <f>Data!CU115</f>
        <v>0</v>
      </c>
      <c r="CT167" s="196">
        <f>Data!CV115</f>
        <v>0</v>
      </c>
      <c r="CU167" s="196">
        <f>Data!CW115</f>
        <v>0</v>
      </c>
      <c r="CV167" s="196">
        <f>Data!CX115</f>
        <v>0</v>
      </c>
      <c r="CW167" s="196">
        <f>Data!CY115</f>
        <v>0</v>
      </c>
      <c r="CX167" s="196">
        <f>Data!CZ115</f>
        <v>0</v>
      </c>
      <c r="CY167" s="196">
        <f>Data!DA115</f>
        <v>0</v>
      </c>
      <c r="CZ167" s="196">
        <f>Data!DB115</f>
        <v>0</v>
      </c>
      <c r="DA167" s="196">
        <f>Data!DC115</f>
        <v>0</v>
      </c>
      <c r="DB167" s="196">
        <f>Data!DD115</f>
        <v>0</v>
      </c>
      <c r="DC167" s="196">
        <f>Data!DE115</f>
        <v>0</v>
      </c>
      <c r="DD167" s="196">
        <f>Data!DF115</f>
        <v>0</v>
      </c>
      <c r="DE167" s="196">
        <f>Data!DG115</f>
        <v>0</v>
      </c>
      <c r="DF167" s="196">
        <f>Data!DH115</f>
        <v>0</v>
      </c>
      <c r="DG167" s="196">
        <f>Data!DI115</f>
        <v>0</v>
      </c>
      <c r="DH167" s="196">
        <f>Data!DJ115</f>
        <v>0</v>
      </c>
      <c r="DI167" s="196">
        <f>Data!DK115</f>
        <v>0</v>
      </c>
      <c r="DJ167" s="196">
        <f>Data!DL115</f>
        <v>0</v>
      </c>
      <c r="DK167" s="196">
        <f>Data!DM115</f>
        <v>0</v>
      </c>
      <c r="DL167" s="196">
        <f>Data!DN115</f>
        <v>0</v>
      </c>
      <c r="DM167" s="196">
        <f>Data!DO115</f>
        <v>0</v>
      </c>
      <c r="DN167" s="196">
        <f>Data!DP115</f>
        <v>0</v>
      </c>
      <c r="DO167" s="196">
        <f>Data!DQ115</f>
        <v>0</v>
      </c>
      <c r="DP167" s="196">
        <f>Data!DR115</f>
        <v>0</v>
      </c>
      <c r="DQ167" s="196">
        <f>Data!DS115</f>
        <v>0</v>
      </c>
      <c r="DR167" s="196">
        <f>Data!DT115</f>
        <v>0</v>
      </c>
      <c r="DS167" s="196">
        <f>Data!DU115</f>
        <v>0</v>
      </c>
      <c r="DT167" s="196">
        <f>Data!DV115</f>
        <v>0</v>
      </c>
      <c r="DU167" s="445">
        <f>Data!DW115</f>
        <v>0</v>
      </c>
      <c r="DV167" s="707"/>
    </row>
    <row r="169" spans="1:138" x14ac:dyDescent="0.3">
      <c r="B169" s="629" t="str">
        <f>Data!D121</f>
        <v>Total Other Cost</v>
      </c>
      <c r="C169" s="587"/>
      <c r="D169" s="409"/>
      <c r="E169" s="553">
        <f>Data!G121</f>
        <v>0</v>
      </c>
      <c r="F169" s="197">
        <f>Data!H121</f>
        <v>0</v>
      </c>
      <c r="G169" s="197">
        <f>Data!I121</f>
        <v>0</v>
      </c>
      <c r="H169" s="197">
        <f>Data!J121</f>
        <v>0</v>
      </c>
      <c r="I169" s="197">
        <f>Data!K121</f>
        <v>0</v>
      </c>
      <c r="J169" s="197">
        <f>Data!L121</f>
        <v>0</v>
      </c>
      <c r="K169" s="197">
        <f>Data!M121</f>
        <v>0</v>
      </c>
      <c r="L169" s="197">
        <f>Data!N121</f>
        <v>0</v>
      </c>
      <c r="M169" s="197">
        <f>Data!O121</f>
        <v>0</v>
      </c>
      <c r="N169" s="197">
        <f>Data!P121</f>
        <v>0</v>
      </c>
      <c r="O169" s="197">
        <f>Data!Q121</f>
        <v>0</v>
      </c>
      <c r="P169" s="197">
        <f>Data!R121</f>
        <v>0</v>
      </c>
      <c r="Q169" s="197">
        <f>Data!S121</f>
        <v>0</v>
      </c>
      <c r="R169" s="289">
        <f>Data!T121</f>
        <v>0</v>
      </c>
      <c r="S169" s="197">
        <f>Data!U121</f>
        <v>0</v>
      </c>
      <c r="T169" s="197">
        <f>Data!V121</f>
        <v>0</v>
      </c>
      <c r="U169" s="197">
        <f>Data!W121</f>
        <v>0</v>
      </c>
      <c r="V169" s="197">
        <f>Data!X121</f>
        <v>0</v>
      </c>
      <c r="W169" s="197">
        <f>Data!Y121</f>
        <v>0</v>
      </c>
      <c r="X169" s="197">
        <f>Data!Z121</f>
        <v>0</v>
      </c>
      <c r="Y169" s="197">
        <f>Data!AA121</f>
        <v>0</v>
      </c>
      <c r="Z169" s="197">
        <f>Data!AB121</f>
        <v>0</v>
      </c>
      <c r="AA169" s="197">
        <f>Data!AC121</f>
        <v>0</v>
      </c>
      <c r="AB169" s="197">
        <f>Data!AD121</f>
        <v>0</v>
      </c>
      <c r="AC169" s="197">
        <f>Data!AE121</f>
        <v>0</v>
      </c>
      <c r="AD169" s="289">
        <f>Data!AF121</f>
        <v>0</v>
      </c>
      <c r="AE169" s="197">
        <f>Data!AG121</f>
        <v>0</v>
      </c>
      <c r="AF169" s="197">
        <f>Data!AH121</f>
        <v>0</v>
      </c>
      <c r="AG169" s="197">
        <f>Data!AI121</f>
        <v>0</v>
      </c>
      <c r="AH169" s="197">
        <f>Data!AJ121</f>
        <v>0</v>
      </c>
      <c r="AI169" s="197">
        <f>Data!AK121</f>
        <v>0</v>
      </c>
      <c r="AJ169" s="197">
        <f>Data!AL121</f>
        <v>0</v>
      </c>
      <c r="AK169" s="197">
        <f>Data!AM121</f>
        <v>0</v>
      </c>
      <c r="AL169" s="197">
        <f>Data!AN121</f>
        <v>0</v>
      </c>
      <c r="AM169" s="197">
        <f>Data!AO121</f>
        <v>0</v>
      </c>
      <c r="AN169" s="197">
        <f>Data!AP121</f>
        <v>0</v>
      </c>
      <c r="AO169" s="197">
        <f>Data!AQ121</f>
        <v>0</v>
      </c>
      <c r="AP169" s="289">
        <f>Data!AR121</f>
        <v>0</v>
      </c>
      <c r="AQ169" s="197">
        <f>Data!AS121</f>
        <v>0</v>
      </c>
      <c r="AR169" s="197">
        <f>Data!AT121</f>
        <v>0</v>
      </c>
      <c r="AS169" s="197">
        <f>Data!AU121</f>
        <v>0</v>
      </c>
      <c r="AT169" s="197">
        <f>Data!AV121</f>
        <v>0</v>
      </c>
      <c r="AU169" s="197">
        <f>Data!AW121</f>
        <v>0</v>
      </c>
      <c r="AV169" s="197">
        <f>Data!AX121</f>
        <v>0</v>
      </c>
      <c r="AW169" s="197">
        <f>Data!AY121</f>
        <v>0</v>
      </c>
      <c r="AX169" s="197">
        <f>Data!AZ121</f>
        <v>0</v>
      </c>
      <c r="AY169" s="197">
        <f>Data!BA121</f>
        <v>0</v>
      </c>
      <c r="AZ169" s="197">
        <f>Data!BB121</f>
        <v>0</v>
      </c>
      <c r="BA169" s="197">
        <f>Data!BC121</f>
        <v>0</v>
      </c>
      <c r="BB169" s="289">
        <f>Data!BD121</f>
        <v>0</v>
      </c>
      <c r="BC169" s="197">
        <f>Data!BE121</f>
        <v>0</v>
      </c>
      <c r="BD169" s="197">
        <f>Data!BF121</f>
        <v>0</v>
      </c>
      <c r="BE169" s="197">
        <f>Data!BG121</f>
        <v>0</v>
      </c>
      <c r="BF169" s="197">
        <f>Data!BH121</f>
        <v>0</v>
      </c>
      <c r="BG169" s="197">
        <f>Data!BI121</f>
        <v>0</v>
      </c>
      <c r="BH169" s="197">
        <f>Data!BJ121</f>
        <v>0</v>
      </c>
      <c r="BI169" s="197">
        <f>Data!BK121</f>
        <v>0</v>
      </c>
      <c r="BJ169" s="197">
        <f>Data!BL121</f>
        <v>0</v>
      </c>
      <c r="BK169" s="197">
        <f>Data!BM121</f>
        <v>0</v>
      </c>
      <c r="BL169" s="197">
        <f>Data!BN121</f>
        <v>0</v>
      </c>
      <c r="BM169" s="197">
        <f>Data!BO121</f>
        <v>0</v>
      </c>
      <c r="BN169" s="197">
        <f>Data!BP121</f>
        <v>0</v>
      </c>
      <c r="BO169" s="197">
        <f>Data!BQ121</f>
        <v>0</v>
      </c>
      <c r="BP169" s="197">
        <f>Data!BR121</f>
        <v>0</v>
      </c>
      <c r="BQ169" s="197">
        <f>Data!BS121</f>
        <v>0</v>
      </c>
      <c r="BR169" s="197">
        <f>Data!BT121</f>
        <v>0</v>
      </c>
      <c r="BS169" s="197">
        <f>Data!BU121</f>
        <v>0</v>
      </c>
      <c r="BT169" s="197">
        <f>Data!BV121</f>
        <v>0</v>
      </c>
      <c r="BU169" s="197">
        <f>Data!BW121</f>
        <v>0</v>
      </c>
      <c r="BV169" s="197">
        <f>Data!BX121</f>
        <v>0</v>
      </c>
      <c r="BW169" s="197">
        <f>Data!BY121</f>
        <v>0</v>
      </c>
      <c r="BX169" s="197">
        <f>Data!BZ121</f>
        <v>0</v>
      </c>
      <c r="BY169" s="197">
        <f>Data!CA121</f>
        <v>0</v>
      </c>
      <c r="BZ169" s="197">
        <f>Data!CB121</f>
        <v>0</v>
      </c>
      <c r="CA169" s="197">
        <f>Data!CC121</f>
        <v>0</v>
      </c>
      <c r="CB169" s="197">
        <f>Data!CD121</f>
        <v>0</v>
      </c>
      <c r="CC169" s="197">
        <f>Data!CE121</f>
        <v>0</v>
      </c>
      <c r="CD169" s="197">
        <f>Data!CF121</f>
        <v>0</v>
      </c>
      <c r="CE169" s="197">
        <f>Data!CG121</f>
        <v>0</v>
      </c>
      <c r="CF169" s="197">
        <f>Data!CH121</f>
        <v>0</v>
      </c>
      <c r="CG169" s="197">
        <f>Data!CI121</f>
        <v>0</v>
      </c>
      <c r="CH169" s="197">
        <f>Data!CJ121</f>
        <v>0</v>
      </c>
      <c r="CI169" s="197">
        <f>Data!CK121</f>
        <v>0</v>
      </c>
      <c r="CJ169" s="197">
        <f>Data!CL121</f>
        <v>0</v>
      </c>
      <c r="CK169" s="197">
        <f>Data!CM121</f>
        <v>0</v>
      </c>
      <c r="CL169" s="197">
        <f>Data!CN121</f>
        <v>0</v>
      </c>
      <c r="CM169" s="197">
        <f>Data!CO121</f>
        <v>0</v>
      </c>
      <c r="CN169" s="197">
        <f>Data!CP121</f>
        <v>0</v>
      </c>
      <c r="CO169" s="197">
        <f>Data!CQ121</f>
        <v>0</v>
      </c>
      <c r="CP169" s="197">
        <f>Data!CR121</f>
        <v>0</v>
      </c>
      <c r="CQ169" s="197">
        <f>Data!CS121</f>
        <v>0</v>
      </c>
      <c r="CR169" s="197">
        <f>Data!CT121</f>
        <v>0</v>
      </c>
      <c r="CS169" s="197">
        <f>Data!CU121</f>
        <v>0</v>
      </c>
      <c r="CT169" s="197">
        <f>Data!CV121</f>
        <v>0</v>
      </c>
      <c r="CU169" s="197">
        <f>Data!CW121</f>
        <v>0</v>
      </c>
      <c r="CV169" s="197">
        <f>Data!CX121</f>
        <v>0</v>
      </c>
      <c r="CW169" s="197">
        <f>Data!CY121</f>
        <v>0</v>
      </c>
      <c r="CX169" s="197">
        <f>Data!CZ121</f>
        <v>0</v>
      </c>
      <c r="CY169" s="197">
        <f>Data!DA121</f>
        <v>0</v>
      </c>
      <c r="CZ169" s="197">
        <f>Data!DB121</f>
        <v>0</v>
      </c>
      <c r="DA169" s="197">
        <f>Data!DC121</f>
        <v>0</v>
      </c>
      <c r="DB169" s="197">
        <f>Data!DD121</f>
        <v>0</v>
      </c>
      <c r="DC169" s="197">
        <f>Data!DE121</f>
        <v>0</v>
      </c>
      <c r="DD169" s="197">
        <f>Data!DF121</f>
        <v>0</v>
      </c>
      <c r="DE169" s="197">
        <f>Data!DG121</f>
        <v>0</v>
      </c>
      <c r="DF169" s="197">
        <f>Data!DH121</f>
        <v>0</v>
      </c>
      <c r="DG169" s="197">
        <f>Data!DI121</f>
        <v>0</v>
      </c>
      <c r="DH169" s="197">
        <f>Data!DJ121</f>
        <v>0</v>
      </c>
      <c r="DI169" s="197">
        <f>Data!DK121</f>
        <v>0</v>
      </c>
      <c r="DJ169" s="197">
        <f>Data!DL121</f>
        <v>0</v>
      </c>
      <c r="DK169" s="197">
        <f>Data!DM121</f>
        <v>0</v>
      </c>
      <c r="DL169" s="197">
        <f>Data!DN121</f>
        <v>0</v>
      </c>
      <c r="DM169" s="197">
        <f>Data!DO121</f>
        <v>0</v>
      </c>
      <c r="DN169" s="197">
        <f>Data!DP121</f>
        <v>0</v>
      </c>
      <c r="DO169" s="197">
        <f>Data!DQ121</f>
        <v>0</v>
      </c>
      <c r="DP169" s="197">
        <f>Data!DR121</f>
        <v>0</v>
      </c>
      <c r="DQ169" s="197">
        <f>Data!DS121</f>
        <v>0</v>
      </c>
      <c r="DR169" s="197">
        <f>Data!DT121</f>
        <v>0</v>
      </c>
      <c r="DS169" s="197">
        <f>Data!DU121</f>
        <v>0</v>
      </c>
      <c r="DT169" s="197">
        <f>Data!DV121</f>
        <v>0</v>
      </c>
      <c r="DU169" s="446">
        <f>Data!DW121</f>
        <v>0</v>
      </c>
      <c r="DV169" s="708"/>
    </row>
    <row r="171" spans="1:138" x14ac:dyDescent="0.3">
      <c r="A171" s="361">
        <f>Data!C144</f>
        <v>1</v>
      </c>
      <c r="B171" s="629" t="s">
        <v>151</v>
      </c>
      <c r="C171" s="631">
        <f t="shared" ref="C171:AH171" si="538">C89*$A$171</f>
        <v>0</v>
      </c>
      <c r="D171" s="410">
        <f t="shared" si="538"/>
        <v>0</v>
      </c>
      <c r="E171" s="447">
        <f t="shared" si="538"/>
        <v>67.777777777777771</v>
      </c>
      <c r="F171" s="357">
        <f t="shared" si="538"/>
        <v>3.7277777777777898</v>
      </c>
      <c r="G171" s="357">
        <f t="shared" si="538"/>
        <v>3.7277777777777823</v>
      </c>
      <c r="H171" s="357">
        <f t="shared" si="538"/>
        <v>3.7277777777777823</v>
      </c>
      <c r="I171" s="357">
        <f t="shared" si="538"/>
        <v>3.7277777777777823</v>
      </c>
      <c r="J171" s="357">
        <f t="shared" si="538"/>
        <v>3.0500000000000052</v>
      </c>
      <c r="K171" s="357">
        <f t="shared" si="538"/>
        <v>3.0500000000000052</v>
      </c>
      <c r="L171" s="357">
        <f t="shared" si="538"/>
        <v>3.0500000000000052</v>
      </c>
      <c r="M171" s="357">
        <f t="shared" si="538"/>
        <v>3.0500000000000052</v>
      </c>
      <c r="N171" s="357">
        <f t="shared" si="538"/>
        <v>3.0500000000000052</v>
      </c>
      <c r="O171" s="357">
        <f t="shared" si="538"/>
        <v>3.0500000000000052</v>
      </c>
      <c r="P171" s="357">
        <f t="shared" si="538"/>
        <v>2.7111111111111166</v>
      </c>
      <c r="Q171" s="357">
        <f t="shared" si="538"/>
        <v>2.7111111111111166</v>
      </c>
      <c r="R171" s="358">
        <f t="shared" si="538"/>
        <v>2.7111111111111166</v>
      </c>
      <c r="S171" s="357">
        <f t="shared" si="538"/>
        <v>2.7111111111111166</v>
      </c>
      <c r="T171" s="357">
        <f t="shared" si="538"/>
        <v>2.7111111111111166</v>
      </c>
      <c r="U171" s="357">
        <f t="shared" si="538"/>
        <v>2.7111111111111166</v>
      </c>
      <c r="V171" s="357">
        <f t="shared" si="538"/>
        <v>2.7111111111111166</v>
      </c>
      <c r="W171" s="357">
        <f t="shared" si="538"/>
        <v>2.7111111111111166</v>
      </c>
      <c r="X171" s="357">
        <f t="shared" si="538"/>
        <v>2.7111111111111166</v>
      </c>
      <c r="Y171" s="357">
        <f t="shared" si="538"/>
        <v>2.7111111111111166</v>
      </c>
      <c r="Z171" s="357">
        <f t="shared" si="538"/>
        <v>2.7111111111111166</v>
      </c>
      <c r="AA171" s="357">
        <f t="shared" si="538"/>
        <v>2.7111111111111166</v>
      </c>
      <c r="AB171" s="357">
        <f t="shared" si="538"/>
        <v>2.7111111111111166</v>
      </c>
      <c r="AC171" s="357">
        <f t="shared" si="538"/>
        <v>2.7111111111111166</v>
      </c>
      <c r="AD171" s="358">
        <f t="shared" si="538"/>
        <v>2.7111111111111166</v>
      </c>
      <c r="AE171" s="357">
        <f t="shared" si="538"/>
        <v>2.7111111111111166</v>
      </c>
      <c r="AF171" s="357">
        <f t="shared" si="538"/>
        <v>2.7111111111111166</v>
      </c>
      <c r="AG171" s="357">
        <f t="shared" si="538"/>
        <v>2.7111111111111166</v>
      </c>
      <c r="AH171" s="357">
        <f t="shared" si="538"/>
        <v>2.7111111111111166</v>
      </c>
      <c r="AI171" s="357">
        <f t="shared" ref="AI171:BN171" si="539">AI89*$A$171</f>
        <v>2.7111111111111166</v>
      </c>
      <c r="AJ171" s="357">
        <f t="shared" si="539"/>
        <v>2.7111111111111166</v>
      </c>
      <c r="AK171" s="357">
        <f t="shared" si="539"/>
        <v>2.7111111111111166</v>
      </c>
      <c r="AL171" s="357">
        <f t="shared" si="539"/>
        <v>2.7111111111111166</v>
      </c>
      <c r="AM171" s="357">
        <f t="shared" si="539"/>
        <v>2.7111111111111166</v>
      </c>
      <c r="AN171" s="357">
        <f t="shared" si="539"/>
        <v>2.7111111111111166</v>
      </c>
      <c r="AO171" s="357">
        <f t="shared" si="539"/>
        <v>2.7111111111111166</v>
      </c>
      <c r="AP171" s="358">
        <f t="shared" si="539"/>
        <v>2.7111111111111166</v>
      </c>
      <c r="AQ171" s="357">
        <f t="shared" si="539"/>
        <v>2.7111111111111166</v>
      </c>
      <c r="AR171" s="357">
        <f t="shared" si="539"/>
        <v>2.7111111111111166</v>
      </c>
      <c r="AS171" s="357">
        <f t="shared" si="539"/>
        <v>2.7111111111111166</v>
      </c>
      <c r="AT171" s="357">
        <f t="shared" si="539"/>
        <v>2.7111111111111166</v>
      </c>
      <c r="AU171" s="357">
        <f t="shared" si="539"/>
        <v>2.7111111111111166</v>
      </c>
      <c r="AV171" s="357">
        <f t="shared" si="539"/>
        <v>2.7111111111111166</v>
      </c>
      <c r="AW171" s="357">
        <f t="shared" si="539"/>
        <v>2.7111111111111166</v>
      </c>
      <c r="AX171" s="357">
        <f t="shared" si="539"/>
        <v>2.7111111111111166</v>
      </c>
      <c r="AY171" s="357">
        <f t="shared" si="539"/>
        <v>2.7111111111111166</v>
      </c>
      <c r="AZ171" s="357">
        <f t="shared" si="539"/>
        <v>2.7111111111111166</v>
      </c>
      <c r="BA171" s="357">
        <f t="shared" si="539"/>
        <v>2.7111111111111166</v>
      </c>
      <c r="BB171" s="358">
        <f t="shared" si="539"/>
        <v>2.7111111111111166</v>
      </c>
      <c r="BC171" s="357">
        <f t="shared" si="539"/>
        <v>2.7111111111111166</v>
      </c>
      <c r="BD171" s="357">
        <f t="shared" si="539"/>
        <v>2.7111111111111166</v>
      </c>
      <c r="BE171" s="357">
        <f t="shared" si="539"/>
        <v>2.7111111111111166</v>
      </c>
      <c r="BF171" s="357">
        <f t="shared" si="539"/>
        <v>2.7111111111111166</v>
      </c>
      <c r="BG171" s="357">
        <f t="shared" si="539"/>
        <v>2.7111111111111166</v>
      </c>
      <c r="BH171" s="357">
        <f t="shared" si="539"/>
        <v>2.7111111111111166</v>
      </c>
      <c r="BI171" s="357">
        <f t="shared" si="539"/>
        <v>2.7111111111111166</v>
      </c>
      <c r="BJ171" s="357">
        <f t="shared" si="539"/>
        <v>2.7111111111111166</v>
      </c>
      <c r="BK171" s="357">
        <f t="shared" si="539"/>
        <v>2.7111111111111166</v>
      </c>
      <c r="BL171" s="357">
        <f t="shared" si="539"/>
        <v>2.7111111111111166</v>
      </c>
      <c r="BM171" s="357">
        <f t="shared" si="539"/>
        <v>2.7111111111111166</v>
      </c>
      <c r="BN171" s="357">
        <f t="shared" si="539"/>
        <v>2.7111111111111166</v>
      </c>
      <c r="BO171" s="357">
        <f t="shared" ref="BO171:CT171" si="540">BO89*$A$171</f>
        <v>2.7111111111111166</v>
      </c>
      <c r="BP171" s="357">
        <f t="shared" si="540"/>
        <v>2.7111111111111166</v>
      </c>
      <c r="BQ171" s="357">
        <f t="shared" si="540"/>
        <v>2.7111111111111166</v>
      </c>
      <c r="BR171" s="357">
        <f t="shared" si="540"/>
        <v>2.7111111111111166</v>
      </c>
      <c r="BS171" s="357">
        <f t="shared" si="540"/>
        <v>2.7111111111111166</v>
      </c>
      <c r="BT171" s="357">
        <f t="shared" si="540"/>
        <v>2.7111111111111166</v>
      </c>
      <c r="BU171" s="357">
        <f t="shared" si="540"/>
        <v>2.7111111111111166</v>
      </c>
      <c r="BV171" s="357">
        <f t="shared" si="540"/>
        <v>2.7111111111111166</v>
      </c>
      <c r="BW171" s="357">
        <f t="shared" si="540"/>
        <v>2.7111111111111166</v>
      </c>
      <c r="BX171" s="357">
        <f t="shared" si="540"/>
        <v>2.7111111111111166</v>
      </c>
      <c r="BY171" s="357">
        <f t="shared" si="540"/>
        <v>2.7111111111111166</v>
      </c>
      <c r="BZ171" s="357">
        <f t="shared" si="540"/>
        <v>2.7111111111111166</v>
      </c>
      <c r="CA171" s="357">
        <f t="shared" si="540"/>
        <v>2.7111111111111166</v>
      </c>
      <c r="CB171" s="357">
        <f t="shared" si="540"/>
        <v>2.7111111111111166</v>
      </c>
      <c r="CC171" s="357">
        <f t="shared" si="540"/>
        <v>2.7111111111111166</v>
      </c>
      <c r="CD171" s="357">
        <f t="shared" si="540"/>
        <v>2.7111111111111166</v>
      </c>
      <c r="CE171" s="357">
        <f t="shared" si="540"/>
        <v>2.7111111111111166</v>
      </c>
      <c r="CF171" s="357">
        <f t="shared" si="540"/>
        <v>2.7111111111111166</v>
      </c>
      <c r="CG171" s="357">
        <f t="shared" si="540"/>
        <v>2.7111111111111166</v>
      </c>
      <c r="CH171" s="357">
        <f t="shared" si="540"/>
        <v>2.7111111111111166</v>
      </c>
      <c r="CI171" s="357">
        <f t="shared" si="540"/>
        <v>2.7111111111111166</v>
      </c>
      <c r="CJ171" s="357">
        <f t="shared" si="540"/>
        <v>2.7111111111111166</v>
      </c>
      <c r="CK171" s="357">
        <f t="shared" si="540"/>
        <v>2.7111111111111166</v>
      </c>
      <c r="CL171" s="357">
        <f t="shared" si="540"/>
        <v>2.7111111111111166</v>
      </c>
      <c r="CM171" s="357">
        <f t="shared" si="540"/>
        <v>2.7111111111111166</v>
      </c>
      <c r="CN171" s="357">
        <f t="shared" si="540"/>
        <v>2.7111111111111166</v>
      </c>
      <c r="CO171" s="357">
        <f t="shared" si="540"/>
        <v>2.7111111111111166</v>
      </c>
      <c r="CP171" s="357">
        <f t="shared" si="540"/>
        <v>2.7111111111111166</v>
      </c>
      <c r="CQ171" s="357">
        <f t="shared" si="540"/>
        <v>2.7111111111111166</v>
      </c>
      <c r="CR171" s="357">
        <f t="shared" si="540"/>
        <v>2.7111111111111166</v>
      </c>
      <c r="CS171" s="357">
        <f t="shared" si="540"/>
        <v>2.7111111111111166</v>
      </c>
      <c r="CT171" s="357">
        <f t="shared" si="540"/>
        <v>2.7111111111111166</v>
      </c>
      <c r="CU171" s="357">
        <f t="shared" ref="CU171:DU171" si="541">CU89*$A$171</f>
        <v>2.7111111111111166</v>
      </c>
      <c r="CV171" s="357">
        <f t="shared" si="541"/>
        <v>2.7111111111111166</v>
      </c>
      <c r="CW171" s="357">
        <f t="shared" si="541"/>
        <v>2.7111111111111166</v>
      </c>
      <c r="CX171" s="357">
        <f t="shared" si="541"/>
        <v>2.7111111111111166</v>
      </c>
      <c r="CY171" s="357">
        <f t="shared" si="541"/>
        <v>2.7111111111111166</v>
      </c>
      <c r="CZ171" s="357">
        <f t="shared" si="541"/>
        <v>2.7111111111111166</v>
      </c>
      <c r="DA171" s="357">
        <f t="shared" si="541"/>
        <v>2.7111111111111166</v>
      </c>
      <c r="DB171" s="357">
        <f t="shared" si="541"/>
        <v>2.7111111111111166</v>
      </c>
      <c r="DC171" s="357">
        <f t="shared" si="541"/>
        <v>2.7111111111111166</v>
      </c>
      <c r="DD171" s="357">
        <f t="shared" si="541"/>
        <v>2.7111111111111166</v>
      </c>
      <c r="DE171" s="357">
        <f t="shared" si="541"/>
        <v>2.7111111111111166</v>
      </c>
      <c r="DF171" s="357">
        <f t="shared" si="541"/>
        <v>2.7111111111111166</v>
      </c>
      <c r="DG171" s="357">
        <f t="shared" si="541"/>
        <v>2.7111111111111166</v>
      </c>
      <c r="DH171" s="357">
        <f t="shared" si="541"/>
        <v>2.7111111111111166</v>
      </c>
      <c r="DI171" s="357">
        <f t="shared" si="541"/>
        <v>2.7111111111111166</v>
      </c>
      <c r="DJ171" s="357">
        <f t="shared" si="541"/>
        <v>2.7111111111111166</v>
      </c>
      <c r="DK171" s="357">
        <f t="shared" si="541"/>
        <v>2.7111111111111166</v>
      </c>
      <c r="DL171" s="357">
        <f t="shared" si="541"/>
        <v>2.7111111111111166</v>
      </c>
      <c r="DM171" s="357">
        <f t="shared" si="541"/>
        <v>2.7111111111111166</v>
      </c>
      <c r="DN171" s="357">
        <f t="shared" si="541"/>
        <v>2.7111111111111166</v>
      </c>
      <c r="DO171" s="357">
        <f t="shared" si="541"/>
        <v>2.7111111111111166</v>
      </c>
      <c r="DP171" s="357">
        <f t="shared" si="541"/>
        <v>2.7111111111111166</v>
      </c>
      <c r="DQ171" s="357">
        <f t="shared" si="541"/>
        <v>2.7111111111111166</v>
      </c>
      <c r="DR171" s="357">
        <f t="shared" si="541"/>
        <v>2.7111111111111166</v>
      </c>
      <c r="DS171" s="357">
        <f t="shared" si="541"/>
        <v>2.7111111111111166</v>
      </c>
      <c r="DT171" s="357">
        <f t="shared" si="541"/>
        <v>2.7111111111111166</v>
      </c>
      <c r="DU171" s="448">
        <f t="shared" si="541"/>
        <v>2.7111111111111166</v>
      </c>
      <c r="DV171" s="709"/>
    </row>
    <row r="172" spans="1:138" x14ac:dyDescent="0.3">
      <c r="A172" s="361">
        <f>Data!C145</f>
        <v>0</v>
      </c>
      <c r="B172" s="629" t="s">
        <v>152</v>
      </c>
      <c r="C172" s="631">
        <f t="shared" ref="C172:AH172" si="542">C89*$A$172*$A$173</f>
        <v>0</v>
      </c>
      <c r="D172" s="410">
        <f t="shared" si="542"/>
        <v>0</v>
      </c>
      <c r="E172" s="447">
        <f t="shared" si="542"/>
        <v>0</v>
      </c>
      <c r="F172" s="357">
        <f t="shared" si="542"/>
        <v>0</v>
      </c>
      <c r="G172" s="357">
        <f t="shared" si="542"/>
        <v>0</v>
      </c>
      <c r="H172" s="357">
        <f t="shared" si="542"/>
        <v>0</v>
      </c>
      <c r="I172" s="357">
        <f t="shared" si="542"/>
        <v>0</v>
      </c>
      <c r="J172" s="357">
        <f t="shared" si="542"/>
        <v>0</v>
      </c>
      <c r="K172" s="357">
        <f t="shared" si="542"/>
        <v>0</v>
      </c>
      <c r="L172" s="357">
        <f t="shared" si="542"/>
        <v>0</v>
      </c>
      <c r="M172" s="357">
        <f t="shared" si="542"/>
        <v>0</v>
      </c>
      <c r="N172" s="357">
        <f t="shared" si="542"/>
        <v>0</v>
      </c>
      <c r="O172" s="357">
        <f t="shared" si="542"/>
        <v>0</v>
      </c>
      <c r="P172" s="357">
        <f t="shared" si="542"/>
        <v>0</v>
      </c>
      <c r="Q172" s="357">
        <f t="shared" si="542"/>
        <v>0</v>
      </c>
      <c r="R172" s="358">
        <f t="shared" si="542"/>
        <v>0</v>
      </c>
      <c r="S172" s="357">
        <f t="shared" si="542"/>
        <v>0</v>
      </c>
      <c r="T172" s="357">
        <f t="shared" si="542"/>
        <v>0</v>
      </c>
      <c r="U172" s="357">
        <f t="shared" si="542"/>
        <v>0</v>
      </c>
      <c r="V172" s="357">
        <f t="shared" si="542"/>
        <v>0</v>
      </c>
      <c r="W172" s="357">
        <f t="shared" si="542"/>
        <v>0</v>
      </c>
      <c r="X172" s="357">
        <f t="shared" si="542"/>
        <v>0</v>
      </c>
      <c r="Y172" s="357">
        <f t="shared" si="542"/>
        <v>0</v>
      </c>
      <c r="Z172" s="357">
        <f t="shared" si="542"/>
        <v>0</v>
      </c>
      <c r="AA172" s="357">
        <f t="shared" si="542"/>
        <v>0</v>
      </c>
      <c r="AB172" s="357">
        <f t="shared" si="542"/>
        <v>0</v>
      </c>
      <c r="AC172" s="357">
        <f t="shared" si="542"/>
        <v>0</v>
      </c>
      <c r="AD172" s="358">
        <f t="shared" si="542"/>
        <v>0</v>
      </c>
      <c r="AE172" s="357">
        <f t="shared" si="542"/>
        <v>0</v>
      </c>
      <c r="AF172" s="357">
        <f t="shared" si="542"/>
        <v>0</v>
      </c>
      <c r="AG172" s="357">
        <f t="shared" si="542"/>
        <v>0</v>
      </c>
      <c r="AH172" s="357">
        <f t="shared" si="542"/>
        <v>0</v>
      </c>
      <c r="AI172" s="357">
        <f t="shared" ref="AI172:BN172" si="543">AI89*$A$172*$A$173</f>
        <v>0</v>
      </c>
      <c r="AJ172" s="357">
        <f t="shared" si="543"/>
        <v>0</v>
      </c>
      <c r="AK172" s="357">
        <f t="shared" si="543"/>
        <v>0</v>
      </c>
      <c r="AL172" s="357">
        <f t="shared" si="543"/>
        <v>0</v>
      </c>
      <c r="AM172" s="357">
        <f t="shared" si="543"/>
        <v>0</v>
      </c>
      <c r="AN172" s="357">
        <f t="shared" si="543"/>
        <v>0</v>
      </c>
      <c r="AO172" s="357">
        <f t="shared" si="543"/>
        <v>0</v>
      </c>
      <c r="AP172" s="358">
        <f t="shared" si="543"/>
        <v>0</v>
      </c>
      <c r="AQ172" s="357">
        <f t="shared" si="543"/>
        <v>0</v>
      </c>
      <c r="AR172" s="357">
        <f t="shared" si="543"/>
        <v>0</v>
      </c>
      <c r="AS172" s="357">
        <f t="shared" si="543"/>
        <v>0</v>
      </c>
      <c r="AT172" s="357">
        <f t="shared" si="543"/>
        <v>0</v>
      </c>
      <c r="AU172" s="357">
        <f t="shared" si="543"/>
        <v>0</v>
      </c>
      <c r="AV172" s="357">
        <f t="shared" si="543"/>
        <v>0</v>
      </c>
      <c r="AW172" s="357">
        <f t="shared" si="543"/>
        <v>0</v>
      </c>
      <c r="AX172" s="357">
        <f t="shared" si="543"/>
        <v>0</v>
      </c>
      <c r="AY172" s="357">
        <f t="shared" si="543"/>
        <v>0</v>
      </c>
      <c r="AZ172" s="357">
        <f t="shared" si="543"/>
        <v>0</v>
      </c>
      <c r="BA172" s="357">
        <f t="shared" si="543"/>
        <v>0</v>
      </c>
      <c r="BB172" s="358">
        <f t="shared" si="543"/>
        <v>0</v>
      </c>
      <c r="BC172" s="357">
        <f t="shared" si="543"/>
        <v>0</v>
      </c>
      <c r="BD172" s="357">
        <f t="shared" si="543"/>
        <v>0</v>
      </c>
      <c r="BE172" s="357">
        <f t="shared" si="543"/>
        <v>0</v>
      </c>
      <c r="BF172" s="357">
        <f t="shared" si="543"/>
        <v>0</v>
      </c>
      <c r="BG172" s="357">
        <f t="shared" si="543"/>
        <v>0</v>
      </c>
      <c r="BH172" s="357">
        <f t="shared" si="543"/>
        <v>0</v>
      </c>
      <c r="BI172" s="357">
        <f t="shared" si="543"/>
        <v>0</v>
      </c>
      <c r="BJ172" s="357">
        <f t="shared" si="543"/>
        <v>0</v>
      </c>
      <c r="BK172" s="357">
        <f t="shared" si="543"/>
        <v>0</v>
      </c>
      <c r="BL172" s="357">
        <f t="shared" si="543"/>
        <v>0</v>
      </c>
      <c r="BM172" s="357">
        <f t="shared" si="543"/>
        <v>0</v>
      </c>
      <c r="BN172" s="357">
        <f t="shared" si="543"/>
        <v>0</v>
      </c>
      <c r="BO172" s="357">
        <f t="shared" ref="BO172:CT172" si="544">BO89*$A$172*$A$173</f>
        <v>0</v>
      </c>
      <c r="BP172" s="357">
        <f t="shared" si="544"/>
        <v>0</v>
      </c>
      <c r="BQ172" s="357">
        <f t="shared" si="544"/>
        <v>0</v>
      </c>
      <c r="BR172" s="357">
        <f t="shared" si="544"/>
        <v>0</v>
      </c>
      <c r="BS172" s="357">
        <f t="shared" si="544"/>
        <v>0</v>
      </c>
      <c r="BT172" s="357">
        <f t="shared" si="544"/>
        <v>0</v>
      </c>
      <c r="BU172" s="357">
        <f t="shared" si="544"/>
        <v>0</v>
      </c>
      <c r="BV172" s="357">
        <f t="shared" si="544"/>
        <v>0</v>
      </c>
      <c r="BW172" s="357">
        <f t="shared" si="544"/>
        <v>0</v>
      </c>
      <c r="BX172" s="357">
        <f t="shared" si="544"/>
        <v>0</v>
      </c>
      <c r="BY172" s="357">
        <f t="shared" si="544"/>
        <v>0</v>
      </c>
      <c r="BZ172" s="357">
        <f t="shared" si="544"/>
        <v>0</v>
      </c>
      <c r="CA172" s="357">
        <f t="shared" si="544"/>
        <v>0</v>
      </c>
      <c r="CB172" s="357">
        <f t="shared" si="544"/>
        <v>0</v>
      </c>
      <c r="CC172" s="357">
        <f t="shared" si="544"/>
        <v>0</v>
      </c>
      <c r="CD172" s="357">
        <f t="shared" si="544"/>
        <v>0</v>
      </c>
      <c r="CE172" s="357">
        <f t="shared" si="544"/>
        <v>0</v>
      </c>
      <c r="CF172" s="357">
        <f t="shared" si="544"/>
        <v>0</v>
      </c>
      <c r="CG172" s="357">
        <f t="shared" si="544"/>
        <v>0</v>
      </c>
      <c r="CH172" s="357">
        <f t="shared" si="544"/>
        <v>0</v>
      </c>
      <c r="CI172" s="357">
        <f t="shared" si="544"/>
        <v>0</v>
      </c>
      <c r="CJ172" s="357">
        <f t="shared" si="544"/>
        <v>0</v>
      </c>
      <c r="CK172" s="357">
        <f t="shared" si="544"/>
        <v>0</v>
      </c>
      <c r="CL172" s="357">
        <f t="shared" si="544"/>
        <v>0</v>
      </c>
      <c r="CM172" s="357">
        <f t="shared" si="544"/>
        <v>0</v>
      </c>
      <c r="CN172" s="357">
        <f t="shared" si="544"/>
        <v>0</v>
      </c>
      <c r="CO172" s="357">
        <f t="shared" si="544"/>
        <v>0</v>
      </c>
      <c r="CP172" s="357">
        <f t="shared" si="544"/>
        <v>0</v>
      </c>
      <c r="CQ172" s="357">
        <f t="shared" si="544"/>
        <v>0</v>
      </c>
      <c r="CR172" s="357">
        <f t="shared" si="544"/>
        <v>0</v>
      </c>
      <c r="CS172" s="357">
        <f t="shared" si="544"/>
        <v>0</v>
      </c>
      <c r="CT172" s="357">
        <f t="shared" si="544"/>
        <v>0</v>
      </c>
      <c r="CU172" s="357">
        <f t="shared" ref="CU172:DU172" si="545">CU89*$A$172*$A$173</f>
        <v>0</v>
      </c>
      <c r="CV172" s="357">
        <f t="shared" si="545"/>
        <v>0</v>
      </c>
      <c r="CW172" s="357">
        <f t="shared" si="545"/>
        <v>0</v>
      </c>
      <c r="CX172" s="357">
        <f t="shared" si="545"/>
        <v>0</v>
      </c>
      <c r="CY172" s="357">
        <f t="shared" si="545"/>
        <v>0</v>
      </c>
      <c r="CZ172" s="357">
        <f t="shared" si="545"/>
        <v>0</v>
      </c>
      <c r="DA172" s="357">
        <f t="shared" si="545"/>
        <v>0</v>
      </c>
      <c r="DB172" s="357">
        <f t="shared" si="545"/>
        <v>0</v>
      </c>
      <c r="DC172" s="357">
        <f t="shared" si="545"/>
        <v>0</v>
      </c>
      <c r="DD172" s="357">
        <f t="shared" si="545"/>
        <v>0</v>
      </c>
      <c r="DE172" s="357">
        <f t="shared" si="545"/>
        <v>0</v>
      </c>
      <c r="DF172" s="357">
        <f t="shared" si="545"/>
        <v>0</v>
      </c>
      <c r="DG172" s="357">
        <f t="shared" si="545"/>
        <v>0</v>
      </c>
      <c r="DH172" s="357">
        <f t="shared" si="545"/>
        <v>0</v>
      </c>
      <c r="DI172" s="357">
        <f t="shared" si="545"/>
        <v>0</v>
      </c>
      <c r="DJ172" s="357">
        <f t="shared" si="545"/>
        <v>0</v>
      </c>
      <c r="DK172" s="357">
        <f t="shared" si="545"/>
        <v>0</v>
      </c>
      <c r="DL172" s="357">
        <f t="shared" si="545"/>
        <v>0</v>
      </c>
      <c r="DM172" s="357">
        <f t="shared" si="545"/>
        <v>0</v>
      </c>
      <c r="DN172" s="357">
        <f t="shared" si="545"/>
        <v>0</v>
      </c>
      <c r="DO172" s="357">
        <f t="shared" si="545"/>
        <v>0</v>
      </c>
      <c r="DP172" s="357">
        <f t="shared" si="545"/>
        <v>0</v>
      </c>
      <c r="DQ172" s="357">
        <f t="shared" si="545"/>
        <v>0</v>
      </c>
      <c r="DR172" s="357">
        <f t="shared" si="545"/>
        <v>0</v>
      </c>
      <c r="DS172" s="357">
        <f t="shared" si="545"/>
        <v>0</v>
      </c>
      <c r="DT172" s="357">
        <f t="shared" si="545"/>
        <v>0</v>
      </c>
      <c r="DU172" s="448">
        <f t="shared" si="545"/>
        <v>0</v>
      </c>
      <c r="DV172" s="709"/>
    </row>
    <row r="173" spans="1:138" x14ac:dyDescent="0.3">
      <c r="A173" s="555">
        <f>Data!C146</f>
        <v>0</v>
      </c>
      <c r="B173" s="629" t="s">
        <v>50</v>
      </c>
      <c r="C173" s="632">
        <f>SUM(C171:C172)</f>
        <v>0</v>
      </c>
      <c r="D173" s="411">
        <f t="shared" ref="D173:BM173" si="546">SUM(D171:D172)</f>
        <v>0</v>
      </c>
      <c r="E173" s="449">
        <f t="shared" si="546"/>
        <v>67.777777777777771</v>
      </c>
      <c r="F173" s="363">
        <f t="shared" si="546"/>
        <v>3.7277777777777898</v>
      </c>
      <c r="G173" s="363">
        <f t="shared" si="546"/>
        <v>3.7277777777777823</v>
      </c>
      <c r="H173" s="363">
        <f t="shared" si="546"/>
        <v>3.7277777777777823</v>
      </c>
      <c r="I173" s="363">
        <f t="shared" si="546"/>
        <v>3.7277777777777823</v>
      </c>
      <c r="J173" s="363">
        <f t="shared" si="546"/>
        <v>3.0500000000000052</v>
      </c>
      <c r="K173" s="363">
        <f t="shared" si="546"/>
        <v>3.0500000000000052</v>
      </c>
      <c r="L173" s="363">
        <f t="shared" si="546"/>
        <v>3.0500000000000052</v>
      </c>
      <c r="M173" s="363">
        <f t="shared" si="546"/>
        <v>3.0500000000000052</v>
      </c>
      <c r="N173" s="363">
        <f t="shared" si="546"/>
        <v>3.0500000000000052</v>
      </c>
      <c r="O173" s="363">
        <f t="shared" si="546"/>
        <v>3.0500000000000052</v>
      </c>
      <c r="P173" s="363">
        <f t="shared" si="546"/>
        <v>2.7111111111111166</v>
      </c>
      <c r="Q173" s="363">
        <f t="shared" si="546"/>
        <v>2.7111111111111166</v>
      </c>
      <c r="R173" s="363">
        <f t="shared" si="546"/>
        <v>2.7111111111111166</v>
      </c>
      <c r="S173" s="363">
        <f t="shared" si="546"/>
        <v>2.7111111111111166</v>
      </c>
      <c r="T173" s="363">
        <f t="shared" si="546"/>
        <v>2.7111111111111166</v>
      </c>
      <c r="U173" s="363">
        <f t="shared" si="546"/>
        <v>2.7111111111111166</v>
      </c>
      <c r="V173" s="363">
        <f t="shared" si="546"/>
        <v>2.7111111111111166</v>
      </c>
      <c r="W173" s="363">
        <f t="shared" si="546"/>
        <v>2.7111111111111166</v>
      </c>
      <c r="X173" s="363">
        <f t="shared" si="546"/>
        <v>2.7111111111111166</v>
      </c>
      <c r="Y173" s="363">
        <f t="shared" si="546"/>
        <v>2.7111111111111166</v>
      </c>
      <c r="Z173" s="363">
        <f t="shared" si="546"/>
        <v>2.7111111111111166</v>
      </c>
      <c r="AA173" s="363">
        <f t="shared" si="546"/>
        <v>2.7111111111111166</v>
      </c>
      <c r="AB173" s="363">
        <f t="shared" si="546"/>
        <v>2.7111111111111166</v>
      </c>
      <c r="AC173" s="363">
        <f t="shared" si="546"/>
        <v>2.7111111111111166</v>
      </c>
      <c r="AD173" s="363">
        <f t="shared" si="546"/>
        <v>2.7111111111111166</v>
      </c>
      <c r="AE173" s="363">
        <f t="shared" si="546"/>
        <v>2.7111111111111166</v>
      </c>
      <c r="AF173" s="363">
        <f t="shared" si="546"/>
        <v>2.7111111111111166</v>
      </c>
      <c r="AG173" s="363">
        <f t="shared" si="546"/>
        <v>2.7111111111111166</v>
      </c>
      <c r="AH173" s="363">
        <f t="shared" si="546"/>
        <v>2.7111111111111166</v>
      </c>
      <c r="AI173" s="363">
        <f t="shared" si="546"/>
        <v>2.7111111111111166</v>
      </c>
      <c r="AJ173" s="363">
        <f t="shared" si="546"/>
        <v>2.7111111111111166</v>
      </c>
      <c r="AK173" s="363">
        <f t="shared" si="546"/>
        <v>2.7111111111111166</v>
      </c>
      <c r="AL173" s="363">
        <f t="shared" si="546"/>
        <v>2.7111111111111166</v>
      </c>
      <c r="AM173" s="363">
        <f t="shared" si="546"/>
        <v>2.7111111111111166</v>
      </c>
      <c r="AN173" s="363">
        <f t="shared" si="546"/>
        <v>2.7111111111111166</v>
      </c>
      <c r="AO173" s="363">
        <f t="shared" si="546"/>
        <v>2.7111111111111166</v>
      </c>
      <c r="AP173" s="363">
        <f t="shared" si="546"/>
        <v>2.7111111111111166</v>
      </c>
      <c r="AQ173" s="363">
        <f t="shared" si="546"/>
        <v>2.7111111111111166</v>
      </c>
      <c r="AR173" s="363">
        <f t="shared" si="546"/>
        <v>2.7111111111111166</v>
      </c>
      <c r="AS173" s="363">
        <f t="shared" si="546"/>
        <v>2.7111111111111166</v>
      </c>
      <c r="AT173" s="363">
        <f t="shared" si="546"/>
        <v>2.7111111111111166</v>
      </c>
      <c r="AU173" s="363">
        <f t="shared" si="546"/>
        <v>2.7111111111111166</v>
      </c>
      <c r="AV173" s="363">
        <f t="shared" si="546"/>
        <v>2.7111111111111166</v>
      </c>
      <c r="AW173" s="363">
        <f t="shared" si="546"/>
        <v>2.7111111111111166</v>
      </c>
      <c r="AX173" s="363">
        <f t="shared" si="546"/>
        <v>2.7111111111111166</v>
      </c>
      <c r="AY173" s="363">
        <f t="shared" si="546"/>
        <v>2.7111111111111166</v>
      </c>
      <c r="AZ173" s="363">
        <f t="shared" si="546"/>
        <v>2.7111111111111166</v>
      </c>
      <c r="BA173" s="363">
        <f t="shared" si="546"/>
        <v>2.7111111111111166</v>
      </c>
      <c r="BB173" s="363">
        <f t="shared" si="546"/>
        <v>2.7111111111111166</v>
      </c>
      <c r="BC173" s="363">
        <f t="shared" si="546"/>
        <v>2.7111111111111166</v>
      </c>
      <c r="BD173" s="363">
        <f t="shared" si="546"/>
        <v>2.7111111111111166</v>
      </c>
      <c r="BE173" s="363">
        <f t="shared" si="546"/>
        <v>2.7111111111111166</v>
      </c>
      <c r="BF173" s="363">
        <f t="shared" si="546"/>
        <v>2.7111111111111166</v>
      </c>
      <c r="BG173" s="363">
        <f t="shared" si="546"/>
        <v>2.7111111111111166</v>
      </c>
      <c r="BH173" s="363">
        <f t="shared" si="546"/>
        <v>2.7111111111111166</v>
      </c>
      <c r="BI173" s="363">
        <f t="shared" si="546"/>
        <v>2.7111111111111166</v>
      </c>
      <c r="BJ173" s="363">
        <f t="shared" si="546"/>
        <v>2.7111111111111166</v>
      </c>
      <c r="BK173" s="363">
        <f t="shared" si="546"/>
        <v>2.7111111111111166</v>
      </c>
      <c r="BL173" s="363">
        <f t="shared" si="546"/>
        <v>2.7111111111111166</v>
      </c>
      <c r="BM173" s="363">
        <f t="shared" si="546"/>
        <v>2.7111111111111166</v>
      </c>
      <c r="BN173" s="363">
        <f t="shared" ref="BN173:DU173" si="547">SUM(BN171:BN172)</f>
        <v>2.7111111111111166</v>
      </c>
      <c r="BO173" s="363">
        <f t="shared" si="547"/>
        <v>2.7111111111111166</v>
      </c>
      <c r="BP173" s="363">
        <f t="shared" si="547"/>
        <v>2.7111111111111166</v>
      </c>
      <c r="BQ173" s="363">
        <f t="shared" si="547"/>
        <v>2.7111111111111166</v>
      </c>
      <c r="BR173" s="363">
        <f t="shared" si="547"/>
        <v>2.7111111111111166</v>
      </c>
      <c r="BS173" s="363">
        <f t="shared" si="547"/>
        <v>2.7111111111111166</v>
      </c>
      <c r="BT173" s="363">
        <f t="shared" si="547"/>
        <v>2.7111111111111166</v>
      </c>
      <c r="BU173" s="363">
        <f t="shared" si="547"/>
        <v>2.7111111111111166</v>
      </c>
      <c r="BV173" s="363">
        <f t="shared" si="547"/>
        <v>2.7111111111111166</v>
      </c>
      <c r="BW173" s="363">
        <f t="shared" si="547"/>
        <v>2.7111111111111166</v>
      </c>
      <c r="BX173" s="363">
        <f t="shared" si="547"/>
        <v>2.7111111111111166</v>
      </c>
      <c r="BY173" s="363">
        <f t="shared" si="547"/>
        <v>2.7111111111111166</v>
      </c>
      <c r="BZ173" s="363">
        <f t="shared" si="547"/>
        <v>2.7111111111111166</v>
      </c>
      <c r="CA173" s="363">
        <f t="shared" si="547"/>
        <v>2.7111111111111166</v>
      </c>
      <c r="CB173" s="363">
        <f t="shared" si="547"/>
        <v>2.7111111111111166</v>
      </c>
      <c r="CC173" s="363">
        <f t="shared" si="547"/>
        <v>2.7111111111111166</v>
      </c>
      <c r="CD173" s="363">
        <f t="shared" si="547"/>
        <v>2.7111111111111166</v>
      </c>
      <c r="CE173" s="363">
        <f t="shared" si="547"/>
        <v>2.7111111111111166</v>
      </c>
      <c r="CF173" s="363">
        <f t="shared" si="547"/>
        <v>2.7111111111111166</v>
      </c>
      <c r="CG173" s="363">
        <f t="shared" si="547"/>
        <v>2.7111111111111166</v>
      </c>
      <c r="CH173" s="363">
        <f t="shared" si="547"/>
        <v>2.7111111111111166</v>
      </c>
      <c r="CI173" s="363">
        <f t="shared" si="547"/>
        <v>2.7111111111111166</v>
      </c>
      <c r="CJ173" s="363">
        <f t="shared" si="547"/>
        <v>2.7111111111111166</v>
      </c>
      <c r="CK173" s="363">
        <f t="shared" si="547"/>
        <v>2.7111111111111166</v>
      </c>
      <c r="CL173" s="363">
        <f t="shared" si="547"/>
        <v>2.7111111111111166</v>
      </c>
      <c r="CM173" s="363">
        <f t="shared" si="547"/>
        <v>2.7111111111111166</v>
      </c>
      <c r="CN173" s="363">
        <f t="shared" si="547"/>
        <v>2.7111111111111166</v>
      </c>
      <c r="CO173" s="363">
        <f t="shared" si="547"/>
        <v>2.7111111111111166</v>
      </c>
      <c r="CP173" s="363">
        <f t="shared" si="547"/>
        <v>2.7111111111111166</v>
      </c>
      <c r="CQ173" s="363">
        <f t="shared" si="547"/>
        <v>2.7111111111111166</v>
      </c>
      <c r="CR173" s="363">
        <f t="shared" si="547"/>
        <v>2.7111111111111166</v>
      </c>
      <c r="CS173" s="363">
        <f t="shared" si="547"/>
        <v>2.7111111111111166</v>
      </c>
      <c r="CT173" s="363">
        <f t="shared" si="547"/>
        <v>2.7111111111111166</v>
      </c>
      <c r="CU173" s="363">
        <f t="shared" si="547"/>
        <v>2.7111111111111166</v>
      </c>
      <c r="CV173" s="363">
        <f t="shared" si="547"/>
        <v>2.7111111111111166</v>
      </c>
      <c r="CW173" s="363">
        <f t="shared" si="547"/>
        <v>2.7111111111111166</v>
      </c>
      <c r="CX173" s="363">
        <f t="shared" si="547"/>
        <v>2.7111111111111166</v>
      </c>
      <c r="CY173" s="363">
        <f t="shared" si="547"/>
        <v>2.7111111111111166</v>
      </c>
      <c r="CZ173" s="363">
        <f t="shared" si="547"/>
        <v>2.7111111111111166</v>
      </c>
      <c r="DA173" s="363">
        <f t="shared" si="547"/>
        <v>2.7111111111111166</v>
      </c>
      <c r="DB173" s="363">
        <f t="shared" si="547"/>
        <v>2.7111111111111166</v>
      </c>
      <c r="DC173" s="363">
        <f t="shared" si="547"/>
        <v>2.7111111111111166</v>
      </c>
      <c r="DD173" s="363">
        <f t="shared" si="547"/>
        <v>2.7111111111111166</v>
      </c>
      <c r="DE173" s="363">
        <f t="shared" si="547"/>
        <v>2.7111111111111166</v>
      </c>
      <c r="DF173" s="363">
        <f t="shared" si="547"/>
        <v>2.7111111111111166</v>
      </c>
      <c r="DG173" s="363">
        <f t="shared" si="547"/>
        <v>2.7111111111111166</v>
      </c>
      <c r="DH173" s="363">
        <f t="shared" si="547"/>
        <v>2.7111111111111166</v>
      </c>
      <c r="DI173" s="363">
        <f t="shared" si="547"/>
        <v>2.7111111111111166</v>
      </c>
      <c r="DJ173" s="363">
        <f t="shared" si="547"/>
        <v>2.7111111111111166</v>
      </c>
      <c r="DK173" s="363">
        <f t="shared" si="547"/>
        <v>2.7111111111111166</v>
      </c>
      <c r="DL173" s="363">
        <f t="shared" si="547"/>
        <v>2.7111111111111166</v>
      </c>
      <c r="DM173" s="363">
        <f t="shared" si="547"/>
        <v>2.7111111111111166</v>
      </c>
      <c r="DN173" s="363">
        <f t="shared" si="547"/>
        <v>2.7111111111111166</v>
      </c>
      <c r="DO173" s="363">
        <f t="shared" si="547"/>
        <v>2.7111111111111166</v>
      </c>
      <c r="DP173" s="363">
        <f t="shared" si="547"/>
        <v>2.7111111111111166</v>
      </c>
      <c r="DQ173" s="363">
        <f t="shared" si="547"/>
        <v>2.7111111111111166</v>
      </c>
      <c r="DR173" s="363">
        <f t="shared" si="547"/>
        <v>2.7111111111111166</v>
      </c>
      <c r="DS173" s="363">
        <f t="shared" si="547"/>
        <v>2.7111111111111166</v>
      </c>
      <c r="DT173" s="363">
        <f t="shared" si="547"/>
        <v>2.7111111111111166</v>
      </c>
      <c r="DU173" s="450">
        <f t="shared" si="547"/>
        <v>2.7111111111111166</v>
      </c>
      <c r="DV173" s="710"/>
      <c r="DX173" s="17"/>
      <c r="DY173" s="17"/>
      <c r="DZ173" s="17"/>
      <c r="EA173" s="151"/>
      <c r="EB173" s="16"/>
      <c r="EC173" s="17"/>
      <c r="ED173" s="151"/>
      <c r="EE173" s="139"/>
      <c r="EF173" s="17"/>
      <c r="EG173" s="151"/>
      <c r="EH173" s="139"/>
    </row>
    <row r="175" spans="1:138" x14ac:dyDescent="0.3">
      <c r="B175" s="1433" t="s">
        <v>679</v>
      </c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179"/>
      <c r="Q175" s="179"/>
      <c r="R175" s="179"/>
      <c r="S175" s="179"/>
      <c r="T175" s="179"/>
      <c r="U175" s="179"/>
      <c r="V175" s="179"/>
      <c r="W175" s="179"/>
      <c r="X175" s="179"/>
      <c r="Y175" s="179"/>
      <c r="Z175" s="179"/>
      <c r="AA175" s="179"/>
      <c r="AB175" s="179"/>
      <c r="AC175" s="179"/>
      <c r="AD175" s="179"/>
      <c r="AE175" s="179"/>
      <c r="AF175" s="179"/>
      <c r="AG175" s="179"/>
      <c r="AH175" s="179"/>
      <c r="AI175" s="179"/>
      <c r="AJ175" s="179"/>
      <c r="AK175" s="179"/>
      <c r="AL175" s="179"/>
      <c r="AM175" s="179"/>
      <c r="AN175" s="179"/>
      <c r="AO175" s="179"/>
      <c r="AP175" s="179"/>
      <c r="AQ175" s="179"/>
      <c r="AR175" s="179"/>
      <c r="AS175" s="179"/>
      <c r="AT175" s="179"/>
      <c r="AU175" s="179"/>
      <c r="AV175" s="179"/>
      <c r="AW175" s="179"/>
      <c r="AX175" s="179"/>
      <c r="AY175" s="179"/>
      <c r="AZ175" s="179"/>
      <c r="BA175" s="179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179"/>
      <c r="BM175" s="179"/>
      <c r="BN175" s="179"/>
      <c r="BO175" s="179"/>
      <c r="BP175" s="179"/>
      <c r="BQ175" s="179"/>
      <c r="BR175" s="179"/>
      <c r="BS175" s="179"/>
      <c r="BT175" s="179"/>
      <c r="BU175" s="179"/>
      <c r="BV175" s="179"/>
      <c r="BW175" s="179"/>
      <c r="BX175" s="179"/>
      <c r="BY175" s="179"/>
      <c r="BZ175" s="179"/>
      <c r="CA175" s="179"/>
      <c r="CB175" s="179"/>
      <c r="CC175" s="179"/>
      <c r="CD175" s="179"/>
      <c r="CE175" s="179"/>
      <c r="CF175" s="179"/>
      <c r="CG175" s="179"/>
      <c r="CH175" s="179"/>
      <c r="CI175" s="179"/>
      <c r="CJ175" s="179"/>
      <c r="CK175" s="179"/>
      <c r="CL175" s="179"/>
      <c r="CM175" s="179"/>
      <c r="CN175" s="179"/>
      <c r="CO175" s="179"/>
      <c r="CP175" s="179"/>
      <c r="CQ175" s="179"/>
      <c r="CR175" s="179"/>
      <c r="CS175" s="179"/>
      <c r="CT175" s="179"/>
      <c r="CU175" s="179"/>
      <c r="CV175" s="179"/>
      <c r="CW175" s="179"/>
      <c r="CX175" s="179"/>
      <c r="CY175" s="179"/>
      <c r="CZ175" s="179"/>
      <c r="DA175" s="179"/>
      <c r="DB175" s="179"/>
      <c r="DC175" s="179"/>
      <c r="DD175" s="179"/>
      <c r="DE175" s="179"/>
      <c r="DF175" s="179"/>
      <c r="DG175" s="179"/>
      <c r="DH175" s="179"/>
      <c r="DI175" s="179"/>
      <c r="DJ175" s="179"/>
      <c r="DK175" s="179"/>
      <c r="DL175" s="179"/>
      <c r="DM175" s="179"/>
      <c r="DN175" s="179"/>
      <c r="DO175" s="179"/>
      <c r="DP175" s="179"/>
      <c r="DQ175" s="179"/>
      <c r="DR175" s="179"/>
      <c r="DS175" s="179"/>
      <c r="DT175" s="179"/>
      <c r="DU175" s="179"/>
      <c r="DV175" s="179"/>
      <c r="DX175" s="179"/>
      <c r="DY175" s="179"/>
      <c r="DZ175" s="179"/>
      <c r="EA175" s="179"/>
      <c r="EB175" s="179"/>
      <c r="EC175" s="179"/>
      <c r="ED175" s="179"/>
      <c r="EE175" s="179"/>
      <c r="EF175" s="179"/>
      <c r="EG175" s="179"/>
      <c r="EH175" s="179"/>
    </row>
    <row r="176" spans="1:138" x14ac:dyDescent="0.3">
      <c r="B176" s="370" t="s">
        <v>675</v>
      </c>
      <c r="C176" s="1425"/>
      <c r="D176" s="1425"/>
      <c r="E176" s="1425">
        <f>E75-SUM(E177:E178)</f>
        <v>0</v>
      </c>
      <c r="F176" s="1425">
        <f t="shared" ref="F176:BQ176" si="548">F75-SUM(F177:F178)</f>
        <v>0</v>
      </c>
      <c r="G176" s="1425">
        <f t="shared" si="548"/>
        <v>0</v>
      </c>
      <c r="H176" s="1425">
        <f t="shared" si="548"/>
        <v>0</v>
      </c>
      <c r="I176" s="1425">
        <f t="shared" si="548"/>
        <v>0</v>
      </c>
      <c r="J176" s="1425">
        <f t="shared" si="548"/>
        <v>0</v>
      </c>
      <c r="K176" s="1425">
        <f t="shared" si="548"/>
        <v>0</v>
      </c>
      <c r="L176" s="1425">
        <f t="shared" si="548"/>
        <v>0</v>
      </c>
      <c r="M176" s="1425">
        <f t="shared" si="548"/>
        <v>0</v>
      </c>
      <c r="N176" s="1425">
        <f t="shared" si="548"/>
        <v>0</v>
      </c>
      <c r="O176" s="1425">
        <f t="shared" si="548"/>
        <v>0</v>
      </c>
      <c r="P176" s="1425">
        <f t="shared" si="548"/>
        <v>0</v>
      </c>
      <c r="Q176" s="1425">
        <f t="shared" si="548"/>
        <v>0</v>
      </c>
      <c r="R176" s="1425">
        <f t="shared" si="548"/>
        <v>0</v>
      </c>
      <c r="S176" s="1425">
        <f t="shared" si="548"/>
        <v>0</v>
      </c>
      <c r="T176" s="1425">
        <f t="shared" si="548"/>
        <v>0</v>
      </c>
      <c r="U176" s="1425">
        <f t="shared" si="548"/>
        <v>0</v>
      </c>
      <c r="V176" s="1425">
        <f t="shared" si="548"/>
        <v>0</v>
      </c>
      <c r="W176" s="1425">
        <f t="shared" si="548"/>
        <v>0</v>
      </c>
      <c r="X176" s="1425">
        <f t="shared" si="548"/>
        <v>0</v>
      </c>
      <c r="Y176" s="1425">
        <f t="shared" si="548"/>
        <v>0</v>
      </c>
      <c r="Z176" s="1425">
        <f t="shared" si="548"/>
        <v>0</v>
      </c>
      <c r="AA176" s="1425">
        <f t="shared" si="548"/>
        <v>0</v>
      </c>
      <c r="AB176" s="1425">
        <f t="shared" si="548"/>
        <v>0</v>
      </c>
      <c r="AC176" s="1425">
        <f t="shared" si="548"/>
        <v>0</v>
      </c>
      <c r="AD176" s="1425">
        <f t="shared" si="548"/>
        <v>0</v>
      </c>
      <c r="AE176" s="1425">
        <f t="shared" si="548"/>
        <v>0</v>
      </c>
      <c r="AF176" s="1425">
        <f t="shared" si="548"/>
        <v>0</v>
      </c>
      <c r="AG176" s="1425">
        <f t="shared" si="548"/>
        <v>0</v>
      </c>
      <c r="AH176" s="1425">
        <f t="shared" si="548"/>
        <v>0</v>
      </c>
      <c r="AI176" s="1425">
        <f t="shared" si="548"/>
        <v>0</v>
      </c>
      <c r="AJ176" s="1425">
        <f t="shared" si="548"/>
        <v>0</v>
      </c>
      <c r="AK176" s="1425">
        <f t="shared" si="548"/>
        <v>0</v>
      </c>
      <c r="AL176" s="1425">
        <f t="shared" si="548"/>
        <v>0</v>
      </c>
      <c r="AM176" s="1425">
        <f t="shared" si="548"/>
        <v>0</v>
      </c>
      <c r="AN176" s="1425">
        <f t="shared" si="548"/>
        <v>0</v>
      </c>
      <c r="AO176" s="1425">
        <f t="shared" si="548"/>
        <v>0</v>
      </c>
      <c r="AP176" s="1425">
        <f t="shared" si="548"/>
        <v>0</v>
      </c>
      <c r="AQ176" s="1425">
        <f t="shared" si="548"/>
        <v>0</v>
      </c>
      <c r="AR176" s="1425">
        <f t="shared" si="548"/>
        <v>0</v>
      </c>
      <c r="AS176" s="1425">
        <f t="shared" si="548"/>
        <v>0</v>
      </c>
      <c r="AT176" s="1425">
        <f t="shared" si="548"/>
        <v>0</v>
      </c>
      <c r="AU176" s="1425">
        <f t="shared" si="548"/>
        <v>0</v>
      </c>
      <c r="AV176" s="1425">
        <f t="shared" si="548"/>
        <v>0</v>
      </c>
      <c r="AW176" s="1425">
        <f t="shared" si="548"/>
        <v>0</v>
      </c>
      <c r="AX176" s="1425">
        <f t="shared" si="548"/>
        <v>0</v>
      </c>
      <c r="AY176" s="1425">
        <f t="shared" si="548"/>
        <v>0</v>
      </c>
      <c r="AZ176" s="1425">
        <f t="shared" si="548"/>
        <v>0</v>
      </c>
      <c r="BA176" s="1425">
        <f t="shared" si="548"/>
        <v>0</v>
      </c>
      <c r="BB176" s="1425">
        <f t="shared" si="548"/>
        <v>0</v>
      </c>
      <c r="BC176" s="1425">
        <f t="shared" si="548"/>
        <v>0</v>
      </c>
      <c r="BD176" s="1425">
        <f t="shared" si="548"/>
        <v>0</v>
      </c>
      <c r="BE176" s="1425">
        <f t="shared" si="548"/>
        <v>0</v>
      </c>
      <c r="BF176" s="1425">
        <f t="shared" si="548"/>
        <v>0</v>
      </c>
      <c r="BG176" s="1425">
        <f t="shared" si="548"/>
        <v>0</v>
      </c>
      <c r="BH176" s="1425">
        <f t="shared" si="548"/>
        <v>0</v>
      </c>
      <c r="BI176" s="1425">
        <f t="shared" si="548"/>
        <v>0</v>
      </c>
      <c r="BJ176" s="1425">
        <f t="shared" si="548"/>
        <v>0</v>
      </c>
      <c r="BK176" s="1425">
        <f t="shared" si="548"/>
        <v>0</v>
      </c>
      <c r="BL176" s="1425">
        <f t="shared" si="548"/>
        <v>0</v>
      </c>
      <c r="BM176" s="1425">
        <f t="shared" si="548"/>
        <v>0</v>
      </c>
      <c r="BN176" s="1425">
        <f t="shared" si="548"/>
        <v>0</v>
      </c>
      <c r="BO176" s="1425">
        <f t="shared" si="548"/>
        <v>0</v>
      </c>
      <c r="BP176" s="1425">
        <f t="shared" si="548"/>
        <v>0</v>
      </c>
      <c r="BQ176" s="1425">
        <f t="shared" si="548"/>
        <v>0</v>
      </c>
      <c r="BR176" s="1425">
        <f t="shared" ref="BR176:DU176" si="549">BR75-SUM(BR177:BR178)</f>
        <v>0</v>
      </c>
      <c r="BS176" s="1425">
        <f t="shared" si="549"/>
        <v>0</v>
      </c>
      <c r="BT176" s="1425">
        <f t="shared" si="549"/>
        <v>0</v>
      </c>
      <c r="BU176" s="1425">
        <f t="shared" si="549"/>
        <v>0</v>
      </c>
      <c r="BV176" s="1425">
        <f t="shared" si="549"/>
        <v>0</v>
      </c>
      <c r="BW176" s="1425">
        <f t="shared" si="549"/>
        <v>0</v>
      </c>
      <c r="BX176" s="1425">
        <f t="shared" si="549"/>
        <v>0</v>
      </c>
      <c r="BY176" s="1425">
        <f t="shared" si="549"/>
        <v>0</v>
      </c>
      <c r="BZ176" s="1425">
        <f t="shared" si="549"/>
        <v>0</v>
      </c>
      <c r="CA176" s="1425">
        <f t="shared" si="549"/>
        <v>0</v>
      </c>
      <c r="CB176" s="1425">
        <f t="shared" si="549"/>
        <v>0</v>
      </c>
      <c r="CC176" s="1425">
        <f t="shared" si="549"/>
        <v>0</v>
      </c>
      <c r="CD176" s="1425">
        <f t="shared" si="549"/>
        <v>0</v>
      </c>
      <c r="CE176" s="1425">
        <f t="shared" si="549"/>
        <v>0</v>
      </c>
      <c r="CF176" s="1425">
        <f t="shared" si="549"/>
        <v>0</v>
      </c>
      <c r="CG176" s="1425">
        <f t="shared" si="549"/>
        <v>0</v>
      </c>
      <c r="CH176" s="1425">
        <f t="shared" si="549"/>
        <v>0</v>
      </c>
      <c r="CI176" s="1425">
        <f t="shared" si="549"/>
        <v>0</v>
      </c>
      <c r="CJ176" s="1425">
        <f t="shared" si="549"/>
        <v>0</v>
      </c>
      <c r="CK176" s="1425">
        <f t="shared" si="549"/>
        <v>0</v>
      </c>
      <c r="CL176" s="1425">
        <f t="shared" si="549"/>
        <v>0</v>
      </c>
      <c r="CM176" s="1425">
        <f t="shared" si="549"/>
        <v>0</v>
      </c>
      <c r="CN176" s="1425">
        <f t="shared" si="549"/>
        <v>0</v>
      </c>
      <c r="CO176" s="1425">
        <f t="shared" si="549"/>
        <v>0</v>
      </c>
      <c r="CP176" s="1425">
        <f t="shared" si="549"/>
        <v>0</v>
      </c>
      <c r="CQ176" s="1425">
        <f t="shared" si="549"/>
        <v>0</v>
      </c>
      <c r="CR176" s="1425">
        <f t="shared" si="549"/>
        <v>0</v>
      </c>
      <c r="CS176" s="1425">
        <f t="shared" si="549"/>
        <v>0</v>
      </c>
      <c r="CT176" s="1425">
        <f t="shared" si="549"/>
        <v>0</v>
      </c>
      <c r="CU176" s="1425">
        <f t="shared" si="549"/>
        <v>0</v>
      </c>
      <c r="CV176" s="1425">
        <f t="shared" si="549"/>
        <v>0</v>
      </c>
      <c r="CW176" s="1425">
        <f t="shared" si="549"/>
        <v>0</v>
      </c>
      <c r="CX176" s="1425">
        <f t="shared" si="549"/>
        <v>0</v>
      </c>
      <c r="CY176" s="1425">
        <f t="shared" si="549"/>
        <v>0</v>
      </c>
      <c r="CZ176" s="1425">
        <f t="shared" si="549"/>
        <v>0</v>
      </c>
      <c r="DA176" s="1425">
        <f t="shared" si="549"/>
        <v>0</v>
      </c>
      <c r="DB176" s="1425">
        <f t="shared" si="549"/>
        <v>0</v>
      </c>
      <c r="DC176" s="1425">
        <f t="shared" si="549"/>
        <v>0</v>
      </c>
      <c r="DD176" s="1425">
        <f t="shared" si="549"/>
        <v>0</v>
      </c>
      <c r="DE176" s="1425">
        <f t="shared" si="549"/>
        <v>0</v>
      </c>
      <c r="DF176" s="1425">
        <f t="shared" si="549"/>
        <v>0</v>
      </c>
      <c r="DG176" s="1425">
        <f t="shared" si="549"/>
        <v>0</v>
      </c>
      <c r="DH176" s="1425">
        <f t="shared" si="549"/>
        <v>0</v>
      </c>
      <c r="DI176" s="1425">
        <f t="shared" si="549"/>
        <v>0</v>
      </c>
      <c r="DJ176" s="1425">
        <f t="shared" si="549"/>
        <v>0</v>
      </c>
      <c r="DK176" s="1425">
        <f t="shared" si="549"/>
        <v>0</v>
      </c>
      <c r="DL176" s="1425">
        <f t="shared" si="549"/>
        <v>0</v>
      </c>
      <c r="DM176" s="1425">
        <f t="shared" si="549"/>
        <v>0</v>
      </c>
      <c r="DN176" s="1425">
        <f t="shared" si="549"/>
        <v>0</v>
      </c>
      <c r="DO176" s="1425">
        <f t="shared" si="549"/>
        <v>0</v>
      </c>
      <c r="DP176" s="1425">
        <f t="shared" si="549"/>
        <v>0</v>
      </c>
      <c r="DQ176" s="1425">
        <f t="shared" si="549"/>
        <v>0</v>
      </c>
      <c r="DR176" s="1425">
        <f t="shared" si="549"/>
        <v>0</v>
      </c>
      <c r="DS176" s="1425">
        <f t="shared" si="549"/>
        <v>0</v>
      </c>
      <c r="DT176" s="1425">
        <f t="shared" si="549"/>
        <v>0</v>
      </c>
      <c r="DU176" s="1425">
        <f t="shared" si="549"/>
        <v>0</v>
      </c>
    </row>
    <row r="177" spans="2:125" x14ac:dyDescent="0.3">
      <c r="B177" s="370" t="s">
        <v>676</v>
      </c>
      <c r="C177" s="1425"/>
      <c r="D177" s="1425"/>
      <c r="E177" s="1425">
        <f>IF((E75-E178)&gt;4.33,4.33,(E75-E178))</f>
        <v>0</v>
      </c>
      <c r="F177" s="1425">
        <f t="shared" ref="F177:BQ177" si="550">IF((F75-F178)&gt;4.33,4.33,(F75-F178))</f>
        <v>0</v>
      </c>
      <c r="G177" s="1425">
        <f t="shared" si="550"/>
        <v>0</v>
      </c>
      <c r="H177" s="1425">
        <f t="shared" si="550"/>
        <v>0</v>
      </c>
      <c r="I177" s="1425">
        <f t="shared" si="550"/>
        <v>0</v>
      </c>
      <c r="J177" s="1425">
        <f t="shared" si="550"/>
        <v>0</v>
      </c>
      <c r="K177" s="1425">
        <f t="shared" si="550"/>
        <v>0</v>
      </c>
      <c r="L177" s="1425">
        <f t="shared" si="550"/>
        <v>0</v>
      </c>
      <c r="M177" s="1425">
        <f t="shared" si="550"/>
        <v>0</v>
      </c>
      <c r="N177" s="1425">
        <f t="shared" si="550"/>
        <v>0</v>
      </c>
      <c r="O177" s="1425">
        <f t="shared" si="550"/>
        <v>0</v>
      </c>
      <c r="P177" s="1425">
        <f t="shared" si="550"/>
        <v>0</v>
      </c>
      <c r="Q177" s="1425">
        <f t="shared" si="550"/>
        <v>0</v>
      </c>
      <c r="R177" s="1425">
        <f t="shared" si="550"/>
        <v>0</v>
      </c>
      <c r="S177" s="1425">
        <f t="shared" si="550"/>
        <v>0</v>
      </c>
      <c r="T177" s="1425">
        <f t="shared" si="550"/>
        <v>0</v>
      </c>
      <c r="U177" s="1425">
        <f t="shared" si="550"/>
        <v>0</v>
      </c>
      <c r="V177" s="1425">
        <f t="shared" si="550"/>
        <v>0</v>
      </c>
      <c r="W177" s="1425">
        <f t="shared" si="550"/>
        <v>0</v>
      </c>
      <c r="X177" s="1425">
        <f t="shared" si="550"/>
        <v>0</v>
      </c>
      <c r="Y177" s="1425">
        <f t="shared" si="550"/>
        <v>0</v>
      </c>
      <c r="Z177" s="1425">
        <f t="shared" si="550"/>
        <v>0</v>
      </c>
      <c r="AA177" s="1425">
        <f t="shared" si="550"/>
        <v>0</v>
      </c>
      <c r="AB177" s="1425">
        <f t="shared" si="550"/>
        <v>0</v>
      </c>
      <c r="AC177" s="1425">
        <f t="shared" si="550"/>
        <v>0</v>
      </c>
      <c r="AD177" s="1425">
        <f t="shared" si="550"/>
        <v>0</v>
      </c>
      <c r="AE177" s="1425">
        <f t="shared" si="550"/>
        <v>0</v>
      </c>
      <c r="AF177" s="1425">
        <f t="shared" si="550"/>
        <v>0</v>
      </c>
      <c r="AG177" s="1425">
        <f t="shared" si="550"/>
        <v>0</v>
      </c>
      <c r="AH177" s="1425">
        <f t="shared" si="550"/>
        <v>0</v>
      </c>
      <c r="AI177" s="1425">
        <f t="shared" si="550"/>
        <v>0</v>
      </c>
      <c r="AJ177" s="1425">
        <f t="shared" si="550"/>
        <v>0</v>
      </c>
      <c r="AK177" s="1425">
        <f t="shared" si="550"/>
        <v>0</v>
      </c>
      <c r="AL177" s="1425">
        <f t="shared" si="550"/>
        <v>0</v>
      </c>
      <c r="AM177" s="1425">
        <f t="shared" si="550"/>
        <v>0</v>
      </c>
      <c r="AN177" s="1425">
        <f t="shared" si="550"/>
        <v>0</v>
      </c>
      <c r="AO177" s="1425">
        <f t="shared" si="550"/>
        <v>0</v>
      </c>
      <c r="AP177" s="1425">
        <f t="shared" si="550"/>
        <v>0</v>
      </c>
      <c r="AQ177" s="1425">
        <f t="shared" si="550"/>
        <v>0</v>
      </c>
      <c r="AR177" s="1425">
        <f t="shared" si="550"/>
        <v>0</v>
      </c>
      <c r="AS177" s="1425">
        <f t="shared" si="550"/>
        <v>0</v>
      </c>
      <c r="AT177" s="1425">
        <f t="shared" si="550"/>
        <v>0</v>
      </c>
      <c r="AU177" s="1425">
        <f t="shared" si="550"/>
        <v>0</v>
      </c>
      <c r="AV177" s="1425">
        <f t="shared" si="550"/>
        <v>0</v>
      </c>
      <c r="AW177" s="1425">
        <f t="shared" si="550"/>
        <v>0</v>
      </c>
      <c r="AX177" s="1425">
        <f t="shared" si="550"/>
        <v>0</v>
      </c>
      <c r="AY177" s="1425">
        <f t="shared" si="550"/>
        <v>0</v>
      </c>
      <c r="AZ177" s="1425">
        <f t="shared" si="550"/>
        <v>0</v>
      </c>
      <c r="BA177" s="1425">
        <f t="shared" si="550"/>
        <v>0</v>
      </c>
      <c r="BB177" s="1425">
        <f t="shared" si="550"/>
        <v>0</v>
      </c>
      <c r="BC177" s="1425">
        <f t="shared" si="550"/>
        <v>0</v>
      </c>
      <c r="BD177" s="1425">
        <f t="shared" si="550"/>
        <v>0</v>
      </c>
      <c r="BE177" s="1425">
        <f t="shared" si="550"/>
        <v>0</v>
      </c>
      <c r="BF177" s="1425">
        <f t="shared" si="550"/>
        <v>0</v>
      </c>
      <c r="BG177" s="1425">
        <f t="shared" si="550"/>
        <v>0</v>
      </c>
      <c r="BH177" s="1425">
        <f t="shared" si="550"/>
        <v>0</v>
      </c>
      <c r="BI177" s="1425">
        <f t="shared" si="550"/>
        <v>0</v>
      </c>
      <c r="BJ177" s="1425">
        <f t="shared" si="550"/>
        <v>0</v>
      </c>
      <c r="BK177" s="1425">
        <f t="shared" si="550"/>
        <v>0</v>
      </c>
      <c r="BL177" s="1425">
        <f t="shared" si="550"/>
        <v>0</v>
      </c>
      <c r="BM177" s="1425">
        <f t="shared" si="550"/>
        <v>0</v>
      </c>
      <c r="BN177" s="1425">
        <f t="shared" si="550"/>
        <v>0</v>
      </c>
      <c r="BO177" s="1425">
        <f t="shared" si="550"/>
        <v>0</v>
      </c>
      <c r="BP177" s="1425">
        <f t="shared" si="550"/>
        <v>0</v>
      </c>
      <c r="BQ177" s="1425">
        <f t="shared" si="550"/>
        <v>0</v>
      </c>
      <c r="BR177" s="1425">
        <f t="shared" ref="BR177:DU177" si="551">IF((BR75-BR178)&gt;4.33,4.33,(BR75-BR178))</f>
        <v>0</v>
      </c>
      <c r="BS177" s="1425">
        <f t="shared" si="551"/>
        <v>0</v>
      </c>
      <c r="BT177" s="1425">
        <f t="shared" si="551"/>
        <v>0</v>
      </c>
      <c r="BU177" s="1425">
        <f t="shared" si="551"/>
        <v>0</v>
      </c>
      <c r="BV177" s="1425">
        <f t="shared" si="551"/>
        <v>0</v>
      </c>
      <c r="BW177" s="1425">
        <f t="shared" si="551"/>
        <v>0</v>
      </c>
      <c r="BX177" s="1425">
        <f t="shared" si="551"/>
        <v>0</v>
      </c>
      <c r="BY177" s="1425">
        <f t="shared" si="551"/>
        <v>0</v>
      </c>
      <c r="BZ177" s="1425">
        <f t="shared" si="551"/>
        <v>0</v>
      </c>
      <c r="CA177" s="1425">
        <f t="shared" si="551"/>
        <v>0</v>
      </c>
      <c r="CB177" s="1425">
        <f t="shared" si="551"/>
        <v>0</v>
      </c>
      <c r="CC177" s="1425">
        <f t="shared" si="551"/>
        <v>0</v>
      </c>
      <c r="CD177" s="1425">
        <f t="shared" si="551"/>
        <v>0</v>
      </c>
      <c r="CE177" s="1425">
        <f t="shared" si="551"/>
        <v>0</v>
      </c>
      <c r="CF177" s="1425">
        <f t="shared" si="551"/>
        <v>0</v>
      </c>
      <c r="CG177" s="1425">
        <f t="shared" si="551"/>
        <v>0</v>
      </c>
      <c r="CH177" s="1425">
        <f t="shared" si="551"/>
        <v>0</v>
      </c>
      <c r="CI177" s="1425">
        <f t="shared" si="551"/>
        <v>0</v>
      </c>
      <c r="CJ177" s="1425">
        <f t="shared" si="551"/>
        <v>0</v>
      </c>
      <c r="CK177" s="1425">
        <f t="shared" si="551"/>
        <v>0</v>
      </c>
      <c r="CL177" s="1425">
        <f t="shared" si="551"/>
        <v>0</v>
      </c>
      <c r="CM177" s="1425">
        <f t="shared" si="551"/>
        <v>0</v>
      </c>
      <c r="CN177" s="1425">
        <f t="shared" si="551"/>
        <v>0</v>
      </c>
      <c r="CO177" s="1425">
        <f t="shared" si="551"/>
        <v>0</v>
      </c>
      <c r="CP177" s="1425">
        <f t="shared" si="551"/>
        <v>0</v>
      </c>
      <c r="CQ177" s="1425">
        <f t="shared" si="551"/>
        <v>0</v>
      </c>
      <c r="CR177" s="1425">
        <f t="shared" si="551"/>
        <v>0</v>
      </c>
      <c r="CS177" s="1425">
        <f t="shared" si="551"/>
        <v>0</v>
      </c>
      <c r="CT177" s="1425">
        <f t="shared" si="551"/>
        <v>0</v>
      </c>
      <c r="CU177" s="1425">
        <f t="shared" si="551"/>
        <v>0</v>
      </c>
      <c r="CV177" s="1425">
        <f t="shared" si="551"/>
        <v>0</v>
      </c>
      <c r="CW177" s="1425">
        <f t="shared" si="551"/>
        <v>0</v>
      </c>
      <c r="CX177" s="1425">
        <f t="shared" si="551"/>
        <v>0</v>
      </c>
      <c r="CY177" s="1425">
        <f t="shared" si="551"/>
        <v>0</v>
      </c>
      <c r="CZ177" s="1425">
        <f t="shared" si="551"/>
        <v>0</v>
      </c>
      <c r="DA177" s="1425">
        <f t="shared" si="551"/>
        <v>0</v>
      </c>
      <c r="DB177" s="1425">
        <f t="shared" si="551"/>
        <v>0</v>
      </c>
      <c r="DC177" s="1425">
        <f t="shared" si="551"/>
        <v>0</v>
      </c>
      <c r="DD177" s="1425">
        <f t="shared" si="551"/>
        <v>0</v>
      </c>
      <c r="DE177" s="1425">
        <f t="shared" si="551"/>
        <v>0</v>
      </c>
      <c r="DF177" s="1425">
        <f t="shared" si="551"/>
        <v>0</v>
      </c>
      <c r="DG177" s="1425">
        <f t="shared" si="551"/>
        <v>0</v>
      </c>
      <c r="DH177" s="1425">
        <f t="shared" si="551"/>
        <v>0</v>
      </c>
      <c r="DI177" s="1425">
        <f t="shared" si="551"/>
        <v>0</v>
      </c>
      <c r="DJ177" s="1425">
        <f t="shared" si="551"/>
        <v>0</v>
      </c>
      <c r="DK177" s="1425">
        <f t="shared" si="551"/>
        <v>0</v>
      </c>
      <c r="DL177" s="1425">
        <f t="shared" si="551"/>
        <v>0</v>
      </c>
      <c r="DM177" s="1425">
        <f t="shared" si="551"/>
        <v>0</v>
      </c>
      <c r="DN177" s="1425">
        <f t="shared" si="551"/>
        <v>0</v>
      </c>
      <c r="DO177" s="1425">
        <f t="shared" si="551"/>
        <v>0</v>
      </c>
      <c r="DP177" s="1425">
        <f t="shared" si="551"/>
        <v>0</v>
      </c>
      <c r="DQ177" s="1425">
        <f t="shared" si="551"/>
        <v>0</v>
      </c>
      <c r="DR177" s="1425">
        <f t="shared" si="551"/>
        <v>0</v>
      </c>
      <c r="DS177" s="1425">
        <f t="shared" si="551"/>
        <v>0</v>
      </c>
      <c r="DT177" s="1425">
        <f t="shared" si="551"/>
        <v>0</v>
      </c>
      <c r="DU177" s="1425">
        <f t="shared" si="551"/>
        <v>0</v>
      </c>
    </row>
    <row r="178" spans="2:125" x14ac:dyDescent="0.3">
      <c r="B178" s="370" t="s">
        <v>677</v>
      </c>
      <c r="C178" s="1425"/>
      <c r="D178" s="1425">
        <f>IF(D75&gt;=4.33,4.33,D75)</f>
        <v>0</v>
      </c>
      <c r="E178" s="1425">
        <f t="shared" ref="E178:BP178" si="552">IF(E75&gt;=4.33,4.33,E75)</f>
        <v>4.33</v>
      </c>
      <c r="F178" s="1425">
        <f t="shared" si="552"/>
        <v>4.33</v>
      </c>
      <c r="G178" s="1425">
        <f t="shared" si="552"/>
        <v>4.33</v>
      </c>
      <c r="H178" s="1425">
        <f t="shared" si="552"/>
        <v>4.33</v>
      </c>
      <c r="I178" s="1425">
        <f t="shared" si="552"/>
        <v>3.4640000000000004</v>
      </c>
      <c r="J178" s="1425">
        <f t="shared" si="552"/>
        <v>3.6639999999999997</v>
      </c>
      <c r="K178" s="1425">
        <f t="shared" si="552"/>
        <v>3.6639999999999997</v>
      </c>
      <c r="L178" s="1425">
        <f t="shared" si="552"/>
        <v>3.6639999999999997</v>
      </c>
      <c r="M178" s="1425">
        <f t="shared" si="552"/>
        <v>3.6639999999999997</v>
      </c>
      <c r="N178" s="1425">
        <f t="shared" si="552"/>
        <v>3.6639999999999997</v>
      </c>
      <c r="O178" s="1425">
        <f t="shared" si="552"/>
        <v>3.6639999999999997</v>
      </c>
      <c r="P178" s="1425">
        <f t="shared" si="552"/>
        <v>3.6639999999999997</v>
      </c>
      <c r="Q178" s="1425">
        <f t="shared" si="552"/>
        <v>3.6639999999999997</v>
      </c>
      <c r="R178" s="1425">
        <f t="shared" si="552"/>
        <v>3.6639999999999997</v>
      </c>
      <c r="S178" s="1425">
        <f t="shared" si="552"/>
        <v>3.6639999999999997</v>
      </c>
      <c r="T178" s="1425">
        <f t="shared" si="552"/>
        <v>3.6639999999999997</v>
      </c>
      <c r="U178" s="1425">
        <f t="shared" si="552"/>
        <v>3.6639999999999997</v>
      </c>
      <c r="V178" s="1425">
        <f t="shared" si="552"/>
        <v>3.6639999999999997</v>
      </c>
      <c r="W178" s="1425">
        <f t="shared" si="552"/>
        <v>3.6639999999999997</v>
      </c>
      <c r="X178" s="1425">
        <f t="shared" si="552"/>
        <v>3.6639999999999997</v>
      </c>
      <c r="Y178" s="1425">
        <f t="shared" si="552"/>
        <v>3.6639999999999997</v>
      </c>
      <c r="Z178" s="1425">
        <f t="shared" si="552"/>
        <v>3.6639999999999997</v>
      </c>
      <c r="AA178" s="1425">
        <f t="shared" si="552"/>
        <v>3.6639999999999997</v>
      </c>
      <c r="AB178" s="1425">
        <f t="shared" si="552"/>
        <v>3.6639999999999997</v>
      </c>
      <c r="AC178" s="1425">
        <f t="shared" si="552"/>
        <v>3.6639999999999997</v>
      </c>
      <c r="AD178" s="1425">
        <f t="shared" si="552"/>
        <v>3.6639999999999997</v>
      </c>
      <c r="AE178" s="1425">
        <f t="shared" si="552"/>
        <v>3.6639999999999997</v>
      </c>
      <c r="AF178" s="1425">
        <f t="shared" si="552"/>
        <v>3.6639999999999997</v>
      </c>
      <c r="AG178" s="1425">
        <f t="shared" si="552"/>
        <v>3.6639999999999997</v>
      </c>
      <c r="AH178" s="1425">
        <f t="shared" si="552"/>
        <v>3.6639999999999997</v>
      </c>
      <c r="AI178" s="1425">
        <f t="shared" si="552"/>
        <v>3.6639999999999997</v>
      </c>
      <c r="AJ178" s="1425">
        <f t="shared" si="552"/>
        <v>3.6639999999999997</v>
      </c>
      <c r="AK178" s="1425">
        <f t="shared" si="552"/>
        <v>3.6639999999999997</v>
      </c>
      <c r="AL178" s="1425">
        <f t="shared" si="552"/>
        <v>3.6639999999999997</v>
      </c>
      <c r="AM178" s="1425">
        <f t="shared" si="552"/>
        <v>3.6639999999999997</v>
      </c>
      <c r="AN178" s="1425">
        <f t="shared" si="552"/>
        <v>3.6639999999999997</v>
      </c>
      <c r="AO178" s="1425">
        <f t="shared" si="552"/>
        <v>3.6639999999999997</v>
      </c>
      <c r="AP178" s="1425">
        <f t="shared" si="552"/>
        <v>3.6639999999999997</v>
      </c>
      <c r="AQ178" s="1425">
        <f t="shared" si="552"/>
        <v>3.6639999999999997</v>
      </c>
      <c r="AR178" s="1425">
        <f t="shared" si="552"/>
        <v>3.6639999999999997</v>
      </c>
      <c r="AS178" s="1425">
        <f t="shared" si="552"/>
        <v>3.6639999999999997</v>
      </c>
      <c r="AT178" s="1425">
        <f t="shared" si="552"/>
        <v>3.6639999999999997</v>
      </c>
      <c r="AU178" s="1425">
        <f t="shared" si="552"/>
        <v>3.6639999999999997</v>
      </c>
      <c r="AV178" s="1425">
        <f t="shared" si="552"/>
        <v>3.6639999999999997</v>
      </c>
      <c r="AW178" s="1425">
        <f t="shared" si="552"/>
        <v>3.6639999999999997</v>
      </c>
      <c r="AX178" s="1425">
        <f t="shared" si="552"/>
        <v>3.6639999999999997</v>
      </c>
      <c r="AY178" s="1425">
        <f t="shared" si="552"/>
        <v>3.6639999999999997</v>
      </c>
      <c r="AZ178" s="1425">
        <f t="shared" si="552"/>
        <v>3.6639999999999997</v>
      </c>
      <c r="BA178" s="1425">
        <f t="shared" si="552"/>
        <v>3.6639999999999997</v>
      </c>
      <c r="BB178" s="1425">
        <f t="shared" si="552"/>
        <v>3.6639999999999997</v>
      </c>
      <c r="BC178" s="1425">
        <f t="shared" si="552"/>
        <v>3.6639999999999997</v>
      </c>
      <c r="BD178" s="1425">
        <f t="shared" si="552"/>
        <v>3.6639999999999997</v>
      </c>
      <c r="BE178" s="1425">
        <f t="shared" si="552"/>
        <v>3.6639999999999997</v>
      </c>
      <c r="BF178" s="1425">
        <f t="shared" si="552"/>
        <v>3.6639999999999997</v>
      </c>
      <c r="BG178" s="1425">
        <f t="shared" si="552"/>
        <v>3.6639999999999997</v>
      </c>
      <c r="BH178" s="1425">
        <f t="shared" si="552"/>
        <v>3.6639999999999997</v>
      </c>
      <c r="BI178" s="1425">
        <f t="shared" si="552"/>
        <v>3.6639999999999997</v>
      </c>
      <c r="BJ178" s="1425">
        <f t="shared" si="552"/>
        <v>3.6639999999999997</v>
      </c>
      <c r="BK178" s="1425">
        <f t="shared" si="552"/>
        <v>3.6639999999999997</v>
      </c>
      <c r="BL178" s="1425">
        <f t="shared" si="552"/>
        <v>3.6639999999999997</v>
      </c>
      <c r="BM178" s="1425">
        <f t="shared" si="552"/>
        <v>3.6639999999999997</v>
      </c>
      <c r="BN178" s="1425">
        <f t="shared" si="552"/>
        <v>3.6639999999999997</v>
      </c>
      <c r="BO178" s="1425">
        <f t="shared" si="552"/>
        <v>3.6639999999999997</v>
      </c>
      <c r="BP178" s="1425">
        <f t="shared" si="552"/>
        <v>3.6639999999999997</v>
      </c>
      <c r="BQ178" s="1425">
        <f t="shared" ref="BQ178:DU178" si="553">IF(BQ75&gt;=4.33,4.33,BQ75)</f>
        <v>3.6639999999999997</v>
      </c>
      <c r="BR178" s="1425">
        <f t="shared" si="553"/>
        <v>3.6639999999999997</v>
      </c>
      <c r="BS178" s="1425">
        <f t="shared" si="553"/>
        <v>3.6639999999999997</v>
      </c>
      <c r="BT178" s="1425">
        <f t="shared" si="553"/>
        <v>3.6639999999999997</v>
      </c>
      <c r="BU178" s="1425">
        <f t="shared" si="553"/>
        <v>3.6639999999999997</v>
      </c>
      <c r="BV178" s="1425">
        <f t="shared" si="553"/>
        <v>3.6639999999999997</v>
      </c>
      <c r="BW178" s="1425">
        <f t="shared" si="553"/>
        <v>3.6639999999999997</v>
      </c>
      <c r="BX178" s="1425">
        <f t="shared" si="553"/>
        <v>3.6639999999999997</v>
      </c>
      <c r="BY178" s="1425">
        <f t="shared" si="553"/>
        <v>3.6639999999999997</v>
      </c>
      <c r="BZ178" s="1425">
        <f t="shared" si="553"/>
        <v>3.6639999999999997</v>
      </c>
      <c r="CA178" s="1425">
        <f t="shared" si="553"/>
        <v>3.6639999999999997</v>
      </c>
      <c r="CB178" s="1425">
        <f t="shared" si="553"/>
        <v>3.6639999999999997</v>
      </c>
      <c r="CC178" s="1425">
        <f t="shared" si="553"/>
        <v>3.6639999999999997</v>
      </c>
      <c r="CD178" s="1425">
        <f t="shared" si="553"/>
        <v>3.6639999999999997</v>
      </c>
      <c r="CE178" s="1425">
        <f t="shared" si="553"/>
        <v>3.6639999999999997</v>
      </c>
      <c r="CF178" s="1425">
        <f t="shared" si="553"/>
        <v>3.6639999999999997</v>
      </c>
      <c r="CG178" s="1425">
        <f t="shared" si="553"/>
        <v>3.6639999999999997</v>
      </c>
      <c r="CH178" s="1425">
        <f t="shared" si="553"/>
        <v>3.6639999999999997</v>
      </c>
      <c r="CI178" s="1425">
        <f t="shared" si="553"/>
        <v>3.6639999999999997</v>
      </c>
      <c r="CJ178" s="1425">
        <f t="shared" si="553"/>
        <v>3.6639999999999997</v>
      </c>
      <c r="CK178" s="1425">
        <f t="shared" si="553"/>
        <v>3.6639999999999997</v>
      </c>
      <c r="CL178" s="1425">
        <f t="shared" si="553"/>
        <v>3.6639999999999997</v>
      </c>
      <c r="CM178" s="1425">
        <f t="shared" si="553"/>
        <v>3.6639999999999997</v>
      </c>
      <c r="CN178" s="1425">
        <f t="shared" si="553"/>
        <v>3.6639999999999997</v>
      </c>
      <c r="CO178" s="1425">
        <f t="shared" si="553"/>
        <v>3.6639999999999997</v>
      </c>
      <c r="CP178" s="1425">
        <f t="shared" si="553"/>
        <v>3.6639999999999997</v>
      </c>
      <c r="CQ178" s="1425">
        <f t="shared" si="553"/>
        <v>3.6639999999999997</v>
      </c>
      <c r="CR178" s="1425">
        <f t="shared" si="553"/>
        <v>3.6639999999999997</v>
      </c>
      <c r="CS178" s="1425">
        <f t="shared" si="553"/>
        <v>3.6639999999999997</v>
      </c>
      <c r="CT178" s="1425">
        <f t="shared" si="553"/>
        <v>3.6639999999999997</v>
      </c>
      <c r="CU178" s="1425">
        <f t="shared" si="553"/>
        <v>3.6639999999999997</v>
      </c>
      <c r="CV178" s="1425">
        <f t="shared" si="553"/>
        <v>3.6639999999999997</v>
      </c>
      <c r="CW178" s="1425">
        <f t="shared" si="553"/>
        <v>3.6639999999999997</v>
      </c>
      <c r="CX178" s="1425">
        <f t="shared" si="553"/>
        <v>3.6639999999999997</v>
      </c>
      <c r="CY178" s="1425">
        <f t="shared" si="553"/>
        <v>3.6639999999999997</v>
      </c>
      <c r="CZ178" s="1425">
        <f t="shared" si="553"/>
        <v>3.6639999999999997</v>
      </c>
      <c r="DA178" s="1425">
        <f t="shared" si="553"/>
        <v>3.6639999999999997</v>
      </c>
      <c r="DB178" s="1425">
        <f t="shared" si="553"/>
        <v>3.6639999999999997</v>
      </c>
      <c r="DC178" s="1425">
        <f t="shared" si="553"/>
        <v>3.6639999999999997</v>
      </c>
      <c r="DD178" s="1425">
        <f t="shared" si="553"/>
        <v>3.6639999999999997</v>
      </c>
      <c r="DE178" s="1425">
        <f t="shared" si="553"/>
        <v>3.6639999999999997</v>
      </c>
      <c r="DF178" s="1425">
        <f t="shared" si="553"/>
        <v>3.6639999999999997</v>
      </c>
      <c r="DG178" s="1425">
        <f t="shared" si="553"/>
        <v>3.6639999999999997</v>
      </c>
      <c r="DH178" s="1425">
        <f t="shared" si="553"/>
        <v>3.6639999999999997</v>
      </c>
      <c r="DI178" s="1425">
        <f t="shared" si="553"/>
        <v>3.6639999999999997</v>
      </c>
      <c r="DJ178" s="1425">
        <f t="shared" si="553"/>
        <v>3.6639999999999997</v>
      </c>
      <c r="DK178" s="1425">
        <f t="shared" si="553"/>
        <v>3.6639999999999997</v>
      </c>
      <c r="DL178" s="1425">
        <f t="shared" si="553"/>
        <v>3.6639999999999997</v>
      </c>
      <c r="DM178" s="1425">
        <f t="shared" si="553"/>
        <v>3.6639999999999997</v>
      </c>
      <c r="DN178" s="1425">
        <f t="shared" si="553"/>
        <v>3.6639999999999997</v>
      </c>
      <c r="DO178" s="1425">
        <f t="shared" si="553"/>
        <v>3.6639999999999997</v>
      </c>
      <c r="DP178" s="1425">
        <f t="shared" si="553"/>
        <v>3.6639999999999997</v>
      </c>
      <c r="DQ178" s="1425">
        <f t="shared" si="553"/>
        <v>3.6639999999999997</v>
      </c>
      <c r="DR178" s="1425">
        <f t="shared" si="553"/>
        <v>3.6639999999999997</v>
      </c>
      <c r="DS178" s="1425">
        <f t="shared" si="553"/>
        <v>3.6639999999999997</v>
      </c>
      <c r="DT178" s="1425">
        <f t="shared" si="553"/>
        <v>3.6639999999999997</v>
      </c>
      <c r="DU178" s="1425">
        <f t="shared" si="553"/>
        <v>3.6639999999999997</v>
      </c>
    </row>
    <row r="182" spans="2:125" x14ac:dyDescent="0.3">
      <c r="B182" s="590" t="s">
        <v>705</v>
      </c>
      <c r="C182" s="179">
        <f>C23</f>
        <v>0</v>
      </c>
      <c r="D182" s="179">
        <f>C182+D23</f>
        <v>0</v>
      </c>
      <c r="E182" s="179">
        <f t="shared" ref="E182:BP182" si="554">D182+E23</f>
        <v>75674.25</v>
      </c>
      <c r="F182" s="179">
        <f t="shared" si="554"/>
        <v>166574.25</v>
      </c>
      <c r="G182" s="179">
        <f t="shared" si="554"/>
        <v>267213.53571428574</v>
      </c>
      <c r="H182" s="179">
        <f t="shared" si="554"/>
        <v>364606.3928571429</v>
      </c>
      <c r="I182" s="179">
        <f t="shared" si="554"/>
        <v>465245.67857142864</v>
      </c>
      <c r="J182" s="179">
        <f t="shared" si="554"/>
        <v>562638.5357142858</v>
      </c>
      <c r="K182" s="179">
        <f t="shared" si="554"/>
        <v>663277.82142857148</v>
      </c>
      <c r="L182" s="179">
        <f t="shared" si="554"/>
        <v>763917.10714285716</v>
      </c>
      <c r="M182" s="179">
        <f t="shared" si="554"/>
        <v>861309.96428571432</v>
      </c>
      <c r="N182" s="179">
        <f t="shared" si="554"/>
        <v>961949.25</v>
      </c>
      <c r="O182" s="179">
        <f t="shared" si="554"/>
        <v>1059342.107142857</v>
      </c>
      <c r="P182" s="179">
        <f t="shared" si="554"/>
        <v>1159981.3928571427</v>
      </c>
      <c r="Q182" s="179">
        <f t="shared" si="554"/>
        <v>1260620.6785714284</v>
      </c>
      <c r="R182" s="179">
        <f t="shared" si="554"/>
        <v>1359474.4285714284</v>
      </c>
      <c r="S182" s="179">
        <f t="shared" si="554"/>
        <v>1465145.6785714284</v>
      </c>
      <c r="T182" s="179">
        <f t="shared" si="554"/>
        <v>1567408.1785714284</v>
      </c>
      <c r="U182" s="179">
        <f t="shared" si="554"/>
        <v>1673079.4285714284</v>
      </c>
      <c r="V182" s="179">
        <f t="shared" si="554"/>
        <v>1775341.9285714284</v>
      </c>
      <c r="W182" s="179">
        <f t="shared" si="554"/>
        <v>1881013.1785714284</v>
      </c>
      <c r="X182" s="179">
        <f t="shared" si="554"/>
        <v>1986684.4285714284</v>
      </c>
      <c r="Y182" s="179">
        <f t="shared" si="554"/>
        <v>2088946.9285714284</v>
      </c>
      <c r="Z182" s="179">
        <f t="shared" si="554"/>
        <v>2194618.1785714286</v>
      </c>
      <c r="AA182" s="179">
        <f t="shared" si="554"/>
        <v>2296880.6785714286</v>
      </c>
      <c r="AB182" s="179">
        <f t="shared" si="554"/>
        <v>2402551.9285714286</v>
      </c>
      <c r="AC182" s="179">
        <f t="shared" si="554"/>
        <v>2508223.1785714286</v>
      </c>
      <c r="AD182" s="179">
        <f t="shared" si="554"/>
        <v>2608440.4285714286</v>
      </c>
      <c r="AE182" s="179">
        <f t="shared" si="554"/>
        <v>2719395.2410714286</v>
      </c>
      <c r="AF182" s="179">
        <f t="shared" si="554"/>
        <v>2826770.8660714286</v>
      </c>
      <c r="AG182" s="179">
        <f t="shared" si="554"/>
        <v>2937725.6785714286</v>
      </c>
      <c r="AH182" s="179">
        <f t="shared" si="554"/>
        <v>3045101.3035714286</v>
      </c>
      <c r="AI182" s="179">
        <f t="shared" si="554"/>
        <v>3156056.1160714286</v>
      </c>
      <c r="AJ182" s="179">
        <f t="shared" si="554"/>
        <v>3267010.9285714286</v>
      </c>
      <c r="AK182" s="179">
        <f t="shared" si="554"/>
        <v>3374386.5535714286</v>
      </c>
      <c r="AL182" s="179">
        <f t="shared" si="554"/>
        <v>3485341.3660714286</v>
      </c>
      <c r="AM182" s="179">
        <f t="shared" si="554"/>
        <v>3592716.9910714286</v>
      </c>
      <c r="AN182" s="179">
        <f t="shared" si="554"/>
        <v>3703671.8035714286</v>
      </c>
      <c r="AO182" s="179">
        <f t="shared" si="554"/>
        <v>3814626.6160714286</v>
      </c>
      <c r="AP182" s="179">
        <f t="shared" si="554"/>
        <v>3919854.7285714285</v>
      </c>
      <c r="AQ182" s="179">
        <f t="shared" si="554"/>
        <v>4036357.2816964285</v>
      </c>
      <c r="AR182" s="179">
        <f t="shared" si="554"/>
        <v>4149101.6879464285</v>
      </c>
      <c r="AS182" s="179">
        <f t="shared" si="554"/>
        <v>4265604.2410714282</v>
      </c>
      <c r="AT182" s="179">
        <f t="shared" si="554"/>
        <v>4378348.6473214282</v>
      </c>
      <c r="AU182" s="179">
        <f t="shared" si="554"/>
        <v>4494851.2004464278</v>
      </c>
      <c r="AV182" s="179">
        <f t="shared" si="554"/>
        <v>4611353.7535714274</v>
      </c>
      <c r="AW182" s="179">
        <f t="shared" si="554"/>
        <v>4724098.1598214274</v>
      </c>
      <c r="AX182" s="179">
        <f t="shared" si="554"/>
        <v>4840600.7129464271</v>
      </c>
      <c r="AY182" s="179">
        <f t="shared" si="554"/>
        <v>4953345.1191964271</v>
      </c>
      <c r="AZ182" s="179">
        <f t="shared" si="554"/>
        <v>5069847.6723214267</v>
      </c>
      <c r="BA182" s="179">
        <f t="shared" si="554"/>
        <v>5186350.2254464263</v>
      </c>
      <c r="BB182" s="179">
        <f t="shared" si="554"/>
        <v>5296839.7435714267</v>
      </c>
      <c r="BC182" s="179">
        <f t="shared" si="554"/>
        <v>5419167.4243526766</v>
      </c>
      <c r="BD182" s="179">
        <f t="shared" si="554"/>
        <v>5537549.050915177</v>
      </c>
      <c r="BE182" s="179">
        <f t="shared" si="554"/>
        <v>5659876.7316964269</v>
      </c>
      <c r="BF182" s="179">
        <f t="shared" si="554"/>
        <v>5778258.3582589272</v>
      </c>
      <c r="BG182" s="179">
        <f t="shared" si="554"/>
        <v>5900586.0390401771</v>
      </c>
      <c r="BH182" s="179">
        <f t="shared" si="554"/>
        <v>6022913.719821427</v>
      </c>
      <c r="BI182" s="179">
        <f t="shared" si="554"/>
        <v>6141295.3463839274</v>
      </c>
      <c r="BJ182" s="179">
        <f t="shared" si="554"/>
        <v>6263623.0271651773</v>
      </c>
      <c r="BK182" s="179">
        <f t="shared" si="554"/>
        <v>6382004.6537276777</v>
      </c>
      <c r="BL182" s="179">
        <f t="shared" si="554"/>
        <v>6504332.3345089275</v>
      </c>
      <c r="BM182" s="179">
        <f t="shared" si="554"/>
        <v>6626660.0152901774</v>
      </c>
      <c r="BN182" s="179">
        <f t="shared" si="554"/>
        <v>6746817.3662511148</v>
      </c>
      <c r="BO182" s="179">
        <f t="shared" si="554"/>
        <v>6875261.4310714277</v>
      </c>
      <c r="BP182" s="179">
        <f t="shared" si="554"/>
        <v>6999562.1389620528</v>
      </c>
      <c r="BQ182" s="179">
        <f t="shared" ref="BQ182:DU182" si="555">BP182+BQ23</f>
        <v>7128006.2037823657</v>
      </c>
      <c r="BR182" s="179">
        <f t="shared" si="555"/>
        <v>7252306.9116729908</v>
      </c>
      <c r="BS182" s="179">
        <f t="shared" si="555"/>
        <v>7380750.9764933037</v>
      </c>
      <c r="BT182" s="179">
        <f t="shared" si="555"/>
        <v>7509195.0413136166</v>
      </c>
      <c r="BU182" s="179">
        <f t="shared" si="555"/>
        <v>7633495.7492042417</v>
      </c>
      <c r="BV182" s="179">
        <f t="shared" si="555"/>
        <v>7761939.8140245546</v>
      </c>
      <c r="BW182" s="179">
        <f t="shared" si="555"/>
        <v>7886240.5219151797</v>
      </c>
      <c r="BX182" s="179">
        <f t="shared" si="555"/>
        <v>8014684.5867354926</v>
      </c>
      <c r="BY182" s="179">
        <f t="shared" si="555"/>
        <v>8143128.6515558055</v>
      </c>
      <c r="BZ182" s="179">
        <f t="shared" si="555"/>
        <v>8264943.3452886175</v>
      </c>
      <c r="CA182" s="179">
        <f t="shared" si="555"/>
        <v>8399809.6133499462</v>
      </c>
      <c r="CB182" s="179">
        <f t="shared" si="555"/>
        <v>8530325.356635103</v>
      </c>
      <c r="CC182" s="179">
        <f t="shared" si="555"/>
        <v>8665191.6246964317</v>
      </c>
      <c r="CD182" s="179">
        <f t="shared" si="555"/>
        <v>8795707.3679815885</v>
      </c>
      <c r="CE182" s="179">
        <f t="shared" si="555"/>
        <v>8930573.6360429171</v>
      </c>
      <c r="CF182" s="179">
        <f t="shared" si="555"/>
        <v>9065439.9041042458</v>
      </c>
      <c r="CG182" s="179">
        <f t="shared" si="555"/>
        <v>9195955.6473894026</v>
      </c>
      <c r="CH182" s="179">
        <f t="shared" si="555"/>
        <v>9330821.9154507313</v>
      </c>
      <c r="CI182" s="179">
        <f t="shared" si="555"/>
        <v>9461337.6587358881</v>
      </c>
      <c r="CJ182" s="179">
        <f t="shared" si="555"/>
        <v>9596203.9267972168</v>
      </c>
      <c r="CK182" s="179">
        <f t="shared" si="555"/>
        <v>9731070.1948585454</v>
      </c>
      <c r="CL182" s="179">
        <f t="shared" si="555"/>
        <v>9858975.6232779995</v>
      </c>
      <c r="CM182" s="179">
        <f t="shared" si="555"/>
        <v>10000585.204742394</v>
      </c>
      <c r="CN182" s="179">
        <f t="shared" si="555"/>
        <v>10137626.735191809</v>
      </c>
      <c r="CO182" s="179">
        <f t="shared" si="555"/>
        <v>10279236.316656204</v>
      </c>
      <c r="CP182" s="179">
        <f t="shared" si="555"/>
        <v>10416277.847105619</v>
      </c>
      <c r="CQ182" s="179">
        <f t="shared" si="555"/>
        <v>10557887.428570013</v>
      </c>
      <c r="CR182" s="179">
        <f t="shared" si="555"/>
        <v>10699497.010034408</v>
      </c>
      <c r="CS182" s="179">
        <f t="shared" si="555"/>
        <v>10836538.540483823</v>
      </c>
      <c r="CT182" s="179">
        <f t="shared" si="555"/>
        <v>10978148.121948218</v>
      </c>
      <c r="CU182" s="179">
        <f t="shared" si="555"/>
        <v>11115189.652397633</v>
      </c>
      <c r="CV182" s="179">
        <f t="shared" si="555"/>
        <v>11256799.233862028</v>
      </c>
      <c r="CW182" s="179">
        <f t="shared" si="555"/>
        <v>11398408.815326422</v>
      </c>
      <c r="CX182" s="179">
        <f t="shared" si="555"/>
        <v>11532709.515166849</v>
      </c>
      <c r="CY182" s="179">
        <f t="shared" si="555"/>
        <v>11681399.575704463</v>
      </c>
      <c r="CZ182" s="179">
        <f t="shared" si="555"/>
        <v>11825293.182676347</v>
      </c>
      <c r="DA182" s="179">
        <f t="shared" si="555"/>
        <v>11973983.243213961</v>
      </c>
      <c r="DB182" s="179">
        <f t="shared" si="555"/>
        <v>12117876.850185845</v>
      </c>
      <c r="DC182" s="179">
        <f t="shared" si="555"/>
        <v>12266566.910723459</v>
      </c>
      <c r="DD182" s="179">
        <f t="shared" si="555"/>
        <v>12415256.971261073</v>
      </c>
      <c r="DE182" s="179">
        <f t="shared" si="555"/>
        <v>12559150.578232957</v>
      </c>
      <c r="DF182" s="179">
        <f t="shared" si="555"/>
        <v>12707840.638770571</v>
      </c>
      <c r="DG182" s="179">
        <f t="shared" si="555"/>
        <v>12851734.245742455</v>
      </c>
      <c r="DH182" s="179">
        <f t="shared" si="555"/>
        <v>13000424.306280069</v>
      </c>
      <c r="DI182" s="179">
        <f t="shared" si="555"/>
        <v>13149114.366817683</v>
      </c>
      <c r="DJ182" s="179">
        <f t="shared" si="555"/>
        <v>13295166.377894146</v>
      </c>
      <c r="DK182" s="179">
        <f t="shared" si="555"/>
        <v>13451290.941458641</v>
      </c>
      <c r="DL182" s="179">
        <f t="shared" si="555"/>
        <v>13602379.22877912</v>
      </c>
      <c r="DM182" s="179">
        <f t="shared" si="555"/>
        <v>13758503.792343615</v>
      </c>
      <c r="DN182" s="179">
        <f t="shared" si="555"/>
        <v>13909592.079664094</v>
      </c>
      <c r="DO182" s="179">
        <f t="shared" si="555"/>
        <v>14065716.643228589</v>
      </c>
      <c r="DP182" s="179">
        <f t="shared" si="555"/>
        <v>14221841.206793083</v>
      </c>
      <c r="DQ182" s="179">
        <f t="shared" si="555"/>
        <v>14372929.494113563</v>
      </c>
      <c r="DR182" s="179">
        <f t="shared" si="555"/>
        <v>14529054.057678057</v>
      </c>
      <c r="DS182" s="179">
        <f t="shared" si="555"/>
        <v>14680142.344998537</v>
      </c>
      <c r="DT182" s="179">
        <f t="shared" si="555"/>
        <v>14836266.908563031</v>
      </c>
      <c r="DU182" s="179">
        <f t="shared" si="555"/>
        <v>14992391.472127525</v>
      </c>
    </row>
    <row r="183" spans="2:125" x14ac:dyDescent="0.3">
      <c r="B183" s="590" t="s">
        <v>706</v>
      </c>
      <c r="C183" s="179">
        <f>C66</f>
        <v>0</v>
      </c>
      <c r="D183" s="179">
        <f>C183+D66</f>
        <v>0</v>
      </c>
      <c r="E183" s="179">
        <f t="shared" ref="E183:BP183" si="556">D183+E66</f>
        <v>843.46414346779375</v>
      </c>
      <c r="F183" s="179">
        <f t="shared" si="556"/>
        <v>31112.261830939628</v>
      </c>
      <c r="G183" s="179">
        <f t="shared" si="556"/>
        <v>69992.478591393665</v>
      </c>
      <c r="H183" s="179">
        <f t="shared" si="556"/>
        <v>105788.58820899055</v>
      </c>
      <c r="I183" s="179">
        <f t="shared" si="556"/>
        <v>144898.13656057446</v>
      </c>
      <c r="J183" s="179">
        <f t="shared" si="556"/>
        <v>181191.3785302591</v>
      </c>
      <c r="K183" s="179">
        <f t="shared" si="556"/>
        <v>222871.69883405711</v>
      </c>
      <c r="L183" s="179">
        <f t="shared" si="556"/>
        <v>264552.0191378551</v>
      </c>
      <c r="M183" s="179">
        <f t="shared" si="556"/>
        <v>303148.23229879595</v>
      </c>
      <c r="N183" s="179">
        <f t="shared" si="556"/>
        <v>344828.55260259396</v>
      </c>
      <c r="O183" s="179">
        <f t="shared" si="556"/>
        <v>383424.76576353482</v>
      </c>
      <c r="P183" s="179">
        <f t="shared" si="556"/>
        <v>425265.46815579443</v>
      </c>
      <c r="Q183" s="179">
        <f t="shared" si="556"/>
        <v>467106.17054805404</v>
      </c>
      <c r="R183" s="179">
        <f t="shared" si="556"/>
        <v>505954.90456301032</v>
      </c>
      <c r="S183" s="179">
        <f t="shared" si="556"/>
        <v>551624.87503000349</v>
      </c>
      <c r="T183" s="179">
        <f t="shared" si="556"/>
        <v>594005.40174699668</v>
      </c>
      <c r="U183" s="179">
        <f t="shared" si="556"/>
        <v>639675.37221398985</v>
      </c>
      <c r="V183" s="179">
        <f t="shared" si="556"/>
        <v>682055.89893098304</v>
      </c>
      <c r="W183" s="179">
        <f t="shared" si="556"/>
        <v>727725.8693979762</v>
      </c>
      <c r="X183" s="179">
        <f t="shared" si="556"/>
        <v>773395.83986496937</v>
      </c>
      <c r="Y183" s="179">
        <f t="shared" si="556"/>
        <v>815776.36658196256</v>
      </c>
      <c r="Z183" s="179">
        <f t="shared" si="556"/>
        <v>861446.33704895573</v>
      </c>
      <c r="AA183" s="179">
        <f t="shared" si="556"/>
        <v>903826.86376594892</v>
      </c>
      <c r="AB183" s="179">
        <f t="shared" si="556"/>
        <v>949496.83423294208</v>
      </c>
      <c r="AC183" s="179">
        <f t="shared" si="556"/>
        <v>995166.80469993525</v>
      </c>
      <c r="AD183" s="179">
        <f t="shared" si="556"/>
        <v>1035074.8756538795</v>
      </c>
      <c r="AE183" s="179">
        <f t="shared" si="556"/>
        <v>1085867.5998824625</v>
      </c>
      <c r="AF183" s="179">
        <f t="shared" si="556"/>
        <v>1133116.9284860454</v>
      </c>
      <c r="AG183" s="179">
        <f t="shared" si="556"/>
        <v>1183909.6527146285</v>
      </c>
      <c r="AH183" s="179">
        <f t="shared" si="556"/>
        <v>1231158.9813182114</v>
      </c>
      <c r="AI183" s="179">
        <f t="shared" si="556"/>
        <v>1281951.7055467945</v>
      </c>
      <c r="AJ183" s="179">
        <f t="shared" si="556"/>
        <v>1332744.4297753775</v>
      </c>
      <c r="AK183" s="179">
        <f t="shared" si="556"/>
        <v>1379993.7583789604</v>
      </c>
      <c r="AL183" s="179">
        <f t="shared" si="556"/>
        <v>1430786.4826075435</v>
      </c>
      <c r="AM183" s="179">
        <f t="shared" si="556"/>
        <v>1478035.8112111264</v>
      </c>
      <c r="AN183" s="179">
        <f t="shared" si="556"/>
        <v>1528828.5354397094</v>
      </c>
      <c r="AO183" s="179">
        <f t="shared" si="556"/>
        <v>1579621.2596682925</v>
      </c>
      <c r="AP183" s="179">
        <f t="shared" si="556"/>
        <v>1621590.1190956743</v>
      </c>
      <c r="AQ183" s="179">
        <f t="shared" si="556"/>
        <v>1674987.8644614266</v>
      </c>
      <c r="AR183" s="179">
        <f t="shared" si="556"/>
        <v>1724665.0444209289</v>
      </c>
      <c r="AS183" s="179">
        <f t="shared" si="556"/>
        <v>1778062.7897866813</v>
      </c>
      <c r="AT183" s="179">
        <f t="shared" si="556"/>
        <v>1827739.9697461836</v>
      </c>
      <c r="AU183" s="179">
        <f t="shared" si="556"/>
        <v>1881137.715111936</v>
      </c>
      <c r="AV183" s="179">
        <f t="shared" si="556"/>
        <v>1934535.4604776883</v>
      </c>
      <c r="AW183" s="179">
        <f t="shared" si="556"/>
        <v>1984212.6404371907</v>
      </c>
      <c r="AX183" s="179">
        <f t="shared" si="556"/>
        <v>2037610.385802943</v>
      </c>
      <c r="AY183" s="179">
        <f t="shared" si="556"/>
        <v>2087287.5657624453</v>
      </c>
      <c r="AZ183" s="179">
        <f t="shared" si="556"/>
        <v>2140685.3111281977</v>
      </c>
      <c r="BA183" s="179">
        <f t="shared" si="556"/>
        <v>2194083.0564939501</v>
      </c>
      <c r="BB183" s="179">
        <f t="shared" si="556"/>
        <v>2238215.7438184409</v>
      </c>
      <c r="BC183" s="179">
        <f t="shared" si="556"/>
        <v>2294348.7613782212</v>
      </c>
      <c r="BD183" s="179">
        <f t="shared" si="556"/>
        <v>2346575.1852614386</v>
      </c>
      <c r="BE183" s="179">
        <f t="shared" si="556"/>
        <v>2402708.2028212189</v>
      </c>
      <c r="BF183" s="179">
        <f t="shared" si="556"/>
        <v>2454934.6267044363</v>
      </c>
      <c r="BG183" s="179">
        <f t="shared" si="556"/>
        <v>2511067.6442642165</v>
      </c>
      <c r="BH183" s="179">
        <f t="shared" si="556"/>
        <v>2567200.6618239968</v>
      </c>
      <c r="BI183" s="179">
        <f t="shared" si="556"/>
        <v>2619427.0857072142</v>
      </c>
      <c r="BJ183" s="179">
        <f t="shared" si="556"/>
        <v>2675560.1032669945</v>
      </c>
      <c r="BK183" s="179">
        <f t="shared" si="556"/>
        <v>2727786.5271502119</v>
      </c>
      <c r="BL183" s="179">
        <f t="shared" si="556"/>
        <v>2783919.5447099921</v>
      </c>
      <c r="BM183" s="179">
        <f t="shared" si="556"/>
        <v>2840052.5622697724</v>
      </c>
      <c r="BN183" s="179">
        <f t="shared" si="556"/>
        <v>2890559.1922466187</v>
      </c>
      <c r="BO183" s="179">
        <f t="shared" si="556"/>
        <v>2949564.2456101282</v>
      </c>
      <c r="BP183" s="179">
        <f t="shared" si="556"/>
        <v>3004467.3756132466</v>
      </c>
      <c r="BQ183" s="179">
        <f t="shared" ref="BQ183:DU183" si="557">BP183+BQ66</f>
        <v>3063472.4289767561</v>
      </c>
      <c r="BR183" s="179">
        <f t="shared" si="557"/>
        <v>3118375.5589798745</v>
      </c>
      <c r="BS183" s="179">
        <f t="shared" si="557"/>
        <v>3177380.612343384</v>
      </c>
      <c r="BT183" s="179">
        <f t="shared" si="557"/>
        <v>3236385.6657068934</v>
      </c>
      <c r="BU183" s="179">
        <f t="shared" si="557"/>
        <v>3291288.7957100119</v>
      </c>
      <c r="BV183" s="179">
        <f t="shared" si="557"/>
        <v>3350293.8490735213</v>
      </c>
      <c r="BW183" s="179">
        <f t="shared" si="557"/>
        <v>3405196.9790766397</v>
      </c>
      <c r="BX183" s="179">
        <f t="shared" si="557"/>
        <v>3464202.0324401492</v>
      </c>
      <c r="BY183" s="179">
        <f t="shared" si="557"/>
        <v>3523207.0858036587</v>
      </c>
      <c r="BZ183" s="179">
        <f t="shared" si="557"/>
        <v>3571997.4126766771</v>
      </c>
      <c r="CA183" s="179">
        <f t="shared" si="557"/>
        <v>3634018.1036341018</v>
      </c>
      <c r="CB183" s="179">
        <f t="shared" si="557"/>
        <v>3691731.7750631166</v>
      </c>
      <c r="CC183" s="179">
        <f t="shared" si="557"/>
        <v>3753752.4660205413</v>
      </c>
      <c r="CD183" s="179">
        <f t="shared" si="557"/>
        <v>3811466.137449556</v>
      </c>
      <c r="CE183" s="179">
        <f t="shared" si="557"/>
        <v>3873486.8284069807</v>
      </c>
      <c r="CF183" s="179">
        <f t="shared" si="557"/>
        <v>3935507.5193644054</v>
      </c>
      <c r="CG183" s="179">
        <f t="shared" si="557"/>
        <v>3993221.1907934202</v>
      </c>
      <c r="CH183" s="179">
        <f t="shared" si="557"/>
        <v>4055241.8817508449</v>
      </c>
      <c r="CI183" s="179">
        <f t="shared" si="557"/>
        <v>4112955.5531798596</v>
      </c>
      <c r="CJ183" s="179">
        <f t="shared" si="557"/>
        <v>4174976.2441372843</v>
      </c>
      <c r="CK183" s="179">
        <f t="shared" si="557"/>
        <v>4236996.9350947095</v>
      </c>
      <c r="CL183" s="179">
        <f t="shared" si="557"/>
        <v>4288292.1632371191</v>
      </c>
      <c r="CM183" s="179">
        <f t="shared" si="557"/>
        <v>4353479.2736681551</v>
      </c>
      <c r="CN183" s="179">
        <f t="shared" si="557"/>
        <v>4414144.013594361</v>
      </c>
      <c r="CO183" s="179">
        <f t="shared" si="557"/>
        <v>4479331.124025397</v>
      </c>
      <c r="CP183" s="179">
        <f t="shared" si="557"/>
        <v>4539995.863951603</v>
      </c>
      <c r="CQ183" s="179">
        <f t="shared" si="557"/>
        <v>4605182.9743826389</v>
      </c>
      <c r="CR183" s="179">
        <f t="shared" si="557"/>
        <v>4670370.0848136749</v>
      </c>
      <c r="CS183" s="179">
        <f t="shared" si="557"/>
        <v>4731034.8247398809</v>
      </c>
      <c r="CT183" s="179">
        <f t="shared" si="557"/>
        <v>4796221.9351709168</v>
      </c>
      <c r="CU183" s="179">
        <f t="shared" si="557"/>
        <v>4856886.6750971228</v>
      </c>
      <c r="CV183" s="179">
        <f t="shared" si="557"/>
        <v>4922073.7855281588</v>
      </c>
      <c r="CW183" s="179">
        <f t="shared" si="557"/>
        <v>4987260.8959591947</v>
      </c>
      <c r="CX183" s="179">
        <f t="shared" si="557"/>
        <v>5041186.2704344653</v>
      </c>
      <c r="CY183" s="179">
        <f t="shared" si="557"/>
        <v>5109698.1213127933</v>
      </c>
      <c r="CZ183" s="179">
        <f t="shared" si="557"/>
        <v>5173461.483161049</v>
      </c>
      <c r="DA183" s="179">
        <f t="shared" si="557"/>
        <v>5241973.334039377</v>
      </c>
      <c r="DB183" s="179">
        <f t="shared" si="557"/>
        <v>5305736.6958876327</v>
      </c>
      <c r="DC183" s="179">
        <f t="shared" si="557"/>
        <v>5374248.5467659608</v>
      </c>
      <c r="DD183" s="179">
        <f t="shared" si="557"/>
        <v>5442760.3976442888</v>
      </c>
      <c r="DE183" s="179">
        <f t="shared" si="557"/>
        <v>5506523.7594925445</v>
      </c>
      <c r="DF183" s="179">
        <f t="shared" si="557"/>
        <v>5575035.6103708725</v>
      </c>
      <c r="DG183" s="179">
        <f t="shared" si="557"/>
        <v>5638798.9722191282</v>
      </c>
      <c r="DH183" s="179">
        <f t="shared" si="557"/>
        <v>5707310.8230974562</v>
      </c>
      <c r="DI183" s="179">
        <f t="shared" si="557"/>
        <v>5775822.6739757843</v>
      </c>
      <c r="DJ183" s="179">
        <f t="shared" si="557"/>
        <v>5837495.6155821346</v>
      </c>
      <c r="DK183" s="179">
        <f t="shared" si="557"/>
        <v>5909498.4439301193</v>
      </c>
      <c r="DL183" s="179">
        <f t="shared" si="557"/>
        <v>5976515.3587965285</v>
      </c>
      <c r="DM183" s="179">
        <f t="shared" si="557"/>
        <v>6048518.1871445132</v>
      </c>
      <c r="DN183" s="179">
        <f t="shared" si="557"/>
        <v>6115535.1020109225</v>
      </c>
      <c r="DO183" s="179">
        <f t="shared" si="557"/>
        <v>6187537.9303589072</v>
      </c>
      <c r="DP183" s="179">
        <f t="shared" si="557"/>
        <v>6259540.7587068919</v>
      </c>
      <c r="DQ183" s="179">
        <f t="shared" si="557"/>
        <v>6326557.6735733012</v>
      </c>
      <c r="DR183" s="179">
        <f t="shared" si="557"/>
        <v>6398560.5019212859</v>
      </c>
      <c r="DS183" s="179">
        <f t="shared" si="557"/>
        <v>6465577.4167876951</v>
      </c>
      <c r="DT183" s="179">
        <f t="shared" si="557"/>
        <v>6537580.2451356798</v>
      </c>
      <c r="DU183" s="179">
        <f t="shared" si="557"/>
        <v>6609583.0734836645</v>
      </c>
    </row>
  </sheetData>
  <customSheetViews>
    <customSheetView guid="{8575BA2F-1C78-4E30-AE5C-07AED6245426}" scale="80" showGridLines="0">
      <pane xSplit="2" ySplit="7" topLeftCell="D8" activePane="bottomRight" state="frozen"/>
      <selection pane="bottomRight" activeCell="E17" sqref="E17"/>
      <pageMargins left="0" right="0" top="0" bottom="0" header="0" footer="0"/>
      <pageSetup orientation="portrait" r:id="rId1"/>
    </customSheetView>
  </customSheetViews>
  <conditionalFormatting sqref="E18:E32 E36:E39 F36:M37 F18:M30 E51:G51 E48:E52 F31:BL32 F38:BL39 F52:BL52 E63:BL64 E54:BL59 E41:BL46 F48:BL50 F85:BL85 DU48:DV50 DU41:DV46 DU54:DV59 DU63:DV64 DU52:DV52 DU38:DV39 DU31:DV32 E86:BL109 DU85:DV109">
    <cfRule type="cellIs" dxfId="1064" priority="600" stopIfTrue="1" operator="lessThan">
      <formula>0</formula>
    </cfRule>
  </conditionalFormatting>
  <conditionalFormatting sqref="E63:E64 E55:E56 E48:E49 E17:AO17 E41:BL42 DU41:DV42">
    <cfRule type="expression" dxfId="1063" priority="599" stopIfTrue="1">
      <formula>#REF!="Outlook"</formula>
    </cfRule>
  </conditionalFormatting>
  <conditionalFormatting sqref="H8 H11:H12">
    <cfRule type="cellIs" dxfId="1062" priority="507" stopIfTrue="1" operator="lessThan">
      <formula>0</formula>
    </cfRule>
  </conditionalFormatting>
  <conditionalFormatting sqref="G8 G12">
    <cfRule type="cellIs" dxfId="1061" priority="474" stopIfTrue="1" operator="lessThan">
      <formula>0</formula>
    </cfRule>
  </conditionalFormatting>
  <conditionalFormatting sqref="F48:BL49 DU48:DV49">
    <cfRule type="expression" dxfId="1060" priority="460" stopIfTrue="1">
      <formula>#REF!="Outlook"</formula>
    </cfRule>
  </conditionalFormatting>
  <conditionalFormatting sqref="F55:BL56 F63:BL64 DU63:DV64 DU55:DV56">
    <cfRule type="expression" dxfId="1059" priority="458" stopIfTrue="1">
      <formula>#REF!="Outlook"</formula>
    </cfRule>
  </conditionalFormatting>
  <conditionalFormatting sqref="EE18:EE22 EE26:EE31 EE43:EE45 EE50:EE52 EE57:EE59 EE33:EE38 EE54">
    <cfRule type="cellIs" dxfId="1058" priority="378" stopIfTrue="1" operator="lessThan">
      <formula>0</formula>
    </cfRule>
  </conditionalFormatting>
  <conditionalFormatting sqref="EE17">
    <cfRule type="expression" dxfId="1057" priority="377" stopIfTrue="1">
      <formula>#REF!="Outlook"</formula>
    </cfRule>
  </conditionalFormatting>
  <conditionalFormatting sqref="EE24">
    <cfRule type="cellIs" dxfId="1056" priority="376" stopIfTrue="1" operator="lessThan">
      <formula>0</formula>
    </cfRule>
  </conditionalFormatting>
  <conditionalFormatting sqref="EE23">
    <cfRule type="cellIs" dxfId="1055" priority="375" stopIfTrue="1" operator="lessThan">
      <formula>0</formula>
    </cfRule>
  </conditionalFormatting>
  <conditionalFormatting sqref="EE25">
    <cfRule type="cellIs" dxfId="1054" priority="374" stopIfTrue="1" operator="lessThan">
      <formula>0</formula>
    </cfRule>
  </conditionalFormatting>
  <conditionalFormatting sqref="EE39">
    <cfRule type="cellIs" dxfId="1053" priority="373" stopIfTrue="1" operator="lessThan">
      <formula>0</formula>
    </cfRule>
  </conditionalFormatting>
  <conditionalFormatting sqref="EE42">
    <cfRule type="cellIs" dxfId="1052" priority="372" stopIfTrue="1" operator="lessThan">
      <formula>0</formula>
    </cfRule>
  </conditionalFormatting>
  <conditionalFormatting sqref="EE42">
    <cfRule type="expression" dxfId="1051" priority="371" stopIfTrue="1">
      <formula>#REF!="Outlook"</formula>
    </cfRule>
  </conditionalFormatting>
  <conditionalFormatting sqref="EE46">
    <cfRule type="cellIs" dxfId="1050" priority="370" stopIfTrue="1" operator="lessThan">
      <formula>0</formula>
    </cfRule>
  </conditionalFormatting>
  <conditionalFormatting sqref="EE49">
    <cfRule type="cellIs" dxfId="1049" priority="369" stopIfTrue="1" operator="lessThan">
      <formula>0</formula>
    </cfRule>
  </conditionalFormatting>
  <conditionalFormatting sqref="EE49">
    <cfRule type="expression" dxfId="1048" priority="368" stopIfTrue="1">
      <formula>#REF!="Outlook"</formula>
    </cfRule>
  </conditionalFormatting>
  <conditionalFormatting sqref="EE56">
    <cfRule type="cellIs" dxfId="1047" priority="367" stopIfTrue="1" operator="lessThan">
      <formula>0</formula>
    </cfRule>
  </conditionalFormatting>
  <conditionalFormatting sqref="EE56">
    <cfRule type="expression" dxfId="1046" priority="366" stopIfTrue="1">
      <formula>#REF!="Outlook"</formula>
    </cfRule>
  </conditionalFormatting>
  <conditionalFormatting sqref="EE64">
    <cfRule type="cellIs" dxfId="1045" priority="365" stopIfTrue="1" operator="lessThan">
      <formula>0</formula>
    </cfRule>
  </conditionalFormatting>
  <conditionalFormatting sqref="EE64">
    <cfRule type="expression" dxfId="1044" priority="364" stopIfTrue="1">
      <formula>#REF!="Outlook"</formula>
    </cfRule>
  </conditionalFormatting>
  <conditionalFormatting sqref="EE41">
    <cfRule type="cellIs" dxfId="1043" priority="363" stopIfTrue="1" operator="lessThan">
      <formula>0</formula>
    </cfRule>
  </conditionalFormatting>
  <conditionalFormatting sqref="EE48">
    <cfRule type="cellIs" dxfId="1042" priority="362" stopIfTrue="1" operator="lessThan">
      <formula>0</formula>
    </cfRule>
  </conditionalFormatting>
  <conditionalFormatting sqref="EE55">
    <cfRule type="cellIs" dxfId="1041" priority="361" stopIfTrue="1" operator="lessThan">
      <formula>0</formula>
    </cfRule>
  </conditionalFormatting>
  <conditionalFormatting sqref="EE63">
    <cfRule type="cellIs" dxfId="1040" priority="360" stopIfTrue="1" operator="lessThan">
      <formula>0</formula>
    </cfRule>
  </conditionalFormatting>
  <conditionalFormatting sqref="DZ26:ED31 DZ43:ED45 DZ50:ED52 DZ57:ED59 DZ33:ED38 DZ18:ED22 DZ54:ED54">
    <cfRule type="cellIs" dxfId="1039" priority="359" stopIfTrue="1" operator="lessThan">
      <formula>0</formula>
    </cfRule>
  </conditionalFormatting>
  <conditionalFormatting sqref="DZ17:ED17">
    <cfRule type="expression" dxfId="1038" priority="358" stopIfTrue="1">
      <formula>#REF!="Outlook"</formula>
    </cfRule>
  </conditionalFormatting>
  <conditionalFormatting sqref="DZ24">
    <cfRule type="cellIs" dxfId="1037" priority="357" stopIfTrue="1" operator="lessThan">
      <formula>0</formula>
    </cfRule>
  </conditionalFormatting>
  <conditionalFormatting sqref="DZ23:ED23">
    <cfRule type="cellIs" dxfId="1036" priority="356" stopIfTrue="1" operator="lessThan">
      <formula>0</formula>
    </cfRule>
  </conditionalFormatting>
  <conditionalFormatting sqref="DZ25">
    <cfRule type="cellIs" dxfId="1035" priority="355" stopIfTrue="1" operator="lessThan">
      <formula>0</formula>
    </cfRule>
  </conditionalFormatting>
  <conditionalFormatting sqref="DZ42">
    <cfRule type="cellIs" dxfId="1034" priority="354" stopIfTrue="1" operator="lessThan">
      <formula>0</formula>
    </cfRule>
  </conditionalFormatting>
  <conditionalFormatting sqref="DZ42">
    <cfRule type="expression" dxfId="1033" priority="353" stopIfTrue="1">
      <formula>#REF!="Outlook"</formula>
    </cfRule>
  </conditionalFormatting>
  <conditionalFormatting sqref="DZ46:ED46">
    <cfRule type="cellIs" dxfId="1032" priority="352" stopIfTrue="1" operator="lessThan">
      <formula>0</formula>
    </cfRule>
  </conditionalFormatting>
  <conditionalFormatting sqref="DZ49">
    <cfRule type="cellIs" dxfId="1031" priority="351" stopIfTrue="1" operator="lessThan">
      <formula>0</formula>
    </cfRule>
  </conditionalFormatting>
  <conditionalFormatting sqref="DZ49">
    <cfRule type="expression" dxfId="1030" priority="350" stopIfTrue="1">
      <formula>#REF!="Outlook"</formula>
    </cfRule>
  </conditionalFormatting>
  <conditionalFormatting sqref="DZ56">
    <cfRule type="cellIs" dxfId="1029" priority="349" stopIfTrue="1" operator="lessThan">
      <formula>0</formula>
    </cfRule>
  </conditionalFormatting>
  <conditionalFormatting sqref="DZ56">
    <cfRule type="expression" dxfId="1028" priority="348" stopIfTrue="1">
      <formula>#REF!="Outlook"</formula>
    </cfRule>
  </conditionalFormatting>
  <conditionalFormatting sqref="DZ64">
    <cfRule type="cellIs" dxfId="1027" priority="347" stopIfTrue="1" operator="lessThan">
      <formula>0</formula>
    </cfRule>
  </conditionalFormatting>
  <conditionalFormatting sqref="DZ64">
    <cfRule type="expression" dxfId="1026" priority="346" stopIfTrue="1">
      <formula>#REF!="Outlook"</formula>
    </cfRule>
  </conditionalFormatting>
  <conditionalFormatting sqref="DZ41">
    <cfRule type="cellIs" dxfId="1025" priority="345" stopIfTrue="1" operator="lessThan">
      <formula>0</formula>
    </cfRule>
  </conditionalFormatting>
  <conditionalFormatting sqref="DZ48">
    <cfRule type="cellIs" dxfId="1024" priority="344" stopIfTrue="1" operator="lessThan">
      <formula>0</formula>
    </cfRule>
  </conditionalFormatting>
  <conditionalFormatting sqref="DZ55">
    <cfRule type="cellIs" dxfId="1023" priority="343" stopIfTrue="1" operator="lessThan">
      <formula>0</formula>
    </cfRule>
  </conditionalFormatting>
  <conditionalFormatting sqref="DZ63">
    <cfRule type="cellIs" dxfId="1022" priority="342" stopIfTrue="1" operator="lessThan">
      <formula>0</formula>
    </cfRule>
  </conditionalFormatting>
  <conditionalFormatting sqref="DY18:DY22 DY26:DY31 DY43:DY45 DY50:DY52 DY57:DY59 DY33:DY38 DY54">
    <cfRule type="cellIs" dxfId="1021" priority="341" stopIfTrue="1" operator="lessThan">
      <formula>0</formula>
    </cfRule>
  </conditionalFormatting>
  <conditionalFormatting sqref="DY17">
    <cfRule type="expression" dxfId="1020" priority="340" stopIfTrue="1">
      <formula>#REF!="Outlook"</formula>
    </cfRule>
  </conditionalFormatting>
  <conditionalFormatting sqref="DY24">
    <cfRule type="cellIs" dxfId="1019" priority="339" stopIfTrue="1" operator="lessThan">
      <formula>0</formula>
    </cfRule>
  </conditionalFormatting>
  <conditionalFormatting sqref="DY23">
    <cfRule type="cellIs" dxfId="1018" priority="338" stopIfTrue="1" operator="lessThan">
      <formula>0</formula>
    </cfRule>
  </conditionalFormatting>
  <conditionalFormatting sqref="DY25">
    <cfRule type="cellIs" dxfId="1017" priority="337" stopIfTrue="1" operator="lessThan">
      <formula>0</formula>
    </cfRule>
  </conditionalFormatting>
  <conditionalFormatting sqref="DY42">
    <cfRule type="cellIs" dxfId="1016" priority="336" stopIfTrue="1" operator="lessThan">
      <formula>0</formula>
    </cfRule>
  </conditionalFormatting>
  <conditionalFormatting sqref="DY42">
    <cfRule type="expression" dxfId="1015" priority="335" stopIfTrue="1">
      <formula>#REF!="Outlook"</formula>
    </cfRule>
  </conditionalFormatting>
  <conditionalFormatting sqref="DY46">
    <cfRule type="cellIs" dxfId="1014" priority="334" stopIfTrue="1" operator="lessThan">
      <formula>0</formula>
    </cfRule>
  </conditionalFormatting>
  <conditionalFormatting sqref="DY49">
    <cfRule type="cellIs" dxfId="1013" priority="333" stopIfTrue="1" operator="lessThan">
      <formula>0</formula>
    </cfRule>
  </conditionalFormatting>
  <conditionalFormatting sqref="DY49">
    <cfRule type="expression" dxfId="1012" priority="332" stopIfTrue="1">
      <formula>#REF!="Outlook"</formula>
    </cfRule>
  </conditionalFormatting>
  <conditionalFormatting sqref="DY56">
    <cfRule type="cellIs" dxfId="1011" priority="331" stopIfTrue="1" operator="lessThan">
      <formula>0</formula>
    </cfRule>
  </conditionalFormatting>
  <conditionalFormatting sqref="DY56">
    <cfRule type="expression" dxfId="1010" priority="330" stopIfTrue="1">
      <formula>#REF!="Outlook"</formula>
    </cfRule>
  </conditionalFormatting>
  <conditionalFormatting sqref="DY64">
    <cfRule type="cellIs" dxfId="1009" priority="329" stopIfTrue="1" operator="lessThan">
      <formula>0</formula>
    </cfRule>
  </conditionalFormatting>
  <conditionalFormatting sqref="DY64">
    <cfRule type="expression" dxfId="1008" priority="328" stopIfTrue="1">
      <formula>#REF!="Outlook"</formula>
    </cfRule>
  </conditionalFormatting>
  <conditionalFormatting sqref="DY41">
    <cfRule type="cellIs" dxfId="1007" priority="327" stopIfTrue="1" operator="lessThan">
      <formula>0</formula>
    </cfRule>
  </conditionalFormatting>
  <conditionalFormatting sqref="DY48">
    <cfRule type="cellIs" dxfId="1006" priority="326" stopIfTrue="1" operator="lessThan">
      <formula>0</formula>
    </cfRule>
  </conditionalFormatting>
  <conditionalFormatting sqref="DY55">
    <cfRule type="cellIs" dxfId="1005" priority="325" stopIfTrue="1" operator="lessThan">
      <formula>0</formula>
    </cfRule>
  </conditionalFormatting>
  <conditionalFormatting sqref="DY63">
    <cfRule type="cellIs" dxfId="1004" priority="324" stopIfTrue="1" operator="lessThan">
      <formula>0</formula>
    </cfRule>
  </conditionalFormatting>
  <conditionalFormatting sqref="DX18:DX22 DX26:DX31 DX43:DX45 DX50:DX52 DX57:DX59 DX33:DX38 DX54">
    <cfRule type="cellIs" dxfId="1003" priority="323" stopIfTrue="1" operator="lessThan">
      <formula>0</formula>
    </cfRule>
  </conditionalFormatting>
  <conditionalFormatting sqref="DX17">
    <cfRule type="expression" dxfId="1002" priority="322" stopIfTrue="1">
      <formula>#REF!="Outlook"</formula>
    </cfRule>
  </conditionalFormatting>
  <conditionalFormatting sqref="DX24">
    <cfRule type="cellIs" dxfId="1001" priority="321" stopIfTrue="1" operator="lessThan">
      <formula>0</formula>
    </cfRule>
  </conditionalFormatting>
  <conditionalFormatting sqref="DX23">
    <cfRule type="cellIs" dxfId="1000" priority="320" stopIfTrue="1" operator="lessThan">
      <formula>0</formula>
    </cfRule>
  </conditionalFormatting>
  <conditionalFormatting sqref="DX25">
    <cfRule type="cellIs" dxfId="999" priority="319" stopIfTrue="1" operator="lessThan">
      <formula>0</formula>
    </cfRule>
  </conditionalFormatting>
  <conditionalFormatting sqref="DX42">
    <cfRule type="cellIs" dxfId="998" priority="318" stopIfTrue="1" operator="lessThan">
      <formula>0</formula>
    </cfRule>
  </conditionalFormatting>
  <conditionalFormatting sqref="DX42">
    <cfRule type="expression" dxfId="997" priority="317" stopIfTrue="1">
      <formula>#REF!="Outlook"</formula>
    </cfRule>
  </conditionalFormatting>
  <conditionalFormatting sqref="DX46">
    <cfRule type="cellIs" dxfId="996" priority="316" stopIfTrue="1" operator="lessThan">
      <formula>0</formula>
    </cfRule>
  </conditionalFormatting>
  <conditionalFormatting sqref="DX49">
    <cfRule type="cellIs" dxfId="995" priority="315" stopIfTrue="1" operator="lessThan">
      <formula>0</formula>
    </cfRule>
  </conditionalFormatting>
  <conditionalFormatting sqref="DX49">
    <cfRule type="expression" dxfId="994" priority="314" stopIfTrue="1">
      <formula>#REF!="Outlook"</formula>
    </cfRule>
  </conditionalFormatting>
  <conditionalFormatting sqref="DX56">
    <cfRule type="cellIs" dxfId="993" priority="313" stopIfTrue="1" operator="lessThan">
      <formula>0</formula>
    </cfRule>
  </conditionalFormatting>
  <conditionalFormatting sqref="DX56">
    <cfRule type="expression" dxfId="992" priority="312" stopIfTrue="1">
      <formula>#REF!="Outlook"</formula>
    </cfRule>
  </conditionalFormatting>
  <conditionalFormatting sqref="DX64">
    <cfRule type="cellIs" dxfId="991" priority="311" stopIfTrue="1" operator="lessThan">
      <formula>0</formula>
    </cfRule>
  </conditionalFormatting>
  <conditionalFormatting sqref="DX64">
    <cfRule type="expression" dxfId="990" priority="310" stopIfTrue="1">
      <formula>#REF!="Outlook"</formula>
    </cfRule>
  </conditionalFormatting>
  <conditionalFormatting sqref="DX41">
    <cfRule type="cellIs" dxfId="989" priority="309" stopIfTrue="1" operator="lessThan">
      <formula>0</formula>
    </cfRule>
  </conditionalFormatting>
  <conditionalFormatting sqref="DX48">
    <cfRule type="cellIs" dxfId="988" priority="308" stopIfTrue="1" operator="lessThan">
      <formula>0</formula>
    </cfRule>
  </conditionalFormatting>
  <conditionalFormatting sqref="DX55">
    <cfRule type="cellIs" dxfId="987" priority="307" stopIfTrue="1" operator="lessThan">
      <formula>0</formula>
    </cfRule>
  </conditionalFormatting>
  <conditionalFormatting sqref="DX63">
    <cfRule type="cellIs" dxfId="986" priority="306" stopIfTrue="1" operator="lessThan">
      <formula>0</formula>
    </cfRule>
  </conditionalFormatting>
  <conditionalFormatting sqref="DW18:DW22 DW26:DW31 DW43:DW45 DW50:DW52 DW57:DW59 DW33:DW38 DW54">
    <cfRule type="cellIs" dxfId="985" priority="305" stopIfTrue="1" operator="lessThan">
      <formula>0</formula>
    </cfRule>
  </conditionalFormatting>
  <conditionalFormatting sqref="DW24">
    <cfRule type="cellIs" dxfId="984" priority="303" stopIfTrue="1" operator="lessThan">
      <formula>0</formula>
    </cfRule>
  </conditionalFormatting>
  <conditionalFormatting sqref="DW23">
    <cfRule type="cellIs" dxfId="983" priority="302" stopIfTrue="1" operator="lessThan">
      <formula>0</formula>
    </cfRule>
  </conditionalFormatting>
  <conditionalFormatting sqref="DW25">
    <cfRule type="cellIs" dxfId="982" priority="301" stopIfTrue="1" operator="lessThan">
      <formula>0</formula>
    </cfRule>
  </conditionalFormatting>
  <conditionalFormatting sqref="DW42">
    <cfRule type="cellIs" dxfId="981" priority="300" stopIfTrue="1" operator="lessThan">
      <formula>0</formula>
    </cfRule>
  </conditionalFormatting>
  <conditionalFormatting sqref="DW42">
    <cfRule type="expression" dxfId="980" priority="299" stopIfTrue="1">
      <formula>#REF!="Outlook"</formula>
    </cfRule>
  </conditionalFormatting>
  <conditionalFormatting sqref="DW46">
    <cfRule type="cellIs" dxfId="979" priority="298" stopIfTrue="1" operator="lessThan">
      <formula>0</formula>
    </cfRule>
  </conditionalFormatting>
  <conditionalFormatting sqref="DW49">
    <cfRule type="cellIs" dxfId="978" priority="297" stopIfTrue="1" operator="lessThan">
      <formula>0</formula>
    </cfRule>
  </conditionalFormatting>
  <conditionalFormatting sqref="DW49">
    <cfRule type="expression" dxfId="977" priority="296" stopIfTrue="1">
      <formula>#REF!="Outlook"</formula>
    </cfRule>
  </conditionalFormatting>
  <conditionalFormatting sqref="DW56">
    <cfRule type="cellIs" dxfId="976" priority="295" stopIfTrue="1" operator="lessThan">
      <formula>0</formula>
    </cfRule>
  </conditionalFormatting>
  <conditionalFormatting sqref="DW56">
    <cfRule type="expression" dxfId="975" priority="294" stopIfTrue="1">
      <formula>#REF!="Outlook"</formula>
    </cfRule>
  </conditionalFormatting>
  <conditionalFormatting sqref="DW64">
    <cfRule type="cellIs" dxfId="974" priority="293" stopIfTrue="1" operator="lessThan">
      <formula>0</formula>
    </cfRule>
  </conditionalFormatting>
  <conditionalFormatting sqref="DW64">
    <cfRule type="expression" dxfId="973" priority="292" stopIfTrue="1">
      <formula>#REF!="Outlook"</formula>
    </cfRule>
  </conditionalFormatting>
  <conditionalFormatting sqref="DW41">
    <cfRule type="cellIs" dxfId="972" priority="291" stopIfTrue="1" operator="lessThan">
      <formula>0</formula>
    </cfRule>
  </conditionalFormatting>
  <conditionalFormatting sqref="DW48">
    <cfRule type="cellIs" dxfId="971" priority="290" stopIfTrue="1" operator="lessThan">
      <formula>0</formula>
    </cfRule>
  </conditionalFormatting>
  <conditionalFormatting sqref="DW55">
    <cfRule type="cellIs" dxfId="970" priority="289" stopIfTrue="1" operator="lessThan">
      <formula>0</formula>
    </cfRule>
  </conditionalFormatting>
  <conditionalFormatting sqref="DW63">
    <cfRule type="cellIs" dxfId="969" priority="288" stopIfTrue="1" operator="lessThan">
      <formula>0</formula>
    </cfRule>
  </conditionalFormatting>
  <conditionalFormatting sqref="EE32">
    <cfRule type="cellIs" dxfId="968" priority="287" stopIfTrue="1" operator="lessThan">
      <formula>0</formula>
    </cfRule>
  </conditionalFormatting>
  <conditionalFormatting sqref="DW32:ED32">
    <cfRule type="cellIs" dxfId="967" priority="286" stopIfTrue="1" operator="lessThan">
      <formula>0</formula>
    </cfRule>
  </conditionalFormatting>
  <conditionalFormatting sqref="DW39:ED39">
    <cfRule type="cellIs" dxfId="966" priority="285" stopIfTrue="1" operator="lessThan">
      <formula>0</formula>
    </cfRule>
  </conditionalFormatting>
  <conditionalFormatting sqref="H51:BL51 DU51:DV51">
    <cfRule type="cellIs" dxfId="965" priority="280" stopIfTrue="1" operator="lessThan">
      <formula>0</formula>
    </cfRule>
  </conditionalFormatting>
  <conditionalFormatting sqref="N24:AO24">
    <cfRule type="cellIs" dxfId="964" priority="274" stopIfTrue="1" operator="lessThan">
      <formula>0</formula>
    </cfRule>
  </conditionalFormatting>
  <conditionalFormatting sqref="N18:AO23 N25:AO25">
    <cfRule type="cellIs" dxfId="963" priority="275" stopIfTrue="1" operator="lessThan">
      <formula>0</formula>
    </cfRule>
  </conditionalFormatting>
  <conditionalFormatting sqref="N26:BL26 N28:BL30 DU28:DV30 DU26:DV26">
    <cfRule type="cellIs" dxfId="962" priority="273" stopIfTrue="1" operator="lessThan">
      <formula>0</formula>
    </cfRule>
  </conditionalFormatting>
  <conditionalFormatting sqref="N27:BL27 DU27:DV27">
    <cfRule type="cellIs" dxfId="961" priority="272" stopIfTrue="1" operator="lessThan">
      <formula>0</formula>
    </cfRule>
  </conditionalFormatting>
  <conditionalFormatting sqref="N36:BL37">
    <cfRule type="cellIs" dxfId="960" priority="271" stopIfTrue="1" operator="lessThan">
      <formula>0</formula>
    </cfRule>
  </conditionalFormatting>
  <conditionalFormatting sqref="I8:K8 I11:K12">
    <cfRule type="cellIs" dxfId="959" priority="266" stopIfTrue="1" operator="lessThan">
      <formula>0</formula>
    </cfRule>
  </conditionalFormatting>
  <conditionalFormatting sqref="DZ17">
    <cfRule type="expression" dxfId="958" priority="265" stopIfTrue="1">
      <formula>#REF!="Outlook"</formula>
    </cfRule>
  </conditionalFormatting>
  <conditionalFormatting sqref="DY17">
    <cfRule type="expression" dxfId="957" priority="264" stopIfTrue="1">
      <formula>#REF!="Outlook"</formula>
    </cfRule>
  </conditionalFormatting>
  <conditionalFormatting sqref="DX17">
    <cfRule type="expression" dxfId="956" priority="263" stopIfTrue="1">
      <formula>#REF!="Outlook"</formula>
    </cfRule>
  </conditionalFormatting>
  <conditionalFormatting sqref="EA24:ED24">
    <cfRule type="cellIs" dxfId="955" priority="262" stopIfTrue="1" operator="lessThan">
      <formula>0</formula>
    </cfRule>
  </conditionalFormatting>
  <conditionalFormatting sqref="EA25:ED25">
    <cfRule type="cellIs" dxfId="954" priority="261" stopIfTrue="1" operator="lessThan">
      <formula>0</formula>
    </cfRule>
  </conditionalFormatting>
  <conditionalFormatting sqref="EA42:ED42">
    <cfRule type="cellIs" dxfId="953" priority="260" stopIfTrue="1" operator="lessThan">
      <formula>0</formula>
    </cfRule>
  </conditionalFormatting>
  <conditionalFormatting sqref="EA42:ED42">
    <cfRule type="expression" dxfId="952" priority="259" stopIfTrue="1">
      <formula>#REF!="Outlook"</formula>
    </cfRule>
  </conditionalFormatting>
  <conditionalFormatting sqref="EA41:ED41">
    <cfRule type="cellIs" dxfId="951" priority="258" stopIfTrue="1" operator="lessThan">
      <formula>0</formula>
    </cfRule>
  </conditionalFormatting>
  <conditionalFormatting sqref="EA49:ED49">
    <cfRule type="cellIs" dxfId="950" priority="257" stopIfTrue="1" operator="lessThan">
      <formula>0</formula>
    </cfRule>
  </conditionalFormatting>
  <conditionalFormatting sqref="EA49:ED49">
    <cfRule type="expression" dxfId="949" priority="256" stopIfTrue="1">
      <formula>#REF!="Outlook"</formula>
    </cfRule>
  </conditionalFormatting>
  <conditionalFormatting sqref="EA48:ED48">
    <cfRule type="cellIs" dxfId="948" priority="255" stopIfTrue="1" operator="lessThan">
      <formula>0</formula>
    </cfRule>
  </conditionalFormatting>
  <conditionalFormatting sqref="EA56:ED56">
    <cfRule type="cellIs" dxfId="947" priority="254" stopIfTrue="1" operator="lessThan">
      <formula>0</formula>
    </cfRule>
  </conditionalFormatting>
  <conditionalFormatting sqref="EA56:ED56">
    <cfRule type="expression" dxfId="946" priority="253" stopIfTrue="1">
      <formula>#REF!="Outlook"</formula>
    </cfRule>
  </conditionalFormatting>
  <conditionalFormatting sqref="EA55:ED55">
    <cfRule type="cellIs" dxfId="945" priority="252" stopIfTrue="1" operator="lessThan">
      <formula>0</formula>
    </cfRule>
  </conditionalFormatting>
  <conditionalFormatting sqref="EA64:ED64">
    <cfRule type="cellIs" dxfId="944" priority="251" stopIfTrue="1" operator="lessThan">
      <formula>0</formula>
    </cfRule>
  </conditionalFormatting>
  <conditionalFormatting sqref="EA64:ED64">
    <cfRule type="expression" dxfId="943" priority="250" stopIfTrue="1">
      <formula>#REF!="Outlook"</formula>
    </cfRule>
  </conditionalFormatting>
  <conditionalFormatting sqref="EA63:ED63">
    <cfRule type="cellIs" dxfId="942" priority="249" stopIfTrue="1" operator="lessThan">
      <formula>0</formula>
    </cfRule>
  </conditionalFormatting>
  <conditionalFormatting sqref="G11">
    <cfRule type="cellIs" dxfId="941" priority="244" stopIfTrue="1" operator="lessThan">
      <formula>0</formula>
    </cfRule>
  </conditionalFormatting>
  <conditionalFormatting sqref="D8:F8 D12 F12">
    <cfRule type="cellIs" dxfId="940" priority="242" stopIfTrue="1" operator="lessThan">
      <formula>0</formula>
    </cfRule>
  </conditionalFormatting>
  <conditionalFormatting sqref="D11 F11">
    <cfRule type="cellIs" dxfId="939" priority="240" stopIfTrue="1" operator="lessThan">
      <formula>0</formula>
    </cfRule>
  </conditionalFormatting>
  <conditionalFormatting sqref="L8:N8 L11:N12">
    <cfRule type="cellIs" dxfId="938" priority="239" stopIfTrue="1" operator="lessThan">
      <formula>0</formula>
    </cfRule>
  </conditionalFormatting>
  <conditionalFormatting sqref="EH18:EH22 EH26:EH31 EH43:EH45 EH50:EH52 EH57:EH59 EH33:EH38 EH54">
    <cfRule type="cellIs" dxfId="937" priority="238" stopIfTrue="1" operator="lessThan">
      <formula>0</formula>
    </cfRule>
  </conditionalFormatting>
  <conditionalFormatting sqref="EH17">
    <cfRule type="expression" dxfId="936" priority="237" stopIfTrue="1">
      <formula>#REF!="Outlook"</formula>
    </cfRule>
  </conditionalFormatting>
  <conditionalFormatting sqref="EH24">
    <cfRule type="cellIs" dxfId="935" priority="236" stopIfTrue="1" operator="lessThan">
      <formula>0</formula>
    </cfRule>
  </conditionalFormatting>
  <conditionalFormatting sqref="EH23">
    <cfRule type="cellIs" dxfId="934" priority="235" stopIfTrue="1" operator="lessThan">
      <formula>0</formula>
    </cfRule>
  </conditionalFormatting>
  <conditionalFormatting sqref="EH25">
    <cfRule type="cellIs" dxfId="933" priority="234" stopIfTrue="1" operator="lessThan">
      <formula>0</formula>
    </cfRule>
  </conditionalFormatting>
  <conditionalFormatting sqref="EH39">
    <cfRule type="cellIs" dxfId="932" priority="233" stopIfTrue="1" operator="lessThan">
      <formula>0</formula>
    </cfRule>
  </conditionalFormatting>
  <conditionalFormatting sqref="EH42">
    <cfRule type="cellIs" dxfId="931" priority="232" stopIfTrue="1" operator="lessThan">
      <formula>0</formula>
    </cfRule>
  </conditionalFormatting>
  <conditionalFormatting sqref="EH42">
    <cfRule type="expression" dxfId="930" priority="231" stopIfTrue="1">
      <formula>#REF!="Outlook"</formula>
    </cfRule>
  </conditionalFormatting>
  <conditionalFormatting sqref="EH46">
    <cfRule type="cellIs" dxfId="929" priority="230" stopIfTrue="1" operator="lessThan">
      <formula>0</formula>
    </cfRule>
  </conditionalFormatting>
  <conditionalFormatting sqref="EH49">
    <cfRule type="cellIs" dxfId="928" priority="229" stopIfTrue="1" operator="lessThan">
      <formula>0</formula>
    </cfRule>
  </conditionalFormatting>
  <conditionalFormatting sqref="EH49">
    <cfRule type="expression" dxfId="927" priority="228" stopIfTrue="1">
      <formula>#REF!="Outlook"</formula>
    </cfRule>
  </conditionalFormatting>
  <conditionalFormatting sqref="EH56">
    <cfRule type="cellIs" dxfId="926" priority="227" stopIfTrue="1" operator="lessThan">
      <formula>0</formula>
    </cfRule>
  </conditionalFormatting>
  <conditionalFormatting sqref="EH56">
    <cfRule type="expression" dxfId="925" priority="226" stopIfTrue="1">
      <formula>#REF!="Outlook"</formula>
    </cfRule>
  </conditionalFormatting>
  <conditionalFormatting sqref="EH64">
    <cfRule type="cellIs" dxfId="924" priority="225" stopIfTrue="1" operator="lessThan">
      <formula>0</formula>
    </cfRule>
  </conditionalFormatting>
  <conditionalFormatting sqref="EH64">
    <cfRule type="expression" dxfId="923" priority="224" stopIfTrue="1">
      <formula>#REF!="Outlook"</formula>
    </cfRule>
  </conditionalFormatting>
  <conditionalFormatting sqref="EH41">
    <cfRule type="cellIs" dxfId="922" priority="223" stopIfTrue="1" operator="lessThan">
      <formula>0</formula>
    </cfRule>
  </conditionalFormatting>
  <conditionalFormatting sqref="EH48">
    <cfRule type="cellIs" dxfId="921" priority="222" stopIfTrue="1" operator="lessThan">
      <formula>0</formula>
    </cfRule>
  </conditionalFormatting>
  <conditionalFormatting sqref="EH55">
    <cfRule type="cellIs" dxfId="920" priority="221" stopIfTrue="1" operator="lessThan">
      <formula>0</formula>
    </cfRule>
  </conditionalFormatting>
  <conditionalFormatting sqref="EH63">
    <cfRule type="cellIs" dxfId="919" priority="220" stopIfTrue="1" operator="lessThan">
      <formula>0</formula>
    </cfRule>
  </conditionalFormatting>
  <conditionalFormatting sqref="EF26:EG31 EF43:EG45 EF50:EG52 EF57:EG59 EF33:EG38 EF18:EG22 EF54:EG54">
    <cfRule type="cellIs" dxfId="918" priority="219" stopIfTrue="1" operator="lessThan">
      <formula>0</formula>
    </cfRule>
  </conditionalFormatting>
  <conditionalFormatting sqref="EF17:EG17">
    <cfRule type="expression" dxfId="917" priority="218" stopIfTrue="1">
      <formula>#REF!="Outlook"</formula>
    </cfRule>
  </conditionalFormatting>
  <conditionalFormatting sqref="EF23:EG23">
    <cfRule type="cellIs" dxfId="916" priority="217" stopIfTrue="1" operator="lessThan">
      <formula>0</formula>
    </cfRule>
  </conditionalFormatting>
  <conditionalFormatting sqref="EF46:EG46">
    <cfRule type="cellIs" dxfId="915" priority="216" stopIfTrue="1" operator="lessThan">
      <formula>0</formula>
    </cfRule>
  </conditionalFormatting>
  <conditionalFormatting sqref="EH32">
    <cfRule type="cellIs" dxfId="914" priority="215" stopIfTrue="1" operator="lessThan">
      <formula>0</formula>
    </cfRule>
  </conditionalFormatting>
  <conditionalFormatting sqref="EF32:EG32">
    <cfRule type="cellIs" dxfId="913" priority="214" stopIfTrue="1" operator="lessThan">
      <formula>0</formula>
    </cfRule>
  </conditionalFormatting>
  <conditionalFormatting sqref="EF39:EG39">
    <cfRule type="cellIs" dxfId="912" priority="213" stopIfTrue="1" operator="lessThan">
      <formula>0</formula>
    </cfRule>
  </conditionalFormatting>
  <conditionalFormatting sqref="EF24:EG24">
    <cfRule type="cellIs" dxfId="911" priority="212" stopIfTrue="1" operator="lessThan">
      <formula>0</formula>
    </cfRule>
  </conditionalFormatting>
  <conditionalFormatting sqref="EF25:EG25">
    <cfRule type="cellIs" dxfId="910" priority="211" stopIfTrue="1" operator="lessThan">
      <formula>0</formula>
    </cfRule>
  </conditionalFormatting>
  <conditionalFormatting sqref="EF42:EG42">
    <cfRule type="cellIs" dxfId="909" priority="210" stopIfTrue="1" operator="lessThan">
      <formula>0</formula>
    </cfRule>
  </conditionalFormatting>
  <conditionalFormatting sqref="EF42:EG42">
    <cfRule type="expression" dxfId="908" priority="209" stopIfTrue="1">
      <formula>#REF!="Outlook"</formula>
    </cfRule>
  </conditionalFormatting>
  <conditionalFormatting sqref="EF41:EG41">
    <cfRule type="cellIs" dxfId="907" priority="208" stopIfTrue="1" operator="lessThan">
      <formula>0</formula>
    </cfRule>
  </conditionalFormatting>
  <conditionalFormatting sqref="EF49:EG49">
    <cfRule type="cellIs" dxfId="906" priority="207" stopIfTrue="1" operator="lessThan">
      <formula>0</formula>
    </cfRule>
  </conditionalFormatting>
  <conditionalFormatting sqref="EF49:EG49">
    <cfRule type="expression" dxfId="905" priority="206" stopIfTrue="1">
      <formula>#REF!="Outlook"</formula>
    </cfRule>
  </conditionalFormatting>
  <conditionalFormatting sqref="EF48:EG48">
    <cfRule type="cellIs" dxfId="904" priority="205" stopIfTrue="1" operator="lessThan">
      <formula>0</formula>
    </cfRule>
  </conditionalFormatting>
  <conditionalFormatting sqref="EF56:EG56">
    <cfRule type="cellIs" dxfId="903" priority="204" stopIfTrue="1" operator="lessThan">
      <formula>0</formula>
    </cfRule>
  </conditionalFormatting>
  <conditionalFormatting sqref="EF56:EG56">
    <cfRule type="expression" dxfId="902" priority="203" stopIfTrue="1">
      <formula>#REF!="Outlook"</formula>
    </cfRule>
  </conditionalFormatting>
  <conditionalFormatting sqref="EF55:EG55">
    <cfRule type="cellIs" dxfId="901" priority="202" stopIfTrue="1" operator="lessThan">
      <formula>0</formula>
    </cfRule>
  </conditionalFormatting>
  <conditionalFormatting sqref="EF64:EG64">
    <cfRule type="cellIs" dxfId="900" priority="201" stopIfTrue="1" operator="lessThan">
      <formula>0</formula>
    </cfRule>
  </conditionalFormatting>
  <conditionalFormatting sqref="EF64:EG64">
    <cfRule type="expression" dxfId="899" priority="200" stopIfTrue="1">
      <formula>#REF!="Outlook"</formula>
    </cfRule>
  </conditionalFormatting>
  <conditionalFormatting sqref="EF63:EG63">
    <cfRule type="cellIs" dxfId="898" priority="199" stopIfTrue="1" operator="lessThan">
      <formula>0</formula>
    </cfRule>
  </conditionalFormatting>
  <conditionalFormatting sqref="AP17:BL17 DU17:DV17">
    <cfRule type="expression" dxfId="897" priority="198" stopIfTrue="1">
      <formula>#REF!="Outlook"</formula>
    </cfRule>
  </conditionalFormatting>
  <conditionalFormatting sqref="AP24:BL24 DU24:DV24">
    <cfRule type="cellIs" dxfId="896" priority="195" stopIfTrue="1" operator="lessThan">
      <formula>0</formula>
    </cfRule>
  </conditionalFormatting>
  <conditionalFormatting sqref="AP25:BL25 DU25:DV25 AP18:DV23">
    <cfRule type="cellIs" dxfId="895" priority="196" stopIfTrue="1" operator="lessThan">
      <formula>0</formula>
    </cfRule>
  </conditionalFormatting>
  <conditionalFormatting sqref="E60:BL61 DU60:DV61">
    <cfRule type="cellIs" dxfId="894" priority="193" stopIfTrue="1" operator="lessThan">
      <formula>0</formula>
    </cfRule>
  </conditionalFormatting>
  <conditionalFormatting sqref="E60:E61">
    <cfRule type="expression" dxfId="893" priority="192" stopIfTrue="1">
      <formula>#REF!="Outlook"</formula>
    </cfRule>
  </conditionalFormatting>
  <conditionalFormatting sqref="F60:BL61 DU60:DV61">
    <cfRule type="expression" dxfId="892" priority="191" stopIfTrue="1">
      <formula>#REF!="Outlook"</formula>
    </cfRule>
  </conditionalFormatting>
  <conditionalFormatting sqref="EE61">
    <cfRule type="cellIs" dxfId="891" priority="190" stopIfTrue="1" operator="lessThan">
      <formula>0</formula>
    </cfRule>
  </conditionalFormatting>
  <conditionalFormatting sqref="EE61">
    <cfRule type="expression" dxfId="890" priority="189" stopIfTrue="1">
      <formula>#REF!="Outlook"</formula>
    </cfRule>
  </conditionalFormatting>
  <conditionalFormatting sqref="EE60">
    <cfRule type="cellIs" dxfId="889" priority="188" stopIfTrue="1" operator="lessThan">
      <formula>0</formula>
    </cfRule>
  </conditionalFormatting>
  <conditionalFormatting sqref="DZ61">
    <cfRule type="cellIs" dxfId="888" priority="187" stopIfTrue="1" operator="lessThan">
      <formula>0</formula>
    </cfRule>
  </conditionalFormatting>
  <conditionalFormatting sqref="DZ61">
    <cfRule type="expression" dxfId="887" priority="186" stopIfTrue="1">
      <formula>#REF!="Outlook"</formula>
    </cfRule>
  </conditionalFormatting>
  <conditionalFormatting sqref="DZ60">
    <cfRule type="cellIs" dxfId="886" priority="185" stopIfTrue="1" operator="lessThan">
      <formula>0</formula>
    </cfRule>
  </conditionalFormatting>
  <conditionalFormatting sqref="DY61">
    <cfRule type="cellIs" dxfId="885" priority="184" stopIfTrue="1" operator="lessThan">
      <formula>0</formula>
    </cfRule>
  </conditionalFormatting>
  <conditionalFormatting sqref="DY61">
    <cfRule type="expression" dxfId="884" priority="183" stopIfTrue="1">
      <formula>#REF!="Outlook"</formula>
    </cfRule>
  </conditionalFormatting>
  <conditionalFormatting sqref="DY60">
    <cfRule type="cellIs" dxfId="883" priority="182" stopIfTrue="1" operator="lessThan">
      <formula>0</formula>
    </cfRule>
  </conditionalFormatting>
  <conditionalFormatting sqref="DX61">
    <cfRule type="cellIs" dxfId="882" priority="181" stopIfTrue="1" operator="lessThan">
      <formula>0</formula>
    </cfRule>
  </conditionalFormatting>
  <conditionalFormatting sqref="DX61">
    <cfRule type="expression" dxfId="881" priority="180" stopIfTrue="1">
      <formula>#REF!="Outlook"</formula>
    </cfRule>
  </conditionalFormatting>
  <conditionalFormatting sqref="DX60">
    <cfRule type="cellIs" dxfId="880" priority="179" stopIfTrue="1" operator="lessThan">
      <formula>0</formula>
    </cfRule>
  </conditionalFormatting>
  <conditionalFormatting sqref="DW61">
    <cfRule type="cellIs" dxfId="879" priority="178" stopIfTrue="1" operator="lessThan">
      <formula>0</formula>
    </cfRule>
  </conditionalFormatting>
  <conditionalFormatting sqref="DW61">
    <cfRule type="expression" dxfId="878" priority="177" stopIfTrue="1">
      <formula>#REF!="Outlook"</formula>
    </cfRule>
  </conditionalFormatting>
  <conditionalFormatting sqref="DW60">
    <cfRule type="cellIs" dxfId="877" priority="176" stopIfTrue="1" operator="lessThan">
      <formula>0</formula>
    </cfRule>
  </conditionalFormatting>
  <conditionalFormatting sqref="EA61:ED61">
    <cfRule type="cellIs" dxfId="876" priority="175" stopIfTrue="1" operator="lessThan">
      <formula>0</formula>
    </cfRule>
  </conditionalFormatting>
  <conditionalFormatting sqref="EA61:ED61">
    <cfRule type="expression" dxfId="875" priority="174" stopIfTrue="1">
      <formula>#REF!="Outlook"</formula>
    </cfRule>
  </conditionalFormatting>
  <conditionalFormatting sqref="EA60:ED60">
    <cfRule type="cellIs" dxfId="874" priority="173" stopIfTrue="1" operator="lessThan">
      <formula>0</formula>
    </cfRule>
  </conditionalFormatting>
  <conditionalFormatting sqref="EH61">
    <cfRule type="cellIs" dxfId="873" priority="172" stopIfTrue="1" operator="lessThan">
      <formula>0</formula>
    </cfRule>
  </conditionalFormatting>
  <conditionalFormatting sqref="EH61">
    <cfRule type="expression" dxfId="872" priority="171" stopIfTrue="1">
      <formula>#REF!="Outlook"</formula>
    </cfRule>
  </conditionalFormatting>
  <conditionalFormatting sqref="EH60">
    <cfRule type="cellIs" dxfId="871" priority="170" stopIfTrue="1" operator="lessThan">
      <formula>0</formula>
    </cfRule>
  </conditionalFormatting>
  <conditionalFormatting sqref="EF61:EG61">
    <cfRule type="cellIs" dxfId="870" priority="169" stopIfTrue="1" operator="lessThan">
      <formula>0</formula>
    </cfRule>
  </conditionalFormatting>
  <conditionalFormatting sqref="EF61:EG61">
    <cfRule type="expression" dxfId="869" priority="168" stopIfTrue="1">
      <formula>#REF!="Outlook"</formula>
    </cfRule>
  </conditionalFormatting>
  <conditionalFormatting sqref="EF60:EG60">
    <cfRule type="cellIs" dxfId="868" priority="167" stopIfTrue="1" operator="lessThan">
      <formula>0</formula>
    </cfRule>
  </conditionalFormatting>
  <conditionalFormatting sqref="E34:G34">
    <cfRule type="cellIs" dxfId="867" priority="161" stopIfTrue="1" operator="lessThan">
      <formula>0</formula>
    </cfRule>
  </conditionalFormatting>
  <conditionalFormatting sqref="H34:BL34">
    <cfRule type="cellIs" dxfId="866" priority="160" stopIfTrue="1" operator="lessThan">
      <formula>0</formula>
    </cfRule>
  </conditionalFormatting>
  <conditionalFormatting sqref="E33:G33">
    <cfRule type="cellIs" dxfId="865" priority="159" stopIfTrue="1" operator="lessThan">
      <formula>0</formula>
    </cfRule>
  </conditionalFormatting>
  <conditionalFormatting sqref="H33:BL33">
    <cfRule type="cellIs" dxfId="864" priority="158" stopIfTrue="1" operator="lessThan">
      <formula>0</formula>
    </cfRule>
  </conditionalFormatting>
  <conditionalFormatting sqref="E35:G35">
    <cfRule type="cellIs" dxfId="863" priority="157" stopIfTrue="1" operator="lessThan">
      <formula>0</formula>
    </cfRule>
  </conditionalFormatting>
  <conditionalFormatting sqref="H35:BL35">
    <cfRule type="cellIs" dxfId="862" priority="156" stopIfTrue="1" operator="lessThan">
      <formula>0</formula>
    </cfRule>
  </conditionalFormatting>
  <conditionalFormatting sqref="H9:H10">
    <cfRule type="cellIs" dxfId="861" priority="155" stopIfTrue="1" operator="lessThan">
      <formula>0</formula>
    </cfRule>
  </conditionalFormatting>
  <conditionalFormatting sqref="G9:G10">
    <cfRule type="cellIs" dxfId="860" priority="154" stopIfTrue="1" operator="lessThan">
      <formula>0</formula>
    </cfRule>
  </conditionalFormatting>
  <conditionalFormatting sqref="I9:K10">
    <cfRule type="cellIs" dxfId="859" priority="153" stopIfTrue="1" operator="lessThan">
      <formula>0</formula>
    </cfRule>
  </conditionalFormatting>
  <conditionalFormatting sqref="D9:F10">
    <cfRule type="cellIs" dxfId="858" priority="152" stopIfTrue="1" operator="lessThan">
      <formula>0</formula>
    </cfRule>
  </conditionalFormatting>
  <conditionalFormatting sqref="L9:N10">
    <cfRule type="cellIs" dxfId="857" priority="151" stopIfTrue="1" operator="lessThan">
      <formula>0</formula>
    </cfRule>
  </conditionalFormatting>
  <conditionalFormatting sqref="E66:BL66 DU66:DV66">
    <cfRule type="cellIs" dxfId="856" priority="150" stopIfTrue="1" operator="lessThan">
      <formula>0</formula>
    </cfRule>
  </conditionalFormatting>
  <conditionalFormatting sqref="E66">
    <cfRule type="expression" dxfId="855" priority="149" stopIfTrue="1">
      <formula>#REF!="Outlook"</formula>
    </cfRule>
  </conditionalFormatting>
  <conditionalFormatting sqref="F66:BL66 DU66:DV66">
    <cfRule type="expression" dxfId="854" priority="148" stopIfTrue="1">
      <formula>#REF!="Outlook"</formula>
    </cfRule>
  </conditionalFormatting>
  <conditionalFormatting sqref="EE66">
    <cfRule type="cellIs" dxfId="853" priority="147" stopIfTrue="1" operator="lessThan">
      <formula>0</formula>
    </cfRule>
  </conditionalFormatting>
  <conditionalFormatting sqref="DZ66">
    <cfRule type="cellIs" dxfId="852" priority="146" stopIfTrue="1" operator="lessThan">
      <formula>0</formula>
    </cfRule>
  </conditionalFormatting>
  <conditionalFormatting sqref="DY66">
    <cfRule type="cellIs" dxfId="851" priority="145" stopIfTrue="1" operator="lessThan">
      <formula>0</formula>
    </cfRule>
  </conditionalFormatting>
  <conditionalFormatting sqref="DX66">
    <cfRule type="cellIs" dxfId="850" priority="144" stopIfTrue="1" operator="lessThan">
      <formula>0</formula>
    </cfRule>
  </conditionalFormatting>
  <conditionalFormatting sqref="DW66">
    <cfRule type="cellIs" dxfId="849" priority="143" stopIfTrue="1" operator="lessThan">
      <formula>0</formula>
    </cfRule>
  </conditionalFormatting>
  <conditionalFormatting sqref="EA66:ED66">
    <cfRule type="cellIs" dxfId="848" priority="142" stopIfTrue="1" operator="lessThan">
      <formula>0</formula>
    </cfRule>
  </conditionalFormatting>
  <conditionalFormatting sqref="EH66">
    <cfRule type="cellIs" dxfId="847" priority="141" stopIfTrue="1" operator="lessThan">
      <formula>0</formula>
    </cfRule>
  </conditionalFormatting>
  <conditionalFormatting sqref="EF66:EG66">
    <cfRule type="cellIs" dxfId="846" priority="140" stopIfTrue="1" operator="lessThan">
      <formula>0</formula>
    </cfRule>
  </conditionalFormatting>
  <conditionalFormatting sqref="E53:BL53 DU53:DV53">
    <cfRule type="cellIs" dxfId="845" priority="139" stopIfTrue="1" operator="lessThan">
      <formula>0</formula>
    </cfRule>
  </conditionalFormatting>
  <conditionalFormatting sqref="EE53">
    <cfRule type="cellIs" dxfId="844" priority="138" stopIfTrue="1" operator="lessThan">
      <formula>0</formula>
    </cfRule>
  </conditionalFormatting>
  <conditionalFormatting sqref="DZ53:ED53">
    <cfRule type="cellIs" dxfId="843" priority="137" stopIfTrue="1" operator="lessThan">
      <formula>0</formula>
    </cfRule>
  </conditionalFormatting>
  <conditionalFormatting sqref="DY53">
    <cfRule type="cellIs" dxfId="842" priority="136" stopIfTrue="1" operator="lessThan">
      <formula>0</formula>
    </cfRule>
  </conditionalFormatting>
  <conditionalFormatting sqref="DX53">
    <cfRule type="cellIs" dxfId="841" priority="135" stopIfTrue="1" operator="lessThan">
      <formula>0</formula>
    </cfRule>
  </conditionalFormatting>
  <conditionalFormatting sqref="DW53">
    <cfRule type="cellIs" dxfId="840" priority="134" stopIfTrue="1" operator="lessThan">
      <formula>0</formula>
    </cfRule>
  </conditionalFormatting>
  <conditionalFormatting sqref="EH53">
    <cfRule type="cellIs" dxfId="839" priority="133" stopIfTrue="1" operator="lessThan">
      <formula>0</formula>
    </cfRule>
  </conditionalFormatting>
  <conditionalFormatting sqref="EF53:EG53">
    <cfRule type="cellIs" dxfId="838" priority="132" stopIfTrue="1" operator="lessThan">
      <formula>0</formula>
    </cfRule>
  </conditionalFormatting>
  <conditionalFormatting sqref="C63:D64 C54:D59 C85:D109 C18:D39 C41:D46 C48:D52 E85">
    <cfRule type="cellIs" dxfId="837" priority="131" stopIfTrue="1" operator="lessThan">
      <formula>0</formula>
    </cfRule>
  </conditionalFormatting>
  <conditionalFormatting sqref="C41:D42 C17:D17">
    <cfRule type="expression" dxfId="836" priority="130" stopIfTrue="1">
      <formula>#REF!="Outlook"</formula>
    </cfRule>
  </conditionalFormatting>
  <conditionalFormatting sqref="C48:D49">
    <cfRule type="expression" dxfId="835" priority="129" stopIfTrue="1">
      <formula>#REF!="Outlook"</formula>
    </cfRule>
  </conditionalFormatting>
  <conditionalFormatting sqref="C55:D56 C63:D64">
    <cfRule type="expression" dxfId="834" priority="128" stopIfTrue="1">
      <formula>#REF!="Outlook"</formula>
    </cfRule>
  </conditionalFormatting>
  <conditionalFormatting sqref="C60:D61">
    <cfRule type="cellIs" dxfId="833" priority="124" stopIfTrue="1" operator="lessThan">
      <formula>0</formula>
    </cfRule>
  </conditionalFormatting>
  <conditionalFormatting sqref="C60:D61">
    <cfRule type="expression" dxfId="832" priority="123" stopIfTrue="1">
      <formula>#REF!="Outlook"</formula>
    </cfRule>
  </conditionalFormatting>
  <conditionalFormatting sqref="C53:D53">
    <cfRule type="cellIs" dxfId="831" priority="115" stopIfTrue="1" operator="lessThan">
      <formula>0</formula>
    </cfRule>
  </conditionalFormatting>
  <conditionalFormatting sqref="C66:D66">
    <cfRule type="cellIs" dxfId="830" priority="117" stopIfTrue="1" operator="lessThan">
      <formula>0</formula>
    </cfRule>
  </conditionalFormatting>
  <conditionalFormatting sqref="C66:D66">
    <cfRule type="expression" dxfId="829" priority="116" stopIfTrue="1">
      <formula>#REF!="Outlook"</formula>
    </cfRule>
  </conditionalFormatting>
  <conditionalFormatting sqref="C8">
    <cfRule type="cellIs" dxfId="828" priority="114" stopIfTrue="1" operator="lessThan">
      <formula>0</formula>
    </cfRule>
  </conditionalFormatting>
  <conditionalFormatting sqref="C10">
    <cfRule type="cellIs" dxfId="827" priority="110" stopIfTrue="1" operator="lessThan">
      <formula>0</formula>
    </cfRule>
  </conditionalFormatting>
  <conditionalFormatting sqref="C12">
    <cfRule type="cellIs" dxfId="826" priority="108" stopIfTrue="1" operator="lessThan">
      <formula>0</formula>
    </cfRule>
  </conditionalFormatting>
  <conditionalFormatting sqref="C9">
    <cfRule type="cellIs" dxfId="825" priority="106" stopIfTrue="1" operator="lessThan">
      <formula>0</formula>
    </cfRule>
  </conditionalFormatting>
  <conditionalFormatting sqref="C11">
    <cfRule type="cellIs" dxfId="824" priority="104" stopIfTrue="1" operator="lessThan">
      <formula>0</formula>
    </cfRule>
  </conditionalFormatting>
  <conditionalFormatting sqref="F110:BL110 DU110:DV110">
    <cfRule type="cellIs" dxfId="823" priority="99" stopIfTrue="1" operator="lessThan">
      <formula>0</formula>
    </cfRule>
  </conditionalFormatting>
  <conditionalFormatting sqref="E110">
    <cfRule type="cellIs" dxfId="822" priority="97" stopIfTrue="1" operator="lessThan">
      <formula>0</formula>
    </cfRule>
  </conditionalFormatting>
  <conditionalFormatting sqref="AO110">
    <cfRule type="cellIs" dxfId="821" priority="96" stopIfTrue="1" operator="lessThan">
      <formula>0</formula>
    </cfRule>
  </conditionalFormatting>
  <conditionalFormatting sqref="AD110">
    <cfRule type="cellIs" dxfId="820" priority="95" stopIfTrue="1" operator="lessThan">
      <formula>0</formula>
    </cfRule>
  </conditionalFormatting>
  <conditionalFormatting sqref="C110">
    <cfRule type="cellIs" dxfId="819" priority="94" stopIfTrue="1" operator="lessThan">
      <formula>0</formula>
    </cfRule>
  </conditionalFormatting>
  <conditionalFormatting sqref="D110">
    <cfRule type="cellIs" dxfId="818" priority="93" stopIfTrue="1" operator="lessThan">
      <formula>0</formula>
    </cfRule>
  </conditionalFormatting>
  <conditionalFormatting sqref="EE173">
    <cfRule type="cellIs" dxfId="817" priority="91" stopIfTrue="1" operator="lessThan">
      <formula>0</formula>
    </cfRule>
  </conditionalFormatting>
  <conditionalFormatting sqref="DZ173:ED173">
    <cfRule type="cellIs" dxfId="816" priority="90" stopIfTrue="1" operator="lessThan">
      <formula>0</formula>
    </cfRule>
  </conditionalFormatting>
  <conditionalFormatting sqref="DY173">
    <cfRule type="cellIs" dxfId="815" priority="89" stopIfTrue="1" operator="lessThan">
      <formula>0</formula>
    </cfRule>
  </conditionalFormatting>
  <conditionalFormatting sqref="EH173">
    <cfRule type="cellIs" dxfId="814" priority="85" stopIfTrue="1" operator="lessThan">
      <formula>0</formula>
    </cfRule>
  </conditionalFormatting>
  <conditionalFormatting sqref="EF173:EG173">
    <cfRule type="cellIs" dxfId="813" priority="84" stopIfTrue="1" operator="lessThan">
      <formula>0</formula>
    </cfRule>
  </conditionalFormatting>
  <conditionalFormatting sqref="B112 B85:B110">
    <cfRule type="cellIs" dxfId="812" priority="83" stopIfTrue="1" operator="lessThan">
      <formula>0</formula>
    </cfRule>
  </conditionalFormatting>
  <conditionalFormatting sqref="EJ26:EN31 EJ43:EN45 EJ50:EN52 EJ57:EN59 EJ33:EN38 EJ18:EN22 EJ54:EN54">
    <cfRule type="cellIs" dxfId="811" priority="82" stopIfTrue="1" operator="lessThan">
      <formula>0</formula>
    </cfRule>
  </conditionalFormatting>
  <conditionalFormatting sqref="EJ17:EN17">
    <cfRule type="expression" dxfId="810" priority="81" stopIfTrue="1">
      <formula>#REF!="Outlook"</formula>
    </cfRule>
  </conditionalFormatting>
  <conditionalFormatting sqref="EJ23:EN23">
    <cfRule type="cellIs" dxfId="809" priority="80" stopIfTrue="1" operator="lessThan">
      <formula>0</formula>
    </cfRule>
  </conditionalFormatting>
  <conditionalFormatting sqref="EJ46:EN46">
    <cfRule type="cellIs" dxfId="808" priority="79" stopIfTrue="1" operator="lessThan">
      <formula>0</formula>
    </cfRule>
  </conditionalFormatting>
  <conditionalFormatting sqref="EJ32:EN32">
    <cfRule type="cellIs" dxfId="807" priority="78" stopIfTrue="1" operator="lessThan">
      <formula>0</formula>
    </cfRule>
  </conditionalFormatting>
  <conditionalFormatting sqref="EJ39:EN39">
    <cfRule type="cellIs" dxfId="806" priority="77" stopIfTrue="1" operator="lessThan">
      <formula>0</formula>
    </cfRule>
  </conditionalFormatting>
  <conditionalFormatting sqref="EJ24:EN24">
    <cfRule type="cellIs" dxfId="805" priority="76" stopIfTrue="1" operator="lessThan">
      <formula>0</formula>
    </cfRule>
  </conditionalFormatting>
  <conditionalFormatting sqref="EJ25:EN25">
    <cfRule type="cellIs" dxfId="804" priority="75" stopIfTrue="1" operator="lessThan">
      <formula>0</formula>
    </cfRule>
  </conditionalFormatting>
  <conditionalFormatting sqref="EJ42:EN42">
    <cfRule type="cellIs" dxfId="803" priority="74" stopIfTrue="1" operator="lessThan">
      <formula>0</formula>
    </cfRule>
  </conditionalFormatting>
  <conditionalFormatting sqref="EJ42:EN42">
    <cfRule type="expression" dxfId="802" priority="73" stopIfTrue="1">
      <formula>#REF!="Outlook"</formula>
    </cfRule>
  </conditionalFormatting>
  <conditionalFormatting sqref="EJ41:EN41">
    <cfRule type="cellIs" dxfId="801" priority="72" stopIfTrue="1" operator="lessThan">
      <formula>0</formula>
    </cfRule>
  </conditionalFormatting>
  <conditionalFormatting sqref="EJ49:EN49">
    <cfRule type="cellIs" dxfId="800" priority="71" stopIfTrue="1" operator="lessThan">
      <formula>0</formula>
    </cfRule>
  </conditionalFormatting>
  <conditionalFormatting sqref="EJ49:EN49">
    <cfRule type="expression" dxfId="799" priority="70" stopIfTrue="1">
      <formula>#REF!="Outlook"</formula>
    </cfRule>
  </conditionalFormatting>
  <conditionalFormatting sqref="EJ48:EN48">
    <cfRule type="cellIs" dxfId="798" priority="69" stopIfTrue="1" operator="lessThan">
      <formula>0</formula>
    </cfRule>
  </conditionalFormatting>
  <conditionalFormatting sqref="EJ56:EN56">
    <cfRule type="cellIs" dxfId="797" priority="68" stopIfTrue="1" operator="lessThan">
      <formula>0</formula>
    </cfRule>
  </conditionalFormatting>
  <conditionalFormatting sqref="EJ56:EN56">
    <cfRule type="expression" dxfId="796" priority="67" stopIfTrue="1">
      <formula>#REF!="Outlook"</formula>
    </cfRule>
  </conditionalFormatting>
  <conditionalFormatting sqref="EJ55:EN55">
    <cfRule type="cellIs" dxfId="795" priority="66" stopIfTrue="1" operator="lessThan">
      <formula>0</formula>
    </cfRule>
  </conditionalFormatting>
  <conditionalFormatting sqref="EJ64:EN64">
    <cfRule type="cellIs" dxfId="794" priority="65" stopIfTrue="1" operator="lessThan">
      <formula>0</formula>
    </cfRule>
  </conditionalFormatting>
  <conditionalFormatting sqref="EJ64:EN64">
    <cfRule type="expression" dxfId="793" priority="64" stopIfTrue="1">
      <formula>#REF!="Outlook"</formula>
    </cfRule>
  </conditionalFormatting>
  <conditionalFormatting sqref="EJ63:EN63">
    <cfRule type="cellIs" dxfId="792" priority="63" stopIfTrue="1" operator="lessThan">
      <formula>0</formula>
    </cfRule>
  </conditionalFormatting>
  <conditionalFormatting sqref="EJ61:EN61">
    <cfRule type="cellIs" dxfId="791" priority="62" stopIfTrue="1" operator="lessThan">
      <formula>0</formula>
    </cfRule>
  </conditionalFormatting>
  <conditionalFormatting sqref="EJ61:EN61">
    <cfRule type="expression" dxfId="790" priority="61" stopIfTrue="1">
      <formula>#REF!="Outlook"</formula>
    </cfRule>
  </conditionalFormatting>
  <conditionalFormatting sqref="EJ60:EN60">
    <cfRule type="cellIs" dxfId="789" priority="60" stopIfTrue="1" operator="lessThan">
      <formula>0</formula>
    </cfRule>
  </conditionalFormatting>
  <conditionalFormatting sqref="EJ66:EN66">
    <cfRule type="cellIs" dxfId="788" priority="59" stopIfTrue="1" operator="lessThan">
      <formula>0</formula>
    </cfRule>
  </conditionalFormatting>
  <conditionalFormatting sqref="EJ53:EN53">
    <cfRule type="cellIs" dxfId="787" priority="58" stopIfTrue="1" operator="lessThan">
      <formula>0</formula>
    </cfRule>
  </conditionalFormatting>
  <conditionalFormatting sqref="EO18:EO22 EO26:EO31 EO43:EO45 EO50:EO52 EO57:EO59 EO33:EO38 EO54">
    <cfRule type="cellIs" dxfId="786" priority="57" stopIfTrue="1" operator="lessThan">
      <formula>0</formula>
    </cfRule>
  </conditionalFormatting>
  <conditionalFormatting sqref="EO17">
    <cfRule type="expression" dxfId="785" priority="56" stopIfTrue="1">
      <formula>#REF!="Outlook"</formula>
    </cfRule>
  </conditionalFormatting>
  <conditionalFormatting sqref="EO24">
    <cfRule type="cellIs" dxfId="784" priority="55" stopIfTrue="1" operator="lessThan">
      <formula>0</formula>
    </cfRule>
  </conditionalFormatting>
  <conditionalFormatting sqref="EO23">
    <cfRule type="cellIs" dxfId="783" priority="54" stopIfTrue="1" operator="lessThan">
      <formula>0</formula>
    </cfRule>
  </conditionalFormatting>
  <conditionalFormatting sqref="EO25">
    <cfRule type="cellIs" dxfId="782" priority="53" stopIfTrue="1" operator="lessThan">
      <formula>0</formula>
    </cfRule>
  </conditionalFormatting>
  <conditionalFormatting sqref="EO39">
    <cfRule type="cellIs" dxfId="781" priority="52" stopIfTrue="1" operator="lessThan">
      <formula>0</formula>
    </cfRule>
  </conditionalFormatting>
  <conditionalFormatting sqref="EO42">
    <cfRule type="cellIs" dxfId="780" priority="51" stopIfTrue="1" operator="lessThan">
      <formula>0</formula>
    </cfRule>
  </conditionalFormatting>
  <conditionalFormatting sqref="EO42">
    <cfRule type="expression" dxfId="779" priority="50" stopIfTrue="1">
      <formula>#REF!="Outlook"</formula>
    </cfRule>
  </conditionalFormatting>
  <conditionalFormatting sqref="EO46">
    <cfRule type="cellIs" dxfId="778" priority="49" stopIfTrue="1" operator="lessThan">
      <formula>0</formula>
    </cfRule>
  </conditionalFormatting>
  <conditionalFormatting sqref="EO49">
    <cfRule type="cellIs" dxfId="777" priority="48" stopIfTrue="1" operator="lessThan">
      <formula>0</formula>
    </cfRule>
  </conditionalFormatting>
  <conditionalFormatting sqref="EO49">
    <cfRule type="expression" dxfId="776" priority="47" stopIfTrue="1">
      <formula>#REF!="Outlook"</formula>
    </cfRule>
  </conditionalFormatting>
  <conditionalFormatting sqref="EO56">
    <cfRule type="cellIs" dxfId="775" priority="46" stopIfTrue="1" operator="lessThan">
      <formula>0</formula>
    </cfRule>
  </conditionalFormatting>
  <conditionalFormatting sqref="EO56">
    <cfRule type="expression" dxfId="774" priority="45" stopIfTrue="1">
      <formula>#REF!="Outlook"</formula>
    </cfRule>
  </conditionalFormatting>
  <conditionalFormatting sqref="EO64">
    <cfRule type="cellIs" dxfId="773" priority="44" stopIfTrue="1" operator="lessThan">
      <formula>0</formula>
    </cfRule>
  </conditionalFormatting>
  <conditionalFormatting sqref="EO64">
    <cfRule type="expression" dxfId="772" priority="43" stopIfTrue="1">
      <formula>#REF!="Outlook"</formula>
    </cfRule>
  </conditionalFormatting>
  <conditionalFormatting sqref="EO41">
    <cfRule type="cellIs" dxfId="771" priority="42" stopIfTrue="1" operator="lessThan">
      <formula>0</formula>
    </cfRule>
  </conditionalFormatting>
  <conditionalFormatting sqref="EO48">
    <cfRule type="cellIs" dxfId="770" priority="41" stopIfTrue="1" operator="lessThan">
      <formula>0</formula>
    </cfRule>
  </conditionalFormatting>
  <conditionalFormatting sqref="EO55">
    <cfRule type="cellIs" dxfId="769" priority="40" stopIfTrue="1" operator="lessThan">
      <formula>0</formula>
    </cfRule>
  </conditionalFormatting>
  <conditionalFormatting sqref="EO63">
    <cfRule type="cellIs" dxfId="768" priority="39" stopIfTrue="1" operator="lessThan">
      <formula>0</formula>
    </cfRule>
  </conditionalFormatting>
  <conditionalFormatting sqref="EO32">
    <cfRule type="cellIs" dxfId="767" priority="38" stopIfTrue="1" operator="lessThan">
      <formula>0</formula>
    </cfRule>
  </conditionalFormatting>
  <conditionalFormatting sqref="EO61">
    <cfRule type="cellIs" dxfId="766" priority="37" stopIfTrue="1" operator="lessThan">
      <formula>0</formula>
    </cfRule>
  </conditionalFormatting>
  <conditionalFormatting sqref="EO61">
    <cfRule type="expression" dxfId="765" priority="36" stopIfTrue="1">
      <formula>#REF!="Outlook"</formula>
    </cfRule>
  </conditionalFormatting>
  <conditionalFormatting sqref="EO60">
    <cfRule type="cellIs" dxfId="764" priority="35" stopIfTrue="1" operator="lessThan">
      <formula>0</formula>
    </cfRule>
  </conditionalFormatting>
  <conditionalFormatting sqref="EO66">
    <cfRule type="cellIs" dxfId="763" priority="34" stopIfTrue="1" operator="lessThan">
      <formula>0</formula>
    </cfRule>
  </conditionalFormatting>
  <conditionalFormatting sqref="EO53">
    <cfRule type="cellIs" dxfId="762" priority="33" stopIfTrue="1" operator="lessThan">
      <formula>0</formula>
    </cfRule>
  </conditionalFormatting>
  <conditionalFormatting sqref="BM38:DT39 BM52:DT52 BM63:DT64 BM54:DT59 BM41:DT46 BM48:DT50 BM31:DT32 BM85:DT109">
    <cfRule type="cellIs" dxfId="761" priority="32" stopIfTrue="1" operator="lessThan">
      <formula>0</formula>
    </cfRule>
  </conditionalFormatting>
  <conditionalFormatting sqref="BM41:DT42">
    <cfRule type="expression" dxfId="760" priority="31" stopIfTrue="1">
      <formula>#REF!="Outlook"</formula>
    </cfRule>
  </conditionalFormatting>
  <conditionalFormatting sqref="BM48:DT49">
    <cfRule type="expression" dxfId="759" priority="30" stopIfTrue="1">
      <formula>#REF!="Outlook"</formula>
    </cfRule>
  </conditionalFormatting>
  <conditionalFormatting sqref="BM55:DT56 BM63:DT64">
    <cfRule type="expression" dxfId="758" priority="29" stopIfTrue="1">
      <formula>#REF!="Outlook"</formula>
    </cfRule>
  </conditionalFormatting>
  <conditionalFormatting sqref="BM51:DT51">
    <cfRule type="cellIs" dxfId="757" priority="28" stopIfTrue="1" operator="lessThan">
      <formula>0</formula>
    </cfRule>
  </conditionalFormatting>
  <conditionalFormatting sqref="BM26:DT26 BM28:DT30">
    <cfRule type="cellIs" dxfId="756" priority="27" stopIfTrue="1" operator="lessThan">
      <formula>0</formula>
    </cfRule>
  </conditionalFormatting>
  <conditionalFormatting sqref="BM27:DT27">
    <cfRule type="cellIs" dxfId="755" priority="26" stopIfTrue="1" operator="lessThan">
      <formula>0</formula>
    </cfRule>
  </conditionalFormatting>
  <conditionalFormatting sqref="BM36:DV37">
    <cfRule type="cellIs" dxfId="754" priority="25" stopIfTrue="1" operator="lessThan">
      <formula>0</formula>
    </cfRule>
  </conditionalFormatting>
  <conditionalFormatting sqref="BM17:DT17">
    <cfRule type="expression" dxfId="753" priority="24" stopIfTrue="1">
      <formula>#REF!="Outlook"</formula>
    </cfRule>
  </conditionalFormatting>
  <conditionalFormatting sqref="BM24:DT24">
    <cfRule type="cellIs" dxfId="752" priority="22" stopIfTrue="1" operator="lessThan">
      <formula>0</formula>
    </cfRule>
  </conditionalFormatting>
  <conditionalFormatting sqref="BM25:DT25">
    <cfRule type="cellIs" dxfId="751" priority="23" stopIfTrue="1" operator="lessThan">
      <formula>0</formula>
    </cfRule>
  </conditionalFormatting>
  <conditionalFormatting sqref="BM60:DT61">
    <cfRule type="cellIs" dxfId="750" priority="21" stopIfTrue="1" operator="lessThan">
      <formula>0</formula>
    </cfRule>
  </conditionalFormatting>
  <conditionalFormatting sqref="BM60:DT61">
    <cfRule type="expression" dxfId="749" priority="20" stopIfTrue="1">
      <formula>#REF!="Outlook"</formula>
    </cfRule>
  </conditionalFormatting>
  <conditionalFormatting sqref="BM34:DV34">
    <cfRule type="cellIs" dxfId="748" priority="19" stopIfTrue="1" operator="lessThan">
      <formula>0</formula>
    </cfRule>
  </conditionalFormatting>
  <conditionalFormatting sqref="BM33:DV33">
    <cfRule type="cellIs" dxfId="747" priority="18" stopIfTrue="1" operator="lessThan">
      <formula>0</formula>
    </cfRule>
  </conditionalFormatting>
  <conditionalFormatting sqref="BM35:DV35">
    <cfRule type="cellIs" dxfId="746" priority="17" stopIfTrue="1" operator="lessThan">
      <formula>0</formula>
    </cfRule>
  </conditionalFormatting>
  <conditionalFormatting sqref="BM66:DT66">
    <cfRule type="cellIs" dxfId="745" priority="16" stopIfTrue="1" operator="lessThan">
      <formula>0</formula>
    </cfRule>
  </conditionalFormatting>
  <conditionalFormatting sqref="BM66:DT66">
    <cfRule type="expression" dxfId="744" priority="15" stopIfTrue="1">
      <formula>#REF!="Outlook"</formula>
    </cfRule>
  </conditionalFormatting>
  <conditionalFormatting sqref="BM53:DT53">
    <cfRule type="cellIs" dxfId="743" priority="14" stopIfTrue="1" operator="lessThan">
      <formula>0</formula>
    </cfRule>
  </conditionalFormatting>
  <conditionalFormatting sqref="BM110:DT110">
    <cfRule type="cellIs" dxfId="742" priority="13" stopIfTrue="1" operator="lessThan">
      <formula>0</formula>
    </cfRule>
  </conditionalFormatting>
  <conditionalFormatting sqref="O8 O12">
    <cfRule type="cellIs" dxfId="741" priority="12" stopIfTrue="1" operator="lessThan">
      <formula>0</formula>
    </cfRule>
  </conditionalFormatting>
  <conditionalFormatting sqref="P8:S8 P12:S12">
    <cfRule type="cellIs" dxfId="740" priority="11" stopIfTrue="1" operator="lessThan">
      <formula>0</formula>
    </cfRule>
  </conditionalFormatting>
  <conditionalFormatting sqref="O10">
    <cfRule type="cellIs" dxfId="739" priority="10" stopIfTrue="1" operator="lessThan">
      <formula>0</formula>
    </cfRule>
  </conditionalFormatting>
  <conditionalFormatting sqref="P10:S10">
    <cfRule type="cellIs" dxfId="738" priority="9" stopIfTrue="1" operator="lessThan">
      <formula>0</formula>
    </cfRule>
  </conditionalFormatting>
  <conditionalFormatting sqref="T8 T11:T12">
    <cfRule type="cellIs" dxfId="737" priority="8" stopIfTrue="1" operator="lessThan">
      <formula>0</formula>
    </cfRule>
  </conditionalFormatting>
  <conditionalFormatting sqref="T9:T10">
    <cfRule type="cellIs" dxfId="736" priority="7" stopIfTrue="1" operator="lessThan">
      <formula>0</formula>
    </cfRule>
  </conditionalFormatting>
  <conditionalFormatting sqref="O9">
    <cfRule type="cellIs" dxfId="735" priority="6" stopIfTrue="1" operator="lessThan">
      <formula>0</formula>
    </cfRule>
  </conditionalFormatting>
  <conditionalFormatting sqref="P9:S9">
    <cfRule type="cellIs" dxfId="734" priority="5" stopIfTrue="1" operator="lessThan">
      <formula>0</formula>
    </cfRule>
  </conditionalFormatting>
  <conditionalFormatting sqref="O11">
    <cfRule type="cellIs" dxfId="733" priority="4" stopIfTrue="1" operator="lessThan">
      <formula>0</formula>
    </cfRule>
  </conditionalFormatting>
  <conditionalFormatting sqref="P11:S11">
    <cfRule type="cellIs" dxfId="732" priority="3" stopIfTrue="1" operator="lessThan">
      <formula>0</formula>
    </cfRule>
  </conditionalFormatting>
  <conditionalFormatting sqref="DX173">
    <cfRule type="cellIs" dxfId="731" priority="2" stopIfTrue="1" operator="lessThan">
      <formula>0</formula>
    </cfRule>
  </conditionalFormatting>
  <conditionalFormatting sqref="E11:E12">
    <cfRule type="cellIs" dxfId="730" priority="1" stopIfTrue="1" operator="lessThan">
      <formula>0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EP88"/>
  <sheetViews>
    <sheetView showGridLines="0" topLeftCell="A36" zoomScale="80" zoomScaleNormal="80" workbookViewId="0">
      <selection activeCell="F50" sqref="F50"/>
    </sheetView>
  </sheetViews>
  <sheetFormatPr defaultColWidth="10.26953125" defaultRowHeight="13" outlineLevelRow="1" outlineLevelCol="1" x14ac:dyDescent="0.3"/>
  <cols>
    <col min="1" max="1" width="9.54296875" style="14" bestFit="1" customWidth="1"/>
    <col min="2" max="2" width="45.7265625" style="14" bestFit="1" customWidth="1"/>
    <col min="3" max="3" width="22" style="14" bestFit="1" customWidth="1"/>
    <col min="4" max="4" width="10.26953125" style="14" customWidth="1"/>
    <col min="5" max="5" width="11.1796875" style="14" bestFit="1" customWidth="1"/>
    <col min="6" max="6" width="9.54296875" style="14" bestFit="1" customWidth="1"/>
    <col min="7" max="7" width="10.26953125" style="14" customWidth="1"/>
    <col min="8" max="8" width="10.1796875" style="14" customWidth="1"/>
    <col min="9" max="9" width="10" style="14" customWidth="1"/>
    <col min="10" max="10" width="10.54296875" style="14" customWidth="1"/>
    <col min="11" max="13" width="10.81640625" style="14" bestFit="1" customWidth="1"/>
    <col min="14" max="126" width="10.54296875" style="14" customWidth="1"/>
    <col min="127" max="127" width="2.54296875" style="14" customWidth="1"/>
    <col min="128" max="128" width="9.26953125" style="14" bestFit="1" customWidth="1"/>
    <col min="129" max="132" width="10.81640625" style="14" bestFit="1" customWidth="1" outlineLevel="1"/>
    <col min="133" max="135" width="12" style="14" bestFit="1" customWidth="1" outlineLevel="1"/>
    <col min="136" max="136" width="13" style="14" bestFit="1" customWidth="1" outlineLevel="1"/>
    <col min="137" max="138" width="12" style="14" bestFit="1" customWidth="1" outlineLevel="1"/>
    <col min="139" max="139" width="13" style="14" bestFit="1" customWidth="1" outlineLevel="1"/>
    <col min="140" max="140" width="11.453125" style="14" bestFit="1" customWidth="1"/>
    <col min="141" max="145" width="12" style="14" bestFit="1" customWidth="1" outlineLevel="1"/>
    <col min="146" max="146" width="13" style="14" bestFit="1" customWidth="1" outlineLevel="1"/>
    <col min="147" max="16384" width="10.26953125" style="14"/>
  </cols>
  <sheetData>
    <row r="1" spans="1:146" x14ac:dyDescent="0.3">
      <c r="B1" s="12" t="s">
        <v>120</v>
      </c>
      <c r="C1" s="97"/>
      <c r="D1" s="40"/>
      <c r="E1" s="40"/>
      <c r="F1" s="40">
        <f>'P&amp;L'!E3</f>
        <v>31</v>
      </c>
      <c r="G1" s="40">
        <f>'P&amp;L'!F3</f>
        <v>28</v>
      </c>
      <c r="H1" s="40">
        <f>'P&amp;L'!G3</f>
        <v>31</v>
      </c>
      <c r="I1" s="40">
        <f>'P&amp;L'!H3</f>
        <v>30</v>
      </c>
      <c r="J1" s="40">
        <f>'P&amp;L'!I3</f>
        <v>31</v>
      </c>
      <c r="K1" s="40">
        <f>'P&amp;L'!J3</f>
        <v>30</v>
      </c>
      <c r="L1" s="40">
        <f>'P&amp;L'!K3</f>
        <v>31</v>
      </c>
      <c r="M1" s="40">
        <f>'P&amp;L'!L3</f>
        <v>31</v>
      </c>
      <c r="N1" s="40">
        <f>'P&amp;L'!M3</f>
        <v>30</v>
      </c>
      <c r="O1" s="40">
        <f>'P&amp;L'!N3</f>
        <v>31</v>
      </c>
      <c r="P1" s="40">
        <f>'P&amp;L'!O3</f>
        <v>30</v>
      </c>
      <c r="Q1" s="40">
        <f>'P&amp;L'!P3</f>
        <v>31</v>
      </c>
      <c r="R1" s="40">
        <f>'P&amp;L'!Q3</f>
        <v>31</v>
      </c>
      <c r="S1" s="40">
        <f>'P&amp;L'!R3</f>
        <v>29</v>
      </c>
      <c r="T1" s="40">
        <f>'P&amp;L'!S3</f>
        <v>31</v>
      </c>
      <c r="U1" s="40">
        <f>'P&amp;L'!T3</f>
        <v>30</v>
      </c>
      <c r="V1" s="40">
        <f>'P&amp;L'!U3</f>
        <v>31</v>
      </c>
      <c r="W1" s="40">
        <f>'P&amp;L'!V3</f>
        <v>30</v>
      </c>
      <c r="X1" s="40">
        <f>'P&amp;L'!W3</f>
        <v>31</v>
      </c>
      <c r="Y1" s="40">
        <f>'P&amp;L'!X3</f>
        <v>31</v>
      </c>
      <c r="Z1" s="40">
        <f>'P&amp;L'!Y3</f>
        <v>30</v>
      </c>
      <c r="AA1" s="40">
        <f>'P&amp;L'!Z3</f>
        <v>31</v>
      </c>
      <c r="AB1" s="40">
        <f>'P&amp;L'!AA3</f>
        <v>30</v>
      </c>
      <c r="AC1" s="40">
        <f>'P&amp;L'!AB3</f>
        <v>31</v>
      </c>
      <c r="AD1" s="40">
        <f>'P&amp;L'!AC3</f>
        <v>31</v>
      </c>
      <c r="AE1" s="40">
        <f>'P&amp;L'!AD3</f>
        <v>28</v>
      </c>
      <c r="AF1" s="40">
        <f>'P&amp;L'!AE3</f>
        <v>31</v>
      </c>
      <c r="AG1" s="40">
        <f>'P&amp;L'!AF3</f>
        <v>30</v>
      </c>
      <c r="AH1" s="40">
        <f>'P&amp;L'!AG3</f>
        <v>31</v>
      </c>
      <c r="AI1" s="40">
        <f>'P&amp;L'!AH3</f>
        <v>30</v>
      </c>
      <c r="AJ1" s="40">
        <f>'P&amp;L'!AI3</f>
        <v>31</v>
      </c>
      <c r="AK1" s="40">
        <f>'P&amp;L'!AJ3</f>
        <v>31</v>
      </c>
      <c r="AL1" s="40">
        <f>'P&amp;L'!AK3</f>
        <v>30</v>
      </c>
      <c r="AM1" s="40">
        <f>'P&amp;L'!AL3</f>
        <v>31</v>
      </c>
      <c r="AN1" s="40">
        <f>'P&amp;L'!AM3</f>
        <v>30</v>
      </c>
      <c r="AO1" s="40">
        <f>'P&amp;L'!AN3</f>
        <v>31</v>
      </c>
      <c r="AP1" s="40">
        <f>'P&amp;L'!AO3</f>
        <v>31</v>
      </c>
      <c r="AQ1" s="40">
        <f>'P&amp;L'!AP3</f>
        <v>28</v>
      </c>
      <c r="AR1" s="40">
        <f>'P&amp;L'!AQ3</f>
        <v>31</v>
      </c>
      <c r="AS1" s="40">
        <f>'P&amp;L'!AR3</f>
        <v>30</v>
      </c>
      <c r="AT1" s="40">
        <f>'P&amp;L'!AS3</f>
        <v>31</v>
      </c>
      <c r="AU1" s="40">
        <f>'P&amp;L'!AT3</f>
        <v>30</v>
      </c>
      <c r="AV1" s="40">
        <f>'P&amp;L'!AU3</f>
        <v>31</v>
      </c>
      <c r="AW1" s="40">
        <f>'P&amp;L'!AV3</f>
        <v>31</v>
      </c>
      <c r="AX1" s="40">
        <f>'P&amp;L'!AW3</f>
        <v>30</v>
      </c>
      <c r="AY1" s="40">
        <f>'P&amp;L'!AX3</f>
        <v>31</v>
      </c>
      <c r="AZ1" s="40">
        <f>'P&amp;L'!AY3</f>
        <v>30</v>
      </c>
      <c r="BA1" s="40">
        <f>'P&amp;L'!AZ3</f>
        <v>31</v>
      </c>
      <c r="BB1" s="40">
        <f>'P&amp;L'!BA3</f>
        <v>31</v>
      </c>
      <c r="BC1" s="40">
        <f>'P&amp;L'!BB3</f>
        <v>28</v>
      </c>
      <c r="BD1" s="40">
        <f>'P&amp;L'!BC3</f>
        <v>31</v>
      </c>
      <c r="BE1" s="40">
        <f>'P&amp;L'!BD3</f>
        <v>30</v>
      </c>
      <c r="BF1" s="40">
        <f>'P&amp;L'!BE3</f>
        <v>31</v>
      </c>
      <c r="BG1" s="40">
        <f>'P&amp;L'!BF3</f>
        <v>30</v>
      </c>
      <c r="BH1" s="40">
        <f>'P&amp;L'!BG3</f>
        <v>31</v>
      </c>
      <c r="BI1" s="40">
        <f>'P&amp;L'!BH3</f>
        <v>31</v>
      </c>
      <c r="BJ1" s="40">
        <f>'P&amp;L'!BI3</f>
        <v>30</v>
      </c>
      <c r="BK1" s="40">
        <f>'P&amp;L'!BJ3</f>
        <v>31</v>
      </c>
      <c r="BL1" s="40">
        <f>'P&amp;L'!BK3</f>
        <v>30</v>
      </c>
      <c r="BM1" s="40">
        <f>'P&amp;L'!BL3</f>
        <v>31</v>
      </c>
      <c r="BN1" s="40">
        <f>'P&amp;L'!BM3</f>
        <v>31</v>
      </c>
      <c r="BO1" s="40">
        <f>'P&amp;L'!BN3</f>
        <v>29</v>
      </c>
      <c r="BP1" s="40">
        <f>'P&amp;L'!BO3</f>
        <v>31</v>
      </c>
      <c r="BQ1" s="40">
        <f>'P&amp;L'!BP3</f>
        <v>30</v>
      </c>
      <c r="BR1" s="40">
        <f>'P&amp;L'!BQ3</f>
        <v>31</v>
      </c>
      <c r="BS1" s="40">
        <f>'P&amp;L'!BR3</f>
        <v>30</v>
      </c>
      <c r="BT1" s="40">
        <f>'P&amp;L'!BS3</f>
        <v>31</v>
      </c>
      <c r="BU1" s="40">
        <f>'P&amp;L'!BT3</f>
        <v>31</v>
      </c>
      <c r="BV1" s="40">
        <f>'P&amp;L'!BU3</f>
        <v>30</v>
      </c>
      <c r="BW1" s="40">
        <f>'P&amp;L'!BV3</f>
        <v>31</v>
      </c>
      <c r="BX1" s="40">
        <f>'P&amp;L'!BW3</f>
        <v>30</v>
      </c>
      <c r="BY1" s="40">
        <f>'P&amp;L'!BX3</f>
        <v>31</v>
      </c>
      <c r="BZ1" s="40">
        <f>'P&amp;L'!BY3</f>
        <v>31</v>
      </c>
      <c r="CA1" s="40">
        <f>'P&amp;L'!BZ3</f>
        <v>28</v>
      </c>
      <c r="CB1" s="40">
        <f>'P&amp;L'!CA3</f>
        <v>31</v>
      </c>
      <c r="CC1" s="40">
        <f>'P&amp;L'!CB3</f>
        <v>30</v>
      </c>
      <c r="CD1" s="40">
        <f>'P&amp;L'!CC3</f>
        <v>31</v>
      </c>
      <c r="CE1" s="40">
        <f>'P&amp;L'!CD3</f>
        <v>30</v>
      </c>
      <c r="CF1" s="40">
        <f>'P&amp;L'!CE3</f>
        <v>31</v>
      </c>
      <c r="CG1" s="40">
        <f>'P&amp;L'!CF3</f>
        <v>31</v>
      </c>
      <c r="CH1" s="40">
        <f>'P&amp;L'!CG3</f>
        <v>30</v>
      </c>
      <c r="CI1" s="40">
        <f>'P&amp;L'!CH3</f>
        <v>31</v>
      </c>
      <c r="CJ1" s="40">
        <f>'P&amp;L'!CI3</f>
        <v>30</v>
      </c>
      <c r="CK1" s="40">
        <f>'P&amp;L'!CJ3</f>
        <v>31</v>
      </c>
      <c r="CL1" s="40">
        <f>'P&amp;L'!CK3</f>
        <v>31</v>
      </c>
      <c r="CM1" s="40">
        <f>'P&amp;L'!CL3</f>
        <v>28</v>
      </c>
      <c r="CN1" s="40">
        <f>'P&amp;L'!CM3</f>
        <v>31</v>
      </c>
      <c r="CO1" s="40">
        <f>'P&amp;L'!CN3</f>
        <v>30</v>
      </c>
      <c r="CP1" s="40">
        <f>'P&amp;L'!CO3</f>
        <v>31</v>
      </c>
      <c r="CQ1" s="40">
        <f>'P&amp;L'!CP3</f>
        <v>30</v>
      </c>
      <c r="CR1" s="40">
        <f>'P&amp;L'!CQ3</f>
        <v>31</v>
      </c>
      <c r="CS1" s="40">
        <f>'P&amp;L'!CR3</f>
        <v>31</v>
      </c>
      <c r="CT1" s="40">
        <f>'P&amp;L'!CS3</f>
        <v>30</v>
      </c>
      <c r="CU1" s="40">
        <f>'P&amp;L'!CT3</f>
        <v>31</v>
      </c>
      <c r="CV1" s="40">
        <f>'P&amp;L'!CU3</f>
        <v>30</v>
      </c>
      <c r="CW1" s="40">
        <f>'P&amp;L'!CV3</f>
        <v>31</v>
      </c>
      <c r="CX1" s="40">
        <f>'P&amp;L'!CW3</f>
        <v>31</v>
      </c>
      <c r="CY1" s="40">
        <f>'P&amp;L'!CX3</f>
        <v>28</v>
      </c>
      <c r="CZ1" s="40">
        <f>'P&amp;L'!CY3</f>
        <v>31</v>
      </c>
      <c r="DA1" s="40">
        <f>'P&amp;L'!CZ3</f>
        <v>30</v>
      </c>
      <c r="DB1" s="40">
        <f>'P&amp;L'!DA3</f>
        <v>31</v>
      </c>
      <c r="DC1" s="40">
        <f>'P&amp;L'!DB3</f>
        <v>30</v>
      </c>
      <c r="DD1" s="40">
        <f>'P&amp;L'!DC3</f>
        <v>31</v>
      </c>
      <c r="DE1" s="40">
        <f>'P&amp;L'!DD3</f>
        <v>31</v>
      </c>
      <c r="DF1" s="40">
        <f>'P&amp;L'!DE3</f>
        <v>30</v>
      </c>
      <c r="DG1" s="40">
        <f>'P&amp;L'!DF3</f>
        <v>31</v>
      </c>
      <c r="DH1" s="40">
        <f>'P&amp;L'!DG3</f>
        <v>30</v>
      </c>
      <c r="DI1" s="40">
        <f>'P&amp;L'!DH3</f>
        <v>31</v>
      </c>
      <c r="DJ1" s="40">
        <f>'P&amp;L'!DI3</f>
        <v>31</v>
      </c>
      <c r="DK1" s="40">
        <f>'P&amp;L'!DJ3</f>
        <v>29</v>
      </c>
      <c r="DL1" s="40">
        <f>'P&amp;L'!DK3</f>
        <v>31</v>
      </c>
      <c r="DM1" s="40">
        <f>'P&amp;L'!DL3</f>
        <v>30</v>
      </c>
      <c r="DN1" s="40">
        <f>'P&amp;L'!DM3</f>
        <v>31</v>
      </c>
      <c r="DO1" s="40">
        <f>'P&amp;L'!DN3</f>
        <v>30</v>
      </c>
      <c r="DP1" s="40">
        <f>'P&amp;L'!DO3</f>
        <v>31</v>
      </c>
      <c r="DQ1" s="40">
        <f>'P&amp;L'!DP3</f>
        <v>31</v>
      </c>
      <c r="DR1" s="40">
        <f>'P&amp;L'!DQ3</f>
        <v>30</v>
      </c>
      <c r="DS1" s="40">
        <f>'P&amp;L'!DR3</f>
        <v>31</v>
      </c>
      <c r="DT1" s="40">
        <f>'P&amp;L'!DS3</f>
        <v>30</v>
      </c>
      <c r="DU1" s="40">
        <f>'P&amp;L'!DT3</f>
        <v>31</v>
      </c>
      <c r="DV1" s="40">
        <f>'P&amp;L'!DU3</f>
        <v>31</v>
      </c>
      <c r="DW1" s="684"/>
    </row>
    <row r="2" spans="1:146" x14ac:dyDescent="0.3">
      <c r="B2" s="12" t="s">
        <v>121</v>
      </c>
      <c r="C2" s="97"/>
      <c r="D2" s="40"/>
      <c r="E2" s="40"/>
      <c r="F2" s="40">
        <f>'P&amp;L'!E4</f>
        <v>4.33</v>
      </c>
      <c r="G2" s="40">
        <f>'P&amp;L'!F4</f>
        <v>4</v>
      </c>
      <c r="H2" s="40">
        <f>'P&amp;L'!G4</f>
        <v>4.4285714285714288</v>
      </c>
      <c r="I2" s="40">
        <f>'P&amp;L'!H4</f>
        <v>4.2857142857142856</v>
      </c>
      <c r="J2" s="40">
        <f>'P&amp;L'!I4</f>
        <v>4.4285714285714288</v>
      </c>
      <c r="K2" s="40">
        <f>'P&amp;L'!J4</f>
        <v>4.2857142857142856</v>
      </c>
      <c r="L2" s="40">
        <f>'P&amp;L'!K4</f>
        <v>4.4285714285714288</v>
      </c>
      <c r="M2" s="40">
        <f>'P&amp;L'!L4</f>
        <v>4.4285714285714288</v>
      </c>
      <c r="N2" s="40">
        <f>'P&amp;L'!M4</f>
        <v>4.2857142857142856</v>
      </c>
      <c r="O2" s="40">
        <f>'P&amp;L'!N4</f>
        <v>4.4285714285714288</v>
      </c>
      <c r="P2" s="40">
        <f>'P&amp;L'!O4</f>
        <v>4.2857142857142856</v>
      </c>
      <c r="Q2" s="40">
        <f>'P&amp;L'!P4</f>
        <v>4.4285714285714288</v>
      </c>
      <c r="R2" s="40">
        <f>'P&amp;L'!Q4</f>
        <v>4.4285714285714288</v>
      </c>
      <c r="S2" s="40">
        <f>'P&amp;L'!R4</f>
        <v>4.1428571428571432</v>
      </c>
      <c r="T2" s="40">
        <f>'P&amp;L'!S4</f>
        <v>4.4285714285714288</v>
      </c>
      <c r="U2" s="40">
        <f>'P&amp;L'!T4</f>
        <v>4.2857142857142856</v>
      </c>
      <c r="V2" s="40">
        <f>'P&amp;L'!U4</f>
        <v>4.4285714285714288</v>
      </c>
      <c r="W2" s="40">
        <f>'P&amp;L'!V4</f>
        <v>4.2857142857142856</v>
      </c>
      <c r="X2" s="40">
        <f>'P&amp;L'!W4</f>
        <v>4.4285714285714288</v>
      </c>
      <c r="Y2" s="40">
        <f>'P&amp;L'!X4</f>
        <v>4.4285714285714288</v>
      </c>
      <c r="Z2" s="40">
        <f>'P&amp;L'!Y4</f>
        <v>4.2857142857142856</v>
      </c>
      <c r="AA2" s="40">
        <f>'P&amp;L'!Z4</f>
        <v>4.4285714285714288</v>
      </c>
      <c r="AB2" s="40">
        <f>'P&amp;L'!AA4</f>
        <v>4.2857142857142856</v>
      </c>
      <c r="AC2" s="40">
        <f>'P&amp;L'!AB4</f>
        <v>4.4285714285714288</v>
      </c>
      <c r="AD2" s="40">
        <f>'P&amp;L'!AC4</f>
        <v>4.4285714285714288</v>
      </c>
      <c r="AE2" s="40">
        <f>'P&amp;L'!AD4</f>
        <v>4</v>
      </c>
      <c r="AF2" s="40">
        <f>'P&amp;L'!AE4</f>
        <v>4.4285714285714288</v>
      </c>
      <c r="AG2" s="40">
        <f>'P&amp;L'!AF4</f>
        <v>4.2857142857142856</v>
      </c>
      <c r="AH2" s="40">
        <f>'P&amp;L'!AG4</f>
        <v>4.4285714285714288</v>
      </c>
      <c r="AI2" s="40">
        <f>'P&amp;L'!AH4</f>
        <v>4.2857142857142856</v>
      </c>
      <c r="AJ2" s="40">
        <f>'P&amp;L'!AI4</f>
        <v>4.4285714285714288</v>
      </c>
      <c r="AK2" s="40">
        <f>'P&amp;L'!AJ4</f>
        <v>4.4285714285714288</v>
      </c>
      <c r="AL2" s="40">
        <f>'P&amp;L'!AK4</f>
        <v>4.2857142857142856</v>
      </c>
      <c r="AM2" s="40">
        <f>'P&amp;L'!AL4</f>
        <v>4.4285714285714288</v>
      </c>
      <c r="AN2" s="40">
        <f>'P&amp;L'!AM4</f>
        <v>4.2857142857142856</v>
      </c>
      <c r="AO2" s="40">
        <f>'P&amp;L'!AN4</f>
        <v>4.4285714285714288</v>
      </c>
      <c r="AP2" s="40">
        <f>'P&amp;L'!AO4</f>
        <v>4.4285714285714288</v>
      </c>
      <c r="AQ2" s="40">
        <f>'P&amp;L'!AP4</f>
        <v>4</v>
      </c>
      <c r="AR2" s="40">
        <f>'P&amp;L'!AQ4</f>
        <v>4.4285714285714288</v>
      </c>
      <c r="AS2" s="40">
        <f>'P&amp;L'!AR4</f>
        <v>4.2857142857142856</v>
      </c>
      <c r="AT2" s="40">
        <f>'P&amp;L'!AS4</f>
        <v>4.4285714285714288</v>
      </c>
      <c r="AU2" s="40">
        <f>'P&amp;L'!AT4</f>
        <v>4.2857142857142856</v>
      </c>
      <c r="AV2" s="40">
        <f>'P&amp;L'!AU4</f>
        <v>4.4285714285714288</v>
      </c>
      <c r="AW2" s="40">
        <f>'P&amp;L'!AV4</f>
        <v>4.4285714285714288</v>
      </c>
      <c r="AX2" s="40">
        <f>'P&amp;L'!AW4</f>
        <v>4.2857142857142856</v>
      </c>
      <c r="AY2" s="40">
        <f>'P&amp;L'!AX4</f>
        <v>4.4285714285714288</v>
      </c>
      <c r="AZ2" s="40">
        <f>'P&amp;L'!AY4</f>
        <v>4.2857142857142856</v>
      </c>
      <c r="BA2" s="40">
        <f>'P&amp;L'!AZ4</f>
        <v>4.4285714285714288</v>
      </c>
      <c r="BB2" s="40">
        <f>'P&amp;L'!BA4</f>
        <v>4.4285714285714288</v>
      </c>
      <c r="BC2" s="40">
        <f>'P&amp;L'!BB4</f>
        <v>4</v>
      </c>
      <c r="BD2" s="40">
        <f>'P&amp;L'!BC4</f>
        <v>4.4285714285714288</v>
      </c>
      <c r="BE2" s="40">
        <f>'P&amp;L'!BD4</f>
        <v>4.2857142857142856</v>
      </c>
      <c r="BF2" s="40">
        <f>'P&amp;L'!BE4</f>
        <v>4.4285714285714288</v>
      </c>
      <c r="BG2" s="40">
        <f>'P&amp;L'!BF4</f>
        <v>4.2857142857142856</v>
      </c>
      <c r="BH2" s="40">
        <f>'P&amp;L'!BG4</f>
        <v>4.4285714285714288</v>
      </c>
      <c r="BI2" s="40">
        <f>'P&amp;L'!BH4</f>
        <v>4.4285714285714288</v>
      </c>
      <c r="BJ2" s="40">
        <f>'P&amp;L'!BI4</f>
        <v>4.2857142857142856</v>
      </c>
      <c r="BK2" s="40">
        <f>'P&amp;L'!BJ4</f>
        <v>4.4285714285714288</v>
      </c>
      <c r="BL2" s="40">
        <f>'P&amp;L'!BK4</f>
        <v>4.2857142857142856</v>
      </c>
      <c r="BM2" s="40">
        <f>'P&amp;L'!BL4</f>
        <v>4.4285714285714288</v>
      </c>
      <c r="BN2" s="40">
        <f>'P&amp;L'!BM4</f>
        <v>4.4285714285714288</v>
      </c>
      <c r="BO2" s="40">
        <f>'P&amp;L'!BN4</f>
        <v>4.1428571428571432</v>
      </c>
      <c r="BP2" s="40">
        <f>'P&amp;L'!BO4</f>
        <v>4.4285714285714288</v>
      </c>
      <c r="BQ2" s="40">
        <f>'P&amp;L'!BP4</f>
        <v>4.2857142857142856</v>
      </c>
      <c r="BR2" s="40">
        <f>'P&amp;L'!BQ4</f>
        <v>4.4285714285714288</v>
      </c>
      <c r="BS2" s="40">
        <f>'P&amp;L'!BR4</f>
        <v>4.2857142857142856</v>
      </c>
      <c r="BT2" s="40">
        <f>'P&amp;L'!BS4</f>
        <v>4.4285714285714288</v>
      </c>
      <c r="BU2" s="40">
        <f>'P&amp;L'!BT4</f>
        <v>4.4285714285714288</v>
      </c>
      <c r="BV2" s="40">
        <f>'P&amp;L'!BU4</f>
        <v>4.2857142857142856</v>
      </c>
      <c r="BW2" s="40">
        <f>'P&amp;L'!BV4</f>
        <v>4.4285714285714288</v>
      </c>
      <c r="BX2" s="40">
        <f>'P&amp;L'!BW4</f>
        <v>4.2857142857142856</v>
      </c>
      <c r="BY2" s="40">
        <f>'P&amp;L'!BX4</f>
        <v>4.4285714285714288</v>
      </c>
      <c r="BZ2" s="40">
        <f>'P&amp;L'!BY4</f>
        <v>4.4285714285714288</v>
      </c>
      <c r="CA2" s="40">
        <f>'P&amp;L'!BZ4</f>
        <v>4</v>
      </c>
      <c r="CB2" s="40">
        <f>'P&amp;L'!CA4</f>
        <v>4.4285714285714288</v>
      </c>
      <c r="CC2" s="40">
        <f>'P&amp;L'!CB4</f>
        <v>4.2857142857142856</v>
      </c>
      <c r="CD2" s="40">
        <f>'P&amp;L'!CC4</f>
        <v>4.4285714285714288</v>
      </c>
      <c r="CE2" s="40">
        <f>'P&amp;L'!CD4</f>
        <v>4.2857142857142856</v>
      </c>
      <c r="CF2" s="40">
        <f>'P&amp;L'!CE4</f>
        <v>4.4285714285714288</v>
      </c>
      <c r="CG2" s="40">
        <f>'P&amp;L'!CF4</f>
        <v>4.4285714285714288</v>
      </c>
      <c r="CH2" s="40">
        <f>'P&amp;L'!CG4</f>
        <v>4.2857142857142856</v>
      </c>
      <c r="CI2" s="40">
        <f>'P&amp;L'!CH4</f>
        <v>4.4285714285714288</v>
      </c>
      <c r="CJ2" s="40">
        <f>'P&amp;L'!CI4</f>
        <v>4.2857142857142856</v>
      </c>
      <c r="CK2" s="40">
        <f>'P&amp;L'!CJ4</f>
        <v>4.4285714285714288</v>
      </c>
      <c r="CL2" s="40">
        <f>'P&amp;L'!CK4</f>
        <v>4.4285714285714288</v>
      </c>
      <c r="CM2" s="40">
        <f>'P&amp;L'!CL4</f>
        <v>4</v>
      </c>
      <c r="CN2" s="40">
        <f>'P&amp;L'!CM4</f>
        <v>4.4285714285714288</v>
      </c>
      <c r="CO2" s="40">
        <f>'P&amp;L'!CN4</f>
        <v>4.2857142857142856</v>
      </c>
      <c r="CP2" s="40">
        <f>'P&amp;L'!CO4</f>
        <v>4.4285714285714288</v>
      </c>
      <c r="CQ2" s="40">
        <f>'P&amp;L'!CP4</f>
        <v>4.2857142857142856</v>
      </c>
      <c r="CR2" s="40">
        <f>'P&amp;L'!CQ4</f>
        <v>4.4285714285714288</v>
      </c>
      <c r="CS2" s="40">
        <f>'P&amp;L'!CR4</f>
        <v>4.4285714285714288</v>
      </c>
      <c r="CT2" s="40">
        <f>'P&amp;L'!CS4</f>
        <v>4.2857142857142856</v>
      </c>
      <c r="CU2" s="40">
        <f>'P&amp;L'!CT4</f>
        <v>4.4285714285714288</v>
      </c>
      <c r="CV2" s="40">
        <f>'P&amp;L'!CU4</f>
        <v>4.2857142857142856</v>
      </c>
      <c r="CW2" s="40">
        <f>'P&amp;L'!CV4</f>
        <v>4.4285714285714288</v>
      </c>
      <c r="CX2" s="40">
        <f>'P&amp;L'!CW4</f>
        <v>4.4285714285714288</v>
      </c>
      <c r="CY2" s="40">
        <f>'P&amp;L'!CX4</f>
        <v>4</v>
      </c>
      <c r="CZ2" s="40">
        <f>'P&amp;L'!CY4</f>
        <v>4.4285714285714288</v>
      </c>
      <c r="DA2" s="40">
        <f>'P&amp;L'!CZ4</f>
        <v>4.2857142857142856</v>
      </c>
      <c r="DB2" s="40">
        <f>'P&amp;L'!DA4</f>
        <v>4.4285714285714288</v>
      </c>
      <c r="DC2" s="40">
        <f>'P&amp;L'!DB4</f>
        <v>4.2857142857142856</v>
      </c>
      <c r="DD2" s="40">
        <f>'P&amp;L'!DC4</f>
        <v>4.4285714285714288</v>
      </c>
      <c r="DE2" s="40">
        <f>'P&amp;L'!DD4</f>
        <v>4.4285714285714288</v>
      </c>
      <c r="DF2" s="40">
        <f>'P&amp;L'!DE4</f>
        <v>4.2857142857142856</v>
      </c>
      <c r="DG2" s="40">
        <f>'P&amp;L'!DF4</f>
        <v>4.4285714285714288</v>
      </c>
      <c r="DH2" s="40">
        <f>'P&amp;L'!DG4</f>
        <v>4.2857142857142856</v>
      </c>
      <c r="DI2" s="40">
        <f>'P&amp;L'!DH4</f>
        <v>4.4285714285714288</v>
      </c>
      <c r="DJ2" s="40">
        <f>'P&amp;L'!DI4</f>
        <v>4.4285714285714288</v>
      </c>
      <c r="DK2" s="40">
        <f>'P&amp;L'!DJ4</f>
        <v>4.1428571428571432</v>
      </c>
      <c r="DL2" s="40">
        <f>'P&amp;L'!DK4</f>
        <v>4.4285714285714288</v>
      </c>
      <c r="DM2" s="40">
        <f>'P&amp;L'!DL4</f>
        <v>4.2857142857142856</v>
      </c>
      <c r="DN2" s="40">
        <f>'P&amp;L'!DM4</f>
        <v>4.4285714285714288</v>
      </c>
      <c r="DO2" s="40">
        <f>'P&amp;L'!DN4</f>
        <v>4.2857142857142856</v>
      </c>
      <c r="DP2" s="40">
        <f>'P&amp;L'!DO4</f>
        <v>4.4285714285714288</v>
      </c>
      <c r="DQ2" s="40">
        <f>'P&amp;L'!DP4</f>
        <v>4.4285714285714288</v>
      </c>
      <c r="DR2" s="40">
        <f>'P&amp;L'!DQ4</f>
        <v>4.2857142857142856</v>
      </c>
      <c r="DS2" s="40">
        <f>'P&amp;L'!DR4</f>
        <v>4.4285714285714288</v>
      </c>
      <c r="DT2" s="40">
        <f>'P&amp;L'!DS4</f>
        <v>4.2857142857142856</v>
      </c>
      <c r="DU2" s="40">
        <f>'P&amp;L'!DT4</f>
        <v>4.4285714285714288</v>
      </c>
      <c r="DV2" s="40">
        <f>'P&amp;L'!DU4</f>
        <v>4.4285714285714288</v>
      </c>
      <c r="DW2" s="684"/>
      <c r="EF2" s="30"/>
      <c r="EI2" s="30"/>
      <c r="EP2" s="30"/>
    </row>
    <row r="3" spans="1:146" outlineLevel="1" x14ac:dyDescent="0.3">
      <c r="B3" s="32"/>
      <c r="F3" s="30"/>
    </row>
    <row r="4" spans="1:146" ht="13.5" outlineLevel="1" thickBot="1" x14ac:dyDescent="0.35">
      <c r="B4" s="32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98"/>
      <c r="DU4" s="98"/>
      <c r="DV4" s="98"/>
      <c r="DW4" s="98"/>
    </row>
    <row r="5" spans="1:146" ht="13.5" outlineLevel="1" thickBot="1" x14ac:dyDescent="0.35">
      <c r="B5" s="32"/>
      <c r="D5" s="485" t="str">
        <f>'P&amp;L'!C16</f>
        <v>Pre go Live</v>
      </c>
      <c r="E5" s="485" t="str">
        <f>'P&amp;L'!D16</f>
        <v>Pre go Live</v>
      </c>
      <c r="F5" s="136" t="str">
        <f>'P&amp;L'!E16</f>
        <v>Pre go Live</v>
      </c>
      <c r="G5" s="137">
        <f>'P&amp;L'!F16</f>
        <v>1</v>
      </c>
      <c r="H5" s="137">
        <f>'P&amp;L'!G16</f>
        <v>2</v>
      </c>
      <c r="I5" s="137">
        <f>'P&amp;L'!H16</f>
        <v>3</v>
      </c>
      <c r="J5" s="137">
        <f>'P&amp;L'!I16</f>
        <v>4</v>
      </c>
      <c r="K5" s="137">
        <f>'P&amp;L'!J16</f>
        <v>5</v>
      </c>
      <c r="L5" s="137">
        <f>'P&amp;L'!K16</f>
        <v>6</v>
      </c>
      <c r="M5" s="137">
        <f>'P&amp;L'!L16</f>
        <v>7</v>
      </c>
      <c r="N5" s="137">
        <f>'P&amp;L'!M16</f>
        <v>8</v>
      </c>
      <c r="O5" s="137">
        <f>'P&amp;L'!N16</f>
        <v>9</v>
      </c>
      <c r="P5" s="137">
        <f>'P&amp;L'!O16</f>
        <v>10</v>
      </c>
      <c r="Q5" s="137">
        <f>'P&amp;L'!P16</f>
        <v>11</v>
      </c>
      <c r="R5" s="137">
        <f>'P&amp;L'!Q16</f>
        <v>12</v>
      </c>
      <c r="S5" s="137">
        <f>'P&amp;L'!R16</f>
        <v>13</v>
      </c>
      <c r="T5" s="137">
        <f>'P&amp;L'!S16</f>
        <v>14</v>
      </c>
      <c r="U5" s="137">
        <f>'P&amp;L'!T16</f>
        <v>15</v>
      </c>
      <c r="V5" s="137">
        <f>'P&amp;L'!U16</f>
        <v>16</v>
      </c>
      <c r="W5" s="137">
        <f>'P&amp;L'!V16</f>
        <v>17</v>
      </c>
      <c r="X5" s="137">
        <f>'P&amp;L'!W16</f>
        <v>18</v>
      </c>
      <c r="Y5" s="137">
        <f>'P&amp;L'!X16</f>
        <v>19</v>
      </c>
      <c r="Z5" s="137">
        <f>'P&amp;L'!Y16</f>
        <v>20</v>
      </c>
      <c r="AA5" s="137">
        <f>'P&amp;L'!Z16</f>
        <v>21</v>
      </c>
      <c r="AB5" s="137">
        <f>'P&amp;L'!AA16</f>
        <v>22</v>
      </c>
      <c r="AC5" s="137">
        <f>'P&amp;L'!AB16</f>
        <v>23</v>
      </c>
      <c r="AD5" s="137">
        <f>'P&amp;L'!AC16</f>
        <v>24</v>
      </c>
      <c r="AE5" s="137">
        <f>'P&amp;L'!AD16</f>
        <v>25</v>
      </c>
      <c r="AF5" s="137">
        <f>'P&amp;L'!AE16</f>
        <v>26</v>
      </c>
      <c r="AG5" s="137">
        <f>'P&amp;L'!AF16</f>
        <v>27</v>
      </c>
      <c r="AH5" s="137">
        <f>'P&amp;L'!AG16</f>
        <v>28</v>
      </c>
      <c r="AI5" s="137">
        <f>'P&amp;L'!AH16</f>
        <v>29</v>
      </c>
      <c r="AJ5" s="137">
        <f>'P&amp;L'!AI16</f>
        <v>30</v>
      </c>
      <c r="AK5" s="137">
        <f>'P&amp;L'!AJ16</f>
        <v>31</v>
      </c>
      <c r="AL5" s="137">
        <f>'P&amp;L'!AK16</f>
        <v>32</v>
      </c>
      <c r="AM5" s="137">
        <f>'P&amp;L'!AL16</f>
        <v>33</v>
      </c>
      <c r="AN5" s="137">
        <f>'P&amp;L'!AM16</f>
        <v>34</v>
      </c>
      <c r="AO5" s="137">
        <f>'P&amp;L'!AN16</f>
        <v>35</v>
      </c>
      <c r="AP5" s="137">
        <f>'P&amp;L'!AO16</f>
        <v>36</v>
      </c>
      <c r="AQ5" s="137">
        <f>'P&amp;L'!AP16</f>
        <v>37</v>
      </c>
      <c r="AR5" s="137">
        <f>'P&amp;L'!AQ16</f>
        <v>38</v>
      </c>
      <c r="AS5" s="137">
        <f>'P&amp;L'!AR16</f>
        <v>39</v>
      </c>
      <c r="AT5" s="137">
        <f>'P&amp;L'!AS16</f>
        <v>40</v>
      </c>
      <c r="AU5" s="137">
        <f>'P&amp;L'!AT16</f>
        <v>41</v>
      </c>
      <c r="AV5" s="137">
        <f>'P&amp;L'!AU16</f>
        <v>42</v>
      </c>
      <c r="AW5" s="137">
        <f>'P&amp;L'!AV16</f>
        <v>43</v>
      </c>
      <c r="AX5" s="137">
        <f>'P&amp;L'!AW16</f>
        <v>44</v>
      </c>
      <c r="AY5" s="137">
        <f>'P&amp;L'!AX16</f>
        <v>45</v>
      </c>
      <c r="AZ5" s="137">
        <f>'P&amp;L'!AY16</f>
        <v>46</v>
      </c>
      <c r="BA5" s="137">
        <f>'P&amp;L'!AZ16</f>
        <v>47</v>
      </c>
      <c r="BB5" s="137">
        <f>'P&amp;L'!BA16</f>
        <v>48</v>
      </c>
      <c r="BC5" s="137">
        <f>'P&amp;L'!BB16</f>
        <v>49</v>
      </c>
      <c r="BD5" s="137">
        <f>'P&amp;L'!BC16</f>
        <v>50</v>
      </c>
      <c r="BE5" s="137">
        <f>'P&amp;L'!BD16</f>
        <v>51</v>
      </c>
      <c r="BF5" s="137">
        <f>'P&amp;L'!BE16</f>
        <v>52</v>
      </c>
      <c r="BG5" s="137">
        <f>'P&amp;L'!BF16</f>
        <v>53</v>
      </c>
      <c r="BH5" s="137">
        <f>'P&amp;L'!BG16</f>
        <v>54</v>
      </c>
      <c r="BI5" s="137">
        <f>'P&amp;L'!BH16</f>
        <v>55</v>
      </c>
      <c r="BJ5" s="137">
        <f>'P&amp;L'!BI16</f>
        <v>56</v>
      </c>
      <c r="BK5" s="137">
        <f>'P&amp;L'!BJ16</f>
        <v>57</v>
      </c>
      <c r="BL5" s="137">
        <f>'P&amp;L'!BK16</f>
        <v>58</v>
      </c>
      <c r="BM5" s="137">
        <f>'P&amp;L'!BL16</f>
        <v>59</v>
      </c>
      <c r="BN5" s="137">
        <f>'P&amp;L'!BM16</f>
        <v>60</v>
      </c>
      <c r="BO5" s="137">
        <f>'P&amp;L'!BN16</f>
        <v>61</v>
      </c>
      <c r="BP5" s="137">
        <f>'P&amp;L'!BO16</f>
        <v>62</v>
      </c>
      <c r="BQ5" s="137">
        <f>'P&amp;L'!BP16</f>
        <v>63</v>
      </c>
      <c r="BR5" s="137">
        <f>'P&amp;L'!BQ16</f>
        <v>64</v>
      </c>
      <c r="BS5" s="137">
        <f>'P&amp;L'!BR16</f>
        <v>65</v>
      </c>
      <c r="BT5" s="137">
        <f>'P&amp;L'!BS16</f>
        <v>66</v>
      </c>
      <c r="BU5" s="137">
        <f>'P&amp;L'!BT16</f>
        <v>67</v>
      </c>
      <c r="BV5" s="137">
        <f>'P&amp;L'!BU16</f>
        <v>68</v>
      </c>
      <c r="BW5" s="137">
        <f>'P&amp;L'!BV16</f>
        <v>69</v>
      </c>
      <c r="BX5" s="137">
        <f>'P&amp;L'!BW16</f>
        <v>70</v>
      </c>
      <c r="BY5" s="137">
        <f>'P&amp;L'!BX16</f>
        <v>71</v>
      </c>
      <c r="BZ5" s="137">
        <f>'P&amp;L'!BY16</f>
        <v>72</v>
      </c>
      <c r="CA5" s="137">
        <f>'P&amp;L'!BZ16</f>
        <v>73</v>
      </c>
      <c r="CB5" s="137">
        <f>'P&amp;L'!CA16</f>
        <v>74</v>
      </c>
      <c r="CC5" s="137">
        <f>'P&amp;L'!CB16</f>
        <v>75</v>
      </c>
      <c r="CD5" s="137">
        <f>'P&amp;L'!CC16</f>
        <v>76</v>
      </c>
      <c r="CE5" s="137">
        <f>'P&amp;L'!CD16</f>
        <v>77</v>
      </c>
      <c r="CF5" s="137">
        <f>'P&amp;L'!CE16</f>
        <v>78</v>
      </c>
      <c r="CG5" s="137">
        <f>'P&amp;L'!CF16</f>
        <v>79</v>
      </c>
      <c r="CH5" s="137">
        <f>'P&amp;L'!CG16</f>
        <v>80</v>
      </c>
      <c r="CI5" s="137">
        <f>'P&amp;L'!CH16</f>
        <v>81</v>
      </c>
      <c r="CJ5" s="137">
        <f>'P&amp;L'!CI16</f>
        <v>82</v>
      </c>
      <c r="CK5" s="137">
        <f>'P&amp;L'!CJ16</f>
        <v>83</v>
      </c>
      <c r="CL5" s="137">
        <f>'P&amp;L'!CK16</f>
        <v>84</v>
      </c>
      <c r="CM5" s="137">
        <f>'P&amp;L'!CL16</f>
        <v>85</v>
      </c>
      <c r="CN5" s="137">
        <f>'P&amp;L'!CM16</f>
        <v>86</v>
      </c>
      <c r="CO5" s="137">
        <f>'P&amp;L'!CN16</f>
        <v>87</v>
      </c>
      <c r="CP5" s="137">
        <f>'P&amp;L'!CO16</f>
        <v>88</v>
      </c>
      <c r="CQ5" s="137">
        <f>'P&amp;L'!CP16</f>
        <v>89</v>
      </c>
      <c r="CR5" s="137">
        <f>'P&amp;L'!CQ16</f>
        <v>90</v>
      </c>
      <c r="CS5" s="137">
        <f>'P&amp;L'!CR16</f>
        <v>91</v>
      </c>
      <c r="CT5" s="137">
        <f>'P&amp;L'!CS16</f>
        <v>92</v>
      </c>
      <c r="CU5" s="137">
        <f>'P&amp;L'!CT16</f>
        <v>93</v>
      </c>
      <c r="CV5" s="137">
        <f>'P&amp;L'!CU16</f>
        <v>94</v>
      </c>
      <c r="CW5" s="137">
        <f>'P&amp;L'!CV16</f>
        <v>95</v>
      </c>
      <c r="CX5" s="137">
        <f>'P&amp;L'!CW16</f>
        <v>96</v>
      </c>
      <c r="CY5" s="137">
        <f>'P&amp;L'!CX16</f>
        <v>97</v>
      </c>
      <c r="CZ5" s="137">
        <f>'P&amp;L'!CY16</f>
        <v>98</v>
      </c>
      <c r="DA5" s="137">
        <f>'P&amp;L'!CZ16</f>
        <v>99</v>
      </c>
      <c r="DB5" s="137">
        <f>'P&amp;L'!DA16</f>
        <v>100</v>
      </c>
      <c r="DC5" s="137">
        <f>'P&amp;L'!DB16</f>
        <v>101</v>
      </c>
      <c r="DD5" s="137">
        <f>'P&amp;L'!DC16</f>
        <v>102</v>
      </c>
      <c r="DE5" s="137">
        <f>'P&amp;L'!DD16</f>
        <v>103</v>
      </c>
      <c r="DF5" s="137">
        <f>'P&amp;L'!DE16</f>
        <v>104</v>
      </c>
      <c r="DG5" s="137">
        <f>'P&amp;L'!DF16</f>
        <v>105</v>
      </c>
      <c r="DH5" s="137">
        <f>'P&amp;L'!DG16</f>
        <v>106</v>
      </c>
      <c r="DI5" s="137">
        <f>'P&amp;L'!DH16</f>
        <v>107</v>
      </c>
      <c r="DJ5" s="137">
        <f>'P&amp;L'!DI16</f>
        <v>108</v>
      </c>
      <c r="DK5" s="137">
        <f>'P&amp;L'!DJ16</f>
        <v>109</v>
      </c>
      <c r="DL5" s="137">
        <f>'P&amp;L'!DK16</f>
        <v>110</v>
      </c>
      <c r="DM5" s="137">
        <f>'P&amp;L'!DL16</f>
        <v>111</v>
      </c>
      <c r="DN5" s="137">
        <f>'P&amp;L'!DM16</f>
        <v>112</v>
      </c>
      <c r="DO5" s="137">
        <f>'P&amp;L'!DN16</f>
        <v>113</v>
      </c>
      <c r="DP5" s="137">
        <f>'P&amp;L'!DO16</f>
        <v>114</v>
      </c>
      <c r="DQ5" s="137">
        <f>'P&amp;L'!DP16</f>
        <v>115</v>
      </c>
      <c r="DR5" s="137">
        <f>'P&amp;L'!DQ16</f>
        <v>116</v>
      </c>
      <c r="DS5" s="137">
        <f>'P&amp;L'!DR16</f>
        <v>117</v>
      </c>
      <c r="DT5" s="137">
        <f>'P&amp;L'!DS16</f>
        <v>118</v>
      </c>
      <c r="DU5" s="137">
        <f>'P&amp;L'!DT16</f>
        <v>119</v>
      </c>
      <c r="DV5" s="486">
        <f>'P&amp;L'!DU16</f>
        <v>120</v>
      </c>
      <c r="DW5" s="711"/>
      <c r="DX5" s="489" t="s">
        <v>125</v>
      </c>
      <c r="DY5" s="490">
        <v>1</v>
      </c>
      <c r="DZ5" s="490">
        <v>2</v>
      </c>
      <c r="EA5" s="490">
        <v>3</v>
      </c>
      <c r="EB5" s="490">
        <v>4</v>
      </c>
      <c r="EC5" s="491">
        <v>1</v>
      </c>
      <c r="ED5" s="491">
        <v>2</v>
      </c>
      <c r="EE5" s="491">
        <v>3</v>
      </c>
      <c r="EF5" s="492" t="s">
        <v>130</v>
      </c>
      <c r="EG5" s="491">
        <v>4</v>
      </c>
      <c r="EH5" s="491">
        <v>5</v>
      </c>
      <c r="EI5" s="493" t="s">
        <v>131</v>
      </c>
      <c r="EK5" s="491">
        <v>6</v>
      </c>
      <c r="EL5" s="491">
        <v>7</v>
      </c>
      <c r="EM5" s="491">
        <v>8</v>
      </c>
      <c r="EN5" s="491">
        <v>9</v>
      </c>
      <c r="EO5" s="491">
        <v>10</v>
      </c>
      <c r="EP5" s="493" t="s">
        <v>40</v>
      </c>
    </row>
    <row r="6" spans="1:146" ht="13.5" outlineLevel="1" thickBot="1" x14ac:dyDescent="0.35">
      <c r="B6" s="99" t="str">
        <f>Summary!B3</f>
        <v>Ind Tier 1 -Mumbai</v>
      </c>
      <c r="C6" s="93"/>
      <c r="D6" s="483"/>
      <c r="E6" s="484"/>
      <c r="F6" s="100">
        <f>'P&amp;L'!E17</f>
        <v>46388</v>
      </c>
      <c r="G6" s="101">
        <f>'P&amp;L'!F17</f>
        <v>46446</v>
      </c>
      <c r="H6" s="101">
        <f>'P&amp;L'!G17</f>
        <v>46477</v>
      </c>
      <c r="I6" s="101">
        <f>'P&amp;L'!H17</f>
        <v>46507</v>
      </c>
      <c r="J6" s="101">
        <f>'P&amp;L'!I17</f>
        <v>46538</v>
      </c>
      <c r="K6" s="101">
        <f>'P&amp;L'!J17</f>
        <v>46568</v>
      </c>
      <c r="L6" s="101">
        <f>'P&amp;L'!K17</f>
        <v>46599</v>
      </c>
      <c r="M6" s="101">
        <f>'P&amp;L'!L17</f>
        <v>46630</v>
      </c>
      <c r="N6" s="101">
        <f>'P&amp;L'!M17</f>
        <v>46660</v>
      </c>
      <c r="O6" s="101">
        <f>'P&amp;L'!N17</f>
        <v>46691</v>
      </c>
      <c r="P6" s="101">
        <f>'P&amp;L'!O17</f>
        <v>46721</v>
      </c>
      <c r="Q6" s="101">
        <f>'P&amp;L'!P17</f>
        <v>46752</v>
      </c>
      <c r="R6" s="101">
        <f>'P&amp;L'!Q17</f>
        <v>46783</v>
      </c>
      <c r="S6" s="101">
        <f>'P&amp;L'!R17</f>
        <v>46812</v>
      </c>
      <c r="T6" s="101">
        <f>'P&amp;L'!S17</f>
        <v>46843</v>
      </c>
      <c r="U6" s="101">
        <f>'P&amp;L'!T17</f>
        <v>46873</v>
      </c>
      <c r="V6" s="101">
        <f>'P&amp;L'!U17</f>
        <v>46904</v>
      </c>
      <c r="W6" s="101">
        <f>'P&amp;L'!V17</f>
        <v>46934</v>
      </c>
      <c r="X6" s="101">
        <f>'P&amp;L'!W17</f>
        <v>46965</v>
      </c>
      <c r="Y6" s="101">
        <f>'P&amp;L'!X17</f>
        <v>46996</v>
      </c>
      <c r="Z6" s="101">
        <f>'P&amp;L'!Y17</f>
        <v>47026</v>
      </c>
      <c r="AA6" s="101">
        <f>'P&amp;L'!Z17</f>
        <v>47057</v>
      </c>
      <c r="AB6" s="101">
        <f>'P&amp;L'!AA17</f>
        <v>47087</v>
      </c>
      <c r="AC6" s="101">
        <f>'P&amp;L'!AB17</f>
        <v>47118</v>
      </c>
      <c r="AD6" s="101">
        <f>'P&amp;L'!AC17</f>
        <v>47149</v>
      </c>
      <c r="AE6" s="101">
        <f>'P&amp;L'!AD17</f>
        <v>47177</v>
      </c>
      <c r="AF6" s="101">
        <f>'P&amp;L'!AE17</f>
        <v>47208</v>
      </c>
      <c r="AG6" s="101">
        <f>'P&amp;L'!AF17</f>
        <v>47238</v>
      </c>
      <c r="AH6" s="101">
        <f>'P&amp;L'!AG17</f>
        <v>47269</v>
      </c>
      <c r="AI6" s="101">
        <f>'P&amp;L'!AH17</f>
        <v>47299</v>
      </c>
      <c r="AJ6" s="101">
        <f>'P&amp;L'!AI17</f>
        <v>47330</v>
      </c>
      <c r="AK6" s="101">
        <f>'P&amp;L'!AJ17</f>
        <v>47361</v>
      </c>
      <c r="AL6" s="101">
        <f>'P&amp;L'!AK17</f>
        <v>47391</v>
      </c>
      <c r="AM6" s="101">
        <f>'P&amp;L'!AL17</f>
        <v>47422</v>
      </c>
      <c r="AN6" s="101">
        <f>'P&amp;L'!AM17</f>
        <v>47452</v>
      </c>
      <c r="AO6" s="101">
        <f>'P&amp;L'!AN17</f>
        <v>47483</v>
      </c>
      <c r="AP6" s="101">
        <f>'P&amp;L'!AO17</f>
        <v>47514</v>
      </c>
      <c r="AQ6" s="101">
        <f>'P&amp;L'!AP17</f>
        <v>47542</v>
      </c>
      <c r="AR6" s="101">
        <f>'P&amp;L'!AQ17</f>
        <v>47573</v>
      </c>
      <c r="AS6" s="101">
        <f>'P&amp;L'!AR17</f>
        <v>47603</v>
      </c>
      <c r="AT6" s="101">
        <f>'P&amp;L'!AS17</f>
        <v>47634</v>
      </c>
      <c r="AU6" s="101">
        <f>'P&amp;L'!AT17</f>
        <v>47664</v>
      </c>
      <c r="AV6" s="101">
        <f>'P&amp;L'!AU17</f>
        <v>47695</v>
      </c>
      <c r="AW6" s="101">
        <f>'P&amp;L'!AV17</f>
        <v>47726</v>
      </c>
      <c r="AX6" s="101">
        <f>'P&amp;L'!AW17</f>
        <v>47756</v>
      </c>
      <c r="AY6" s="101">
        <f>'P&amp;L'!AX17</f>
        <v>47787</v>
      </c>
      <c r="AZ6" s="101">
        <f>'P&amp;L'!AY17</f>
        <v>47817</v>
      </c>
      <c r="BA6" s="101">
        <f>'P&amp;L'!AZ17</f>
        <v>47848</v>
      </c>
      <c r="BB6" s="101">
        <f>'P&amp;L'!BA17</f>
        <v>47879</v>
      </c>
      <c r="BC6" s="101">
        <f>'P&amp;L'!BB17</f>
        <v>47907</v>
      </c>
      <c r="BD6" s="101">
        <f>'P&amp;L'!BC17</f>
        <v>47938</v>
      </c>
      <c r="BE6" s="101">
        <f>'P&amp;L'!BD17</f>
        <v>47968</v>
      </c>
      <c r="BF6" s="101">
        <f>'P&amp;L'!BE17</f>
        <v>47999</v>
      </c>
      <c r="BG6" s="101">
        <f>'P&amp;L'!BF17</f>
        <v>48029</v>
      </c>
      <c r="BH6" s="101">
        <f>'P&amp;L'!BG17</f>
        <v>48060</v>
      </c>
      <c r="BI6" s="101">
        <f>'P&amp;L'!BH17</f>
        <v>48091</v>
      </c>
      <c r="BJ6" s="101">
        <f>'P&amp;L'!BI17</f>
        <v>48121</v>
      </c>
      <c r="BK6" s="101">
        <f>'P&amp;L'!BJ17</f>
        <v>48152</v>
      </c>
      <c r="BL6" s="101">
        <f>'P&amp;L'!BK17</f>
        <v>48182</v>
      </c>
      <c r="BM6" s="101">
        <f>'P&amp;L'!BL17</f>
        <v>48213</v>
      </c>
      <c r="BN6" s="101">
        <f>'P&amp;L'!BM17</f>
        <v>48244</v>
      </c>
      <c r="BO6" s="101">
        <f>'P&amp;L'!BN17</f>
        <v>48273</v>
      </c>
      <c r="BP6" s="101">
        <f>'P&amp;L'!BO17</f>
        <v>48304</v>
      </c>
      <c r="BQ6" s="101">
        <f>'P&amp;L'!BP17</f>
        <v>48334</v>
      </c>
      <c r="BR6" s="101">
        <f>'P&amp;L'!BQ17</f>
        <v>48365</v>
      </c>
      <c r="BS6" s="101">
        <f>'P&amp;L'!BR17</f>
        <v>48395</v>
      </c>
      <c r="BT6" s="101">
        <f>'P&amp;L'!BS17</f>
        <v>48426</v>
      </c>
      <c r="BU6" s="101">
        <f>'P&amp;L'!BT17</f>
        <v>48457</v>
      </c>
      <c r="BV6" s="101">
        <f>'P&amp;L'!BU17</f>
        <v>48487</v>
      </c>
      <c r="BW6" s="101">
        <f>'P&amp;L'!BV17</f>
        <v>48518</v>
      </c>
      <c r="BX6" s="101">
        <f>'P&amp;L'!BW17</f>
        <v>48548</v>
      </c>
      <c r="BY6" s="101">
        <f>'P&amp;L'!BX17</f>
        <v>48579</v>
      </c>
      <c r="BZ6" s="101">
        <f>'P&amp;L'!BY17</f>
        <v>48610</v>
      </c>
      <c r="CA6" s="101">
        <f>'P&amp;L'!BZ17</f>
        <v>48638</v>
      </c>
      <c r="CB6" s="101">
        <f>'P&amp;L'!CA17</f>
        <v>48669</v>
      </c>
      <c r="CC6" s="101">
        <f>'P&amp;L'!CB17</f>
        <v>48699</v>
      </c>
      <c r="CD6" s="101">
        <f>'P&amp;L'!CC17</f>
        <v>48730</v>
      </c>
      <c r="CE6" s="101">
        <f>'P&amp;L'!CD17</f>
        <v>48760</v>
      </c>
      <c r="CF6" s="101">
        <f>'P&amp;L'!CE17</f>
        <v>48791</v>
      </c>
      <c r="CG6" s="101">
        <f>'P&amp;L'!CF17</f>
        <v>48822</v>
      </c>
      <c r="CH6" s="101">
        <f>'P&amp;L'!CG17</f>
        <v>48852</v>
      </c>
      <c r="CI6" s="101">
        <f>'P&amp;L'!CH17</f>
        <v>48883</v>
      </c>
      <c r="CJ6" s="101">
        <f>'P&amp;L'!CI17</f>
        <v>48913</v>
      </c>
      <c r="CK6" s="101">
        <f>'P&amp;L'!CJ17</f>
        <v>48944</v>
      </c>
      <c r="CL6" s="101">
        <f>'P&amp;L'!CK17</f>
        <v>48975</v>
      </c>
      <c r="CM6" s="101">
        <f>'P&amp;L'!CL17</f>
        <v>49003</v>
      </c>
      <c r="CN6" s="101">
        <f>'P&amp;L'!CM17</f>
        <v>49034</v>
      </c>
      <c r="CO6" s="101">
        <f>'P&amp;L'!CN17</f>
        <v>49064</v>
      </c>
      <c r="CP6" s="101">
        <f>'P&amp;L'!CO17</f>
        <v>49095</v>
      </c>
      <c r="CQ6" s="101">
        <f>'P&amp;L'!CP17</f>
        <v>49125</v>
      </c>
      <c r="CR6" s="101">
        <f>'P&amp;L'!CQ17</f>
        <v>49156</v>
      </c>
      <c r="CS6" s="101">
        <f>'P&amp;L'!CR17</f>
        <v>49187</v>
      </c>
      <c r="CT6" s="101">
        <f>'P&amp;L'!CS17</f>
        <v>49217</v>
      </c>
      <c r="CU6" s="101">
        <f>'P&amp;L'!CT17</f>
        <v>49248</v>
      </c>
      <c r="CV6" s="101">
        <f>'P&amp;L'!CU17</f>
        <v>49278</v>
      </c>
      <c r="CW6" s="101">
        <f>'P&amp;L'!CV17</f>
        <v>49309</v>
      </c>
      <c r="CX6" s="101">
        <f>'P&amp;L'!CW17</f>
        <v>49340</v>
      </c>
      <c r="CY6" s="101">
        <f>'P&amp;L'!CX17</f>
        <v>49368</v>
      </c>
      <c r="CZ6" s="101">
        <f>'P&amp;L'!CY17</f>
        <v>49399</v>
      </c>
      <c r="DA6" s="101">
        <f>'P&amp;L'!CZ17</f>
        <v>49429</v>
      </c>
      <c r="DB6" s="101">
        <f>'P&amp;L'!DA17</f>
        <v>49460</v>
      </c>
      <c r="DC6" s="101">
        <f>'P&amp;L'!DB17</f>
        <v>49490</v>
      </c>
      <c r="DD6" s="101">
        <f>'P&amp;L'!DC17</f>
        <v>49521</v>
      </c>
      <c r="DE6" s="101">
        <f>'P&amp;L'!DD17</f>
        <v>49552</v>
      </c>
      <c r="DF6" s="101">
        <f>'P&amp;L'!DE17</f>
        <v>49582</v>
      </c>
      <c r="DG6" s="101">
        <f>'P&amp;L'!DF17</f>
        <v>49613</v>
      </c>
      <c r="DH6" s="101">
        <f>'P&amp;L'!DG17</f>
        <v>49643</v>
      </c>
      <c r="DI6" s="101">
        <f>'P&amp;L'!DH17</f>
        <v>49674</v>
      </c>
      <c r="DJ6" s="101">
        <f>'P&amp;L'!DI17</f>
        <v>49705</v>
      </c>
      <c r="DK6" s="101">
        <f>'P&amp;L'!DJ17</f>
        <v>49734</v>
      </c>
      <c r="DL6" s="101">
        <f>'P&amp;L'!DK17</f>
        <v>49765</v>
      </c>
      <c r="DM6" s="101">
        <f>'P&amp;L'!DL17</f>
        <v>49795</v>
      </c>
      <c r="DN6" s="101">
        <f>'P&amp;L'!DM17</f>
        <v>49826</v>
      </c>
      <c r="DO6" s="101">
        <f>'P&amp;L'!DN17</f>
        <v>49856</v>
      </c>
      <c r="DP6" s="101">
        <f>'P&amp;L'!DO17</f>
        <v>49887</v>
      </c>
      <c r="DQ6" s="101">
        <f>'P&amp;L'!DP17</f>
        <v>49918</v>
      </c>
      <c r="DR6" s="101">
        <f>'P&amp;L'!DQ17</f>
        <v>49948</v>
      </c>
      <c r="DS6" s="101">
        <f>'P&amp;L'!DR17</f>
        <v>49979</v>
      </c>
      <c r="DT6" s="101">
        <f>'P&amp;L'!DS17</f>
        <v>50009</v>
      </c>
      <c r="DU6" s="101">
        <f>'P&amp;L'!DT17</f>
        <v>50040</v>
      </c>
      <c r="DV6" s="463">
        <f>'P&amp;L'!DU17</f>
        <v>50071</v>
      </c>
      <c r="DW6" s="712"/>
      <c r="DX6" s="494"/>
      <c r="DY6" s="102"/>
      <c r="DZ6" s="102"/>
      <c r="EA6" s="102"/>
      <c r="EB6" s="102"/>
      <c r="EC6" s="102"/>
      <c r="ED6" s="102"/>
      <c r="EE6" s="102"/>
      <c r="EF6" s="103"/>
      <c r="EG6" s="102"/>
      <c r="EH6" s="102"/>
      <c r="EI6" s="495"/>
      <c r="EK6" s="102"/>
      <c r="EL6" s="102"/>
      <c r="EM6" s="102"/>
      <c r="EN6" s="102"/>
      <c r="EO6" s="102"/>
      <c r="EP6" s="495"/>
    </row>
    <row r="7" spans="1:146" ht="13.5" outlineLevel="1" thickBot="1" x14ac:dyDescent="0.35">
      <c r="B7" s="198"/>
      <c r="C7" s="462" t="s">
        <v>153</v>
      </c>
      <c r="D7" s="464"/>
      <c r="E7" s="465"/>
      <c r="F7" s="199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  <c r="BY7" s="200"/>
      <c r="BZ7" s="200"/>
      <c r="CA7" s="200"/>
      <c r="CB7" s="200"/>
      <c r="CC7" s="200"/>
      <c r="CD7" s="200"/>
      <c r="CE7" s="200"/>
      <c r="CF7" s="200"/>
      <c r="CG7" s="200"/>
      <c r="CH7" s="200"/>
      <c r="CI7" s="200"/>
      <c r="CJ7" s="200"/>
      <c r="CK7" s="200"/>
      <c r="CL7" s="200"/>
      <c r="CM7" s="200"/>
      <c r="CN7" s="200"/>
      <c r="CO7" s="200"/>
      <c r="CP7" s="200"/>
      <c r="CQ7" s="200"/>
      <c r="CR7" s="200"/>
      <c r="CS7" s="200"/>
      <c r="CT7" s="200"/>
      <c r="CU7" s="200"/>
      <c r="CV7" s="200"/>
      <c r="CW7" s="200"/>
      <c r="CX7" s="200"/>
      <c r="CY7" s="200"/>
      <c r="CZ7" s="200"/>
      <c r="DA7" s="200"/>
      <c r="DB7" s="200"/>
      <c r="DC7" s="200"/>
      <c r="DD7" s="200"/>
      <c r="DE7" s="200"/>
      <c r="DF7" s="200"/>
      <c r="DG7" s="200"/>
      <c r="DH7" s="200"/>
      <c r="DI7" s="200"/>
      <c r="DJ7" s="200"/>
      <c r="DK7" s="200"/>
      <c r="DL7" s="200"/>
      <c r="DM7" s="200"/>
      <c r="DN7" s="200"/>
      <c r="DO7" s="200"/>
      <c r="DP7" s="200"/>
      <c r="DQ7" s="200"/>
      <c r="DR7" s="200"/>
      <c r="DS7" s="200"/>
      <c r="DT7" s="200"/>
      <c r="DU7" s="200"/>
      <c r="DV7" s="465"/>
      <c r="DW7" s="713"/>
      <c r="DX7" s="496"/>
      <c r="DY7" s="201"/>
      <c r="DZ7" s="201"/>
      <c r="EA7" s="201"/>
      <c r="EB7" s="201"/>
      <c r="EC7" s="201"/>
      <c r="ED7" s="201"/>
      <c r="EE7" s="201"/>
      <c r="EF7" s="201"/>
      <c r="EG7" s="201"/>
      <c r="EH7" s="201"/>
      <c r="EI7" s="497"/>
      <c r="EK7" s="201"/>
      <c r="EL7" s="201"/>
      <c r="EM7" s="201"/>
      <c r="EN7" s="201"/>
      <c r="EO7" s="201"/>
      <c r="EP7" s="497"/>
    </row>
    <row r="8" spans="1:146" outlineLevel="1" x14ac:dyDescent="0.3">
      <c r="B8" s="202" t="s">
        <v>154</v>
      </c>
      <c r="C8" s="203"/>
      <c r="D8" s="466"/>
      <c r="E8" s="467"/>
      <c r="F8" s="204">
        <f>'P&amp;L'!E69</f>
        <v>50</v>
      </c>
      <c r="G8" s="205">
        <f>'P&amp;L'!F69</f>
        <v>50</v>
      </c>
      <c r="H8" s="205">
        <f>'P&amp;L'!G69</f>
        <v>50</v>
      </c>
      <c r="I8" s="205">
        <f>'P&amp;L'!H69</f>
        <v>50</v>
      </c>
      <c r="J8" s="205">
        <f>'P&amp;L'!I69</f>
        <v>50</v>
      </c>
      <c r="K8" s="205">
        <f>'P&amp;L'!J69</f>
        <v>50</v>
      </c>
      <c r="L8" s="205">
        <f>'P&amp;L'!K69</f>
        <v>50</v>
      </c>
      <c r="M8" s="205">
        <f>'P&amp;L'!L69</f>
        <v>50</v>
      </c>
      <c r="N8" s="205">
        <f>'P&amp;L'!M69</f>
        <v>50</v>
      </c>
      <c r="O8" s="205">
        <f>'P&amp;L'!N69</f>
        <v>50</v>
      </c>
      <c r="P8" s="205">
        <f>'P&amp;L'!O69</f>
        <v>50</v>
      </c>
      <c r="Q8" s="205">
        <f>'P&amp;L'!P69</f>
        <v>50</v>
      </c>
      <c r="R8" s="205">
        <f>'P&amp;L'!Q69</f>
        <v>50</v>
      </c>
      <c r="S8" s="205">
        <f>'P&amp;L'!R69</f>
        <v>50</v>
      </c>
      <c r="T8" s="205">
        <f>'P&amp;L'!S69</f>
        <v>50</v>
      </c>
      <c r="U8" s="205">
        <f>'P&amp;L'!T69</f>
        <v>50</v>
      </c>
      <c r="V8" s="205">
        <f>'P&amp;L'!U69</f>
        <v>50</v>
      </c>
      <c r="W8" s="205">
        <f>'P&amp;L'!V69</f>
        <v>50</v>
      </c>
      <c r="X8" s="205">
        <f>'P&amp;L'!W69</f>
        <v>50</v>
      </c>
      <c r="Y8" s="205">
        <f>'P&amp;L'!X69</f>
        <v>50</v>
      </c>
      <c r="Z8" s="205">
        <f>'P&amp;L'!Y69</f>
        <v>50</v>
      </c>
      <c r="AA8" s="205">
        <f>'P&amp;L'!Z69</f>
        <v>50</v>
      </c>
      <c r="AB8" s="205">
        <f>'P&amp;L'!AA69</f>
        <v>50</v>
      </c>
      <c r="AC8" s="205">
        <f>'P&amp;L'!AB69</f>
        <v>50</v>
      </c>
      <c r="AD8" s="205">
        <f>'P&amp;L'!AC69</f>
        <v>50</v>
      </c>
      <c r="AE8" s="205">
        <f>'P&amp;L'!AD69</f>
        <v>50</v>
      </c>
      <c r="AF8" s="205">
        <f>'P&amp;L'!AE69</f>
        <v>50</v>
      </c>
      <c r="AG8" s="205">
        <f>'P&amp;L'!AF69</f>
        <v>50</v>
      </c>
      <c r="AH8" s="205">
        <f>'P&amp;L'!AG69</f>
        <v>50</v>
      </c>
      <c r="AI8" s="205">
        <f>'P&amp;L'!AH69</f>
        <v>50</v>
      </c>
      <c r="AJ8" s="205">
        <f>'P&amp;L'!AI69</f>
        <v>50</v>
      </c>
      <c r="AK8" s="205">
        <f>'P&amp;L'!AJ69</f>
        <v>50</v>
      </c>
      <c r="AL8" s="205">
        <f>'P&amp;L'!AK69</f>
        <v>50</v>
      </c>
      <c r="AM8" s="205">
        <f>'P&amp;L'!AL69</f>
        <v>50</v>
      </c>
      <c r="AN8" s="205">
        <f>'P&amp;L'!AM69</f>
        <v>50</v>
      </c>
      <c r="AO8" s="205">
        <f>'P&amp;L'!AN69</f>
        <v>50</v>
      </c>
      <c r="AP8" s="205">
        <f>'P&amp;L'!AO69</f>
        <v>50</v>
      </c>
      <c r="AQ8" s="205">
        <f>'P&amp;L'!AP69</f>
        <v>50</v>
      </c>
      <c r="AR8" s="205">
        <f>'P&amp;L'!AQ69</f>
        <v>50</v>
      </c>
      <c r="AS8" s="205">
        <f>'P&amp;L'!AR69</f>
        <v>50</v>
      </c>
      <c r="AT8" s="205">
        <f>'P&amp;L'!AS69</f>
        <v>50</v>
      </c>
      <c r="AU8" s="205">
        <f>'P&amp;L'!AT69</f>
        <v>50</v>
      </c>
      <c r="AV8" s="205">
        <f>'P&amp;L'!AU69</f>
        <v>50</v>
      </c>
      <c r="AW8" s="205">
        <f>'P&amp;L'!AV69</f>
        <v>50</v>
      </c>
      <c r="AX8" s="205">
        <f>'P&amp;L'!AW69</f>
        <v>50</v>
      </c>
      <c r="AY8" s="205">
        <f>'P&amp;L'!AX69</f>
        <v>50</v>
      </c>
      <c r="AZ8" s="205">
        <f>'P&amp;L'!AY69</f>
        <v>50</v>
      </c>
      <c r="BA8" s="205">
        <f>'P&amp;L'!AZ69</f>
        <v>50</v>
      </c>
      <c r="BB8" s="205">
        <f>'P&amp;L'!BA69</f>
        <v>50</v>
      </c>
      <c r="BC8" s="205">
        <f>'P&amp;L'!BB69</f>
        <v>50</v>
      </c>
      <c r="BD8" s="205">
        <f>'P&amp;L'!BC69</f>
        <v>50</v>
      </c>
      <c r="BE8" s="205">
        <f>'P&amp;L'!BD69</f>
        <v>50</v>
      </c>
      <c r="BF8" s="205">
        <f>'P&amp;L'!BE69</f>
        <v>50</v>
      </c>
      <c r="BG8" s="205">
        <f>'P&amp;L'!BF69</f>
        <v>50</v>
      </c>
      <c r="BH8" s="205">
        <f>'P&amp;L'!BG69</f>
        <v>50</v>
      </c>
      <c r="BI8" s="205">
        <f>'P&amp;L'!BH69</f>
        <v>50</v>
      </c>
      <c r="BJ8" s="205">
        <f>'P&amp;L'!BI69</f>
        <v>50</v>
      </c>
      <c r="BK8" s="205">
        <f>'P&amp;L'!BJ69</f>
        <v>50</v>
      </c>
      <c r="BL8" s="205">
        <f>'P&amp;L'!BK69</f>
        <v>50</v>
      </c>
      <c r="BM8" s="205">
        <f>'P&amp;L'!BL69</f>
        <v>50</v>
      </c>
      <c r="BN8" s="205">
        <f>'P&amp;L'!BM69</f>
        <v>50</v>
      </c>
      <c r="BO8" s="205">
        <f>'P&amp;L'!BN69</f>
        <v>50</v>
      </c>
      <c r="BP8" s="205">
        <f>'P&amp;L'!BO69</f>
        <v>50</v>
      </c>
      <c r="BQ8" s="205">
        <f>'P&amp;L'!BP69</f>
        <v>50</v>
      </c>
      <c r="BR8" s="205">
        <f>'P&amp;L'!BQ69</f>
        <v>50</v>
      </c>
      <c r="BS8" s="205">
        <f>'P&amp;L'!BR69</f>
        <v>50</v>
      </c>
      <c r="BT8" s="205">
        <f>'P&amp;L'!BS69</f>
        <v>50</v>
      </c>
      <c r="BU8" s="205">
        <f>'P&amp;L'!BT69</f>
        <v>50</v>
      </c>
      <c r="BV8" s="205">
        <f>'P&amp;L'!BU69</f>
        <v>50</v>
      </c>
      <c r="BW8" s="205">
        <f>'P&amp;L'!BV69</f>
        <v>50</v>
      </c>
      <c r="BX8" s="205">
        <f>'P&amp;L'!BW69</f>
        <v>50</v>
      </c>
      <c r="BY8" s="205">
        <f>'P&amp;L'!BX69</f>
        <v>50</v>
      </c>
      <c r="BZ8" s="205">
        <f>'P&amp;L'!BY69</f>
        <v>50</v>
      </c>
      <c r="CA8" s="205">
        <f>'P&amp;L'!BZ69</f>
        <v>50</v>
      </c>
      <c r="CB8" s="205">
        <f>'P&amp;L'!CA69</f>
        <v>50</v>
      </c>
      <c r="CC8" s="205">
        <f>'P&amp;L'!CB69</f>
        <v>50</v>
      </c>
      <c r="CD8" s="205">
        <f>'P&amp;L'!CC69</f>
        <v>50</v>
      </c>
      <c r="CE8" s="205">
        <f>'P&amp;L'!CD69</f>
        <v>50</v>
      </c>
      <c r="CF8" s="205">
        <f>'P&amp;L'!CE69</f>
        <v>50</v>
      </c>
      <c r="CG8" s="205">
        <f>'P&amp;L'!CF69</f>
        <v>50</v>
      </c>
      <c r="CH8" s="205">
        <f>'P&amp;L'!CG69</f>
        <v>50</v>
      </c>
      <c r="CI8" s="205">
        <f>'P&amp;L'!CH69</f>
        <v>50</v>
      </c>
      <c r="CJ8" s="205">
        <f>'P&amp;L'!CI69</f>
        <v>50</v>
      </c>
      <c r="CK8" s="205">
        <f>'P&amp;L'!CJ69</f>
        <v>50</v>
      </c>
      <c r="CL8" s="205">
        <f>'P&amp;L'!CK69</f>
        <v>50</v>
      </c>
      <c r="CM8" s="205">
        <f>'P&amp;L'!CL69</f>
        <v>50</v>
      </c>
      <c r="CN8" s="205">
        <f>'P&amp;L'!CM69</f>
        <v>50</v>
      </c>
      <c r="CO8" s="205">
        <f>'P&amp;L'!CN69</f>
        <v>50</v>
      </c>
      <c r="CP8" s="205">
        <f>'P&amp;L'!CO69</f>
        <v>50</v>
      </c>
      <c r="CQ8" s="205">
        <f>'P&amp;L'!CP69</f>
        <v>50</v>
      </c>
      <c r="CR8" s="205">
        <f>'P&amp;L'!CQ69</f>
        <v>50</v>
      </c>
      <c r="CS8" s="205">
        <f>'P&amp;L'!CR69</f>
        <v>50</v>
      </c>
      <c r="CT8" s="205">
        <f>'P&amp;L'!CS69</f>
        <v>50</v>
      </c>
      <c r="CU8" s="205">
        <f>'P&amp;L'!CT69</f>
        <v>50</v>
      </c>
      <c r="CV8" s="205">
        <f>'P&amp;L'!CU69</f>
        <v>50</v>
      </c>
      <c r="CW8" s="205">
        <f>'P&amp;L'!CV69</f>
        <v>50</v>
      </c>
      <c r="CX8" s="205">
        <f>'P&amp;L'!CW69</f>
        <v>50</v>
      </c>
      <c r="CY8" s="205">
        <f>'P&amp;L'!CX69</f>
        <v>50</v>
      </c>
      <c r="CZ8" s="205">
        <f>'P&amp;L'!CY69</f>
        <v>50</v>
      </c>
      <c r="DA8" s="205">
        <f>'P&amp;L'!CZ69</f>
        <v>50</v>
      </c>
      <c r="DB8" s="205">
        <f>'P&amp;L'!DA69</f>
        <v>50</v>
      </c>
      <c r="DC8" s="205">
        <f>'P&amp;L'!DB69</f>
        <v>50</v>
      </c>
      <c r="DD8" s="205">
        <f>'P&amp;L'!DC69</f>
        <v>50</v>
      </c>
      <c r="DE8" s="205">
        <f>'P&amp;L'!DD69</f>
        <v>50</v>
      </c>
      <c r="DF8" s="205">
        <f>'P&amp;L'!DE69</f>
        <v>50</v>
      </c>
      <c r="DG8" s="205">
        <f>'P&amp;L'!DF69</f>
        <v>50</v>
      </c>
      <c r="DH8" s="205">
        <f>'P&amp;L'!DG69</f>
        <v>50</v>
      </c>
      <c r="DI8" s="205">
        <f>'P&amp;L'!DH69</f>
        <v>50</v>
      </c>
      <c r="DJ8" s="205">
        <f>'P&amp;L'!DI69</f>
        <v>50</v>
      </c>
      <c r="DK8" s="205">
        <f>'P&amp;L'!DJ69</f>
        <v>50</v>
      </c>
      <c r="DL8" s="205">
        <f>'P&amp;L'!DK69</f>
        <v>50</v>
      </c>
      <c r="DM8" s="205">
        <f>'P&amp;L'!DL69</f>
        <v>50</v>
      </c>
      <c r="DN8" s="205">
        <f>'P&amp;L'!DM69</f>
        <v>50</v>
      </c>
      <c r="DO8" s="205">
        <f>'P&amp;L'!DN69</f>
        <v>50</v>
      </c>
      <c r="DP8" s="205">
        <f>'P&amp;L'!DO69</f>
        <v>50</v>
      </c>
      <c r="DQ8" s="205">
        <f>'P&amp;L'!DP69</f>
        <v>50</v>
      </c>
      <c r="DR8" s="205">
        <f>'P&amp;L'!DQ69</f>
        <v>50</v>
      </c>
      <c r="DS8" s="205">
        <f>'P&amp;L'!DR69</f>
        <v>50</v>
      </c>
      <c r="DT8" s="205">
        <f>'P&amp;L'!DS69</f>
        <v>50</v>
      </c>
      <c r="DU8" s="205">
        <f>'P&amp;L'!DT69</f>
        <v>50</v>
      </c>
      <c r="DV8" s="467">
        <f>'P&amp;L'!DU69</f>
        <v>50</v>
      </c>
      <c r="DW8" s="714"/>
      <c r="DX8" s="498">
        <f>SUM(D8:F8)</f>
        <v>50</v>
      </c>
      <c r="DY8" s="206">
        <f>SUM(G8:I8)</f>
        <v>150</v>
      </c>
      <c r="DZ8" s="206">
        <f>SUM(J8:L8)</f>
        <v>150</v>
      </c>
      <c r="EA8" s="206">
        <f>SUM(M8:O8)</f>
        <v>150</v>
      </c>
      <c r="EB8" s="206">
        <f>SUM(P8:R8)</f>
        <v>150</v>
      </c>
      <c r="EC8" s="207">
        <f>SUM(D8:R8)</f>
        <v>650</v>
      </c>
      <c r="ED8" s="207">
        <f>SUM(S8:AD8)</f>
        <v>600</v>
      </c>
      <c r="EE8" s="207">
        <f>SUM(AE8:AP8)</f>
        <v>600</v>
      </c>
      <c r="EF8" s="208">
        <f>SUM(EC8:EE8)</f>
        <v>1850</v>
      </c>
      <c r="EG8" s="207">
        <f>SUM(AQ8:BB8)</f>
        <v>600</v>
      </c>
      <c r="EH8" s="207">
        <f>SUM(BC8:BN8)</f>
        <v>600</v>
      </c>
      <c r="EI8" s="499">
        <f>SUM(EF8:EH8)</f>
        <v>3050</v>
      </c>
      <c r="EJ8" s="30">
        <f>SUM(F8:BN8)-EI8</f>
        <v>0</v>
      </c>
      <c r="EK8" s="207">
        <f>SUM(BO8:BZ8)</f>
        <v>600</v>
      </c>
      <c r="EL8" s="207">
        <f>SUM(CA8:CL8)</f>
        <v>600</v>
      </c>
      <c r="EM8" s="207">
        <f>SUM(CM8:CX8)</f>
        <v>600</v>
      </c>
      <c r="EN8" s="207">
        <f>SUM(CY8:DJ8)</f>
        <v>600</v>
      </c>
      <c r="EO8" s="207">
        <f>SUM(DK8:DV8)</f>
        <v>600</v>
      </c>
      <c r="EP8" s="499">
        <f>SUM(EC8:EE8,EG8:EH8,EK8:EO8)</f>
        <v>6050</v>
      </c>
    </row>
    <row r="9" spans="1:146" outlineLevel="1" x14ac:dyDescent="0.3">
      <c r="A9" s="259">
        <v>5</v>
      </c>
      <c r="B9" s="1380" t="s">
        <v>155</v>
      </c>
      <c r="C9" s="1381"/>
      <c r="D9" s="1382"/>
      <c r="E9" s="1383"/>
      <c r="F9" s="1382">
        <f>IF(('P&amp;L'!E86*(1-'P&amp;L'!E71))&gt;F8,F8,('P&amp;L'!E86*(1-'P&amp;L'!E71)))</f>
        <v>0</v>
      </c>
      <c r="G9" s="1384">
        <f>IF(('P&amp;L'!F86*(1-'P&amp;L'!F71))&gt;G8,G8,('P&amp;L'!F86*(1-'P&amp;L'!F71)))</f>
        <v>50</v>
      </c>
      <c r="H9" s="1384">
        <f>IF(('P&amp;L'!G86*(1-'P&amp;L'!G71))&gt;H8,H8,('P&amp;L'!G86*(1-'P&amp;L'!G71)))</f>
        <v>50</v>
      </c>
      <c r="I9" s="1384">
        <f>IF(('P&amp;L'!H86*(1-'P&amp;L'!H71))&gt;I8,I8,('P&amp;L'!H86*(1-'P&amp;L'!H71)))</f>
        <v>50</v>
      </c>
      <c r="J9" s="1384">
        <f>IF(('P&amp;L'!I86*(1-'P&amp;L'!I71))&gt;J8,J8,('P&amp;L'!I86*(1-'P&amp;L'!I71)))</f>
        <v>50</v>
      </c>
      <c r="K9" s="1384">
        <f>IF(('P&amp;L'!J86*(1-'P&amp;L'!J71))&gt;K8,K8,('P&amp;L'!J86*(1-'P&amp;L'!J71)))</f>
        <v>50</v>
      </c>
      <c r="L9" s="1384">
        <f>IF(('P&amp;L'!K86*(1-'P&amp;L'!K71))&gt;L8,L8,('P&amp;L'!K86*(1-'P&amp;L'!K71)))</f>
        <v>50</v>
      </c>
      <c r="M9" s="1384">
        <f>IF(('P&amp;L'!L86*(1-'P&amp;L'!L71))&gt;M8,M8,('P&amp;L'!L86*(1-'P&amp;L'!L71)))</f>
        <v>50</v>
      </c>
      <c r="N9" s="1384">
        <f>IF(('P&amp;L'!M86*(1-'P&amp;L'!M71))&gt;N8,N8,('P&amp;L'!M86*(1-'P&amp;L'!M71)))</f>
        <v>50</v>
      </c>
      <c r="O9" s="1384">
        <f>IF(('P&amp;L'!N86*(1-'P&amp;L'!N71))&gt;O8,O8,('P&amp;L'!N86*(1-'P&amp;L'!N71)))</f>
        <v>50</v>
      </c>
      <c r="P9" s="1384">
        <f>IF(('P&amp;L'!O86*(1-'P&amp;L'!O71))&gt;P8,P8,('P&amp;L'!O86*(1-'P&amp;L'!O71)))</f>
        <v>50</v>
      </c>
      <c r="Q9" s="1384">
        <f>IF(('P&amp;L'!P86*(1-'P&amp;L'!P71))&gt;Q8,Q8,('P&amp;L'!P86*(1-'P&amp;L'!P71)))</f>
        <v>50</v>
      </c>
      <c r="R9" s="1384">
        <f>IF(('P&amp;L'!Q86*(1-'P&amp;L'!Q71))&gt;R8,R8,('P&amp;L'!Q86*(1-'P&amp;L'!Q71)))</f>
        <v>50</v>
      </c>
      <c r="S9" s="1384">
        <f>IF(('P&amp;L'!R86*(1-'P&amp;L'!R71))&gt;S8,S8,('P&amp;L'!R86*(1-'P&amp;L'!R71)))</f>
        <v>50</v>
      </c>
      <c r="T9" s="1384">
        <f>IF(('P&amp;L'!S86*(1-'P&amp;L'!S71))&gt;T8,T8,('P&amp;L'!S86*(1-'P&amp;L'!S71)))</f>
        <v>50</v>
      </c>
      <c r="U9" s="1384">
        <f>IF(('P&amp;L'!T86*(1-'P&amp;L'!T71))&gt;U8,U8,('P&amp;L'!T86*(1-'P&amp;L'!T71)))</f>
        <v>50</v>
      </c>
      <c r="V9" s="1384">
        <f>IF(('P&amp;L'!U86*(1-'P&amp;L'!U71))&gt;V8,V8,('P&amp;L'!U86*(1-'P&amp;L'!U71)))</f>
        <v>50</v>
      </c>
      <c r="W9" s="1384">
        <f>IF(('P&amp;L'!V86*(1-'P&amp;L'!V71))&gt;W8,W8,('P&amp;L'!V86*(1-'P&amp;L'!V71)))</f>
        <v>50</v>
      </c>
      <c r="X9" s="1384">
        <f>IF(('P&amp;L'!W86*(1-'P&amp;L'!W71))&gt;X8,X8,('P&amp;L'!W86*(1-'P&amp;L'!W71)))</f>
        <v>50</v>
      </c>
      <c r="Y9" s="1384">
        <f>IF(('P&amp;L'!X86*(1-'P&amp;L'!X71))&gt;Y8,Y8,('P&amp;L'!X86*(1-'P&amp;L'!X71)))</f>
        <v>50</v>
      </c>
      <c r="Z9" s="1384">
        <f>IF(('P&amp;L'!Y86*(1-'P&amp;L'!Y71))&gt;Z8,Z8,('P&amp;L'!Y86*(1-'P&amp;L'!Y71)))</f>
        <v>50</v>
      </c>
      <c r="AA9" s="1384">
        <f>IF(('P&amp;L'!Z86*(1-'P&amp;L'!Z71))&gt;AA8,AA8,('P&amp;L'!Z86*(1-'P&amp;L'!Z71)))</f>
        <v>50</v>
      </c>
      <c r="AB9" s="1384">
        <f>IF(('P&amp;L'!AA86*(1-'P&amp;L'!AA71))&gt;AB8,AB8,('P&amp;L'!AA86*(1-'P&amp;L'!AA71)))</f>
        <v>50</v>
      </c>
      <c r="AC9" s="1384">
        <f>IF(('P&amp;L'!AB86*(1-'P&amp;L'!AB71))&gt;AC8,AC8,('P&amp;L'!AB86*(1-'P&amp;L'!AB71)))</f>
        <v>50</v>
      </c>
      <c r="AD9" s="1384">
        <f>IF(('P&amp;L'!AC86*(1-'P&amp;L'!AC71))&gt;AD8,AD8,('P&amp;L'!AC86*(1-'P&amp;L'!AC71)))</f>
        <v>50</v>
      </c>
      <c r="AE9" s="1384">
        <f>IF(('P&amp;L'!AD86*(1-'P&amp;L'!AD71))&gt;AE8,AE8,('P&amp;L'!AD86*(1-'P&amp;L'!AD71)))</f>
        <v>50</v>
      </c>
      <c r="AF9" s="1384">
        <f>IF(('P&amp;L'!AE86*(1-'P&amp;L'!AE71))&gt;AF8,AF8,('P&amp;L'!AE86*(1-'P&amp;L'!AE71)))</f>
        <v>50</v>
      </c>
      <c r="AG9" s="1384">
        <f>IF(('P&amp;L'!AF86*(1-'P&amp;L'!AF71))&gt;AG8,AG8,('P&amp;L'!AF86*(1-'P&amp;L'!AF71)))</f>
        <v>50</v>
      </c>
      <c r="AH9" s="1384">
        <f>IF(('P&amp;L'!AG86*(1-'P&amp;L'!AG71))&gt;AH8,AH8,('P&amp;L'!AG86*(1-'P&amp;L'!AG71)))</f>
        <v>50</v>
      </c>
      <c r="AI9" s="1384">
        <f>IF(('P&amp;L'!AH86*(1-'P&amp;L'!AH71))&gt;AI8,AI8,('P&amp;L'!AH86*(1-'P&amp;L'!AH71)))</f>
        <v>50</v>
      </c>
      <c r="AJ9" s="1384">
        <f>IF(('P&amp;L'!AI86*(1-'P&amp;L'!AI71))&gt;AJ8,AJ8,('P&amp;L'!AI86*(1-'P&amp;L'!AI71)))</f>
        <v>50</v>
      </c>
      <c r="AK9" s="1384">
        <f>IF(('P&amp;L'!AJ86*(1-'P&amp;L'!AJ71))&gt;AK8,AK8,('P&amp;L'!AJ86*(1-'P&amp;L'!AJ71)))</f>
        <v>50</v>
      </c>
      <c r="AL9" s="1384">
        <f>IF(('P&amp;L'!AK86*(1-'P&amp;L'!AK71))&gt;AL8,AL8,('P&amp;L'!AK86*(1-'P&amp;L'!AK71)))</f>
        <v>50</v>
      </c>
      <c r="AM9" s="1384">
        <f>IF(('P&amp;L'!AL86*(1-'P&amp;L'!AL71))&gt;AM8,AM8,('P&amp;L'!AL86*(1-'P&amp;L'!AL71)))</f>
        <v>50</v>
      </c>
      <c r="AN9" s="1384">
        <f>IF(('P&amp;L'!AM86*(1-'P&amp;L'!AM71))&gt;AN8,AN8,('P&amp;L'!AM86*(1-'P&amp;L'!AM71)))</f>
        <v>50</v>
      </c>
      <c r="AO9" s="1384">
        <f>IF(('P&amp;L'!AN86*(1-'P&amp;L'!AN71))&gt;AO8,AO8,('P&amp;L'!AN86*(1-'P&amp;L'!AN71)))</f>
        <v>50</v>
      </c>
      <c r="AP9" s="1384">
        <f>IF(('P&amp;L'!AO86*(1-'P&amp;L'!AO71))&gt;AP8,AP8,('P&amp;L'!AO86*(1-'P&amp;L'!AO71)))</f>
        <v>50</v>
      </c>
      <c r="AQ9" s="1384">
        <f>IF(('P&amp;L'!AP86*(1-'P&amp;L'!AP71))&gt;AQ8,AQ8,('P&amp;L'!AP86*(1-'P&amp;L'!AP71)))</f>
        <v>50</v>
      </c>
      <c r="AR9" s="1384">
        <f>IF(('P&amp;L'!AQ86*(1-'P&amp;L'!AQ71))&gt;AR8,AR8,('P&amp;L'!AQ86*(1-'P&amp;L'!AQ71)))</f>
        <v>50</v>
      </c>
      <c r="AS9" s="1384">
        <f>IF(('P&amp;L'!AR86*(1-'P&amp;L'!AR71))&gt;AS8,AS8,('P&amp;L'!AR86*(1-'P&amp;L'!AR71)))</f>
        <v>50</v>
      </c>
      <c r="AT9" s="1384">
        <f>IF(('P&amp;L'!AS86*(1-'P&amp;L'!AS71))&gt;AT8,AT8,('P&amp;L'!AS86*(1-'P&amp;L'!AS71)))</f>
        <v>50</v>
      </c>
      <c r="AU9" s="1384">
        <f>IF(('P&amp;L'!AT86*(1-'P&amp;L'!AT71))&gt;AU8,AU8,('P&amp;L'!AT86*(1-'P&amp;L'!AT71)))</f>
        <v>50</v>
      </c>
      <c r="AV9" s="1384">
        <f>IF(('P&amp;L'!AU86*(1-'P&amp;L'!AU71))&gt;AV8,AV8,('P&amp;L'!AU86*(1-'P&amp;L'!AU71)))</f>
        <v>50</v>
      </c>
      <c r="AW9" s="1384">
        <f>IF(('P&amp;L'!AV86*(1-'P&amp;L'!AV71))&gt;AW8,AW8,('P&amp;L'!AV86*(1-'P&amp;L'!AV71)))</f>
        <v>50</v>
      </c>
      <c r="AX9" s="1384">
        <f>IF(('P&amp;L'!AW86*(1-'P&amp;L'!AW71))&gt;AX8,AX8,('P&amp;L'!AW86*(1-'P&amp;L'!AW71)))</f>
        <v>50</v>
      </c>
      <c r="AY9" s="1384">
        <f>IF(('P&amp;L'!AX86*(1-'P&amp;L'!AX71))&gt;AY8,AY8,('P&amp;L'!AX86*(1-'P&amp;L'!AX71)))</f>
        <v>50</v>
      </c>
      <c r="AZ9" s="1384">
        <f>IF(('P&amp;L'!AY86*(1-'P&amp;L'!AY71))&gt;AZ8,AZ8,('P&amp;L'!AY86*(1-'P&amp;L'!AY71)))</f>
        <v>50</v>
      </c>
      <c r="BA9" s="1384">
        <f>IF(('P&amp;L'!AZ86*(1-'P&amp;L'!AZ71))&gt;BA8,BA8,('P&amp;L'!AZ86*(1-'P&amp;L'!AZ71)))</f>
        <v>50</v>
      </c>
      <c r="BB9" s="1384">
        <f>IF(('P&amp;L'!BA86*(1-'P&amp;L'!BA71))&gt;BB8,BB8,('P&amp;L'!BA86*(1-'P&amp;L'!BA71)))</f>
        <v>50</v>
      </c>
      <c r="BC9" s="1384">
        <f>IF(('P&amp;L'!BB86*(1-'P&amp;L'!BB71))&gt;BC8,BC8,('P&amp;L'!BB86*(1-'P&amp;L'!BB71)))</f>
        <v>50</v>
      </c>
      <c r="BD9" s="1384">
        <f>IF(('P&amp;L'!BC86*(1-'P&amp;L'!BC71))&gt;BD8,BD8,('P&amp;L'!BC86*(1-'P&amp;L'!BC71)))</f>
        <v>50</v>
      </c>
      <c r="BE9" s="1384">
        <f>IF(('P&amp;L'!BD86*(1-'P&amp;L'!BD71))&gt;BE8,BE8,('P&amp;L'!BD86*(1-'P&amp;L'!BD71)))</f>
        <v>50</v>
      </c>
      <c r="BF9" s="1384">
        <f>IF(('P&amp;L'!BE86*(1-'P&amp;L'!BE71))&gt;BF8,BF8,('P&amp;L'!BE86*(1-'P&amp;L'!BE71)))</f>
        <v>50</v>
      </c>
      <c r="BG9" s="1384">
        <f>IF(('P&amp;L'!BF86*(1-'P&amp;L'!BF71))&gt;BG8,BG8,('P&amp;L'!BF86*(1-'P&amp;L'!BF71)))</f>
        <v>50</v>
      </c>
      <c r="BH9" s="1384">
        <f>IF(('P&amp;L'!BG86*(1-'P&amp;L'!BG71))&gt;BH8,BH8,('P&amp;L'!BG86*(1-'P&amp;L'!BG71)))</f>
        <v>50</v>
      </c>
      <c r="BI9" s="1384">
        <f>IF(('P&amp;L'!BH86*(1-'P&amp;L'!BH71))&gt;BI8,BI8,('P&amp;L'!BH86*(1-'P&amp;L'!BH71)))</f>
        <v>50</v>
      </c>
      <c r="BJ9" s="1384">
        <f>IF(('P&amp;L'!BI86*(1-'P&amp;L'!BI71))&gt;BJ8,BJ8,('P&amp;L'!BI86*(1-'P&amp;L'!BI71)))</f>
        <v>50</v>
      </c>
      <c r="BK9" s="1384">
        <f>IF(('P&amp;L'!BJ86*(1-'P&amp;L'!BJ71))&gt;BK8,BK8,('P&amp;L'!BJ86*(1-'P&amp;L'!BJ71)))</f>
        <v>50</v>
      </c>
      <c r="BL9" s="1384">
        <f>IF(('P&amp;L'!BK86*(1-'P&amp;L'!BK71))&gt;BL8,BL8,('P&amp;L'!BK86*(1-'P&amp;L'!BK71)))</f>
        <v>50</v>
      </c>
      <c r="BM9" s="1384">
        <f>IF(('P&amp;L'!BL86*(1-'P&amp;L'!BL71))&gt;BM8,BM8,('P&amp;L'!BL86*(1-'P&amp;L'!BL71)))</f>
        <v>50</v>
      </c>
      <c r="BN9" s="1384">
        <f>IF(('P&amp;L'!BM86*(1-'P&amp;L'!BM71))&gt;BN8,BN8,('P&amp;L'!BM86*(1-'P&amp;L'!BM71)))</f>
        <v>50</v>
      </c>
      <c r="BO9" s="1384">
        <f>IF(('P&amp;L'!BN86*(1-'P&amp;L'!BN71))&gt;BO8,BO8,('P&amp;L'!BN86*(1-'P&amp;L'!BN71)))</f>
        <v>50</v>
      </c>
      <c r="BP9" s="1384">
        <f>IF(('P&amp;L'!BO86*(1-'P&amp;L'!BO71))&gt;BP8,BP8,('P&amp;L'!BO86*(1-'P&amp;L'!BO71)))</f>
        <v>50</v>
      </c>
      <c r="BQ9" s="1384">
        <f>IF(('P&amp;L'!BP86*(1-'P&amp;L'!BP71))&gt;BQ8,BQ8,('P&amp;L'!BP86*(1-'P&amp;L'!BP71)))</f>
        <v>50</v>
      </c>
      <c r="BR9" s="1384">
        <f>IF(('P&amp;L'!BQ86*(1-'P&amp;L'!BQ71))&gt;BR8,BR8,('P&amp;L'!BQ86*(1-'P&amp;L'!BQ71)))</f>
        <v>50</v>
      </c>
      <c r="BS9" s="1384">
        <f>IF(('P&amp;L'!BR86*(1-'P&amp;L'!BR71))&gt;BS8,BS8,('P&amp;L'!BR86*(1-'P&amp;L'!BR71)))</f>
        <v>50</v>
      </c>
      <c r="BT9" s="1384">
        <f>IF(('P&amp;L'!BS86*(1-'P&amp;L'!BS71))&gt;BT8,BT8,('P&amp;L'!BS86*(1-'P&amp;L'!BS71)))</f>
        <v>50</v>
      </c>
      <c r="BU9" s="1384">
        <f>IF(('P&amp;L'!BT86*(1-'P&amp;L'!BT71))&gt;BU8,BU8,('P&amp;L'!BT86*(1-'P&amp;L'!BT71)))</f>
        <v>50</v>
      </c>
      <c r="BV9" s="1384">
        <f>IF(('P&amp;L'!BU86*(1-'P&amp;L'!BU71))&gt;BV8,BV8,('P&amp;L'!BU86*(1-'P&amp;L'!BU71)))</f>
        <v>50</v>
      </c>
      <c r="BW9" s="1384">
        <f>IF(('P&amp;L'!BV86*(1-'P&amp;L'!BV71))&gt;BW8,BW8,('P&amp;L'!BV86*(1-'P&amp;L'!BV71)))</f>
        <v>50</v>
      </c>
      <c r="BX9" s="1384">
        <f>IF(('P&amp;L'!BW86*(1-'P&amp;L'!BW71))&gt;BX8,BX8,('P&amp;L'!BW86*(1-'P&amp;L'!BW71)))</f>
        <v>50</v>
      </c>
      <c r="BY9" s="1384">
        <f>IF(('P&amp;L'!BX86*(1-'P&amp;L'!BX71))&gt;BY8,BY8,('P&amp;L'!BX86*(1-'P&amp;L'!BX71)))</f>
        <v>50</v>
      </c>
      <c r="BZ9" s="1384">
        <f>IF(('P&amp;L'!BY86*(1-'P&amp;L'!BY71))&gt;BZ8,BZ8,('P&amp;L'!BY86*(1-'P&amp;L'!BY71)))</f>
        <v>50</v>
      </c>
      <c r="CA9" s="1384">
        <f>IF(('P&amp;L'!BZ86*(1-'P&amp;L'!BZ71))&gt;CA8,CA8,('P&amp;L'!BZ86*(1-'P&amp;L'!BZ71)))</f>
        <v>50</v>
      </c>
      <c r="CB9" s="1384">
        <f>IF(('P&amp;L'!CA86*(1-'P&amp;L'!CA71))&gt;CB8,CB8,('P&amp;L'!CA86*(1-'P&amp;L'!CA71)))</f>
        <v>50</v>
      </c>
      <c r="CC9" s="1384">
        <f>IF(('P&amp;L'!CB86*(1-'P&amp;L'!CB71))&gt;CC8,CC8,('P&amp;L'!CB86*(1-'P&amp;L'!CB71)))</f>
        <v>50</v>
      </c>
      <c r="CD9" s="1384">
        <f>IF(('P&amp;L'!CC86*(1-'P&amp;L'!CC71))&gt;CD8,CD8,('P&amp;L'!CC86*(1-'P&amp;L'!CC71)))</f>
        <v>50</v>
      </c>
      <c r="CE9" s="1384">
        <f>IF(('P&amp;L'!CD86*(1-'P&amp;L'!CD71))&gt;CE8,CE8,('P&amp;L'!CD86*(1-'P&amp;L'!CD71)))</f>
        <v>50</v>
      </c>
      <c r="CF9" s="1384">
        <f>IF(('P&amp;L'!CE86*(1-'P&amp;L'!CE71))&gt;CF8,CF8,('P&amp;L'!CE86*(1-'P&amp;L'!CE71)))</f>
        <v>50</v>
      </c>
      <c r="CG9" s="1384">
        <f>IF(('P&amp;L'!CF86*(1-'P&amp;L'!CF71))&gt;CG8,CG8,('P&amp;L'!CF86*(1-'P&amp;L'!CF71)))</f>
        <v>50</v>
      </c>
      <c r="CH9" s="1384">
        <f>IF(('P&amp;L'!CG86*(1-'P&amp;L'!CG71))&gt;CH8,CH8,('P&amp;L'!CG86*(1-'P&amp;L'!CG71)))</f>
        <v>50</v>
      </c>
      <c r="CI9" s="1384">
        <f>IF(('P&amp;L'!CH86*(1-'P&amp;L'!CH71))&gt;CI8,CI8,('P&amp;L'!CH86*(1-'P&amp;L'!CH71)))</f>
        <v>50</v>
      </c>
      <c r="CJ9" s="1384">
        <f>IF(('P&amp;L'!CI86*(1-'P&amp;L'!CI71))&gt;CJ8,CJ8,('P&amp;L'!CI86*(1-'P&amp;L'!CI71)))</f>
        <v>50</v>
      </c>
      <c r="CK9" s="1384">
        <f>IF(('P&amp;L'!CJ86*(1-'P&amp;L'!CJ71))&gt;CK8,CK8,('P&amp;L'!CJ86*(1-'P&amp;L'!CJ71)))</f>
        <v>50</v>
      </c>
      <c r="CL9" s="1384">
        <f>IF(('P&amp;L'!CK86*(1-'P&amp;L'!CK71))&gt;CL8,CL8,('P&amp;L'!CK86*(1-'P&amp;L'!CK71)))</f>
        <v>50</v>
      </c>
      <c r="CM9" s="1384">
        <f>IF(('P&amp;L'!CL86*(1-'P&amp;L'!CL71))&gt;CM8,CM8,('P&amp;L'!CL86*(1-'P&amp;L'!CL71)))</f>
        <v>50</v>
      </c>
      <c r="CN9" s="1384">
        <f>IF(('P&amp;L'!CM86*(1-'P&amp;L'!CM71))&gt;CN8,CN8,('P&amp;L'!CM86*(1-'P&amp;L'!CM71)))</f>
        <v>50</v>
      </c>
      <c r="CO9" s="1384">
        <f>IF(('P&amp;L'!CN86*(1-'P&amp;L'!CN71))&gt;CO8,CO8,('P&amp;L'!CN86*(1-'P&amp;L'!CN71)))</f>
        <v>50</v>
      </c>
      <c r="CP9" s="1384">
        <f>IF(('P&amp;L'!CO86*(1-'P&amp;L'!CO71))&gt;CP8,CP8,('P&amp;L'!CO86*(1-'P&amp;L'!CO71)))</f>
        <v>50</v>
      </c>
      <c r="CQ9" s="1384">
        <f>IF(('P&amp;L'!CP86*(1-'P&amp;L'!CP71))&gt;CQ8,CQ8,('P&amp;L'!CP86*(1-'P&amp;L'!CP71)))</f>
        <v>50</v>
      </c>
      <c r="CR9" s="1384">
        <f>IF(('P&amp;L'!CQ86*(1-'P&amp;L'!CQ71))&gt;CR8,CR8,('P&amp;L'!CQ86*(1-'P&amp;L'!CQ71)))</f>
        <v>50</v>
      </c>
      <c r="CS9" s="1384">
        <f>IF(('P&amp;L'!CR86*(1-'P&amp;L'!CR71))&gt;CS8,CS8,('P&amp;L'!CR86*(1-'P&amp;L'!CR71)))</f>
        <v>50</v>
      </c>
      <c r="CT9" s="1384">
        <f>IF(('P&amp;L'!CS86*(1-'P&amp;L'!CS71))&gt;CT8,CT8,('P&amp;L'!CS86*(1-'P&amp;L'!CS71)))</f>
        <v>50</v>
      </c>
      <c r="CU9" s="1384">
        <f>IF(('P&amp;L'!CT86*(1-'P&amp;L'!CT71))&gt;CU8,CU8,('P&amp;L'!CT86*(1-'P&amp;L'!CT71)))</f>
        <v>50</v>
      </c>
      <c r="CV9" s="1384">
        <f>IF(('P&amp;L'!CU86*(1-'P&amp;L'!CU71))&gt;CV8,CV8,('P&amp;L'!CU86*(1-'P&amp;L'!CU71)))</f>
        <v>50</v>
      </c>
      <c r="CW9" s="1384">
        <f>IF(('P&amp;L'!CV86*(1-'P&amp;L'!CV71))&gt;CW8,CW8,('P&amp;L'!CV86*(1-'P&amp;L'!CV71)))</f>
        <v>50</v>
      </c>
      <c r="CX9" s="1384">
        <f>IF(('P&amp;L'!CW86*(1-'P&amp;L'!CW71))&gt;CX8,CX8,('P&amp;L'!CW86*(1-'P&amp;L'!CW71)))</f>
        <v>50</v>
      </c>
      <c r="CY9" s="1384">
        <f>IF(('P&amp;L'!CX86*(1-'P&amp;L'!CX71))&gt;CY8,CY8,('P&amp;L'!CX86*(1-'P&amp;L'!CX71)))</f>
        <v>50</v>
      </c>
      <c r="CZ9" s="1384">
        <f>IF(('P&amp;L'!CY86*(1-'P&amp;L'!CY71))&gt;CZ8,CZ8,('P&amp;L'!CY86*(1-'P&amp;L'!CY71)))</f>
        <v>50</v>
      </c>
      <c r="DA9" s="1384">
        <f>IF(('P&amp;L'!CZ86*(1-'P&amp;L'!CZ71))&gt;DA8,DA8,('P&amp;L'!CZ86*(1-'P&amp;L'!CZ71)))</f>
        <v>50</v>
      </c>
      <c r="DB9" s="1384">
        <f>IF(('P&amp;L'!DA86*(1-'P&amp;L'!DA71))&gt;DB8,DB8,('P&amp;L'!DA86*(1-'P&amp;L'!DA71)))</f>
        <v>50</v>
      </c>
      <c r="DC9" s="1384">
        <f>IF(('P&amp;L'!DB86*(1-'P&amp;L'!DB71))&gt;DC8,DC8,('P&amp;L'!DB86*(1-'P&amp;L'!DB71)))</f>
        <v>50</v>
      </c>
      <c r="DD9" s="1384">
        <f>IF(('P&amp;L'!DC86*(1-'P&amp;L'!DC71))&gt;DD8,DD8,('P&amp;L'!DC86*(1-'P&amp;L'!DC71)))</f>
        <v>50</v>
      </c>
      <c r="DE9" s="1384">
        <f>IF(('P&amp;L'!DD86*(1-'P&amp;L'!DD71))&gt;DE8,DE8,('P&amp;L'!DD86*(1-'P&amp;L'!DD71)))</f>
        <v>50</v>
      </c>
      <c r="DF9" s="1384">
        <f>IF(('P&amp;L'!DE86*(1-'P&amp;L'!DE71))&gt;DF8,DF8,('P&amp;L'!DE86*(1-'P&amp;L'!DE71)))</f>
        <v>50</v>
      </c>
      <c r="DG9" s="1384">
        <f>IF(('P&amp;L'!DF86*(1-'P&amp;L'!DF71))&gt;DG8,DG8,('P&amp;L'!DF86*(1-'P&amp;L'!DF71)))</f>
        <v>50</v>
      </c>
      <c r="DH9" s="1384">
        <f>IF(('P&amp;L'!DG86*(1-'P&amp;L'!DG71))&gt;DH8,DH8,('P&amp;L'!DG86*(1-'P&amp;L'!DG71)))</f>
        <v>50</v>
      </c>
      <c r="DI9" s="1384">
        <f>IF(('P&amp;L'!DH86*(1-'P&amp;L'!DH71))&gt;DI8,DI8,('P&amp;L'!DH86*(1-'P&amp;L'!DH71)))</f>
        <v>50</v>
      </c>
      <c r="DJ9" s="1384">
        <f>IF(('P&amp;L'!DI86*(1-'P&amp;L'!DI71))&gt;DJ8,DJ8,('P&amp;L'!DI86*(1-'P&amp;L'!DI71)))</f>
        <v>50</v>
      </c>
      <c r="DK9" s="1384">
        <f>IF(('P&amp;L'!DJ86*(1-'P&amp;L'!DJ71))&gt;DK8,DK8,('P&amp;L'!DJ86*(1-'P&amp;L'!DJ71)))</f>
        <v>50</v>
      </c>
      <c r="DL9" s="1384">
        <f>IF(('P&amp;L'!DK86*(1-'P&amp;L'!DK71))&gt;DL8,DL8,('P&amp;L'!DK86*(1-'P&amp;L'!DK71)))</f>
        <v>50</v>
      </c>
      <c r="DM9" s="1384">
        <f>IF(('P&amp;L'!DL86*(1-'P&amp;L'!DL71))&gt;DM8,DM8,('P&amp;L'!DL86*(1-'P&amp;L'!DL71)))</f>
        <v>50</v>
      </c>
      <c r="DN9" s="1384">
        <f>IF(('P&amp;L'!DM86*(1-'P&amp;L'!DM71))&gt;DN8,DN8,('P&amp;L'!DM86*(1-'P&amp;L'!DM71)))</f>
        <v>50</v>
      </c>
      <c r="DO9" s="1384">
        <f>IF(('P&amp;L'!DN86*(1-'P&amp;L'!DN71))&gt;DO8,DO8,('P&amp;L'!DN86*(1-'P&amp;L'!DN71)))</f>
        <v>50</v>
      </c>
      <c r="DP9" s="1384">
        <f>IF(('P&amp;L'!DO86*(1-'P&amp;L'!DO71))&gt;DP8,DP8,('P&amp;L'!DO86*(1-'P&amp;L'!DO71)))</f>
        <v>50</v>
      </c>
      <c r="DQ9" s="1384">
        <f>IF(('P&amp;L'!DP86*(1-'P&amp;L'!DP71))&gt;DQ8,DQ8,('P&amp;L'!DP86*(1-'P&amp;L'!DP71)))</f>
        <v>50</v>
      </c>
      <c r="DR9" s="1384">
        <f>IF(('P&amp;L'!DQ86*(1-'P&amp;L'!DQ71))&gt;DR8,DR8,('P&amp;L'!DQ86*(1-'P&amp;L'!DQ71)))</f>
        <v>50</v>
      </c>
      <c r="DS9" s="1384">
        <f>IF(('P&amp;L'!DR86*(1-'P&amp;L'!DR71))&gt;DS8,DS8,('P&amp;L'!DR86*(1-'P&amp;L'!DR71)))</f>
        <v>50</v>
      </c>
      <c r="DT9" s="1384">
        <f>IF(('P&amp;L'!DS86*(1-'P&amp;L'!DS71))&gt;DT8,DT8,('P&amp;L'!DS86*(1-'P&amp;L'!DS71)))</f>
        <v>50</v>
      </c>
      <c r="DU9" s="1384">
        <f>IF(('P&amp;L'!DT86*(1-'P&amp;L'!DT71))&gt;DU8,DU8,('P&amp;L'!DT86*(1-'P&amp;L'!DT71)))</f>
        <v>50</v>
      </c>
      <c r="DV9" s="1383">
        <f>IF(('P&amp;L'!DU86*(1-'P&amp;L'!DU71))&gt;DV8,DV8,('P&amp;L'!DU86*(1-'P&amp;L'!DU71)))</f>
        <v>50</v>
      </c>
      <c r="DW9" s="715"/>
      <c r="DX9" s="211">
        <f t="shared" ref="DX9:DX10" si="0">SUM(D9:F9)</f>
        <v>0</v>
      </c>
      <c r="DY9" s="213">
        <f>SUM(G9:I9)</f>
        <v>150</v>
      </c>
      <c r="DZ9" s="213">
        <f>SUM(J9:L9)</f>
        <v>150</v>
      </c>
      <c r="EA9" s="213">
        <f>SUM(M9:O9)</f>
        <v>150</v>
      </c>
      <c r="EB9" s="213">
        <f>SUM(P9:R9)</f>
        <v>150</v>
      </c>
      <c r="EC9" s="213">
        <f t="shared" ref="EC9:EC10" si="1">SUM(D9:R9)</f>
        <v>600</v>
      </c>
      <c r="ED9" s="213">
        <f>SUM(S9:AD9)</f>
        <v>600</v>
      </c>
      <c r="EE9" s="213">
        <f>SUM(AE9:AP9)</f>
        <v>600</v>
      </c>
      <c r="EF9" s="214">
        <f>SUM(EC9:EE9)</f>
        <v>1800</v>
      </c>
      <c r="EG9" s="213">
        <f t="shared" ref="EG9:EG10" si="2">SUM(AQ9:BB9)</f>
        <v>600</v>
      </c>
      <c r="EH9" s="213">
        <f t="shared" ref="EH9:EH10" si="3">SUM(BC9:BN9)</f>
        <v>600</v>
      </c>
      <c r="EI9" s="500">
        <f>SUM(EF9:EH9)</f>
        <v>3000</v>
      </c>
      <c r="EJ9" s="30">
        <f>SUM(F9:BN9)-EI9</f>
        <v>0</v>
      </c>
      <c r="EK9" s="213">
        <f t="shared" ref="EK9:EK57" si="4">SUM(BO9:BZ9)</f>
        <v>600</v>
      </c>
      <c r="EL9" s="213">
        <f t="shared" ref="EL9:EL57" si="5">SUM(CA9:CL9)</f>
        <v>600</v>
      </c>
      <c r="EM9" s="213">
        <f t="shared" ref="EM9:EM57" si="6">SUM(CM9:CX9)</f>
        <v>600</v>
      </c>
      <c r="EN9" s="213">
        <f t="shared" ref="EN9:EN57" si="7">SUM(CY9:DJ9)</f>
        <v>600</v>
      </c>
      <c r="EO9" s="213">
        <f t="shared" ref="EO9:EO57" si="8">SUM(DK9:DV9)</f>
        <v>600</v>
      </c>
      <c r="EP9" s="500">
        <f t="shared" ref="EP9:EP24" si="9">SUM(EC9:EE9,EG9:EH9,EK9:EO9)</f>
        <v>6000</v>
      </c>
    </row>
    <row r="10" spans="1:146" outlineLevel="1" x14ac:dyDescent="0.3">
      <c r="A10" s="735">
        <f>IF(Summary!$AD$3=Summary!$AB$6,Summary!$AA$6,IF(Summary!$AD$3=Summary!$AB$7,Summary!$AA$7))</f>
        <v>9</v>
      </c>
      <c r="B10" s="202" t="s">
        <v>156</v>
      </c>
      <c r="C10" s="315"/>
      <c r="D10" s="215"/>
      <c r="E10" s="469"/>
      <c r="F10" s="215">
        <f>IF(B6="Mexico",(F9*$C$87*$A$9*F$2),(F9*$A$10*$A$9*F$2))</f>
        <v>0</v>
      </c>
      <c r="G10" s="216">
        <f t="shared" ref="G10:R10" si="10">IF(C6="Mexico",(G9*$C$87*$A$9*G$2),(G9*$A$10*$A$9*G$2))</f>
        <v>9000</v>
      </c>
      <c r="H10" s="216">
        <f t="shared" si="10"/>
        <v>9964.2857142857156</v>
      </c>
      <c r="I10" s="216">
        <f t="shared" si="10"/>
        <v>9642.8571428571431</v>
      </c>
      <c r="J10" s="216">
        <f t="shared" si="10"/>
        <v>9964.2857142857156</v>
      </c>
      <c r="K10" s="216">
        <f t="shared" si="10"/>
        <v>9642.8571428571431</v>
      </c>
      <c r="L10" s="216">
        <f t="shared" si="10"/>
        <v>9964.2857142857156</v>
      </c>
      <c r="M10" s="216">
        <f t="shared" si="10"/>
        <v>9964.2857142857156</v>
      </c>
      <c r="N10" s="216">
        <f t="shared" si="10"/>
        <v>9642.8571428571431</v>
      </c>
      <c r="O10" s="216">
        <f t="shared" si="10"/>
        <v>9964.2857142857156</v>
      </c>
      <c r="P10" s="216">
        <f t="shared" si="10"/>
        <v>9642.8571428571431</v>
      </c>
      <c r="Q10" s="216">
        <f t="shared" si="10"/>
        <v>9964.2857142857156</v>
      </c>
      <c r="R10" s="216">
        <f t="shared" si="10"/>
        <v>9964.2857142857156</v>
      </c>
      <c r="S10" s="216">
        <f>IF(O6="Mexico",(S9*$D$87*$A$9*S$2),(S9*$A$10*$A$9*S$2))</f>
        <v>9321.4285714285725</v>
      </c>
      <c r="T10" s="216">
        <f t="shared" ref="T10:AD10" si="11">IF(P6="Mexico",(T9*$D$87*$A$9*T$2),(T9*$A$10*$A$9*T$2))</f>
        <v>9964.2857142857156</v>
      </c>
      <c r="U10" s="216">
        <f t="shared" si="11"/>
        <v>9642.8571428571431</v>
      </c>
      <c r="V10" s="216">
        <f t="shared" si="11"/>
        <v>9964.2857142857156</v>
      </c>
      <c r="W10" s="216">
        <f t="shared" si="11"/>
        <v>9642.8571428571431</v>
      </c>
      <c r="X10" s="216">
        <f t="shared" si="11"/>
        <v>9964.2857142857156</v>
      </c>
      <c r="Y10" s="216">
        <f t="shared" si="11"/>
        <v>9964.2857142857156</v>
      </c>
      <c r="Z10" s="216">
        <f t="shared" si="11"/>
        <v>9642.8571428571431</v>
      </c>
      <c r="AA10" s="216">
        <f t="shared" si="11"/>
        <v>9964.2857142857156</v>
      </c>
      <c r="AB10" s="216">
        <f t="shared" si="11"/>
        <v>9642.8571428571431</v>
      </c>
      <c r="AC10" s="216">
        <f t="shared" si="11"/>
        <v>9964.2857142857156</v>
      </c>
      <c r="AD10" s="216">
        <f t="shared" si="11"/>
        <v>9964.2857142857156</v>
      </c>
      <c r="AE10" s="216">
        <f>IF(AA6="Mexico",(AE9*$E$87*$A$9*AE$2),(AE9*$A$10*$A$9*AE$2))</f>
        <v>9000</v>
      </c>
      <c r="AF10" s="216">
        <f t="shared" ref="AF10:CQ10" si="12">IF(AB6="Mexico",(AF9*$E$87*$A$9*AF$2),(AF9*$A$10*$A$9*AF$2))</f>
        <v>9964.2857142857156</v>
      </c>
      <c r="AG10" s="216">
        <f t="shared" si="12"/>
        <v>9642.8571428571431</v>
      </c>
      <c r="AH10" s="216">
        <f t="shared" si="12"/>
        <v>9964.2857142857156</v>
      </c>
      <c r="AI10" s="216">
        <f t="shared" si="12"/>
        <v>9642.8571428571431</v>
      </c>
      <c r="AJ10" s="216">
        <f t="shared" si="12"/>
        <v>9964.2857142857156</v>
      </c>
      <c r="AK10" s="216">
        <f t="shared" si="12"/>
        <v>9964.2857142857156</v>
      </c>
      <c r="AL10" s="216">
        <f t="shared" si="12"/>
        <v>9642.8571428571431</v>
      </c>
      <c r="AM10" s="216">
        <f t="shared" si="12"/>
        <v>9964.2857142857156</v>
      </c>
      <c r="AN10" s="216">
        <f t="shared" si="12"/>
        <v>9642.8571428571431</v>
      </c>
      <c r="AO10" s="216">
        <f t="shared" si="12"/>
        <v>9964.2857142857156</v>
      </c>
      <c r="AP10" s="216">
        <f t="shared" si="12"/>
        <v>9964.2857142857156</v>
      </c>
      <c r="AQ10" s="216">
        <f t="shared" si="12"/>
        <v>9000</v>
      </c>
      <c r="AR10" s="216">
        <f t="shared" si="12"/>
        <v>9964.2857142857156</v>
      </c>
      <c r="AS10" s="216">
        <f t="shared" si="12"/>
        <v>9642.8571428571431</v>
      </c>
      <c r="AT10" s="216">
        <f t="shared" si="12"/>
        <v>9964.2857142857156</v>
      </c>
      <c r="AU10" s="216">
        <f t="shared" si="12"/>
        <v>9642.8571428571431</v>
      </c>
      <c r="AV10" s="216">
        <f t="shared" si="12"/>
        <v>9964.2857142857156</v>
      </c>
      <c r="AW10" s="216">
        <f t="shared" si="12"/>
        <v>9964.2857142857156</v>
      </c>
      <c r="AX10" s="216">
        <f t="shared" si="12"/>
        <v>9642.8571428571431</v>
      </c>
      <c r="AY10" s="216">
        <f t="shared" si="12"/>
        <v>9964.2857142857156</v>
      </c>
      <c r="AZ10" s="216">
        <f t="shared" si="12"/>
        <v>9642.8571428571431</v>
      </c>
      <c r="BA10" s="216">
        <f t="shared" si="12"/>
        <v>9964.2857142857156</v>
      </c>
      <c r="BB10" s="216">
        <f t="shared" si="12"/>
        <v>9964.2857142857156</v>
      </c>
      <c r="BC10" s="216">
        <f t="shared" si="12"/>
        <v>9000</v>
      </c>
      <c r="BD10" s="216">
        <f t="shared" si="12"/>
        <v>9964.2857142857156</v>
      </c>
      <c r="BE10" s="216">
        <f t="shared" si="12"/>
        <v>9642.8571428571431</v>
      </c>
      <c r="BF10" s="216">
        <f t="shared" si="12"/>
        <v>9964.2857142857156</v>
      </c>
      <c r="BG10" s="216">
        <f t="shared" si="12"/>
        <v>9642.8571428571431</v>
      </c>
      <c r="BH10" s="216">
        <f t="shared" si="12"/>
        <v>9964.2857142857156</v>
      </c>
      <c r="BI10" s="216">
        <f t="shared" si="12"/>
        <v>9964.2857142857156</v>
      </c>
      <c r="BJ10" s="216">
        <f t="shared" si="12"/>
        <v>9642.8571428571431</v>
      </c>
      <c r="BK10" s="216">
        <f t="shared" si="12"/>
        <v>9964.2857142857156</v>
      </c>
      <c r="BL10" s="216">
        <f t="shared" si="12"/>
        <v>9642.8571428571431</v>
      </c>
      <c r="BM10" s="216">
        <f t="shared" si="12"/>
        <v>9964.2857142857156</v>
      </c>
      <c r="BN10" s="216">
        <f t="shared" si="12"/>
        <v>9964.2857142857156</v>
      </c>
      <c r="BO10" s="216">
        <f t="shared" si="12"/>
        <v>9321.4285714285725</v>
      </c>
      <c r="BP10" s="216">
        <f t="shared" si="12"/>
        <v>9964.2857142857156</v>
      </c>
      <c r="BQ10" s="216">
        <f t="shared" si="12"/>
        <v>9642.8571428571431</v>
      </c>
      <c r="BR10" s="216">
        <f t="shared" si="12"/>
        <v>9964.2857142857156</v>
      </c>
      <c r="BS10" s="216">
        <f t="shared" si="12"/>
        <v>9642.8571428571431</v>
      </c>
      <c r="BT10" s="216">
        <f t="shared" si="12"/>
        <v>9964.2857142857156</v>
      </c>
      <c r="BU10" s="216">
        <f t="shared" si="12"/>
        <v>9964.2857142857156</v>
      </c>
      <c r="BV10" s="216">
        <f t="shared" si="12"/>
        <v>9642.8571428571431</v>
      </c>
      <c r="BW10" s="216">
        <f t="shared" si="12"/>
        <v>9964.2857142857156</v>
      </c>
      <c r="BX10" s="216">
        <f t="shared" si="12"/>
        <v>9642.8571428571431</v>
      </c>
      <c r="BY10" s="216">
        <f t="shared" si="12"/>
        <v>9964.2857142857156</v>
      </c>
      <c r="BZ10" s="216">
        <f t="shared" si="12"/>
        <v>9964.2857142857156</v>
      </c>
      <c r="CA10" s="216">
        <f t="shared" si="12"/>
        <v>9000</v>
      </c>
      <c r="CB10" s="216">
        <f t="shared" si="12"/>
        <v>9964.2857142857156</v>
      </c>
      <c r="CC10" s="216">
        <f t="shared" si="12"/>
        <v>9642.8571428571431</v>
      </c>
      <c r="CD10" s="216">
        <f t="shared" si="12"/>
        <v>9964.2857142857156</v>
      </c>
      <c r="CE10" s="216">
        <f t="shared" si="12"/>
        <v>9642.8571428571431</v>
      </c>
      <c r="CF10" s="216">
        <f t="shared" si="12"/>
        <v>9964.2857142857156</v>
      </c>
      <c r="CG10" s="216">
        <f t="shared" si="12"/>
        <v>9964.2857142857156</v>
      </c>
      <c r="CH10" s="216">
        <f t="shared" si="12"/>
        <v>9642.8571428571431</v>
      </c>
      <c r="CI10" s="216">
        <f t="shared" si="12"/>
        <v>9964.2857142857156</v>
      </c>
      <c r="CJ10" s="216">
        <f t="shared" si="12"/>
        <v>9642.8571428571431</v>
      </c>
      <c r="CK10" s="216">
        <f t="shared" si="12"/>
        <v>9964.2857142857156</v>
      </c>
      <c r="CL10" s="216">
        <f t="shared" si="12"/>
        <v>9964.2857142857156</v>
      </c>
      <c r="CM10" s="216">
        <f t="shared" si="12"/>
        <v>9000</v>
      </c>
      <c r="CN10" s="216">
        <f t="shared" si="12"/>
        <v>9964.2857142857156</v>
      </c>
      <c r="CO10" s="216">
        <f t="shared" si="12"/>
        <v>9642.8571428571431</v>
      </c>
      <c r="CP10" s="216">
        <f t="shared" si="12"/>
        <v>9964.2857142857156</v>
      </c>
      <c r="CQ10" s="216">
        <f t="shared" si="12"/>
        <v>9642.8571428571431</v>
      </c>
      <c r="CR10" s="216">
        <f t="shared" ref="CR10:DV10" si="13">IF(CN6="Mexico",(CR9*$E$87*$A$9*CR$2),(CR9*$A$10*$A$9*CR$2))</f>
        <v>9964.2857142857156</v>
      </c>
      <c r="CS10" s="216">
        <f t="shared" si="13"/>
        <v>9964.2857142857156</v>
      </c>
      <c r="CT10" s="216">
        <f t="shared" si="13"/>
        <v>9642.8571428571431</v>
      </c>
      <c r="CU10" s="216">
        <f t="shared" si="13"/>
        <v>9964.2857142857156</v>
      </c>
      <c r="CV10" s="216">
        <f t="shared" si="13"/>
        <v>9642.8571428571431</v>
      </c>
      <c r="CW10" s="216">
        <f t="shared" si="13"/>
        <v>9964.2857142857156</v>
      </c>
      <c r="CX10" s="216">
        <f t="shared" si="13"/>
        <v>9964.2857142857156</v>
      </c>
      <c r="CY10" s="216">
        <f t="shared" si="13"/>
        <v>9000</v>
      </c>
      <c r="CZ10" s="216">
        <f t="shared" si="13"/>
        <v>9964.2857142857156</v>
      </c>
      <c r="DA10" s="216">
        <f t="shared" si="13"/>
        <v>9642.8571428571431</v>
      </c>
      <c r="DB10" s="216">
        <f t="shared" si="13"/>
        <v>9964.2857142857156</v>
      </c>
      <c r="DC10" s="216">
        <f t="shared" si="13"/>
        <v>9642.8571428571431</v>
      </c>
      <c r="DD10" s="216">
        <f t="shared" si="13"/>
        <v>9964.2857142857156</v>
      </c>
      <c r="DE10" s="216">
        <f t="shared" si="13"/>
        <v>9964.2857142857156</v>
      </c>
      <c r="DF10" s="216">
        <f t="shared" si="13"/>
        <v>9642.8571428571431</v>
      </c>
      <c r="DG10" s="216">
        <f t="shared" si="13"/>
        <v>9964.2857142857156</v>
      </c>
      <c r="DH10" s="216">
        <f t="shared" si="13"/>
        <v>9642.8571428571431</v>
      </c>
      <c r="DI10" s="216">
        <f t="shared" si="13"/>
        <v>9964.2857142857156</v>
      </c>
      <c r="DJ10" s="216">
        <f t="shared" si="13"/>
        <v>9964.2857142857156</v>
      </c>
      <c r="DK10" s="216">
        <f t="shared" si="13"/>
        <v>9321.4285714285725</v>
      </c>
      <c r="DL10" s="216">
        <f t="shared" si="13"/>
        <v>9964.2857142857156</v>
      </c>
      <c r="DM10" s="216">
        <f t="shared" si="13"/>
        <v>9642.8571428571431</v>
      </c>
      <c r="DN10" s="216">
        <f t="shared" si="13"/>
        <v>9964.2857142857156</v>
      </c>
      <c r="DO10" s="216">
        <f t="shared" si="13"/>
        <v>9642.8571428571431</v>
      </c>
      <c r="DP10" s="216">
        <f t="shared" si="13"/>
        <v>9964.2857142857156</v>
      </c>
      <c r="DQ10" s="216">
        <f t="shared" si="13"/>
        <v>9964.2857142857156</v>
      </c>
      <c r="DR10" s="216">
        <f t="shared" si="13"/>
        <v>9642.8571428571431</v>
      </c>
      <c r="DS10" s="216">
        <f t="shared" si="13"/>
        <v>9964.2857142857156</v>
      </c>
      <c r="DT10" s="216">
        <f t="shared" si="13"/>
        <v>9642.8571428571431</v>
      </c>
      <c r="DU10" s="216">
        <f t="shared" si="13"/>
        <v>9964.2857142857156</v>
      </c>
      <c r="DV10" s="469">
        <f t="shared" si="13"/>
        <v>9964.2857142857156</v>
      </c>
      <c r="DW10" s="716"/>
      <c r="DX10" s="501">
        <f t="shared" si="0"/>
        <v>0</v>
      </c>
      <c r="DY10" s="217">
        <f>SUM(G10:I10)</f>
        <v>28607.142857142862</v>
      </c>
      <c r="DZ10" s="217">
        <f>SUM(J10:L10)</f>
        <v>29571.428571428572</v>
      </c>
      <c r="EA10" s="217">
        <f>SUM(M10:O10)</f>
        <v>29571.428571428572</v>
      </c>
      <c r="EB10" s="217">
        <f>SUM(P10:R10)</f>
        <v>29571.428571428572</v>
      </c>
      <c r="EC10" s="218">
        <f t="shared" si="1"/>
        <v>117321.42857142858</v>
      </c>
      <c r="ED10" s="218">
        <f>SUM(S10:AD10)</f>
        <v>117642.85714285714</v>
      </c>
      <c r="EE10" s="218">
        <f>SUM(AE10:AP10)</f>
        <v>117321.42857142858</v>
      </c>
      <c r="EF10" s="219">
        <f>SUM(EC10:EE10)</f>
        <v>352285.71428571432</v>
      </c>
      <c r="EG10" s="218">
        <f t="shared" si="2"/>
        <v>117321.42857142858</v>
      </c>
      <c r="EH10" s="218">
        <f t="shared" si="3"/>
        <v>117321.42857142858</v>
      </c>
      <c r="EI10" s="502">
        <f>SUM(EF10:EH10)</f>
        <v>586928.57142857148</v>
      </c>
      <c r="EJ10" s="30">
        <f>SUM(F10:BN10)-EI10</f>
        <v>0</v>
      </c>
      <c r="EK10" s="218">
        <f t="shared" si="4"/>
        <v>117642.85714285714</v>
      </c>
      <c r="EL10" s="218">
        <f t="shared" si="5"/>
        <v>117321.42857142858</v>
      </c>
      <c r="EM10" s="218">
        <f t="shared" si="6"/>
        <v>117321.42857142858</v>
      </c>
      <c r="EN10" s="218">
        <f t="shared" si="7"/>
        <v>117321.42857142858</v>
      </c>
      <c r="EO10" s="218">
        <f t="shared" si="8"/>
        <v>117642.85714285714</v>
      </c>
      <c r="EP10" s="502">
        <f t="shared" si="9"/>
        <v>1174178.5714285716</v>
      </c>
    </row>
    <row r="11" spans="1:146" outlineLevel="1" x14ac:dyDescent="0.3">
      <c r="B11" s="220" t="s">
        <v>157</v>
      </c>
      <c r="C11" s="221" t="s">
        <v>685</v>
      </c>
      <c r="D11" s="470"/>
      <c r="E11" s="471"/>
      <c r="F11" s="222">
        <f>IF(Summary!$AD$3=Summary!$AB$6,Summary!$AC$6,IF(Summary!$AD$3=Summary!$AB$7,Summary!$AC$7))</f>
        <v>10.1</v>
      </c>
      <c r="G11" s="223">
        <f t="shared" ref="G11:H11" si="14">F11</f>
        <v>10.1</v>
      </c>
      <c r="H11" s="223">
        <f t="shared" si="14"/>
        <v>10.1</v>
      </c>
      <c r="I11" s="223">
        <f t="shared" ref="I11" si="15">H11</f>
        <v>10.1</v>
      </c>
      <c r="J11" s="223">
        <f t="shared" ref="J11" si="16">I11</f>
        <v>10.1</v>
      </c>
      <c r="K11" s="223">
        <f t="shared" ref="K11" si="17">J11</f>
        <v>10.1</v>
      </c>
      <c r="L11" s="223">
        <f t="shared" ref="L11" si="18">K11</f>
        <v>10.1</v>
      </c>
      <c r="M11" s="223">
        <f t="shared" ref="M11" si="19">L11</f>
        <v>10.1</v>
      </c>
      <c r="N11" s="223">
        <f t="shared" ref="N11" si="20">M11</f>
        <v>10.1</v>
      </c>
      <c r="O11" s="223">
        <f t="shared" ref="O11" si="21">N11</f>
        <v>10.1</v>
      </c>
      <c r="P11" s="223">
        <f t="shared" ref="P11" si="22">O11</f>
        <v>10.1</v>
      </c>
      <c r="Q11" s="223">
        <f t="shared" ref="Q11" si="23">P11</f>
        <v>10.1</v>
      </c>
      <c r="R11" s="223">
        <f t="shared" ref="R11" si="24">Q11</f>
        <v>10.1</v>
      </c>
      <c r="S11" s="222">
        <f>IF(Summary!$AD$3=Summary!$AB$6,Summary!$AD$6,IF(Summary!$AD$3=Summary!$AB$7,Summary!$AD$7))</f>
        <v>10.605</v>
      </c>
      <c r="T11" s="223">
        <f t="shared" ref="T11" si="25">S11</f>
        <v>10.605</v>
      </c>
      <c r="U11" s="223">
        <f t="shared" ref="U11" si="26">T11</f>
        <v>10.605</v>
      </c>
      <c r="V11" s="223">
        <f t="shared" ref="V11" si="27">U11</f>
        <v>10.605</v>
      </c>
      <c r="W11" s="223">
        <f t="shared" ref="W11" si="28">V11</f>
        <v>10.605</v>
      </c>
      <c r="X11" s="223">
        <f t="shared" ref="X11" si="29">W11</f>
        <v>10.605</v>
      </c>
      <c r="Y11" s="223">
        <f t="shared" ref="Y11" si="30">X11</f>
        <v>10.605</v>
      </c>
      <c r="Z11" s="223">
        <f t="shared" ref="Z11" si="31">Y11</f>
        <v>10.605</v>
      </c>
      <c r="AA11" s="223">
        <f t="shared" ref="AA11" si="32">Z11</f>
        <v>10.605</v>
      </c>
      <c r="AB11" s="223">
        <f t="shared" ref="AB11" si="33">AA11</f>
        <v>10.605</v>
      </c>
      <c r="AC11" s="223">
        <f t="shared" ref="AC11" si="34">AB11</f>
        <v>10.605</v>
      </c>
      <c r="AD11" s="223">
        <f t="shared" ref="AD11" si="35">AC11</f>
        <v>10.605</v>
      </c>
      <c r="AE11" s="222">
        <f>IF(Summary!$AD$3=Summary!$AB$6,Summary!$AE$6,IF(Summary!$AD$3=Summary!$AB$7,Summary!$AE$7))</f>
        <v>11.135250000000001</v>
      </c>
      <c r="AF11" s="223">
        <f t="shared" ref="AF11" si="36">AE11</f>
        <v>11.135250000000001</v>
      </c>
      <c r="AG11" s="223">
        <f t="shared" ref="AG11" si="37">AF11</f>
        <v>11.135250000000001</v>
      </c>
      <c r="AH11" s="223">
        <f t="shared" ref="AH11" si="38">AG11</f>
        <v>11.135250000000001</v>
      </c>
      <c r="AI11" s="223">
        <f t="shared" ref="AI11" si="39">AH11</f>
        <v>11.135250000000001</v>
      </c>
      <c r="AJ11" s="223">
        <f t="shared" ref="AJ11" si="40">AI11</f>
        <v>11.135250000000001</v>
      </c>
      <c r="AK11" s="223">
        <f t="shared" ref="AK11" si="41">AJ11</f>
        <v>11.135250000000001</v>
      </c>
      <c r="AL11" s="223">
        <f t="shared" ref="AL11" si="42">AK11</f>
        <v>11.135250000000001</v>
      </c>
      <c r="AM11" s="223">
        <f t="shared" ref="AM11" si="43">AL11</f>
        <v>11.135250000000001</v>
      </c>
      <c r="AN11" s="223">
        <f t="shared" ref="AN11" si="44">AM11</f>
        <v>11.135250000000001</v>
      </c>
      <c r="AO11" s="223">
        <f t="shared" ref="AO11" si="45">AN11</f>
        <v>11.135250000000001</v>
      </c>
      <c r="AP11" s="223">
        <f t="shared" ref="AP11" si="46">AO11</f>
        <v>11.135250000000001</v>
      </c>
      <c r="AQ11" s="222">
        <f>IF(Summary!$AD$3=Summary!$AB$6,Summary!$AF$6,IF(Summary!$AD$3=Summary!$AB$7,Summary!$AF$7))</f>
        <v>11.692012500000002</v>
      </c>
      <c r="AR11" s="223">
        <f t="shared" ref="AR11:BB11" si="47">AQ11</f>
        <v>11.692012500000002</v>
      </c>
      <c r="AS11" s="223">
        <f t="shared" si="47"/>
        <v>11.692012500000002</v>
      </c>
      <c r="AT11" s="223">
        <f t="shared" si="47"/>
        <v>11.692012500000002</v>
      </c>
      <c r="AU11" s="223">
        <f t="shared" si="47"/>
        <v>11.692012500000002</v>
      </c>
      <c r="AV11" s="223">
        <f t="shared" si="47"/>
        <v>11.692012500000002</v>
      </c>
      <c r="AW11" s="223">
        <f t="shared" si="47"/>
        <v>11.692012500000002</v>
      </c>
      <c r="AX11" s="223">
        <f t="shared" si="47"/>
        <v>11.692012500000002</v>
      </c>
      <c r="AY11" s="223">
        <f t="shared" si="47"/>
        <v>11.692012500000002</v>
      </c>
      <c r="AZ11" s="223">
        <f t="shared" si="47"/>
        <v>11.692012500000002</v>
      </c>
      <c r="BA11" s="223">
        <f t="shared" si="47"/>
        <v>11.692012500000002</v>
      </c>
      <c r="BB11" s="640">
        <f t="shared" si="47"/>
        <v>11.692012500000002</v>
      </c>
      <c r="BC11" s="371">
        <f>IF(Summary!$AD$3=Summary!$AB$6,Summary!$AG$6,IF(Summary!$AD$3=Summary!$AB$7,Summary!$AG$7))</f>
        <v>12.276613125000003</v>
      </c>
      <c r="BD11" s="223">
        <f t="shared" ref="BD11:BN11" si="48">BC11</f>
        <v>12.276613125000003</v>
      </c>
      <c r="BE11" s="223">
        <f t="shared" si="48"/>
        <v>12.276613125000003</v>
      </c>
      <c r="BF11" s="223">
        <f t="shared" si="48"/>
        <v>12.276613125000003</v>
      </c>
      <c r="BG11" s="223">
        <f t="shared" si="48"/>
        <v>12.276613125000003</v>
      </c>
      <c r="BH11" s="223">
        <f t="shared" si="48"/>
        <v>12.276613125000003</v>
      </c>
      <c r="BI11" s="223">
        <f t="shared" si="48"/>
        <v>12.276613125000003</v>
      </c>
      <c r="BJ11" s="223">
        <f t="shared" si="48"/>
        <v>12.276613125000003</v>
      </c>
      <c r="BK11" s="223">
        <f t="shared" si="48"/>
        <v>12.276613125000003</v>
      </c>
      <c r="BL11" s="223">
        <f t="shared" si="48"/>
        <v>12.276613125000003</v>
      </c>
      <c r="BM11" s="223">
        <f t="shared" si="48"/>
        <v>12.276613125000003</v>
      </c>
      <c r="BN11" s="223">
        <f t="shared" si="48"/>
        <v>12.276613125000003</v>
      </c>
      <c r="BO11" s="371">
        <f>IF(Summary!$AD$3=Summary!$AB$6,Summary!$AH$6,IF(Summary!$AD$3=Summary!$AB$7,Summary!$AH$7))</f>
        <v>12.890443781250003</v>
      </c>
      <c r="BP11" s="223">
        <f t="shared" ref="BP11" si="49">BO11</f>
        <v>12.890443781250003</v>
      </c>
      <c r="BQ11" s="223">
        <f t="shared" ref="BQ11" si="50">BP11</f>
        <v>12.890443781250003</v>
      </c>
      <c r="BR11" s="223">
        <f t="shared" ref="BR11" si="51">BQ11</f>
        <v>12.890443781250003</v>
      </c>
      <c r="BS11" s="223">
        <f t="shared" ref="BS11" si="52">BR11</f>
        <v>12.890443781250003</v>
      </c>
      <c r="BT11" s="223">
        <f t="shared" ref="BT11" si="53">BS11</f>
        <v>12.890443781250003</v>
      </c>
      <c r="BU11" s="223">
        <f t="shared" ref="BU11" si="54">BT11</f>
        <v>12.890443781250003</v>
      </c>
      <c r="BV11" s="223">
        <f t="shared" ref="BV11" si="55">BU11</f>
        <v>12.890443781250003</v>
      </c>
      <c r="BW11" s="223">
        <f t="shared" ref="BW11" si="56">BV11</f>
        <v>12.890443781250003</v>
      </c>
      <c r="BX11" s="223">
        <f t="shared" ref="BX11" si="57">BW11</f>
        <v>12.890443781250003</v>
      </c>
      <c r="BY11" s="223">
        <f t="shared" ref="BY11" si="58">BX11</f>
        <v>12.890443781250003</v>
      </c>
      <c r="BZ11" s="223">
        <f t="shared" ref="BZ11" si="59">BY11</f>
        <v>12.890443781250003</v>
      </c>
      <c r="CA11" s="371">
        <f>IF(Summary!$AD$3=Summary!$AB$6,Summary!$AI$6,IF(Summary!$AD$3=Summary!$AB$7,Summary!$AI$7))</f>
        <v>13.534965970312504</v>
      </c>
      <c r="CB11" s="223">
        <f t="shared" ref="CB11" si="60">CA11</f>
        <v>13.534965970312504</v>
      </c>
      <c r="CC11" s="223">
        <f t="shared" ref="CC11" si="61">CB11</f>
        <v>13.534965970312504</v>
      </c>
      <c r="CD11" s="223">
        <f t="shared" ref="CD11" si="62">CC11</f>
        <v>13.534965970312504</v>
      </c>
      <c r="CE11" s="223">
        <f t="shared" ref="CE11" si="63">CD11</f>
        <v>13.534965970312504</v>
      </c>
      <c r="CF11" s="223">
        <f t="shared" ref="CF11" si="64">CE11</f>
        <v>13.534965970312504</v>
      </c>
      <c r="CG11" s="223">
        <f t="shared" ref="CG11" si="65">CF11</f>
        <v>13.534965970312504</v>
      </c>
      <c r="CH11" s="223">
        <f t="shared" ref="CH11" si="66">CG11</f>
        <v>13.534965970312504</v>
      </c>
      <c r="CI11" s="223">
        <f t="shared" ref="CI11" si="67">CH11</f>
        <v>13.534965970312504</v>
      </c>
      <c r="CJ11" s="223">
        <f t="shared" ref="CJ11" si="68">CI11</f>
        <v>13.534965970312504</v>
      </c>
      <c r="CK11" s="223">
        <f t="shared" ref="CK11" si="69">CJ11</f>
        <v>13.534965970312504</v>
      </c>
      <c r="CL11" s="223">
        <f t="shared" ref="CL11" si="70">CK11</f>
        <v>13.534965970312504</v>
      </c>
      <c r="CM11" s="371">
        <f>IF(Summary!$AD$3=Summary!$AB$6,Summary!$AJ$6,IF(Summary!$AD$3=Summary!$AB$7,Summary!$AJ$7))</f>
        <v>14.21171426882813</v>
      </c>
      <c r="CN11" s="223">
        <f t="shared" ref="CN11" si="71">CM11</f>
        <v>14.21171426882813</v>
      </c>
      <c r="CO11" s="223">
        <f t="shared" ref="CO11" si="72">CN11</f>
        <v>14.21171426882813</v>
      </c>
      <c r="CP11" s="223">
        <f t="shared" ref="CP11" si="73">CO11</f>
        <v>14.21171426882813</v>
      </c>
      <c r="CQ11" s="223">
        <f t="shared" ref="CQ11" si="74">CP11</f>
        <v>14.21171426882813</v>
      </c>
      <c r="CR11" s="223">
        <f t="shared" ref="CR11" si="75">CQ11</f>
        <v>14.21171426882813</v>
      </c>
      <c r="CS11" s="223">
        <f t="shared" ref="CS11" si="76">CR11</f>
        <v>14.21171426882813</v>
      </c>
      <c r="CT11" s="223">
        <f t="shared" ref="CT11" si="77">CS11</f>
        <v>14.21171426882813</v>
      </c>
      <c r="CU11" s="223">
        <f t="shared" ref="CU11" si="78">CT11</f>
        <v>14.21171426882813</v>
      </c>
      <c r="CV11" s="223">
        <f t="shared" ref="CV11" si="79">CU11</f>
        <v>14.21171426882813</v>
      </c>
      <c r="CW11" s="223">
        <f t="shared" ref="CW11" si="80">CV11</f>
        <v>14.21171426882813</v>
      </c>
      <c r="CX11" s="223">
        <f t="shared" ref="CX11" si="81">CW11</f>
        <v>14.21171426882813</v>
      </c>
      <c r="CY11" s="371">
        <f>IF(Summary!$AD$3=Summary!$AB$6,Summary!$AK$6,IF(Summary!$AD$3=Summary!$AB$7,Summary!$AK$7))</f>
        <v>14.922299982269537</v>
      </c>
      <c r="CZ11" s="223">
        <f t="shared" ref="CZ11" si="82">CY11</f>
        <v>14.922299982269537</v>
      </c>
      <c r="DA11" s="223">
        <f t="shared" ref="DA11" si="83">CZ11</f>
        <v>14.922299982269537</v>
      </c>
      <c r="DB11" s="223">
        <f t="shared" ref="DB11" si="84">DA11</f>
        <v>14.922299982269537</v>
      </c>
      <c r="DC11" s="223">
        <f t="shared" ref="DC11" si="85">DB11</f>
        <v>14.922299982269537</v>
      </c>
      <c r="DD11" s="223">
        <f t="shared" ref="DD11" si="86">DC11</f>
        <v>14.922299982269537</v>
      </c>
      <c r="DE11" s="223">
        <f t="shared" ref="DE11" si="87">DD11</f>
        <v>14.922299982269537</v>
      </c>
      <c r="DF11" s="223">
        <f t="shared" ref="DF11" si="88">DE11</f>
        <v>14.922299982269537</v>
      </c>
      <c r="DG11" s="223">
        <f t="shared" ref="DG11" si="89">DF11</f>
        <v>14.922299982269537</v>
      </c>
      <c r="DH11" s="223">
        <f t="shared" ref="DH11" si="90">DG11</f>
        <v>14.922299982269537</v>
      </c>
      <c r="DI11" s="223">
        <f t="shared" ref="DI11" si="91">DH11</f>
        <v>14.922299982269537</v>
      </c>
      <c r="DJ11" s="223">
        <f t="shared" ref="DJ11" si="92">DI11</f>
        <v>14.922299982269537</v>
      </c>
      <c r="DK11" s="371">
        <f>IF(Summary!$AD$3=Summary!$AB$6,Summary!$AL$6,IF(Summary!$AD$3=Summary!$AB$7,Summary!$AL$7))</f>
        <v>15.668414981383014</v>
      </c>
      <c r="DL11" s="223">
        <f t="shared" ref="DL11" si="93">DK11</f>
        <v>15.668414981383014</v>
      </c>
      <c r="DM11" s="223">
        <f t="shared" ref="DM11" si="94">DL11</f>
        <v>15.668414981383014</v>
      </c>
      <c r="DN11" s="223">
        <f t="shared" ref="DN11" si="95">DM11</f>
        <v>15.668414981383014</v>
      </c>
      <c r="DO11" s="223">
        <f t="shared" ref="DO11" si="96">DN11</f>
        <v>15.668414981383014</v>
      </c>
      <c r="DP11" s="223">
        <f t="shared" ref="DP11" si="97">DO11</f>
        <v>15.668414981383014</v>
      </c>
      <c r="DQ11" s="223">
        <f t="shared" ref="DQ11" si="98">DP11</f>
        <v>15.668414981383014</v>
      </c>
      <c r="DR11" s="223">
        <f t="shared" ref="DR11" si="99">DQ11</f>
        <v>15.668414981383014</v>
      </c>
      <c r="DS11" s="223">
        <f t="shared" ref="DS11" si="100">DR11</f>
        <v>15.668414981383014</v>
      </c>
      <c r="DT11" s="223">
        <f t="shared" ref="DT11" si="101">DS11</f>
        <v>15.668414981383014</v>
      </c>
      <c r="DU11" s="223">
        <f t="shared" ref="DU11" si="102">DT11</f>
        <v>15.668414981383014</v>
      </c>
      <c r="DV11" s="471">
        <f t="shared" ref="DV11" si="103">DU11</f>
        <v>15.668414981383014</v>
      </c>
      <c r="DW11" s="640"/>
      <c r="DX11" s="503"/>
      <c r="DY11" s="224"/>
      <c r="DZ11" s="224"/>
      <c r="EA11" s="224"/>
      <c r="EB11" s="224"/>
      <c r="EC11" s="224"/>
      <c r="ED11" s="224"/>
      <c r="EE11" s="224"/>
      <c r="EF11" s="224"/>
      <c r="EG11" s="224"/>
      <c r="EH11" s="224"/>
      <c r="EI11" s="504"/>
      <c r="EJ11" s="30"/>
      <c r="EK11" s="224"/>
      <c r="EL11" s="224"/>
      <c r="EM11" s="224"/>
      <c r="EN11" s="224"/>
      <c r="EO11" s="224"/>
      <c r="EP11" s="504"/>
    </row>
    <row r="12" spans="1:146" outlineLevel="1" x14ac:dyDescent="0.3">
      <c r="B12" s="225" t="s">
        <v>158</v>
      </c>
      <c r="C12" s="226" t="str">
        <f>C11</f>
        <v>GBP/USD/EURO/AUD/AUD</v>
      </c>
      <c r="D12" s="227"/>
      <c r="E12" s="472"/>
      <c r="F12" s="227">
        <f>F10*F11</f>
        <v>0</v>
      </c>
      <c r="G12" s="228">
        <f t="shared" ref="G12:N12" si="104">G10*G11</f>
        <v>90900</v>
      </c>
      <c r="H12" s="228">
        <f t="shared" si="104"/>
        <v>100639.28571428572</v>
      </c>
      <c r="I12" s="228">
        <f t="shared" si="104"/>
        <v>97392.857142857145</v>
      </c>
      <c r="J12" s="228">
        <f t="shared" si="104"/>
        <v>100639.28571428572</v>
      </c>
      <c r="K12" s="228">
        <f t="shared" si="104"/>
        <v>97392.857142857145</v>
      </c>
      <c r="L12" s="228">
        <f t="shared" si="104"/>
        <v>100639.28571428572</v>
      </c>
      <c r="M12" s="228">
        <f t="shared" si="104"/>
        <v>100639.28571428572</v>
      </c>
      <c r="N12" s="228">
        <f t="shared" si="104"/>
        <v>97392.857142857145</v>
      </c>
      <c r="O12" s="228">
        <f t="shared" ref="O12:BN12" si="105">O10*O11</f>
        <v>100639.28571428572</v>
      </c>
      <c r="P12" s="228">
        <f t="shared" si="105"/>
        <v>97392.857142857145</v>
      </c>
      <c r="Q12" s="228">
        <f t="shared" si="105"/>
        <v>100639.28571428572</v>
      </c>
      <c r="R12" s="228">
        <f t="shared" si="105"/>
        <v>100639.28571428572</v>
      </c>
      <c r="S12" s="228">
        <f t="shared" si="105"/>
        <v>98853.750000000015</v>
      </c>
      <c r="T12" s="228">
        <f t="shared" si="105"/>
        <v>105671.25000000001</v>
      </c>
      <c r="U12" s="228">
        <f t="shared" si="105"/>
        <v>102262.5</v>
      </c>
      <c r="V12" s="228">
        <f t="shared" si="105"/>
        <v>105671.25000000001</v>
      </c>
      <c r="W12" s="228">
        <f t="shared" si="105"/>
        <v>102262.5</v>
      </c>
      <c r="X12" s="228">
        <f t="shared" si="105"/>
        <v>105671.25000000001</v>
      </c>
      <c r="Y12" s="228">
        <f t="shared" si="105"/>
        <v>105671.25000000001</v>
      </c>
      <c r="Z12" s="228">
        <f t="shared" si="105"/>
        <v>102262.5</v>
      </c>
      <c r="AA12" s="228">
        <f t="shared" si="105"/>
        <v>105671.25000000001</v>
      </c>
      <c r="AB12" s="228">
        <f t="shared" si="105"/>
        <v>102262.5</v>
      </c>
      <c r="AC12" s="228">
        <f t="shared" si="105"/>
        <v>105671.25000000001</v>
      </c>
      <c r="AD12" s="228">
        <f t="shared" si="105"/>
        <v>105671.25000000001</v>
      </c>
      <c r="AE12" s="228">
        <f t="shared" si="105"/>
        <v>100217.25000000001</v>
      </c>
      <c r="AF12" s="228">
        <f t="shared" si="105"/>
        <v>110954.81250000003</v>
      </c>
      <c r="AG12" s="228">
        <f t="shared" si="105"/>
        <v>107375.62500000001</v>
      </c>
      <c r="AH12" s="228">
        <f t="shared" si="105"/>
        <v>110954.81250000003</v>
      </c>
      <c r="AI12" s="228">
        <f t="shared" si="105"/>
        <v>107375.62500000001</v>
      </c>
      <c r="AJ12" s="228">
        <f t="shared" si="105"/>
        <v>110954.81250000003</v>
      </c>
      <c r="AK12" s="228">
        <f t="shared" si="105"/>
        <v>110954.81250000003</v>
      </c>
      <c r="AL12" s="228">
        <f t="shared" si="105"/>
        <v>107375.62500000001</v>
      </c>
      <c r="AM12" s="228">
        <f t="shared" si="105"/>
        <v>110954.81250000003</v>
      </c>
      <c r="AN12" s="228">
        <f t="shared" si="105"/>
        <v>107375.62500000001</v>
      </c>
      <c r="AO12" s="228">
        <f t="shared" si="105"/>
        <v>110954.81250000003</v>
      </c>
      <c r="AP12" s="228">
        <f t="shared" si="105"/>
        <v>110954.81250000003</v>
      </c>
      <c r="AQ12" s="228">
        <f t="shared" si="105"/>
        <v>105228.11250000002</v>
      </c>
      <c r="AR12" s="228">
        <f t="shared" si="105"/>
        <v>116502.55312500003</v>
      </c>
      <c r="AS12" s="228">
        <f t="shared" si="105"/>
        <v>112744.40625000003</v>
      </c>
      <c r="AT12" s="228">
        <f t="shared" si="105"/>
        <v>116502.55312500003</v>
      </c>
      <c r="AU12" s="228">
        <f t="shared" si="105"/>
        <v>112744.40625000003</v>
      </c>
      <c r="AV12" s="228">
        <f t="shared" si="105"/>
        <v>116502.55312500003</v>
      </c>
      <c r="AW12" s="228">
        <f t="shared" si="105"/>
        <v>116502.55312500003</v>
      </c>
      <c r="AX12" s="228">
        <f t="shared" si="105"/>
        <v>112744.40625000003</v>
      </c>
      <c r="AY12" s="228">
        <f t="shared" si="105"/>
        <v>116502.55312500003</v>
      </c>
      <c r="AZ12" s="228">
        <f t="shared" si="105"/>
        <v>112744.40625000003</v>
      </c>
      <c r="BA12" s="228">
        <f t="shared" si="105"/>
        <v>116502.55312500003</v>
      </c>
      <c r="BB12" s="228">
        <f t="shared" si="105"/>
        <v>116502.55312500003</v>
      </c>
      <c r="BC12" s="228">
        <f t="shared" si="105"/>
        <v>110489.51812500002</v>
      </c>
      <c r="BD12" s="228">
        <f t="shared" si="105"/>
        <v>122327.68078125005</v>
      </c>
      <c r="BE12" s="228">
        <f t="shared" si="105"/>
        <v>118381.62656250002</v>
      </c>
      <c r="BF12" s="228">
        <f t="shared" si="105"/>
        <v>122327.68078125005</v>
      </c>
      <c r="BG12" s="228">
        <f t="shared" si="105"/>
        <v>118381.62656250002</v>
      </c>
      <c r="BH12" s="228">
        <f t="shared" si="105"/>
        <v>122327.68078125005</v>
      </c>
      <c r="BI12" s="228">
        <f t="shared" si="105"/>
        <v>122327.68078125005</v>
      </c>
      <c r="BJ12" s="228">
        <f t="shared" si="105"/>
        <v>118381.62656250002</v>
      </c>
      <c r="BK12" s="228">
        <f t="shared" si="105"/>
        <v>122327.68078125005</v>
      </c>
      <c r="BL12" s="228">
        <f t="shared" si="105"/>
        <v>118381.62656250002</v>
      </c>
      <c r="BM12" s="228">
        <f t="shared" si="105"/>
        <v>122327.68078125005</v>
      </c>
      <c r="BN12" s="228">
        <f t="shared" si="105"/>
        <v>122327.68078125005</v>
      </c>
      <c r="BO12" s="228">
        <f t="shared" ref="BO12:DV12" si="106">BO10*BO11</f>
        <v>120157.35096093753</v>
      </c>
      <c r="BP12" s="228">
        <f t="shared" si="106"/>
        <v>128444.06482031255</v>
      </c>
      <c r="BQ12" s="228">
        <f t="shared" si="106"/>
        <v>124300.70789062502</v>
      </c>
      <c r="BR12" s="228">
        <f t="shared" si="106"/>
        <v>128444.06482031255</v>
      </c>
      <c r="BS12" s="228">
        <f t="shared" si="106"/>
        <v>124300.70789062502</v>
      </c>
      <c r="BT12" s="228">
        <f t="shared" si="106"/>
        <v>128444.06482031255</v>
      </c>
      <c r="BU12" s="228">
        <f t="shared" si="106"/>
        <v>128444.06482031255</v>
      </c>
      <c r="BV12" s="228">
        <f t="shared" si="106"/>
        <v>124300.70789062502</v>
      </c>
      <c r="BW12" s="228">
        <f t="shared" si="106"/>
        <v>128444.06482031255</v>
      </c>
      <c r="BX12" s="228">
        <f t="shared" si="106"/>
        <v>124300.70789062502</v>
      </c>
      <c r="BY12" s="228">
        <f t="shared" si="106"/>
        <v>128444.06482031255</v>
      </c>
      <c r="BZ12" s="228">
        <f t="shared" si="106"/>
        <v>128444.06482031255</v>
      </c>
      <c r="CA12" s="228">
        <f t="shared" si="106"/>
        <v>121814.69373281254</v>
      </c>
      <c r="CB12" s="228">
        <f t="shared" si="106"/>
        <v>134866.26806132818</v>
      </c>
      <c r="CC12" s="228">
        <f t="shared" si="106"/>
        <v>130515.74328515629</v>
      </c>
      <c r="CD12" s="228">
        <f t="shared" si="106"/>
        <v>134866.26806132818</v>
      </c>
      <c r="CE12" s="228">
        <f t="shared" si="106"/>
        <v>130515.74328515629</v>
      </c>
      <c r="CF12" s="228">
        <f t="shared" si="106"/>
        <v>134866.26806132818</v>
      </c>
      <c r="CG12" s="228">
        <f t="shared" si="106"/>
        <v>134866.26806132818</v>
      </c>
      <c r="CH12" s="228">
        <f t="shared" si="106"/>
        <v>130515.74328515629</v>
      </c>
      <c r="CI12" s="228">
        <f t="shared" si="106"/>
        <v>134866.26806132818</v>
      </c>
      <c r="CJ12" s="228">
        <f t="shared" si="106"/>
        <v>130515.74328515629</v>
      </c>
      <c r="CK12" s="228">
        <f t="shared" si="106"/>
        <v>134866.26806132818</v>
      </c>
      <c r="CL12" s="228">
        <f t="shared" si="106"/>
        <v>134866.26806132818</v>
      </c>
      <c r="CM12" s="228">
        <f t="shared" si="106"/>
        <v>127905.42841945316</v>
      </c>
      <c r="CN12" s="228">
        <f t="shared" si="106"/>
        <v>141609.58146439461</v>
      </c>
      <c r="CO12" s="228">
        <f t="shared" si="106"/>
        <v>137041.5304494141</v>
      </c>
      <c r="CP12" s="228">
        <f t="shared" si="106"/>
        <v>141609.58146439461</v>
      </c>
      <c r="CQ12" s="228">
        <f t="shared" si="106"/>
        <v>137041.5304494141</v>
      </c>
      <c r="CR12" s="228">
        <f t="shared" si="106"/>
        <v>141609.58146439461</v>
      </c>
      <c r="CS12" s="228">
        <f t="shared" si="106"/>
        <v>141609.58146439461</v>
      </c>
      <c r="CT12" s="228">
        <f t="shared" si="106"/>
        <v>137041.5304494141</v>
      </c>
      <c r="CU12" s="228">
        <f t="shared" si="106"/>
        <v>141609.58146439461</v>
      </c>
      <c r="CV12" s="228">
        <f t="shared" si="106"/>
        <v>137041.5304494141</v>
      </c>
      <c r="CW12" s="228">
        <f t="shared" si="106"/>
        <v>141609.58146439461</v>
      </c>
      <c r="CX12" s="228">
        <f t="shared" si="106"/>
        <v>141609.58146439461</v>
      </c>
      <c r="CY12" s="228">
        <f t="shared" si="106"/>
        <v>134300.69984042583</v>
      </c>
      <c r="CZ12" s="228">
        <f t="shared" si="106"/>
        <v>148690.06053761434</v>
      </c>
      <c r="DA12" s="228">
        <f t="shared" si="106"/>
        <v>143893.60697188482</v>
      </c>
      <c r="DB12" s="228">
        <f t="shared" si="106"/>
        <v>148690.06053761434</v>
      </c>
      <c r="DC12" s="228">
        <f t="shared" si="106"/>
        <v>143893.60697188482</v>
      </c>
      <c r="DD12" s="228">
        <f t="shared" si="106"/>
        <v>148690.06053761434</v>
      </c>
      <c r="DE12" s="228">
        <f t="shared" si="106"/>
        <v>148690.06053761434</v>
      </c>
      <c r="DF12" s="228">
        <f t="shared" si="106"/>
        <v>143893.60697188482</v>
      </c>
      <c r="DG12" s="228">
        <f t="shared" si="106"/>
        <v>148690.06053761434</v>
      </c>
      <c r="DH12" s="228">
        <f t="shared" si="106"/>
        <v>143893.60697188482</v>
      </c>
      <c r="DI12" s="228">
        <f t="shared" si="106"/>
        <v>148690.06053761434</v>
      </c>
      <c r="DJ12" s="228">
        <f t="shared" si="106"/>
        <v>148690.06053761434</v>
      </c>
      <c r="DK12" s="228">
        <f t="shared" si="106"/>
        <v>146052.01107646312</v>
      </c>
      <c r="DL12" s="228">
        <f t="shared" si="106"/>
        <v>156124.56356449507</v>
      </c>
      <c r="DM12" s="228">
        <f t="shared" si="106"/>
        <v>151088.28732047908</v>
      </c>
      <c r="DN12" s="228">
        <f t="shared" si="106"/>
        <v>156124.56356449507</v>
      </c>
      <c r="DO12" s="228">
        <f t="shared" si="106"/>
        <v>151088.28732047908</v>
      </c>
      <c r="DP12" s="228">
        <f t="shared" si="106"/>
        <v>156124.56356449507</v>
      </c>
      <c r="DQ12" s="228">
        <f t="shared" si="106"/>
        <v>156124.56356449507</v>
      </c>
      <c r="DR12" s="228">
        <f t="shared" si="106"/>
        <v>151088.28732047908</v>
      </c>
      <c r="DS12" s="228">
        <f t="shared" si="106"/>
        <v>156124.56356449507</v>
      </c>
      <c r="DT12" s="228">
        <f t="shared" si="106"/>
        <v>151088.28732047908</v>
      </c>
      <c r="DU12" s="228">
        <f t="shared" si="106"/>
        <v>156124.56356449507</v>
      </c>
      <c r="DV12" s="472">
        <f t="shared" si="106"/>
        <v>156124.56356449507</v>
      </c>
      <c r="DW12" s="717"/>
      <c r="DX12" s="505">
        <f t="shared" ref="DX12:DX17" si="107">SUM(D12:F12)</f>
        <v>0</v>
      </c>
      <c r="DY12" s="229">
        <f>SUM(G12:I12)</f>
        <v>288932.1428571429</v>
      </c>
      <c r="DZ12" s="229">
        <f>SUM(J12:L12)</f>
        <v>298671.42857142858</v>
      </c>
      <c r="EA12" s="229">
        <f>SUM(M12:O12)</f>
        <v>298671.42857142858</v>
      </c>
      <c r="EB12" s="229">
        <f>SUM(P12:R12)</f>
        <v>298671.42857142858</v>
      </c>
      <c r="EC12" s="230">
        <f t="shared" ref="EC12:EC17" si="108">SUM(D12:R12)</f>
        <v>1184946.4285714286</v>
      </c>
      <c r="ED12" s="230">
        <f t="shared" ref="ED12:ED17" si="109">SUM(S12:AD12)</f>
        <v>1247602.5</v>
      </c>
      <c r="EE12" s="230">
        <f t="shared" ref="EE12:EE17" si="110">SUM(AE12:AP12)</f>
        <v>1306403.4375000002</v>
      </c>
      <c r="EF12" s="231">
        <f t="shared" ref="EF12:EF17" si="111">SUM(EC12:EE12)</f>
        <v>3738952.3660714291</v>
      </c>
      <c r="EG12" s="230">
        <f t="shared" ref="EG12:EG17" si="112">SUM(AQ12:BB12)</f>
        <v>1371723.6093750005</v>
      </c>
      <c r="EH12" s="230">
        <f t="shared" ref="EH12:EH17" si="113">SUM(BC12:BN12)</f>
        <v>1440309.7898437507</v>
      </c>
      <c r="EI12" s="506">
        <f>SUM(EF12:EH12)</f>
        <v>6550985.7652901802</v>
      </c>
      <c r="EJ12" s="30">
        <f>SUM(F12:BN12)-EI12</f>
        <v>0</v>
      </c>
      <c r="EK12" s="230">
        <f t="shared" si="4"/>
        <v>1516468.6362656252</v>
      </c>
      <c r="EL12" s="230">
        <f t="shared" si="5"/>
        <v>1587941.5433027351</v>
      </c>
      <c r="EM12" s="230">
        <f t="shared" si="6"/>
        <v>1667338.6204678721</v>
      </c>
      <c r="EN12" s="230">
        <f t="shared" si="7"/>
        <v>1750705.5514912659</v>
      </c>
      <c r="EO12" s="230">
        <f t="shared" si="8"/>
        <v>1843277.1053098449</v>
      </c>
      <c r="EP12" s="506">
        <f t="shared" si="9"/>
        <v>14916717.222127523</v>
      </c>
    </row>
    <row r="13" spans="1:146" outlineLevel="1" x14ac:dyDescent="0.3">
      <c r="B13" s="225" t="s">
        <v>159</v>
      </c>
      <c r="C13" s="226"/>
      <c r="D13" s="232"/>
      <c r="E13" s="473"/>
      <c r="F13" s="232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473"/>
      <c r="DW13" s="718"/>
      <c r="DX13" s="505">
        <f t="shared" si="107"/>
        <v>0</v>
      </c>
      <c r="DY13" s="229">
        <f t="shared" ref="DY13:DY17" si="114">SUM(G13:I13)</f>
        <v>0</v>
      </c>
      <c r="DZ13" s="229">
        <f t="shared" ref="DZ13:DZ17" si="115">SUM(J13:L13)</f>
        <v>0</v>
      </c>
      <c r="EA13" s="229">
        <f t="shared" ref="EA13:EA17" si="116">SUM(M13:O13)</f>
        <v>0</v>
      </c>
      <c r="EB13" s="229">
        <f t="shared" ref="EB13:EB17" si="117">SUM(P13:R13)</f>
        <v>0</v>
      </c>
      <c r="EC13" s="230">
        <f t="shared" si="108"/>
        <v>0</v>
      </c>
      <c r="ED13" s="230">
        <f t="shared" si="109"/>
        <v>0</v>
      </c>
      <c r="EE13" s="230">
        <f t="shared" si="110"/>
        <v>0</v>
      </c>
      <c r="EF13" s="231">
        <f t="shared" si="111"/>
        <v>0</v>
      </c>
      <c r="EG13" s="230">
        <f t="shared" si="112"/>
        <v>0</v>
      </c>
      <c r="EH13" s="230">
        <f t="shared" si="113"/>
        <v>0</v>
      </c>
      <c r="EI13" s="506"/>
      <c r="EJ13" s="30"/>
      <c r="EK13" s="230">
        <f t="shared" si="4"/>
        <v>0</v>
      </c>
      <c r="EL13" s="230">
        <f t="shared" si="5"/>
        <v>0</v>
      </c>
      <c r="EM13" s="230">
        <f t="shared" si="6"/>
        <v>0</v>
      </c>
      <c r="EN13" s="230">
        <f t="shared" si="7"/>
        <v>0</v>
      </c>
      <c r="EO13" s="230">
        <f t="shared" si="8"/>
        <v>0</v>
      </c>
      <c r="EP13" s="506"/>
    </row>
    <row r="14" spans="1:146" outlineLevel="1" x14ac:dyDescent="0.3">
      <c r="B14" s="225" t="s">
        <v>160</v>
      </c>
      <c r="C14" s="226"/>
      <c r="D14" s="227"/>
      <c r="E14" s="474"/>
      <c r="F14" s="227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28"/>
      <c r="AR14" s="228"/>
      <c r="AS14" s="228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8"/>
      <c r="BE14" s="228"/>
      <c r="BF14" s="228"/>
      <c r="BG14" s="228"/>
      <c r="BH14" s="228"/>
      <c r="BI14" s="228"/>
      <c r="BJ14" s="228"/>
      <c r="BK14" s="228"/>
      <c r="BL14" s="228"/>
      <c r="BM14" s="228"/>
      <c r="BN14" s="228"/>
      <c r="BO14" s="228"/>
      <c r="BP14" s="228"/>
      <c r="BQ14" s="228"/>
      <c r="BR14" s="228"/>
      <c r="BS14" s="228"/>
      <c r="BT14" s="228"/>
      <c r="BU14" s="228"/>
      <c r="BV14" s="228"/>
      <c r="BW14" s="228"/>
      <c r="BX14" s="228"/>
      <c r="BY14" s="228"/>
      <c r="BZ14" s="228"/>
      <c r="CA14" s="228"/>
      <c r="CB14" s="228"/>
      <c r="CC14" s="228"/>
      <c r="CD14" s="228"/>
      <c r="CE14" s="228"/>
      <c r="CF14" s="228"/>
      <c r="CG14" s="228"/>
      <c r="CH14" s="228"/>
      <c r="CI14" s="228"/>
      <c r="CJ14" s="228"/>
      <c r="CK14" s="228"/>
      <c r="CL14" s="228"/>
      <c r="CM14" s="228"/>
      <c r="CN14" s="228"/>
      <c r="CO14" s="228"/>
      <c r="CP14" s="228"/>
      <c r="CQ14" s="228"/>
      <c r="CR14" s="228"/>
      <c r="CS14" s="228"/>
      <c r="CT14" s="228"/>
      <c r="CU14" s="228"/>
      <c r="CV14" s="228"/>
      <c r="CW14" s="228"/>
      <c r="CX14" s="228"/>
      <c r="CY14" s="228"/>
      <c r="CZ14" s="228"/>
      <c r="DA14" s="228"/>
      <c r="DB14" s="228"/>
      <c r="DC14" s="228"/>
      <c r="DD14" s="228"/>
      <c r="DE14" s="228"/>
      <c r="DF14" s="228"/>
      <c r="DG14" s="228"/>
      <c r="DH14" s="228"/>
      <c r="DI14" s="228"/>
      <c r="DJ14" s="228"/>
      <c r="DK14" s="228"/>
      <c r="DL14" s="228"/>
      <c r="DM14" s="228"/>
      <c r="DN14" s="228"/>
      <c r="DO14" s="228"/>
      <c r="DP14" s="228"/>
      <c r="DQ14" s="228"/>
      <c r="DR14" s="228"/>
      <c r="DS14" s="228"/>
      <c r="DT14" s="228"/>
      <c r="DU14" s="228"/>
      <c r="DV14" s="472"/>
      <c r="DW14" s="717"/>
      <c r="DX14" s="505">
        <f t="shared" si="107"/>
        <v>0</v>
      </c>
      <c r="DY14" s="229">
        <f t="shared" si="114"/>
        <v>0</v>
      </c>
      <c r="DZ14" s="229">
        <f t="shared" si="115"/>
        <v>0</v>
      </c>
      <c r="EA14" s="229">
        <f t="shared" si="116"/>
        <v>0</v>
      </c>
      <c r="EB14" s="229">
        <f t="shared" si="117"/>
        <v>0</v>
      </c>
      <c r="EC14" s="230">
        <f t="shared" si="108"/>
        <v>0</v>
      </c>
      <c r="ED14" s="230">
        <f t="shared" si="109"/>
        <v>0</v>
      </c>
      <c r="EE14" s="230">
        <f t="shared" si="110"/>
        <v>0</v>
      </c>
      <c r="EF14" s="231">
        <f t="shared" si="111"/>
        <v>0</v>
      </c>
      <c r="EG14" s="230">
        <f t="shared" si="112"/>
        <v>0</v>
      </c>
      <c r="EH14" s="230">
        <f t="shared" si="113"/>
        <v>0</v>
      </c>
      <c r="EI14" s="506">
        <f>SUM(EF14:EH14)</f>
        <v>0</v>
      </c>
      <c r="EJ14" s="30">
        <f>SUM(F14:BN14)-EI14</f>
        <v>0</v>
      </c>
      <c r="EK14" s="230">
        <f t="shared" si="4"/>
        <v>0</v>
      </c>
      <c r="EL14" s="230">
        <f t="shared" si="5"/>
        <v>0</v>
      </c>
      <c r="EM14" s="230">
        <f t="shared" si="6"/>
        <v>0</v>
      </c>
      <c r="EN14" s="230">
        <f t="shared" si="7"/>
        <v>0</v>
      </c>
      <c r="EO14" s="230">
        <f t="shared" si="8"/>
        <v>0</v>
      </c>
      <c r="EP14" s="506">
        <f t="shared" si="9"/>
        <v>0</v>
      </c>
    </row>
    <row r="15" spans="1:146" outlineLevel="1" x14ac:dyDescent="0.3">
      <c r="B15" s="202" t="s">
        <v>161</v>
      </c>
      <c r="C15" s="226"/>
      <c r="D15" s="215"/>
      <c r="E15" s="475"/>
      <c r="F15" s="215">
        <f>'P&amp;L'!E89</f>
        <v>67.777777777777771</v>
      </c>
      <c r="G15" s="235">
        <f>'P&amp;L'!F89</f>
        <v>3.7277777777777898</v>
      </c>
      <c r="H15" s="235">
        <f>'P&amp;L'!G89</f>
        <v>3.7277777777777823</v>
      </c>
      <c r="I15" s="235">
        <f>'P&amp;L'!H89</f>
        <v>3.7277777777777823</v>
      </c>
      <c r="J15" s="235">
        <f>'P&amp;L'!I89</f>
        <v>3.7277777777777823</v>
      </c>
      <c r="K15" s="235">
        <f>'P&amp;L'!J89</f>
        <v>3.0500000000000052</v>
      </c>
      <c r="L15" s="235">
        <f>'P&amp;L'!K89</f>
        <v>3.0500000000000052</v>
      </c>
      <c r="M15" s="235">
        <f>'P&amp;L'!L89</f>
        <v>3.0500000000000052</v>
      </c>
      <c r="N15" s="235">
        <f>'P&amp;L'!M89</f>
        <v>3.0500000000000052</v>
      </c>
      <c r="O15" s="235">
        <f>'P&amp;L'!N89</f>
        <v>3.0500000000000052</v>
      </c>
      <c r="P15" s="235">
        <f>'P&amp;L'!O89</f>
        <v>3.0500000000000052</v>
      </c>
      <c r="Q15" s="235">
        <f>'P&amp;L'!P89</f>
        <v>2.7111111111111166</v>
      </c>
      <c r="R15" s="235">
        <f>'P&amp;L'!Q89</f>
        <v>2.7111111111111166</v>
      </c>
      <c r="S15" s="235">
        <f>'P&amp;L'!R89</f>
        <v>2.7111111111111166</v>
      </c>
      <c r="T15" s="235">
        <f>'P&amp;L'!S89</f>
        <v>2.7111111111111166</v>
      </c>
      <c r="U15" s="235">
        <f>'P&amp;L'!T89</f>
        <v>2.7111111111111166</v>
      </c>
      <c r="V15" s="235">
        <f>'P&amp;L'!U89</f>
        <v>2.7111111111111166</v>
      </c>
      <c r="W15" s="235">
        <f>'P&amp;L'!V89</f>
        <v>2.7111111111111166</v>
      </c>
      <c r="X15" s="235">
        <f>'P&amp;L'!W89</f>
        <v>2.7111111111111166</v>
      </c>
      <c r="Y15" s="235">
        <f>'P&amp;L'!X89</f>
        <v>2.7111111111111166</v>
      </c>
      <c r="Z15" s="235">
        <f>'P&amp;L'!Y89</f>
        <v>2.7111111111111166</v>
      </c>
      <c r="AA15" s="235">
        <f>'P&amp;L'!Z89</f>
        <v>2.7111111111111166</v>
      </c>
      <c r="AB15" s="235">
        <f>'P&amp;L'!AA89</f>
        <v>2.7111111111111166</v>
      </c>
      <c r="AC15" s="235">
        <f>'P&amp;L'!AB89</f>
        <v>2.7111111111111166</v>
      </c>
      <c r="AD15" s="235">
        <f>'P&amp;L'!AC89</f>
        <v>2.7111111111111166</v>
      </c>
      <c r="AE15" s="235">
        <f>'P&amp;L'!AD89</f>
        <v>2.7111111111111166</v>
      </c>
      <c r="AF15" s="235">
        <f>'P&amp;L'!AE89</f>
        <v>2.7111111111111166</v>
      </c>
      <c r="AG15" s="235">
        <f>'P&amp;L'!AF89</f>
        <v>2.7111111111111166</v>
      </c>
      <c r="AH15" s="235">
        <f>'P&amp;L'!AG89</f>
        <v>2.7111111111111166</v>
      </c>
      <c r="AI15" s="235">
        <f>'P&amp;L'!AH89</f>
        <v>2.7111111111111166</v>
      </c>
      <c r="AJ15" s="235">
        <f>'P&amp;L'!AI89</f>
        <v>2.7111111111111166</v>
      </c>
      <c r="AK15" s="235">
        <f>'P&amp;L'!AJ89</f>
        <v>2.7111111111111166</v>
      </c>
      <c r="AL15" s="235">
        <f>'P&amp;L'!AK89</f>
        <v>2.7111111111111166</v>
      </c>
      <c r="AM15" s="235">
        <f>'P&amp;L'!AL89</f>
        <v>2.7111111111111166</v>
      </c>
      <c r="AN15" s="235">
        <f>'P&amp;L'!AM89</f>
        <v>2.7111111111111166</v>
      </c>
      <c r="AO15" s="235">
        <f>'P&amp;L'!AN89</f>
        <v>2.7111111111111166</v>
      </c>
      <c r="AP15" s="235">
        <f>'P&amp;L'!AO89</f>
        <v>2.7111111111111166</v>
      </c>
      <c r="AQ15" s="216">
        <f>'P&amp;L'!AP89</f>
        <v>2.7111111111111166</v>
      </c>
      <c r="AR15" s="216">
        <f>'P&amp;L'!AQ89</f>
        <v>2.7111111111111166</v>
      </c>
      <c r="AS15" s="216">
        <f>'P&amp;L'!AR89</f>
        <v>2.7111111111111166</v>
      </c>
      <c r="AT15" s="216">
        <f>'P&amp;L'!AS89</f>
        <v>2.7111111111111166</v>
      </c>
      <c r="AU15" s="216">
        <f>'P&amp;L'!AT89</f>
        <v>2.7111111111111166</v>
      </c>
      <c r="AV15" s="216">
        <f>'P&amp;L'!AU89</f>
        <v>2.7111111111111166</v>
      </c>
      <c r="AW15" s="216">
        <f>'P&amp;L'!AV89</f>
        <v>2.7111111111111166</v>
      </c>
      <c r="AX15" s="216">
        <f>'P&amp;L'!AW89</f>
        <v>2.7111111111111166</v>
      </c>
      <c r="AY15" s="216">
        <f>'P&amp;L'!AX89</f>
        <v>2.7111111111111166</v>
      </c>
      <c r="AZ15" s="216">
        <f>'P&amp;L'!AY89</f>
        <v>2.7111111111111166</v>
      </c>
      <c r="BA15" s="216">
        <f>'P&amp;L'!AZ89</f>
        <v>2.7111111111111166</v>
      </c>
      <c r="BB15" s="216">
        <f>'P&amp;L'!BA89</f>
        <v>2.7111111111111166</v>
      </c>
      <c r="BC15" s="216">
        <f>'P&amp;L'!BB89</f>
        <v>2.7111111111111166</v>
      </c>
      <c r="BD15" s="216">
        <f>'P&amp;L'!BC89</f>
        <v>2.7111111111111166</v>
      </c>
      <c r="BE15" s="216">
        <f>'P&amp;L'!BD89</f>
        <v>2.7111111111111166</v>
      </c>
      <c r="BF15" s="216">
        <f>'P&amp;L'!BE89</f>
        <v>2.7111111111111166</v>
      </c>
      <c r="BG15" s="216">
        <f>'P&amp;L'!BF89</f>
        <v>2.7111111111111166</v>
      </c>
      <c r="BH15" s="216">
        <f>'P&amp;L'!BG89</f>
        <v>2.7111111111111166</v>
      </c>
      <c r="BI15" s="216">
        <f>'P&amp;L'!BH89</f>
        <v>2.7111111111111166</v>
      </c>
      <c r="BJ15" s="216">
        <f>'P&amp;L'!BI89</f>
        <v>2.7111111111111166</v>
      </c>
      <c r="BK15" s="216">
        <f>'P&amp;L'!BJ89</f>
        <v>2.7111111111111166</v>
      </c>
      <c r="BL15" s="216">
        <f>'P&amp;L'!BK89</f>
        <v>2.7111111111111166</v>
      </c>
      <c r="BM15" s="216">
        <f>'P&amp;L'!BL89</f>
        <v>2.7111111111111166</v>
      </c>
      <c r="BN15" s="216">
        <f>'P&amp;L'!BM89</f>
        <v>2.7111111111111166</v>
      </c>
      <c r="BO15" s="216">
        <f>'P&amp;L'!BN89</f>
        <v>2.7111111111111166</v>
      </c>
      <c r="BP15" s="216">
        <f>'P&amp;L'!BO89</f>
        <v>2.7111111111111166</v>
      </c>
      <c r="BQ15" s="216">
        <f>'P&amp;L'!BP89</f>
        <v>2.7111111111111166</v>
      </c>
      <c r="BR15" s="216">
        <f>'P&amp;L'!BQ89</f>
        <v>2.7111111111111166</v>
      </c>
      <c r="BS15" s="216">
        <f>'P&amp;L'!BR89</f>
        <v>2.7111111111111166</v>
      </c>
      <c r="BT15" s="216">
        <f>'P&amp;L'!BS89</f>
        <v>2.7111111111111166</v>
      </c>
      <c r="BU15" s="216">
        <f>'P&amp;L'!BT89</f>
        <v>2.7111111111111166</v>
      </c>
      <c r="BV15" s="216">
        <f>'P&amp;L'!BU89</f>
        <v>2.7111111111111166</v>
      </c>
      <c r="BW15" s="216">
        <f>'P&amp;L'!BV89</f>
        <v>2.7111111111111166</v>
      </c>
      <c r="BX15" s="216">
        <f>'P&amp;L'!BW89</f>
        <v>2.7111111111111166</v>
      </c>
      <c r="BY15" s="216">
        <f>'P&amp;L'!BX89</f>
        <v>2.7111111111111166</v>
      </c>
      <c r="BZ15" s="216">
        <f>'P&amp;L'!BY89</f>
        <v>2.7111111111111166</v>
      </c>
      <c r="CA15" s="216">
        <f>'P&amp;L'!BZ89</f>
        <v>2.7111111111111166</v>
      </c>
      <c r="CB15" s="216">
        <f>'P&amp;L'!CA89</f>
        <v>2.7111111111111166</v>
      </c>
      <c r="CC15" s="216">
        <f>'P&amp;L'!CB89</f>
        <v>2.7111111111111166</v>
      </c>
      <c r="CD15" s="216">
        <f>'P&amp;L'!CC89</f>
        <v>2.7111111111111166</v>
      </c>
      <c r="CE15" s="216">
        <f>'P&amp;L'!CD89</f>
        <v>2.7111111111111166</v>
      </c>
      <c r="CF15" s="216">
        <f>'P&amp;L'!CE89</f>
        <v>2.7111111111111166</v>
      </c>
      <c r="CG15" s="216">
        <f>'P&amp;L'!CF89</f>
        <v>2.7111111111111166</v>
      </c>
      <c r="CH15" s="216">
        <f>'P&amp;L'!CG89</f>
        <v>2.7111111111111166</v>
      </c>
      <c r="CI15" s="216">
        <f>'P&amp;L'!CH89</f>
        <v>2.7111111111111166</v>
      </c>
      <c r="CJ15" s="216">
        <f>'P&amp;L'!CI89</f>
        <v>2.7111111111111166</v>
      </c>
      <c r="CK15" s="216">
        <f>'P&amp;L'!CJ89</f>
        <v>2.7111111111111166</v>
      </c>
      <c r="CL15" s="216">
        <f>'P&amp;L'!CK89</f>
        <v>2.7111111111111166</v>
      </c>
      <c r="CM15" s="216">
        <f>'P&amp;L'!CL89</f>
        <v>2.7111111111111166</v>
      </c>
      <c r="CN15" s="216">
        <f>'P&amp;L'!CM89</f>
        <v>2.7111111111111166</v>
      </c>
      <c r="CO15" s="216">
        <f>'P&amp;L'!CN89</f>
        <v>2.7111111111111166</v>
      </c>
      <c r="CP15" s="216">
        <f>'P&amp;L'!CO89</f>
        <v>2.7111111111111166</v>
      </c>
      <c r="CQ15" s="216">
        <f>'P&amp;L'!CP89</f>
        <v>2.7111111111111166</v>
      </c>
      <c r="CR15" s="216">
        <f>'P&amp;L'!CQ89</f>
        <v>2.7111111111111166</v>
      </c>
      <c r="CS15" s="216">
        <f>'P&amp;L'!CR89</f>
        <v>2.7111111111111166</v>
      </c>
      <c r="CT15" s="216">
        <f>'P&amp;L'!CS89</f>
        <v>2.7111111111111166</v>
      </c>
      <c r="CU15" s="216">
        <f>'P&amp;L'!CT89</f>
        <v>2.7111111111111166</v>
      </c>
      <c r="CV15" s="216">
        <f>'P&amp;L'!CU89</f>
        <v>2.7111111111111166</v>
      </c>
      <c r="CW15" s="216">
        <f>'P&amp;L'!CV89</f>
        <v>2.7111111111111166</v>
      </c>
      <c r="CX15" s="216">
        <f>'P&amp;L'!CW89</f>
        <v>2.7111111111111166</v>
      </c>
      <c r="CY15" s="216">
        <f>'P&amp;L'!CX89</f>
        <v>2.7111111111111166</v>
      </c>
      <c r="CZ15" s="216">
        <f>'P&amp;L'!CY89</f>
        <v>2.7111111111111166</v>
      </c>
      <c r="DA15" s="216">
        <f>'P&amp;L'!CZ89</f>
        <v>2.7111111111111166</v>
      </c>
      <c r="DB15" s="216">
        <f>'P&amp;L'!DA89</f>
        <v>2.7111111111111166</v>
      </c>
      <c r="DC15" s="216">
        <f>'P&amp;L'!DB89</f>
        <v>2.7111111111111166</v>
      </c>
      <c r="DD15" s="216">
        <f>'P&amp;L'!DC89</f>
        <v>2.7111111111111166</v>
      </c>
      <c r="DE15" s="216">
        <f>'P&amp;L'!DD89</f>
        <v>2.7111111111111166</v>
      </c>
      <c r="DF15" s="216">
        <f>'P&amp;L'!DE89</f>
        <v>2.7111111111111166</v>
      </c>
      <c r="DG15" s="216">
        <f>'P&amp;L'!DF89</f>
        <v>2.7111111111111166</v>
      </c>
      <c r="DH15" s="216">
        <f>'P&amp;L'!DG89</f>
        <v>2.7111111111111166</v>
      </c>
      <c r="DI15" s="216">
        <f>'P&amp;L'!DH89</f>
        <v>2.7111111111111166</v>
      </c>
      <c r="DJ15" s="216">
        <f>'P&amp;L'!DI89</f>
        <v>2.7111111111111166</v>
      </c>
      <c r="DK15" s="216">
        <f>'P&amp;L'!DJ89</f>
        <v>2.7111111111111166</v>
      </c>
      <c r="DL15" s="216">
        <f>'P&amp;L'!DK89</f>
        <v>2.7111111111111166</v>
      </c>
      <c r="DM15" s="216">
        <f>'P&amp;L'!DL89</f>
        <v>2.7111111111111166</v>
      </c>
      <c r="DN15" s="216">
        <f>'P&amp;L'!DM89</f>
        <v>2.7111111111111166</v>
      </c>
      <c r="DO15" s="216">
        <f>'P&amp;L'!DN89</f>
        <v>2.7111111111111166</v>
      </c>
      <c r="DP15" s="216">
        <f>'P&amp;L'!DO89</f>
        <v>2.7111111111111166</v>
      </c>
      <c r="DQ15" s="216">
        <f>'P&amp;L'!DP89</f>
        <v>2.7111111111111166</v>
      </c>
      <c r="DR15" s="216">
        <f>'P&amp;L'!DQ89</f>
        <v>2.7111111111111166</v>
      </c>
      <c r="DS15" s="216">
        <f>'P&amp;L'!DR89</f>
        <v>2.7111111111111166</v>
      </c>
      <c r="DT15" s="216">
        <f>'P&amp;L'!DS89</f>
        <v>2.7111111111111166</v>
      </c>
      <c r="DU15" s="216">
        <f>'P&amp;L'!DT89</f>
        <v>2.7111111111111166</v>
      </c>
      <c r="DV15" s="469">
        <f>'P&amp;L'!DU89</f>
        <v>2.7111111111111166</v>
      </c>
      <c r="DW15" s="716"/>
      <c r="DX15" s="501">
        <f t="shared" si="107"/>
        <v>67.777777777777771</v>
      </c>
      <c r="DY15" s="217">
        <f t="shared" si="114"/>
        <v>11.183333333333355</v>
      </c>
      <c r="DZ15" s="217">
        <f t="shared" si="115"/>
        <v>9.8277777777777935</v>
      </c>
      <c r="EA15" s="217">
        <f t="shared" si="116"/>
        <v>9.1500000000000163</v>
      </c>
      <c r="EB15" s="217">
        <f t="shared" si="117"/>
        <v>8.4722222222222392</v>
      </c>
      <c r="EC15" s="218">
        <f t="shared" si="108"/>
        <v>106.41111111111124</v>
      </c>
      <c r="ED15" s="218">
        <f t="shared" si="109"/>
        <v>32.533333333333395</v>
      </c>
      <c r="EE15" s="218">
        <f t="shared" si="110"/>
        <v>32.533333333333395</v>
      </c>
      <c r="EF15" s="219">
        <f t="shared" si="111"/>
        <v>171.47777777777802</v>
      </c>
      <c r="EG15" s="218">
        <f t="shared" si="112"/>
        <v>32.533333333333395</v>
      </c>
      <c r="EH15" s="218">
        <f t="shared" si="113"/>
        <v>32.533333333333395</v>
      </c>
      <c r="EI15" s="502"/>
      <c r="EJ15" s="30"/>
      <c r="EK15" s="218">
        <f t="shared" si="4"/>
        <v>32.533333333333395</v>
      </c>
      <c r="EL15" s="218">
        <f t="shared" si="5"/>
        <v>32.533333333333395</v>
      </c>
      <c r="EM15" s="218">
        <f t="shared" si="6"/>
        <v>32.533333333333395</v>
      </c>
      <c r="EN15" s="218">
        <f t="shared" si="7"/>
        <v>32.533333333333395</v>
      </c>
      <c r="EO15" s="218">
        <f t="shared" si="8"/>
        <v>32.533333333333395</v>
      </c>
      <c r="EP15" s="502"/>
    </row>
    <row r="16" spans="1:146" outlineLevel="1" x14ac:dyDescent="0.3">
      <c r="A16" s="104">
        <f>Data!$G$13-Data!$G$14</f>
        <v>3.33</v>
      </c>
      <c r="B16" s="209" t="s">
        <v>162</v>
      </c>
      <c r="C16" s="210"/>
      <c r="D16" s="476"/>
      <c r="E16" s="477"/>
      <c r="F16" s="736">
        <f t="shared" ref="F16:G16" si="118">IF((G9-F9)&lt;0,0,(G9-F9))</f>
        <v>50</v>
      </c>
      <c r="G16" s="558">
        <f t="shared" si="118"/>
        <v>0</v>
      </c>
      <c r="H16" s="237">
        <f t="shared" ref="H16" si="119">IF((I9-H9)&lt;0,0,(I9-H9))</f>
        <v>0</v>
      </c>
      <c r="I16" s="237">
        <f t="shared" ref="I16" si="120">IF((J9-I9)&lt;0,0,(J9-I9))</f>
        <v>0</v>
      </c>
      <c r="J16" s="237">
        <f t="shared" ref="J16" si="121">IF((K9-J9)&lt;0,0,(K9-J9))</f>
        <v>0</v>
      </c>
      <c r="K16" s="237">
        <f t="shared" ref="K16" si="122">IF((L9-K9)&lt;0,0,(L9-K9))</f>
        <v>0</v>
      </c>
      <c r="L16" s="237">
        <f t="shared" ref="L16" si="123">IF((M9-L9)&lt;0,0,(M9-L9))</f>
        <v>0</v>
      </c>
      <c r="M16" s="237">
        <f t="shared" ref="M16" si="124">IF((N9-M9)&lt;0,0,(N9-M9))</f>
        <v>0</v>
      </c>
      <c r="N16" s="237">
        <f t="shared" ref="N16" si="125">IF((O9-N9)&lt;0,0,(O9-N9))</f>
        <v>0</v>
      </c>
      <c r="O16" s="237">
        <f t="shared" ref="O16" si="126">IF((P9-O9)&lt;0,0,(P9-O9))</f>
        <v>0</v>
      </c>
      <c r="P16" s="237">
        <f t="shared" ref="P16" si="127">IF((Q9-P9)&lt;0,0,(Q9-P9))</f>
        <v>0</v>
      </c>
      <c r="Q16" s="237">
        <f t="shared" ref="Q16" si="128">IF((R9-Q9)&lt;0,0,(R9-Q9))</f>
        <v>0</v>
      </c>
      <c r="R16" s="237">
        <f t="shared" ref="R16" si="129">IF((S9-R9)&lt;0,0,(S9-R9))</f>
        <v>0</v>
      </c>
      <c r="S16" s="237">
        <f t="shared" ref="S16" si="130">IF((T9-S9)&lt;0,0,(T9-S9))</f>
        <v>0</v>
      </c>
      <c r="T16" s="237">
        <f t="shared" ref="T16" si="131">IF((U9-T9)&lt;0,0,(U9-T9))</f>
        <v>0</v>
      </c>
      <c r="U16" s="237">
        <f t="shared" ref="U16" si="132">IF((V9-U9)&lt;0,0,(V9-U9))</f>
        <v>0</v>
      </c>
      <c r="V16" s="237">
        <f t="shared" ref="V16" si="133">IF((W9-V9)&lt;0,0,(W9-V9))</f>
        <v>0</v>
      </c>
      <c r="W16" s="237">
        <f t="shared" ref="W16" si="134">IF((X9-W9)&lt;0,0,(X9-W9))</f>
        <v>0</v>
      </c>
      <c r="X16" s="237">
        <f t="shared" ref="X16" si="135">IF((Y9-X9)&lt;0,0,(Y9-X9))</f>
        <v>0</v>
      </c>
      <c r="Y16" s="237">
        <f t="shared" ref="Y16" si="136">IF((Z9-Y9)&lt;0,0,(Z9-Y9))</f>
        <v>0</v>
      </c>
      <c r="Z16" s="237">
        <f t="shared" ref="Z16" si="137">IF((AA9-Z9)&lt;0,0,(AA9-Z9))</f>
        <v>0</v>
      </c>
      <c r="AA16" s="237">
        <f t="shared" ref="AA16" si="138">IF((AB9-AA9)&lt;0,0,(AB9-AA9))</f>
        <v>0</v>
      </c>
      <c r="AB16" s="237">
        <f t="shared" ref="AB16" si="139">IF((AC9-AB9)&lt;0,0,(AC9-AB9))</f>
        <v>0</v>
      </c>
      <c r="AC16" s="237">
        <f t="shared" ref="AC16" si="140">IF((AD9-AC9)&lt;0,0,(AD9-AC9))</f>
        <v>0</v>
      </c>
      <c r="AD16" s="237">
        <f t="shared" ref="AD16" si="141">IF((AE9-AD9)&lt;0,0,(AE9-AD9))</f>
        <v>0</v>
      </c>
      <c r="AE16" s="237">
        <f t="shared" ref="AE16" si="142">IF((AF9-AE9)&lt;0,0,(AF9-AE9))</f>
        <v>0</v>
      </c>
      <c r="AF16" s="237">
        <f t="shared" ref="AF16" si="143">IF((AG9-AF9)&lt;0,0,(AG9-AF9))</f>
        <v>0</v>
      </c>
      <c r="AG16" s="237">
        <f t="shared" ref="AG16" si="144">IF((AH9-AG9)&lt;0,0,(AH9-AG9))</f>
        <v>0</v>
      </c>
      <c r="AH16" s="237">
        <f t="shared" ref="AH16" si="145">IF((AI9-AH9)&lt;0,0,(AI9-AH9))</f>
        <v>0</v>
      </c>
      <c r="AI16" s="237">
        <f t="shared" ref="AI16" si="146">IF((AJ9-AI9)&lt;0,0,(AJ9-AI9))</f>
        <v>0</v>
      </c>
      <c r="AJ16" s="237">
        <f t="shared" ref="AJ16" si="147">IF((AK9-AJ9)&lt;0,0,(AK9-AJ9))</f>
        <v>0</v>
      </c>
      <c r="AK16" s="237">
        <f t="shared" ref="AK16" si="148">IF((AL9-AK9)&lt;0,0,(AL9-AK9))</f>
        <v>0</v>
      </c>
      <c r="AL16" s="237">
        <f t="shared" ref="AL16" si="149">IF((AM9-AL9)&lt;0,0,(AM9-AL9))</f>
        <v>0</v>
      </c>
      <c r="AM16" s="237">
        <f t="shared" ref="AM16" si="150">IF((AN9-AM9)&lt;0,0,(AN9-AM9))</f>
        <v>0</v>
      </c>
      <c r="AN16" s="237">
        <f t="shared" ref="AN16" si="151">IF((AO9-AN9)&lt;0,0,(AO9-AN9))</f>
        <v>0</v>
      </c>
      <c r="AO16" s="237">
        <f t="shared" ref="AO16" si="152">IF((AP9-AO9)&lt;0,0,(AP9-AO9))</f>
        <v>0</v>
      </c>
      <c r="AP16" s="237">
        <f t="shared" ref="AP16" si="153">IF((AQ9-AP9)&lt;0,0,(AQ9-AP9))</f>
        <v>0</v>
      </c>
      <c r="AQ16" s="237">
        <f t="shared" ref="AQ16" si="154">IF((AR9-AQ9)&lt;0,0,(AR9-AQ9))</f>
        <v>0</v>
      </c>
      <c r="AR16" s="237">
        <f t="shared" ref="AR16" si="155">IF((AS9-AR9)&lt;0,0,(AS9-AR9))</f>
        <v>0</v>
      </c>
      <c r="AS16" s="237">
        <f t="shared" ref="AS16" si="156">IF((AT9-AS9)&lt;0,0,(AT9-AS9))</f>
        <v>0</v>
      </c>
      <c r="AT16" s="237">
        <f t="shared" ref="AT16" si="157">IF((AU9-AT9)&lt;0,0,(AU9-AT9))</f>
        <v>0</v>
      </c>
      <c r="AU16" s="237">
        <f t="shared" ref="AU16" si="158">IF((AV9-AU9)&lt;0,0,(AV9-AU9))</f>
        <v>0</v>
      </c>
      <c r="AV16" s="237">
        <f t="shared" ref="AV16" si="159">IF((AW9-AV9)&lt;0,0,(AW9-AV9))</f>
        <v>0</v>
      </c>
      <c r="AW16" s="237">
        <f t="shared" ref="AW16" si="160">IF((AX9-AW9)&lt;0,0,(AX9-AW9))</f>
        <v>0</v>
      </c>
      <c r="AX16" s="237">
        <f t="shared" ref="AX16" si="161">IF((AY9-AX9)&lt;0,0,(AY9-AX9))</f>
        <v>0</v>
      </c>
      <c r="AY16" s="237">
        <f t="shared" ref="AY16" si="162">IF((AZ9-AY9)&lt;0,0,(AZ9-AY9))</f>
        <v>0</v>
      </c>
      <c r="AZ16" s="237">
        <f t="shared" ref="AZ16" si="163">IF((BA9-AZ9)&lt;0,0,(BA9-AZ9))</f>
        <v>0</v>
      </c>
      <c r="BA16" s="237">
        <f t="shared" ref="BA16" si="164">IF((BB9-BA9)&lt;0,0,(BB9-BA9))</f>
        <v>0</v>
      </c>
      <c r="BB16" s="237">
        <f t="shared" ref="BB16" si="165">IF((BC9-BB9)&lt;0,0,(BC9-BB9))</f>
        <v>0</v>
      </c>
      <c r="BC16" s="237">
        <f t="shared" ref="BC16" si="166">IF((BD9-BC9)&lt;0,0,(BD9-BC9))</f>
        <v>0</v>
      </c>
      <c r="BD16" s="237">
        <f t="shared" ref="BD16" si="167">IF((BE9-BD9)&lt;0,0,(BE9-BD9))</f>
        <v>0</v>
      </c>
      <c r="BE16" s="237">
        <f t="shared" ref="BE16" si="168">IF((BF9-BE9)&lt;0,0,(BF9-BE9))</f>
        <v>0</v>
      </c>
      <c r="BF16" s="237">
        <f t="shared" ref="BF16" si="169">IF((BG9-BF9)&lt;0,0,(BG9-BF9))</f>
        <v>0</v>
      </c>
      <c r="BG16" s="237">
        <f t="shared" ref="BG16" si="170">IF((BH9-BG9)&lt;0,0,(BH9-BG9))</f>
        <v>0</v>
      </c>
      <c r="BH16" s="237">
        <f t="shared" ref="BH16" si="171">IF((BI9-BH9)&lt;0,0,(BI9-BH9))</f>
        <v>0</v>
      </c>
      <c r="BI16" s="237">
        <f t="shared" ref="BI16" si="172">IF((BJ9-BI9)&lt;0,0,(BJ9-BI9))</f>
        <v>0</v>
      </c>
      <c r="BJ16" s="237">
        <f t="shared" ref="BJ16" si="173">IF((BK9-BJ9)&lt;0,0,(BK9-BJ9))</f>
        <v>0</v>
      </c>
      <c r="BK16" s="237">
        <f t="shared" ref="BK16" si="174">IF((BL9-BK9)&lt;0,0,(BL9-BK9))</f>
        <v>0</v>
      </c>
      <c r="BL16" s="237">
        <f t="shared" ref="BL16" si="175">IF((BM9-BL9)&lt;0,0,(BM9-BL9))</f>
        <v>0</v>
      </c>
      <c r="BM16" s="237">
        <f t="shared" ref="BM16" si="176">IF((BN9-BM9)&lt;0,0,(BN9-BM9))</f>
        <v>0</v>
      </c>
      <c r="BN16" s="237">
        <f t="shared" ref="BN16" si="177">IF((BO9-BN9)&lt;0,0,(BO9-BN9))</f>
        <v>0</v>
      </c>
      <c r="BO16" s="237">
        <f t="shared" ref="BO16" si="178">IF((BP9-BO9)&lt;0,0,(BP9-BO9))</f>
        <v>0</v>
      </c>
      <c r="BP16" s="237">
        <f t="shared" ref="BP16" si="179">IF((BQ9-BP9)&lt;0,0,(BQ9-BP9))</f>
        <v>0</v>
      </c>
      <c r="BQ16" s="237">
        <f t="shared" ref="BQ16" si="180">IF((BR9-BQ9)&lt;0,0,(BR9-BQ9))</f>
        <v>0</v>
      </c>
      <c r="BR16" s="237">
        <f t="shared" ref="BR16" si="181">IF((BS9-BR9)&lt;0,0,(BS9-BR9))</f>
        <v>0</v>
      </c>
      <c r="BS16" s="237">
        <f t="shared" ref="BS16" si="182">IF((BT9-BS9)&lt;0,0,(BT9-BS9))</f>
        <v>0</v>
      </c>
      <c r="BT16" s="237">
        <f t="shared" ref="BT16" si="183">IF((BU9-BT9)&lt;0,0,(BU9-BT9))</f>
        <v>0</v>
      </c>
      <c r="BU16" s="237">
        <f t="shared" ref="BU16" si="184">IF((BV9-BU9)&lt;0,0,(BV9-BU9))</f>
        <v>0</v>
      </c>
      <c r="BV16" s="237">
        <f t="shared" ref="BV16" si="185">IF((BW9-BV9)&lt;0,0,(BW9-BV9))</f>
        <v>0</v>
      </c>
      <c r="BW16" s="237">
        <f t="shared" ref="BW16" si="186">IF((BX9-BW9)&lt;0,0,(BX9-BW9))</f>
        <v>0</v>
      </c>
      <c r="BX16" s="237">
        <f t="shared" ref="BX16" si="187">IF((BY9-BX9)&lt;0,0,(BY9-BX9))</f>
        <v>0</v>
      </c>
      <c r="BY16" s="237">
        <f t="shared" ref="BY16" si="188">IF((BZ9-BY9)&lt;0,0,(BZ9-BY9))</f>
        <v>0</v>
      </c>
      <c r="BZ16" s="237">
        <f t="shared" ref="BZ16" si="189">IF((CA9-BZ9)&lt;0,0,(CA9-BZ9))</f>
        <v>0</v>
      </c>
      <c r="CA16" s="237">
        <f t="shared" ref="CA16" si="190">IF((CB9-CA9)&lt;0,0,(CB9-CA9))</f>
        <v>0</v>
      </c>
      <c r="CB16" s="237">
        <f t="shared" ref="CB16" si="191">IF((CC9-CB9)&lt;0,0,(CC9-CB9))</f>
        <v>0</v>
      </c>
      <c r="CC16" s="237">
        <f t="shared" ref="CC16" si="192">IF((CD9-CC9)&lt;0,0,(CD9-CC9))</f>
        <v>0</v>
      </c>
      <c r="CD16" s="237">
        <f t="shared" ref="CD16" si="193">IF((CE9-CD9)&lt;0,0,(CE9-CD9))</f>
        <v>0</v>
      </c>
      <c r="CE16" s="237">
        <f t="shared" ref="CE16" si="194">IF((CF9-CE9)&lt;0,0,(CF9-CE9))</f>
        <v>0</v>
      </c>
      <c r="CF16" s="237">
        <f t="shared" ref="CF16" si="195">IF((CG9-CF9)&lt;0,0,(CG9-CF9))</f>
        <v>0</v>
      </c>
      <c r="CG16" s="237">
        <f t="shared" ref="CG16" si="196">IF((CH9-CG9)&lt;0,0,(CH9-CG9))</f>
        <v>0</v>
      </c>
      <c r="CH16" s="237">
        <f t="shared" ref="CH16" si="197">IF((CI9-CH9)&lt;0,0,(CI9-CH9))</f>
        <v>0</v>
      </c>
      <c r="CI16" s="237">
        <f t="shared" ref="CI16" si="198">IF((CJ9-CI9)&lt;0,0,(CJ9-CI9))</f>
        <v>0</v>
      </c>
      <c r="CJ16" s="237">
        <f t="shared" ref="CJ16" si="199">IF((CK9-CJ9)&lt;0,0,(CK9-CJ9))</f>
        <v>0</v>
      </c>
      <c r="CK16" s="237">
        <f t="shared" ref="CK16" si="200">IF((CL9-CK9)&lt;0,0,(CL9-CK9))</f>
        <v>0</v>
      </c>
      <c r="CL16" s="237">
        <f t="shared" ref="CL16" si="201">IF((CM9-CL9)&lt;0,0,(CM9-CL9))</f>
        <v>0</v>
      </c>
      <c r="CM16" s="237">
        <f t="shared" ref="CM16" si="202">IF((CN9-CM9)&lt;0,0,(CN9-CM9))</f>
        <v>0</v>
      </c>
      <c r="CN16" s="237">
        <f t="shared" ref="CN16" si="203">IF((CO9-CN9)&lt;0,0,(CO9-CN9))</f>
        <v>0</v>
      </c>
      <c r="CO16" s="237">
        <f t="shared" ref="CO16" si="204">IF((CP9-CO9)&lt;0,0,(CP9-CO9))</f>
        <v>0</v>
      </c>
      <c r="CP16" s="237">
        <f t="shared" ref="CP16" si="205">IF((CQ9-CP9)&lt;0,0,(CQ9-CP9))</f>
        <v>0</v>
      </c>
      <c r="CQ16" s="237">
        <f t="shared" ref="CQ16" si="206">IF((CR9-CQ9)&lt;0,0,(CR9-CQ9))</f>
        <v>0</v>
      </c>
      <c r="CR16" s="237">
        <f t="shared" ref="CR16" si="207">IF((CS9-CR9)&lt;0,0,(CS9-CR9))</f>
        <v>0</v>
      </c>
      <c r="CS16" s="237">
        <f t="shared" ref="CS16" si="208">IF((CT9-CS9)&lt;0,0,(CT9-CS9))</f>
        <v>0</v>
      </c>
      <c r="CT16" s="237">
        <f t="shared" ref="CT16" si="209">IF((CU9-CT9)&lt;0,0,(CU9-CT9))</f>
        <v>0</v>
      </c>
      <c r="CU16" s="237">
        <f t="shared" ref="CU16" si="210">IF((CV9-CU9)&lt;0,0,(CV9-CU9))</f>
        <v>0</v>
      </c>
      <c r="CV16" s="237">
        <f t="shared" ref="CV16" si="211">IF((CW9-CV9)&lt;0,0,(CW9-CV9))</f>
        <v>0</v>
      </c>
      <c r="CW16" s="237">
        <f t="shared" ref="CW16" si="212">IF((CX9-CW9)&lt;0,0,(CX9-CW9))</f>
        <v>0</v>
      </c>
      <c r="CX16" s="237">
        <f t="shared" ref="CX16" si="213">IF((CY9-CX9)&lt;0,0,(CY9-CX9))</f>
        <v>0</v>
      </c>
      <c r="CY16" s="237">
        <f t="shared" ref="CY16" si="214">IF((CZ9-CY9)&lt;0,0,(CZ9-CY9))</f>
        <v>0</v>
      </c>
      <c r="CZ16" s="237">
        <f t="shared" ref="CZ16" si="215">IF((DA9-CZ9)&lt;0,0,(DA9-CZ9))</f>
        <v>0</v>
      </c>
      <c r="DA16" s="237">
        <f t="shared" ref="DA16" si="216">IF((DB9-DA9)&lt;0,0,(DB9-DA9))</f>
        <v>0</v>
      </c>
      <c r="DB16" s="237">
        <f t="shared" ref="DB16" si="217">IF((DC9-DB9)&lt;0,0,(DC9-DB9))</f>
        <v>0</v>
      </c>
      <c r="DC16" s="237">
        <f t="shared" ref="DC16" si="218">IF((DD9-DC9)&lt;0,0,(DD9-DC9))</f>
        <v>0</v>
      </c>
      <c r="DD16" s="237">
        <f t="shared" ref="DD16" si="219">IF((DE9-DD9)&lt;0,0,(DE9-DD9))</f>
        <v>0</v>
      </c>
      <c r="DE16" s="237">
        <f t="shared" ref="DE16" si="220">IF((DF9-DE9)&lt;0,0,(DF9-DE9))</f>
        <v>0</v>
      </c>
      <c r="DF16" s="237">
        <f t="shared" ref="DF16" si="221">IF((DG9-DF9)&lt;0,0,(DG9-DF9))</f>
        <v>0</v>
      </c>
      <c r="DG16" s="237">
        <f t="shared" ref="DG16" si="222">IF((DH9-DG9)&lt;0,0,(DH9-DG9))</f>
        <v>0</v>
      </c>
      <c r="DH16" s="237">
        <f t="shared" ref="DH16" si="223">IF((DI9-DH9)&lt;0,0,(DI9-DH9))</f>
        <v>0</v>
      </c>
      <c r="DI16" s="237">
        <f t="shared" ref="DI16" si="224">IF((DJ9-DI9)&lt;0,0,(DJ9-DI9))</f>
        <v>0</v>
      </c>
      <c r="DJ16" s="237">
        <f t="shared" ref="DJ16" si="225">IF((DK9-DJ9)&lt;0,0,(DK9-DJ9))</f>
        <v>0</v>
      </c>
      <c r="DK16" s="237">
        <f t="shared" ref="DK16" si="226">IF((DL9-DK9)&lt;0,0,(DL9-DK9))</f>
        <v>0</v>
      </c>
      <c r="DL16" s="237">
        <f t="shared" ref="DL16" si="227">IF((DM9-DL9)&lt;0,0,(DM9-DL9))</f>
        <v>0</v>
      </c>
      <c r="DM16" s="237">
        <f t="shared" ref="DM16" si="228">IF((DN9-DM9)&lt;0,0,(DN9-DM9))</f>
        <v>0</v>
      </c>
      <c r="DN16" s="237">
        <f t="shared" ref="DN16" si="229">IF((DO9-DN9)&lt;0,0,(DO9-DN9))</f>
        <v>0</v>
      </c>
      <c r="DO16" s="237">
        <f t="shared" ref="DO16" si="230">IF((DP9-DO9)&lt;0,0,(DP9-DO9))</f>
        <v>0</v>
      </c>
      <c r="DP16" s="237">
        <f t="shared" ref="DP16" si="231">IF((DQ9-DP9)&lt;0,0,(DQ9-DP9))</f>
        <v>0</v>
      </c>
      <c r="DQ16" s="237">
        <f t="shared" ref="DQ16" si="232">IF((DR9-DQ9)&lt;0,0,(DR9-DQ9))</f>
        <v>0</v>
      </c>
      <c r="DR16" s="237">
        <f t="shared" ref="DR16" si="233">IF((DS9-DR9)&lt;0,0,(DS9-DR9))</f>
        <v>0</v>
      </c>
      <c r="DS16" s="237">
        <f t="shared" ref="DS16" si="234">IF((DT9-DS9)&lt;0,0,(DT9-DS9))</f>
        <v>0</v>
      </c>
      <c r="DT16" s="237">
        <f t="shared" ref="DT16" si="235">IF((DU9-DT9)&lt;0,0,(DU9-DT9))</f>
        <v>0</v>
      </c>
      <c r="DU16" s="237">
        <f t="shared" ref="DU16" si="236">IF((DV9-DU9)&lt;0,0,(DV9-DU9))</f>
        <v>0</v>
      </c>
      <c r="DV16" s="477">
        <f t="shared" ref="DV16" si="237">IF((DX9-DV9)&lt;0,0,(DX9-DV9))</f>
        <v>0</v>
      </c>
      <c r="DW16" s="719"/>
      <c r="DX16" s="247">
        <f t="shared" si="107"/>
        <v>50</v>
      </c>
      <c r="DY16" s="238">
        <f t="shared" si="114"/>
        <v>0</v>
      </c>
      <c r="DZ16" s="238">
        <f t="shared" si="115"/>
        <v>0</v>
      </c>
      <c r="EA16" s="238">
        <f t="shared" si="116"/>
        <v>0</v>
      </c>
      <c r="EB16" s="238">
        <f t="shared" si="117"/>
        <v>0</v>
      </c>
      <c r="EC16" s="238">
        <f t="shared" si="108"/>
        <v>50</v>
      </c>
      <c r="ED16" s="238">
        <f t="shared" si="109"/>
        <v>0</v>
      </c>
      <c r="EE16" s="238">
        <f t="shared" si="110"/>
        <v>0</v>
      </c>
      <c r="EF16" s="239">
        <f t="shared" si="111"/>
        <v>50</v>
      </c>
      <c r="EG16" s="238">
        <f t="shared" si="112"/>
        <v>0</v>
      </c>
      <c r="EH16" s="238">
        <f t="shared" si="113"/>
        <v>0</v>
      </c>
      <c r="EI16" s="507">
        <f>SUM(EF16:EH16)</f>
        <v>50</v>
      </c>
      <c r="EJ16" s="30">
        <f t="shared" ref="EJ16:EJ17" si="238">SUM(F16:BN16)-EI16</f>
        <v>0</v>
      </c>
      <c r="EK16" s="238">
        <f t="shared" si="4"/>
        <v>0</v>
      </c>
      <c r="EL16" s="238">
        <f t="shared" si="5"/>
        <v>0</v>
      </c>
      <c r="EM16" s="238">
        <f t="shared" si="6"/>
        <v>0</v>
      </c>
      <c r="EN16" s="238">
        <f t="shared" si="7"/>
        <v>0</v>
      </c>
      <c r="EO16" s="238">
        <f t="shared" si="8"/>
        <v>0</v>
      </c>
      <c r="EP16" s="507">
        <f t="shared" si="9"/>
        <v>50</v>
      </c>
    </row>
    <row r="17" spans="1:146" outlineLevel="1" x14ac:dyDescent="0.3">
      <c r="A17" s="105">
        <f>Summary!$AA$6</f>
        <v>9</v>
      </c>
      <c r="B17" s="209" t="s">
        <v>163</v>
      </c>
      <c r="C17" s="210"/>
      <c r="D17" s="476"/>
      <c r="E17" s="478"/>
      <c r="F17" s="737">
        <f t="shared" ref="F17:N17" si="239">F16*$A$16*$A$17*5</f>
        <v>7492.5</v>
      </c>
      <c r="G17" s="240">
        <f t="shared" si="239"/>
        <v>0</v>
      </c>
      <c r="H17" s="240">
        <f t="shared" si="239"/>
        <v>0</v>
      </c>
      <c r="I17" s="240">
        <f t="shared" si="239"/>
        <v>0</v>
      </c>
      <c r="J17" s="240">
        <f t="shared" si="239"/>
        <v>0</v>
      </c>
      <c r="K17" s="240">
        <f t="shared" si="239"/>
        <v>0</v>
      </c>
      <c r="L17" s="240">
        <f t="shared" si="239"/>
        <v>0</v>
      </c>
      <c r="M17" s="240">
        <f t="shared" si="239"/>
        <v>0</v>
      </c>
      <c r="N17" s="240">
        <f t="shared" si="239"/>
        <v>0</v>
      </c>
      <c r="O17" s="240">
        <f t="shared" ref="O17:BN17" si="240">O16*$A$16*$A$17*5</f>
        <v>0</v>
      </c>
      <c r="P17" s="240">
        <f t="shared" si="240"/>
        <v>0</v>
      </c>
      <c r="Q17" s="240">
        <f t="shared" si="240"/>
        <v>0</v>
      </c>
      <c r="R17" s="240">
        <f t="shared" si="240"/>
        <v>0</v>
      </c>
      <c r="S17" s="240">
        <f t="shared" si="240"/>
        <v>0</v>
      </c>
      <c r="T17" s="240">
        <f t="shared" si="240"/>
        <v>0</v>
      </c>
      <c r="U17" s="240">
        <f t="shared" si="240"/>
        <v>0</v>
      </c>
      <c r="V17" s="240">
        <f t="shared" si="240"/>
        <v>0</v>
      </c>
      <c r="W17" s="240">
        <f t="shared" si="240"/>
        <v>0</v>
      </c>
      <c r="X17" s="240">
        <f t="shared" si="240"/>
        <v>0</v>
      </c>
      <c r="Y17" s="240">
        <f t="shared" si="240"/>
        <v>0</v>
      </c>
      <c r="Z17" s="240">
        <f t="shared" si="240"/>
        <v>0</v>
      </c>
      <c r="AA17" s="240">
        <f t="shared" si="240"/>
        <v>0</v>
      </c>
      <c r="AB17" s="240">
        <f t="shared" si="240"/>
        <v>0</v>
      </c>
      <c r="AC17" s="240">
        <f t="shared" si="240"/>
        <v>0</v>
      </c>
      <c r="AD17" s="240">
        <f t="shared" si="240"/>
        <v>0</v>
      </c>
      <c r="AE17" s="240">
        <f t="shared" si="240"/>
        <v>0</v>
      </c>
      <c r="AF17" s="240">
        <f t="shared" si="240"/>
        <v>0</v>
      </c>
      <c r="AG17" s="240">
        <f t="shared" si="240"/>
        <v>0</v>
      </c>
      <c r="AH17" s="240">
        <f t="shared" si="240"/>
        <v>0</v>
      </c>
      <c r="AI17" s="240">
        <f t="shared" si="240"/>
        <v>0</v>
      </c>
      <c r="AJ17" s="240">
        <f t="shared" si="240"/>
        <v>0</v>
      </c>
      <c r="AK17" s="240">
        <f t="shared" si="240"/>
        <v>0</v>
      </c>
      <c r="AL17" s="240">
        <f t="shared" si="240"/>
        <v>0</v>
      </c>
      <c r="AM17" s="240">
        <f t="shared" si="240"/>
        <v>0</v>
      </c>
      <c r="AN17" s="240">
        <f t="shared" si="240"/>
        <v>0</v>
      </c>
      <c r="AO17" s="240">
        <f t="shared" si="240"/>
        <v>0</v>
      </c>
      <c r="AP17" s="240">
        <f t="shared" si="240"/>
        <v>0</v>
      </c>
      <c r="AQ17" s="237">
        <f t="shared" si="240"/>
        <v>0</v>
      </c>
      <c r="AR17" s="237">
        <f t="shared" si="240"/>
        <v>0</v>
      </c>
      <c r="AS17" s="237">
        <f t="shared" si="240"/>
        <v>0</v>
      </c>
      <c r="AT17" s="237">
        <f t="shared" si="240"/>
        <v>0</v>
      </c>
      <c r="AU17" s="237">
        <f t="shared" si="240"/>
        <v>0</v>
      </c>
      <c r="AV17" s="237">
        <f t="shared" si="240"/>
        <v>0</v>
      </c>
      <c r="AW17" s="237">
        <f t="shared" si="240"/>
        <v>0</v>
      </c>
      <c r="AX17" s="237">
        <f t="shared" si="240"/>
        <v>0</v>
      </c>
      <c r="AY17" s="237">
        <f t="shared" si="240"/>
        <v>0</v>
      </c>
      <c r="AZ17" s="237">
        <f t="shared" si="240"/>
        <v>0</v>
      </c>
      <c r="BA17" s="237">
        <f t="shared" si="240"/>
        <v>0</v>
      </c>
      <c r="BB17" s="237">
        <f t="shared" si="240"/>
        <v>0</v>
      </c>
      <c r="BC17" s="237">
        <f t="shared" si="240"/>
        <v>0</v>
      </c>
      <c r="BD17" s="237">
        <f t="shared" si="240"/>
        <v>0</v>
      </c>
      <c r="BE17" s="237">
        <f t="shared" si="240"/>
        <v>0</v>
      </c>
      <c r="BF17" s="237">
        <f t="shared" si="240"/>
        <v>0</v>
      </c>
      <c r="BG17" s="237">
        <f t="shared" si="240"/>
        <v>0</v>
      </c>
      <c r="BH17" s="237">
        <f t="shared" si="240"/>
        <v>0</v>
      </c>
      <c r="BI17" s="237">
        <f t="shared" si="240"/>
        <v>0</v>
      </c>
      <c r="BJ17" s="237">
        <f t="shared" si="240"/>
        <v>0</v>
      </c>
      <c r="BK17" s="237">
        <f t="shared" si="240"/>
        <v>0</v>
      </c>
      <c r="BL17" s="237">
        <f t="shared" si="240"/>
        <v>0</v>
      </c>
      <c r="BM17" s="237">
        <f t="shared" si="240"/>
        <v>0</v>
      </c>
      <c r="BN17" s="237">
        <f t="shared" si="240"/>
        <v>0</v>
      </c>
      <c r="BO17" s="237">
        <f t="shared" ref="BO17:DV17" si="241">BO16*$A$16*$A$17*5</f>
        <v>0</v>
      </c>
      <c r="BP17" s="237">
        <f t="shared" si="241"/>
        <v>0</v>
      </c>
      <c r="BQ17" s="237">
        <f t="shared" si="241"/>
        <v>0</v>
      </c>
      <c r="BR17" s="237">
        <f t="shared" si="241"/>
        <v>0</v>
      </c>
      <c r="BS17" s="237">
        <f t="shared" si="241"/>
        <v>0</v>
      </c>
      <c r="BT17" s="237">
        <f t="shared" si="241"/>
        <v>0</v>
      </c>
      <c r="BU17" s="237">
        <f t="shared" si="241"/>
        <v>0</v>
      </c>
      <c r="BV17" s="237">
        <f t="shared" si="241"/>
        <v>0</v>
      </c>
      <c r="BW17" s="237">
        <f t="shared" si="241"/>
        <v>0</v>
      </c>
      <c r="BX17" s="237">
        <f t="shared" si="241"/>
        <v>0</v>
      </c>
      <c r="BY17" s="237">
        <f t="shared" si="241"/>
        <v>0</v>
      </c>
      <c r="BZ17" s="237">
        <f t="shared" si="241"/>
        <v>0</v>
      </c>
      <c r="CA17" s="237">
        <f t="shared" si="241"/>
        <v>0</v>
      </c>
      <c r="CB17" s="237">
        <f t="shared" si="241"/>
        <v>0</v>
      </c>
      <c r="CC17" s="237">
        <f t="shared" si="241"/>
        <v>0</v>
      </c>
      <c r="CD17" s="237">
        <f t="shared" si="241"/>
        <v>0</v>
      </c>
      <c r="CE17" s="237">
        <f t="shared" si="241"/>
        <v>0</v>
      </c>
      <c r="CF17" s="237">
        <f t="shared" si="241"/>
        <v>0</v>
      </c>
      <c r="CG17" s="237">
        <f t="shared" si="241"/>
        <v>0</v>
      </c>
      <c r="CH17" s="237">
        <f t="shared" si="241"/>
        <v>0</v>
      </c>
      <c r="CI17" s="237">
        <f t="shared" si="241"/>
        <v>0</v>
      </c>
      <c r="CJ17" s="237">
        <f t="shared" si="241"/>
        <v>0</v>
      </c>
      <c r="CK17" s="237">
        <f t="shared" si="241"/>
        <v>0</v>
      </c>
      <c r="CL17" s="237">
        <f t="shared" si="241"/>
        <v>0</v>
      </c>
      <c r="CM17" s="237">
        <f t="shared" si="241"/>
        <v>0</v>
      </c>
      <c r="CN17" s="237">
        <f t="shared" si="241"/>
        <v>0</v>
      </c>
      <c r="CO17" s="237">
        <f t="shared" si="241"/>
        <v>0</v>
      </c>
      <c r="CP17" s="237">
        <f t="shared" si="241"/>
        <v>0</v>
      </c>
      <c r="CQ17" s="237">
        <f t="shared" si="241"/>
        <v>0</v>
      </c>
      <c r="CR17" s="237">
        <f t="shared" si="241"/>
        <v>0</v>
      </c>
      <c r="CS17" s="237">
        <f t="shared" si="241"/>
        <v>0</v>
      </c>
      <c r="CT17" s="237">
        <f t="shared" si="241"/>
        <v>0</v>
      </c>
      <c r="CU17" s="237">
        <f t="shared" si="241"/>
        <v>0</v>
      </c>
      <c r="CV17" s="237">
        <f t="shared" si="241"/>
        <v>0</v>
      </c>
      <c r="CW17" s="237">
        <f t="shared" si="241"/>
        <v>0</v>
      </c>
      <c r="CX17" s="237">
        <f t="shared" si="241"/>
        <v>0</v>
      </c>
      <c r="CY17" s="237">
        <f t="shared" si="241"/>
        <v>0</v>
      </c>
      <c r="CZ17" s="237">
        <f t="shared" si="241"/>
        <v>0</v>
      </c>
      <c r="DA17" s="237">
        <f t="shared" si="241"/>
        <v>0</v>
      </c>
      <c r="DB17" s="237">
        <f t="shared" si="241"/>
        <v>0</v>
      </c>
      <c r="DC17" s="237">
        <f t="shared" si="241"/>
        <v>0</v>
      </c>
      <c r="DD17" s="237">
        <f t="shared" si="241"/>
        <v>0</v>
      </c>
      <c r="DE17" s="237">
        <f t="shared" si="241"/>
        <v>0</v>
      </c>
      <c r="DF17" s="237">
        <f t="shared" si="241"/>
        <v>0</v>
      </c>
      <c r="DG17" s="237">
        <f t="shared" si="241"/>
        <v>0</v>
      </c>
      <c r="DH17" s="237">
        <f t="shared" si="241"/>
        <v>0</v>
      </c>
      <c r="DI17" s="237">
        <f t="shared" si="241"/>
        <v>0</v>
      </c>
      <c r="DJ17" s="237">
        <f t="shared" si="241"/>
        <v>0</v>
      </c>
      <c r="DK17" s="237">
        <f t="shared" si="241"/>
        <v>0</v>
      </c>
      <c r="DL17" s="237">
        <f t="shared" si="241"/>
        <v>0</v>
      </c>
      <c r="DM17" s="237">
        <f t="shared" si="241"/>
        <v>0</v>
      </c>
      <c r="DN17" s="237">
        <f t="shared" si="241"/>
        <v>0</v>
      </c>
      <c r="DO17" s="237">
        <f t="shared" si="241"/>
        <v>0</v>
      </c>
      <c r="DP17" s="237">
        <f t="shared" si="241"/>
        <v>0</v>
      </c>
      <c r="DQ17" s="237">
        <f t="shared" si="241"/>
        <v>0</v>
      </c>
      <c r="DR17" s="237">
        <f t="shared" si="241"/>
        <v>0</v>
      </c>
      <c r="DS17" s="237">
        <f t="shared" si="241"/>
        <v>0</v>
      </c>
      <c r="DT17" s="237">
        <f t="shared" si="241"/>
        <v>0</v>
      </c>
      <c r="DU17" s="237">
        <f t="shared" si="241"/>
        <v>0</v>
      </c>
      <c r="DV17" s="477">
        <f t="shared" si="241"/>
        <v>0</v>
      </c>
      <c r="DW17" s="719"/>
      <c r="DX17" s="508">
        <f t="shared" si="107"/>
        <v>7492.5</v>
      </c>
      <c r="DY17" s="241">
        <f t="shared" si="114"/>
        <v>0</v>
      </c>
      <c r="DZ17" s="241">
        <f t="shared" si="115"/>
        <v>0</v>
      </c>
      <c r="EA17" s="241">
        <f t="shared" si="116"/>
        <v>0</v>
      </c>
      <c r="EB17" s="241">
        <f t="shared" si="117"/>
        <v>0</v>
      </c>
      <c r="EC17" s="241">
        <f t="shared" si="108"/>
        <v>7492.5</v>
      </c>
      <c r="ED17" s="241">
        <f t="shared" si="109"/>
        <v>0</v>
      </c>
      <c r="EE17" s="241">
        <f t="shared" si="110"/>
        <v>0</v>
      </c>
      <c r="EF17" s="242">
        <f t="shared" si="111"/>
        <v>7492.5</v>
      </c>
      <c r="EG17" s="241">
        <f t="shared" si="112"/>
        <v>0</v>
      </c>
      <c r="EH17" s="241">
        <f t="shared" si="113"/>
        <v>0</v>
      </c>
      <c r="EI17" s="509">
        <f>SUM(EF17:EH17)</f>
        <v>7492.5</v>
      </c>
      <c r="EJ17" s="30">
        <f t="shared" si="238"/>
        <v>0</v>
      </c>
      <c r="EK17" s="241">
        <f t="shared" si="4"/>
        <v>0</v>
      </c>
      <c r="EL17" s="241">
        <f t="shared" si="5"/>
        <v>0</v>
      </c>
      <c r="EM17" s="241">
        <f t="shared" si="6"/>
        <v>0</v>
      </c>
      <c r="EN17" s="241">
        <f t="shared" si="7"/>
        <v>0</v>
      </c>
      <c r="EO17" s="241">
        <f t="shared" si="8"/>
        <v>0</v>
      </c>
      <c r="EP17" s="509">
        <f t="shared" si="9"/>
        <v>7492.5</v>
      </c>
    </row>
    <row r="18" spans="1:146" outlineLevel="1" x14ac:dyDescent="0.3">
      <c r="B18" s="220" t="s">
        <v>164</v>
      </c>
      <c r="C18" s="243" t="str">
        <f>C12</f>
        <v>GBP/USD/EURO/AUD/AUD</v>
      </c>
      <c r="D18" s="470"/>
      <c r="E18" s="471"/>
      <c r="F18" s="222">
        <f>Summary!$AC$8</f>
        <v>10.1</v>
      </c>
      <c r="G18" s="223">
        <f t="shared" ref="G18:H18" si="242">F18</f>
        <v>10.1</v>
      </c>
      <c r="H18" s="223">
        <f t="shared" si="242"/>
        <v>10.1</v>
      </c>
      <c r="I18" s="223">
        <f t="shared" ref="I18" si="243">H18</f>
        <v>10.1</v>
      </c>
      <c r="J18" s="223">
        <f t="shared" ref="J18" si="244">I18</f>
        <v>10.1</v>
      </c>
      <c r="K18" s="223">
        <f t="shared" ref="K18" si="245">J18</f>
        <v>10.1</v>
      </c>
      <c r="L18" s="223">
        <f t="shared" ref="L18" si="246">K18</f>
        <v>10.1</v>
      </c>
      <c r="M18" s="223">
        <f t="shared" ref="M18" si="247">L18</f>
        <v>10.1</v>
      </c>
      <c r="N18" s="223">
        <f t="shared" ref="N18" si="248">M18</f>
        <v>10.1</v>
      </c>
      <c r="O18" s="223">
        <f t="shared" ref="O18" si="249">N18</f>
        <v>10.1</v>
      </c>
      <c r="P18" s="223">
        <f t="shared" ref="P18" si="250">O18</f>
        <v>10.1</v>
      </c>
      <c r="Q18" s="223">
        <f t="shared" ref="Q18" si="251">P18</f>
        <v>10.1</v>
      </c>
      <c r="R18" s="223">
        <f t="shared" ref="R18" si="252">Q18</f>
        <v>10.1</v>
      </c>
      <c r="S18" s="222">
        <f>Summary!$AD$8</f>
        <v>10.61</v>
      </c>
      <c r="T18" s="223">
        <f t="shared" ref="T18" si="253">S18</f>
        <v>10.61</v>
      </c>
      <c r="U18" s="223">
        <f t="shared" ref="U18" si="254">T18</f>
        <v>10.61</v>
      </c>
      <c r="V18" s="223">
        <f t="shared" ref="V18" si="255">U18</f>
        <v>10.61</v>
      </c>
      <c r="W18" s="223">
        <f t="shared" ref="W18" si="256">V18</f>
        <v>10.61</v>
      </c>
      <c r="X18" s="223">
        <f t="shared" ref="X18" si="257">W18</f>
        <v>10.61</v>
      </c>
      <c r="Y18" s="223">
        <f t="shared" ref="Y18" si="258">X18</f>
        <v>10.61</v>
      </c>
      <c r="Z18" s="223">
        <f t="shared" ref="Z18" si="259">Y18</f>
        <v>10.61</v>
      </c>
      <c r="AA18" s="223">
        <f t="shared" ref="AA18" si="260">Z18</f>
        <v>10.61</v>
      </c>
      <c r="AB18" s="223">
        <f t="shared" ref="AB18" si="261">AA18</f>
        <v>10.61</v>
      </c>
      <c r="AC18" s="223">
        <f t="shared" ref="AC18" si="262">AB18</f>
        <v>10.61</v>
      </c>
      <c r="AD18" s="223">
        <f t="shared" ref="AD18" si="263">AC18</f>
        <v>10.61</v>
      </c>
      <c r="AE18" s="222">
        <f>Summary!$AE$8</f>
        <v>11.14</v>
      </c>
      <c r="AF18" s="223">
        <f t="shared" ref="AF18" si="264">AE18</f>
        <v>11.14</v>
      </c>
      <c r="AG18" s="223">
        <f t="shared" ref="AG18" si="265">AF18</f>
        <v>11.14</v>
      </c>
      <c r="AH18" s="223">
        <f t="shared" ref="AH18" si="266">AG18</f>
        <v>11.14</v>
      </c>
      <c r="AI18" s="223">
        <f t="shared" ref="AI18" si="267">AH18</f>
        <v>11.14</v>
      </c>
      <c r="AJ18" s="223">
        <f t="shared" ref="AJ18" si="268">AI18</f>
        <v>11.14</v>
      </c>
      <c r="AK18" s="223">
        <f t="shared" ref="AK18" si="269">AJ18</f>
        <v>11.14</v>
      </c>
      <c r="AL18" s="223">
        <f t="shared" ref="AL18" si="270">AK18</f>
        <v>11.14</v>
      </c>
      <c r="AM18" s="223">
        <f t="shared" ref="AM18" si="271">AL18</f>
        <v>11.14</v>
      </c>
      <c r="AN18" s="223">
        <f t="shared" ref="AN18" si="272">AM18</f>
        <v>11.14</v>
      </c>
      <c r="AO18" s="223">
        <f t="shared" ref="AO18" si="273">AN18</f>
        <v>11.14</v>
      </c>
      <c r="AP18" s="223">
        <f t="shared" ref="AP18" si="274">AO18</f>
        <v>11.14</v>
      </c>
      <c r="AQ18" s="222">
        <f>Summary!$AF$8</f>
        <v>11.7</v>
      </c>
      <c r="AR18" s="223">
        <f t="shared" ref="AR18" si="275">AQ18</f>
        <v>11.7</v>
      </c>
      <c r="AS18" s="223">
        <f t="shared" ref="AS18" si="276">AR18</f>
        <v>11.7</v>
      </c>
      <c r="AT18" s="223">
        <f t="shared" ref="AT18" si="277">AS18</f>
        <v>11.7</v>
      </c>
      <c r="AU18" s="223">
        <f t="shared" ref="AU18" si="278">AT18</f>
        <v>11.7</v>
      </c>
      <c r="AV18" s="223">
        <f t="shared" ref="AV18" si="279">AU18</f>
        <v>11.7</v>
      </c>
      <c r="AW18" s="223">
        <f t="shared" ref="AW18" si="280">AV18</f>
        <v>11.7</v>
      </c>
      <c r="AX18" s="223">
        <f t="shared" ref="AX18" si="281">AW18</f>
        <v>11.7</v>
      </c>
      <c r="AY18" s="223">
        <f t="shared" ref="AY18" si="282">AX18</f>
        <v>11.7</v>
      </c>
      <c r="AZ18" s="223">
        <f t="shared" ref="AZ18" si="283">AY18</f>
        <v>11.7</v>
      </c>
      <c r="BA18" s="223">
        <f t="shared" ref="BA18" si="284">AZ18</f>
        <v>11.7</v>
      </c>
      <c r="BB18" s="640">
        <f t="shared" ref="BB18" si="285">BA18</f>
        <v>11.7</v>
      </c>
      <c r="BC18" s="371">
        <f>Summary!$AG$8</f>
        <v>12.29</v>
      </c>
      <c r="BD18" s="223">
        <f t="shared" ref="BD18" si="286">BC18</f>
        <v>12.29</v>
      </c>
      <c r="BE18" s="223">
        <f t="shared" ref="BE18" si="287">BD18</f>
        <v>12.29</v>
      </c>
      <c r="BF18" s="223">
        <f t="shared" ref="BF18" si="288">BE18</f>
        <v>12.29</v>
      </c>
      <c r="BG18" s="223">
        <f t="shared" ref="BG18" si="289">BF18</f>
        <v>12.29</v>
      </c>
      <c r="BH18" s="223">
        <f t="shared" ref="BH18" si="290">BG18</f>
        <v>12.29</v>
      </c>
      <c r="BI18" s="223">
        <f t="shared" ref="BI18" si="291">BH18</f>
        <v>12.29</v>
      </c>
      <c r="BJ18" s="223">
        <f t="shared" ref="BJ18" si="292">BI18</f>
        <v>12.29</v>
      </c>
      <c r="BK18" s="223">
        <f t="shared" ref="BK18" si="293">BJ18</f>
        <v>12.29</v>
      </c>
      <c r="BL18" s="223">
        <f t="shared" ref="BL18" si="294">BK18</f>
        <v>12.29</v>
      </c>
      <c r="BM18" s="223">
        <f t="shared" ref="BM18" si="295">BL18</f>
        <v>12.29</v>
      </c>
      <c r="BN18" s="223">
        <f t="shared" ref="BN18" si="296">BM18</f>
        <v>12.29</v>
      </c>
      <c r="BO18" s="371">
        <f>Summary!$AH$8</f>
        <v>12.904500000000001</v>
      </c>
      <c r="BP18" s="223">
        <f t="shared" ref="BP18" si="297">BO18</f>
        <v>12.904500000000001</v>
      </c>
      <c r="BQ18" s="223">
        <f t="shared" ref="BQ18" si="298">BP18</f>
        <v>12.904500000000001</v>
      </c>
      <c r="BR18" s="223">
        <f t="shared" ref="BR18" si="299">BQ18</f>
        <v>12.904500000000001</v>
      </c>
      <c r="BS18" s="223">
        <f t="shared" ref="BS18" si="300">BR18</f>
        <v>12.904500000000001</v>
      </c>
      <c r="BT18" s="223">
        <f t="shared" ref="BT18" si="301">BS18</f>
        <v>12.904500000000001</v>
      </c>
      <c r="BU18" s="223">
        <f t="shared" ref="BU18" si="302">BT18</f>
        <v>12.904500000000001</v>
      </c>
      <c r="BV18" s="223">
        <f t="shared" ref="BV18" si="303">BU18</f>
        <v>12.904500000000001</v>
      </c>
      <c r="BW18" s="223">
        <f t="shared" ref="BW18" si="304">BV18</f>
        <v>12.904500000000001</v>
      </c>
      <c r="BX18" s="223">
        <f t="shared" ref="BX18" si="305">BW18</f>
        <v>12.904500000000001</v>
      </c>
      <c r="BY18" s="223">
        <f t="shared" ref="BY18" si="306">BX18</f>
        <v>12.904500000000001</v>
      </c>
      <c r="BZ18" s="223">
        <f t="shared" ref="BZ18" si="307">BY18</f>
        <v>12.904500000000001</v>
      </c>
      <c r="CA18" s="371">
        <f>Summary!$AI$8</f>
        <v>13.549725</v>
      </c>
      <c r="CB18" s="223">
        <f t="shared" ref="CB18" si="308">CA18</f>
        <v>13.549725</v>
      </c>
      <c r="CC18" s="223">
        <f t="shared" ref="CC18" si="309">CB18</f>
        <v>13.549725</v>
      </c>
      <c r="CD18" s="223">
        <f t="shared" ref="CD18" si="310">CC18</f>
        <v>13.549725</v>
      </c>
      <c r="CE18" s="223">
        <f t="shared" ref="CE18" si="311">CD18</f>
        <v>13.549725</v>
      </c>
      <c r="CF18" s="223">
        <f t="shared" ref="CF18" si="312">CE18</f>
        <v>13.549725</v>
      </c>
      <c r="CG18" s="223">
        <f t="shared" ref="CG18" si="313">CF18</f>
        <v>13.549725</v>
      </c>
      <c r="CH18" s="223">
        <f t="shared" ref="CH18" si="314">CG18</f>
        <v>13.549725</v>
      </c>
      <c r="CI18" s="223">
        <f t="shared" ref="CI18" si="315">CH18</f>
        <v>13.549725</v>
      </c>
      <c r="CJ18" s="223">
        <f t="shared" ref="CJ18" si="316">CI18</f>
        <v>13.549725</v>
      </c>
      <c r="CK18" s="223">
        <f t="shared" ref="CK18" si="317">CJ18</f>
        <v>13.549725</v>
      </c>
      <c r="CL18" s="223">
        <f t="shared" ref="CL18" si="318">CK18</f>
        <v>13.549725</v>
      </c>
      <c r="CM18" s="371">
        <f>Summary!$AJ$8</f>
        <v>14.227211250000002</v>
      </c>
      <c r="CN18" s="223">
        <f t="shared" ref="CN18" si="319">CM18</f>
        <v>14.227211250000002</v>
      </c>
      <c r="CO18" s="223">
        <f t="shared" ref="CO18" si="320">CN18</f>
        <v>14.227211250000002</v>
      </c>
      <c r="CP18" s="223">
        <f t="shared" ref="CP18" si="321">CO18</f>
        <v>14.227211250000002</v>
      </c>
      <c r="CQ18" s="223">
        <f t="shared" ref="CQ18" si="322">CP18</f>
        <v>14.227211250000002</v>
      </c>
      <c r="CR18" s="223">
        <f t="shared" ref="CR18" si="323">CQ18</f>
        <v>14.227211250000002</v>
      </c>
      <c r="CS18" s="223">
        <f t="shared" ref="CS18" si="324">CR18</f>
        <v>14.227211250000002</v>
      </c>
      <c r="CT18" s="223">
        <f t="shared" ref="CT18" si="325">CS18</f>
        <v>14.227211250000002</v>
      </c>
      <c r="CU18" s="223">
        <f t="shared" ref="CU18" si="326">CT18</f>
        <v>14.227211250000002</v>
      </c>
      <c r="CV18" s="223">
        <f t="shared" ref="CV18" si="327">CU18</f>
        <v>14.227211250000002</v>
      </c>
      <c r="CW18" s="223">
        <f t="shared" ref="CW18" si="328">CV18</f>
        <v>14.227211250000002</v>
      </c>
      <c r="CX18" s="223">
        <f t="shared" ref="CX18" si="329">CW18</f>
        <v>14.227211250000002</v>
      </c>
      <c r="CY18" s="371">
        <f>Summary!$AK$8</f>
        <v>14.938571812500003</v>
      </c>
      <c r="CZ18" s="223">
        <f t="shared" ref="CZ18" si="330">CY18</f>
        <v>14.938571812500003</v>
      </c>
      <c r="DA18" s="223">
        <f t="shared" ref="DA18" si="331">CZ18</f>
        <v>14.938571812500003</v>
      </c>
      <c r="DB18" s="223">
        <f t="shared" ref="DB18" si="332">DA18</f>
        <v>14.938571812500003</v>
      </c>
      <c r="DC18" s="223">
        <f t="shared" ref="DC18" si="333">DB18</f>
        <v>14.938571812500003</v>
      </c>
      <c r="DD18" s="223">
        <f t="shared" ref="DD18" si="334">DC18</f>
        <v>14.938571812500003</v>
      </c>
      <c r="DE18" s="223">
        <f t="shared" ref="DE18" si="335">DD18</f>
        <v>14.938571812500003</v>
      </c>
      <c r="DF18" s="223">
        <f t="shared" ref="DF18" si="336">DE18</f>
        <v>14.938571812500003</v>
      </c>
      <c r="DG18" s="223">
        <f t="shared" ref="DG18" si="337">DF18</f>
        <v>14.938571812500003</v>
      </c>
      <c r="DH18" s="223">
        <f t="shared" ref="DH18" si="338">DG18</f>
        <v>14.938571812500003</v>
      </c>
      <c r="DI18" s="223">
        <f t="shared" ref="DI18" si="339">DH18</f>
        <v>14.938571812500003</v>
      </c>
      <c r="DJ18" s="223">
        <f t="shared" ref="DJ18" si="340">DI18</f>
        <v>14.938571812500003</v>
      </c>
      <c r="DK18" s="371">
        <f>Summary!$AL$8</f>
        <v>15.685500403125003</v>
      </c>
      <c r="DL18" s="223">
        <f t="shared" ref="DL18" si="341">DK18</f>
        <v>15.685500403125003</v>
      </c>
      <c r="DM18" s="223">
        <f t="shared" ref="DM18" si="342">DL18</f>
        <v>15.685500403125003</v>
      </c>
      <c r="DN18" s="223">
        <f t="shared" ref="DN18" si="343">DM18</f>
        <v>15.685500403125003</v>
      </c>
      <c r="DO18" s="223">
        <f t="shared" ref="DO18" si="344">DN18</f>
        <v>15.685500403125003</v>
      </c>
      <c r="DP18" s="223">
        <f t="shared" ref="DP18" si="345">DO18</f>
        <v>15.685500403125003</v>
      </c>
      <c r="DQ18" s="223">
        <f t="shared" ref="DQ18" si="346">DP18</f>
        <v>15.685500403125003</v>
      </c>
      <c r="DR18" s="223">
        <f t="shared" ref="DR18" si="347">DQ18</f>
        <v>15.685500403125003</v>
      </c>
      <c r="DS18" s="223">
        <f t="shared" ref="DS18" si="348">DR18</f>
        <v>15.685500403125003</v>
      </c>
      <c r="DT18" s="223">
        <f t="shared" ref="DT18" si="349">DS18</f>
        <v>15.685500403125003</v>
      </c>
      <c r="DU18" s="223">
        <f t="shared" ref="DU18" si="350">DT18</f>
        <v>15.685500403125003</v>
      </c>
      <c r="DV18" s="471">
        <f t="shared" ref="DV18" si="351">DU18</f>
        <v>15.685500403125003</v>
      </c>
      <c r="DW18" s="640"/>
      <c r="DX18" s="470">
        <f>DX11</f>
        <v>0</v>
      </c>
      <c r="DY18" s="244">
        <f t="shared" ref="DY18:DZ18" si="352">DY11</f>
        <v>0</v>
      </c>
      <c r="DZ18" s="244">
        <f t="shared" si="352"/>
        <v>0</v>
      </c>
      <c r="EA18" s="244">
        <f t="shared" ref="EA18" si="353">EA11</f>
        <v>0</v>
      </c>
      <c r="EB18" s="244"/>
      <c r="EC18" s="244"/>
      <c r="ED18" s="244"/>
      <c r="EE18" s="244"/>
      <c r="EF18" s="244"/>
      <c r="EG18" s="244"/>
      <c r="EH18" s="244"/>
      <c r="EI18" s="510"/>
      <c r="EJ18" s="30"/>
      <c r="EK18" s="244"/>
      <c r="EL18" s="244"/>
      <c r="EM18" s="244"/>
      <c r="EN18" s="244"/>
      <c r="EO18" s="244"/>
      <c r="EP18" s="510"/>
    </row>
    <row r="19" spans="1:146" outlineLevel="1" x14ac:dyDescent="0.3">
      <c r="B19" s="225" t="s">
        <v>165</v>
      </c>
      <c r="C19" s="245" t="str">
        <f>C12</f>
        <v>GBP/USD/EURO/AUD/AUD</v>
      </c>
      <c r="D19" s="227"/>
      <c r="E19" s="474"/>
      <c r="F19" s="227">
        <f t="shared" ref="F19:N19" si="354">F17*F18</f>
        <v>75674.25</v>
      </c>
      <c r="G19" s="234">
        <f t="shared" si="354"/>
        <v>0</v>
      </c>
      <c r="H19" s="234">
        <f t="shared" si="354"/>
        <v>0</v>
      </c>
      <c r="I19" s="234">
        <f t="shared" si="354"/>
        <v>0</v>
      </c>
      <c r="J19" s="234">
        <f t="shared" si="354"/>
        <v>0</v>
      </c>
      <c r="K19" s="234">
        <f t="shared" si="354"/>
        <v>0</v>
      </c>
      <c r="L19" s="234">
        <f t="shared" si="354"/>
        <v>0</v>
      </c>
      <c r="M19" s="234">
        <f t="shared" si="354"/>
        <v>0</v>
      </c>
      <c r="N19" s="234">
        <f t="shared" si="354"/>
        <v>0</v>
      </c>
      <c r="O19" s="234">
        <f t="shared" ref="O19:AO19" si="355">O17*O18</f>
        <v>0</v>
      </c>
      <c r="P19" s="234">
        <f t="shared" si="355"/>
        <v>0</v>
      </c>
      <c r="Q19" s="234">
        <f t="shared" si="355"/>
        <v>0</v>
      </c>
      <c r="R19" s="234">
        <f t="shared" si="355"/>
        <v>0</v>
      </c>
      <c r="S19" s="234">
        <f t="shared" si="355"/>
        <v>0</v>
      </c>
      <c r="T19" s="234">
        <f t="shared" si="355"/>
        <v>0</v>
      </c>
      <c r="U19" s="234">
        <f t="shared" si="355"/>
        <v>0</v>
      </c>
      <c r="V19" s="234">
        <f t="shared" si="355"/>
        <v>0</v>
      </c>
      <c r="W19" s="234">
        <f t="shared" si="355"/>
        <v>0</v>
      </c>
      <c r="X19" s="234">
        <f t="shared" si="355"/>
        <v>0</v>
      </c>
      <c r="Y19" s="234">
        <f t="shared" si="355"/>
        <v>0</v>
      </c>
      <c r="Z19" s="234">
        <f t="shared" si="355"/>
        <v>0</v>
      </c>
      <c r="AA19" s="234">
        <f t="shared" si="355"/>
        <v>0</v>
      </c>
      <c r="AB19" s="234">
        <f t="shared" si="355"/>
        <v>0</v>
      </c>
      <c r="AC19" s="234">
        <f t="shared" si="355"/>
        <v>0</v>
      </c>
      <c r="AD19" s="234">
        <f t="shared" si="355"/>
        <v>0</v>
      </c>
      <c r="AE19" s="234">
        <f t="shared" si="355"/>
        <v>0</v>
      </c>
      <c r="AF19" s="234">
        <f t="shared" si="355"/>
        <v>0</v>
      </c>
      <c r="AG19" s="234">
        <f t="shared" si="355"/>
        <v>0</v>
      </c>
      <c r="AH19" s="234">
        <f t="shared" si="355"/>
        <v>0</v>
      </c>
      <c r="AI19" s="234">
        <f t="shared" si="355"/>
        <v>0</v>
      </c>
      <c r="AJ19" s="234">
        <f t="shared" si="355"/>
        <v>0</v>
      </c>
      <c r="AK19" s="234">
        <f t="shared" si="355"/>
        <v>0</v>
      </c>
      <c r="AL19" s="234">
        <f t="shared" si="355"/>
        <v>0</v>
      </c>
      <c r="AM19" s="234">
        <f t="shared" si="355"/>
        <v>0</v>
      </c>
      <c r="AN19" s="234">
        <f t="shared" si="355"/>
        <v>0</v>
      </c>
      <c r="AO19" s="234">
        <f t="shared" si="355"/>
        <v>0</v>
      </c>
      <c r="AP19" s="234">
        <f t="shared" ref="AP19:BN19" si="356">AP17*AP18</f>
        <v>0</v>
      </c>
      <c r="AQ19" s="228">
        <f t="shared" si="356"/>
        <v>0</v>
      </c>
      <c r="AR19" s="228">
        <f t="shared" si="356"/>
        <v>0</v>
      </c>
      <c r="AS19" s="228">
        <f t="shared" si="356"/>
        <v>0</v>
      </c>
      <c r="AT19" s="228">
        <f t="shared" si="356"/>
        <v>0</v>
      </c>
      <c r="AU19" s="228">
        <f t="shared" si="356"/>
        <v>0</v>
      </c>
      <c r="AV19" s="228">
        <f t="shared" si="356"/>
        <v>0</v>
      </c>
      <c r="AW19" s="228">
        <f t="shared" si="356"/>
        <v>0</v>
      </c>
      <c r="AX19" s="228">
        <f t="shared" si="356"/>
        <v>0</v>
      </c>
      <c r="AY19" s="228">
        <f t="shared" si="356"/>
        <v>0</v>
      </c>
      <c r="AZ19" s="228">
        <f t="shared" si="356"/>
        <v>0</v>
      </c>
      <c r="BA19" s="228">
        <f t="shared" si="356"/>
        <v>0</v>
      </c>
      <c r="BB19" s="228">
        <f t="shared" si="356"/>
        <v>0</v>
      </c>
      <c r="BC19" s="228">
        <f t="shared" si="356"/>
        <v>0</v>
      </c>
      <c r="BD19" s="228">
        <f t="shared" si="356"/>
        <v>0</v>
      </c>
      <c r="BE19" s="228">
        <f t="shared" si="356"/>
        <v>0</v>
      </c>
      <c r="BF19" s="228">
        <f t="shared" si="356"/>
        <v>0</v>
      </c>
      <c r="BG19" s="228">
        <f t="shared" si="356"/>
        <v>0</v>
      </c>
      <c r="BH19" s="228">
        <f t="shared" si="356"/>
        <v>0</v>
      </c>
      <c r="BI19" s="228">
        <f t="shared" si="356"/>
        <v>0</v>
      </c>
      <c r="BJ19" s="228">
        <f t="shared" si="356"/>
        <v>0</v>
      </c>
      <c r="BK19" s="228">
        <f t="shared" si="356"/>
        <v>0</v>
      </c>
      <c r="BL19" s="228">
        <f t="shared" si="356"/>
        <v>0</v>
      </c>
      <c r="BM19" s="228">
        <f t="shared" si="356"/>
        <v>0</v>
      </c>
      <c r="BN19" s="228">
        <f t="shared" si="356"/>
        <v>0</v>
      </c>
      <c r="BO19" s="228">
        <f t="shared" ref="BO19:DV19" si="357">BO17*BO18</f>
        <v>0</v>
      </c>
      <c r="BP19" s="228">
        <f t="shared" si="357"/>
        <v>0</v>
      </c>
      <c r="BQ19" s="228">
        <f t="shared" si="357"/>
        <v>0</v>
      </c>
      <c r="BR19" s="228">
        <f t="shared" si="357"/>
        <v>0</v>
      </c>
      <c r="BS19" s="228">
        <f t="shared" si="357"/>
        <v>0</v>
      </c>
      <c r="BT19" s="228">
        <f t="shared" si="357"/>
        <v>0</v>
      </c>
      <c r="BU19" s="228">
        <f t="shared" si="357"/>
        <v>0</v>
      </c>
      <c r="BV19" s="228">
        <f t="shared" si="357"/>
        <v>0</v>
      </c>
      <c r="BW19" s="228">
        <f t="shared" si="357"/>
        <v>0</v>
      </c>
      <c r="BX19" s="228">
        <f t="shared" si="357"/>
        <v>0</v>
      </c>
      <c r="BY19" s="228">
        <f t="shared" si="357"/>
        <v>0</v>
      </c>
      <c r="BZ19" s="228">
        <f t="shared" si="357"/>
        <v>0</v>
      </c>
      <c r="CA19" s="228">
        <f t="shared" si="357"/>
        <v>0</v>
      </c>
      <c r="CB19" s="228">
        <f t="shared" si="357"/>
        <v>0</v>
      </c>
      <c r="CC19" s="228">
        <f t="shared" si="357"/>
        <v>0</v>
      </c>
      <c r="CD19" s="228">
        <f t="shared" si="357"/>
        <v>0</v>
      </c>
      <c r="CE19" s="228">
        <f t="shared" si="357"/>
        <v>0</v>
      </c>
      <c r="CF19" s="228">
        <f t="shared" si="357"/>
        <v>0</v>
      </c>
      <c r="CG19" s="228">
        <f t="shared" si="357"/>
        <v>0</v>
      </c>
      <c r="CH19" s="228">
        <f t="shared" si="357"/>
        <v>0</v>
      </c>
      <c r="CI19" s="228">
        <f t="shared" si="357"/>
        <v>0</v>
      </c>
      <c r="CJ19" s="228">
        <f t="shared" si="357"/>
        <v>0</v>
      </c>
      <c r="CK19" s="228">
        <f t="shared" si="357"/>
        <v>0</v>
      </c>
      <c r="CL19" s="228">
        <f t="shared" si="357"/>
        <v>0</v>
      </c>
      <c r="CM19" s="228">
        <f t="shared" si="357"/>
        <v>0</v>
      </c>
      <c r="CN19" s="228">
        <f t="shared" si="357"/>
        <v>0</v>
      </c>
      <c r="CO19" s="228">
        <f t="shared" si="357"/>
        <v>0</v>
      </c>
      <c r="CP19" s="228">
        <f t="shared" si="357"/>
        <v>0</v>
      </c>
      <c r="CQ19" s="228">
        <f t="shared" si="357"/>
        <v>0</v>
      </c>
      <c r="CR19" s="228">
        <f t="shared" si="357"/>
        <v>0</v>
      </c>
      <c r="CS19" s="228">
        <f t="shared" si="357"/>
        <v>0</v>
      </c>
      <c r="CT19" s="228">
        <f t="shared" si="357"/>
        <v>0</v>
      </c>
      <c r="CU19" s="228">
        <f t="shared" si="357"/>
        <v>0</v>
      </c>
      <c r="CV19" s="228">
        <f t="shared" si="357"/>
        <v>0</v>
      </c>
      <c r="CW19" s="228">
        <f t="shared" si="357"/>
        <v>0</v>
      </c>
      <c r="CX19" s="228">
        <f t="shared" si="357"/>
        <v>0</v>
      </c>
      <c r="CY19" s="228">
        <f t="shared" si="357"/>
        <v>0</v>
      </c>
      <c r="CZ19" s="228">
        <f t="shared" si="357"/>
        <v>0</v>
      </c>
      <c r="DA19" s="228">
        <f t="shared" si="357"/>
        <v>0</v>
      </c>
      <c r="DB19" s="228">
        <f t="shared" si="357"/>
        <v>0</v>
      </c>
      <c r="DC19" s="228">
        <f t="shared" si="357"/>
        <v>0</v>
      </c>
      <c r="DD19" s="228">
        <f t="shared" si="357"/>
        <v>0</v>
      </c>
      <c r="DE19" s="228">
        <f t="shared" si="357"/>
        <v>0</v>
      </c>
      <c r="DF19" s="228">
        <f t="shared" si="357"/>
        <v>0</v>
      </c>
      <c r="DG19" s="228">
        <f t="shared" si="357"/>
        <v>0</v>
      </c>
      <c r="DH19" s="228">
        <f t="shared" si="357"/>
        <v>0</v>
      </c>
      <c r="DI19" s="228">
        <f t="shared" si="357"/>
        <v>0</v>
      </c>
      <c r="DJ19" s="228">
        <f t="shared" si="357"/>
        <v>0</v>
      </c>
      <c r="DK19" s="228">
        <f t="shared" si="357"/>
        <v>0</v>
      </c>
      <c r="DL19" s="228">
        <f t="shared" si="357"/>
        <v>0</v>
      </c>
      <c r="DM19" s="228">
        <f t="shared" si="357"/>
        <v>0</v>
      </c>
      <c r="DN19" s="228">
        <f t="shared" si="357"/>
        <v>0</v>
      </c>
      <c r="DO19" s="228">
        <f t="shared" si="357"/>
        <v>0</v>
      </c>
      <c r="DP19" s="228">
        <f t="shared" si="357"/>
        <v>0</v>
      </c>
      <c r="DQ19" s="228">
        <f t="shared" si="357"/>
        <v>0</v>
      </c>
      <c r="DR19" s="228">
        <f t="shared" si="357"/>
        <v>0</v>
      </c>
      <c r="DS19" s="228">
        <f t="shared" si="357"/>
        <v>0</v>
      </c>
      <c r="DT19" s="228">
        <f t="shared" si="357"/>
        <v>0</v>
      </c>
      <c r="DU19" s="228">
        <f t="shared" si="357"/>
        <v>0</v>
      </c>
      <c r="DV19" s="472">
        <f t="shared" si="357"/>
        <v>0</v>
      </c>
      <c r="DW19" s="717"/>
      <c r="DX19" s="505">
        <f t="shared" ref="DX19:DX51" si="358">SUM(D19:F19)</f>
        <v>75674.25</v>
      </c>
      <c r="DY19" s="229">
        <f>SUM(G19:I19)</f>
        <v>0</v>
      </c>
      <c r="DZ19" s="229">
        <f>SUM(J19:L19)</f>
        <v>0</v>
      </c>
      <c r="EA19" s="229">
        <f>SUM(M19:O19)</f>
        <v>0</v>
      </c>
      <c r="EB19" s="229">
        <f>SUM(P19:R19)</f>
        <v>0</v>
      </c>
      <c r="EC19" s="230">
        <f>SUM(D19:R19)</f>
        <v>75674.25</v>
      </c>
      <c r="ED19" s="230">
        <f>SUM(S19:AD19)</f>
        <v>0</v>
      </c>
      <c r="EE19" s="230">
        <f>SUM(AE19:AP19)</f>
        <v>0</v>
      </c>
      <c r="EF19" s="231">
        <f>SUM(EC19:EE19)</f>
        <v>75674.25</v>
      </c>
      <c r="EG19" s="230">
        <f>SUM(AQ19:BB19)</f>
        <v>0</v>
      </c>
      <c r="EH19" s="230">
        <f>SUM(BC19:BN19)</f>
        <v>0</v>
      </c>
      <c r="EI19" s="506">
        <f>SUM(EF19:EH19)</f>
        <v>75674.25</v>
      </c>
      <c r="EJ19" s="30">
        <f>SUM(F19:BN19)-EI19</f>
        <v>0</v>
      </c>
      <c r="EK19" s="230">
        <f t="shared" si="4"/>
        <v>0</v>
      </c>
      <c r="EL19" s="230">
        <f t="shared" si="5"/>
        <v>0</v>
      </c>
      <c r="EM19" s="230">
        <f t="shared" si="6"/>
        <v>0</v>
      </c>
      <c r="EN19" s="230">
        <f t="shared" si="7"/>
        <v>0</v>
      </c>
      <c r="EO19" s="230">
        <f t="shared" si="8"/>
        <v>0</v>
      </c>
      <c r="EP19" s="506">
        <f t="shared" si="9"/>
        <v>75674.25</v>
      </c>
    </row>
    <row r="20" spans="1:146" outlineLevel="1" x14ac:dyDescent="0.3">
      <c r="B20" s="225" t="s">
        <v>161</v>
      </c>
      <c r="C20" s="245"/>
      <c r="D20" s="215"/>
      <c r="E20" s="475"/>
      <c r="F20" s="215">
        <f>F15</f>
        <v>67.777777777777771</v>
      </c>
      <c r="G20" s="235">
        <f t="shared" ref="G20:N20" si="359">G15</f>
        <v>3.7277777777777898</v>
      </c>
      <c r="H20" s="235">
        <f t="shared" si="359"/>
        <v>3.7277777777777823</v>
      </c>
      <c r="I20" s="235">
        <f t="shared" si="359"/>
        <v>3.7277777777777823</v>
      </c>
      <c r="J20" s="235">
        <f t="shared" si="359"/>
        <v>3.7277777777777823</v>
      </c>
      <c r="K20" s="235">
        <f t="shared" si="359"/>
        <v>3.0500000000000052</v>
      </c>
      <c r="L20" s="235">
        <f t="shared" si="359"/>
        <v>3.0500000000000052</v>
      </c>
      <c r="M20" s="235">
        <f t="shared" si="359"/>
        <v>3.0500000000000052</v>
      </c>
      <c r="N20" s="235">
        <f t="shared" si="359"/>
        <v>3.0500000000000052</v>
      </c>
      <c r="O20" s="235">
        <f t="shared" ref="O20:AO20" si="360">O15</f>
        <v>3.0500000000000052</v>
      </c>
      <c r="P20" s="235">
        <f t="shared" si="360"/>
        <v>3.0500000000000052</v>
      </c>
      <c r="Q20" s="235">
        <f t="shared" si="360"/>
        <v>2.7111111111111166</v>
      </c>
      <c r="R20" s="235">
        <f t="shared" si="360"/>
        <v>2.7111111111111166</v>
      </c>
      <c r="S20" s="235">
        <f t="shared" si="360"/>
        <v>2.7111111111111166</v>
      </c>
      <c r="T20" s="235">
        <f t="shared" si="360"/>
        <v>2.7111111111111166</v>
      </c>
      <c r="U20" s="235">
        <f t="shared" si="360"/>
        <v>2.7111111111111166</v>
      </c>
      <c r="V20" s="235">
        <f t="shared" si="360"/>
        <v>2.7111111111111166</v>
      </c>
      <c r="W20" s="235">
        <f t="shared" si="360"/>
        <v>2.7111111111111166</v>
      </c>
      <c r="X20" s="235">
        <f t="shared" si="360"/>
        <v>2.7111111111111166</v>
      </c>
      <c r="Y20" s="235">
        <f t="shared" si="360"/>
        <v>2.7111111111111166</v>
      </c>
      <c r="Z20" s="235">
        <f t="shared" si="360"/>
        <v>2.7111111111111166</v>
      </c>
      <c r="AA20" s="235">
        <f t="shared" si="360"/>
        <v>2.7111111111111166</v>
      </c>
      <c r="AB20" s="235">
        <f t="shared" si="360"/>
        <v>2.7111111111111166</v>
      </c>
      <c r="AC20" s="235">
        <f t="shared" si="360"/>
        <v>2.7111111111111166</v>
      </c>
      <c r="AD20" s="235">
        <f t="shared" si="360"/>
        <v>2.7111111111111166</v>
      </c>
      <c r="AE20" s="235">
        <f t="shared" si="360"/>
        <v>2.7111111111111166</v>
      </c>
      <c r="AF20" s="235">
        <f t="shared" si="360"/>
        <v>2.7111111111111166</v>
      </c>
      <c r="AG20" s="235">
        <f t="shared" si="360"/>
        <v>2.7111111111111166</v>
      </c>
      <c r="AH20" s="235">
        <f t="shared" si="360"/>
        <v>2.7111111111111166</v>
      </c>
      <c r="AI20" s="235">
        <f t="shared" si="360"/>
        <v>2.7111111111111166</v>
      </c>
      <c r="AJ20" s="235">
        <f t="shared" si="360"/>
        <v>2.7111111111111166</v>
      </c>
      <c r="AK20" s="235">
        <f t="shared" si="360"/>
        <v>2.7111111111111166</v>
      </c>
      <c r="AL20" s="235">
        <f t="shared" si="360"/>
        <v>2.7111111111111166</v>
      </c>
      <c r="AM20" s="235">
        <f t="shared" si="360"/>
        <v>2.7111111111111166</v>
      </c>
      <c r="AN20" s="235">
        <f t="shared" si="360"/>
        <v>2.7111111111111166</v>
      </c>
      <c r="AO20" s="235">
        <f t="shared" si="360"/>
        <v>2.7111111111111166</v>
      </c>
      <c r="AP20" s="235">
        <f t="shared" ref="AP20:BN20" si="361">AP15</f>
        <v>2.7111111111111166</v>
      </c>
      <c r="AQ20" s="216">
        <f t="shared" si="361"/>
        <v>2.7111111111111166</v>
      </c>
      <c r="AR20" s="216">
        <f t="shared" si="361"/>
        <v>2.7111111111111166</v>
      </c>
      <c r="AS20" s="216">
        <f t="shared" si="361"/>
        <v>2.7111111111111166</v>
      </c>
      <c r="AT20" s="216">
        <f t="shared" si="361"/>
        <v>2.7111111111111166</v>
      </c>
      <c r="AU20" s="216">
        <f t="shared" si="361"/>
        <v>2.7111111111111166</v>
      </c>
      <c r="AV20" s="216">
        <f t="shared" si="361"/>
        <v>2.7111111111111166</v>
      </c>
      <c r="AW20" s="216">
        <f t="shared" si="361"/>
        <v>2.7111111111111166</v>
      </c>
      <c r="AX20" s="216">
        <f t="shared" si="361"/>
        <v>2.7111111111111166</v>
      </c>
      <c r="AY20" s="216">
        <f t="shared" si="361"/>
        <v>2.7111111111111166</v>
      </c>
      <c r="AZ20" s="216">
        <f t="shared" si="361"/>
        <v>2.7111111111111166</v>
      </c>
      <c r="BA20" s="216">
        <f t="shared" si="361"/>
        <v>2.7111111111111166</v>
      </c>
      <c r="BB20" s="216">
        <f t="shared" si="361"/>
        <v>2.7111111111111166</v>
      </c>
      <c r="BC20" s="216">
        <f t="shared" si="361"/>
        <v>2.7111111111111166</v>
      </c>
      <c r="BD20" s="216">
        <f t="shared" si="361"/>
        <v>2.7111111111111166</v>
      </c>
      <c r="BE20" s="216">
        <f t="shared" si="361"/>
        <v>2.7111111111111166</v>
      </c>
      <c r="BF20" s="216">
        <f t="shared" si="361"/>
        <v>2.7111111111111166</v>
      </c>
      <c r="BG20" s="216">
        <f t="shared" si="361"/>
        <v>2.7111111111111166</v>
      </c>
      <c r="BH20" s="216">
        <f t="shared" si="361"/>
        <v>2.7111111111111166</v>
      </c>
      <c r="BI20" s="216">
        <f t="shared" si="361"/>
        <v>2.7111111111111166</v>
      </c>
      <c r="BJ20" s="216">
        <f t="shared" si="361"/>
        <v>2.7111111111111166</v>
      </c>
      <c r="BK20" s="216">
        <f t="shared" si="361"/>
        <v>2.7111111111111166</v>
      </c>
      <c r="BL20" s="216">
        <f t="shared" si="361"/>
        <v>2.7111111111111166</v>
      </c>
      <c r="BM20" s="216">
        <f t="shared" si="361"/>
        <v>2.7111111111111166</v>
      </c>
      <c r="BN20" s="216">
        <f t="shared" si="361"/>
        <v>2.7111111111111166</v>
      </c>
      <c r="BO20" s="216">
        <f t="shared" ref="BO20:DV20" si="362">BO15</f>
        <v>2.7111111111111166</v>
      </c>
      <c r="BP20" s="216">
        <f t="shared" si="362"/>
        <v>2.7111111111111166</v>
      </c>
      <c r="BQ20" s="216">
        <f t="shared" si="362"/>
        <v>2.7111111111111166</v>
      </c>
      <c r="BR20" s="216">
        <f t="shared" si="362"/>
        <v>2.7111111111111166</v>
      </c>
      <c r="BS20" s="216">
        <f t="shared" si="362"/>
        <v>2.7111111111111166</v>
      </c>
      <c r="BT20" s="216">
        <f t="shared" si="362"/>
        <v>2.7111111111111166</v>
      </c>
      <c r="BU20" s="216">
        <f t="shared" si="362"/>
        <v>2.7111111111111166</v>
      </c>
      <c r="BV20" s="216">
        <f t="shared" si="362"/>
        <v>2.7111111111111166</v>
      </c>
      <c r="BW20" s="216">
        <f t="shared" si="362"/>
        <v>2.7111111111111166</v>
      </c>
      <c r="BX20" s="216">
        <f t="shared" si="362"/>
        <v>2.7111111111111166</v>
      </c>
      <c r="BY20" s="216">
        <f t="shared" si="362"/>
        <v>2.7111111111111166</v>
      </c>
      <c r="BZ20" s="216">
        <f t="shared" si="362"/>
        <v>2.7111111111111166</v>
      </c>
      <c r="CA20" s="216">
        <f t="shared" si="362"/>
        <v>2.7111111111111166</v>
      </c>
      <c r="CB20" s="216">
        <f t="shared" si="362"/>
        <v>2.7111111111111166</v>
      </c>
      <c r="CC20" s="216">
        <f t="shared" si="362"/>
        <v>2.7111111111111166</v>
      </c>
      <c r="CD20" s="216">
        <f t="shared" si="362"/>
        <v>2.7111111111111166</v>
      </c>
      <c r="CE20" s="216">
        <f t="shared" si="362"/>
        <v>2.7111111111111166</v>
      </c>
      <c r="CF20" s="216">
        <f t="shared" si="362"/>
        <v>2.7111111111111166</v>
      </c>
      <c r="CG20" s="216">
        <f t="shared" si="362"/>
        <v>2.7111111111111166</v>
      </c>
      <c r="CH20" s="216">
        <f t="shared" si="362"/>
        <v>2.7111111111111166</v>
      </c>
      <c r="CI20" s="216">
        <f t="shared" si="362"/>
        <v>2.7111111111111166</v>
      </c>
      <c r="CJ20" s="216">
        <f t="shared" si="362"/>
        <v>2.7111111111111166</v>
      </c>
      <c r="CK20" s="216">
        <f t="shared" si="362"/>
        <v>2.7111111111111166</v>
      </c>
      <c r="CL20" s="216">
        <f t="shared" si="362"/>
        <v>2.7111111111111166</v>
      </c>
      <c r="CM20" s="216">
        <f t="shared" si="362"/>
        <v>2.7111111111111166</v>
      </c>
      <c r="CN20" s="216">
        <f t="shared" si="362"/>
        <v>2.7111111111111166</v>
      </c>
      <c r="CO20" s="216">
        <f t="shared" si="362"/>
        <v>2.7111111111111166</v>
      </c>
      <c r="CP20" s="216">
        <f t="shared" si="362"/>
        <v>2.7111111111111166</v>
      </c>
      <c r="CQ20" s="216">
        <f t="shared" si="362"/>
        <v>2.7111111111111166</v>
      </c>
      <c r="CR20" s="216">
        <f t="shared" si="362"/>
        <v>2.7111111111111166</v>
      </c>
      <c r="CS20" s="216">
        <f t="shared" si="362"/>
        <v>2.7111111111111166</v>
      </c>
      <c r="CT20" s="216">
        <f t="shared" si="362"/>
        <v>2.7111111111111166</v>
      </c>
      <c r="CU20" s="216">
        <f t="shared" si="362"/>
        <v>2.7111111111111166</v>
      </c>
      <c r="CV20" s="216">
        <f t="shared" si="362"/>
        <v>2.7111111111111166</v>
      </c>
      <c r="CW20" s="216">
        <f t="shared" si="362"/>
        <v>2.7111111111111166</v>
      </c>
      <c r="CX20" s="216">
        <f t="shared" si="362"/>
        <v>2.7111111111111166</v>
      </c>
      <c r="CY20" s="216">
        <f t="shared" si="362"/>
        <v>2.7111111111111166</v>
      </c>
      <c r="CZ20" s="216">
        <f t="shared" si="362"/>
        <v>2.7111111111111166</v>
      </c>
      <c r="DA20" s="216">
        <f t="shared" si="362"/>
        <v>2.7111111111111166</v>
      </c>
      <c r="DB20" s="216">
        <f t="shared" si="362"/>
        <v>2.7111111111111166</v>
      </c>
      <c r="DC20" s="216">
        <f t="shared" si="362"/>
        <v>2.7111111111111166</v>
      </c>
      <c r="DD20" s="216">
        <f t="shared" si="362"/>
        <v>2.7111111111111166</v>
      </c>
      <c r="DE20" s="216">
        <f t="shared" si="362"/>
        <v>2.7111111111111166</v>
      </c>
      <c r="DF20" s="216">
        <f t="shared" si="362"/>
        <v>2.7111111111111166</v>
      </c>
      <c r="DG20" s="216">
        <f t="shared" si="362"/>
        <v>2.7111111111111166</v>
      </c>
      <c r="DH20" s="216">
        <f t="shared" si="362"/>
        <v>2.7111111111111166</v>
      </c>
      <c r="DI20" s="216">
        <f t="shared" si="362"/>
        <v>2.7111111111111166</v>
      </c>
      <c r="DJ20" s="216">
        <f t="shared" si="362"/>
        <v>2.7111111111111166</v>
      </c>
      <c r="DK20" s="216">
        <f t="shared" si="362"/>
        <v>2.7111111111111166</v>
      </c>
      <c r="DL20" s="216">
        <f t="shared" si="362"/>
        <v>2.7111111111111166</v>
      </c>
      <c r="DM20" s="216">
        <f t="shared" si="362"/>
        <v>2.7111111111111166</v>
      </c>
      <c r="DN20" s="216">
        <f t="shared" si="362"/>
        <v>2.7111111111111166</v>
      </c>
      <c r="DO20" s="216">
        <f t="shared" si="362"/>
        <v>2.7111111111111166</v>
      </c>
      <c r="DP20" s="216">
        <f t="shared" si="362"/>
        <v>2.7111111111111166</v>
      </c>
      <c r="DQ20" s="216">
        <f t="shared" si="362"/>
        <v>2.7111111111111166</v>
      </c>
      <c r="DR20" s="216">
        <f t="shared" si="362"/>
        <v>2.7111111111111166</v>
      </c>
      <c r="DS20" s="216">
        <f t="shared" si="362"/>
        <v>2.7111111111111166</v>
      </c>
      <c r="DT20" s="216">
        <f t="shared" si="362"/>
        <v>2.7111111111111166</v>
      </c>
      <c r="DU20" s="216">
        <f t="shared" si="362"/>
        <v>2.7111111111111166</v>
      </c>
      <c r="DV20" s="469">
        <f t="shared" si="362"/>
        <v>2.7111111111111166</v>
      </c>
      <c r="DW20" s="716"/>
      <c r="DX20" s="501">
        <f t="shared" si="358"/>
        <v>67.777777777777771</v>
      </c>
      <c r="DY20" s="229"/>
      <c r="DZ20" s="229"/>
      <c r="EA20" s="229"/>
      <c r="EB20" s="229"/>
      <c r="EC20" s="230"/>
      <c r="ED20" s="230"/>
      <c r="EE20" s="230"/>
      <c r="EF20" s="231"/>
      <c r="EG20" s="230"/>
      <c r="EH20" s="230"/>
      <c r="EI20" s="506"/>
      <c r="EJ20" s="30"/>
      <c r="EK20" s="230"/>
      <c r="EL20" s="230"/>
      <c r="EM20" s="230"/>
      <c r="EN20" s="230"/>
      <c r="EO20" s="230"/>
      <c r="EP20" s="506"/>
    </row>
    <row r="21" spans="1:146" outlineLevel="1" x14ac:dyDescent="0.3">
      <c r="B21" s="246" t="s">
        <v>166</v>
      </c>
      <c r="C21" s="210"/>
      <c r="D21" s="476"/>
      <c r="E21" s="477"/>
      <c r="F21" s="236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237"/>
      <c r="AQ21" s="237"/>
      <c r="AR21" s="237"/>
      <c r="AS21" s="237"/>
      <c r="AT21" s="237"/>
      <c r="AU21" s="237"/>
      <c r="AV21" s="237"/>
      <c r="AW21" s="237"/>
      <c r="AX21" s="237"/>
      <c r="AY21" s="237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BJ21" s="237"/>
      <c r="BK21" s="237"/>
      <c r="BL21" s="237"/>
      <c r="BM21" s="237"/>
      <c r="BN21" s="237"/>
      <c r="BO21" s="237"/>
      <c r="BP21" s="237"/>
      <c r="BQ21" s="237"/>
      <c r="BR21" s="237"/>
      <c r="BS21" s="237"/>
      <c r="BT21" s="237"/>
      <c r="BU21" s="237"/>
      <c r="BV21" s="237"/>
      <c r="BW21" s="237"/>
      <c r="BX21" s="237"/>
      <c r="BY21" s="237"/>
      <c r="BZ21" s="237"/>
      <c r="CA21" s="237"/>
      <c r="CB21" s="237"/>
      <c r="CC21" s="237"/>
      <c r="CD21" s="237"/>
      <c r="CE21" s="237"/>
      <c r="CF21" s="237"/>
      <c r="CG21" s="237"/>
      <c r="CH21" s="237"/>
      <c r="CI21" s="237"/>
      <c r="CJ21" s="237"/>
      <c r="CK21" s="237"/>
      <c r="CL21" s="237"/>
      <c r="CM21" s="237"/>
      <c r="CN21" s="237"/>
      <c r="CO21" s="237"/>
      <c r="CP21" s="237"/>
      <c r="CQ21" s="237"/>
      <c r="CR21" s="237"/>
      <c r="CS21" s="237"/>
      <c r="CT21" s="237"/>
      <c r="CU21" s="237"/>
      <c r="CV21" s="237"/>
      <c r="CW21" s="237"/>
      <c r="CX21" s="237"/>
      <c r="CY21" s="237"/>
      <c r="CZ21" s="237"/>
      <c r="DA21" s="237"/>
      <c r="DB21" s="237"/>
      <c r="DC21" s="237"/>
      <c r="DD21" s="237"/>
      <c r="DE21" s="237"/>
      <c r="DF21" s="237"/>
      <c r="DG21" s="237"/>
      <c r="DH21" s="237"/>
      <c r="DI21" s="237"/>
      <c r="DJ21" s="237"/>
      <c r="DK21" s="237"/>
      <c r="DL21" s="237"/>
      <c r="DM21" s="237"/>
      <c r="DN21" s="237"/>
      <c r="DO21" s="237"/>
      <c r="DP21" s="237"/>
      <c r="DQ21" s="237"/>
      <c r="DR21" s="237"/>
      <c r="DS21" s="237"/>
      <c r="DT21" s="237"/>
      <c r="DU21" s="237"/>
      <c r="DV21" s="477"/>
      <c r="DW21" s="719"/>
      <c r="DX21" s="247">
        <f t="shared" si="358"/>
        <v>0</v>
      </c>
      <c r="DY21" s="238">
        <f>SUM(G21:I21)</f>
        <v>0</v>
      </c>
      <c r="DZ21" s="238">
        <f>SUM(J21:L21)</f>
        <v>0</v>
      </c>
      <c r="EA21" s="238">
        <f>SUM(M21:O21)</f>
        <v>0</v>
      </c>
      <c r="EB21" s="238">
        <f>SUM(P21:R21)</f>
        <v>0</v>
      </c>
      <c r="EC21" s="238">
        <f t="shared" ref="EC21:EC22" si="363">SUM(D21:R21)</f>
        <v>0</v>
      </c>
      <c r="ED21" s="238">
        <f t="shared" ref="ED21:ED22" si="364">SUM(S21:AD21)</f>
        <v>0</v>
      </c>
      <c r="EE21" s="238">
        <f t="shared" ref="EE21:EE22" si="365">SUM(AE21:AP21)</f>
        <v>0</v>
      </c>
      <c r="EF21" s="239">
        <f>SUM(EC21:EE21)</f>
        <v>0</v>
      </c>
      <c r="EG21" s="238">
        <f t="shared" ref="EG21:EG22" si="366">SUM(AQ21:BB21)</f>
        <v>0</v>
      </c>
      <c r="EH21" s="238">
        <f t="shared" ref="EH21:EH22" si="367">SUM(BC21:BN21)</f>
        <v>0</v>
      </c>
      <c r="EI21" s="507">
        <f>SUM(EF21:EH21)</f>
        <v>0</v>
      </c>
      <c r="EJ21" s="30">
        <f t="shared" ref="EJ21:EJ22" si="368">SUM(F21:BN21)-EI21</f>
        <v>0</v>
      </c>
      <c r="EK21" s="238">
        <f t="shared" si="4"/>
        <v>0</v>
      </c>
      <c r="EL21" s="238">
        <f t="shared" si="5"/>
        <v>0</v>
      </c>
      <c r="EM21" s="238">
        <f t="shared" si="6"/>
        <v>0</v>
      </c>
      <c r="EN21" s="238">
        <f t="shared" si="7"/>
        <v>0</v>
      </c>
      <c r="EO21" s="238">
        <f t="shared" si="8"/>
        <v>0</v>
      </c>
      <c r="EP21" s="507">
        <f t="shared" si="9"/>
        <v>0</v>
      </c>
    </row>
    <row r="22" spans="1:146" outlineLevel="1" x14ac:dyDescent="0.3">
      <c r="A22" s="105">
        <f>$A$17</f>
        <v>9</v>
      </c>
      <c r="B22" s="246" t="s">
        <v>167</v>
      </c>
      <c r="C22" s="210"/>
      <c r="D22" s="476"/>
      <c r="E22" s="477"/>
      <c r="F22" s="24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237"/>
      <c r="AQ22" s="237"/>
      <c r="AR22" s="237"/>
      <c r="AS22" s="237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BJ22" s="237"/>
      <c r="BK22" s="237"/>
      <c r="BL22" s="237"/>
      <c r="BM22" s="237"/>
      <c r="BN22" s="237"/>
      <c r="BO22" s="237"/>
      <c r="BP22" s="237"/>
      <c r="BQ22" s="237"/>
      <c r="BR22" s="237"/>
      <c r="BS22" s="237"/>
      <c r="BT22" s="237"/>
      <c r="BU22" s="237"/>
      <c r="BV22" s="237"/>
      <c r="BW22" s="237"/>
      <c r="BX22" s="237"/>
      <c r="BY22" s="237"/>
      <c r="BZ22" s="237"/>
      <c r="CA22" s="237"/>
      <c r="CB22" s="237"/>
      <c r="CC22" s="237"/>
      <c r="CD22" s="237"/>
      <c r="CE22" s="237"/>
      <c r="CF22" s="237"/>
      <c r="CG22" s="237"/>
      <c r="CH22" s="237"/>
      <c r="CI22" s="237"/>
      <c r="CJ22" s="237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CY22" s="237"/>
      <c r="CZ22" s="237"/>
      <c r="DA22" s="237"/>
      <c r="DB22" s="237"/>
      <c r="DC22" s="237"/>
      <c r="DD22" s="237"/>
      <c r="DE22" s="237"/>
      <c r="DF22" s="237"/>
      <c r="DG22" s="237"/>
      <c r="DH22" s="237"/>
      <c r="DI22" s="237"/>
      <c r="DJ22" s="237"/>
      <c r="DK22" s="237"/>
      <c r="DL22" s="237"/>
      <c r="DM22" s="237"/>
      <c r="DN22" s="237"/>
      <c r="DO22" s="237"/>
      <c r="DP22" s="237"/>
      <c r="DQ22" s="237"/>
      <c r="DR22" s="237"/>
      <c r="DS22" s="237"/>
      <c r="DT22" s="237"/>
      <c r="DU22" s="237"/>
      <c r="DV22" s="477"/>
      <c r="DW22" s="719"/>
      <c r="DX22" s="508">
        <f t="shared" si="358"/>
        <v>0</v>
      </c>
      <c r="DY22" s="241">
        <f>SUM(G22:I22)</f>
        <v>0</v>
      </c>
      <c r="DZ22" s="241">
        <f>SUM(J22:L22)</f>
        <v>0</v>
      </c>
      <c r="EA22" s="241">
        <f>SUM(M22:O22)</f>
        <v>0</v>
      </c>
      <c r="EB22" s="241">
        <f>SUM(P22:R22)</f>
        <v>0</v>
      </c>
      <c r="EC22" s="241">
        <f t="shared" si="363"/>
        <v>0</v>
      </c>
      <c r="ED22" s="241">
        <f t="shared" si="364"/>
        <v>0</v>
      </c>
      <c r="EE22" s="241">
        <f t="shared" si="365"/>
        <v>0</v>
      </c>
      <c r="EF22" s="242">
        <f>SUM(EC22:EE22)</f>
        <v>0</v>
      </c>
      <c r="EG22" s="241">
        <f t="shared" si="366"/>
        <v>0</v>
      </c>
      <c r="EH22" s="241">
        <f t="shared" si="367"/>
        <v>0</v>
      </c>
      <c r="EI22" s="509">
        <f>SUM(EF22:EH22)</f>
        <v>0</v>
      </c>
      <c r="EJ22" s="30">
        <f t="shared" si="368"/>
        <v>0</v>
      </c>
      <c r="EK22" s="241">
        <f t="shared" si="4"/>
        <v>0</v>
      </c>
      <c r="EL22" s="241">
        <f t="shared" si="5"/>
        <v>0</v>
      </c>
      <c r="EM22" s="241">
        <f t="shared" si="6"/>
        <v>0</v>
      </c>
      <c r="EN22" s="241">
        <f t="shared" si="7"/>
        <v>0</v>
      </c>
      <c r="EO22" s="241">
        <f t="shared" si="8"/>
        <v>0</v>
      </c>
      <c r="EP22" s="509">
        <f t="shared" si="9"/>
        <v>0</v>
      </c>
    </row>
    <row r="23" spans="1:146" outlineLevel="1" x14ac:dyDescent="0.3">
      <c r="B23" s="220" t="s">
        <v>168</v>
      </c>
      <c r="C23" s="243" t="str">
        <f>C19</f>
        <v>GBP/USD/EURO/AUD/AUD</v>
      </c>
      <c r="D23" s="470"/>
      <c r="E23" s="471"/>
      <c r="F23" s="222">
        <f>F18</f>
        <v>10.1</v>
      </c>
      <c r="G23" s="223">
        <f t="shared" ref="G23:H23" si="369">F23</f>
        <v>10.1</v>
      </c>
      <c r="H23" s="223">
        <f t="shared" si="369"/>
        <v>10.1</v>
      </c>
      <c r="I23" s="223">
        <f t="shared" ref="I23" si="370">H23</f>
        <v>10.1</v>
      </c>
      <c r="J23" s="223">
        <f t="shared" ref="J23" si="371">I23</f>
        <v>10.1</v>
      </c>
      <c r="K23" s="223">
        <f t="shared" ref="K23" si="372">J23</f>
        <v>10.1</v>
      </c>
      <c r="L23" s="223">
        <f t="shared" ref="L23" si="373">K23</f>
        <v>10.1</v>
      </c>
      <c r="M23" s="223">
        <f t="shared" ref="M23" si="374">L23</f>
        <v>10.1</v>
      </c>
      <c r="N23" s="223">
        <f t="shared" ref="N23" si="375">M23</f>
        <v>10.1</v>
      </c>
      <c r="O23" s="223">
        <f t="shared" ref="O23" si="376">N23</f>
        <v>10.1</v>
      </c>
      <c r="P23" s="223">
        <f t="shared" ref="P23" si="377">O23</f>
        <v>10.1</v>
      </c>
      <c r="Q23" s="223">
        <f t="shared" ref="Q23" si="378">P23</f>
        <v>10.1</v>
      </c>
      <c r="R23" s="223">
        <f t="shared" ref="R23" si="379">Q23</f>
        <v>10.1</v>
      </c>
      <c r="S23" s="248">
        <f>S18</f>
        <v>10.61</v>
      </c>
      <c r="T23" s="223">
        <f t="shared" ref="T23" si="380">S23</f>
        <v>10.61</v>
      </c>
      <c r="U23" s="223">
        <f t="shared" ref="U23" si="381">T23</f>
        <v>10.61</v>
      </c>
      <c r="V23" s="223">
        <f t="shared" ref="V23" si="382">U23</f>
        <v>10.61</v>
      </c>
      <c r="W23" s="223">
        <f t="shared" ref="W23" si="383">V23</f>
        <v>10.61</v>
      </c>
      <c r="X23" s="223">
        <f t="shared" ref="X23" si="384">W23</f>
        <v>10.61</v>
      </c>
      <c r="Y23" s="223">
        <f t="shared" ref="Y23" si="385">X23</f>
        <v>10.61</v>
      </c>
      <c r="Z23" s="223">
        <f t="shared" ref="Z23" si="386">Y23</f>
        <v>10.61</v>
      </c>
      <c r="AA23" s="223">
        <f t="shared" ref="AA23" si="387">Z23</f>
        <v>10.61</v>
      </c>
      <c r="AB23" s="223">
        <f t="shared" ref="AB23" si="388">AA23</f>
        <v>10.61</v>
      </c>
      <c r="AC23" s="223">
        <f t="shared" ref="AC23" si="389">AB23</f>
        <v>10.61</v>
      </c>
      <c r="AD23" s="223">
        <f t="shared" ref="AD23" si="390">AC23</f>
        <v>10.61</v>
      </c>
      <c r="AE23" s="248">
        <f>AE18</f>
        <v>11.14</v>
      </c>
      <c r="AF23" s="223">
        <f t="shared" ref="AF23" si="391">AE23</f>
        <v>11.14</v>
      </c>
      <c r="AG23" s="223">
        <f t="shared" ref="AG23" si="392">AF23</f>
        <v>11.14</v>
      </c>
      <c r="AH23" s="223">
        <f t="shared" ref="AH23" si="393">AG23</f>
        <v>11.14</v>
      </c>
      <c r="AI23" s="223">
        <f t="shared" ref="AI23" si="394">AH23</f>
        <v>11.14</v>
      </c>
      <c r="AJ23" s="223">
        <f t="shared" ref="AJ23" si="395">AI23</f>
        <v>11.14</v>
      </c>
      <c r="AK23" s="223">
        <f t="shared" ref="AK23" si="396">AJ23</f>
        <v>11.14</v>
      </c>
      <c r="AL23" s="223">
        <f t="shared" ref="AL23" si="397">AK23</f>
        <v>11.14</v>
      </c>
      <c r="AM23" s="223">
        <f t="shared" ref="AM23" si="398">AL23</f>
        <v>11.14</v>
      </c>
      <c r="AN23" s="223">
        <f t="shared" ref="AN23" si="399">AM23</f>
        <v>11.14</v>
      </c>
      <c r="AO23" s="223">
        <f t="shared" ref="AO23" si="400">AN23</f>
        <v>11.14</v>
      </c>
      <c r="AP23" s="223">
        <f t="shared" ref="AP23" si="401">AO23</f>
        <v>11.14</v>
      </c>
      <c r="AQ23" s="248">
        <f>AQ18</f>
        <v>11.7</v>
      </c>
      <c r="AR23" s="223">
        <f t="shared" ref="AR23" si="402">AQ23</f>
        <v>11.7</v>
      </c>
      <c r="AS23" s="223">
        <f t="shared" ref="AS23" si="403">AR23</f>
        <v>11.7</v>
      </c>
      <c r="AT23" s="223">
        <f t="shared" ref="AT23" si="404">AS23</f>
        <v>11.7</v>
      </c>
      <c r="AU23" s="223">
        <f t="shared" ref="AU23" si="405">AT23</f>
        <v>11.7</v>
      </c>
      <c r="AV23" s="223">
        <f t="shared" ref="AV23" si="406">AU23</f>
        <v>11.7</v>
      </c>
      <c r="AW23" s="223">
        <f t="shared" ref="AW23" si="407">AV23</f>
        <v>11.7</v>
      </c>
      <c r="AX23" s="223">
        <f t="shared" ref="AX23" si="408">AW23</f>
        <v>11.7</v>
      </c>
      <c r="AY23" s="223">
        <f t="shared" ref="AY23" si="409">AX23</f>
        <v>11.7</v>
      </c>
      <c r="AZ23" s="223">
        <f t="shared" ref="AZ23" si="410">AY23</f>
        <v>11.7</v>
      </c>
      <c r="BA23" s="223">
        <f t="shared" ref="BA23" si="411">AZ23</f>
        <v>11.7</v>
      </c>
      <c r="BB23" s="223">
        <f t="shared" ref="BB23" si="412">BA23</f>
        <v>11.7</v>
      </c>
      <c r="BC23" s="248">
        <f>BC18</f>
        <v>12.29</v>
      </c>
      <c r="BD23" s="223">
        <f t="shared" ref="BD23" si="413">BC23</f>
        <v>12.29</v>
      </c>
      <c r="BE23" s="223">
        <f t="shared" ref="BE23" si="414">BD23</f>
        <v>12.29</v>
      </c>
      <c r="BF23" s="223">
        <f t="shared" ref="BF23" si="415">BE23</f>
        <v>12.29</v>
      </c>
      <c r="BG23" s="223">
        <f t="shared" ref="BG23" si="416">BF23</f>
        <v>12.29</v>
      </c>
      <c r="BH23" s="223">
        <f t="shared" ref="BH23" si="417">BG23</f>
        <v>12.29</v>
      </c>
      <c r="BI23" s="223">
        <f t="shared" ref="BI23" si="418">BH23</f>
        <v>12.29</v>
      </c>
      <c r="BJ23" s="223">
        <f t="shared" ref="BJ23" si="419">BI23</f>
        <v>12.29</v>
      </c>
      <c r="BK23" s="223">
        <f t="shared" ref="BK23" si="420">BJ23</f>
        <v>12.29</v>
      </c>
      <c r="BL23" s="223">
        <f t="shared" ref="BL23" si="421">BK23</f>
        <v>12.29</v>
      </c>
      <c r="BM23" s="223">
        <f t="shared" ref="BM23" si="422">BL23</f>
        <v>12.29</v>
      </c>
      <c r="BN23" s="223">
        <f t="shared" ref="BN23" si="423">BM23</f>
        <v>12.29</v>
      </c>
      <c r="BO23" s="248">
        <f>BO18</f>
        <v>12.904500000000001</v>
      </c>
      <c r="BP23" s="223">
        <f t="shared" ref="BP23" si="424">BO23</f>
        <v>12.904500000000001</v>
      </c>
      <c r="BQ23" s="223">
        <f t="shared" ref="BQ23" si="425">BP23</f>
        <v>12.904500000000001</v>
      </c>
      <c r="BR23" s="223">
        <f t="shared" ref="BR23" si="426">BQ23</f>
        <v>12.904500000000001</v>
      </c>
      <c r="BS23" s="223">
        <f t="shared" ref="BS23" si="427">BR23</f>
        <v>12.904500000000001</v>
      </c>
      <c r="BT23" s="223">
        <f t="shared" ref="BT23" si="428">BS23</f>
        <v>12.904500000000001</v>
      </c>
      <c r="BU23" s="223">
        <f t="shared" ref="BU23" si="429">BT23</f>
        <v>12.904500000000001</v>
      </c>
      <c r="BV23" s="223">
        <f t="shared" ref="BV23" si="430">BU23</f>
        <v>12.904500000000001</v>
      </c>
      <c r="BW23" s="223">
        <f t="shared" ref="BW23" si="431">BV23</f>
        <v>12.904500000000001</v>
      </c>
      <c r="BX23" s="223">
        <f t="shared" ref="BX23" si="432">BW23</f>
        <v>12.904500000000001</v>
      </c>
      <c r="BY23" s="223">
        <f t="shared" ref="BY23" si="433">BX23</f>
        <v>12.904500000000001</v>
      </c>
      <c r="BZ23" s="223">
        <f t="shared" ref="BZ23" si="434">BY23</f>
        <v>12.904500000000001</v>
      </c>
      <c r="CA23" s="248">
        <f>CA18</f>
        <v>13.549725</v>
      </c>
      <c r="CB23" s="223">
        <f t="shared" ref="CB23" si="435">CA23</f>
        <v>13.549725</v>
      </c>
      <c r="CC23" s="223">
        <f t="shared" ref="CC23" si="436">CB23</f>
        <v>13.549725</v>
      </c>
      <c r="CD23" s="223">
        <f t="shared" ref="CD23" si="437">CC23</f>
        <v>13.549725</v>
      </c>
      <c r="CE23" s="223">
        <f t="shared" ref="CE23" si="438">CD23</f>
        <v>13.549725</v>
      </c>
      <c r="CF23" s="223">
        <f t="shared" ref="CF23" si="439">CE23</f>
        <v>13.549725</v>
      </c>
      <c r="CG23" s="223">
        <f t="shared" ref="CG23" si="440">CF23</f>
        <v>13.549725</v>
      </c>
      <c r="CH23" s="223">
        <f t="shared" ref="CH23" si="441">CG23</f>
        <v>13.549725</v>
      </c>
      <c r="CI23" s="223">
        <f t="shared" ref="CI23" si="442">CH23</f>
        <v>13.549725</v>
      </c>
      <c r="CJ23" s="223">
        <f t="shared" ref="CJ23" si="443">CI23</f>
        <v>13.549725</v>
      </c>
      <c r="CK23" s="223">
        <f t="shared" ref="CK23" si="444">CJ23</f>
        <v>13.549725</v>
      </c>
      <c r="CL23" s="223">
        <f t="shared" ref="CL23" si="445">CK23</f>
        <v>13.549725</v>
      </c>
      <c r="CM23" s="248">
        <f>CM18</f>
        <v>14.227211250000002</v>
      </c>
      <c r="CN23" s="223">
        <f t="shared" ref="CN23" si="446">CM23</f>
        <v>14.227211250000002</v>
      </c>
      <c r="CO23" s="223">
        <f t="shared" ref="CO23" si="447">CN23</f>
        <v>14.227211250000002</v>
      </c>
      <c r="CP23" s="223">
        <f t="shared" ref="CP23" si="448">CO23</f>
        <v>14.227211250000002</v>
      </c>
      <c r="CQ23" s="223">
        <f t="shared" ref="CQ23" si="449">CP23</f>
        <v>14.227211250000002</v>
      </c>
      <c r="CR23" s="223">
        <f t="shared" ref="CR23" si="450">CQ23</f>
        <v>14.227211250000002</v>
      </c>
      <c r="CS23" s="223">
        <f t="shared" ref="CS23" si="451">CR23</f>
        <v>14.227211250000002</v>
      </c>
      <c r="CT23" s="223">
        <f t="shared" ref="CT23" si="452">CS23</f>
        <v>14.227211250000002</v>
      </c>
      <c r="CU23" s="223">
        <f t="shared" ref="CU23" si="453">CT23</f>
        <v>14.227211250000002</v>
      </c>
      <c r="CV23" s="223">
        <f t="shared" ref="CV23" si="454">CU23</f>
        <v>14.227211250000002</v>
      </c>
      <c r="CW23" s="223">
        <f t="shared" ref="CW23" si="455">CV23</f>
        <v>14.227211250000002</v>
      </c>
      <c r="CX23" s="223">
        <f t="shared" ref="CX23" si="456">CW23</f>
        <v>14.227211250000002</v>
      </c>
      <c r="CY23" s="248">
        <f>CY18</f>
        <v>14.938571812500003</v>
      </c>
      <c r="CZ23" s="223">
        <f t="shared" ref="CZ23" si="457">CY23</f>
        <v>14.938571812500003</v>
      </c>
      <c r="DA23" s="223">
        <f t="shared" ref="DA23" si="458">CZ23</f>
        <v>14.938571812500003</v>
      </c>
      <c r="DB23" s="223">
        <f t="shared" ref="DB23" si="459">DA23</f>
        <v>14.938571812500003</v>
      </c>
      <c r="DC23" s="223">
        <f t="shared" ref="DC23" si="460">DB23</f>
        <v>14.938571812500003</v>
      </c>
      <c r="DD23" s="223">
        <f t="shared" ref="DD23" si="461">DC23</f>
        <v>14.938571812500003</v>
      </c>
      <c r="DE23" s="223">
        <f t="shared" ref="DE23" si="462">DD23</f>
        <v>14.938571812500003</v>
      </c>
      <c r="DF23" s="223">
        <f t="shared" ref="DF23" si="463">DE23</f>
        <v>14.938571812500003</v>
      </c>
      <c r="DG23" s="223">
        <f t="shared" ref="DG23" si="464">DF23</f>
        <v>14.938571812500003</v>
      </c>
      <c r="DH23" s="223">
        <f t="shared" ref="DH23" si="465">DG23</f>
        <v>14.938571812500003</v>
      </c>
      <c r="DI23" s="223">
        <f t="shared" ref="DI23" si="466">DH23</f>
        <v>14.938571812500003</v>
      </c>
      <c r="DJ23" s="223">
        <f t="shared" ref="DJ23" si="467">DI23</f>
        <v>14.938571812500003</v>
      </c>
      <c r="DK23" s="248">
        <f>DK18</f>
        <v>15.685500403125003</v>
      </c>
      <c r="DL23" s="223">
        <f t="shared" ref="DL23" si="468">DK23</f>
        <v>15.685500403125003</v>
      </c>
      <c r="DM23" s="223">
        <f t="shared" ref="DM23" si="469">DL23</f>
        <v>15.685500403125003</v>
      </c>
      <c r="DN23" s="223">
        <f t="shared" ref="DN23" si="470">DM23</f>
        <v>15.685500403125003</v>
      </c>
      <c r="DO23" s="223">
        <f t="shared" ref="DO23" si="471">DN23</f>
        <v>15.685500403125003</v>
      </c>
      <c r="DP23" s="223">
        <f t="shared" ref="DP23" si="472">DO23</f>
        <v>15.685500403125003</v>
      </c>
      <c r="DQ23" s="223">
        <f t="shared" ref="DQ23" si="473">DP23</f>
        <v>15.685500403125003</v>
      </c>
      <c r="DR23" s="223">
        <f t="shared" ref="DR23" si="474">DQ23</f>
        <v>15.685500403125003</v>
      </c>
      <c r="DS23" s="223">
        <f t="shared" ref="DS23" si="475">DR23</f>
        <v>15.685500403125003</v>
      </c>
      <c r="DT23" s="223">
        <f t="shared" ref="DT23" si="476">DS23</f>
        <v>15.685500403125003</v>
      </c>
      <c r="DU23" s="223">
        <f t="shared" ref="DU23" si="477">DT23</f>
        <v>15.685500403125003</v>
      </c>
      <c r="DV23" s="471">
        <f t="shared" ref="DV23" si="478">DU23</f>
        <v>15.685500403125003</v>
      </c>
      <c r="DW23" s="640"/>
      <c r="DX23" s="470">
        <f>DX18</f>
        <v>0</v>
      </c>
      <c r="DY23" s="244">
        <f>DY18</f>
        <v>0</v>
      </c>
      <c r="DZ23" s="244">
        <f>DZ18</f>
        <v>0</v>
      </c>
      <c r="EA23" s="244">
        <f>EA18</f>
        <v>0</v>
      </c>
      <c r="EB23" s="244"/>
      <c r="EC23" s="244"/>
      <c r="ED23" s="244"/>
      <c r="EE23" s="244"/>
      <c r="EF23" s="244"/>
      <c r="EG23" s="244"/>
      <c r="EH23" s="244"/>
      <c r="EI23" s="510"/>
      <c r="EJ23" s="30"/>
      <c r="EK23" s="244"/>
      <c r="EL23" s="244"/>
      <c r="EM23" s="244"/>
      <c r="EN23" s="244"/>
      <c r="EO23" s="244"/>
      <c r="EP23" s="510"/>
    </row>
    <row r="24" spans="1:146" outlineLevel="1" x14ac:dyDescent="0.3">
      <c r="B24" s="225" t="s">
        <v>169</v>
      </c>
      <c r="C24" s="245" t="str">
        <f>C19</f>
        <v>GBP/USD/EURO/AUD/AUD</v>
      </c>
      <c r="D24" s="227"/>
      <c r="E24" s="474"/>
      <c r="F24" s="227">
        <f t="shared" ref="F24:N24" si="479">F22*F23</f>
        <v>0</v>
      </c>
      <c r="G24" s="234">
        <f t="shared" si="479"/>
        <v>0</v>
      </c>
      <c r="H24" s="234">
        <f t="shared" si="479"/>
        <v>0</v>
      </c>
      <c r="I24" s="234">
        <f t="shared" si="479"/>
        <v>0</v>
      </c>
      <c r="J24" s="234">
        <f t="shared" si="479"/>
        <v>0</v>
      </c>
      <c r="K24" s="234">
        <f t="shared" si="479"/>
        <v>0</v>
      </c>
      <c r="L24" s="234">
        <f t="shared" si="479"/>
        <v>0</v>
      </c>
      <c r="M24" s="234">
        <f t="shared" si="479"/>
        <v>0</v>
      </c>
      <c r="N24" s="234">
        <f t="shared" si="479"/>
        <v>0</v>
      </c>
      <c r="O24" s="234">
        <f t="shared" ref="O24:AO24" si="480">O22*O23</f>
        <v>0</v>
      </c>
      <c r="P24" s="234">
        <f t="shared" si="480"/>
        <v>0</v>
      </c>
      <c r="Q24" s="234">
        <f t="shared" si="480"/>
        <v>0</v>
      </c>
      <c r="R24" s="234">
        <f t="shared" si="480"/>
        <v>0</v>
      </c>
      <c r="S24" s="234">
        <f t="shared" si="480"/>
        <v>0</v>
      </c>
      <c r="T24" s="234">
        <f t="shared" si="480"/>
        <v>0</v>
      </c>
      <c r="U24" s="234">
        <f t="shared" si="480"/>
        <v>0</v>
      </c>
      <c r="V24" s="234">
        <f t="shared" si="480"/>
        <v>0</v>
      </c>
      <c r="W24" s="234">
        <f t="shared" si="480"/>
        <v>0</v>
      </c>
      <c r="X24" s="234">
        <f t="shared" si="480"/>
        <v>0</v>
      </c>
      <c r="Y24" s="234">
        <f t="shared" si="480"/>
        <v>0</v>
      </c>
      <c r="Z24" s="234">
        <f t="shared" si="480"/>
        <v>0</v>
      </c>
      <c r="AA24" s="234">
        <f t="shared" si="480"/>
        <v>0</v>
      </c>
      <c r="AB24" s="234">
        <f t="shared" si="480"/>
        <v>0</v>
      </c>
      <c r="AC24" s="234">
        <f t="shared" si="480"/>
        <v>0</v>
      </c>
      <c r="AD24" s="234">
        <f t="shared" si="480"/>
        <v>0</v>
      </c>
      <c r="AE24" s="234">
        <f t="shared" si="480"/>
        <v>0</v>
      </c>
      <c r="AF24" s="234">
        <f t="shared" si="480"/>
        <v>0</v>
      </c>
      <c r="AG24" s="234">
        <f t="shared" si="480"/>
        <v>0</v>
      </c>
      <c r="AH24" s="234">
        <f t="shared" si="480"/>
        <v>0</v>
      </c>
      <c r="AI24" s="234">
        <f t="shared" si="480"/>
        <v>0</v>
      </c>
      <c r="AJ24" s="234">
        <f t="shared" si="480"/>
        <v>0</v>
      </c>
      <c r="AK24" s="234">
        <f t="shared" si="480"/>
        <v>0</v>
      </c>
      <c r="AL24" s="234">
        <f t="shared" si="480"/>
        <v>0</v>
      </c>
      <c r="AM24" s="234">
        <f t="shared" si="480"/>
        <v>0</v>
      </c>
      <c r="AN24" s="234">
        <f t="shared" si="480"/>
        <v>0</v>
      </c>
      <c r="AO24" s="234">
        <f t="shared" si="480"/>
        <v>0</v>
      </c>
      <c r="AP24" s="234">
        <f t="shared" ref="AP24:BN24" si="481">AP22*AP23</f>
        <v>0</v>
      </c>
      <c r="AQ24" s="228">
        <f t="shared" si="481"/>
        <v>0</v>
      </c>
      <c r="AR24" s="228">
        <f t="shared" si="481"/>
        <v>0</v>
      </c>
      <c r="AS24" s="228">
        <f t="shared" si="481"/>
        <v>0</v>
      </c>
      <c r="AT24" s="228">
        <f t="shared" si="481"/>
        <v>0</v>
      </c>
      <c r="AU24" s="228">
        <f t="shared" si="481"/>
        <v>0</v>
      </c>
      <c r="AV24" s="228">
        <f t="shared" si="481"/>
        <v>0</v>
      </c>
      <c r="AW24" s="228">
        <f t="shared" si="481"/>
        <v>0</v>
      </c>
      <c r="AX24" s="228">
        <f t="shared" si="481"/>
        <v>0</v>
      </c>
      <c r="AY24" s="228">
        <f t="shared" si="481"/>
        <v>0</v>
      </c>
      <c r="AZ24" s="228">
        <f t="shared" si="481"/>
        <v>0</v>
      </c>
      <c r="BA24" s="228">
        <f t="shared" si="481"/>
        <v>0</v>
      </c>
      <c r="BB24" s="228">
        <f t="shared" si="481"/>
        <v>0</v>
      </c>
      <c r="BC24" s="228">
        <f t="shared" si="481"/>
        <v>0</v>
      </c>
      <c r="BD24" s="228">
        <f t="shared" si="481"/>
        <v>0</v>
      </c>
      <c r="BE24" s="228">
        <f t="shared" si="481"/>
        <v>0</v>
      </c>
      <c r="BF24" s="228">
        <f t="shared" si="481"/>
        <v>0</v>
      </c>
      <c r="BG24" s="228">
        <f t="shared" si="481"/>
        <v>0</v>
      </c>
      <c r="BH24" s="228">
        <f t="shared" si="481"/>
        <v>0</v>
      </c>
      <c r="BI24" s="228">
        <f t="shared" si="481"/>
        <v>0</v>
      </c>
      <c r="BJ24" s="228">
        <f t="shared" si="481"/>
        <v>0</v>
      </c>
      <c r="BK24" s="228">
        <f t="shared" si="481"/>
        <v>0</v>
      </c>
      <c r="BL24" s="228">
        <f t="shared" si="481"/>
        <v>0</v>
      </c>
      <c r="BM24" s="228">
        <f t="shared" si="481"/>
        <v>0</v>
      </c>
      <c r="BN24" s="228">
        <f t="shared" si="481"/>
        <v>0</v>
      </c>
      <c r="BO24" s="228">
        <f t="shared" ref="BO24" si="482">BO22*BO23</f>
        <v>0</v>
      </c>
      <c r="BP24" s="228">
        <f t="shared" ref="BP24:DV24" si="483">BP22*BP23</f>
        <v>0</v>
      </c>
      <c r="BQ24" s="228">
        <f t="shared" si="483"/>
        <v>0</v>
      </c>
      <c r="BR24" s="228">
        <f t="shared" si="483"/>
        <v>0</v>
      </c>
      <c r="BS24" s="228">
        <f t="shared" si="483"/>
        <v>0</v>
      </c>
      <c r="BT24" s="228">
        <f t="shared" si="483"/>
        <v>0</v>
      </c>
      <c r="BU24" s="228">
        <f t="shared" si="483"/>
        <v>0</v>
      </c>
      <c r="BV24" s="228">
        <f t="shared" si="483"/>
        <v>0</v>
      </c>
      <c r="BW24" s="228">
        <f t="shared" si="483"/>
        <v>0</v>
      </c>
      <c r="BX24" s="228">
        <f t="shared" si="483"/>
        <v>0</v>
      </c>
      <c r="BY24" s="228">
        <f t="shared" si="483"/>
        <v>0</v>
      </c>
      <c r="BZ24" s="228">
        <f t="shared" si="483"/>
        <v>0</v>
      </c>
      <c r="CA24" s="228">
        <f t="shared" si="483"/>
        <v>0</v>
      </c>
      <c r="CB24" s="228">
        <f t="shared" si="483"/>
        <v>0</v>
      </c>
      <c r="CC24" s="228">
        <f t="shared" si="483"/>
        <v>0</v>
      </c>
      <c r="CD24" s="228">
        <f t="shared" si="483"/>
        <v>0</v>
      </c>
      <c r="CE24" s="228">
        <f t="shared" si="483"/>
        <v>0</v>
      </c>
      <c r="CF24" s="228">
        <f t="shared" si="483"/>
        <v>0</v>
      </c>
      <c r="CG24" s="228">
        <f t="shared" si="483"/>
        <v>0</v>
      </c>
      <c r="CH24" s="228">
        <f t="shared" si="483"/>
        <v>0</v>
      </c>
      <c r="CI24" s="228">
        <f t="shared" si="483"/>
        <v>0</v>
      </c>
      <c r="CJ24" s="228">
        <f t="shared" si="483"/>
        <v>0</v>
      </c>
      <c r="CK24" s="228">
        <f t="shared" si="483"/>
        <v>0</v>
      </c>
      <c r="CL24" s="228">
        <f t="shared" si="483"/>
        <v>0</v>
      </c>
      <c r="CM24" s="228">
        <f t="shared" si="483"/>
        <v>0</v>
      </c>
      <c r="CN24" s="228">
        <f t="shared" si="483"/>
        <v>0</v>
      </c>
      <c r="CO24" s="228">
        <f t="shared" si="483"/>
        <v>0</v>
      </c>
      <c r="CP24" s="228">
        <f t="shared" si="483"/>
        <v>0</v>
      </c>
      <c r="CQ24" s="228">
        <f t="shared" si="483"/>
        <v>0</v>
      </c>
      <c r="CR24" s="228">
        <f t="shared" si="483"/>
        <v>0</v>
      </c>
      <c r="CS24" s="228">
        <f t="shared" si="483"/>
        <v>0</v>
      </c>
      <c r="CT24" s="228">
        <f t="shared" si="483"/>
        <v>0</v>
      </c>
      <c r="CU24" s="228">
        <f t="shared" si="483"/>
        <v>0</v>
      </c>
      <c r="CV24" s="228">
        <f t="shared" si="483"/>
        <v>0</v>
      </c>
      <c r="CW24" s="228">
        <f t="shared" si="483"/>
        <v>0</v>
      </c>
      <c r="CX24" s="228">
        <f t="shared" si="483"/>
        <v>0</v>
      </c>
      <c r="CY24" s="228">
        <f t="shared" si="483"/>
        <v>0</v>
      </c>
      <c r="CZ24" s="228">
        <f t="shared" si="483"/>
        <v>0</v>
      </c>
      <c r="DA24" s="228">
        <f t="shared" si="483"/>
        <v>0</v>
      </c>
      <c r="DB24" s="228">
        <f t="shared" si="483"/>
        <v>0</v>
      </c>
      <c r="DC24" s="228">
        <f t="shared" si="483"/>
        <v>0</v>
      </c>
      <c r="DD24" s="228">
        <f t="shared" si="483"/>
        <v>0</v>
      </c>
      <c r="DE24" s="228">
        <f t="shared" si="483"/>
        <v>0</v>
      </c>
      <c r="DF24" s="228">
        <f t="shared" si="483"/>
        <v>0</v>
      </c>
      <c r="DG24" s="228">
        <f t="shared" si="483"/>
        <v>0</v>
      </c>
      <c r="DH24" s="228">
        <f t="shared" si="483"/>
        <v>0</v>
      </c>
      <c r="DI24" s="228">
        <f t="shared" si="483"/>
        <v>0</v>
      </c>
      <c r="DJ24" s="228">
        <f t="shared" si="483"/>
        <v>0</v>
      </c>
      <c r="DK24" s="228">
        <f t="shared" si="483"/>
        <v>0</v>
      </c>
      <c r="DL24" s="228">
        <f t="shared" si="483"/>
        <v>0</v>
      </c>
      <c r="DM24" s="228">
        <f t="shared" si="483"/>
        <v>0</v>
      </c>
      <c r="DN24" s="228">
        <f t="shared" si="483"/>
        <v>0</v>
      </c>
      <c r="DO24" s="228">
        <f t="shared" si="483"/>
        <v>0</v>
      </c>
      <c r="DP24" s="228">
        <f t="shared" si="483"/>
        <v>0</v>
      </c>
      <c r="DQ24" s="228">
        <f t="shared" si="483"/>
        <v>0</v>
      </c>
      <c r="DR24" s="228">
        <f t="shared" si="483"/>
        <v>0</v>
      </c>
      <c r="DS24" s="228">
        <f t="shared" si="483"/>
        <v>0</v>
      </c>
      <c r="DT24" s="228">
        <f t="shared" si="483"/>
        <v>0</v>
      </c>
      <c r="DU24" s="228">
        <f t="shared" si="483"/>
        <v>0</v>
      </c>
      <c r="DV24" s="472">
        <f t="shared" si="483"/>
        <v>0</v>
      </c>
      <c r="DW24" s="717"/>
      <c r="DX24" s="505">
        <f t="shared" si="358"/>
        <v>0</v>
      </c>
      <c r="DY24" s="229">
        <f>SUM(G24:I24)</f>
        <v>0</v>
      </c>
      <c r="DZ24" s="229">
        <f>SUM(J24:L24)</f>
        <v>0</v>
      </c>
      <c r="EA24" s="229">
        <f>SUM(M24:O24)</f>
        <v>0</v>
      </c>
      <c r="EB24" s="229">
        <f>SUM(P24:R24)</f>
        <v>0</v>
      </c>
      <c r="EC24" s="230">
        <f t="shared" ref="EC24:EC51" si="484">SUM(D24:R24)</f>
        <v>0</v>
      </c>
      <c r="ED24" s="230">
        <f t="shared" ref="ED24:ED51" si="485">SUM(S24:AD24)</f>
        <v>0</v>
      </c>
      <c r="EE24" s="230">
        <f t="shared" ref="EE24:EE51" si="486">SUM(AE24:AP24)</f>
        <v>0</v>
      </c>
      <c r="EF24" s="231">
        <f t="shared" ref="EF24:EF56" si="487">SUM(EC24:EE24)</f>
        <v>0</v>
      </c>
      <c r="EG24" s="230">
        <f t="shared" ref="EG24:EG51" si="488">SUM(AQ24:BB24)</f>
        <v>0</v>
      </c>
      <c r="EH24" s="230">
        <f t="shared" ref="EH24:EH51" si="489">SUM(BC24:BN24)</f>
        <v>0</v>
      </c>
      <c r="EI24" s="506">
        <f t="shared" ref="EI24:EI56" si="490">SUM(EF24:EH24)</f>
        <v>0</v>
      </c>
      <c r="EJ24" s="106">
        <f t="shared" ref="EJ24" si="491">SUM(BN24:BY24)</f>
        <v>0</v>
      </c>
      <c r="EK24" s="230">
        <f t="shared" si="4"/>
        <v>0</v>
      </c>
      <c r="EL24" s="230">
        <f t="shared" si="5"/>
        <v>0</v>
      </c>
      <c r="EM24" s="230">
        <f t="shared" si="6"/>
        <v>0</v>
      </c>
      <c r="EN24" s="230">
        <f t="shared" si="7"/>
        <v>0</v>
      </c>
      <c r="EO24" s="230">
        <f t="shared" si="8"/>
        <v>0</v>
      </c>
      <c r="EP24" s="506">
        <f t="shared" si="9"/>
        <v>0</v>
      </c>
    </row>
    <row r="25" spans="1:146" outlineLevel="1" x14ac:dyDescent="0.3">
      <c r="B25" s="209" t="s">
        <v>170</v>
      </c>
      <c r="C25" s="210"/>
      <c r="D25" s="211"/>
      <c r="E25" s="468"/>
      <c r="F25" s="211">
        <f>Data!G45*(1-Data!G$10)</f>
        <v>2.8730574712643673</v>
      </c>
      <c r="G25" s="212">
        <f>Data!H45*(1-Data!H10)</f>
        <v>2.8730574712643673</v>
      </c>
      <c r="H25" s="212">
        <f>Data!I45*(1-Data!I10)</f>
        <v>2.8730574712643673</v>
      </c>
      <c r="I25" s="212">
        <f>Data!J45*(1-Data!J10)</f>
        <v>2.8730574712643673</v>
      </c>
      <c r="J25" s="212">
        <f>Data!K45*(1-Data!K10)</f>
        <v>2.8730574712643673</v>
      </c>
      <c r="K25" s="212">
        <f>Data!L45*(1-Data!L10)</f>
        <v>2.8730574712643673</v>
      </c>
      <c r="L25" s="212">
        <f>Data!M45*(1-Data!M10)</f>
        <v>2.8730574712643673</v>
      </c>
      <c r="M25" s="212">
        <f>Data!N45*(1-Data!N10)</f>
        <v>2.8730574712643673</v>
      </c>
      <c r="N25" s="212">
        <f>Data!O45*(1-Data!O10)</f>
        <v>2.8730574712643673</v>
      </c>
      <c r="O25" s="212">
        <f>Data!P45*(1-Data!P10)</f>
        <v>2.8730574712643673</v>
      </c>
      <c r="P25" s="212">
        <f>Data!Q45*(1-Data!Q10)</f>
        <v>2.8730574712643673</v>
      </c>
      <c r="Q25" s="212">
        <f>Data!R45*(1-Data!R10)</f>
        <v>2.8730574712643673</v>
      </c>
      <c r="R25" s="212">
        <f>Data!S45*(1-Data!S10)</f>
        <v>2.8730574712643673</v>
      </c>
      <c r="S25" s="212">
        <f>Data!T45*(1-Data!T10)</f>
        <v>2.8730574712643673</v>
      </c>
      <c r="T25" s="212">
        <f>Data!U45*(1-Data!U10)</f>
        <v>2.8730574712643673</v>
      </c>
      <c r="U25" s="212">
        <f>Data!V45*(1-Data!V10)</f>
        <v>2.8730574712643673</v>
      </c>
      <c r="V25" s="212">
        <f>Data!W45*(1-Data!W10)</f>
        <v>2.8730574712643673</v>
      </c>
      <c r="W25" s="212">
        <f>Data!X45*(1-Data!X10)</f>
        <v>2.8730574712643673</v>
      </c>
      <c r="X25" s="212">
        <f>Data!Y45*(1-Data!Y10)</f>
        <v>2.8730574712643673</v>
      </c>
      <c r="Y25" s="212">
        <f>Data!Z45*(1-Data!Z10)</f>
        <v>2.8730574712643673</v>
      </c>
      <c r="Z25" s="212">
        <f>Data!AA45*(1-Data!AA10)</f>
        <v>2.8730574712643673</v>
      </c>
      <c r="AA25" s="212">
        <f>Data!AB45*(1-Data!AB10)</f>
        <v>2.8730574712643673</v>
      </c>
      <c r="AB25" s="212">
        <f>Data!AC45*(1-Data!AC10)</f>
        <v>2.8730574712643673</v>
      </c>
      <c r="AC25" s="212">
        <f>Data!AD45*(1-Data!AD10)</f>
        <v>2.8730574712643673</v>
      </c>
      <c r="AD25" s="212">
        <f>Data!AE45*(1-Data!AE10)</f>
        <v>2.8730574712643673</v>
      </c>
      <c r="AE25" s="212">
        <f>Data!AF45*(1-Data!AF10)</f>
        <v>2.8730574712643673</v>
      </c>
      <c r="AF25" s="212">
        <f>Data!AG45*(1-Data!AG10)</f>
        <v>2.8730574712643673</v>
      </c>
      <c r="AG25" s="212">
        <f>Data!AH45*(1-Data!AH10)</f>
        <v>2.8730574712643673</v>
      </c>
      <c r="AH25" s="212">
        <f>Data!AI45*(1-Data!AI10)</f>
        <v>2.8730574712643673</v>
      </c>
      <c r="AI25" s="212">
        <f>Data!AJ45*(1-Data!AJ10)</f>
        <v>2.8730574712643673</v>
      </c>
      <c r="AJ25" s="212">
        <f>Data!AK45*(1-Data!AK10)</f>
        <v>2.8730574712643673</v>
      </c>
      <c r="AK25" s="212">
        <f>Data!AL45*(1-Data!AL10)</f>
        <v>2.8730574712643673</v>
      </c>
      <c r="AL25" s="212">
        <f>Data!AM45*(1-Data!AM10)</f>
        <v>2.8730574712643673</v>
      </c>
      <c r="AM25" s="212">
        <f>Data!AN45*(1-Data!AN10)</f>
        <v>2.8730574712643673</v>
      </c>
      <c r="AN25" s="212">
        <f>Data!AO45*(1-Data!AO10)</f>
        <v>2.8730574712643673</v>
      </c>
      <c r="AO25" s="212">
        <f>Data!AP45*(1-Data!AP10)</f>
        <v>2.8730574712643673</v>
      </c>
      <c r="AP25" s="212">
        <f>Data!AQ45*(1-Data!AQ10)</f>
        <v>2.8730574712643673</v>
      </c>
      <c r="AQ25" s="212">
        <f>Data!AR45*(1-Data!AR10)</f>
        <v>2.8730574712643673</v>
      </c>
      <c r="AR25" s="212">
        <f>Data!AS45*(1-Data!AS10)</f>
        <v>2.8730574712643673</v>
      </c>
      <c r="AS25" s="212">
        <f>Data!AT45*(1-Data!AT10)</f>
        <v>2.8730574712643673</v>
      </c>
      <c r="AT25" s="212">
        <f>Data!AU45*(1-Data!AU10)</f>
        <v>2.8730574712643673</v>
      </c>
      <c r="AU25" s="212">
        <f>Data!AV45*(1-Data!AV10)</f>
        <v>2.8730574712643673</v>
      </c>
      <c r="AV25" s="212">
        <f>Data!AW45*(1-Data!AW10)</f>
        <v>2.8730574712643673</v>
      </c>
      <c r="AW25" s="212">
        <f>Data!AX45*(1-Data!AX10)</f>
        <v>2.8730574712643673</v>
      </c>
      <c r="AX25" s="212">
        <f>Data!AY45*(1-Data!AY10)</f>
        <v>2.8730574712643673</v>
      </c>
      <c r="AY25" s="212">
        <f>Data!AZ45*(1-Data!AZ10)</f>
        <v>2.8730574712643673</v>
      </c>
      <c r="AZ25" s="212">
        <f>Data!BA45*(1-Data!BA10)</f>
        <v>2.8730574712643673</v>
      </c>
      <c r="BA25" s="212">
        <f>Data!BB45*(1-Data!BB10)</f>
        <v>2.8730574712643673</v>
      </c>
      <c r="BB25" s="212">
        <f>Data!BC45*(1-Data!BC10)</f>
        <v>2.8730574712643673</v>
      </c>
      <c r="BC25" s="212">
        <f>Data!BD45*(1-Data!BD10)</f>
        <v>2.8730574712643673</v>
      </c>
      <c r="BD25" s="212">
        <f>Data!BE45*(1-Data!BE10)</f>
        <v>2.8730574712643673</v>
      </c>
      <c r="BE25" s="212">
        <f>Data!BF45*(1-Data!BF10)</f>
        <v>2.8730574712643673</v>
      </c>
      <c r="BF25" s="212">
        <f>Data!BG45*(1-Data!BG10)</f>
        <v>2.8730574712643673</v>
      </c>
      <c r="BG25" s="212">
        <f>Data!BH45*(1-Data!BH10)</f>
        <v>2.8730574712643673</v>
      </c>
      <c r="BH25" s="212">
        <f>Data!BI45*(1-Data!BI10)</f>
        <v>2.8730574712643673</v>
      </c>
      <c r="BI25" s="212">
        <f>Data!BJ45*(1-Data!BJ10)</f>
        <v>2.8730574712643673</v>
      </c>
      <c r="BJ25" s="212">
        <f>Data!BK45*(1-Data!BK10)</f>
        <v>2.8730574712643673</v>
      </c>
      <c r="BK25" s="212">
        <f>Data!BL45*(1-Data!BL10)</f>
        <v>2.8730574712643673</v>
      </c>
      <c r="BL25" s="212">
        <f>Data!BM45*(1-Data!BM10)</f>
        <v>2.8730574712643673</v>
      </c>
      <c r="BM25" s="212">
        <f>Data!BN45*(1-Data!BN10)</f>
        <v>2.8730574712643673</v>
      </c>
      <c r="BN25" s="212">
        <f>Data!BO45*(1-Data!BO10)</f>
        <v>2.8730574712643673</v>
      </c>
      <c r="BO25" s="212">
        <f>Data!BP45*(1-Data!BP10)</f>
        <v>2.8730574712643673</v>
      </c>
      <c r="BP25" s="212">
        <f>Data!BQ45*(1-Data!BQ10)</f>
        <v>2.8730574712643673</v>
      </c>
      <c r="BQ25" s="212">
        <f>Data!BR45*(1-Data!BR10)</f>
        <v>2.8730574712643673</v>
      </c>
      <c r="BR25" s="212">
        <f>Data!BS45*(1-Data!BS10)</f>
        <v>2.8730574712643673</v>
      </c>
      <c r="BS25" s="212">
        <f>Data!BT45*(1-Data!BT10)</f>
        <v>2.8730574712643673</v>
      </c>
      <c r="BT25" s="212">
        <f>Data!BU45*(1-Data!BU10)</f>
        <v>2.8730574712643673</v>
      </c>
      <c r="BU25" s="212">
        <f>Data!BV45*(1-Data!BV10)</f>
        <v>2.8730574712643673</v>
      </c>
      <c r="BV25" s="212">
        <f>Data!BW45*(1-Data!BW10)</f>
        <v>2.8730574712643673</v>
      </c>
      <c r="BW25" s="212">
        <f>Data!BX45*(1-Data!BX10)</f>
        <v>2.8730574712643673</v>
      </c>
      <c r="BX25" s="212">
        <f>Data!BY45*(1-Data!BY10)</f>
        <v>2.8730574712643673</v>
      </c>
      <c r="BY25" s="212">
        <f>Data!BZ45*(1-Data!BZ10)</f>
        <v>2.8730574712643673</v>
      </c>
      <c r="BZ25" s="212">
        <f>Data!CA45*(1-Data!CA10)</f>
        <v>2.8730574712643673</v>
      </c>
      <c r="CA25" s="212">
        <f>Data!CB45*(1-Data!CB10)</f>
        <v>2.8730574712643673</v>
      </c>
      <c r="CB25" s="212">
        <f>Data!CC45*(1-Data!CC10)</f>
        <v>2.8730574712643673</v>
      </c>
      <c r="CC25" s="212">
        <f>Data!CD45*(1-Data!CD10)</f>
        <v>2.8730574712643673</v>
      </c>
      <c r="CD25" s="212">
        <f>Data!CE45*(1-Data!CE10)</f>
        <v>2.8730574712643673</v>
      </c>
      <c r="CE25" s="212">
        <f>Data!CF45*(1-Data!CF10)</f>
        <v>2.8730574712643673</v>
      </c>
      <c r="CF25" s="212">
        <f>Data!CG45*(1-Data!CG10)</f>
        <v>2.8730574712643673</v>
      </c>
      <c r="CG25" s="212">
        <f>Data!CH45*(1-Data!CH10)</f>
        <v>2.8730574712643673</v>
      </c>
      <c r="CH25" s="212">
        <f>Data!CI45*(1-Data!CI10)</f>
        <v>2.8730574712643673</v>
      </c>
      <c r="CI25" s="212">
        <f>Data!CJ45*(1-Data!CJ10)</f>
        <v>2.8730574712643673</v>
      </c>
      <c r="CJ25" s="212">
        <f>Data!CK45*(1-Data!CK10)</f>
        <v>2.8730574712643673</v>
      </c>
      <c r="CK25" s="212">
        <f>Data!CL45*(1-Data!CL10)</f>
        <v>2.8730574712643673</v>
      </c>
      <c r="CL25" s="212">
        <f>Data!CM45*(1-Data!CM10)</f>
        <v>2.8730574712643673</v>
      </c>
      <c r="CM25" s="212">
        <f>Data!CN45*(1-Data!CN10)</f>
        <v>2.8730574712643673</v>
      </c>
      <c r="CN25" s="212">
        <f>Data!CO45*(1-Data!CO10)</f>
        <v>2.8730574712643673</v>
      </c>
      <c r="CO25" s="212">
        <f>Data!CP45*(1-Data!CP10)</f>
        <v>2.8730574712643673</v>
      </c>
      <c r="CP25" s="212">
        <f>Data!CQ45*(1-Data!CQ10)</f>
        <v>2.8730574712643673</v>
      </c>
      <c r="CQ25" s="212">
        <f>Data!CR45*(1-Data!CR10)</f>
        <v>2.8730574712643673</v>
      </c>
      <c r="CR25" s="212">
        <f>Data!CS45*(1-Data!CS10)</f>
        <v>2.8730574712643673</v>
      </c>
      <c r="CS25" s="212">
        <f>Data!CT45*(1-Data!CT10)</f>
        <v>2.8730574712643673</v>
      </c>
      <c r="CT25" s="212">
        <f>Data!CU45*(1-Data!CU10)</f>
        <v>2.8730574712643673</v>
      </c>
      <c r="CU25" s="212">
        <f>Data!CV45*(1-Data!CV10)</f>
        <v>2.8730574712643673</v>
      </c>
      <c r="CV25" s="212">
        <f>Data!CW45*(1-Data!CW10)</f>
        <v>2.8730574712643673</v>
      </c>
      <c r="CW25" s="212">
        <f>Data!CX45*(1-Data!CX10)</f>
        <v>2.8730574712643673</v>
      </c>
      <c r="CX25" s="212">
        <f>Data!CY45*(1-Data!CY10)</f>
        <v>2.8730574712643673</v>
      </c>
      <c r="CY25" s="212">
        <f>Data!CZ45*(1-Data!CZ10)</f>
        <v>2.8730574712643673</v>
      </c>
      <c r="CZ25" s="212">
        <f>Data!DA45*(1-Data!DA10)</f>
        <v>2.8730574712643673</v>
      </c>
      <c r="DA25" s="212">
        <f>Data!DB45*(1-Data!DB10)</f>
        <v>2.8730574712643673</v>
      </c>
      <c r="DB25" s="212">
        <f>Data!DC45*(1-Data!DC10)</f>
        <v>2.8730574712643673</v>
      </c>
      <c r="DC25" s="212">
        <f>Data!DD45*(1-Data!DD10)</f>
        <v>2.8730574712643673</v>
      </c>
      <c r="DD25" s="212">
        <f>Data!DE45*(1-Data!DE10)</f>
        <v>2.8730574712643673</v>
      </c>
      <c r="DE25" s="212">
        <f>Data!DF45*(1-Data!DF10)</f>
        <v>2.8730574712643673</v>
      </c>
      <c r="DF25" s="212">
        <f>Data!DG45*(1-Data!DG10)</f>
        <v>2.8730574712643673</v>
      </c>
      <c r="DG25" s="212">
        <f>Data!DH45*(1-Data!DH10)</f>
        <v>2.8730574712643673</v>
      </c>
      <c r="DH25" s="212">
        <f>Data!DI45*(1-Data!DI10)</f>
        <v>2.8730574712643673</v>
      </c>
      <c r="DI25" s="212">
        <f>Data!DJ45*(1-Data!DJ10)</f>
        <v>2.8730574712643673</v>
      </c>
      <c r="DJ25" s="212">
        <f>Data!DK45*(1-Data!DK10)</f>
        <v>2.8730574712643673</v>
      </c>
      <c r="DK25" s="212">
        <f>Data!DL45*(1-Data!DL10)</f>
        <v>2.8730574712643673</v>
      </c>
      <c r="DL25" s="212">
        <f>Data!DM45*(1-Data!DM10)</f>
        <v>2.8730574712643673</v>
      </c>
      <c r="DM25" s="212">
        <f>Data!DN45*(1-Data!DN10)</f>
        <v>2.8730574712643673</v>
      </c>
      <c r="DN25" s="212">
        <f>Data!DO45*(1-Data!DO10)</f>
        <v>2.8730574712643673</v>
      </c>
      <c r="DO25" s="212">
        <f>Data!DP45*(1-Data!DP10)</f>
        <v>2.8730574712643673</v>
      </c>
      <c r="DP25" s="212">
        <f>Data!DQ45*(1-Data!DQ10)</f>
        <v>2.8730574712643673</v>
      </c>
      <c r="DQ25" s="212">
        <f>Data!DR45*(1-Data!DR10)</f>
        <v>2.8730574712643673</v>
      </c>
      <c r="DR25" s="212">
        <f>Data!DS45*(1-Data!DS10)</f>
        <v>2.8730574712643673</v>
      </c>
      <c r="DS25" s="212">
        <f>Data!DT45*(1-Data!DT10)</f>
        <v>2.8730574712643673</v>
      </c>
      <c r="DT25" s="212">
        <f>Data!DU45*(1-Data!DU10)</f>
        <v>2.8730574712643673</v>
      </c>
      <c r="DU25" s="212">
        <f>Data!DV45*(1-Data!DV10)</f>
        <v>2.8730574712643673</v>
      </c>
      <c r="DV25" s="468">
        <f>Data!DW45*(1-Data!DW10)</f>
        <v>2.8730574712643673</v>
      </c>
      <c r="DW25" s="715"/>
      <c r="DX25" s="211"/>
      <c r="DY25" s="213"/>
      <c r="DZ25" s="213"/>
      <c r="EA25" s="213"/>
      <c r="EB25" s="213"/>
      <c r="EC25" s="213"/>
      <c r="ED25" s="213"/>
      <c r="EE25" s="213"/>
      <c r="EF25" s="214"/>
      <c r="EG25" s="213"/>
      <c r="EH25" s="213"/>
      <c r="EI25" s="500"/>
      <c r="EJ25" s="30"/>
      <c r="EK25" s="213"/>
      <c r="EL25" s="213"/>
      <c r="EM25" s="213"/>
      <c r="EN25" s="213"/>
      <c r="EO25" s="213"/>
      <c r="EP25" s="500"/>
    </row>
    <row r="26" spans="1:146" outlineLevel="1" x14ac:dyDescent="0.3">
      <c r="B26" s="225" t="s">
        <v>171</v>
      </c>
      <c r="C26" s="245"/>
      <c r="D26" s="227"/>
      <c r="E26" s="474"/>
      <c r="F26" s="215">
        <f t="shared" ref="F26" si="492">F25*$A$16*$A$17*5</f>
        <v>430.52766206896541</v>
      </c>
      <c r="G26" s="216">
        <f t="shared" ref="G26:BN26" si="493">(G25*$A$10*$A$9*G$2)</f>
        <v>517.15034482758608</v>
      </c>
      <c r="H26" s="216">
        <f t="shared" si="493"/>
        <v>572.55931034482751</v>
      </c>
      <c r="I26" s="216">
        <f t="shared" si="493"/>
        <v>554.08965517241359</v>
      </c>
      <c r="J26" s="216">
        <f t="shared" si="493"/>
        <v>572.55931034482751</v>
      </c>
      <c r="K26" s="216">
        <f t="shared" si="493"/>
        <v>554.08965517241359</v>
      </c>
      <c r="L26" s="216">
        <f t="shared" si="493"/>
        <v>572.55931034482751</v>
      </c>
      <c r="M26" s="216">
        <f t="shared" si="493"/>
        <v>572.55931034482751</v>
      </c>
      <c r="N26" s="216">
        <f t="shared" si="493"/>
        <v>554.08965517241359</v>
      </c>
      <c r="O26" s="216">
        <f t="shared" si="493"/>
        <v>572.55931034482751</v>
      </c>
      <c r="P26" s="216">
        <f t="shared" si="493"/>
        <v>554.08965517241359</v>
      </c>
      <c r="Q26" s="216">
        <f t="shared" si="493"/>
        <v>572.55931034482751</v>
      </c>
      <c r="R26" s="216">
        <f t="shared" si="493"/>
        <v>572.55931034482751</v>
      </c>
      <c r="S26" s="216">
        <f t="shared" si="493"/>
        <v>535.61999999999989</v>
      </c>
      <c r="T26" s="216">
        <f t="shared" si="493"/>
        <v>572.55931034482751</v>
      </c>
      <c r="U26" s="216">
        <f t="shared" si="493"/>
        <v>554.08965517241359</v>
      </c>
      <c r="V26" s="216">
        <f t="shared" si="493"/>
        <v>572.55931034482751</v>
      </c>
      <c r="W26" s="216">
        <f t="shared" si="493"/>
        <v>554.08965517241359</v>
      </c>
      <c r="X26" s="216">
        <f t="shared" si="493"/>
        <v>572.55931034482751</v>
      </c>
      <c r="Y26" s="216">
        <f t="shared" si="493"/>
        <v>572.55931034482751</v>
      </c>
      <c r="Z26" s="216">
        <f t="shared" si="493"/>
        <v>554.08965517241359</v>
      </c>
      <c r="AA26" s="216">
        <f t="shared" si="493"/>
        <v>572.55931034482751</v>
      </c>
      <c r="AB26" s="216">
        <f t="shared" si="493"/>
        <v>554.08965517241359</v>
      </c>
      <c r="AC26" s="216">
        <f t="shared" si="493"/>
        <v>572.55931034482751</v>
      </c>
      <c r="AD26" s="216">
        <f t="shared" si="493"/>
        <v>572.55931034482751</v>
      </c>
      <c r="AE26" s="216">
        <f t="shared" si="493"/>
        <v>517.15034482758608</v>
      </c>
      <c r="AF26" s="216">
        <f t="shared" si="493"/>
        <v>572.55931034482751</v>
      </c>
      <c r="AG26" s="216">
        <f t="shared" si="493"/>
        <v>554.08965517241359</v>
      </c>
      <c r="AH26" s="216">
        <f t="shared" si="493"/>
        <v>572.55931034482751</v>
      </c>
      <c r="AI26" s="216">
        <f t="shared" si="493"/>
        <v>554.08965517241359</v>
      </c>
      <c r="AJ26" s="216">
        <f t="shared" si="493"/>
        <v>572.55931034482751</v>
      </c>
      <c r="AK26" s="216">
        <f t="shared" si="493"/>
        <v>572.55931034482751</v>
      </c>
      <c r="AL26" s="216">
        <f t="shared" si="493"/>
        <v>554.08965517241359</v>
      </c>
      <c r="AM26" s="216">
        <f t="shared" si="493"/>
        <v>572.55931034482751</v>
      </c>
      <c r="AN26" s="216">
        <f t="shared" si="493"/>
        <v>554.08965517241359</v>
      </c>
      <c r="AO26" s="216">
        <f t="shared" si="493"/>
        <v>572.55931034482751</v>
      </c>
      <c r="AP26" s="216">
        <f t="shared" si="493"/>
        <v>572.55931034482751</v>
      </c>
      <c r="AQ26" s="216">
        <f t="shared" si="493"/>
        <v>517.15034482758608</v>
      </c>
      <c r="AR26" s="216">
        <f t="shared" si="493"/>
        <v>572.55931034482751</v>
      </c>
      <c r="AS26" s="216">
        <f t="shared" si="493"/>
        <v>554.08965517241359</v>
      </c>
      <c r="AT26" s="216">
        <f t="shared" si="493"/>
        <v>572.55931034482751</v>
      </c>
      <c r="AU26" s="216">
        <f t="shared" si="493"/>
        <v>554.08965517241359</v>
      </c>
      <c r="AV26" s="216">
        <f t="shared" si="493"/>
        <v>572.55931034482751</v>
      </c>
      <c r="AW26" s="216">
        <f t="shared" si="493"/>
        <v>572.55931034482751</v>
      </c>
      <c r="AX26" s="216">
        <f t="shared" si="493"/>
        <v>554.08965517241359</v>
      </c>
      <c r="AY26" s="216">
        <f t="shared" si="493"/>
        <v>572.55931034482751</v>
      </c>
      <c r="AZ26" s="216">
        <f t="shared" si="493"/>
        <v>554.08965517241359</v>
      </c>
      <c r="BA26" s="216">
        <f t="shared" si="493"/>
        <v>572.55931034482751</v>
      </c>
      <c r="BB26" s="216">
        <f t="shared" si="493"/>
        <v>572.55931034482751</v>
      </c>
      <c r="BC26" s="216">
        <f t="shared" si="493"/>
        <v>517.15034482758608</v>
      </c>
      <c r="BD26" s="216">
        <f t="shared" si="493"/>
        <v>572.55931034482751</v>
      </c>
      <c r="BE26" s="216">
        <f t="shared" si="493"/>
        <v>554.08965517241359</v>
      </c>
      <c r="BF26" s="216">
        <f t="shared" si="493"/>
        <v>572.55931034482751</v>
      </c>
      <c r="BG26" s="216">
        <f t="shared" si="493"/>
        <v>554.08965517241359</v>
      </c>
      <c r="BH26" s="216">
        <f t="shared" si="493"/>
        <v>572.55931034482751</v>
      </c>
      <c r="BI26" s="216">
        <f t="shared" si="493"/>
        <v>572.55931034482751</v>
      </c>
      <c r="BJ26" s="216">
        <f t="shared" si="493"/>
        <v>554.08965517241359</v>
      </c>
      <c r="BK26" s="216">
        <f t="shared" si="493"/>
        <v>572.55931034482751</v>
      </c>
      <c r="BL26" s="216">
        <f t="shared" si="493"/>
        <v>554.08965517241359</v>
      </c>
      <c r="BM26" s="216">
        <f t="shared" si="493"/>
        <v>572.55931034482751</v>
      </c>
      <c r="BN26" s="216">
        <f t="shared" si="493"/>
        <v>572.55931034482751</v>
      </c>
      <c r="BO26" s="216">
        <f t="shared" ref="BO26" si="494">(BO25*$A$10*$A$9*BO$2)</f>
        <v>535.61999999999989</v>
      </c>
      <c r="BP26" s="216">
        <f t="shared" ref="BP26:DV26" si="495">(BP25*$A$10*$A$9*BP$2)</f>
        <v>572.55931034482751</v>
      </c>
      <c r="BQ26" s="216">
        <f t="shared" si="495"/>
        <v>554.08965517241359</v>
      </c>
      <c r="BR26" s="216">
        <f t="shared" si="495"/>
        <v>572.55931034482751</v>
      </c>
      <c r="BS26" s="216">
        <f t="shared" si="495"/>
        <v>554.08965517241359</v>
      </c>
      <c r="BT26" s="216">
        <f t="shared" si="495"/>
        <v>572.55931034482751</v>
      </c>
      <c r="BU26" s="216">
        <f t="shared" si="495"/>
        <v>572.55931034482751</v>
      </c>
      <c r="BV26" s="216">
        <f t="shared" si="495"/>
        <v>554.08965517241359</v>
      </c>
      <c r="BW26" s="216">
        <f t="shared" si="495"/>
        <v>572.55931034482751</v>
      </c>
      <c r="BX26" s="216">
        <f t="shared" si="495"/>
        <v>554.08965517241359</v>
      </c>
      <c r="BY26" s="216">
        <f t="shared" si="495"/>
        <v>572.55931034482751</v>
      </c>
      <c r="BZ26" s="216">
        <f t="shared" si="495"/>
        <v>572.55931034482751</v>
      </c>
      <c r="CA26" s="216">
        <f t="shared" si="495"/>
        <v>517.15034482758608</v>
      </c>
      <c r="CB26" s="216">
        <f t="shared" si="495"/>
        <v>572.55931034482751</v>
      </c>
      <c r="CC26" s="216">
        <f t="shared" si="495"/>
        <v>554.08965517241359</v>
      </c>
      <c r="CD26" s="216">
        <f t="shared" si="495"/>
        <v>572.55931034482751</v>
      </c>
      <c r="CE26" s="216">
        <f t="shared" si="495"/>
        <v>554.08965517241359</v>
      </c>
      <c r="CF26" s="216">
        <f t="shared" si="495"/>
        <v>572.55931034482751</v>
      </c>
      <c r="CG26" s="216">
        <f t="shared" si="495"/>
        <v>572.55931034482751</v>
      </c>
      <c r="CH26" s="216">
        <f t="shared" si="495"/>
        <v>554.08965517241359</v>
      </c>
      <c r="CI26" s="216">
        <f t="shared" si="495"/>
        <v>572.55931034482751</v>
      </c>
      <c r="CJ26" s="216">
        <f t="shared" si="495"/>
        <v>554.08965517241359</v>
      </c>
      <c r="CK26" s="216">
        <f t="shared" si="495"/>
        <v>572.55931034482751</v>
      </c>
      <c r="CL26" s="216">
        <f t="shared" si="495"/>
        <v>572.55931034482751</v>
      </c>
      <c r="CM26" s="216">
        <f t="shared" si="495"/>
        <v>517.15034482758608</v>
      </c>
      <c r="CN26" s="216">
        <f t="shared" si="495"/>
        <v>572.55931034482751</v>
      </c>
      <c r="CO26" s="216">
        <f t="shared" si="495"/>
        <v>554.08965517241359</v>
      </c>
      <c r="CP26" s="216">
        <f t="shared" si="495"/>
        <v>572.55931034482751</v>
      </c>
      <c r="CQ26" s="216">
        <f t="shared" si="495"/>
        <v>554.08965517241359</v>
      </c>
      <c r="CR26" s="216">
        <f t="shared" si="495"/>
        <v>572.55931034482751</v>
      </c>
      <c r="CS26" s="216">
        <f t="shared" si="495"/>
        <v>572.55931034482751</v>
      </c>
      <c r="CT26" s="216">
        <f t="shared" si="495"/>
        <v>554.08965517241359</v>
      </c>
      <c r="CU26" s="216">
        <f t="shared" si="495"/>
        <v>572.55931034482751</v>
      </c>
      <c r="CV26" s="216">
        <f t="shared" si="495"/>
        <v>554.08965517241359</v>
      </c>
      <c r="CW26" s="216">
        <f t="shared" si="495"/>
        <v>572.55931034482751</v>
      </c>
      <c r="CX26" s="216">
        <f t="shared" si="495"/>
        <v>572.55931034482751</v>
      </c>
      <c r="CY26" s="216">
        <f t="shared" si="495"/>
        <v>517.15034482758608</v>
      </c>
      <c r="CZ26" s="216">
        <f t="shared" si="495"/>
        <v>572.55931034482751</v>
      </c>
      <c r="DA26" s="216">
        <f t="shared" si="495"/>
        <v>554.08965517241359</v>
      </c>
      <c r="DB26" s="216">
        <f t="shared" si="495"/>
        <v>572.55931034482751</v>
      </c>
      <c r="DC26" s="216">
        <f t="shared" si="495"/>
        <v>554.08965517241359</v>
      </c>
      <c r="DD26" s="216">
        <f t="shared" si="495"/>
        <v>572.55931034482751</v>
      </c>
      <c r="DE26" s="216">
        <f t="shared" si="495"/>
        <v>572.55931034482751</v>
      </c>
      <c r="DF26" s="216">
        <f t="shared" si="495"/>
        <v>554.08965517241359</v>
      </c>
      <c r="DG26" s="216">
        <f t="shared" si="495"/>
        <v>572.55931034482751</v>
      </c>
      <c r="DH26" s="216">
        <f t="shared" si="495"/>
        <v>554.08965517241359</v>
      </c>
      <c r="DI26" s="216">
        <f t="shared" si="495"/>
        <v>572.55931034482751</v>
      </c>
      <c r="DJ26" s="216">
        <f t="shared" si="495"/>
        <v>572.55931034482751</v>
      </c>
      <c r="DK26" s="216">
        <f t="shared" si="495"/>
        <v>535.61999999999989</v>
      </c>
      <c r="DL26" s="216">
        <f t="shared" si="495"/>
        <v>572.55931034482751</v>
      </c>
      <c r="DM26" s="216">
        <f t="shared" si="495"/>
        <v>554.08965517241359</v>
      </c>
      <c r="DN26" s="216">
        <f t="shared" si="495"/>
        <v>572.55931034482751</v>
      </c>
      <c r="DO26" s="216">
        <f t="shared" si="495"/>
        <v>554.08965517241359</v>
      </c>
      <c r="DP26" s="216">
        <f t="shared" si="495"/>
        <v>572.55931034482751</v>
      </c>
      <c r="DQ26" s="216">
        <f t="shared" si="495"/>
        <v>572.55931034482751</v>
      </c>
      <c r="DR26" s="216">
        <f t="shared" si="495"/>
        <v>554.08965517241359</v>
      </c>
      <c r="DS26" s="216">
        <f t="shared" si="495"/>
        <v>572.55931034482751</v>
      </c>
      <c r="DT26" s="216">
        <f t="shared" si="495"/>
        <v>554.08965517241359</v>
      </c>
      <c r="DU26" s="216">
        <f t="shared" si="495"/>
        <v>572.55931034482751</v>
      </c>
      <c r="DV26" s="469">
        <f t="shared" si="495"/>
        <v>572.55931034482751</v>
      </c>
      <c r="DW26" s="716"/>
      <c r="DX26" s="501"/>
      <c r="DY26" s="217"/>
      <c r="DZ26" s="217"/>
      <c r="EA26" s="217"/>
      <c r="EB26" s="217"/>
      <c r="EC26" s="218"/>
      <c r="ED26" s="218"/>
      <c r="EE26" s="218"/>
      <c r="EF26" s="219"/>
      <c r="EG26" s="218"/>
      <c r="EH26" s="218"/>
      <c r="EI26" s="502"/>
      <c r="EJ26" s="30"/>
      <c r="EK26" s="218"/>
      <c r="EL26" s="218"/>
      <c r="EM26" s="218"/>
      <c r="EN26" s="218"/>
      <c r="EO26" s="218"/>
      <c r="EP26" s="502"/>
    </row>
    <row r="27" spans="1:146" outlineLevel="1" x14ac:dyDescent="0.3">
      <c r="B27" s="225" t="s">
        <v>172</v>
      </c>
      <c r="C27" s="245" t="s">
        <v>685</v>
      </c>
      <c r="D27" s="227"/>
      <c r="E27" s="474"/>
      <c r="F27" s="222">
        <f>Summary!$AC$10</f>
        <v>0</v>
      </c>
      <c r="G27" s="223">
        <f t="shared" ref="G27" si="496">F27</f>
        <v>0</v>
      </c>
      <c r="H27" s="223">
        <f t="shared" ref="H27" si="497">G27</f>
        <v>0</v>
      </c>
      <c r="I27" s="223">
        <f t="shared" ref="I27" si="498">H27</f>
        <v>0</v>
      </c>
      <c r="J27" s="223">
        <f t="shared" ref="J27" si="499">I27</f>
        <v>0</v>
      </c>
      <c r="K27" s="223">
        <f t="shared" ref="K27" si="500">J27</f>
        <v>0</v>
      </c>
      <c r="L27" s="223">
        <f t="shared" ref="L27" si="501">K27</f>
        <v>0</v>
      </c>
      <c r="M27" s="223">
        <f t="shared" ref="M27" si="502">L27</f>
        <v>0</v>
      </c>
      <c r="N27" s="223">
        <f t="shared" ref="N27" si="503">M27</f>
        <v>0</v>
      </c>
      <c r="O27" s="223">
        <f t="shared" ref="O27" si="504">N27</f>
        <v>0</v>
      </c>
      <c r="P27" s="223">
        <f t="shared" ref="P27" si="505">O27</f>
        <v>0</v>
      </c>
      <c r="Q27" s="223">
        <f t="shared" ref="Q27" si="506">P27</f>
        <v>0</v>
      </c>
      <c r="R27" s="223">
        <f t="shared" ref="R27" si="507">Q27</f>
        <v>0</v>
      </c>
      <c r="S27" s="371">
        <f>Summary!$AD$10</f>
        <v>0</v>
      </c>
      <c r="T27" s="223">
        <f t="shared" ref="T27" si="508">S27</f>
        <v>0</v>
      </c>
      <c r="U27" s="223">
        <f t="shared" ref="U27" si="509">T27</f>
        <v>0</v>
      </c>
      <c r="V27" s="223">
        <f t="shared" ref="V27" si="510">U27</f>
        <v>0</v>
      </c>
      <c r="W27" s="223">
        <f t="shared" ref="W27" si="511">V27</f>
        <v>0</v>
      </c>
      <c r="X27" s="223">
        <f t="shared" ref="X27" si="512">W27</f>
        <v>0</v>
      </c>
      <c r="Y27" s="223">
        <f t="shared" ref="Y27" si="513">X27</f>
        <v>0</v>
      </c>
      <c r="Z27" s="223">
        <f t="shared" ref="Z27" si="514">Y27</f>
        <v>0</v>
      </c>
      <c r="AA27" s="223">
        <f t="shared" ref="AA27" si="515">Z27</f>
        <v>0</v>
      </c>
      <c r="AB27" s="223">
        <f t="shared" ref="AB27" si="516">AA27</f>
        <v>0</v>
      </c>
      <c r="AC27" s="223">
        <f t="shared" ref="AC27" si="517">AB27</f>
        <v>0</v>
      </c>
      <c r="AD27" s="223">
        <f t="shared" ref="AD27" si="518">AC27</f>
        <v>0</v>
      </c>
      <c r="AE27" s="371">
        <f>Summary!$AE$10</f>
        <v>0</v>
      </c>
      <c r="AF27" s="223">
        <f t="shared" ref="AF27" si="519">AE27</f>
        <v>0</v>
      </c>
      <c r="AG27" s="223">
        <f t="shared" ref="AG27" si="520">AF27</f>
        <v>0</v>
      </c>
      <c r="AH27" s="223">
        <f t="shared" ref="AH27" si="521">AG27</f>
        <v>0</v>
      </c>
      <c r="AI27" s="223">
        <f t="shared" ref="AI27" si="522">AH27</f>
        <v>0</v>
      </c>
      <c r="AJ27" s="223">
        <f t="shared" ref="AJ27" si="523">AI27</f>
        <v>0</v>
      </c>
      <c r="AK27" s="223">
        <f t="shared" ref="AK27" si="524">AJ27</f>
        <v>0</v>
      </c>
      <c r="AL27" s="223">
        <f t="shared" ref="AL27" si="525">AK27</f>
        <v>0</v>
      </c>
      <c r="AM27" s="223">
        <f t="shared" ref="AM27" si="526">AL27</f>
        <v>0</v>
      </c>
      <c r="AN27" s="223">
        <f t="shared" ref="AN27" si="527">AM27</f>
        <v>0</v>
      </c>
      <c r="AO27" s="223">
        <f t="shared" ref="AO27" si="528">AN27</f>
        <v>0</v>
      </c>
      <c r="AP27" s="223">
        <f t="shared" ref="AP27" si="529">AO27</f>
        <v>0</v>
      </c>
      <c r="AQ27" s="371">
        <f>Summary!$AF$10</f>
        <v>0</v>
      </c>
      <c r="AR27" s="223">
        <f t="shared" ref="AR27" si="530">AQ27</f>
        <v>0</v>
      </c>
      <c r="AS27" s="223">
        <f t="shared" ref="AS27" si="531">AR27</f>
        <v>0</v>
      </c>
      <c r="AT27" s="223">
        <f t="shared" ref="AT27" si="532">AS27</f>
        <v>0</v>
      </c>
      <c r="AU27" s="223">
        <f t="shared" ref="AU27" si="533">AT27</f>
        <v>0</v>
      </c>
      <c r="AV27" s="223">
        <f t="shared" ref="AV27" si="534">AU27</f>
        <v>0</v>
      </c>
      <c r="AW27" s="223">
        <f t="shared" ref="AW27" si="535">AV27</f>
        <v>0</v>
      </c>
      <c r="AX27" s="223">
        <f t="shared" ref="AX27" si="536">AW27</f>
        <v>0</v>
      </c>
      <c r="AY27" s="223">
        <f t="shared" ref="AY27" si="537">AX27</f>
        <v>0</v>
      </c>
      <c r="AZ27" s="223">
        <f t="shared" ref="AZ27" si="538">AY27</f>
        <v>0</v>
      </c>
      <c r="BA27" s="223">
        <f t="shared" ref="BA27" si="539">AZ27</f>
        <v>0</v>
      </c>
      <c r="BB27" s="223">
        <f t="shared" ref="BB27" si="540">BA27</f>
        <v>0</v>
      </c>
      <c r="BC27" s="371">
        <f>Summary!$AG$10</f>
        <v>0</v>
      </c>
      <c r="BD27" s="223">
        <f>BC27</f>
        <v>0</v>
      </c>
      <c r="BE27" s="223">
        <f t="shared" ref="BE27:BN27" si="541">BD27</f>
        <v>0</v>
      </c>
      <c r="BF27" s="223">
        <f t="shared" si="541"/>
        <v>0</v>
      </c>
      <c r="BG27" s="223">
        <f t="shared" si="541"/>
        <v>0</v>
      </c>
      <c r="BH27" s="223">
        <f t="shared" si="541"/>
        <v>0</v>
      </c>
      <c r="BI27" s="223">
        <f t="shared" si="541"/>
        <v>0</v>
      </c>
      <c r="BJ27" s="223">
        <f t="shared" si="541"/>
        <v>0</v>
      </c>
      <c r="BK27" s="223">
        <f t="shared" si="541"/>
        <v>0</v>
      </c>
      <c r="BL27" s="223">
        <f t="shared" si="541"/>
        <v>0</v>
      </c>
      <c r="BM27" s="223">
        <f t="shared" si="541"/>
        <v>0</v>
      </c>
      <c r="BN27" s="223">
        <f t="shared" si="541"/>
        <v>0</v>
      </c>
      <c r="BO27" s="371">
        <f>Summary!$AH$10</f>
        <v>0</v>
      </c>
      <c r="BP27" s="223">
        <f t="shared" ref="BP27" si="542">BO27</f>
        <v>0</v>
      </c>
      <c r="BQ27" s="223">
        <f t="shared" ref="BQ27" si="543">BP27</f>
        <v>0</v>
      </c>
      <c r="BR27" s="223">
        <f t="shared" ref="BR27" si="544">BQ27</f>
        <v>0</v>
      </c>
      <c r="BS27" s="223">
        <f t="shared" ref="BS27" si="545">BR27</f>
        <v>0</v>
      </c>
      <c r="BT27" s="223">
        <f t="shared" ref="BT27" si="546">BS27</f>
        <v>0</v>
      </c>
      <c r="BU27" s="223">
        <f t="shared" ref="BU27" si="547">BT27</f>
        <v>0</v>
      </c>
      <c r="BV27" s="223">
        <f t="shared" ref="BV27" si="548">BU27</f>
        <v>0</v>
      </c>
      <c r="BW27" s="223">
        <f t="shared" ref="BW27" si="549">BV27</f>
        <v>0</v>
      </c>
      <c r="BX27" s="223">
        <f t="shared" ref="BX27" si="550">BW27</f>
        <v>0</v>
      </c>
      <c r="BY27" s="223">
        <f t="shared" ref="BY27" si="551">BX27</f>
        <v>0</v>
      </c>
      <c r="BZ27" s="223">
        <f t="shared" ref="BZ27" si="552">BY27</f>
        <v>0</v>
      </c>
      <c r="CA27" s="371">
        <f>Summary!$AI$10</f>
        <v>0</v>
      </c>
      <c r="CB27" s="223">
        <f t="shared" ref="CB27" si="553">CA27</f>
        <v>0</v>
      </c>
      <c r="CC27" s="223">
        <f t="shared" ref="CC27" si="554">CB27</f>
        <v>0</v>
      </c>
      <c r="CD27" s="223">
        <f t="shared" ref="CD27" si="555">CC27</f>
        <v>0</v>
      </c>
      <c r="CE27" s="223">
        <f t="shared" ref="CE27" si="556">CD27</f>
        <v>0</v>
      </c>
      <c r="CF27" s="223">
        <f t="shared" ref="CF27" si="557">CE27</f>
        <v>0</v>
      </c>
      <c r="CG27" s="223">
        <f t="shared" ref="CG27" si="558">CF27</f>
        <v>0</v>
      </c>
      <c r="CH27" s="223">
        <f t="shared" ref="CH27" si="559">CG27</f>
        <v>0</v>
      </c>
      <c r="CI27" s="223">
        <f t="shared" ref="CI27" si="560">CH27</f>
        <v>0</v>
      </c>
      <c r="CJ27" s="223">
        <f t="shared" ref="CJ27" si="561">CI27</f>
        <v>0</v>
      </c>
      <c r="CK27" s="223">
        <f t="shared" ref="CK27" si="562">CJ27</f>
        <v>0</v>
      </c>
      <c r="CL27" s="223">
        <f t="shared" ref="CL27" si="563">CK27</f>
        <v>0</v>
      </c>
      <c r="CM27" s="371">
        <f>Summary!$AJ$10</f>
        <v>0</v>
      </c>
      <c r="CN27" s="223">
        <f t="shared" ref="CN27" si="564">CM27</f>
        <v>0</v>
      </c>
      <c r="CO27" s="223">
        <f t="shared" ref="CO27" si="565">CN27</f>
        <v>0</v>
      </c>
      <c r="CP27" s="223">
        <f t="shared" ref="CP27" si="566">CO27</f>
        <v>0</v>
      </c>
      <c r="CQ27" s="223">
        <f t="shared" ref="CQ27" si="567">CP27</f>
        <v>0</v>
      </c>
      <c r="CR27" s="223">
        <f t="shared" ref="CR27" si="568">CQ27</f>
        <v>0</v>
      </c>
      <c r="CS27" s="223">
        <f t="shared" ref="CS27" si="569">CR27</f>
        <v>0</v>
      </c>
      <c r="CT27" s="223">
        <f t="shared" ref="CT27" si="570">CS27</f>
        <v>0</v>
      </c>
      <c r="CU27" s="223">
        <f t="shared" ref="CU27" si="571">CT27</f>
        <v>0</v>
      </c>
      <c r="CV27" s="223">
        <f t="shared" ref="CV27" si="572">CU27</f>
        <v>0</v>
      </c>
      <c r="CW27" s="223">
        <f t="shared" ref="CW27" si="573">CV27</f>
        <v>0</v>
      </c>
      <c r="CX27" s="223">
        <f t="shared" ref="CX27" si="574">CW27</f>
        <v>0</v>
      </c>
      <c r="CY27" s="371">
        <f>Summary!$AK$10</f>
        <v>0</v>
      </c>
      <c r="CZ27" s="223">
        <f t="shared" ref="CZ27" si="575">CY27</f>
        <v>0</v>
      </c>
      <c r="DA27" s="223">
        <f t="shared" ref="DA27" si="576">CZ27</f>
        <v>0</v>
      </c>
      <c r="DB27" s="223">
        <f t="shared" ref="DB27" si="577">DA27</f>
        <v>0</v>
      </c>
      <c r="DC27" s="223">
        <f t="shared" ref="DC27" si="578">DB27</f>
        <v>0</v>
      </c>
      <c r="DD27" s="223">
        <f t="shared" ref="DD27" si="579">DC27</f>
        <v>0</v>
      </c>
      <c r="DE27" s="223">
        <f t="shared" ref="DE27" si="580">DD27</f>
        <v>0</v>
      </c>
      <c r="DF27" s="223">
        <f t="shared" ref="DF27" si="581">DE27</f>
        <v>0</v>
      </c>
      <c r="DG27" s="223">
        <f t="shared" ref="DG27" si="582">DF27</f>
        <v>0</v>
      </c>
      <c r="DH27" s="223">
        <f t="shared" ref="DH27" si="583">DG27</f>
        <v>0</v>
      </c>
      <c r="DI27" s="223">
        <f t="shared" ref="DI27" si="584">DH27</f>
        <v>0</v>
      </c>
      <c r="DJ27" s="223">
        <f t="shared" ref="DJ27" si="585">DI27</f>
        <v>0</v>
      </c>
      <c r="DK27" s="371">
        <f>Summary!$AL$10</f>
        <v>0</v>
      </c>
      <c r="DL27" s="223">
        <f t="shared" ref="DL27" si="586">DK27</f>
        <v>0</v>
      </c>
      <c r="DM27" s="223">
        <f t="shared" ref="DM27" si="587">DL27</f>
        <v>0</v>
      </c>
      <c r="DN27" s="223">
        <f t="shared" ref="DN27" si="588">DM27</f>
        <v>0</v>
      </c>
      <c r="DO27" s="223">
        <f t="shared" ref="DO27" si="589">DN27</f>
        <v>0</v>
      </c>
      <c r="DP27" s="223">
        <f t="shared" ref="DP27" si="590">DO27</f>
        <v>0</v>
      </c>
      <c r="DQ27" s="223">
        <f t="shared" ref="DQ27" si="591">DP27</f>
        <v>0</v>
      </c>
      <c r="DR27" s="223">
        <f t="shared" ref="DR27" si="592">DQ27</f>
        <v>0</v>
      </c>
      <c r="DS27" s="223">
        <f t="shared" ref="DS27" si="593">DR27</f>
        <v>0</v>
      </c>
      <c r="DT27" s="223">
        <f t="shared" ref="DT27" si="594">DS27</f>
        <v>0</v>
      </c>
      <c r="DU27" s="223">
        <f t="shared" ref="DU27" si="595">DT27</f>
        <v>0</v>
      </c>
      <c r="DV27" s="471">
        <f t="shared" ref="DV27" si="596">DU27</f>
        <v>0</v>
      </c>
      <c r="DW27" s="640"/>
      <c r="DX27" s="470"/>
      <c r="DY27" s="244"/>
      <c r="DZ27" s="244"/>
      <c r="EA27" s="244"/>
      <c r="EB27" s="244"/>
      <c r="EC27" s="244"/>
      <c r="ED27" s="244"/>
      <c r="EE27" s="244"/>
      <c r="EF27" s="244"/>
      <c r="EG27" s="244"/>
      <c r="EH27" s="244"/>
      <c r="EI27" s="510"/>
      <c r="EJ27" s="30"/>
      <c r="EK27" s="244"/>
      <c r="EL27" s="244"/>
      <c r="EM27" s="244"/>
      <c r="EN27" s="244"/>
      <c r="EO27" s="244"/>
      <c r="EP27" s="510"/>
    </row>
    <row r="28" spans="1:146" outlineLevel="1" x14ac:dyDescent="0.3">
      <c r="B28" s="225" t="s">
        <v>173</v>
      </c>
      <c r="C28" s="245" t="s">
        <v>685</v>
      </c>
      <c r="D28" s="227"/>
      <c r="E28" s="474"/>
      <c r="F28" s="679">
        <f>F26*F27</f>
        <v>0</v>
      </c>
      <c r="G28" s="234">
        <f t="shared" ref="G28:BN28" si="597">G26*G27</f>
        <v>0</v>
      </c>
      <c r="H28" s="234">
        <f t="shared" si="597"/>
        <v>0</v>
      </c>
      <c r="I28" s="234">
        <f t="shared" si="597"/>
        <v>0</v>
      </c>
      <c r="J28" s="234">
        <f t="shared" si="597"/>
        <v>0</v>
      </c>
      <c r="K28" s="234">
        <f t="shared" si="597"/>
        <v>0</v>
      </c>
      <c r="L28" s="234">
        <f t="shared" si="597"/>
        <v>0</v>
      </c>
      <c r="M28" s="234">
        <f t="shared" si="597"/>
        <v>0</v>
      </c>
      <c r="N28" s="234">
        <f t="shared" si="597"/>
        <v>0</v>
      </c>
      <c r="O28" s="234">
        <f t="shared" si="597"/>
        <v>0</v>
      </c>
      <c r="P28" s="234">
        <f t="shared" si="597"/>
        <v>0</v>
      </c>
      <c r="Q28" s="234">
        <f t="shared" si="597"/>
        <v>0</v>
      </c>
      <c r="R28" s="234">
        <f t="shared" si="597"/>
        <v>0</v>
      </c>
      <c r="S28" s="234">
        <f t="shared" si="597"/>
        <v>0</v>
      </c>
      <c r="T28" s="234">
        <f t="shared" si="597"/>
        <v>0</v>
      </c>
      <c r="U28" s="234">
        <f t="shared" si="597"/>
        <v>0</v>
      </c>
      <c r="V28" s="234">
        <f t="shared" si="597"/>
        <v>0</v>
      </c>
      <c r="W28" s="234">
        <f t="shared" si="597"/>
        <v>0</v>
      </c>
      <c r="X28" s="234">
        <f t="shared" si="597"/>
        <v>0</v>
      </c>
      <c r="Y28" s="234">
        <f t="shared" si="597"/>
        <v>0</v>
      </c>
      <c r="Z28" s="234">
        <f t="shared" si="597"/>
        <v>0</v>
      </c>
      <c r="AA28" s="234">
        <f t="shared" si="597"/>
        <v>0</v>
      </c>
      <c r="AB28" s="234">
        <f t="shared" si="597"/>
        <v>0</v>
      </c>
      <c r="AC28" s="234">
        <f t="shared" si="597"/>
        <v>0</v>
      </c>
      <c r="AD28" s="234">
        <f t="shared" si="597"/>
        <v>0</v>
      </c>
      <c r="AE28" s="234">
        <f t="shared" si="597"/>
        <v>0</v>
      </c>
      <c r="AF28" s="234">
        <f t="shared" si="597"/>
        <v>0</v>
      </c>
      <c r="AG28" s="234">
        <f t="shared" si="597"/>
        <v>0</v>
      </c>
      <c r="AH28" s="234">
        <f t="shared" si="597"/>
        <v>0</v>
      </c>
      <c r="AI28" s="234">
        <f t="shared" si="597"/>
        <v>0</v>
      </c>
      <c r="AJ28" s="234">
        <f t="shared" si="597"/>
        <v>0</v>
      </c>
      <c r="AK28" s="234">
        <f t="shared" si="597"/>
        <v>0</v>
      </c>
      <c r="AL28" s="234">
        <f t="shared" si="597"/>
        <v>0</v>
      </c>
      <c r="AM28" s="234">
        <f t="shared" si="597"/>
        <v>0</v>
      </c>
      <c r="AN28" s="234">
        <f t="shared" si="597"/>
        <v>0</v>
      </c>
      <c r="AO28" s="234">
        <f t="shared" si="597"/>
        <v>0</v>
      </c>
      <c r="AP28" s="234">
        <f t="shared" si="597"/>
        <v>0</v>
      </c>
      <c r="AQ28" s="234">
        <f t="shared" si="597"/>
        <v>0</v>
      </c>
      <c r="AR28" s="228">
        <f t="shared" si="597"/>
        <v>0</v>
      </c>
      <c r="AS28" s="228">
        <f t="shared" si="597"/>
        <v>0</v>
      </c>
      <c r="AT28" s="228">
        <f t="shared" si="597"/>
        <v>0</v>
      </c>
      <c r="AU28" s="228">
        <f t="shared" si="597"/>
        <v>0</v>
      </c>
      <c r="AV28" s="228">
        <f t="shared" si="597"/>
        <v>0</v>
      </c>
      <c r="AW28" s="228">
        <f t="shared" si="597"/>
        <v>0</v>
      </c>
      <c r="AX28" s="228">
        <f t="shared" si="597"/>
        <v>0</v>
      </c>
      <c r="AY28" s="228">
        <f t="shared" si="597"/>
        <v>0</v>
      </c>
      <c r="AZ28" s="228">
        <f t="shared" si="597"/>
        <v>0</v>
      </c>
      <c r="BA28" s="228">
        <f t="shared" si="597"/>
        <v>0</v>
      </c>
      <c r="BB28" s="228">
        <f t="shared" si="597"/>
        <v>0</v>
      </c>
      <c r="BC28" s="234">
        <f t="shared" si="597"/>
        <v>0</v>
      </c>
      <c r="BD28" s="228">
        <f t="shared" si="597"/>
        <v>0</v>
      </c>
      <c r="BE28" s="228">
        <f t="shared" si="597"/>
        <v>0</v>
      </c>
      <c r="BF28" s="228">
        <f t="shared" si="597"/>
        <v>0</v>
      </c>
      <c r="BG28" s="228">
        <f t="shared" si="597"/>
        <v>0</v>
      </c>
      <c r="BH28" s="228">
        <f t="shared" si="597"/>
        <v>0</v>
      </c>
      <c r="BI28" s="228">
        <f t="shared" si="597"/>
        <v>0</v>
      </c>
      <c r="BJ28" s="228">
        <f t="shared" si="597"/>
        <v>0</v>
      </c>
      <c r="BK28" s="228">
        <f t="shared" si="597"/>
        <v>0</v>
      </c>
      <c r="BL28" s="228">
        <f t="shared" si="597"/>
        <v>0</v>
      </c>
      <c r="BM28" s="228">
        <f t="shared" si="597"/>
        <v>0</v>
      </c>
      <c r="BN28" s="228">
        <f t="shared" si="597"/>
        <v>0</v>
      </c>
      <c r="BO28" s="234">
        <f t="shared" ref="BO28" si="598">BO26*BO27</f>
        <v>0</v>
      </c>
      <c r="BP28" s="228">
        <f t="shared" ref="BP28:DV28" si="599">BP26*BP27</f>
        <v>0</v>
      </c>
      <c r="BQ28" s="228">
        <f t="shared" si="599"/>
        <v>0</v>
      </c>
      <c r="BR28" s="228">
        <f t="shared" si="599"/>
        <v>0</v>
      </c>
      <c r="BS28" s="228">
        <f t="shared" si="599"/>
        <v>0</v>
      </c>
      <c r="BT28" s="228">
        <f t="shared" si="599"/>
        <v>0</v>
      </c>
      <c r="BU28" s="228">
        <f t="shared" si="599"/>
        <v>0</v>
      </c>
      <c r="BV28" s="228">
        <f t="shared" si="599"/>
        <v>0</v>
      </c>
      <c r="BW28" s="228">
        <f t="shared" si="599"/>
        <v>0</v>
      </c>
      <c r="BX28" s="228">
        <f t="shared" si="599"/>
        <v>0</v>
      </c>
      <c r="BY28" s="228">
        <f t="shared" si="599"/>
        <v>0</v>
      </c>
      <c r="BZ28" s="228">
        <f t="shared" si="599"/>
        <v>0</v>
      </c>
      <c r="CA28" s="234">
        <f t="shared" si="599"/>
        <v>0</v>
      </c>
      <c r="CB28" s="228">
        <f t="shared" si="599"/>
        <v>0</v>
      </c>
      <c r="CC28" s="228">
        <f t="shared" si="599"/>
        <v>0</v>
      </c>
      <c r="CD28" s="228">
        <f t="shared" si="599"/>
        <v>0</v>
      </c>
      <c r="CE28" s="228">
        <f t="shared" si="599"/>
        <v>0</v>
      </c>
      <c r="CF28" s="228">
        <f t="shared" si="599"/>
        <v>0</v>
      </c>
      <c r="CG28" s="228">
        <f t="shared" si="599"/>
        <v>0</v>
      </c>
      <c r="CH28" s="228">
        <f t="shared" si="599"/>
        <v>0</v>
      </c>
      <c r="CI28" s="228">
        <f t="shared" si="599"/>
        <v>0</v>
      </c>
      <c r="CJ28" s="228">
        <f t="shared" si="599"/>
        <v>0</v>
      </c>
      <c r="CK28" s="228">
        <f t="shared" si="599"/>
        <v>0</v>
      </c>
      <c r="CL28" s="228">
        <f t="shared" si="599"/>
        <v>0</v>
      </c>
      <c r="CM28" s="234">
        <f t="shared" si="599"/>
        <v>0</v>
      </c>
      <c r="CN28" s="228">
        <f t="shared" si="599"/>
        <v>0</v>
      </c>
      <c r="CO28" s="228">
        <f t="shared" si="599"/>
        <v>0</v>
      </c>
      <c r="CP28" s="228">
        <f t="shared" si="599"/>
        <v>0</v>
      </c>
      <c r="CQ28" s="228">
        <f t="shared" si="599"/>
        <v>0</v>
      </c>
      <c r="CR28" s="228">
        <f t="shared" si="599"/>
        <v>0</v>
      </c>
      <c r="CS28" s="228">
        <f t="shared" si="599"/>
        <v>0</v>
      </c>
      <c r="CT28" s="228">
        <f t="shared" si="599"/>
        <v>0</v>
      </c>
      <c r="CU28" s="228">
        <f t="shared" si="599"/>
        <v>0</v>
      </c>
      <c r="CV28" s="228">
        <f t="shared" si="599"/>
        <v>0</v>
      </c>
      <c r="CW28" s="228">
        <f t="shared" si="599"/>
        <v>0</v>
      </c>
      <c r="CX28" s="228">
        <f t="shared" si="599"/>
        <v>0</v>
      </c>
      <c r="CY28" s="234">
        <f t="shared" si="599"/>
        <v>0</v>
      </c>
      <c r="CZ28" s="228">
        <f t="shared" si="599"/>
        <v>0</v>
      </c>
      <c r="DA28" s="228">
        <f t="shared" si="599"/>
        <v>0</v>
      </c>
      <c r="DB28" s="228">
        <f t="shared" si="599"/>
        <v>0</v>
      </c>
      <c r="DC28" s="228">
        <f t="shared" si="599"/>
        <v>0</v>
      </c>
      <c r="DD28" s="228">
        <f t="shared" si="599"/>
        <v>0</v>
      </c>
      <c r="DE28" s="228">
        <f t="shared" si="599"/>
        <v>0</v>
      </c>
      <c r="DF28" s="228">
        <f t="shared" si="599"/>
        <v>0</v>
      </c>
      <c r="DG28" s="228">
        <f t="shared" si="599"/>
        <v>0</v>
      </c>
      <c r="DH28" s="228">
        <f t="shared" si="599"/>
        <v>0</v>
      </c>
      <c r="DI28" s="228">
        <f t="shared" si="599"/>
        <v>0</v>
      </c>
      <c r="DJ28" s="228">
        <f t="shared" si="599"/>
        <v>0</v>
      </c>
      <c r="DK28" s="234">
        <f t="shared" si="599"/>
        <v>0</v>
      </c>
      <c r="DL28" s="228">
        <f t="shared" si="599"/>
        <v>0</v>
      </c>
      <c r="DM28" s="228">
        <f t="shared" si="599"/>
        <v>0</v>
      </c>
      <c r="DN28" s="228">
        <f t="shared" si="599"/>
        <v>0</v>
      </c>
      <c r="DO28" s="228">
        <f t="shared" si="599"/>
        <v>0</v>
      </c>
      <c r="DP28" s="228">
        <f t="shared" si="599"/>
        <v>0</v>
      </c>
      <c r="DQ28" s="228">
        <f t="shared" si="599"/>
        <v>0</v>
      </c>
      <c r="DR28" s="228">
        <f t="shared" si="599"/>
        <v>0</v>
      </c>
      <c r="DS28" s="228">
        <f t="shared" si="599"/>
        <v>0</v>
      </c>
      <c r="DT28" s="228">
        <f t="shared" si="599"/>
        <v>0</v>
      </c>
      <c r="DU28" s="228">
        <f t="shared" si="599"/>
        <v>0</v>
      </c>
      <c r="DV28" s="472">
        <f t="shared" si="599"/>
        <v>0</v>
      </c>
      <c r="DW28" s="717"/>
      <c r="DX28" s="505">
        <f>SUM(D28:F28)</f>
        <v>0</v>
      </c>
      <c r="DY28" s="229">
        <f>SUM(G28:I28)</f>
        <v>0</v>
      </c>
      <c r="DZ28" s="229">
        <f>SUM(J28:L28)</f>
        <v>0</v>
      </c>
      <c r="EA28" s="229">
        <f>SUM(M28:O28)</f>
        <v>0</v>
      </c>
      <c r="EB28" s="229">
        <f>SUM(P28:R28)</f>
        <v>0</v>
      </c>
      <c r="EC28" s="230">
        <f>SUM(D28:R28)</f>
        <v>0</v>
      </c>
      <c r="ED28" s="230">
        <f>SUM(S28:AD28)</f>
        <v>0</v>
      </c>
      <c r="EE28" s="230">
        <f>SUM(AE28:AP28)</f>
        <v>0</v>
      </c>
      <c r="EF28" s="231">
        <f>SUM(EC28:EE28)</f>
        <v>0</v>
      </c>
      <c r="EG28" s="230">
        <f>SUM(AQ28:BB28)</f>
        <v>0</v>
      </c>
      <c r="EH28" s="230">
        <f>SUM(BC28:BN28)</f>
        <v>0</v>
      </c>
      <c r="EI28" s="506">
        <f>SUM(EF28:EH28)</f>
        <v>0</v>
      </c>
      <c r="EJ28" s="30">
        <v>0</v>
      </c>
      <c r="EK28" s="230">
        <f t="shared" si="4"/>
        <v>0</v>
      </c>
      <c r="EL28" s="230">
        <f t="shared" si="5"/>
        <v>0</v>
      </c>
      <c r="EM28" s="230">
        <f t="shared" si="6"/>
        <v>0</v>
      </c>
      <c r="EN28" s="230">
        <f t="shared" si="7"/>
        <v>0</v>
      </c>
      <c r="EO28" s="230">
        <f t="shared" si="8"/>
        <v>0</v>
      </c>
      <c r="EP28" s="506">
        <f t="shared" ref="EP28" si="600">SUM(EC28:EE28,EG28:EH28,EK28:EO28)</f>
        <v>0</v>
      </c>
    </row>
    <row r="29" spans="1:146" outlineLevel="1" x14ac:dyDescent="0.3">
      <c r="B29" s="209" t="s">
        <v>174</v>
      </c>
      <c r="C29" s="210"/>
      <c r="D29" s="211"/>
      <c r="E29" s="468"/>
      <c r="F29" s="211">
        <f>Data!G46*(1-Data!G$10)</f>
        <v>5.1698084291187735E-6</v>
      </c>
      <c r="G29" s="212">
        <f>Data!H46*(1-Data!H$10)</f>
        <v>5.1698084291187735E-6</v>
      </c>
      <c r="H29" s="212">
        <f>Data!I46*(1-Data!I$10)</f>
        <v>5.1698084291187735E-6</v>
      </c>
      <c r="I29" s="212">
        <f>Data!J46*(1-Data!J$10)</f>
        <v>5.1698084291187735E-6</v>
      </c>
      <c r="J29" s="212">
        <f>Data!K46*(1-Data!K$10)</f>
        <v>5.1698084291187735E-6</v>
      </c>
      <c r="K29" s="212">
        <f>Data!L46*(1-Data!L$10)</f>
        <v>5.1698084291187735E-6</v>
      </c>
      <c r="L29" s="212">
        <f>Data!M46*(1-Data!M$10)</f>
        <v>5.1698084291187735E-6</v>
      </c>
      <c r="M29" s="212">
        <f>Data!N46*(1-Data!N$10)</f>
        <v>5.1698084291187735E-6</v>
      </c>
      <c r="N29" s="212">
        <f>Data!O46*(1-Data!O$10)</f>
        <v>5.1698084291187735E-6</v>
      </c>
      <c r="O29" s="212">
        <f>Data!P46*(1-Data!P$10)</f>
        <v>5.1698084291187735E-6</v>
      </c>
      <c r="P29" s="212">
        <f>Data!Q46*(1-Data!Q$10)</f>
        <v>5.1698084291187735E-6</v>
      </c>
      <c r="Q29" s="212">
        <f>Data!R46*(1-Data!R$10)</f>
        <v>5.1698084291187735E-6</v>
      </c>
      <c r="R29" s="212">
        <f>Data!S46*(1-Data!S$10)</f>
        <v>5.1698084291187735E-6</v>
      </c>
      <c r="S29" s="212">
        <f>Data!T46*(1-Data!T$10)</f>
        <v>5.1698084291187735E-6</v>
      </c>
      <c r="T29" s="212">
        <f>Data!U46*(1-Data!U$10)</f>
        <v>5.1698084291187735E-6</v>
      </c>
      <c r="U29" s="212">
        <f>Data!V46*(1-Data!V$10)</f>
        <v>5.1698084291187735E-6</v>
      </c>
      <c r="V29" s="212">
        <f>Data!W46*(1-Data!W$10)</f>
        <v>5.1698084291187735E-6</v>
      </c>
      <c r="W29" s="212">
        <f>Data!X46*(1-Data!X$10)</f>
        <v>5.1698084291187735E-6</v>
      </c>
      <c r="X29" s="212">
        <f>Data!Y46*(1-Data!Y$10)</f>
        <v>5.1698084291187735E-6</v>
      </c>
      <c r="Y29" s="212">
        <f>Data!Z46*(1-Data!Z$10)</f>
        <v>5.1698084291187735E-6</v>
      </c>
      <c r="Z29" s="212">
        <f>Data!AA46*(1-Data!AA$10)</f>
        <v>5.1698084291187735E-6</v>
      </c>
      <c r="AA29" s="212">
        <f>Data!AB46*(1-Data!AB$10)</f>
        <v>5.1698084291187735E-6</v>
      </c>
      <c r="AB29" s="212">
        <f>Data!AC46*(1-Data!AC$10)</f>
        <v>5.1698084291187735E-6</v>
      </c>
      <c r="AC29" s="212">
        <f>Data!AD46*(1-Data!AD$10)</f>
        <v>5.1698084291187735E-6</v>
      </c>
      <c r="AD29" s="212">
        <f>Data!AE46*(1-Data!AE$10)</f>
        <v>5.1698084291187735E-6</v>
      </c>
      <c r="AE29" s="212">
        <f>Data!AF46*(1-Data!AF$10)</f>
        <v>5.1698084291187735E-6</v>
      </c>
      <c r="AF29" s="212">
        <f>Data!AG46*(1-Data!AG$10)</f>
        <v>5.1698084291187735E-6</v>
      </c>
      <c r="AG29" s="212">
        <f>Data!AH46*(1-Data!AH$10)</f>
        <v>5.1698084291187735E-6</v>
      </c>
      <c r="AH29" s="212">
        <f>Data!AI46*(1-Data!AI$10)</f>
        <v>5.1698084291187735E-6</v>
      </c>
      <c r="AI29" s="212">
        <f>Data!AJ46*(1-Data!AJ$10)</f>
        <v>5.1698084291187735E-6</v>
      </c>
      <c r="AJ29" s="212">
        <f>Data!AK46*(1-Data!AK$10)</f>
        <v>5.1698084291187735E-6</v>
      </c>
      <c r="AK29" s="212">
        <f>Data!AL46*(1-Data!AL$10)</f>
        <v>5.1698084291187735E-6</v>
      </c>
      <c r="AL29" s="212">
        <f>Data!AM46*(1-Data!AM$10)</f>
        <v>5.1698084291187735E-6</v>
      </c>
      <c r="AM29" s="212">
        <f>Data!AN46*(1-Data!AN$10)</f>
        <v>5.1698084291187735E-6</v>
      </c>
      <c r="AN29" s="212">
        <f>Data!AO46*(1-Data!AO$10)</f>
        <v>5.1698084291187735E-6</v>
      </c>
      <c r="AO29" s="212">
        <f>Data!AP46*(1-Data!AP$10)</f>
        <v>5.1698084291187735E-6</v>
      </c>
      <c r="AP29" s="212">
        <f>Data!AQ46*(1-Data!AQ$10)</f>
        <v>5.1698084291187735E-6</v>
      </c>
      <c r="AQ29" s="212">
        <f>Data!AR46*(1-Data!AR$10)</f>
        <v>5.1698084291187735E-6</v>
      </c>
      <c r="AR29" s="212">
        <f>Data!AS46*(1-Data!AS$10)</f>
        <v>5.1698084291187735E-6</v>
      </c>
      <c r="AS29" s="212">
        <f>Data!AT46*(1-Data!AT$10)</f>
        <v>5.1698084291187735E-6</v>
      </c>
      <c r="AT29" s="212">
        <f>Data!AU46*(1-Data!AU$10)</f>
        <v>5.1698084291187735E-6</v>
      </c>
      <c r="AU29" s="212">
        <f>Data!AV46*(1-Data!AV$10)</f>
        <v>5.1698084291187735E-6</v>
      </c>
      <c r="AV29" s="212">
        <f>Data!AW46*(1-Data!AW$10)</f>
        <v>5.1698084291187735E-6</v>
      </c>
      <c r="AW29" s="212">
        <f>Data!AX46*(1-Data!AX$10)</f>
        <v>5.1698084291187735E-6</v>
      </c>
      <c r="AX29" s="212">
        <f>Data!AY46*(1-Data!AY$10)</f>
        <v>5.1698084291187735E-6</v>
      </c>
      <c r="AY29" s="212">
        <f>Data!AZ46*(1-Data!AZ$10)</f>
        <v>5.1698084291187735E-6</v>
      </c>
      <c r="AZ29" s="212">
        <f>Data!BA46*(1-Data!BA$10)</f>
        <v>5.1698084291187735E-6</v>
      </c>
      <c r="BA29" s="212">
        <f>Data!BB46*(1-Data!BB$10)</f>
        <v>5.1698084291187735E-6</v>
      </c>
      <c r="BB29" s="212">
        <f>Data!BC46*(1-Data!BC$10)</f>
        <v>5.1698084291187735E-6</v>
      </c>
      <c r="BC29" s="212">
        <f>Data!BD46*(1-Data!BD$10)</f>
        <v>5.1698084291187735E-6</v>
      </c>
      <c r="BD29" s="212">
        <f>Data!BE46*(1-Data!BE$10)</f>
        <v>5.1698084291187735E-6</v>
      </c>
      <c r="BE29" s="212">
        <f>Data!BF46*(1-Data!BF$10)</f>
        <v>5.1698084291187735E-6</v>
      </c>
      <c r="BF29" s="212">
        <f>Data!BG46*(1-Data!BG$10)</f>
        <v>5.1698084291187735E-6</v>
      </c>
      <c r="BG29" s="212">
        <f>Data!BH46*(1-Data!BH$10)</f>
        <v>5.1698084291187735E-6</v>
      </c>
      <c r="BH29" s="212">
        <f>Data!BI46*(1-Data!BI$10)</f>
        <v>5.1698084291187735E-6</v>
      </c>
      <c r="BI29" s="212">
        <f>Data!BJ46*(1-Data!BJ$10)</f>
        <v>5.1698084291187735E-6</v>
      </c>
      <c r="BJ29" s="212">
        <f>Data!BK46*(1-Data!BK$10)</f>
        <v>5.1698084291187735E-6</v>
      </c>
      <c r="BK29" s="212">
        <f>Data!BL46*(1-Data!BL$10)</f>
        <v>5.1698084291187735E-6</v>
      </c>
      <c r="BL29" s="212">
        <f>Data!BM46*(1-Data!BM$10)</f>
        <v>5.1698084291187735E-6</v>
      </c>
      <c r="BM29" s="212">
        <f>Data!BN46*(1-Data!BN$10)</f>
        <v>5.1698084291187735E-6</v>
      </c>
      <c r="BN29" s="212">
        <f>Data!BO46*(1-Data!BO$10)</f>
        <v>5.1698084291187735E-6</v>
      </c>
      <c r="BO29" s="212">
        <f>Data!BP46*(1-Data!BP$10)</f>
        <v>5.1698084291187735E-6</v>
      </c>
      <c r="BP29" s="212">
        <f>Data!BQ46*(1-Data!BQ$10)</f>
        <v>5.1698084291187735E-6</v>
      </c>
      <c r="BQ29" s="212">
        <f>Data!BR46*(1-Data!BR$10)</f>
        <v>5.1698084291187735E-6</v>
      </c>
      <c r="BR29" s="212">
        <f>Data!BS46*(1-Data!BS$10)</f>
        <v>5.1698084291187735E-6</v>
      </c>
      <c r="BS29" s="212">
        <f>Data!BT46*(1-Data!BT$10)</f>
        <v>5.1698084291187735E-6</v>
      </c>
      <c r="BT29" s="212">
        <f>Data!BU46*(1-Data!BU$10)</f>
        <v>5.1698084291187735E-6</v>
      </c>
      <c r="BU29" s="212">
        <f>Data!BV46*(1-Data!BV$10)</f>
        <v>5.1698084291187735E-6</v>
      </c>
      <c r="BV29" s="212">
        <f>Data!BW46*(1-Data!BW$10)</f>
        <v>5.1698084291187735E-6</v>
      </c>
      <c r="BW29" s="212">
        <f>Data!BX46*(1-Data!BX$10)</f>
        <v>5.1698084291187735E-6</v>
      </c>
      <c r="BX29" s="212">
        <f>Data!BY46*(1-Data!BY$10)</f>
        <v>5.1698084291187735E-6</v>
      </c>
      <c r="BY29" s="212">
        <f>Data!BZ46*(1-Data!BZ$10)</f>
        <v>5.1698084291187735E-6</v>
      </c>
      <c r="BZ29" s="212">
        <f>Data!CA46*(1-Data!CA$10)</f>
        <v>5.1698084291187735E-6</v>
      </c>
      <c r="CA29" s="212">
        <f>Data!CB46*(1-Data!CB$10)</f>
        <v>5.1698084291187735E-6</v>
      </c>
      <c r="CB29" s="212">
        <f>Data!CC46*(1-Data!CC$10)</f>
        <v>5.1698084291187735E-6</v>
      </c>
      <c r="CC29" s="212">
        <f>Data!CD46*(1-Data!CD$10)</f>
        <v>5.1698084291187735E-6</v>
      </c>
      <c r="CD29" s="212">
        <f>Data!CE46*(1-Data!CE$10)</f>
        <v>5.1698084291187735E-6</v>
      </c>
      <c r="CE29" s="212">
        <f>Data!CF46*(1-Data!CF$10)</f>
        <v>5.1698084291187735E-6</v>
      </c>
      <c r="CF29" s="212">
        <f>Data!CG46*(1-Data!CG$10)</f>
        <v>5.1698084291187735E-6</v>
      </c>
      <c r="CG29" s="212">
        <f>Data!CH46*(1-Data!CH$10)</f>
        <v>5.1698084291187735E-6</v>
      </c>
      <c r="CH29" s="212">
        <f>Data!CI46*(1-Data!CI$10)</f>
        <v>5.1698084291187735E-6</v>
      </c>
      <c r="CI29" s="212">
        <f>Data!CJ46*(1-Data!CJ$10)</f>
        <v>5.1698084291187735E-6</v>
      </c>
      <c r="CJ29" s="212">
        <f>Data!CK46*(1-Data!CK$10)</f>
        <v>5.1698084291187735E-6</v>
      </c>
      <c r="CK29" s="212">
        <f>Data!CL46*(1-Data!CL$10)</f>
        <v>5.1698084291187735E-6</v>
      </c>
      <c r="CL29" s="212">
        <f>Data!CM46*(1-Data!CM$10)</f>
        <v>5.1698084291187735E-6</v>
      </c>
      <c r="CM29" s="212">
        <f>Data!CN46*(1-Data!CN$10)</f>
        <v>5.1698084291187735E-6</v>
      </c>
      <c r="CN29" s="212">
        <f>Data!CO46*(1-Data!CO$10)</f>
        <v>5.1698084291187735E-6</v>
      </c>
      <c r="CO29" s="212">
        <f>Data!CP46*(1-Data!CP$10)</f>
        <v>5.1698084291187735E-6</v>
      </c>
      <c r="CP29" s="212">
        <f>Data!CQ46*(1-Data!CQ$10)</f>
        <v>5.1698084291187735E-6</v>
      </c>
      <c r="CQ29" s="212">
        <f>Data!CR46*(1-Data!CR$10)</f>
        <v>5.1698084291187735E-6</v>
      </c>
      <c r="CR29" s="212">
        <f>Data!CS46*(1-Data!CS$10)</f>
        <v>5.1698084291187735E-6</v>
      </c>
      <c r="CS29" s="212">
        <f>Data!CT46*(1-Data!CT$10)</f>
        <v>5.1698084291187735E-6</v>
      </c>
      <c r="CT29" s="212">
        <f>Data!CU46*(1-Data!CU$10)</f>
        <v>5.1698084291187735E-6</v>
      </c>
      <c r="CU29" s="212">
        <f>Data!CV46*(1-Data!CV$10)</f>
        <v>5.1698084291187735E-6</v>
      </c>
      <c r="CV29" s="212">
        <f>Data!CW46*(1-Data!CW$10)</f>
        <v>5.1698084291187735E-6</v>
      </c>
      <c r="CW29" s="212">
        <f>Data!CX46*(1-Data!CX$10)</f>
        <v>5.1698084291187735E-6</v>
      </c>
      <c r="CX29" s="212">
        <f>Data!CY46*(1-Data!CY$10)</f>
        <v>5.1698084291187735E-6</v>
      </c>
      <c r="CY29" s="212">
        <f>Data!CZ46*(1-Data!CZ$10)</f>
        <v>5.1698084291187735E-6</v>
      </c>
      <c r="CZ29" s="212">
        <f>Data!DA46*(1-Data!DA$10)</f>
        <v>5.1698084291187735E-6</v>
      </c>
      <c r="DA29" s="212">
        <f>Data!DB46*(1-Data!DB$10)</f>
        <v>5.1698084291187735E-6</v>
      </c>
      <c r="DB29" s="212">
        <f>Data!DC46*(1-Data!DC$10)</f>
        <v>5.1698084291187735E-6</v>
      </c>
      <c r="DC29" s="212">
        <f>Data!DD46*(1-Data!DD$10)</f>
        <v>5.1698084291187735E-6</v>
      </c>
      <c r="DD29" s="212">
        <f>Data!DE46*(1-Data!DE$10)</f>
        <v>5.1698084291187735E-6</v>
      </c>
      <c r="DE29" s="212">
        <f>Data!DF46*(1-Data!DF$10)</f>
        <v>5.1698084291187735E-6</v>
      </c>
      <c r="DF29" s="212">
        <f>Data!DG46*(1-Data!DG$10)</f>
        <v>5.1698084291187735E-6</v>
      </c>
      <c r="DG29" s="212">
        <f>Data!DH46*(1-Data!DH$10)</f>
        <v>5.1698084291187735E-6</v>
      </c>
      <c r="DH29" s="212">
        <f>Data!DI46*(1-Data!DI$10)</f>
        <v>5.1698084291187735E-6</v>
      </c>
      <c r="DI29" s="212">
        <f>Data!DJ46*(1-Data!DJ$10)</f>
        <v>5.1698084291187735E-6</v>
      </c>
      <c r="DJ29" s="212">
        <f>Data!DK46*(1-Data!DK$10)</f>
        <v>5.1698084291187735E-6</v>
      </c>
      <c r="DK29" s="212">
        <f>Data!DL46*(1-Data!DL$10)</f>
        <v>5.1698084291187735E-6</v>
      </c>
      <c r="DL29" s="212">
        <f>Data!DM46*(1-Data!DM$10)</f>
        <v>5.1698084291187735E-6</v>
      </c>
      <c r="DM29" s="212">
        <f>Data!DN46*(1-Data!DN$10)</f>
        <v>5.1698084291187735E-6</v>
      </c>
      <c r="DN29" s="212">
        <f>Data!DO46*(1-Data!DO$10)</f>
        <v>5.1698084291187735E-6</v>
      </c>
      <c r="DO29" s="212">
        <f>Data!DP46*(1-Data!DP$10)</f>
        <v>5.1698084291187735E-6</v>
      </c>
      <c r="DP29" s="212">
        <f>Data!DQ46*(1-Data!DQ$10)</f>
        <v>5.1698084291187735E-6</v>
      </c>
      <c r="DQ29" s="212">
        <f>Data!DR46*(1-Data!DR$10)</f>
        <v>5.1698084291187735E-6</v>
      </c>
      <c r="DR29" s="212">
        <f>Data!DS46*(1-Data!DS$10)</f>
        <v>5.1698084291187735E-6</v>
      </c>
      <c r="DS29" s="212">
        <f>Data!DT46*(1-Data!DT$10)</f>
        <v>5.1698084291187735E-6</v>
      </c>
      <c r="DT29" s="212">
        <f>Data!DU46*(1-Data!DU$10)</f>
        <v>5.1698084291187735E-6</v>
      </c>
      <c r="DU29" s="212">
        <f>Data!DV46*(1-Data!DV$10)</f>
        <v>5.1698084291187735E-6</v>
      </c>
      <c r="DV29" s="468">
        <f>Data!DW46*(1-Data!DW$10)</f>
        <v>5.1698084291187735E-6</v>
      </c>
      <c r="DW29" s="715"/>
      <c r="DX29" s="211"/>
      <c r="DY29" s="213"/>
      <c r="DZ29" s="213"/>
      <c r="EA29" s="213"/>
      <c r="EB29" s="213"/>
      <c r="EC29" s="213"/>
      <c r="ED29" s="213"/>
      <c r="EE29" s="213"/>
      <c r="EF29" s="214"/>
      <c r="EG29" s="213"/>
      <c r="EH29" s="213"/>
      <c r="EI29" s="500"/>
      <c r="EJ29" s="30"/>
      <c r="EK29" s="213"/>
      <c r="EL29" s="213"/>
      <c r="EM29" s="213"/>
      <c r="EN29" s="213"/>
      <c r="EO29" s="213"/>
      <c r="EP29" s="500"/>
    </row>
    <row r="30" spans="1:146" outlineLevel="1" x14ac:dyDescent="0.3">
      <c r="B30" s="225" t="s">
        <v>175</v>
      </c>
      <c r="C30" s="245"/>
      <c r="D30" s="227"/>
      <c r="E30" s="474"/>
      <c r="F30" s="215">
        <f t="shared" ref="F30" si="601">F29*$A$16*$A$17*5</f>
        <v>7.7469579310344809E-4</v>
      </c>
      <c r="G30" s="216">
        <f t="shared" ref="G30:BN30" si="602">(G29*$A$10*$A$9*G$2)</f>
        <v>9.3056551724137924E-4</v>
      </c>
      <c r="H30" s="216">
        <f t="shared" si="602"/>
        <v>1.0302689655172414E-3</v>
      </c>
      <c r="I30" s="216">
        <f t="shared" si="602"/>
        <v>9.9703448275862056E-4</v>
      </c>
      <c r="J30" s="216">
        <f t="shared" si="602"/>
        <v>1.0302689655172414E-3</v>
      </c>
      <c r="K30" s="216">
        <f t="shared" si="602"/>
        <v>9.9703448275862056E-4</v>
      </c>
      <c r="L30" s="216">
        <f t="shared" si="602"/>
        <v>1.0302689655172414E-3</v>
      </c>
      <c r="M30" s="216">
        <f t="shared" si="602"/>
        <v>1.0302689655172414E-3</v>
      </c>
      <c r="N30" s="216">
        <f t="shared" si="602"/>
        <v>9.9703448275862056E-4</v>
      </c>
      <c r="O30" s="216">
        <f t="shared" si="602"/>
        <v>1.0302689655172414E-3</v>
      </c>
      <c r="P30" s="216">
        <f t="shared" si="602"/>
        <v>9.9703448275862056E-4</v>
      </c>
      <c r="Q30" s="216">
        <f t="shared" si="602"/>
        <v>1.0302689655172414E-3</v>
      </c>
      <c r="R30" s="216">
        <f t="shared" si="602"/>
        <v>1.0302689655172414E-3</v>
      </c>
      <c r="S30" s="216">
        <f t="shared" si="602"/>
        <v>9.6380000000000001E-4</v>
      </c>
      <c r="T30" s="216">
        <f t="shared" si="602"/>
        <v>1.0302689655172414E-3</v>
      </c>
      <c r="U30" s="216">
        <f t="shared" si="602"/>
        <v>9.9703448275862056E-4</v>
      </c>
      <c r="V30" s="216">
        <f t="shared" si="602"/>
        <v>1.0302689655172414E-3</v>
      </c>
      <c r="W30" s="216">
        <f t="shared" si="602"/>
        <v>9.9703448275862056E-4</v>
      </c>
      <c r="X30" s="216">
        <f t="shared" si="602"/>
        <v>1.0302689655172414E-3</v>
      </c>
      <c r="Y30" s="216">
        <f t="shared" si="602"/>
        <v>1.0302689655172414E-3</v>
      </c>
      <c r="Z30" s="216">
        <f t="shared" si="602"/>
        <v>9.9703448275862056E-4</v>
      </c>
      <c r="AA30" s="216">
        <f t="shared" si="602"/>
        <v>1.0302689655172414E-3</v>
      </c>
      <c r="AB30" s="216">
        <f t="shared" si="602"/>
        <v>9.9703448275862056E-4</v>
      </c>
      <c r="AC30" s="216">
        <f t="shared" si="602"/>
        <v>1.0302689655172414E-3</v>
      </c>
      <c r="AD30" s="216">
        <f t="shared" si="602"/>
        <v>1.0302689655172414E-3</v>
      </c>
      <c r="AE30" s="216">
        <f t="shared" si="602"/>
        <v>9.3056551724137924E-4</v>
      </c>
      <c r="AF30" s="216">
        <f t="shared" si="602"/>
        <v>1.0302689655172414E-3</v>
      </c>
      <c r="AG30" s="216">
        <f t="shared" si="602"/>
        <v>9.9703448275862056E-4</v>
      </c>
      <c r="AH30" s="216">
        <f t="shared" si="602"/>
        <v>1.0302689655172414E-3</v>
      </c>
      <c r="AI30" s="216">
        <f t="shared" si="602"/>
        <v>9.9703448275862056E-4</v>
      </c>
      <c r="AJ30" s="216">
        <f t="shared" si="602"/>
        <v>1.0302689655172414E-3</v>
      </c>
      <c r="AK30" s="216">
        <f t="shared" si="602"/>
        <v>1.0302689655172414E-3</v>
      </c>
      <c r="AL30" s="216">
        <f t="shared" si="602"/>
        <v>9.9703448275862056E-4</v>
      </c>
      <c r="AM30" s="216">
        <f t="shared" si="602"/>
        <v>1.0302689655172414E-3</v>
      </c>
      <c r="AN30" s="216">
        <f t="shared" si="602"/>
        <v>9.9703448275862056E-4</v>
      </c>
      <c r="AO30" s="216">
        <f t="shared" si="602"/>
        <v>1.0302689655172414E-3</v>
      </c>
      <c r="AP30" s="216">
        <f t="shared" si="602"/>
        <v>1.0302689655172414E-3</v>
      </c>
      <c r="AQ30" s="216">
        <f t="shared" si="602"/>
        <v>9.3056551724137924E-4</v>
      </c>
      <c r="AR30" s="216">
        <f t="shared" si="602"/>
        <v>1.0302689655172414E-3</v>
      </c>
      <c r="AS30" s="216">
        <f t="shared" si="602"/>
        <v>9.9703448275862056E-4</v>
      </c>
      <c r="AT30" s="216">
        <f t="shared" si="602"/>
        <v>1.0302689655172414E-3</v>
      </c>
      <c r="AU30" s="216">
        <f t="shared" si="602"/>
        <v>9.9703448275862056E-4</v>
      </c>
      <c r="AV30" s="216">
        <f t="shared" si="602"/>
        <v>1.0302689655172414E-3</v>
      </c>
      <c r="AW30" s="216">
        <f t="shared" si="602"/>
        <v>1.0302689655172414E-3</v>
      </c>
      <c r="AX30" s="216">
        <f t="shared" si="602"/>
        <v>9.9703448275862056E-4</v>
      </c>
      <c r="AY30" s="216">
        <f t="shared" si="602"/>
        <v>1.0302689655172414E-3</v>
      </c>
      <c r="AZ30" s="216">
        <f t="shared" si="602"/>
        <v>9.9703448275862056E-4</v>
      </c>
      <c r="BA30" s="216">
        <f t="shared" si="602"/>
        <v>1.0302689655172414E-3</v>
      </c>
      <c r="BB30" s="216">
        <f t="shared" si="602"/>
        <v>1.0302689655172414E-3</v>
      </c>
      <c r="BC30" s="216">
        <f t="shared" si="602"/>
        <v>9.3056551724137924E-4</v>
      </c>
      <c r="BD30" s="216">
        <f t="shared" si="602"/>
        <v>1.0302689655172414E-3</v>
      </c>
      <c r="BE30" s="216">
        <f t="shared" si="602"/>
        <v>9.9703448275862056E-4</v>
      </c>
      <c r="BF30" s="216">
        <f t="shared" si="602"/>
        <v>1.0302689655172414E-3</v>
      </c>
      <c r="BG30" s="216">
        <f t="shared" si="602"/>
        <v>9.9703448275862056E-4</v>
      </c>
      <c r="BH30" s="216">
        <f t="shared" si="602"/>
        <v>1.0302689655172414E-3</v>
      </c>
      <c r="BI30" s="216">
        <f t="shared" si="602"/>
        <v>1.0302689655172414E-3</v>
      </c>
      <c r="BJ30" s="216">
        <f t="shared" si="602"/>
        <v>9.9703448275862056E-4</v>
      </c>
      <c r="BK30" s="216">
        <f t="shared" si="602"/>
        <v>1.0302689655172414E-3</v>
      </c>
      <c r="BL30" s="216">
        <f t="shared" si="602"/>
        <v>9.9703448275862056E-4</v>
      </c>
      <c r="BM30" s="216">
        <f t="shared" si="602"/>
        <v>1.0302689655172414E-3</v>
      </c>
      <c r="BN30" s="216">
        <f t="shared" si="602"/>
        <v>1.0302689655172414E-3</v>
      </c>
      <c r="BO30" s="216">
        <f t="shared" ref="BO30" si="603">(BO29*$A$10*$A$9*BO$2)</f>
        <v>9.6380000000000001E-4</v>
      </c>
      <c r="BP30" s="216">
        <f t="shared" ref="BP30:DV30" si="604">(BP29*$A$10*$A$9*BP$2)</f>
        <v>1.0302689655172414E-3</v>
      </c>
      <c r="BQ30" s="216">
        <f t="shared" si="604"/>
        <v>9.9703448275862056E-4</v>
      </c>
      <c r="BR30" s="216">
        <f t="shared" si="604"/>
        <v>1.0302689655172414E-3</v>
      </c>
      <c r="BS30" s="216">
        <f t="shared" si="604"/>
        <v>9.9703448275862056E-4</v>
      </c>
      <c r="BT30" s="216">
        <f t="shared" si="604"/>
        <v>1.0302689655172414E-3</v>
      </c>
      <c r="BU30" s="216">
        <f t="shared" si="604"/>
        <v>1.0302689655172414E-3</v>
      </c>
      <c r="BV30" s="216">
        <f t="shared" si="604"/>
        <v>9.9703448275862056E-4</v>
      </c>
      <c r="BW30" s="216">
        <f t="shared" si="604"/>
        <v>1.0302689655172414E-3</v>
      </c>
      <c r="BX30" s="216">
        <f t="shared" si="604"/>
        <v>9.9703448275862056E-4</v>
      </c>
      <c r="BY30" s="216">
        <f t="shared" si="604"/>
        <v>1.0302689655172414E-3</v>
      </c>
      <c r="BZ30" s="216">
        <f t="shared" si="604"/>
        <v>1.0302689655172414E-3</v>
      </c>
      <c r="CA30" s="216">
        <f t="shared" si="604"/>
        <v>9.3056551724137924E-4</v>
      </c>
      <c r="CB30" s="216">
        <f t="shared" si="604"/>
        <v>1.0302689655172414E-3</v>
      </c>
      <c r="CC30" s="216">
        <f t="shared" si="604"/>
        <v>9.9703448275862056E-4</v>
      </c>
      <c r="CD30" s="216">
        <f t="shared" si="604"/>
        <v>1.0302689655172414E-3</v>
      </c>
      <c r="CE30" s="216">
        <f t="shared" si="604"/>
        <v>9.9703448275862056E-4</v>
      </c>
      <c r="CF30" s="216">
        <f t="shared" si="604"/>
        <v>1.0302689655172414E-3</v>
      </c>
      <c r="CG30" s="216">
        <f t="shared" si="604"/>
        <v>1.0302689655172414E-3</v>
      </c>
      <c r="CH30" s="216">
        <f t="shared" si="604"/>
        <v>9.9703448275862056E-4</v>
      </c>
      <c r="CI30" s="216">
        <f t="shared" si="604"/>
        <v>1.0302689655172414E-3</v>
      </c>
      <c r="CJ30" s="216">
        <f t="shared" si="604"/>
        <v>9.9703448275862056E-4</v>
      </c>
      <c r="CK30" s="216">
        <f t="shared" si="604"/>
        <v>1.0302689655172414E-3</v>
      </c>
      <c r="CL30" s="216">
        <f t="shared" si="604"/>
        <v>1.0302689655172414E-3</v>
      </c>
      <c r="CM30" s="216">
        <f t="shared" si="604"/>
        <v>9.3056551724137924E-4</v>
      </c>
      <c r="CN30" s="216">
        <f t="shared" si="604"/>
        <v>1.0302689655172414E-3</v>
      </c>
      <c r="CO30" s="216">
        <f t="shared" si="604"/>
        <v>9.9703448275862056E-4</v>
      </c>
      <c r="CP30" s="216">
        <f t="shared" si="604"/>
        <v>1.0302689655172414E-3</v>
      </c>
      <c r="CQ30" s="216">
        <f t="shared" si="604"/>
        <v>9.9703448275862056E-4</v>
      </c>
      <c r="CR30" s="216">
        <f t="shared" si="604"/>
        <v>1.0302689655172414E-3</v>
      </c>
      <c r="CS30" s="216">
        <f t="shared" si="604"/>
        <v>1.0302689655172414E-3</v>
      </c>
      <c r="CT30" s="216">
        <f t="shared" si="604"/>
        <v>9.9703448275862056E-4</v>
      </c>
      <c r="CU30" s="216">
        <f t="shared" si="604"/>
        <v>1.0302689655172414E-3</v>
      </c>
      <c r="CV30" s="216">
        <f t="shared" si="604"/>
        <v>9.9703448275862056E-4</v>
      </c>
      <c r="CW30" s="216">
        <f t="shared" si="604"/>
        <v>1.0302689655172414E-3</v>
      </c>
      <c r="CX30" s="216">
        <f t="shared" si="604"/>
        <v>1.0302689655172414E-3</v>
      </c>
      <c r="CY30" s="216">
        <f t="shared" si="604"/>
        <v>9.3056551724137924E-4</v>
      </c>
      <c r="CZ30" s="216">
        <f t="shared" si="604"/>
        <v>1.0302689655172414E-3</v>
      </c>
      <c r="DA30" s="216">
        <f t="shared" si="604"/>
        <v>9.9703448275862056E-4</v>
      </c>
      <c r="DB30" s="216">
        <f t="shared" si="604"/>
        <v>1.0302689655172414E-3</v>
      </c>
      <c r="DC30" s="216">
        <f t="shared" si="604"/>
        <v>9.9703448275862056E-4</v>
      </c>
      <c r="DD30" s="216">
        <f t="shared" si="604"/>
        <v>1.0302689655172414E-3</v>
      </c>
      <c r="DE30" s="216">
        <f t="shared" si="604"/>
        <v>1.0302689655172414E-3</v>
      </c>
      <c r="DF30" s="216">
        <f t="shared" si="604"/>
        <v>9.9703448275862056E-4</v>
      </c>
      <c r="DG30" s="216">
        <f t="shared" si="604"/>
        <v>1.0302689655172414E-3</v>
      </c>
      <c r="DH30" s="216">
        <f t="shared" si="604"/>
        <v>9.9703448275862056E-4</v>
      </c>
      <c r="DI30" s="216">
        <f t="shared" si="604"/>
        <v>1.0302689655172414E-3</v>
      </c>
      <c r="DJ30" s="216">
        <f t="shared" si="604"/>
        <v>1.0302689655172414E-3</v>
      </c>
      <c r="DK30" s="216">
        <f t="shared" si="604"/>
        <v>9.6380000000000001E-4</v>
      </c>
      <c r="DL30" s="216">
        <f t="shared" si="604"/>
        <v>1.0302689655172414E-3</v>
      </c>
      <c r="DM30" s="216">
        <f t="shared" si="604"/>
        <v>9.9703448275862056E-4</v>
      </c>
      <c r="DN30" s="216">
        <f t="shared" si="604"/>
        <v>1.0302689655172414E-3</v>
      </c>
      <c r="DO30" s="216">
        <f t="shared" si="604"/>
        <v>9.9703448275862056E-4</v>
      </c>
      <c r="DP30" s="216">
        <f t="shared" si="604"/>
        <v>1.0302689655172414E-3</v>
      </c>
      <c r="DQ30" s="216">
        <f t="shared" si="604"/>
        <v>1.0302689655172414E-3</v>
      </c>
      <c r="DR30" s="216">
        <f t="shared" si="604"/>
        <v>9.9703448275862056E-4</v>
      </c>
      <c r="DS30" s="216">
        <f t="shared" si="604"/>
        <v>1.0302689655172414E-3</v>
      </c>
      <c r="DT30" s="216">
        <f t="shared" si="604"/>
        <v>9.9703448275862056E-4</v>
      </c>
      <c r="DU30" s="216">
        <f t="shared" si="604"/>
        <v>1.0302689655172414E-3</v>
      </c>
      <c r="DV30" s="469">
        <f t="shared" si="604"/>
        <v>1.0302689655172414E-3</v>
      </c>
      <c r="DW30" s="716"/>
      <c r="DX30" s="501">
        <v>119.816</v>
      </c>
      <c r="DY30" s="217">
        <v>1055.1862857142855</v>
      </c>
      <c r="DZ30" s="217">
        <v>1178.022857142857</v>
      </c>
      <c r="EA30" s="217">
        <v>1204.2011428571427</v>
      </c>
      <c r="EB30" s="217">
        <v>1204.2011428571427</v>
      </c>
      <c r="EC30" s="218"/>
      <c r="ED30" s="218"/>
      <c r="EE30" s="218"/>
      <c r="EF30" s="219"/>
      <c r="EG30" s="218"/>
      <c r="EH30" s="218"/>
      <c r="EI30" s="502"/>
      <c r="EJ30" s="30"/>
      <c r="EK30" s="218"/>
      <c r="EL30" s="218"/>
      <c r="EM30" s="218"/>
      <c r="EN30" s="218"/>
      <c r="EO30" s="218"/>
      <c r="EP30" s="502"/>
    </row>
    <row r="31" spans="1:146" outlineLevel="1" x14ac:dyDescent="0.3">
      <c r="B31" s="225" t="s">
        <v>176</v>
      </c>
      <c r="C31" s="245" t="s">
        <v>685</v>
      </c>
      <c r="D31" s="227"/>
      <c r="E31" s="474"/>
      <c r="F31" s="222">
        <f>Summary!$AC$11</f>
        <v>0</v>
      </c>
      <c r="G31" s="223">
        <f t="shared" ref="G31" si="605">F31</f>
        <v>0</v>
      </c>
      <c r="H31" s="223">
        <f t="shared" ref="H31" si="606">G31</f>
        <v>0</v>
      </c>
      <c r="I31" s="223">
        <f t="shared" ref="I31" si="607">H31</f>
        <v>0</v>
      </c>
      <c r="J31" s="223">
        <f t="shared" ref="J31" si="608">I31</f>
        <v>0</v>
      </c>
      <c r="K31" s="223">
        <f t="shared" ref="K31" si="609">J31</f>
        <v>0</v>
      </c>
      <c r="L31" s="223">
        <f t="shared" ref="L31" si="610">K31</f>
        <v>0</v>
      </c>
      <c r="M31" s="223">
        <f t="shared" ref="M31" si="611">L31</f>
        <v>0</v>
      </c>
      <c r="N31" s="223">
        <f t="shared" ref="N31" si="612">M31</f>
        <v>0</v>
      </c>
      <c r="O31" s="223">
        <f t="shared" ref="O31" si="613">N31</f>
        <v>0</v>
      </c>
      <c r="P31" s="223">
        <f t="shared" ref="P31" si="614">O31</f>
        <v>0</v>
      </c>
      <c r="Q31" s="223">
        <f t="shared" ref="Q31" si="615">P31</f>
        <v>0</v>
      </c>
      <c r="R31" s="223">
        <f t="shared" ref="R31" si="616">Q31</f>
        <v>0</v>
      </c>
      <c r="S31" s="371">
        <f>Summary!$AD$11</f>
        <v>0</v>
      </c>
      <c r="T31" s="223">
        <f t="shared" ref="T31" si="617">S31</f>
        <v>0</v>
      </c>
      <c r="U31" s="223">
        <f t="shared" ref="U31" si="618">T31</f>
        <v>0</v>
      </c>
      <c r="V31" s="223">
        <f t="shared" ref="V31" si="619">U31</f>
        <v>0</v>
      </c>
      <c r="W31" s="223">
        <f t="shared" ref="W31" si="620">V31</f>
        <v>0</v>
      </c>
      <c r="X31" s="223">
        <f t="shared" ref="X31" si="621">W31</f>
        <v>0</v>
      </c>
      <c r="Y31" s="223">
        <f t="shared" ref="Y31" si="622">X31</f>
        <v>0</v>
      </c>
      <c r="Z31" s="223">
        <f t="shared" ref="Z31" si="623">Y31</f>
        <v>0</v>
      </c>
      <c r="AA31" s="223">
        <f t="shared" ref="AA31" si="624">Z31</f>
        <v>0</v>
      </c>
      <c r="AB31" s="223">
        <f t="shared" ref="AB31" si="625">AA31</f>
        <v>0</v>
      </c>
      <c r="AC31" s="223">
        <f t="shared" ref="AC31" si="626">AB31</f>
        <v>0</v>
      </c>
      <c r="AD31" s="223">
        <f t="shared" ref="AD31" si="627">AC31</f>
        <v>0</v>
      </c>
      <c r="AE31" s="371">
        <f>Summary!$AE$11</f>
        <v>0</v>
      </c>
      <c r="AF31" s="223">
        <f t="shared" ref="AF31" si="628">AE31</f>
        <v>0</v>
      </c>
      <c r="AG31" s="223">
        <f t="shared" ref="AG31" si="629">AF31</f>
        <v>0</v>
      </c>
      <c r="AH31" s="223">
        <f t="shared" ref="AH31" si="630">AG31</f>
        <v>0</v>
      </c>
      <c r="AI31" s="223">
        <f t="shared" ref="AI31" si="631">AH31</f>
        <v>0</v>
      </c>
      <c r="AJ31" s="223">
        <f t="shared" ref="AJ31" si="632">AI31</f>
        <v>0</v>
      </c>
      <c r="AK31" s="223">
        <f t="shared" ref="AK31" si="633">AJ31</f>
        <v>0</v>
      </c>
      <c r="AL31" s="223">
        <f t="shared" ref="AL31" si="634">AK31</f>
        <v>0</v>
      </c>
      <c r="AM31" s="223">
        <f t="shared" ref="AM31" si="635">AL31</f>
        <v>0</v>
      </c>
      <c r="AN31" s="223">
        <f t="shared" ref="AN31" si="636">AM31</f>
        <v>0</v>
      </c>
      <c r="AO31" s="223">
        <f t="shared" ref="AO31" si="637">AN31</f>
        <v>0</v>
      </c>
      <c r="AP31" s="223">
        <f t="shared" ref="AP31" si="638">AO31</f>
        <v>0</v>
      </c>
      <c r="AQ31" s="371">
        <f>Summary!$AF$11</f>
        <v>0</v>
      </c>
      <c r="AR31" s="223">
        <f t="shared" ref="AR31" si="639">AQ31</f>
        <v>0</v>
      </c>
      <c r="AS31" s="223">
        <f t="shared" ref="AS31" si="640">AR31</f>
        <v>0</v>
      </c>
      <c r="AT31" s="223">
        <f t="shared" ref="AT31" si="641">AS31</f>
        <v>0</v>
      </c>
      <c r="AU31" s="223">
        <f t="shared" ref="AU31" si="642">AT31</f>
        <v>0</v>
      </c>
      <c r="AV31" s="223">
        <f t="shared" ref="AV31" si="643">AU31</f>
        <v>0</v>
      </c>
      <c r="AW31" s="223">
        <f t="shared" ref="AW31" si="644">AV31</f>
        <v>0</v>
      </c>
      <c r="AX31" s="223">
        <f t="shared" ref="AX31" si="645">AW31</f>
        <v>0</v>
      </c>
      <c r="AY31" s="223">
        <f t="shared" ref="AY31" si="646">AX31</f>
        <v>0</v>
      </c>
      <c r="AZ31" s="223">
        <f t="shared" ref="AZ31" si="647">AY31</f>
        <v>0</v>
      </c>
      <c r="BA31" s="223">
        <f t="shared" ref="BA31" si="648">AZ31</f>
        <v>0</v>
      </c>
      <c r="BB31" s="223">
        <f t="shared" ref="BB31" si="649">BA31</f>
        <v>0</v>
      </c>
      <c r="BC31" s="371">
        <f>Summary!$AG$11</f>
        <v>0</v>
      </c>
      <c r="BD31" s="223">
        <f>BC31</f>
        <v>0</v>
      </c>
      <c r="BE31" s="223">
        <f t="shared" ref="BE31:BN31" si="650">BD31</f>
        <v>0</v>
      </c>
      <c r="BF31" s="223">
        <f t="shared" si="650"/>
        <v>0</v>
      </c>
      <c r="BG31" s="223">
        <f t="shared" si="650"/>
        <v>0</v>
      </c>
      <c r="BH31" s="223">
        <f t="shared" si="650"/>
        <v>0</v>
      </c>
      <c r="BI31" s="223">
        <f t="shared" si="650"/>
        <v>0</v>
      </c>
      <c r="BJ31" s="223">
        <f t="shared" si="650"/>
        <v>0</v>
      </c>
      <c r="BK31" s="223">
        <f t="shared" si="650"/>
        <v>0</v>
      </c>
      <c r="BL31" s="223">
        <f t="shared" si="650"/>
        <v>0</v>
      </c>
      <c r="BM31" s="223">
        <f t="shared" si="650"/>
        <v>0</v>
      </c>
      <c r="BN31" s="223">
        <f t="shared" si="650"/>
        <v>0</v>
      </c>
      <c r="BO31" s="371">
        <f>Summary!$AH$11</f>
        <v>0</v>
      </c>
      <c r="BP31" s="223">
        <f t="shared" ref="BP31" si="651">BO31</f>
        <v>0</v>
      </c>
      <c r="BQ31" s="223">
        <f t="shared" ref="BQ31" si="652">BP31</f>
        <v>0</v>
      </c>
      <c r="BR31" s="223">
        <f t="shared" ref="BR31" si="653">BQ31</f>
        <v>0</v>
      </c>
      <c r="BS31" s="223">
        <f t="shared" ref="BS31" si="654">BR31</f>
        <v>0</v>
      </c>
      <c r="BT31" s="223">
        <f t="shared" ref="BT31" si="655">BS31</f>
        <v>0</v>
      </c>
      <c r="BU31" s="223">
        <f t="shared" ref="BU31" si="656">BT31</f>
        <v>0</v>
      </c>
      <c r="BV31" s="223">
        <f t="shared" ref="BV31" si="657">BU31</f>
        <v>0</v>
      </c>
      <c r="BW31" s="223">
        <f t="shared" ref="BW31" si="658">BV31</f>
        <v>0</v>
      </c>
      <c r="BX31" s="223">
        <f t="shared" ref="BX31" si="659">BW31</f>
        <v>0</v>
      </c>
      <c r="BY31" s="223">
        <f t="shared" ref="BY31" si="660">BX31</f>
        <v>0</v>
      </c>
      <c r="BZ31" s="223">
        <f t="shared" ref="BZ31" si="661">BY31</f>
        <v>0</v>
      </c>
      <c r="CA31" s="371">
        <f>Summary!$AI$11</f>
        <v>0</v>
      </c>
      <c r="CB31" s="223">
        <f t="shared" ref="CB31" si="662">CA31</f>
        <v>0</v>
      </c>
      <c r="CC31" s="223">
        <f t="shared" ref="CC31" si="663">CB31</f>
        <v>0</v>
      </c>
      <c r="CD31" s="223">
        <f t="shared" ref="CD31" si="664">CC31</f>
        <v>0</v>
      </c>
      <c r="CE31" s="223">
        <f t="shared" ref="CE31" si="665">CD31</f>
        <v>0</v>
      </c>
      <c r="CF31" s="223">
        <f t="shared" ref="CF31" si="666">CE31</f>
        <v>0</v>
      </c>
      <c r="CG31" s="223">
        <f t="shared" ref="CG31" si="667">CF31</f>
        <v>0</v>
      </c>
      <c r="CH31" s="223">
        <f t="shared" ref="CH31" si="668">CG31</f>
        <v>0</v>
      </c>
      <c r="CI31" s="223">
        <f t="shared" ref="CI31" si="669">CH31</f>
        <v>0</v>
      </c>
      <c r="CJ31" s="223">
        <f t="shared" ref="CJ31" si="670">CI31</f>
        <v>0</v>
      </c>
      <c r="CK31" s="223">
        <f t="shared" ref="CK31" si="671">CJ31</f>
        <v>0</v>
      </c>
      <c r="CL31" s="223">
        <f t="shared" ref="CL31" si="672">CK31</f>
        <v>0</v>
      </c>
      <c r="CM31" s="371">
        <f>Summary!$AJ$11</f>
        <v>0</v>
      </c>
      <c r="CN31" s="223">
        <f t="shared" ref="CN31" si="673">CM31</f>
        <v>0</v>
      </c>
      <c r="CO31" s="223">
        <f t="shared" ref="CO31" si="674">CN31</f>
        <v>0</v>
      </c>
      <c r="CP31" s="223">
        <f t="shared" ref="CP31" si="675">CO31</f>
        <v>0</v>
      </c>
      <c r="CQ31" s="223">
        <f t="shared" ref="CQ31" si="676">CP31</f>
        <v>0</v>
      </c>
      <c r="CR31" s="223">
        <f t="shared" ref="CR31" si="677">CQ31</f>
        <v>0</v>
      </c>
      <c r="CS31" s="223">
        <f t="shared" ref="CS31" si="678">CR31</f>
        <v>0</v>
      </c>
      <c r="CT31" s="223">
        <f t="shared" ref="CT31" si="679">CS31</f>
        <v>0</v>
      </c>
      <c r="CU31" s="223">
        <f t="shared" ref="CU31" si="680">CT31</f>
        <v>0</v>
      </c>
      <c r="CV31" s="223">
        <f t="shared" ref="CV31" si="681">CU31</f>
        <v>0</v>
      </c>
      <c r="CW31" s="223">
        <f t="shared" ref="CW31" si="682">CV31</f>
        <v>0</v>
      </c>
      <c r="CX31" s="223">
        <f t="shared" ref="CX31" si="683">CW31</f>
        <v>0</v>
      </c>
      <c r="CY31" s="371">
        <f>Summary!$AK$11</f>
        <v>0</v>
      </c>
      <c r="CZ31" s="223">
        <f t="shared" ref="CZ31" si="684">CY31</f>
        <v>0</v>
      </c>
      <c r="DA31" s="223">
        <f t="shared" ref="DA31" si="685">CZ31</f>
        <v>0</v>
      </c>
      <c r="DB31" s="223">
        <f t="shared" ref="DB31" si="686">DA31</f>
        <v>0</v>
      </c>
      <c r="DC31" s="223">
        <f t="shared" ref="DC31" si="687">DB31</f>
        <v>0</v>
      </c>
      <c r="DD31" s="223">
        <f t="shared" ref="DD31" si="688">DC31</f>
        <v>0</v>
      </c>
      <c r="DE31" s="223">
        <f t="shared" ref="DE31" si="689">DD31</f>
        <v>0</v>
      </c>
      <c r="DF31" s="223">
        <f t="shared" ref="DF31" si="690">DE31</f>
        <v>0</v>
      </c>
      <c r="DG31" s="223">
        <f t="shared" ref="DG31" si="691">DF31</f>
        <v>0</v>
      </c>
      <c r="DH31" s="223">
        <f t="shared" ref="DH31" si="692">DG31</f>
        <v>0</v>
      </c>
      <c r="DI31" s="223">
        <f t="shared" ref="DI31" si="693">DH31</f>
        <v>0</v>
      </c>
      <c r="DJ31" s="223">
        <f t="shared" ref="DJ31" si="694">DI31</f>
        <v>0</v>
      </c>
      <c r="DK31" s="371">
        <f>Summary!$AL$11</f>
        <v>0</v>
      </c>
      <c r="DL31" s="223">
        <f t="shared" ref="DL31" si="695">DK31</f>
        <v>0</v>
      </c>
      <c r="DM31" s="223">
        <f t="shared" ref="DM31" si="696">DL31</f>
        <v>0</v>
      </c>
      <c r="DN31" s="223">
        <f t="shared" ref="DN31" si="697">DM31</f>
        <v>0</v>
      </c>
      <c r="DO31" s="223">
        <f t="shared" ref="DO31" si="698">DN31</f>
        <v>0</v>
      </c>
      <c r="DP31" s="223">
        <f t="shared" ref="DP31" si="699">DO31</f>
        <v>0</v>
      </c>
      <c r="DQ31" s="223">
        <f t="shared" ref="DQ31" si="700">DP31</f>
        <v>0</v>
      </c>
      <c r="DR31" s="223">
        <f t="shared" ref="DR31" si="701">DQ31</f>
        <v>0</v>
      </c>
      <c r="DS31" s="223">
        <f t="shared" ref="DS31" si="702">DR31</f>
        <v>0</v>
      </c>
      <c r="DT31" s="223">
        <f t="shared" ref="DT31" si="703">DS31</f>
        <v>0</v>
      </c>
      <c r="DU31" s="223">
        <f t="shared" ref="DU31" si="704">DT31</f>
        <v>0</v>
      </c>
      <c r="DV31" s="471">
        <f t="shared" ref="DV31" si="705">DU31</f>
        <v>0</v>
      </c>
      <c r="DW31" s="640"/>
      <c r="DX31" s="470"/>
      <c r="DY31" s="244"/>
      <c r="DZ31" s="244"/>
      <c r="EA31" s="244"/>
      <c r="EB31" s="244"/>
      <c r="EC31" s="244"/>
      <c r="ED31" s="244"/>
      <c r="EE31" s="244"/>
      <c r="EF31" s="244"/>
      <c r="EG31" s="244"/>
      <c r="EH31" s="244"/>
      <c r="EI31" s="510"/>
      <c r="EJ31" s="30"/>
      <c r="EK31" s="244"/>
      <c r="EL31" s="244"/>
      <c r="EM31" s="244"/>
      <c r="EN31" s="244"/>
      <c r="EO31" s="244"/>
      <c r="EP31" s="510"/>
    </row>
    <row r="32" spans="1:146" outlineLevel="1" x14ac:dyDescent="0.3">
      <c r="B32" s="225" t="s">
        <v>177</v>
      </c>
      <c r="C32" s="245" t="s">
        <v>685</v>
      </c>
      <c r="D32" s="227"/>
      <c r="E32" s="474"/>
      <c r="F32" s="679">
        <f>F30*F31</f>
        <v>0</v>
      </c>
      <c r="G32" s="234">
        <f t="shared" ref="G32:BN32" si="706">G30*G31</f>
        <v>0</v>
      </c>
      <c r="H32" s="234">
        <f t="shared" si="706"/>
        <v>0</v>
      </c>
      <c r="I32" s="234">
        <f t="shared" si="706"/>
        <v>0</v>
      </c>
      <c r="J32" s="234">
        <f t="shared" si="706"/>
        <v>0</v>
      </c>
      <c r="K32" s="234">
        <f t="shared" si="706"/>
        <v>0</v>
      </c>
      <c r="L32" s="234">
        <f t="shared" si="706"/>
        <v>0</v>
      </c>
      <c r="M32" s="234">
        <f t="shared" si="706"/>
        <v>0</v>
      </c>
      <c r="N32" s="234">
        <f t="shared" si="706"/>
        <v>0</v>
      </c>
      <c r="O32" s="234">
        <f t="shared" si="706"/>
        <v>0</v>
      </c>
      <c r="P32" s="234">
        <f t="shared" si="706"/>
        <v>0</v>
      </c>
      <c r="Q32" s="234">
        <f t="shared" si="706"/>
        <v>0</v>
      </c>
      <c r="R32" s="234">
        <f t="shared" si="706"/>
        <v>0</v>
      </c>
      <c r="S32" s="234">
        <f t="shared" si="706"/>
        <v>0</v>
      </c>
      <c r="T32" s="234">
        <f t="shared" si="706"/>
        <v>0</v>
      </c>
      <c r="U32" s="234">
        <f t="shared" si="706"/>
        <v>0</v>
      </c>
      <c r="V32" s="234">
        <f t="shared" si="706"/>
        <v>0</v>
      </c>
      <c r="W32" s="234">
        <f t="shared" si="706"/>
        <v>0</v>
      </c>
      <c r="X32" s="234">
        <f t="shared" si="706"/>
        <v>0</v>
      </c>
      <c r="Y32" s="234">
        <f t="shared" si="706"/>
        <v>0</v>
      </c>
      <c r="Z32" s="234">
        <f t="shared" si="706"/>
        <v>0</v>
      </c>
      <c r="AA32" s="234">
        <f t="shared" si="706"/>
        <v>0</v>
      </c>
      <c r="AB32" s="234">
        <f t="shared" si="706"/>
        <v>0</v>
      </c>
      <c r="AC32" s="234">
        <f t="shared" si="706"/>
        <v>0</v>
      </c>
      <c r="AD32" s="234">
        <f t="shared" si="706"/>
        <v>0</v>
      </c>
      <c r="AE32" s="234">
        <f t="shared" si="706"/>
        <v>0</v>
      </c>
      <c r="AF32" s="234">
        <f t="shared" si="706"/>
        <v>0</v>
      </c>
      <c r="AG32" s="234">
        <f t="shared" si="706"/>
        <v>0</v>
      </c>
      <c r="AH32" s="234">
        <f t="shared" si="706"/>
        <v>0</v>
      </c>
      <c r="AI32" s="234">
        <f t="shared" si="706"/>
        <v>0</v>
      </c>
      <c r="AJ32" s="234">
        <f t="shared" si="706"/>
        <v>0</v>
      </c>
      <c r="AK32" s="234">
        <f t="shared" si="706"/>
        <v>0</v>
      </c>
      <c r="AL32" s="234">
        <f t="shared" si="706"/>
        <v>0</v>
      </c>
      <c r="AM32" s="234">
        <f t="shared" si="706"/>
        <v>0</v>
      </c>
      <c r="AN32" s="234">
        <f t="shared" si="706"/>
        <v>0</v>
      </c>
      <c r="AO32" s="234">
        <f t="shared" si="706"/>
        <v>0</v>
      </c>
      <c r="AP32" s="234">
        <f t="shared" si="706"/>
        <v>0</v>
      </c>
      <c r="AQ32" s="234">
        <f t="shared" si="706"/>
        <v>0</v>
      </c>
      <c r="AR32" s="228">
        <f t="shared" si="706"/>
        <v>0</v>
      </c>
      <c r="AS32" s="228">
        <f t="shared" si="706"/>
        <v>0</v>
      </c>
      <c r="AT32" s="228">
        <f t="shared" si="706"/>
        <v>0</v>
      </c>
      <c r="AU32" s="228">
        <f t="shared" si="706"/>
        <v>0</v>
      </c>
      <c r="AV32" s="228">
        <f t="shared" si="706"/>
        <v>0</v>
      </c>
      <c r="AW32" s="228">
        <f t="shared" si="706"/>
        <v>0</v>
      </c>
      <c r="AX32" s="228">
        <f t="shared" si="706"/>
        <v>0</v>
      </c>
      <c r="AY32" s="228">
        <f t="shared" si="706"/>
        <v>0</v>
      </c>
      <c r="AZ32" s="228">
        <f t="shared" si="706"/>
        <v>0</v>
      </c>
      <c r="BA32" s="228">
        <f t="shared" si="706"/>
        <v>0</v>
      </c>
      <c r="BB32" s="228">
        <f t="shared" si="706"/>
        <v>0</v>
      </c>
      <c r="BC32" s="234">
        <f t="shared" si="706"/>
        <v>0</v>
      </c>
      <c r="BD32" s="228">
        <f t="shared" si="706"/>
        <v>0</v>
      </c>
      <c r="BE32" s="228">
        <f t="shared" si="706"/>
        <v>0</v>
      </c>
      <c r="BF32" s="228">
        <f t="shared" si="706"/>
        <v>0</v>
      </c>
      <c r="BG32" s="228">
        <f t="shared" si="706"/>
        <v>0</v>
      </c>
      <c r="BH32" s="228">
        <f t="shared" si="706"/>
        <v>0</v>
      </c>
      <c r="BI32" s="228">
        <f t="shared" si="706"/>
        <v>0</v>
      </c>
      <c r="BJ32" s="228">
        <f t="shared" si="706"/>
        <v>0</v>
      </c>
      <c r="BK32" s="228">
        <f t="shared" si="706"/>
        <v>0</v>
      </c>
      <c r="BL32" s="228">
        <f t="shared" si="706"/>
        <v>0</v>
      </c>
      <c r="BM32" s="228">
        <f t="shared" si="706"/>
        <v>0</v>
      </c>
      <c r="BN32" s="228">
        <f t="shared" si="706"/>
        <v>0</v>
      </c>
      <c r="BO32" s="234">
        <f t="shared" ref="BO32" si="707">BO30*BO31</f>
        <v>0</v>
      </c>
      <c r="BP32" s="228">
        <f t="shared" ref="BP32:DV32" si="708">BP30*BP31</f>
        <v>0</v>
      </c>
      <c r="BQ32" s="228">
        <f t="shared" si="708"/>
        <v>0</v>
      </c>
      <c r="BR32" s="228">
        <f t="shared" si="708"/>
        <v>0</v>
      </c>
      <c r="BS32" s="228">
        <f t="shared" si="708"/>
        <v>0</v>
      </c>
      <c r="BT32" s="228">
        <f t="shared" si="708"/>
        <v>0</v>
      </c>
      <c r="BU32" s="228">
        <f t="shared" si="708"/>
        <v>0</v>
      </c>
      <c r="BV32" s="228">
        <f t="shared" si="708"/>
        <v>0</v>
      </c>
      <c r="BW32" s="228">
        <f t="shared" si="708"/>
        <v>0</v>
      </c>
      <c r="BX32" s="228">
        <f t="shared" si="708"/>
        <v>0</v>
      </c>
      <c r="BY32" s="228">
        <f t="shared" si="708"/>
        <v>0</v>
      </c>
      <c r="BZ32" s="228">
        <f t="shared" si="708"/>
        <v>0</v>
      </c>
      <c r="CA32" s="234">
        <f t="shared" si="708"/>
        <v>0</v>
      </c>
      <c r="CB32" s="228">
        <f t="shared" si="708"/>
        <v>0</v>
      </c>
      <c r="CC32" s="228">
        <f t="shared" si="708"/>
        <v>0</v>
      </c>
      <c r="CD32" s="228">
        <f t="shared" si="708"/>
        <v>0</v>
      </c>
      <c r="CE32" s="228">
        <f t="shared" si="708"/>
        <v>0</v>
      </c>
      <c r="CF32" s="228">
        <f t="shared" si="708"/>
        <v>0</v>
      </c>
      <c r="CG32" s="228">
        <f t="shared" si="708"/>
        <v>0</v>
      </c>
      <c r="CH32" s="228">
        <f t="shared" si="708"/>
        <v>0</v>
      </c>
      <c r="CI32" s="228">
        <f t="shared" si="708"/>
        <v>0</v>
      </c>
      <c r="CJ32" s="228">
        <f t="shared" si="708"/>
        <v>0</v>
      </c>
      <c r="CK32" s="228">
        <f t="shared" si="708"/>
        <v>0</v>
      </c>
      <c r="CL32" s="228">
        <f t="shared" si="708"/>
        <v>0</v>
      </c>
      <c r="CM32" s="234">
        <f t="shared" si="708"/>
        <v>0</v>
      </c>
      <c r="CN32" s="228">
        <f t="shared" si="708"/>
        <v>0</v>
      </c>
      <c r="CO32" s="228">
        <f t="shared" si="708"/>
        <v>0</v>
      </c>
      <c r="CP32" s="228">
        <f t="shared" si="708"/>
        <v>0</v>
      </c>
      <c r="CQ32" s="228">
        <f t="shared" si="708"/>
        <v>0</v>
      </c>
      <c r="CR32" s="228">
        <f t="shared" si="708"/>
        <v>0</v>
      </c>
      <c r="CS32" s="228">
        <f t="shared" si="708"/>
        <v>0</v>
      </c>
      <c r="CT32" s="228">
        <f t="shared" si="708"/>
        <v>0</v>
      </c>
      <c r="CU32" s="228">
        <f t="shared" si="708"/>
        <v>0</v>
      </c>
      <c r="CV32" s="228">
        <f t="shared" si="708"/>
        <v>0</v>
      </c>
      <c r="CW32" s="228">
        <f t="shared" si="708"/>
        <v>0</v>
      </c>
      <c r="CX32" s="228">
        <f t="shared" si="708"/>
        <v>0</v>
      </c>
      <c r="CY32" s="234">
        <f t="shared" si="708"/>
        <v>0</v>
      </c>
      <c r="CZ32" s="228">
        <f t="shared" si="708"/>
        <v>0</v>
      </c>
      <c r="DA32" s="228">
        <f t="shared" si="708"/>
        <v>0</v>
      </c>
      <c r="DB32" s="228">
        <f t="shared" si="708"/>
        <v>0</v>
      </c>
      <c r="DC32" s="228">
        <f t="shared" si="708"/>
        <v>0</v>
      </c>
      <c r="DD32" s="228">
        <f t="shared" si="708"/>
        <v>0</v>
      </c>
      <c r="DE32" s="228">
        <f t="shared" si="708"/>
        <v>0</v>
      </c>
      <c r="DF32" s="228">
        <f t="shared" si="708"/>
        <v>0</v>
      </c>
      <c r="DG32" s="228">
        <f t="shared" si="708"/>
        <v>0</v>
      </c>
      <c r="DH32" s="228">
        <f t="shared" si="708"/>
        <v>0</v>
      </c>
      <c r="DI32" s="228">
        <f t="shared" si="708"/>
        <v>0</v>
      </c>
      <c r="DJ32" s="228">
        <f t="shared" si="708"/>
        <v>0</v>
      </c>
      <c r="DK32" s="234">
        <f t="shared" si="708"/>
        <v>0</v>
      </c>
      <c r="DL32" s="228">
        <f t="shared" si="708"/>
        <v>0</v>
      </c>
      <c r="DM32" s="228">
        <f t="shared" si="708"/>
        <v>0</v>
      </c>
      <c r="DN32" s="228">
        <f t="shared" si="708"/>
        <v>0</v>
      </c>
      <c r="DO32" s="228">
        <f t="shared" si="708"/>
        <v>0</v>
      </c>
      <c r="DP32" s="228">
        <f t="shared" si="708"/>
        <v>0</v>
      </c>
      <c r="DQ32" s="228">
        <f t="shared" si="708"/>
        <v>0</v>
      </c>
      <c r="DR32" s="228">
        <f t="shared" si="708"/>
        <v>0</v>
      </c>
      <c r="DS32" s="228">
        <f t="shared" si="708"/>
        <v>0</v>
      </c>
      <c r="DT32" s="228">
        <f t="shared" si="708"/>
        <v>0</v>
      </c>
      <c r="DU32" s="228">
        <f t="shared" si="708"/>
        <v>0</v>
      </c>
      <c r="DV32" s="472">
        <f t="shared" si="708"/>
        <v>0</v>
      </c>
      <c r="DW32" s="717"/>
      <c r="DX32" s="505">
        <f>SUM(D32:F32)</f>
        <v>0</v>
      </c>
      <c r="DY32" s="229">
        <f>SUM(G32:I32)</f>
        <v>0</v>
      </c>
      <c r="DZ32" s="229">
        <f>SUM(J32:L32)</f>
        <v>0</v>
      </c>
      <c r="EA32" s="229">
        <f>SUM(M32:O32)</f>
        <v>0</v>
      </c>
      <c r="EB32" s="229">
        <f>SUM(P32:R32)</f>
        <v>0</v>
      </c>
      <c r="EC32" s="230">
        <f>SUM(D32:R32)</f>
        <v>0</v>
      </c>
      <c r="ED32" s="230">
        <f>SUM(S32:AD32)</f>
        <v>0</v>
      </c>
      <c r="EE32" s="230">
        <f>SUM(AE32:AP32)</f>
        <v>0</v>
      </c>
      <c r="EF32" s="231">
        <f>SUM(EC32:EE32)</f>
        <v>0</v>
      </c>
      <c r="EG32" s="230">
        <f>SUM(AQ32:BB32)</f>
        <v>0</v>
      </c>
      <c r="EH32" s="230">
        <f>SUM(BC32:BN32)</f>
        <v>0</v>
      </c>
      <c r="EI32" s="506">
        <f>SUM(EF32:EH32)</f>
        <v>0</v>
      </c>
      <c r="EJ32" s="30">
        <v>0</v>
      </c>
      <c r="EK32" s="230">
        <f t="shared" si="4"/>
        <v>0</v>
      </c>
      <c r="EL32" s="230">
        <f t="shared" si="5"/>
        <v>0</v>
      </c>
      <c r="EM32" s="230">
        <f t="shared" si="6"/>
        <v>0</v>
      </c>
      <c r="EN32" s="230">
        <f t="shared" si="7"/>
        <v>0</v>
      </c>
      <c r="EO32" s="230">
        <f t="shared" si="8"/>
        <v>0</v>
      </c>
      <c r="EP32" s="506">
        <f t="shared" ref="EP32" si="709">SUM(EC32:EE32,EG32:EH32,EK32:EO32)</f>
        <v>0</v>
      </c>
    </row>
    <row r="33" spans="2:146" outlineLevel="1" x14ac:dyDescent="0.3">
      <c r="B33" s="209" t="s">
        <v>178</v>
      </c>
      <c r="C33" s="210"/>
      <c r="D33" s="211"/>
      <c r="E33" s="468"/>
      <c r="F33" s="211">
        <f>Data!G47*(1-Data!G$10)</f>
        <v>0.43081736909323115</v>
      </c>
      <c r="G33" s="212">
        <f>Data!H47*(1-Data!H$10)</f>
        <v>0.43081736909323115</v>
      </c>
      <c r="H33" s="212">
        <f>Data!I47*(1-Data!I$10)</f>
        <v>0.43081736909323115</v>
      </c>
      <c r="I33" s="212">
        <f>Data!J47*(1-Data!J$10)</f>
        <v>0.43081736909323115</v>
      </c>
      <c r="J33" s="212">
        <f>Data!K47*(1-Data!K$10)</f>
        <v>0.43081736909323115</v>
      </c>
      <c r="K33" s="212">
        <f>Data!L47*(1-Data!L$10)</f>
        <v>0.43081736909323115</v>
      </c>
      <c r="L33" s="212">
        <f>Data!M47*(1-Data!M$10)</f>
        <v>0.43081736909323115</v>
      </c>
      <c r="M33" s="212">
        <f>Data!N47*(1-Data!N$10)</f>
        <v>0.43081736909323115</v>
      </c>
      <c r="N33" s="212">
        <f>Data!O47*(1-Data!O$10)</f>
        <v>0.43081736909323115</v>
      </c>
      <c r="O33" s="212">
        <f>Data!P47*(1-Data!P$10)</f>
        <v>0.43081736909323115</v>
      </c>
      <c r="P33" s="212">
        <f>Data!Q47*(1-Data!Q$10)</f>
        <v>0.43081736909323115</v>
      </c>
      <c r="Q33" s="212">
        <f>Data!R47*(1-Data!R$10)</f>
        <v>0.43081736909323115</v>
      </c>
      <c r="R33" s="212">
        <f>Data!S47*(1-Data!S$10)</f>
        <v>0.43081736909323115</v>
      </c>
      <c r="S33" s="212">
        <f>Data!T47*(1-Data!T$10)</f>
        <v>0.43081736909323115</v>
      </c>
      <c r="T33" s="212">
        <f>Data!U47*(1-Data!U$10)</f>
        <v>0.43081736909323115</v>
      </c>
      <c r="U33" s="212">
        <f>Data!V47*(1-Data!V$10)</f>
        <v>0.43081736909323115</v>
      </c>
      <c r="V33" s="212">
        <f>Data!W47*(1-Data!W$10)</f>
        <v>0.43081736909323115</v>
      </c>
      <c r="W33" s="212">
        <f>Data!X47*(1-Data!X$10)</f>
        <v>0.43081736909323115</v>
      </c>
      <c r="X33" s="212">
        <f>Data!Y47*(1-Data!Y$10)</f>
        <v>0.43081736909323115</v>
      </c>
      <c r="Y33" s="212">
        <f>Data!Z47*(1-Data!Z$10)</f>
        <v>0.43081736909323115</v>
      </c>
      <c r="Z33" s="212">
        <f>Data!AA47*(1-Data!AA$10)</f>
        <v>0.43081736909323115</v>
      </c>
      <c r="AA33" s="212">
        <f>Data!AB47*(1-Data!AB$10)</f>
        <v>0.43081736909323115</v>
      </c>
      <c r="AB33" s="212">
        <f>Data!AC47*(1-Data!AC$10)</f>
        <v>0.43081736909323115</v>
      </c>
      <c r="AC33" s="212">
        <f>Data!AD47*(1-Data!AD$10)</f>
        <v>0.43081736909323115</v>
      </c>
      <c r="AD33" s="212">
        <f>Data!AE47*(1-Data!AE$10)</f>
        <v>0.43081736909323115</v>
      </c>
      <c r="AE33" s="212">
        <f>Data!AF47*(1-Data!AF$10)</f>
        <v>0.43081736909323115</v>
      </c>
      <c r="AF33" s="212">
        <f>Data!AG47*(1-Data!AG$10)</f>
        <v>0.43081736909323115</v>
      </c>
      <c r="AG33" s="212">
        <f>Data!AH47*(1-Data!AH$10)</f>
        <v>0.43081736909323115</v>
      </c>
      <c r="AH33" s="212">
        <f>Data!AI47*(1-Data!AI$10)</f>
        <v>0.43081736909323115</v>
      </c>
      <c r="AI33" s="212">
        <f>Data!AJ47*(1-Data!AJ$10)</f>
        <v>0.43081736909323115</v>
      </c>
      <c r="AJ33" s="212">
        <f>Data!AK47*(1-Data!AK$10)</f>
        <v>0.43081736909323115</v>
      </c>
      <c r="AK33" s="212">
        <f>Data!AL47*(1-Data!AL$10)</f>
        <v>0.43081736909323115</v>
      </c>
      <c r="AL33" s="212">
        <f>Data!AM47*(1-Data!AM$10)</f>
        <v>0.43081736909323115</v>
      </c>
      <c r="AM33" s="212">
        <f>Data!AN47*(1-Data!AN$10)</f>
        <v>0.43081736909323115</v>
      </c>
      <c r="AN33" s="212">
        <f>Data!AO47*(1-Data!AO$10)</f>
        <v>0.43081736909323115</v>
      </c>
      <c r="AO33" s="212">
        <f>Data!AP47*(1-Data!AP$10)</f>
        <v>0.43081736909323115</v>
      </c>
      <c r="AP33" s="212">
        <f>Data!AQ47*(1-Data!AQ$10)</f>
        <v>0.43081736909323115</v>
      </c>
      <c r="AQ33" s="212">
        <f>Data!AR47*(1-Data!AR$10)</f>
        <v>0.43081736909323115</v>
      </c>
      <c r="AR33" s="212">
        <f>Data!AS47*(1-Data!AS$10)</f>
        <v>0.43081736909323115</v>
      </c>
      <c r="AS33" s="212">
        <f>Data!AT47*(1-Data!AT$10)</f>
        <v>0.43081736909323115</v>
      </c>
      <c r="AT33" s="212">
        <f>Data!AU47*(1-Data!AU$10)</f>
        <v>0.43081736909323115</v>
      </c>
      <c r="AU33" s="212">
        <f>Data!AV47*(1-Data!AV$10)</f>
        <v>0.43081736909323115</v>
      </c>
      <c r="AV33" s="212">
        <f>Data!AW47*(1-Data!AW$10)</f>
        <v>0.43081736909323115</v>
      </c>
      <c r="AW33" s="212">
        <f>Data!AX47*(1-Data!AX$10)</f>
        <v>0.43081736909323115</v>
      </c>
      <c r="AX33" s="212">
        <f>Data!AY47*(1-Data!AY$10)</f>
        <v>0.43081736909323115</v>
      </c>
      <c r="AY33" s="212">
        <f>Data!AZ47*(1-Data!AZ$10)</f>
        <v>0.43081736909323115</v>
      </c>
      <c r="AZ33" s="212">
        <f>Data!BA47*(1-Data!BA$10)</f>
        <v>0.43081736909323115</v>
      </c>
      <c r="BA33" s="212">
        <f>Data!BB47*(1-Data!BB$10)</f>
        <v>0.43081736909323115</v>
      </c>
      <c r="BB33" s="212">
        <f>Data!BC47*(1-Data!BC$10)</f>
        <v>0.43081736909323115</v>
      </c>
      <c r="BC33" s="212">
        <f>Data!BD47*(1-Data!BD$10)</f>
        <v>0.43081736909323115</v>
      </c>
      <c r="BD33" s="212">
        <f>Data!BE47*(1-Data!BE$10)</f>
        <v>0.43081736909323115</v>
      </c>
      <c r="BE33" s="212">
        <f>Data!BF47*(1-Data!BF$10)</f>
        <v>0.43081736909323115</v>
      </c>
      <c r="BF33" s="212">
        <f>Data!BG47*(1-Data!BG$10)</f>
        <v>0.43081736909323115</v>
      </c>
      <c r="BG33" s="212">
        <f>Data!BH47*(1-Data!BH$10)</f>
        <v>0.43081736909323115</v>
      </c>
      <c r="BH33" s="212">
        <f>Data!BI47*(1-Data!BI$10)</f>
        <v>0.43081736909323115</v>
      </c>
      <c r="BI33" s="212">
        <f>Data!BJ47*(1-Data!BJ$10)</f>
        <v>0.43081736909323115</v>
      </c>
      <c r="BJ33" s="212">
        <f>Data!BK47*(1-Data!BK$10)</f>
        <v>0.43081736909323115</v>
      </c>
      <c r="BK33" s="212">
        <f>Data!BL47*(1-Data!BL$10)</f>
        <v>0.43081736909323115</v>
      </c>
      <c r="BL33" s="212">
        <f>Data!BM47*(1-Data!BM$10)</f>
        <v>0.43081736909323115</v>
      </c>
      <c r="BM33" s="212">
        <f>Data!BN47*(1-Data!BN$10)</f>
        <v>0.43081736909323115</v>
      </c>
      <c r="BN33" s="212">
        <f>Data!BO47*(1-Data!BO$10)</f>
        <v>0.43081736909323115</v>
      </c>
      <c r="BO33" s="212">
        <f>Data!BP47*(1-Data!BP$10)</f>
        <v>0.43081736909323115</v>
      </c>
      <c r="BP33" s="212">
        <f>Data!BQ47*(1-Data!BQ$10)</f>
        <v>0.43081736909323115</v>
      </c>
      <c r="BQ33" s="212">
        <f>Data!BR47*(1-Data!BR$10)</f>
        <v>0.43081736909323115</v>
      </c>
      <c r="BR33" s="212">
        <f>Data!BS47*(1-Data!BS$10)</f>
        <v>0.43081736909323115</v>
      </c>
      <c r="BS33" s="212">
        <f>Data!BT47*(1-Data!BT$10)</f>
        <v>0.43081736909323115</v>
      </c>
      <c r="BT33" s="212">
        <f>Data!BU47*(1-Data!BU$10)</f>
        <v>0.43081736909323115</v>
      </c>
      <c r="BU33" s="212">
        <f>Data!BV47*(1-Data!BV$10)</f>
        <v>0.43081736909323115</v>
      </c>
      <c r="BV33" s="212">
        <f>Data!BW47*(1-Data!BW$10)</f>
        <v>0.43081736909323115</v>
      </c>
      <c r="BW33" s="212">
        <f>Data!BX47*(1-Data!BX$10)</f>
        <v>0.43081736909323115</v>
      </c>
      <c r="BX33" s="212">
        <f>Data!BY47*(1-Data!BY$10)</f>
        <v>0.43081736909323115</v>
      </c>
      <c r="BY33" s="212">
        <f>Data!BZ47*(1-Data!BZ$10)</f>
        <v>0.43081736909323115</v>
      </c>
      <c r="BZ33" s="212">
        <f>Data!CA47*(1-Data!CA$10)</f>
        <v>0.43081736909323115</v>
      </c>
      <c r="CA33" s="212">
        <f>Data!CB47*(1-Data!CB$10)</f>
        <v>0.43081736909323115</v>
      </c>
      <c r="CB33" s="212">
        <f>Data!CC47*(1-Data!CC$10)</f>
        <v>0.43081736909323115</v>
      </c>
      <c r="CC33" s="212">
        <f>Data!CD47*(1-Data!CD$10)</f>
        <v>0.43081736909323115</v>
      </c>
      <c r="CD33" s="212">
        <f>Data!CE47*(1-Data!CE$10)</f>
        <v>0.43081736909323115</v>
      </c>
      <c r="CE33" s="212">
        <f>Data!CF47*(1-Data!CF$10)</f>
        <v>0.43081736909323115</v>
      </c>
      <c r="CF33" s="212">
        <f>Data!CG47*(1-Data!CG$10)</f>
        <v>0.43081736909323115</v>
      </c>
      <c r="CG33" s="212">
        <f>Data!CH47*(1-Data!CH$10)</f>
        <v>0.43081736909323115</v>
      </c>
      <c r="CH33" s="212">
        <f>Data!CI47*(1-Data!CI$10)</f>
        <v>0.43081736909323115</v>
      </c>
      <c r="CI33" s="212">
        <f>Data!CJ47*(1-Data!CJ$10)</f>
        <v>0.43081736909323115</v>
      </c>
      <c r="CJ33" s="212">
        <f>Data!CK47*(1-Data!CK$10)</f>
        <v>0.43081736909323115</v>
      </c>
      <c r="CK33" s="212">
        <f>Data!CL47*(1-Data!CL$10)</f>
        <v>0.43081736909323115</v>
      </c>
      <c r="CL33" s="212">
        <f>Data!CM47*(1-Data!CM$10)</f>
        <v>0.43081736909323115</v>
      </c>
      <c r="CM33" s="212">
        <f>Data!CN47*(1-Data!CN$10)</f>
        <v>0.43081736909323115</v>
      </c>
      <c r="CN33" s="212">
        <f>Data!CO47*(1-Data!CO$10)</f>
        <v>0.43081736909323115</v>
      </c>
      <c r="CO33" s="212">
        <f>Data!CP47*(1-Data!CP$10)</f>
        <v>0.43081736909323115</v>
      </c>
      <c r="CP33" s="212">
        <f>Data!CQ47*(1-Data!CQ$10)</f>
        <v>0.43081736909323115</v>
      </c>
      <c r="CQ33" s="212">
        <f>Data!CR47*(1-Data!CR$10)</f>
        <v>0.43081736909323115</v>
      </c>
      <c r="CR33" s="212">
        <f>Data!CS47*(1-Data!CS$10)</f>
        <v>0.43081736909323115</v>
      </c>
      <c r="CS33" s="212">
        <f>Data!CT47*(1-Data!CT$10)</f>
        <v>0.43081736909323115</v>
      </c>
      <c r="CT33" s="212">
        <f>Data!CU47*(1-Data!CU$10)</f>
        <v>0.43081736909323115</v>
      </c>
      <c r="CU33" s="212">
        <f>Data!CV47*(1-Data!CV$10)</f>
        <v>0.43081736909323115</v>
      </c>
      <c r="CV33" s="212">
        <f>Data!CW47*(1-Data!CW$10)</f>
        <v>0.43081736909323115</v>
      </c>
      <c r="CW33" s="212">
        <f>Data!CX47*(1-Data!CX$10)</f>
        <v>0.43081736909323115</v>
      </c>
      <c r="CX33" s="212">
        <f>Data!CY47*(1-Data!CY$10)</f>
        <v>0.43081736909323115</v>
      </c>
      <c r="CY33" s="212">
        <f>Data!CZ47*(1-Data!CZ$10)</f>
        <v>0.43081736909323115</v>
      </c>
      <c r="CZ33" s="212">
        <f>Data!DA47*(1-Data!DA$10)</f>
        <v>0.43081736909323115</v>
      </c>
      <c r="DA33" s="212">
        <f>Data!DB47*(1-Data!DB$10)</f>
        <v>0.43081736909323115</v>
      </c>
      <c r="DB33" s="212">
        <f>Data!DC47*(1-Data!DC$10)</f>
        <v>0.43081736909323115</v>
      </c>
      <c r="DC33" s="212">
        <f>Data!DD47*(1-Data!DD$10)</f>
        <v>0.43081736909323115</v>
      </c>
      <c r="DD33" s="212">
        <f>Data!DE47*(1-Data!DE$10)</f>
        <v>0.43081736909323115</v>
      </c>
      <c r="DE33" s="212">
        <f>Data!DF47*(1-Data!DF$10)</f>
        <v>0.43081736909323115</v>
      </c>
      <c r="DF33" s="212">
        <f>Data!DG47*(1-Data!DG$10)</f>
        <v>0.43081736909323115</v>
      </c>
      <c r="DG33" s="212">
        <f>Data!DH47*(1-Data!DH$10)</f>
        <v>0.43081736909323115</v>
      </c>
      <c r="DH33" s="212">
        <f>Data!DI47*(1-Data!DI$10)</f>
        <v>0.43081736909323115</v>
      </c>
      <c r="DI33" s="212">
        <f>Data!DJ47*(1-Data!DJ$10)</f>
        <v>0.43081736909323115</v>
      </c>
      <c r="DJ33" s="212">
        <f>Data!DK47*(1-Data!DK$10)</f>
        <v>0.43081736909323115</v>
      </c>
      <c r="DK33" s="212">
        <f>Data!DL47*(1-Data!DL$10)</f>
        <v>0.43081736909323115</v>
      </c>
      <c r="DL33" s="212">
        <f>Data!DM47*(1-Data!DM$10)</f>
        <v>0.43081736909323115</v>
      </c>
      <c r="DM33" s="212">
        <f>Data!DN47*(1-Data!DN$10)</f>
        <v>0.43081736909323115</v>
      </c>
      <c r="DN33" s="212">
        <f>Data!DO47*(1-Data!DO$10)</f>
        <v>0.43081736909323115</v>
      </c>
      <c r="DO33" s="212">
        <f>Data!DP47*(1-Data!DP$10)</f>
        <v>0.43081736909323115</v>
      </c>
      <c r="DP33" s="212">
        <f>Data!DQ47*(1-Data!DQ$10)</f>
        <v>0.43081736909323115</v>
      </c>
      <c r="DQ33" s="212">
        <f>Data!DR47*(1-Data!DR$10)</f>
        <v>0.43081736909323115</v>
      </c>
      <c r="DR33" s="212">
        <f>Data!DS47*(1-Data!DS$10)</f>
        <v>0.43081736909323115</v>
      </c>
      <c r="DS33" s="212">
        <f>Data!DT47*(1-Data!DT$10)</f>
        <v>0.43081736909323115</v>
      </c>
      <c r="DT33" s="212">
        <f>Data!DU47*(1-Data!DU$10)</f>
        <v>0.43081736909323115</v>
      </c>
      <c r="DU33" s="212">
        <f>Data!DV47*(1-Data!DV$10)</f>
        <v>0.43081736909323115</v>
      </c>
      <c r="DV33" s="468">
        <f>Data!DW47*(1-Data!DW$10)</f>
        <v>0.43081736909323115</v>
      </c>
      <c r="DW33" s="715"/>
      <c r="DX33" s="211"/>
      <c r="DY33" s="213"/>
      <c r="DZ33" s="213"/>
      <c r="EA33" s="213"/>
      <c r="EB33" s="213"/>
      <c r="EC33" s="213"/>
      <c r="ED33" s="213"/>
      <c r="EE33" s="213"/>
      <c r="EF33" s="214"/>
      <c r="EG33" s="213"/>
      <c r="EH33" s="213"/>
      <c r="EI33" s="500"/>
      <c r="EJ33" s="30"/>
      <c r="EK33" s="213"/>
      <c r="EL33" s="213"/>
      <c r="EM33" s="213"/>
      <c r="EN33" s="213"/>
      <c r="EO33" s="213"/>
      <c r="EP33" s="500"/>
    </row>
    <row r="34" spans="2:146" outlineLevel="1" x14ac:dyDescent="0.3">
      <c r="B34" s="225" t="s">
        <v>179</v>
      </c>
      <c r="C34" s="245"/>
      <c r="D34" s="227"/>
      <c r="E34" s="474"/>
      <c r="F34" s="215">
        <f t="shared" ref="F34" si="710">F33*$A$16*$A$17*5</f>
        <v>64.557982758620682</v>
      </c>
      <c r="G34" s="216">
        <f t="shared" ref="G34:BN34" si="711">(G33*$A$10*$A$9*G$2)</f>
        <v>77.54712643678161</v>
      </c>
      <c r="H34" s="216">
        <f t="shared" si="711"/>
        <v>85.855747126436782</v>
      </c>
      <c r="I34" s="216">
        <f t="shared" si="711"/>
        <v>83.08620689655173</v>
      </c>
      <c r="J34" s="216">
        <f t="shared" si="711"/>
        <v>85.855747126436782</v>
      </c>
      <c r="K34" s="216">
        <f t="shared" si="711"/>
        <v>83.08620689655173</v>
      </c>
      <c r="L34" s="216">
        <f t="shared" si="711"/>
        <v>85.855747126436782</v>
      </c>
      <c r="M34" s="216">
        <f t="shared" si="711"/>
        <v>85.855747126436782</v>
      </c>
      <c r="N34" s="216">
        <f t="shared" si="711"/>
        <v>83.08620689655173</v>
      </c>
      <c r="O34" s="216">
        <f t="shared" si="711"/>
        <v>85.855747126436782</v>
      </c>
      <c r="P34" s="216">
        <f t="shared" si="711"/>
        <v>83.08620689655173</v>
      </c>
      <c r="Q34" s="216">
        <f t="shared" si="711"/>
        <v>85.855747126436782</v>
      </c>
      <c r="R34" s="216">
        <f t="shared" si="711"/>
        <v>85.855747126436782</v>
      </c>
      <c r="S34" s="216">
        <f t="shared" si="711"/>
        <v>80.316666666666677</v>
      </c>
      <c r="T34" s="216">
        <f t="shared" si="711"/>
        <v>85.855747126436782</v>
      </c>
      <c r="U34" s="216">
        <f t="shared" si="711"/>
        <v>83.08620689655173</v>
      </c>
      <c r="V34" s="216">
        <f t="shared" si="711"/>
        <v>85.855747126436782</v>
      </c>
      <c r="W34" s="216">
        <f t="shared" si="711"/>
        <v>83.08620689655173</v>
      </c>
      <c r="X34" s="216">
        <f t="shared" si="711"/>
        <v>85.855747126436782</v>
      </c>
      <c r="Y34" s="216">
        <f t="shared" si="711"/>
        <v>85.855747126436782</v>
      </c>
      <c r="Z34" s="216">
        <f t="shared" si="711"/>
        <v>83.08620689655173</v>
      </c>
      <c r="AA34" s="216">
        <f t="shared" si="711"/>
        <v>85.855747126436782</v>
      </c>
      <c r="AB34" s="216">
        <f t="shared" si="711"/>
        <v>83.08620689655173</v>
      </c>
      <c r="AC34" s="216">
        <f t="shared" si="711"/>
        <v>85.855747126436782</v>
      </c>
      <c r="AD34" s="216">
        <f t="shared" si="711"/>
        <v>85.855747126436782</v>
      </c>
      <c r="AE34" s="216">
        <f t="shared" si="711"/>
        <v>77.54712643678161</v>
      </c>
      <c r="AF34" s="216">
        <f t="shared" si="711"/>
        <v>85.855747126436782</v>
      </c>
      <c r="AG34" s="216">
        <f t="shared" si="711"/>
        <v>83.08620689655173</v>
      </c>
      <c r="AH34" s="216">
        <f t="shared" si="711"/>
        <v>85.855747126436782</v>
      </c>
      <c r="AI34" s="216">
        <f t="shared" si="711"/>
        <v>83.08620689655173</v>
      </c>
      <c r="AJ34" s="216">
        <f t="shared" si="711"/>
        <v>85.855747126436782</v>
      </c>
      <c r="AK34" s="216">
        <f t="shared" si="711"/>
        <v>85.855747126436782</v>
      </c>
      <c r="AL34" s="216">
        <f t="shared" si="711"/>
        <v>83.08620689655173</v>
      </c>
      <c r="AM34" s="216">
        <f t="shared" si="711"/>
        <v>85.855747126436782</v>
      </c>
      <c r="AN34" s="216">
        <f t="shared" si="711"/>
        <v>83.08620689655173</v>
      </c>
      <c r="AO34" s="216">
        <f t="shared" si="711"/>
        <v>85.855747126436782</v>
      </c>
      <c r="AP34" s="216">
        <f t="shared" si="711"/>
        <v>85.855747126436782</v>
      </c>
      <c r="AQ34" s="216">
        <f t="shared" si="711"/>
        <v>77.54712643678161</v>
      </c>
      <c r="AR34" s="216">
        <f t="shared" si="711"/>
        <v>85.855747126436782</v>
      </c>
      <c r="AS34" s="216">
        <f t="shared" si="711"/>
        <v>83.08620689655173</v>
      </c>
      <c r="AT34" s="216">
        <f t="shared" si="711"/>
        <v>85.855747126436782</v>
      </c>
      <c r="AU34" s="216">
        <f t="shared" si="711"/>
        <v>83.08620689655173</v>
      </c>
      <c r="AV34" s="216">
        <f t="shared" si="711"/>
        <v>85.855747126436782</v>
      </c>
      <c r="AW34" s="216">
        <f t="shared" si="711"/>
        <v>85.855747126436782</v>
      </c>
      <c r="AX34" s="216">
        <f t="shared" si="711"/>
        <v>83.08620689655173</v>
      </c>
      <c r="AY34" s="216">
        <f t="shared" si="711"/>
        <v>85.855747126436782</v>
      </c>
      <c r="AZ34" s="216">
        <f t="shared" si="711"/>
        <v>83.08620689655173</v>
      </c>
      <c r="BA34" s="216">
        <f t="shared" si="711"/>
        <v>85.855747126436782</v>
      </c>
      <c r="BB34" s="216">
        <f t="shared" si="711"/>
        <v>85.855747126436782</v>
      </c>
      <c r="BC34" s="216">
        <f t="shared" si="711"/>
        <v>77.54712643678161</v>
      </c>
      <c r="BD34" s="216">
        <f t="shared" si="711"/>
        <v>85.855747126436782</v>
      </c>
      <c r="BE34" s="216">
        <f t="shared" si="711"/>
        <v>83.08620689655173</v>
      </c>
      <c r="BF34" s="216">
        <f t="shared" si="711"/>
        <v>85.855747126436782</v>
      </c>
      <c r="BG34" s="216">
        <f t="shared" si="711"/>
        <v>83.08620689655173</v>
      </c>
      <c r="BH34" s="216">
        <f t="shared" si="711"/>
        <v>85.855747126436782</v>
      </c>
      <c r="BI34" s="216">
        <f t="shared" si="711"/>
        <v>85.855747126436782</v>
      </c>
      <c r="BJ34" s="216">
        <f t="shared" si="711"/>
        <v>83.08620689655173</v>
      </c>
      <c r="BK34" s="216">
        <f t="shared" si="711"/>
        <v>85.855747126436782</v>
      </c>
      <c r="BL34" s="216">
        <f t="shared" si="711"/>
        <v>83.08620689655173</v>
      </c>
      <c r="BM34" s="216">
        <f t="shared" si="711"/>
        <v>85.855747126436782</v>
      </c>
      <c r="BN34" s="216">
        <f t="shared" si="711"/>
        <v>85.855747126436782</v>
      </c>
      <c r="BO34" s="216">
        <f t="shared" ref="BO34" si="712">(BO33*$A$10*$A$9*BO$2)</f>
        <v>80.316666666666677</v>
      </c>
      <c r="BP34" s="216">
        <f t="shared" ref="BP34:DV34" si="713">(BP33*$A$10*$A$9*BP$2)</f>
        <v>85.855747126436782</v>
      </c>
      <c r="BQ34" s="216">
        <f t="shared" si="713"/>
        <v>83.08620689655173</v>
      </c>
      <c r="BR34" s="216">
        <f t="shared" si="713"/>
        <v>85.855747126436782</v>
      </c>
      <c r="BS34" s="216">
        <f t="shared" si="713"/>
        <v>83.08620689655173</v>
      </c>
      <c r="BT34" s="216">
        <f t="shared" si="713"/>
        <v>85.855747126436782</v>
      </c>
      <c r="BU34" s="216">
        <f t="shared" si="713"/>
        <v>85.855747126436782</v>
      </c>
      <c r="BV34" s="216">
        <f t="shared" si="713"/>
        <v>83.08620689655173</v>
      </c>
      <c r="BW34" s="216">
        <f t="shared" si="713"/>
        <v>85.855747126436782</v>
      </c>
      <c r="BX34" s="216">
        <f t="shared" si="713"/>
        <v>83.08620689655173</v>
      </c>
      <c r="BY34" s="216">
        <f t="shared" si="713"/>
        <v>85.855747126436782</v>
      </c>
      <c r="BZ34" s="216">
        <f t="shared" si="713"/>
        <v>85.855747126436782</v>
      </c>
      <c r="CA34" s="216">
        <f t="shared" si="713"/>
        <v>77.54712643678161</v>
      </c>
      <c r="CB34" s="216">
        <f t="shared" si="713"/>
        <v>85.855747126436782</v>
      </c>
      <c r="CC34" s="216">
        <f t="shared" si="713"/>
        <v>83.08620689655173</v>
      </c>
      <c r="CD34" s="216">
        <f t="shared" si="713"/>
        <v>85.855747126436782</v>
      </c>
      <c r="CE34" s="216">
        <f t="shared" si="713"/>
        <v>83.08620689655173</v>
      </c>
      <c r="CF34" s="216">
        <f t="shared" si="713"/>
        <v>85.855747126436782</v>
      </c>
      <c r="CG34" s="216">
        <f t="shared" si="713"/>
        <v>85.855747126436782</v>
      </c>
      <c r="CH34" s="216">
        <f t="shared" si="713"/>
        <v>83.08620689655173</v>
      </c>
      <c r="CI34" s="216">
        <f t="shared" si="713"/>
        <v>85.855747126436782</v>
      </c>
      <c r="CJ34" s="216">
        <f t="shared" si="713"/>
        <v>83.08620689655173</v>
      </c>
      <c r="CK34" s="216">
        <f t="shared" si="713"/>
        <v>85.855747126436782</v>
      </c>
      <c r="CL34" s="216">
        <f t="shared" si="713"/>
        <v>85.855747126436782</v>
      </c>
      <c r="CM34" s="216">
        <f t="shared" si="713"/>
        <v>77.54712643678161</v>
      </c>
      <c r="CN34" s="216">
        <f t="shared" si="713"/>
        <v>85.855747126436782</v>
      </c>
      <c r="CO34" s="216">
        <f t="shared" si="713"/>
        <v>83.08620689655173</v>
      </c>
      <c r="CP34" s="216">
        <f t="shared" si="713"/>
        <v>85.855747126436782</v>
      </c>
      <c r="CQ34" s="216">
        <f t="shared" si="713"/>
        <v>83.08620689655173</v>
      </c>
      <c r="CR34" s="216">
        <f t="shared" si="713"/>
        <v>85.855747126436782</v>
      </c>
      <c r="CS34" s="216">
        <f t="shared" si="713"/>
        <v>85.855747126436782</v>
      </c>
      <c r="CT34" s="216">
        <f t="shared" si="713"/>
        <v>83.08620689655173</v>
      </c>
      <c r="CU34" s="216">
        <f t="shared" si="713"/>
        <v>85.855747126436782</v>
      </c>
      <c r="CV34" s="216">
        <f t="shared" si="713"/>
        <v>83.08620689655173</v>
      </c>
      <c r="CW34" s="216">
        <f t="shared" si="713"/>
        <v>85.855747126436782</v>
      </c>
      <c r="CX34" s="216">
        <f t="shared" si="713"/>
        <v>85.855747126436782</v>
      </c>
      <c r="CY34" s="216">
        <f t="shared" si="713"/>
        <v>77.54712643678161</v>
      </c>
      <c r="CZ34" s="216">
        <f t="shared" si="713"/>
        <v>85.855747126436782</v>
      </c>
      <c r="DA34" s="216">
        <f t="shared" si="713"/>
        <v>83.08620689655173</v>
      </c>
      <c r="DB34" s="216">
        <f t="shared" si="713"/>
        <v>85.855747126436782</v>
      </c>
      <c r="DC34" s="216">
        <f t="shared" si="713"/>
        <v>83.08620689655173</v>
      </c>
      <c r="DD34" s="216">
        <f t="shared" si="713"/>
        <v>85.855747126436782</v>
      </c>
      <c r="DE34" s="216">
        <f t="shared" si="713"/>
        <v>85.855747126436782</v>
      </c>
      <c r="DF34" s="216">
        <f t="shared" si="713"/>
        <v>83.08620689655173</v>
      </c>
      <c r="DG34" s="216">
        <f t="shared" si="713"/>
        <v>85.855747126436782</v>
      </c>
      <c r="DH34" s="216">
        <f t="shared" si="713"/>
        <v>83.08620689655173</v>
      </c>
      <c r="DI34" s="216">
        <f t="shared" si="713"/>
        <v>85.855747126436782</v>
      </c>
      <c r="DJ34" s="216">
        <f t="shared" si="713"/>
        <v>85.855747126436782</v>
      </c>
      <c r="DK34" s="216">
        <f t="shared" si="713"/>
        <v>80.316666666666677</v>
      </c>
      <c r="DL34" s="216">
        <f t="shared" si="713"/>
        <v>85.855747126436782</v>
      </c>
      <c r="DM34" s="216">
        <f t="shared" si="713"/>
        <v>83.08620689655173</v>
      </c>
      <c r="DN34" s="216">
        <f t="shared" si="713"/>
        <v>85.855747126436782</v>
      </c>
      <c r="DO34" s="216">
        <f t="shared" si="713"/>
        <v>83.08620689655173</v>
      </c>
      <c r="DP34" s="216">
        <f t="shared" si="713"/>
        <v>85.855747126436782</v>
      </c>
      <c r="DQ34" s="216">
        <f t="shared" si="713"/>
        <v>85.855747126436782</v>
      </c>
      <c r="DR34" s="216">
        <f t="shared" si="713"/>
        <v>83.08620689655173</v>
      </c>
      <c r="DS34" s="216">
        <f t="shared" si="713"/>
        <v>85.855747126436782</v>
      </c>
      <c r="DT34" s="216">
        <f t="shared" si="713"/>
        <v>83.08620689655173</v>
      </c>
      <c r="DU34" s="216">
        <f t="shared" si="713"/>
        <v>85.855747126436782</v>
      </c>
      <c r="DV34" s="469">
        <f t="shared" si="713"/>
        <v>85.855747126436782</v>
      </c>
      <c r="DW34" s="716"/>
      <c r="DX34" s="501">
        <v>59.908000000000001</v>
      </c>
      <c r="DY34" s="217">
        <v>527.59314285714277</v>
      </c>
      <c r="DZ34" s="217">
        <v>589.0114285714285</v>
      </c>
      <c r="EA34" s="217">
        <v>602.10057142857136</v>
      </c>
      <c r="EB34" s="217">
        <v>602.10057142857136</v>
      </c>
      <c r="EC34" s="218"/>
      <c r="ED34" s="218"/>
      <c r="EE34" s="218"/>
      <c r="EF34" s="219"/>
      <c r="EG34" s="218"/>
      <c r="EH34" s="218"/>
      <c r="EI34" s="502"/>
      <c r="EJ34" s="30"/>
      <c r="EK34" s="218"/>
      <c r="EL34" s="218"/>
      <c r="EM34" s="218"/>
      <c r="EN34" s="218"/>
      <c r="EO34" s="218"/>
      <c r="EP34" s="502"/>
    </row>
    <row r="35" spans="2:146" outlineLevel="1" x14ac:dyDescent="0.3">
      <c r="B35" s="225" t="s">
        <v>180</v>
      </c>
      <c r="C35" s="245" t="s">
        <v>685</v>
      </c>
      <c r="D35" s="227"/>
      <c r="E35" s="474"/>
      <c r="F35" s="222">
        <f>Summary!$AC$12</f>
        <v>0</v>
      </c>
      <c r="G35" s="223">
        <f t="shared" ref="G35" si="714">F35</f>
        <v>0</v>
      </c>
      <c r="H35" s="223">
        <f t="shared" ref="H35" si="715">G35</f>
        <v>0</v>
      </c>
      <c r="I35" s="223">
        <f t="shared" ref="I35" si="716">H35</f>
        <v>0</v>
      </c>
      <c r="J35" s="223">
        <f t="shared" ref="J35" si="717">I35</f>
        <v>0</v>
      </c>
      <c r="K35" s="223">
        <f t="shared" ref="K35" si="718">J35</f>
        <v>0</v>
      </c>
      <c r="L35" s="223">
        <f t="shared" ref="L35" si="719">K35</f>
        <v>0</v>
      </c>
      <c r="M35" s="223">
        <f t="shared" ref="M35" si="720">L35</f>
        <v>0</v>
      </c>
      <c r="N35" s="223">
        <f t="shared" ref="N35" si="721">M35</f>
        <v>0</v>
      </c>
      <c r="O35" s="223">
        <f t="shared" ref="O35" si="722">N35</f>
        <v>0</v>
      </c>
      <c r="P35" s="223">
        <f t="shared" ref="P35" si="723">O35</f>
        <v>0</v>
      </c>
      <c r="Q35" s="223">
        <f t="shared" ref="Q35" si="724">P35</f>
        <v>0</v>
      </c>
      <c r="R35" s="223">
        <f t="shared" ref="R35" si="725">Q35</f>
        <v>0</v>
      </c>
      <c r="S35" s="371">
        <f>Summary!$AD$12</f>
        <v>0</v>
      </c>
      <c r="T35" s="223">
        <f t="shared" ref="T35" si="726">S35</f>
        <v>0</v>
      </c>
      <c r="U35" s="223">
        <f t="shared" ref="U35" si="727">T35</f>
        <v>0</v>
      </c>
      <c r="V35" s="223">
        <f t="shared" ref="V35" si="728">U35</f>
        <v>0</v>
      </c>
      <c r="W35" s="223">
        <f t="shared" ref="W35" si="729">V35</f>
        <v>0</v>
      </c>
      <c r="X35" s="223">
        <f t="shared" ref="X35" si="730">W35</f>
        <v>0</v>
      </c>
      <c r="Y35" s="223">
        <f t="shared" ref="Y35" si="731">X35</f>
        <v>0</v>
      </c>
      <c r="Z35" s="223">
        <f t="shared" ref="Z35" si="732">Y35</f>
        <v>0</v>
      </c>
      <c r="AA35" s="223">
        <f t="shared" ref="AA35" si="733">Z35</f>
        <v>0</v>
      </c>
      <c r="AB35" s="223">
        <f t="shared" ref="AB35" si="734">AA35</f>
        <v>0</v>
      </c>
      <c r="AC35" s="223">
        <f t="shared" ref="AC35" si="735">AB35</f>
        <v>0</v>
      </c>
      <c r="AD35" s="223">
        <f t="shared" ref="AD35" si="736">AC35</f>
        <v>0</v>
      </c>
      <c r="AE35" s="371">
        <f>Summary!$AE$12</f>
        <v>0</v>
      </c>
      <c r="AF35" s="223">
        <f t="shared" ref="AF35" si="737">AE35</f>
        <v>0</v>
      </c>
      <c r="AG35" s="223">
        <f t="shared" ref="AG35" si="738">AF35</f>
        <v>0</v>
      </c>
      <c r="AH35" s="223">
        <f t="shared" ref="AH35" si="739">AG35</f>
        <v>0</v>
      </c>
      <c r="AI35" s="223">
        <f t="shared" ref="AI35" si="740">AH35</f>
        <v>0</v>
      </c>
      <c r="AJ35" s="223">
        <f t="shared" ref="AJ35" si="741">AI35</f>
        <v>0</v>
      </c>
      <c r="AK35" s="223">
        <f t="shared" ref="AK35" si="742">AJ35</f>
        <v>0</v>
      </c>
      <c r="AL35" s="223">
        <f t="shared" ref="AL35" si="743">AK35</f>
        <v>0</v>
      </c>
      <c r="AM35" s="223">
        <f t="shared" ref="AM35" si="744">AL35</f>
        <v>0</v>
      </c>
      <c r="AN35" s="223">
        <f t="shared" ref="AN35" si="745">AM35</f>
        <v>0</v>
      </c>
      <c r="AO35" s="223">
        <f t="shared" ref="AO35" si="746">AN35</f>
        <v>0</v>
      </c>
      <c r="AP35" s="223">
        <f t="shared" ref="AP35" si="747">AO35</f>
        <v>0</v>
      </c>
      <c r="AQ35" s="371">
        <f>Summary!$AF$12</f>
        <v>0</v>
      </c>
      <c r="AR35" s="223">
        <f t="shared" ref="AR35" si="748">AQ35</f>
        <v>0</v>
      </c>
      <c r="AS35" s="223">
        <f t="shared" ref="AS35" si="749">AR35</f>
        <v>0</v>
      </c>
      <c r="AT35" s="223">
        <f t="shared" ref="AT35" si="750">AS35</f>
        <v>0</v>
      </c>
      <c r="AU35" s="223">
        <f t="shared" ref="AU35" si="751">AT35</f>
        <v>0</v>
      </c>
      <c r="AV35" s="223">
        <f t="shared" ref="AV35" si="752">AU35</f>
        <v>0</v>
      </c>
      <c r="AW35" s="223">
        <f t="shared" ref="AW35" si="753">AV35</f>
        <v>0</v>
      </c>
      <c r="AX35" s="223">
        <f t="shared" ref="AX35" si="754">AW35</f>
        <v>0</v>
      </c>
      <c r="AY35" s="223">
        <f t="shared" ref="AY35" si="755">AX35</f>
        <v>0</v>
      </c>
      <c r="AZ35" s="223">
        <f t="shared" ref="AZ35" si="756">AY35</f>
        <v>0</v>
      </c>
      <c r="BA35" s="223">
        <f t="shared" ref="BA35" si="757">AZ35</f>
        <v>0</v>
      </c>
      <c r="BB35" s="223">
        <f t="shared" ref="BB35" si="758">BA35</f>
        <v>0</v>
      </c>
      <c r="BC35" s="371">
        <f>Summary!$AG$12</f>
        <v>0</v>
      </c>
      <c r="BD35" s="223">
        <f>BC35</f>
        <v>0</v>
      </c>
      <c r="BE35" s="223">
        <f t="shared" ref="BE35:BN35" si="759">BD35</f>
        <v>0</v>
      </c>
      <c r="BF35" s="223">
        <f t="shared" si="759"/>
        <v>0</v>
      </c>
      <c r="BG35" s="223">
        <f t="shared" si="759"/>
        <v>0</v>
      </c>
      <c r="BH35" s="223">
        <f t="shared" si="759"/>
        <v>0</v>
      </c>
      <c r="BI35" s="223">
        <f t="shared" si="759"/>
        <v>0</v>
      </c>
      <c r="BJ35" s="223">
        <f t="shared" si="759"/>
        <v>0</v>
      </c>
      <c r="BK35" s="223">
        <f t="shared" si="759"/>
        <v>0</v>
      </c>
      <c r="BL35" s="223">
        <f t="shared" si="759"/>
        <v>0</v>
      </c>
      <c r="BM35" s="223">
        <f t="shared" si="759"/>
        <v>0</v>
      </c>
      <c r="BN35" s="223">
        <f t="shared" si="759"/>
        <v>0</v>
      </c>
      <c r="BO35" s="371">
        <f>Summary!$AH$12</f>
        <v>0</v>
      </c>
      <c r="BP35" s="223">
        <f t="shared" ref="BP35" si="760">BO35</f>
        <v>0</v>
      </c>
      <c r="BQ35" s="223">
        <f t="shared" ref="BQ35" si="761">BP35</f>
        <v>0</v>
      </c>
      <c r="BR35" s="223">
        <f t="shared" ref="BR35" si="762">BQ35</f>
        <v>0</v>
      </c>
      <c r="BS35" s="223">
        <f t="shared" ref="BS35" si="763">BR35</f>
        <v>0</v>
      </c>
      <c r="BT35" s="223">
        <f t="shared" ref="BT35" si="764">BS35</f>
        <v>0</v>
      </c>
      <c r="BU35" s="223">
        <f t="shared" ref="BU35" si="765">BT35</f>
        <v>0</v>
      </c>
      <c r="BV35" s="223">
        <f t="shared" ref="BV35" si="766">BU35</f>
        <v>0</v>
      </c>
      <c r="BW35" s="223">
        <f t="shared" ref="BW35" si="767">BV35</f>
        <v>0</v>
      </c>
      <c r="BX35" s="223">
        <f t="shared" ref="BX35" si="768">BW35</f>
        <v>0</v>
      </c>
      <c r="BY35" s="223">
        <f t="shared" ref="BY35" si="769">BX35</f>
        <v>0</v>
      </c>
      <c r="BZ35" s="223">
        <f t="shared" ref="BZ35" si="770">BY35</f>
        <v>0</v>
      </c>
      <c r="CA35" s="371">
        <f>Summary!$AI$12</f>
        <v>0</v>
      </c>
      <c r="CB35" s="223">
        <f t="shared" ref="CB35" si="771">CA35</f>
        <v>0</v>
      </c>
      <c r="CC35" s="223">
        <f t="shared" ref="CC35" si="772">CB35</f>
        <v>0</v>
      </c>
      <c r="CD35" s="223">
        <f t="shared" ref="CD35" si="773">CC35</f>
        <v>0</v>
      </c>
      <c r="CE35" s="223">
        <f t="shared" ref="CE35" si="774">CD35</f>
        <v>0</v>
      </c>
      <c r="CF35" s="223">
        <f t="shared" ref="CF35" si="775">CE35</f>
        <v>0</v>
      </c>
      <c r="CG35" s="223">
        <f t="shared" ref="CG35" si="776">CF35</f>
        <v>0</v>
      </c>
      <c r="CH35" s="223">
        <f t="shared" ref="CH35" si="777">CG35</f>
        <v>0</v>
      </c>
      <c r="CI35" s="223">
        <f t="shared" ref="CI35" si="778">CH35</f>
        <v>0</v>
      </c>
      <c r="CJ35" s="223">
        <f t="shared" ref="CJ35" si="779">CI35</f>
        <v>0</v>
      </c>
      <c r="CK35" s="223">
        <f t="shared" ref="CK35" si="780">CJ35</f>
        <v>0</v>
      </c>
      <c r="CL35" s="223">
        <f t="shared" ref="CL35" si="781">CK35</f>
        <v>0</v>
      </c>
      <c r="CM35" s="371">
        <f>Summary!$AJ$12</f>
        <v>0</v>
      </c>
      <c r="CN35" s="223">
        <f t="shared" ref="CN35" si="782">CM35</f>
        <v>0</v>
      </c>
      <c r="CO35" s="223">
        <f t="shared" ref="CO35" si="783">CN35</f>
        <v>0</v>
      </c>
      <c r="CP35" s="223">
        <f t="shared" ref="CP35" si="784">CO35</f>
        <v>0</v>
      </c>
      <c r="CQ35" s="223">
        <f t="shared" ref="CQ35" si="785">CP35</f>
        <v>0</v>
      </c>
      <c r="CR35" s="223">
        <f t="shared" ref="CR35" si="786">CQ35</f>
        <v>0</v>
      </c>
      <c r="CS35" s="223">
        <f t="shared" ref="CS35" si="787">CR35</f>
        <v>0</v>
      </c>
      <c r="CT35" s="223">
        <f t="shared" ref="CT35" si="788">CS35</f>
        <v>0</v>
      </c>
      <c r="CU35" s="223">
        <f t="shared" ref="CU35" si="789">CT35</f>
        <v>0</v>
      </c>
      <c r="CV35" s="223">
        <f t="shared" ref="CV35" si="790">CU35</f>
        <v>0</v>
      </c>
      <c r="CW35" s="223">
        <f t="shared" ref="CW35" si="791">CV35</f>
        <v>0</v>
      </c>
      <c r="CX35" s="223">
        <f t="shared" ref="CX35" si="792">CW35</f>
        <v>0</v>
      </c>
      <c r="CY35" s="371">
        <f>Summary!$AK$12</f>
        <v>0</v>
      </c>
      <c r="CZ35" s="223">
        <f t="shared" ref="CZ35" si="793">CY35</f>
        <v>0</v>
      </c>
      <c r="DA35" s="223">
        <f t="shared" ref="DA35" si="794">CZ35</f>
        <v>0</v>
      </c>
      <c r="DB35" s="223">
        <f t="shared" ref="DB35" si="795">DA35</f>
        <v>0</v>
      </c>
      <c r="DC35" s="223">
        <f t="shared" ref="DC35" si="796">DB35</f>
        <v>0</v>
      </c>
      <c r="DD35" s="223">
        <f t="shared" ref="DD35" si="797">DC35</f>
        <v>0</v>
      </c>
      <c r="DE35" s="223">
        <f t="shared" ref="DE35" si="798">DD35</f>
        <v>0</v>
      </c>
      <c r="DF35" s="223">
        <f t="shared" ref="DF35" si="799">DE35</f>
        <v>0</v>
      </c>
      <c r="DG35" s="223">
        <f t="shared" ref="DG35" si="800">DF35</f>
        <v>0</v>
      </c>
      <c r="DH35" s="223">
        <f t="shared" ref="DH35" si="801">DG35</f>
        <v>0</v>
      </c>
      <c r="DI35" s="223">
        <f t="shared" ref="DI35" si="802">DH35</f>
        <v>0</v>
      </c>
      <c r="DJ35" s="223">
        <f t="shared" ref="DJ35" si="803">DI35</f>
        <v>0</v>
      </c>
      <c r="DK35" s="371">
        <f>Summary!$AL$12</f>
        <v>0</v>
      </c>
      <c r="DL35" s="223">
        <f t="shared" ref="DL35" si="804">DK35</f>
        <v>0</v>
      </c>
      <c r="DM35" s="223">
        <f t="shared" ref="DM35" si="805">DL35</f>
        <v>0</v>
      </c>
      <c r="DN35" s="223">
        <f t="shared" ref="DN35" si="806">DM35</f>
        <v>0</v>
      </c>
      <c r="DO35" s="223">
        <f t="shared" ref="DO35" si="807">DN35</f>
        <v>0</v>
      </c>
      <c r="DP35" s="223">
        <f t="shared" ref="DP35" si="808">DO35</f>
        <v>0</v>
      </c>
      <c r="DQ35" s="223">
        <f t="shared" ref="DQ35" si="809">DP35</f>
        <v>0</v>
      </c>
      <c r="DR35" s="223">
        <f t="shared" ref="DR35" si="810">DQ35</f>
        <v>0</v>
      </c>
      <c r="DS35" s="223">
        <f t="shared" ref="DS35" si="811">DR35</f>
        <v>0</v>
      </c>
      <c r="DT35" s="223">
        <f t="shared" ref="DT35" si="812">DS35</f>
        <v>0</v>
      </c>
      <c r="DU35" s="223">
        <f t="shared" ref="DU35" si="813">DT35</f>
        <v>0</v>
      </c>
      <c r="DV35" s="471">
        <f t="shared" ref="DV35" si="814">DU35</f>
        <v>0</v>
      </c>
      <c r="DW35" s="640"/>
      <c r="DX35" s="470"/>
      <c r="DY35" s="244"/>
      <c r="DZ35" s="244"/>
      <c r="EA35" s="244"/>
      <c r="EB35" s="244"/>
      <c r="EC35" s="244"/>
      <c r="ED35" s="244"/>
      <c r="EE35" s="244"/>
      <c r="EF35" s="244"/>
      <c r="EG35" s="244"/>
      <c r="EH35" s="244"/>
      <c r="EI35" s="510"/>
      <c r="EJ35" s="30"/>
      <c r="EK35" s="244"/>
      <c r="EL35" s="244"/>
      <c r="EM35" s="244"/>
      <c r="EN35" s="244"/>
      <c r="EO35" s="244"/>
      <c r="EP35" s="510"/>
    </row>
    <row r="36" spans="2:146" outlineLevel="1" x14ac:dyDescent="0.3">
      <c r="B36" s="225" t="s">
        <v>181</v>
      </c>
      <c r="C36" s="245" t="s">
        <v>685</v>
      </c>
      <c r="D36" s="227"/>
      <c r="E36" s="474"/>
      <c r="F36" s="679">
        <f>F34*F35</f>
        <v>0</v>
      </c>
      <c r="G36" s="234">
        <f t="shared" ref="G36:BN36" si="815">G34*G35</f>
        <v>0</v>
      </c>
      <c r="H36" s="234">
        <f t="shared" si="815"/>
        <v>0</v>
      </c>
      <c r="I36" s="234">
        <f t="shared" si="815"/>
        <v>0</v>
      </c>
      <c r="J36" s="234">
        <f t="shared" si="815"/>
        <v>0</v>
      </c>
      <c r="K36" s="234">
        <f t="shared" si="815"/>
        <v>0</v>
      </c>
      <c r="L36" s="234">
        <f t="shared" si="815"/>
        <v>0</v>
      </c>
      <c r="M36" s="234">
        <f t="shared" si="815"/>
        <v>0</v>
      </c>
      <c r="N36" s="234">
        <f t="shared" si="815"/>
        <v>0</v>
      </c>
      <c r="O36" s="234">
        <f t="shared" si="815"/>
        <v>0</v>
      </c>
      <c r="P36" s="234">
        <f t="shared" si="815"/>
        <v>0</v>
      </c>
      <c r="Q36" s="234">
        <f t="shared" si="815"/>
        <v>0</v>
      </c>
      <c r="R36" s="234">
        <f t="shared" si="815"/>
        <v>0</v>
      </c>
      <c r="S36" s="234">
        <f t="shared" si="815"/>
        <v>0</v>
      </c>
      <c r="T36" s="234">
        <f t="shared" si="815"/>
        <v>0</v>
      </c>
      <c r="U36" s="234">
        <f t="shared" si="815"/>
        <v>0</v>
      </c>
      <c r="V36" s="234">
        <f t="shared" si="815"/>
        <v>0</v>
      </c>
      <c r="W36" s="234">
        <f t="shared" si="815"/>
        <v>0</v>
      </c>
      <c r="X36" s="234">
        <f t="shared" si="815"/>
        <v>0</v>
      </c>
      <c r="Y36" s="234">
        <f t="shared" si="815"/>
        <v>0</v>
      </c>
      <c r="Z36" s="234">
        <f t="shared" si="815"/>
        <v>0</v>
      </c>
      <c r="AA36" s="234">
        <f t="shared" si="815"/>
        <v>0</v>
      </c>
      <c r="AB36" s="234">
        <f t="shared" si="815"/>
        <v>0</v>
      </c>
      <c r="AC36" s="234">
        <f t="shared" si="815"/>
        <v>0</v>
      </c>
      <c r="AD36" s="234">
        <f t="shared" si="815"/>
        <v>0</v>
      </c>
      <c r="AE36" s="234">
        <f t="shared" si="815"/>
        <v>0</v>
      </c>
      <c r="AF36" s="234">
        <f t="shared" si="815"/>
        <v>0</v>
      </c>
      <c r="AG36" s="234">
        <f t="shared" si="815"/>
        <v>0</v>
      </c>
      <c r="AH36" s="234">
        <f t="shared" si="815"/>
        <v>0</v>
      </c>
      <c r="AI36" s="234">
        <f t="shared" si="815"/>
        <v>0</v>
      </c>
      <c r="AJ36" s="234">
        <f t="shared" si="815"/>
        <v>0</v>
      </c>
      <c r="AK36" s="234">
        <f t="shared" si="815"/>
        <v>0</v>
      </c>
      <c r="AL36" s="234">
        <f t="shared" si="815"/>
        <v>0</v>
      </c>
      <c r="AM36" s="234">
        <f t="shared" si="815"/>
        <v>0</v>
      </c>
      <c r="AN36" s="234">
        <f t="shared" si="815"/>
        <v>0</v>
      </c>
      <c r="AO36" s="234">
        <f t="shared" si="815"/>
        <v>0</v>
      </c>
      <c r="AP36" s="234">
        <f t="shared" si="815"/>
        <v>0</v>
      </c>
      <c r="AQ36" s="234">
        <f t="shared" si="815"/>
        <v>0</v>
      </c>
      <c r="AR36" s="228">
        <f t="shared" si="815"/>
        <v>0</v>
      </c>
      <c r="AS36" s="228">
        <f t="shared" si="815"/>
        <v>0</v>
      </c>
      <c r="AT36" s="228">
        <f t="shared" si="815"/>
        <v>0</v>
      </c>
      <c r="AU36" s="228">
        <f t="shared" si="815"/>
        <v>0</v>
      </c>
      <c r="AV36" s="228">
        <f t="shared" si="815"/>
        <v>0</v>
      </c>
      <c r="AW36" s="228">
        <f t="shared" si="815"/>
        <v>0</v>
      </c>
      <c r="AX36" s="228">
        <f t="shared" si="815"/>
        <v>0</v>
      </c>
      <c r="AY36" s="228">
        <f t="shared" si="815"/>
        <v>0</v>
      </c>
      <c r="AZ36" s="228">
        <f t="shared" si="815"/>
        <v>0</v>
      </c>
      <c r="BA36" s="228">
        <f t="shared" si="815"/>
        <v>0</v>
      </c>
      <c r="BB36" s="228">
        <f t="shared" si="815"/>
        <v>0</v>
      </c>
      <c r="BC36" s="234">
        <f t="shared" si="815"/>
        <v>0</v>
      </c>
      <c r="BD36" s="228">
        <f t="shared" si="815"/>
        <v>0</v>
      </c>
      <c r="BE36" s="228">
        <f t="shared" si="815"/>
        <v>0</v>
      </c>
      <c r="BF36" s="228">
        <f t="shared" si="815"/>
        <v>0</v>
      </c>
      <c r="BG36" s="228">
        <f t="shared" si="815"/>
        <v>0</v>
      </c>
      <c r="BH36" s="228">
        <f t="shared" si="815"/>
        <v>0</v>
      </c>
      <c r="BI36" s="228">
        <f t="shared" si="815"/>
        <v>0</v>
      </c>
      <c r="BJ36" s="228">
        <f t="shared" si="815"/>
        <v>0</v>
      </c>
      <c r="BK36" s="228">
        <f t="shared" si="815"/>
        <v>0</v>
      </c>
      <c r="BL36" s="228">
        <f t="shared" si="815"/>
        <v>0</v>
      </c>
      <c r="BM36" s="228">
        <f t="shared" si="815"/>
        <v>0</v>
      </c>
      <c r="BN36" s="228">
        <f t="shared" si="815"/>
        <v>0</v>
      </c>
      <c r="BO36" s="234">
        <f t="shared" ref="BO36" si="816">BO34*BO35</f>
        <v>0</v>
      </c>
      <c r="BP36" s="228">
        <f t="shared" ref="BP36:DV36" si="817">BP34*BP35</f>
        <v>0</v>
      </c>
      <c r="BQ36" s="228">
        <f t="shared" si="817"/>
        <v>0</v>
      </c>
      <c r="BR36" s="228">
        <f t="shared" si="817"/>
        <v>0</v>
      </c>
      <c r="BS36" s="228">
        <f t="shared" si="817"/>
        <v>0</v>
      </c>
      <c r="BT36" s="228">
        <f t="shared" si="817"/>
        <v>0</v>
      </c>
      <c r="BU36" s="228">
        <f t="shared" si="817"/>
        <v>0</v>
      </c>
      <c r="BV36" s="228">
        <f t="shared" si="817"/>
        <v>0</v>
      </c>
      <c r="BW36" s="228">
        <f t="shared" si="817"/>
        <v>0</v>
      </c>
      <c r="BX36" s="228">
        <f t="shared" si="817"/>
        <v>0</v>
      </c>
      <c r="BY36" s="228">
        <f t="shared" si="817"/>
        <v>0</v>
      </c>
      <c r="BZ36" s="228">
        <f t="shared" si="817"/>
        <v>0</v>
      </c>
      <c r="CA36" s="234">
        <f t="shared" si="817"/>
        <v>0</v>
      </c>
      <c r="CB36" s="228">
        <f t="shared" si="817"/>
        <v>0</v>
      </c>
      <c r="CC36" s="228">
        <f t="shared" si="817"/>
        <v>0</v>
      </c>
      <c r="CD36" s="228">
        <f t="shared" si="817"/>
        <v>0</v>
      </c>
      <c r="CE36" s="228">
        <f t="shared" si="817"/>
        <v>0</v>
      </c>
      <c r="CF36" s="228">
        <f t="shared" si="817"/>
        <v>0</v>
      </c>
      <c r="CG36" s="228">
        <f t="shared" si="817"/>
        <v>0</v>
      </c>
      <c r="CH36" s="228">
        <f t="shared" si="817"/>
        <v>0</v>
      </c>
      <c r="CI36" s="228">
        <f t="shared" si="817"/>
        <v>0</v>
      </c>
      <c r="CJ36" s="228">
        <f t="shared" si="817"/>
        <v>0</v>
      </c>
      <c r="CK36" s="228">
        <f t="shared" si="817"/>
        <v>0</v>
      </c>
      <c r="CL36" s="228">
        <f t="shared" si="817"/>
        <v>0</v>
      </c>
      <c r="CM36" s="234">
        <f t="shared" si="817"/>
        <v>0</v>
      </c>
      <c r="CN36" s="228">
        <f t="shared" si="817"/>
        <v>0</v>
      </c>
      <c r="CO36" s="228">
        <f t="shared" si="817"/>
        <v>0</v>
      </c>
      <c r="CP36" s="228">
        <f t="shared" si="817"/>
        <v>0</v>
      </c>
      <c r="CQ36" s="228">
        <f t="shared" si="817"/>
        <v>0</v>
      </c>
      <c r="CR36" s="228">
        <f t="shared" si="817"/>
        <v>0</v>
      </c>
      <c r="CS36" s="228">
        <f t="shared" si="817"/>
        <v>0</v>
      </c>
      <c r="CT36" s="228">
        <f t="shared" si="817"/>
        <v>0</v>
      </c>
      <c r="CU36" s="228">
        <f t="shared" si="817"/>
        <v>0</v>
      </c>
      <c r="CV36" s="228">
        <f t="shared" si="817"/>
        <v>0</v>
      </c>
      <c r="CW36" s="228">
        <f t="shared" si="817"/>
        <v>0</v>
      </c>
      <c r="CX36" s="228">
        <f t="shared" si="817"/>
        <v>0</v>
      </c>
      <c r="CY36" s="234">
        <f t="shared" si="817"/>
        <v>0</v>
      </c>
      <c r="CZ36" s="228">
        <f t="shared" si="817"/>
        <v>0</v>
      </c>
      <c r="DA36" s="228">
        <f t="shared" si="817"/>
        <v>0</v>
      </c>
      <c r="DB36" s="228">
        <f t="shared" si="817"/>
        <v>0</v>
      </c>
      <c r="DC36" s="228">
        <f t="shared" si="817"/>
        <v>0</v>
      </c>
      <c r="DD36" s="228">
        <f t="shared" si="817"/>
        <v>0</v>
      </c>
      <c r="DE36" s="228">
        <f t="shared" si="817"/>
        <v>0</v>
      </c>
      <c r="DF36" s="228">
        <f t="shared" si="817"/>
        <v>0</v>
      </c>
      <c r="DG36" s="228">
        <f t="shared" si="817"/>
        <v>0</v>
      </c>
      <c r="DH36" s="228">
        <f t="shared" si="817"/>
        <v>0</v>
      </c>
      <c r="DI36" s="228">
        <f t="shared" si="817"/>
        <v>0</v>
      </c>
      <c r="DJ36" s="228">
        <f t="shared" si="817"/>
        <v>0</v>
      </c>
      <c r="DK36" s="234">
        <f t="shared" si="817"/>
        <v>0</v>
      </c>
      <c r="DL36" s="228">
        <f t="shared" si="817"/>
        <v>0</v>
      </c>
      <c r="DM36" s="228">
        <f t="shared" si="817"/>
        <v>0</v>
      </c>
      <c r="DN36" s="228">
        <f t="shared" si="817"/>
        <v>0</v>
      </c>
      <c r="DO36" s="228">
        <f t="shared" si="817"/>
        <v>0</v>
      </c>
      <c r="DP36" s="228">
        <f t="shared" si="817"/>
        <v>0</v>
      </c>
      <c r="DQ36" s="228">
        <f t="shared" si="817"/>
        <v>0</v>
      </c>
      <c r="DR36" s="228">
        <f t="shared" si="817"/>
        <v>0</v>
      </c>
      <c r="DS36" s="228">
        <f t="shared" si="817"/>
        <v>0</v>
      </c>
      <c r="DT36" s="228">
        <f t="shared" si="817"/>
        <v>0</v>
      </c>
      <c r="DU36" s="228">
        <f t="shared" si="817"/>
        <v>0</v>
      </c>
      <c r="DV36" s="472">
        <f t="shared" si="817"/>
        <v>0</v>
      </c>
      <c r="DW36" s="717"/>
      <c r="DX36" s="505">
        <f>SUM(D36:F36)</f>
        <v>0</v>
      </c>
      <c r="DY36" s="229">
        <f>SUM(G36:I36)</f>
        <v>0</v>
      </c>
      <c r="DZ36" s="229">
        <f>SUM(J36:L36)</f>
        <v>0</v>
      </c>
      <c r="EA36" s="229">
        <f>SUM(M36:O36)</f>
        <v>0</v>
      </c>
      <c r="EB36" s="229">
        <f>SUM(P36:R36)</f>
        <v>0</v>
      </c>
      <c r="EC36" s="230">
        <f>SUM(D36:R36)</f>
        <v>0</v>
      </c>
      <c r="ED36" s="230">
        <f>SUM(S36:AD36)</f>
        <v>0</v>
      </c>
      <c r="EE36" s="230">
        <f>SUM(AE36:AP36)</f>
        <v>0</v>
      </c>
      <c r="EF36" s="231">
        <f>SUM(EC36:EE36)</f>
        <v>0</v>
      </c>
      <c r="EG36" s="230">
        <f>SUM(AQ36:BB36)</f>
        <v>0</v>
      </c>
      <c r="EH36" s="230">
        <f>SUM(BC36:BN36)</f>
        <v>0</v>
      </c>
      <c r="EI36" s="506">
        <f>SUM(EF36:EH36)</f>
        <v>0</v>
      </c>
      <c r="EJ36" s="30">
        <v>0</v>
      </c>
      <c r="EK36" s="230">
        <f t="shared" si="4"/>
        <v>0</v>
      </c>
      <c r="EL36" s="230">
        <f t="shared" si="5"/>
        <v>0</v>
      </c>
      <c r="EM36" s="230">
        <f t="shared" si="6"/>
        <v>0</v>
      </c>
      <c r="EN36" s="230">
        <f t="shared" si="7"/>
        <v>0</v>
      </c>
      <c r="EO36" s="230">
        <f t="shared" si="8"/>
        <v>0</v>
      </c>
      <c r="EP36" s="506">
        <f t="shared" ref="EP36" si="818">SUM(EC36:EE36,EG36:EH36,EK36:EO36)</f>
        <v>0</v>
      </c>
    </row>
    <row r="37" spans="2:146" outlineLevel="1" x14ac:dyDescent="0.3">
      <c r="B37" s="209" t="s">
        <v>182</v>
      </c>
      <c r="C37" s="210"/>
      <c r="D37" s="211"/>
      <c r="E37" s="468"/>
      <c r="F37" s="211">
        <f>Data!G53*(1-Data!G$10)</f>
        <v>1.2924521072796933</v>
      </c>
      <c r="G37" s="212">
        <f>Data!H53*(1-Data!H$10)</f>
        <v>1.2924521072796933</v>
      </c>
      <c r="H37" s="212">
        <f>Data!I53*(1-Data!I$10)</f>
        <v>1.2924521072796933</v>
      </c>
      <c r="I37" s="212">
        <f>Data!J53*(1-Data!J$10)</f>
        <v>1.2924521072796933</v>
      </c>
      <c r="J37" s="212">
        <f>Data!K53*(1-Data!K$10)</f>
        <v>1.2924521072796933</v>
      </c>
      <c r="K37" s="212">
        <f>Data!L53*(1-Data!L$10)</f>
        <v>1.2924521072796933</v>
      </c>
      <c r="L37" s="212">
        <f>Data!M53*(1-Data!M$10)</f>
        <v>0.99419392867668732</v>
      </c>
      <c r="M37" s="212">
        <f>Data!N53*(1-Data!N$10)</f>
        <v>0.99419392867668732</v>
      </c>
      <c r="N37" s="212">
        <f>Data!O53*(1-Data!O$10)</f>
        <v>0.99419392867668732</v>
      </c>
      <c r="O37" s="212">
        <f>Data!P53*(1-Data!P$10)</f>
        <v>0.99419392867668732</v>
      </c>
      <c r="P37" s="212">
        <f>Data!Q53*(1-Data!Q$10)</f>
        <v>0.99419392867668732</v>
      </c>
      <c r="Q37" s="212">
        <f>Data!R53*(1-Data!R$10)</f>
        <v>0.99419392867668732</v>
      </c>
      <c r="R37" s="212">
        <f>Data!S53*(1-Data!S$10)</f>
        <v>0.99419392867668732</v>
      </c>
      <c r="S37" s="212">
        <f>Data!T53*(1-Data!T$10)</f>
        <v>0.99419392867668732</v>
      </c>
      <c r="T37" s="212">
        <f>Data!U53*(1-Data!U$10)</f>
        <v>0.99419392867668732</v>
      </c>
      <c r="U37" s="212">
        <f>Data!V53*(1-Data!V$10)</f>
        <v>0.99419392867668732</v>
      </c>
      <c r="V37" s="212">
        <f>Data!W53*(1-Data!W$10)</f>
        <v>0.99419392867668732</v>
      </c>
      <c r="W37" s="212">
        <f>Data!X53*(1-Data!X$10)</f>
        <v>0.99419392867668732</v>
      </c>
      <c r="X37" s="212">
        <f>Data!Y53*(1-Data!Y$10)</f>
        <v>0.99419392867668732</v>
      </c>
      <c r="Y37" s="212">
        <f>Data!Z53*(1-Data!Z$10)</f>
        <v>0.99419392867668732</v>
      </c>
      <c r="Z37" s="212">
        <f>Data!AA53*(1-Data!AA$10)</f>
        <v>0.99419392867668732</v>
      </c>
      <c r="AA37" s="212">
        <f>Data!AB53*(1-Data!AB$10)</f>
        <v>0.99419392867668732</v>
      </c>
      <c r="AB37" s="212">
        <f>Data!AC53*(1-Data!AC$10)</f>
        <v>0.99419392867668732</v>
      </c>
      <c r="AC37" s="212">
        <f>Data!AD53*(1-Data!AD$10)</f>
        <v>0.99419392867668732</v>
      </c>
      <c r="AD37" s="212">
        <f>Data!AE53*(1-Data!AE$10)</f>
        <v>0.99419392867668732</v>
      </c>
      <c r="AE37" s="212">
        <f>Data!AF53*(1-Data!AF$10)</f>
        <v>0.99419392867668732</v>
      </c>
      <c r="AF37" s="212">
        <f>Data!AG53*(1-Data!AG$10)</f>
        <v>0.99419392867668732</v>
      </c>
      <c r="AG37" s="212">
        <f>Data!AH53*(1-Data!AH$10)</f>
        <v>0.99419392867668732</v>
      </c>
      <c r="AH37" s="212">
        <f>Data!AI53*(1-Data!AI$10)</f>
        <v>0.99419392867668732</v>
      </c>
      <c r="AI37" s="212">
        <f>Data!AJ53*(1-Data!AJ$10)</f>
        <v>0.99419392867668732</v>
      </c>
      <c r="AJ37" s="212">
        <f>Data!AK53*(1-Data!AK$10)</f>
        <v>0.99419392867668732</v>
      </c>
      <c r="AK37" s="212">
        <f>Data!AL53*(1-Data!AL$10)</f>
        <v>0.99419392867668732</v>
      </c>
      <c r="AL37" s="212">
        <f>Data!AM53*(1-Data!AM$10)</f>
        <v>0.99419392867668732</v>
      </c>
      <c r="AM37" s="212">
        <f>Data!AN53*(1-Data!AN$10)</f>
        <v>0.99419392867668732</v>
      </c>
      <c r="AN37" s="212">
        <f>Data!AO53*(1-Data!AO$10)</f>
        <v>0.99419392867668732</v>
      </c>
      <c r="AO37" s="212">
        <f>Data!AP53*(1-Data!AP$10)</f>
        <v>0.99419392867668732</v>
      </c>
      <c r="AP37" s="212">
        <f>Data!AQ53*(1-Data!AQ$10)</f>
        <v>0.99419392867668732</v>
      </c>
      <c r="AQ37" s="212">
        <f>Data!AR53*(1-Data!AR$10)</f>
        <v>0.99419392867668732</v>
      </c>
      <c r="AR37" s="212">
        <f>Data!AS53*(1-Data!AS$10)</f>
        <v>0.99419392867668732</v>
      </c>
      <c r="AS37" s="212">
        <f>Data!AT53*(1-Data!AT$10)</f>
        <v>0.99419392867668732</v>
      </c>
      <c r="AT37" s="212">
        <f>Data!AU53*(1-Data!AU$10)</f>
        <v>0.99419392867668732</v>
      </c>
      <c r="AU37" s="212">
        <f>Data!AV53*(1-Data!AV$10)</f>
        <v>0.99419392867668732</v>
      </c>
      <c r="AV37" s="212">
        <f>Data!AW53*(1-Data!AW$10)</f>
        <v>0.99419392867668732</v>
      </c>
      <c r="AW37" s="212">
        <f>Data!AX53*(1-Data!AX$10)</f>
        <v>0.99419392867668732</v>
      </c>
      <c r="AX37" s="212">
        <f>Data!AY53*(1-Data!AY$10)</f>
        <v>0.99419392867668732</v>
      </c>
      <c r="AY37" s="212">
        <f>Data!AZ53*(1-Data!AZ$10)</f>
        <v>0.99419392867668732</v>
      </c>
      <c r="AZ37" s="212">
        <f>Data!BA53*(1-Data!BA$10)</f>
        <v>0.99419392867668732</v>
      </c>
      <c r="BA37" s="212">
        <f>Data!BB53*(1-Data!BB$10)</f>
        <v>0.99419392867668732</v>
      </c>
      <c r="BB37" s="212">
        <f>Data!BC53*(1-Data!BC$10)</f>
        <v>0.99419392867668732</v>
      </c>
      <c r="BC37" s="212">
        <f>Data!BD53*(1-Data!BD$10)</f>
        <v>0.99419392867668732</v>
      </c>
      <c r="BD37" s="212">
        <f>Data!BE53*(1-Data!BE$10)</f>
        <v>0.99419392867668732</v>
      </c>
      <c r="BE37" s="212">
        <f>Data!BF53*(1-Data!BF$10)</f>
        <v>0.99419392867668732</v>
      </c>
      <c r="BF37" s="212">
        <f>Data!BG53*(1-Data!BG$10)</f>
        <v>0.99419392867668732</v>
      </c>
      <c r="BG37" s="212">
        <f>Data!BH53*(1-Data!BH$10)</f>
        <v>0.99419392867668732</v>
      </c>
      <c r="BH37" s="212">
        <f>Data!BI53*(1-Data!BI$10)</f>
        <v>0.99419392867668732</v>
      </c>
      <c r="BI37" s="212">
        <f>Data!BJ53*(1-Data!BJ$10)</f>
        <v>0.99419392867668732</v>
      </c>
      <c r="BJ37" s="212">
        <f>Data!BK53*(1-Data!BK$10)</f>
        <v>0.99419392867668732</v>
      </c>
      <c r="BK37" s="212">
        <f>Data!BL53*(1-Data!BL$10)</f>
        <v>0.99419392867668732</v>
      </c>
      <c r="BL37" s="212">
        <f>Data!BM53*(1-Data!BM$10)</f>
        <v>0.99419392867668732</v>
      </c>
      <c r="BM37" s="212">
        <f>Data!BN53*(1-Data!BN$10)</f>
        <v>0.99419392867668732</v>
      </c>
      <c r="BN37" s="212">
        <f>Data!BO53*(1-Data!BO$10)</f>
        <v>0.99419392867668732</v>
      </c>
      <c r="BO37" s="212">
        <f>Data!BP53*(1-Data!BP$10)</f>
        <v>0.99419392867668732</v>
      </c>
      <c r="BP37" s="212">
        <f>Data!BQ53*(1-Data!BQ$10)</f>
        <v>0.99419392867668732</v>
      </c>
      <c r="BQ37" s="212">
        <f>Data!BR53*(1-Data!BR$10)</f>
        <v>0.99419392867668732</v>
      </c>
      <c r="BR37" s="212">
        <f>Data!BS53*(1-Data!BS$10)</f>
        <v>0.99419392867668732</v>
      </c>
      <c r="BS37" s="212">
        <f>Data!BT53*(1-Data!BT$10)</f>
        <v>0.99419392867668732</v>
      </c>
      <c r="BT37" s="212">
        <f>Data!BU53*(1-Data!BU$10)</f>
        <v>0.99419392867668732</v>
      </c>
      <c r="BU37" s="212">
        <f>Data!BV53*(1-Data!BV$10)</f>
        <v>0.99419392867668732</v>
      </c>
      <c r="BV37" s="212">
        <f>Data!BW53*(1-Data!BW$10)</f>
        <v>0.99419392867668732</v>
      </c>
      <c r="BW37" s="212">
        <f>Data!BX53*(1-Data!BX$10)</f>
        <v>0.99419392867668732</v>
      </c>
      <c r="BX37" s="212">
        <f>Data!BY53*(1-Data!BY$10)</f>
        <v>0.99419392867668732</v>
      </c>
      <c r="BY37" s="212">
        <f>Data!BZ53*(1-Data!BZ$10)</f>
        <v>0.99419392867668732</v>
      </c>
      <c r="BZ37" s="212">
        <f>Data!CA53*(1-Data!CA$10)</f>
        <v>0.99419392867668732</v>
      </c>
      <c r="CA37" s="212">
        <f>Data!CB53*(1-Data!CB$10)</f>
        <v>0.99419392867668732</v>
      </c>
      <c r="CB37" s="212">
        <f>Data!CC53*(1-Data!CC$10)</f>
        <v>0.99419392867668732</v>
      </c>
      <c r="CC37" s="212">
        <f>Data!CD53*(1-Data!CD$10)</f>
        <v>0.99419392867668732</v>
      </c>
      <c r="CD37" s="212">
        <f>Data!CE53*(1-Data!CE$10)</f>
        <v>0.99419392867668732</v>
      </c>
      <c r="CE37" s="212">
        <f>Data!CF53*(1-Data!CF$10)</f>
        <v>0.99419392867668732</v>
      </c>
      <c r="CF37" s="212">
        <f>Data!CG53*(1-Data!CG$10)</f>
        <v>0.99419392867668732</v>
      </c>
      <c r="CG37" s="212">
        <f>Data!CH53*(1-Data!CH$10)</f>
        <v>0.99419392867668732</v>
      </c>
      <c r="CH37" s="212">
        <f>Data!CI53*(1-Data!CI$10)</f>
        <v>0.99419392867668732</v>
      </c>
      <c r="CI37" s="212">
        <f>Data!CJ53*(1-Data!CJ$10)</f>
        <v>0.99419392867668732</v>
      </c>
      <c r="CJ37" s="212">
        <f>Data!CK53*(1-Data!CK$10)</f>
        <v>0.99419392867668732</v>
      </c>
      <c r="CK37" s="212">
        <f>Data!CL53*(1-Data!CL$10)</f>
        <v>0.99419392867668732</v>
      </c>
      <c r="CL37" s="212">
        <f>Data!CM53*(1-Data!CM$10)</f>
        <v>0.99419392867668732</v>
      </c>
      <c r="CM37" s="212">
        <f>Data!CN53*(1-Data!CN$10)</f>
        <v>0.99419392867668732</v>
      </c>
      <c r="CN37" s="212">
        <f>Data!CO53*(1-Data!CO$10)</f>
        <v>0.99419392867668732</v>
      </c>
      <c r="CO37" s="212">
        <f>Data!CP53*(1-Data!CP$10)</f>
        <v>0.99419392867668732</v>
      </c>
      <c r="CP37" s="212">
        <f>Data!CQ53*(1-Data!CQ$10)</f>
        <v>0.99419392867668732</v>
      </c>
      <c r="CQ37" s="212">
        <f>Data!CR53*(1-Data!CR$10)</f>
        <v>0.99419392867668732</v>
      </c>
      <c r="CR37" s="212">
        <f>Data!CS53*(1-Data!CS$10)</f>
        <v>0.99419392867668732</v>
      </c>
      <c r="CS37" s="212">
        <f>Data!CT53*(1-Data!CT$10)</f>
        <v>0.99419392867668732</v>
      </c>
      <c r="CT37" s="212">
        <f>Data!CU53*(1-Data!CU$10)</f>
        <v>0.99419392867668732</v>
      </c>
      <c r="CU37" s="212">
        <f>Data!CV53*(1-Data!CV$10)</f>
        <v>0.99419392867668732</v>
      </c>
      <c r="CV37" s="212">
        <f>Data!CW53*(1-Data!CW$10)</f>
        <v>0.99419392867668732</v>
      </c>
      <c r="CW37" s="212">
        <f>Data!CX53*(1-Data!CX$10)</f>
        <v>0.99419392867668732</v>
      </c>
      <c r="CX37" s="212">
        <f>Data!CY53*(1-Data!CY$10)</f>
        <v>0.99419392867668732</v>
      </c>
      <c r="CY37" s="212">
        <f>Data!CZ53*(1-Data!CZ$10)</f>
        <v>0.99419392867668732</v>
      </c>
      <c r="CZ37" s="212">
        <f>Data!DA53*(1-Data!DA$10)</f>
        <v>0.99419392867668732</v>
      </c>
      <c r="DA37" s="212">
        <f>Data!DB53*(1-Data!DB$10)</f>
        <v>0.99419392867668732</v>
      </c>
      <c r="DB37" s="212">
        <f>Data!DC53*(1-Data!DC$10)</f>
        <v>0.99419392867668732</v>
      </c>
      <c r="DC37" s="212">
        <f>Data!DD53*(1-Data!DD$10)</f>
        <v>0.99419392867668732</v>
      </c>
      <c r="DD37" s="212">
        <f>Data!DE53*(1-Data!DE$10)</f>
        <v>0.99419392867668732</v>
      </c>
      <c r="DE37" s="212">
        <f>Data!DF53*(1-Data!DF$10)</f>
        <v>0.99419392867668732</v>
      </c>
      <c r="DF37" s="212">
        <f>Data!DG53*(1-Data!DG$10)</f>
        <v>0.99419392867668732</v>
      </c>
      <c r="DG37" s="212">
        <f>Data!DH53*(1-Data!DH$10)</f>
        <v>0.99419392867668732</v>
      </c>
      <c r="DH37" s="212">
        <f>Data!DI53*(1-Data!DI$10)</f>
        <v>0.99419392867668732</v>
      </c>
      <c r="DI37" s="212">
        <f>Data!DJ53*(1-Data!DJ$10)</f>
        <v>0.99419392867668732</v>
      </c>
      <c r="DJ37" s="212">
        <f>Data!DK53*(1-Data!DK$10)</f>
        <v>0.99419392867668732</v>
      </c>
      <c r="DK37" s="212">
        <f>Data!DL53*(1-Data!DL$10)</f>
        <v>0.99419392867668732</v>
      </c>
      <c r="DL37" s="212">
        <f>Data!DM53*(1-Data!DM$10)</f>
        <v>0.99419392867668732</v>
      </c>
      <c r="DM37" s="212">
        <f>Data!DN53*(1-Data!DN$10)</f>
        <v>0.99419392867668732</v>
      </c>
      <c r="DN37" s="212">
        <f>Data!DO53*(1-Data!DO$10)</f>
        <v>0.99419392867668732</v>
      </c>
      <c r="DO37" s="212">
        <f>Data!DP53*(1-Data!DP$10)</f>
        <v>0.99419392867668732</v>
      </c>
      <c r="DP37" s="212">
        <f>Data!DQ53*(1-Data!DQ$10)</f>
        <v>0.99419392867668732</v>
      </c>
      <c r="DQ37" s="212">
        <f>Data!DR53*(1-Data!DR$10)</f>
        <v>0.99419392867668732</v>
      </c>
      <c r="DR37" s="212">
        <f>Data!DS53*(1-Data!DS$10)</f>
        <v>0.99419392867668732</v>
      </c>
      <c r="DS37" s="212">
        <f>Data!DT53*(1-Data!DT$10)</f>
        <v>0.99419392867668732</v>
      </c>
      <c r="DT37" s="212">
        <f>Data!DU53*(1-Data!DU$10)</f>
        <v>0.99419392867668732</v>
      </c>
      <c r="DU37" s="212">
        <f>Data!DV53*(1-Data!DV$10)</f>
        <v>0.99419392867668732</v>
      </c>
      <c r="DV37" s="468">
        <f>Data!DW53*(1-Data!DW$10)</f>
        <v>0.99419392867668732</v>
      </c>
      <c r="DW37" s="715"/>
      <c r="DX37" s="211"/>
      <c r="DY37" s="213"/>
      <c r="DZ37" s="213"/>
      <c r="EA37" s="213"/>
      <c r="EB37" s="213"/>
      <c r="EC37" s="213"/>
      <c r="ED37" s="213"/>
      <c r="EE37" s="213"/>
      <c r="EF37" s="214"/>
      <c r="EG37" s="213"/>
      <c r="EH37" s="213"/>
      <c r="EI37" s="500"/>
      <c r="EJ37" s="30"/>
      <c r="EK37" s="213"/>
      <c r="EL37" s="213"/>
      <c r="EM37" s="213"/>
      <c r="EN37" s="213"/>
      <c r="EO37" s="213"/>
      <c r="EP37" s="500"/>
    </row>
    <row r="38" spans="2:146" outlineLevel="1" x14ac:dyDescent="0.3">
      <c r="B38" s="225" t="s">
        <v>183</v>
      </c>
      <c r="C38" s="245"/>
      <c r="D38" s="227"/>
      <c r="E38" s="474"/>
      <c r="F38" s="215">
        <f t="shared" ref="F38" si="819">F37*$A$16*$A$17*5</f>
        <v>193.67394827586202</v>
      </c>
      <c r="G38" s="216">
        <f t="shared" ref="G38:BN38" si="820">(G37*$A$10*$A$9*G$2)</f>
        <v>232.6413793103448</v>
      </c>
      <c r="H38" s="216">
        <f t="shared" si="820"/>
        <v>257.56724137931036</v>
      </c>
      <c r="I38" s="216">
        <f t="shared" si="820"/>
        <v>249.25862068965515</v>
      </c>
      <c r="J38" s="216">
        <f t="shared" si="820"/>
        <v>257.56724137931036</v>
      </c>
      <c r="K38" s="216">
        <f t="shared" si="820"/>
        <v>249.25862068965515</v>
      </c>
      <c r="L38" s="216">
        <f t="shared" si="820"/>
        <v>198.12864721485414</v>
      </c>
      <c r="M38" s="216">
        <f t="shared" si="820"/>
        <v>198.12864721485414</v>
      </c>
      <c r="N38" s="216">
        <f t="shared" si="820"/>
        <v>191.737400530504</v>
      </c>
      <c r="O38" s="216">
        <f t="shared" si="820"/>
        <v>198.12864721485414</v>
      </c>
      <c r="P38" s="216">
        <f t="shared" si="820"/>
        <v>191.737400530504</v>
      </c>
      <c r="Q38" s="216">
        <f t="shared" si="820"/>
        <v>198.12864721485414</v>
      </c>
      <c r="R38" s="216">
        <f t="shared" si="820"/>
        <v>198.12864721485414</v>
      </c>
      <c r="S38" s="216">
        <f t="shared" si="820"/>
        <v>185.34615384615387</v>
      </c>
      <c r="T38" s="216">
        <f t="shared" si="820"/>
        <v>198.12864721485414</v>
      </c>
      <c r="U38" s="216">
        <f t="shared" si="820"/>
        <v>191.737400530504</v>
      </c>
      <c r="V38" s="216">
        <f t="shared" si="820"/>
        <v>198.12864721485414</v>
      </c>
      <c r="W38" s="216">
        <f t="shared" si="820"/>
        <v>191.737400530504</v>
      </c>
      <c r="X38" s="216">
        <f t="shared" si="820"/>
        <v>198.12864721485414</v>
      </c>
      <c r="Y38" s="216">
        <f t="shared" si="820"/>
        <v>198.12864721485414</v>
      </c>
      <c r="Z38" s="216">
        <f t="shared" si="820"/>
        <v>191.737400530504</v>
      </c>
      <c r="AA38" s="216">
        <f t="shared" si="820"/>
        <v>198.12864721485414</v>
      </c>
      <c r="AB38" s="216">
        <f t="shared" si="820"/>
        <v>191.737400530504</v>
      </c>
      <c r="AC38" s="216">
        <f t="shared" si="820"/>
        <v>198.12864721485414</v>
      </c>
      <c r="AD38" s="216">
        <f t="shared" si="820"/>
        <v>198.12864721485414</v>
      </c>
      <c r="AE38" s="216">
        <f t="shared" si="820"/>
        <v>178.95490716180373</v>
      </c>
      <c r="AF38" s="216">
        <f t="shared" si="820"/>
        <v>198.12864721485414</v>
      </c>
      <c r="AG38" s="216">
        <f t="shared" si="820"/>
        <v>191.737400530504</v>
      </c>
      <c r="AH38" s="216">
        <f t="shared" si="820"/>
        <v>198.12864721485414</v>
      </c>
      <c r="AI38" s="216">
        <f t="shared" si="820"/>
        <v>191.737400530504</v>
      </c>
      <c r="AJ38" s="216">
        <f t="shared" si="820"/>
        <v>198.12864721485414</v>
      </c>
      <c r="AK38" s="216">
        <f t="shared" si="820"/>
        <v>198.12864721485414</v>
      </c>
      <c r="AL38" s="216">
        <f t="shared" si="820"/>
        <v>191.737400530504</v>
      </c>
      <c r="AM38" s="216">
        <f t="shared" si="820"/>
        <v>198.12864721485414</v>
      </c>
      <c r="AN38" s="216">
        <f t="shared" si="820"/>
        <v>191.737400530504</v>
      </c>
      <c r="AO38" s="216">
        <f t="shared" si="820"/>
        <v>198.12864721485414</v>
      </c>
      <c r="AP38" s="216">
        <f t="shared" si="820"/>
        <v>198.12864721485414</v>
      </c>
      <c r="AQ38" s="216">
        <f t="shared" si="820"/>
        <v>178.95490716180373</v>
      </c>
      <c r="AR38" s="216">
        <f t="shared" si="820"/>
        <v>198.12864721485414</v>
      </c>
      <c r="AS38" s="216">
        <f t="shared" si="820"/>
        <v>191.737400530504</v>
      </c>
      <c r="AT38" s="216">
        <f t="shared" si="820"/>
        <v>198.12864721485414</v>
      </c>
      <c r="AU38" s="216">
        <f t="shared" si="820"/>
        <v>191.737400530504</v>
      </c>
      <c r="AV38" s="216">
        <f t="shared" si="820"/>
        <v>198.12864721485414</v>
      </c>
      <c r="AW38" s="216">
        <f t="shared" si="820"/>
        <v>198.12864721485414</v>
      </c>
      <c r="AX38" s="216">
        <f t="shared" si="820"/>
        <v>191.737400530504</v>
      </c>
      <c r="AY38" s="216">
        <f t="shared" si="820"/>
        <v>198.12864721485414</v>
      </c>
      <c r="AZ38" s="216">
        <f t="shared" si="820"/>
        <v>191.737400530504</v>
      </c>
      <c r="BA38" s="216">
        <f t="shared" si="820"/>
        <v>198.12864721485414</v>
      </c>
      <c r="BB38" s="216">
        <f t="shared" si="820"/>
        <v>198.12864721485414</v>
      </c>
      <c r="BC38" s="216">
        <f t="shared" si="820"/>
        <v>178.95490716180373</v>
      </c>
      <c r="BD38" s="216">
        <f t="shared" si="820"/>
        <v>198.12864721485414</v>
      </c>
      <c r="BE38" s="216">
        <f t="shared" si="820"/>
        <v>191.737400530504</v>
      </c>
      <c r="BF38" s="216">
        <f t="shared" si="820"/>
        <v>198.12864721485414</v>
      </c>
      <c r="BG38" s="216">
        <f t="shared" si="820"/>
        <v>191.737400530504</v>
      </c>
      <c r="BH38" s="216">
        <f t="shared" si="820"/>
        <v>198.12864721485414</v>
      </c>
      <c r="BI38" s="216">
        <f t="shared" si="820"/>
        <v>198.12864721485414</v>
      </c>
      <c r="BJ38" s="216">
        <f t="shared" si="820"/>
        <v>191.737400530504</v>
      </c>
      <c r="BK38" s="216">
        <f t="shared" si="820"/>
        <v>198.12864721485414</v>
      </c>
      <c r="BL38" s="216">
        <f t="shared" si="820"/>
        <v>191.737400530504</v>
      </c>
      <c r="BM38" s="216">
        <f t="shared" si="820"/>
        <v>198.12864721485414</v>
      </c>
      <c r="BN38" s="216">
        <f t="shared" si="820"/>
        <v>198.12864721485414</v>
      </c>
      <c r="BO38" s="216">
        <f t="shared" ref="BO38" si="821">(BO37*$A$10*$A$9*BO$2)</f>
        <v>185.34615384615387</v>
      </c>
      <c r="BP38" s="216">
        <f t="shared" ref="BP38:DV38" si="822">(BP37*$A$10*$A$9*BP$2)</f>
        <v>198.12864721485414</v>
      </c>
      <c r="BQ38" s="216">
        <f t="shared" si="822"/>
        <v>191.737400530504</v>
      </c>
      <c r="BR38" s="216">
        <f t="shared" si="822"/>
        <v>198.12864721485414</v>
      </c>
      <c r="BS38" s="216">
        <f t="shared" si="822"/>
        <v>191.737400530504</v>
      </c>
      <c r="BT38" s="216">
        <f t="shared" si="822"/>
        <v>198.12864721485414</v>
      </c>
      <c r="BU38" s="216">
        <f t="shared" si="822"/>
        <v>198.12864721485414</v>
      </c>
      <c r="BV38" s="216">
        <f t="shared" si="822"/>
        <v>191.737400530504</v>
      </c>
      <c r="BW38" s="216">
        <f t="shared" si="822"/>
        <v>198.12864721485414</v>
      </c>
      <c r="BX38" s="216">
        <f t="shared" si="822"/>
        <v>191.737400530504</v>
      </c>
      <c r="BY38" s="216">
        <f t="shared" si="822"/>
        <v>198.12864721485414</v>
      </c>
      <c r="BZ38" s="216">
        <f t="shared" si="822"/>
        <v>198.12864721485414</v>
      </c>
      <c r="CA38" s="216">
        <f t="shared" si="822"/>
        <v>178.95490716180373</v>
      </c>
      <c r="CB38" s="216">
        <f t="shared" si="822"/>
        <v>198.12864721485414</v>
      </c>
      <c r="CC38" s="216">
        <f t="shared" si="822"/>
        <v>191.737400530504</v>
      </c>
      <c r="CD38" s="216">
        <f t="shared" si="822"/>
        <v>198.12864721485414</v>
      </c>
      <c r="CE38" s="216">
        <f t="shared" si="822"/>
        <v>191.737400530504</v>
      </c>
      <c r="CF38" s="216">
        <f t="shared" si="822"/>
        <v>198.12864721485414</v>
      </c>
      <c r="CG38" s="216">
        <f t="shared" si="822"/>
        <v>198.12864721485414</v>
      </c>
      <c r="CH38" s="216">
        <f t="shared" si="822"/>
        <v>191.737400530504</v>
      </c>
      <c r="CI38" s="216">
        <f t="shared" si="822"/>
        <v>198.12864721485414</v>
      </c>
      <c r="CJ38" s="216">
        <f t="shared" si="822"/>
        <v>191.737400530504</v>
      </c>
      <c r="CK38" s="216">
        <f t="shared" si="822"/>
        <v>198.12864721485414</v>
      </c>
      <c r="CL38" s="216">
        <f t="shared" si="822"/>
        <v>198.12864721485414</v>
      </c>
      <c r="CM38" s="216">
        <f t="shared" si="822"/>
        <v>178.95490716180373</v>
      </c>
      <c r="CN38" s="216">
        <f t="shared" si="822"/>
        <v>198.12864721485414</v>
      </c>
      <c r="CO38" s="216">
        <f t="shared" si="822"/>
        <v>191.737400530504</v>
      </c>
      <c r="CP38" s="216">
        <f t="shared" si="822"/>
        <v>198.12864721485414</v>
      </c>
      <c r="CQ38" s="216">
        <f t="shared" si="822"/>
        <v>191.737400530504</v>
      </c>
      <c r="CR38" s="216">
        <f t="shared" si="822"/>
        <v>198.12864721485414</v>
      </c>
      <c r="CS38" s="216">
        <f t="shared" si="822"/>
        <v>198.12864721485414</v>
      </c>
      <c r="CT38" s="216">
        <f t="shared" si="822"/>
        <v>191.737400530504</v>
      </c>
      <c r="CU38" s="216">
        <f t="shared" si="822"/>
        <v>198.12864721485414</v>
      </c>
      <c r="CV38" s="216">
        <f t="shared" si="822"/>
        <v>191.737400530504</v>
      </c>
      <c r="CW38" s="216">
        <f t="shared" si="822"/>
        <v>198.12864721485414</v>
      </c>
      <c r="CX38" s="216">
        <f t="shared" si="822"/>
        <v>198.12864721485414</v>
      </c>
      <c r="CY38" s="216">
        <f t="shared" si="822"/>
        <v>178.95490716180373</v>
      </c>
      <c r="CZ38" s="216">
        <f t="shared" si="822"/>
        <v>198.12864721485414</v>
      </c>
      <c r="DA38" s="216">
        <f t="shared" si="822"/>
        <v>191.737400530504</v>
      </c>
      <c r="DB38" s="216">
        <f t="shared" si="822"/>
        <v>198.12864721485414</v>
      </c>
      <c r="DC38" s="216">
        <f t="shared" si="822"/>
        <v>191.737400530504</v>
      </c>
      <c r="DD38" s="216">
        <f t="shared" si="822"/>
        <v>198.12864721485414</v>
      </c>
      <c r="DE38" s="216">
        <f t="shared" si="822"/>
        <v>198.12864721485414</v>
      </c>
      <c r="DF38" s="216">
        <f t="shared" si="822"/>
        <v>191.737400530504</v>
      </c>
      <c r="DG38" s="216">
        <f t="shared" si="822"/>
        <v>198.12864721485414</v>
      </c>
      <c r="DH38" s="216">
        <f t="shared" si="822"/>
        <v>191.737400530504</v>
      </c>
      <c r="DI38" s="216">
        <f t="shared" si="822"/>
        <v>198.12864721485414</v>
      </c>
      <c r="DJ38" s="216">
        <f t="shared" si="822"/>
        <v>198.12864721485414</v>
      </c>
      <c r="DK38" s="216">
        <f t="shared" si="822"/>
        <v>185.34615384615387</v>
      </c>
      <c r="DL38" s="216">
        <f t="shared" si="822"/>
        <v>198.12864721485414</v>
      </c>
      <c r="DM38" s="216">
        <f t="shared" si="822"/>
        <v>191.737400530504</v>
      </c>
      <c r="DN38" s="216">
        <f t="shared" si="822"/>
        <v>198.12864721485414</v>
      </c>
      <c r="DO38" s="216">
        <f t="shared" si="822"/>
        <v>191.737400530504</v>
      </c>
      <c r="DP38" s="216">
        <f t="shared" si="822"/>
        <v>198.12864721485414</v>
      </c>
      <c r="DQ38" s="216">
        <f t="shared" si="822"/>
        <v>198.12864721485414</v>
      </c>
      <c r="DR38" s="216">
        <f t="shared" si="822"/>
        <v>191.737400530504</v>
      </c>
      <c r="DS38" s="216">
        <f t="shared" si="822"/>
        <v>198.12864721485414</v>
      </c>
      <c r="DT38" s="216">
        <f t="shared" si="822"/>
        <v>191.737400530504</v>
      </c>
      <c r="DU38" s="216">
        <f t="shared" si="822"/>
        <v>198.12864721485414</v>
      </c>
      <c r="DV38" s="469">
        <f t="shared" si="822"/>
        <v>198.12864721485414</v>
      </c>
      <c r="DW38" s="716"/>
      <c r="DX38" s="501">
        <v>79.877333333333326</v>
      </c>
      <c r="DY38" s="217">
        <v>703.45752380952376</v>
      </c>
      <c r="DZ38" s="217">
        <v>785.3485714285714</v>
      </c>
      <c r="EA38" s="217">
        <v>802.80076190476188</v>
      </c>
      <c r="EB38" s="217">
        <v>802.80076190476188</v>
      </c>
      <c r="EC38" s="218"/>
      <c r="ED38" s="218"/>
      <c r="EE38" s="218"/>
      <c r="EF38" s="219"/>
      <c r="EG38" s="218"/>
      <c r="EH38" s="218"/>
      <c r="EI38" s="502"/>
      <c r="EJ38" s="30"/>
      <c r="EK38" s="218"/>
      <c r="EL38" s="218"/>
      <c r="EM38" s="218"/>
      <c r="EN38" s="218"/>
      <c r="EO38" s="218"/>
      <c r="EP38" s="502"/>
    </row>
    <row r="39" spans="2:146" outlineLevel="1" x14ac:dyDescent="0.3">
      <c r="B39" s="225" t="s">
        <v>184</v>
      </c>
      <c r="C39" s="245" t="s">
        <v>685</v>
      </c>
      <c r="D39" s="227"/>
      <c r="E39" s="474"/>
      <c r="F39" s="222">
        <f>Summary!$AC$13</f>
        <v>0</v>
      </c>
      <c r="G39" s="223">
        <f t="shared" ref="G39" si="823">F39</f>
        <v>0</v>
      </c>
      <c r="H39" s="223">
        <f t="shared" ref="H39" si="824">G39</f>
        <v>0</v>
      </c>
      <c r="I39" s="223">
        <f t="shared" ref="I39" si="825">H39</f>
        <v>0</v>
      </c>
      <c r="J39" s="223">
        <f t="shared" ref="J39" si="826">I39</f>
        <v>0</v>
      </c>
      <c r="K39" s="223">
        <f t="shared" ref="K39" si="827">J39</f>
        <v>0</v>
      </c>
      <c r="L39" s="223">
        <f t="shared" ref="L39" si="828">K39</f>
        <v>0</v>
      </c>
      <c r="M39" s="223">
        <f t="shared" ref="M39" si="829">L39</f>
        <v>0</v>
      </c>
      <c r="N39" s="223">
        <f t="shared" ref="N39" si="830">M39</f>
        <v>0</v>
      </c>
      <c r="O39" s="223">
        <f t="shared" ref="O39" si="831">N39</f>
        <v>0</v>
      </c>
      <c r="P39" s="223">
        <f t="shared" ref="P39" si="832">O39</f>
        <v>0</v>
      </c>
      <c r="Q39" s="223">
        <f t="shared" ref="Q39" si="833">P39</f>
        <v>0</v>
      </c>
      <c r="R39" s="223">
        <f t="shared" ref="R39" si="834">Q39</f>
        <v>0</v>
      </c>
      <c r="S39" s="371">
        <f>Summary!$AD$13</f>
        <v>0</v>
      </c>
      <c r="T39" s="223">
        <f t="shared" ref="T39" si="835">S39</f>
        <v>0</v>
      </c>
      <c r="U39" s="223">
        <f t="shared" ref="U39" si="836">T39</f>
        <v>0</v>
      </c>
      <c r="V39" s="223">
        <f t="shared" ref="V39" si="837">U39</f>
        <v>0</v>
      </c>
      <c r="W39" s="223">
        <f t="shared" ref="W39" si="838">V39</f>
        <v>0</v>
      </c>
      <c r="X39" s="223">
        <f t="shared" ref="X39" si="839">W39</f>
        <v>0</v>
      </c>
      <c r="Y39" s="223">
        <f t="shared" ref="Y39" si="840">X39</f>
        <v>0</v>
      </c>
      <c r="Z39" s="223">
        <f t="shared" ref="Z39" si="841">Y39</f>
        <v>0</v>
      </c>
      <c r="AA39" s="223">
        <f t="shared" ref="AA39" si="842">Z39</f>
        <v>0</v>
      </c>
      <c r="AB39" s="223">
        <f t="shared" ref="AB39" si="843">AA39</f>
        <v>0</v>
      </c>
      <c r="AC39" s="223">
        <f t="shared" ref="AC39" si="844">AB39</f>
        <v>0</v>
      </c>
      <c r="AD39" s="223">
        <f t="shared" ref="AD39" si="845">AC39</f>
        <v>0</v>
      </c>
      <c r="AE39" s="371">
        <f>Summary!$AE$13</f>
        <v>0</v>
      </c>
      <c r="AF39" s="223">
        <f t="shared" ref="AF39" si="846">AE39</f>
        <v>0</v>
      </c>
      <c r="AG39" s="223">
        <f t="shared" ref="AG39" si="847">AF39</f>
        <v>0</v>
      </c>
      <c r="AH39" s="223">
        <f t="shared" ref="AH39" si="848">AG39</f>
        <v>0</v>
      </c>
      <c r="AI39" s="223">
        <f t="shared" ref="AI39" si="849">AH39</f>
        <v>0</v>
      </c>
      <c r="AJ39" s="223">
        <f t="shared" ref="AJ39" si="850">AI39</f>
        <v>0</v>
      </c>
      <c r="AK39" s="223">
        <f t="shared" ref="AK39" si="851">AJ39</f>
        <v>0</v>
      </c>
      <c r="AL39" s="223">
        <f t="shared" ref="AL39" si="852">AK39</f>
        <v>0</v>
      </c>
      <c r="AM39" s="223">
        <f t="shared" ref="AM39" si="853">AL39</f>
        <v>0</v>
      </c>
      <c r="AN39" s="223">
        <f t="shared" ref="AN39" si="854">AM39</f>
        <v>0</v>
      </c>
      <c r="AO39" s="223">
        <f t="shared" ref="AO39" si="855">AN39</f>
        <v>0</v>
      </c>
      <c r="AP39" s="223">
        <f t="shared" ref="AP39" si="856">AO39</f>
        <v>0</v>
      </c>
      <c r="AQ39" s="371">
        <f>Summary!$AF$13</f>
        <v>0</v>
      </c>
      <c r="AR39" s="223">
        <f t="shared" ref="AR39" si="857">AQ39</f>
        <v>0</v>
      </c>
      <c r="AS39" s="223">
        <f t="shared" ref="AS39" si="858">AR39</f>
        <v>0</v>
      </c>
      <c r="AT39" s="223">
        <f t="shared" ref="AT39" si="859">AS39</f>
        <v>0</v>
      </c>
      <c r="AU39" s="223">
        <f t="shared" ref="AU39" si="860">AT39</f>
        <v>0</v>
      </c>
      <c r="AV39" s="223">
        <f t="shared" ref="AV39" si="861">AU39</f>
        <v>0</v>
      </c>
      <c r="AW39" s="223">
        <f t="shared" ref="AW39" si="862">AV39</f>
        <v>0</v>
      </c>
      <c r="AX39" s="223">
        <f t="shared" ref="AX39" si="863">AW39</f>
        <v>0</v>
      </c>
      <c r="AY39" s="223">
        <f t="shared" ref="AY39" si="864">AX39</f>
        <v>0</v>
      </c>
      <c r="AZ39" s="223">
        <f t="shared" ref="AZ39" si="865">AY39</f>
        <v>0</v>
      </c>
      <c r="BA39" s="223">
        <f t="shared" ref="BA39" si="866">AZ39</f>
        <v>0</v>
      </c>
      <c r="BB39" s="223">
        <f t="shared" ref="BB39" si="867">BA39</f>
        <v>0</v>
      </c>
      <c r="BC39" s="371">
        <f>Summary!$AG$13</f>
        <v>0</v>
      </c>
      <c r="BD39" s="223">
        <f>BC39</f>
        <v>0</v>
      </c>
      <c r="BE39" s="223">
        <f t="shared" ref="BE39:BN39" si="868">BD39</f>
        <v>0</v>
      </c>
      <c r="BF39" s="223">
        <f t="shared" si="868"/>
        <v>0</v>
      </c>
      <c r="BG39" s="223">
        <f t="shared" si="868"/>
        <v>0</v>
      </c>
      <c r="BH39" s="223">
        <f t="shared" si="868"/>
        <v>0</v>
      </c>
      <c r="BI39" s="223">
        <f t="shared" si="868"/>
        <v>0</v>
      </c>
      <c r="BJ39" s="223">
        <f t="shared" si="868"/>
        <v>0</v>
      </c>
      <c r="BK39" s="223">
        <f t="shared" si="868"/>
        <v>0</v>
      </c>
      <c r="BL39" s="223">
        <f t="shared" si="868"/>
        <v>0</v>
      </c>
      <c r="BM39" s="223">
        <f t="shared" si="868"/>
        <v>0</v>
      </c>
      <c r="BN39" s="223">
        <f t="shared" si="868"/>
        <v>0</v>
      </c>
      <c r="BO39" s="371">
        <f>Summary!$AH$13</f>
        <v>0</v>
      </c>
      <c r="BP39" s="223">
        <f t="shared" ref="BP39" si="869">BO39</f>
        <v>0</v>
      </c>
      <c r="BQ39" s="223">
        <f t="shared" ref="BQ39" si="870">BP39</f>
        <v>0</v>
      </c>
      <c r="BR39" s="223">
        <f t="shared" ref="BR39" si="871">BQ39</f>
        <v>0</v>
      </c>
      <c r="BS39" s="223">
        <f t="shared" ref="BS39" si="872">BR39</f>
        <v>0</v>
      </c>
      <c r="BT39" s="223">
        <f t="shared" ref="BT39" si="873">BS39</f>
        <v>0</v>
      </c>
      <c r="BU39" s="223">
        <f t="shared" ref="BU39" si="874">BT39</f>
        <v>0</v>
      </c>
      <c r="BV39" s="223">
        <f t="shared" ref="BV39" si="875">BU39</f>
        <v>0</v>
      </c>
      <c r="BW39" s="223">
        <f t="shared" ref="BW39" si="876">BV39</f>
        <v>0</v>
      </c>
      <c r="BX39" s="223">
        <f t="shared" ref="BX39" si="877">BW39</f>
        <v>0</v>
      </c>
      <c r="BY39" s="223">
        <f t="shared" ref="BY39" si="878">BX39</f>
        <v>0</v>
      </c>
      <c r="BZ39" s="223">
        <f t="shared" ref="BZ39" si="879">BY39</f>
        <v>0</v>
      </c>
      <c r="CA39" s="371">
        <f>Summary!$AI$13</f>
        <v>0</v>
      </c>
      <c r="CB39" s="223">
        <f t="shared" ref="CB39" si="880">CA39</f>
        <v>0</v>
      </c>
      <c r="CC39" s="223">
        <f t="shared" ref="CC39" si="881">CB39</f>
        <v>0</v>
      </c>
      <c r="CD39" s="223">
        <f t="shared" ref="CD39" si="882">CC39</f>
        <v>0</v>
      </c>
      <c r="CE39" s="223">
        <f t="shared" ref="CE39" si="883">CD39</f>
        <v>0</v>
      </c>
      <c r="CF39" s="223">
        <f t="shared" ref="CF39" si="884">CE39</f>
        <v>0</v>
      </c>
      <c r="CG39" s="223">
        <f t="shared" ref="CG39" si="885">CF39</f>
        <v>0</v>
      </c>
      <c r="CH39" s="223">
        <f t="shared" ref="CH39" si="886">CG39</f>
        <v>0</v>
      </c>
      <c r="CI39" s="223">
        <f t="shared" ref="CI39" si="887">CH39</f>
        <v>0</v>
      </c>
      <c r="CJ39" s="223">
        <f t="shared" ref="CJ39" si="888">CI39</f>
        <v>0</v>
      </c>
      <c r="CK39" s="223">
        <f t="shared" ref="CK39" si="889">CJ39</f>
        <v>0</v>
      </c>
      <c r="CL39" s="223">
        <f t="shared" ref="CL39" si="890">CK39</f>
        <v>0</v>
      </c>
      <c r="CM39" s="371">
        <f>Summary!$AJ$13</f>
        <v>0</v>
      </c>
      <c r="CN39" s="223">
        <f t="shared" ref="CN39" si="891">CM39</f>
        <v>0</v>
      </c>
      <c r="CO39" s="223">
        <f t="shared" ref="CO39" si="892">CN39</f>
        <v>0</v>
      </c>
      <c r="CP39" s="223">
        <f t="shared" ref="CP39" si="893">CO39</f>
        <v>0</v>
      </c>
      <c r="CQ39" s="223">
        <f t="shared" ref="CQ39" si="894">CP39</f>
        <v>0</v>
      </c>
      <c r="CR39" s="223">
        <f t="shared" ref="CR39" si="895">CQ39</f>
        <v>0</v>
      </c>
      <c r="CS39" s="223">
        <f t="shared" ref="CS39" si="896">CR39</f>
        <v>0</v>
      </c>
      <c r="CT39" s="223">
        <f t="shared" ref="CT39" si="897">CS39</f>
        <v>0</v>
      </c>
      <c r="CU39" s="223">
        <f t="shared" ref="CU39" si="898">CT39</f>
        <v>0</v>
      </c>
      <c r="CV39" s="223">
        <f t="shared" ref="CV39" si="899">CU39</f>
        <v>0</v>
      </c>
      <c r="CW39" s="223">
        <f t="shared" ref="CW39" si="900">CV39</f>
        <v>0</v>
      </c>
      <c r="CX39" s="223">
        <f t="shared" ref="CX39" si="901">CW39</f>
        <v>0</v>
      </c>
      <c r="CY39" s="371">
        <f>Summary!$AK$13</f>
        <v>0</v>
      </c>
      <c r="CZ39" s="223">
        <f t="shared" ref="CZ39" si="902">CY39</f>
        <v>0</v>
      </c>
      <c r="DA39" s="223">
        <f t="shared" ref="DA39" si="903">CZ39</f>
        <v>0</v>
      </c>
      <c r="DB39" s="223">
        <f t="shared" ref="DB39" si="904">DA39</f>
        <v>0</v>
      </c>
      <c r="DC39" s="223">
        <f t="shared" ref="DC39" si="905">DB39</f>
        <v>0</v>
      </c>
      <c r="DD39" s="223">
        <f t="shared" ref="DD39" si="906">DC39</f>
        <v>0</v>
      </c>
      <c r="DE39" s="223">
        <f t="shared" ref="DE39" si="907">DD39</f>
        <v>0</v>
      </c>
      <c r="DF39" s="223">
        <f t="shared" ref="DF39" si="908">DE39</f>
        <v>0</v>
      </c>
      <c r="DG39" s="223">
        <f t="shared" ref="DG39" si="909">DF39</f>
        <v>0</v>
      </c>
      <c r="DH39" s="223">
        <f t="shared" ref="DH39" si="910">DG39</f>
        <v>0</v>
      </c>
      <c r="DI39" s="223">
        <f t="shared" ref="DI39" si="911">DH39</f>
        <v>0</v>
      </c>
      <c r="DJ39" s="223">
        <f t="shared" ref="DJ39" si="912">DI39</f>
        <v>0</v>
      </c>
      <c r="DK39" s="371">
        <f>Summary!$AL$13</f>
        <v>0</v>
      </c>
      <c r="DL39" s="223">
        <f t="shared" ref="DL39" si="913">DK39</f>
        <v>0</v>
      </c>
      <c r="DM39" s="223">
        <f t="shared" ref="DM39" si="914">DL39</f>
        <v>0</v>
      </c>
      <c r="DN39" s="223">
        <f t="shared" ref="DN39" si="915">DM39</f>
        <v>0</v>
      </c>
      <c r="DO39" s="223">
        <f t="shared" ref="DO39" si="916">DN39</f>
        <v>0</v>
      </c>
      <c r="DP39" s="223">
        <f t="shared" ref="DP39" si="917">DO39</f>
        <v>0</v>
      </c>
      <c r="DQ39" s="223">
        <f t="shared" ref="DQ39" si="918">DP39</f>
        <v>0</v>
      </c>
      <c r="DR39" s="223">
        <f t="shared" ref="DR39" si="919">DQ39</f>
        <v>0</v>
      </c>
      <c r="DS39" s="223">
        <f t="shared" ref="DS39" si="920">DR39</f>
        <v>0</v>
      </c>
      <c r="DT39" s="223">
        <f t="shared" ref="DT39" si="921">DS39</f>
        <v>0</v>
      </c>
      <c r="DU39" s="223">
        <f t="shared" ref="DU39" si="922">DT39</f>
        <v>0</v>
      </c>
      <c r="DV39" s="471">
        <f t="shared" ref="DV39" si="923">DU39</f>
        <v>0</v>
      </c>
      <c r="DW39" s="640"/>
      <c r="DX39" s="470"/>
      <c r="DY39" s="244"/>
      <c r="DZ39" s="244"/>
      <c r="EA39" s="244"/>
      <c r="EB39" s="244"/>
      <c r="EC39" s="244"/>
      <c r="ED39" s="244"/>
      <c r="EE39" s="244"/>
      <c r="EF39" s="244"/>
      <c r="EG39" s="244"/>
      <c r="EH39" s="244"/>
      <c r="EI39" s="510"/>
      <c r="EJ39" s="30"/>
      <c r="EK39" s="244"/>
      <c r="EL39" s="244"/>
      <c r="EM39" s="244"/>
      <c r="EN39" s="244"/>
      <c r="EO39" s="244"/>
      <c r="EP39" s="510"/>
    </row>
    <row r="40" spans="2:146" outlineLevel="1" x14ac:dyDescent="0.3">
      <c r="B40" s="225" t="s">
        <v>185</v>
      </c>
      <c r="C40" s="245" t="s">
        <v>685</v>
      </c>
      <c r="D40" s="227"/>
      <c r="E40" s="474"/>
      <c r="F40" s="679">
        <f>F38*F39</f>
        <v>0</v>
      </c>
      <c r="G40" s="234">
        <f t="shared" ref="G40:BN40" si="924">G38*G39</f>
        <v>0</v>
      </c>
      <c r="H40" s="234">
        <f t="shared" si="924"/>
        <v>0</v>
      </c>
      <c r="I40" s="234">
        <f t="shared" si="924"/>
        <v>0</v>
      </c>
      <c r="J40" s="234">
        <f t="shared" si="924"/>
        <v>0</v>
      </c>
      <c r="K40" s="234">
        <f t="shared" si="924"/>
        <v>0</v>
      </c>
      <c r="L40" s="234">
        <f t="shared" si="924"/>
        <v>0</v>
      </c>
      <c r="M40" s="234">
        <f t="shared" si="924"/>
        <v>0</v>
      </c>
      <c r="N40" s="234">
        <f t="shared" si="924"/>
        <v>0</v>
      </c>
      <c r="O40" s="234">
        <f t="shared" si="924"/>
        <v>0</v>
      </c>
      <c r="P40" s="234">
        <f t="shared" si="924"/>
        <v>0</v>
      </c>
      <c r="Q40" s="234">
        <f t="shared" si="924"/>
        <v>0</v>
      </c>
      <c r="R40" s="234">
        <f t="shared" si="924"/>
        <v>0</v>
      </c>
      <c r="S40" s="234">
        <f t="shared" si="924"/>
        <v>0</v>
      </c>
      <c r="T40" s="234">
        <f t="shared" si="924"/>
        <v>0</v>
      </c>
      <c r="U40" s="234">
        <f t="shared" si="924"/>
        <v>0</v>
      </c>
      <c r="V40" s="234">
        <f t="shared" si="924"/>
        <v>0</v>
      </c>
      <c r="W40" s="234">
        <f t="shared" si="924"/>
        <v>0</v>
      </c>
      <c r="X40" s="234">
        <f t="shared" si="924"/>
        <v>0</v>
      </c>
      <c r="Y40" s="234">
        <f t="shared" si="924"/>
        <v>0</v>
      </c>
      <c r="Z40" s="234">
        <f t="shared" si="924"/>
        <v>0</v>
      </c>
      <c r="AA40" s="234">
        <f t="shared" si="924"/>
        <v>0</v>
      </c>
      <c r="AB40" s="234">
        <f t="shared" si="924"/>
        <v>0</v>
      </c>
      <c r="AC40" s="234">
        <f t="shared" si="924"/>
        <v>0</v>
      </c>
      <c r="AD40" s="234">
        <f t="shared" si="924"/>
        <v>0</v>
      </c>
      <c r="AE40" s="234">
        <f t="shared" si="924"/>
        <v>0</v>
      </c>
      <c r="AF40" s="234">
        <f t="shared" si="924"/>
        <v>0</v>
      </c>
      <c r="AG40" s="234">
        <f t="shared" si="924"/>
        <v>0</v>
      </c>
      <c r="AH40" s="234">
        <f t="shared" si="924"/>
        <v>0</v>
      </c>
      <c r="AI40" s="234">
        <f t="shared" si="924"/>
        <v>0</v>
      </c>
      <c r="AJ40" s="234">
        <f t="shared" si="924"/>
        <v>0</v>
      </c>
      <c r="AK40" s="234">
        <f t="shared" si="924"/>
        <v>0</v>
      </c>
      <c r="AL40" s="234">
        <f t="shared" si="924"/>
        <v>0</v>
      </c>
      <c r="AM40" s="234">
        <f t="shared" si="924"/>
        <v>0</v>
      </c>
      <c r="AN40" s="234">
        <f t="shared" si="924"/>
        <v>0</v>
      </c>
      <c r="AO40" s="234">
        <f t="shared" si="924"/>
        <v>0</v>
      </c>
      <c r="AP40" s="234">
        <f t="shared" si="924"/>
        <v>0</v>
      </c>
      <c r="AQ40" s="234">
        <f t="shared" si="924"/>
        <v>0</v>
      </c>
      <c r="AR40" s="228">
        <f t="shared" si="924"/>
        <v>0</v>
      </c>
      <c r="AS40" s="228">
        <f t="shared" si="924"/>
        <v>0</v>
      </c>
      <c r="AT40" s="228">
        <f t="shared" si="924"/>
        <v>0</v>
      </c>
      <c r="AU40" s="228">
        <f t="shared" si="924"/>
        <v>0</v>
      </c>
      <c r="AV40" s="228">
        <f t="shared" si="924"/>
        <v>0</v>
      </c>
      <c r="AW40" s="228">
        <f t="shared" si="924"/>
        <v>0</v>
      </c>
      <c r="AX40" s="228">
        <f t="shared" si="924"/>
        <v>0</v>
      </c>
      <c r="AY40" s="228">
        <f t="shared" si="924"/>
        <v>0</v>
      </c>
      <c r="AZ40" s="228">
        <f t="shared" si="924"/>
        <v>0</v>
      </c>
      <c r="BA40" s="228">
        <f t="shared" si="924"/>
        <v>0</v>
      </c>
      <c r="BB40" s="228">
        <f t="shared" si="924"/>
        <v>0</v>
      </c>
      <c r="BC40" s="234">
        <f t="shared" si="924"/>
        <v>0</v>
      </c>
      <c r="BD40" s="228">
        <f t="shared" si="924"/>
        <v>0</v>
      </c>
      <c r="BE40" s="228">
        <f t="shared" si="924"/>
        <v>0</v>
      </c>
      <c r="BF40" s="228">
        <f t="shared" si="924"/>
        <v>0</v>
      </c>
      <c r="BG40" s="228">
        <f t="shared" si="924"/>
        <v>0</v>
      </c>
      <c r="BH40" s="228">
        <f t="shared" si="924"/>
        <v>0</v>
      </c>
      <c r="BI40" s="228">
        <f t="shared" si="924"/>
        <v>0</v>
      </c>
      <c r="BJ40" s="228">
        <f t="shared" si="924"/>
        <v>0</v>
      </c>
      <c r="BK40" s="228">
        <f t="shared" si="924"/>
        <v>0</v>
      </c>
      <c r="BL40" s="228">
        <f t="shared" si="924"/>
        <v>0</v>
      </c>
      <c r="BM40" s="228">
        <f t="shared" si="924"/>
        <v>0</v>
      </c>
      <c r="BN40" s="228">
        <f t="shared" si="924"/>
        <v>0</v>
      </c>
      <c r="BO40" s="234">
        <f t="shared" ref="BO40" si="925">BO38*BO39</f>
        <v>0</v>
      </c>
      <c r="BP40" s="228">
        <f t="shared" ref="BP40:DV40" si="926">BP38*BP39</f>
        <v>0</v>
      </c>
      <c r="BQ40" s="228">
        <f t="shared" si="926"/>
        <v>0</v>
      </c>
      <c r="BR40" s="228">
        <f t="shared" si="926"/>
        <v>0</v>
      </c>
      <c r="BS40" s="228">
        <f t="shared" si="926"/>
        <v>0</v>
      </c>
      <c r="BT40" s="228">
        <f t="shared" si="926"/>
        <v>0</v>
      </c>
      <c r="BU40" s="228">
        <f t="shared" si="926"/>
        <v>0</v>
      </c>
      <c r="BV40" s="228">
        <f t="shared" si="926"/>
        <v>0</v>
      </c>
      <c r="BW40" s="228">
        <f t="shared" si="926"/>
        <v>0</v>
      </c>
      <c r="BX40" s="228">
        <f t="shared" si="926"/>
        <v>0</v>
      </c>
      <c r="BY40" s="228">
        <f t="shared" si="926"/>
        <v>0</v>
      </c>
      <c r="BZ40" s="228">
        <f t="shared" si="926"/>
        <v>0</v>
      </c>
      <c r="CA40" s="234">
        <f t="shared" si="926"/>
        <v>0</v>
      </c>
      <c r="CB40" s="228">
        <f t="shared" si="926"/>
        <v>0</v>
      </c>
      <c r="CC40" s="228">
        <f t="shared" si="926"/>
        <v>0</v>
      </c>
      <c r="CD40" s="228">
        <f t="shared" si="926"/>
        <v>0</v>
      </c>
      <c r="CE40" s="228">
        <f t="shared" si="926"/>
        <v>0</v>
      </c>
      <c r="CF40" s="228">
        <f t="shared" si="926"/>
        <v>0</v>
      </c>
      <c r="CG40" s="228">
        <f t="shared" si="926"/>
        <v>0</v>
      </c>
      <c r="CH40" s="228">
        <f t="shared" si="926"/>
        <v>0</v>
      </c>
      <c r="CI40" s="228">
        <f t="shared" si="926"/>
        <v>0</v>
      </c>
      <c r="CJ40" s="228">
        <f t="shared" si="926"/>
        <v>0</v>
      </c>
      <c r="CK40" s="228">
        <f t="shared" si="926"/>
        <v>0</v>
      </c>
      <c r="CL40" s="228">
        <f t="shared" si="926"/>
        <v>0</v>
      </c>
      <c r="CM40" s="234">
        <f t="shared" si="926"/>
        <v>0</v>
      </c>
      <c r="CN40" s="228">
        <f t="shared" si="926"/>
        <v>0</v>
      </c>
      <c r="CO40" s="228">
        <f t="shared" si="926"/>
        <v>0</v>
      </c>
      <c r="CP40" s="228">
        <f t="shared" si="926"/>
        <v>0</v>
      </c>
      <c r="CQ40" s="228">
        <f t="shared" si="926"/>
        <v>0</v>
      </c>
      <c r="CR40" s="228">
        <f t="shared" si="926"/>
        <v>0</v>
      </c>
      <c r="CS40" s="228">
        <f t="shared" si="926"/>
        <v>0</v>
      </c>
      <c r="CT40" s="228">
        <f t="shared" si="926"/>
        <v>0</v>
      </c>
      <c r="CU40" s="228">
        <f t="shared" si="926"/>
        <v>0</v>
      </c>
      <c r="CV40" s="228">
        <f t="shared" si="926"/>
        <v>0</v>
      </c>
      <c r="CW40" s="228">
        <f t="shared" si="926"/>
        <v>0</v>
      </c>
      <c r="CX40" s="228">
        <f t="shared" si="926"/>
        <v>0</v>
      </c>
      <c r="CY40" s="234">
        <f t="shared" si="926"/>
        <v>0</v>
      </c>
      <c r="CZ40" s="228">
        <f t="shared" si="926"/>
        <v>0</v>
      </c>
      <c r="DA40" s="228">
        <f t="shared" si="926"/>
        <v>0</v>
      </c>
      <c r="DB40" s="228">
        <f t="shared" si="926"/>
        <v>0</v>
      </c>
      <c r="DC40" s="228">
        <f t="shared" si="926"/>
        <v>0</v>
      </c>
      <c r="DD40" s="228">
        <f t="shared" si="926"/>
        <v>0</v>
      </c>
      <c r="DE40" s="228">
        <f t="shared" si="926"/>
        <v>0</v>
      </c>
      <c r="DF40" s="228">
        <f t="shared" si="926"/>
        <v>0</v>
      </c>
      <c r="DG40" s="228">
        <f t="shared" si="926"/>
        <v>0</v>
      </c>
      <c r="DH40" s="228">
        <f t="shared" si="926"/>
        <v>0</v>
      </c>
      <c r="DI40" s="228">
        <f t="shared" si="926"/>
        <v>0</v>
      </c>
      <c r="DJ40" s="228">
        <f t="shared" si="926"/>
        <v>0</v>
      </c>
      <c r="DK40" s="234">
        <f t="shared" si="926"/>
        <v>0</v>
      </c>
      <c r="DL40" s="228">
        <f t="shared" si="926"/>
        <v>0</v>
      </c>
      <c r="DM40" s="228">
        <f t="shared" si="926"/>
        <v>0</v>
      </c>
      <c r="DN40" s="228">
        <f t="shared" si="926"/>
        <v>0</v>
      </c>
      <c r="DO40" s="228">
        <f t="shared" si="926"/>
        <v>0</v>
      </c>
      <c r="DP40" s="228">
        <f t="shared" si="926"/>
        <v>0</v>
      </c>
      <c r="DQ40" s="228">
        <f t="shared" si="926"/>
        <v>0</v>
      </c>
      <c r="DR40" s="228">
        <f t="shared" si="926"/>
        <v>0</v>
      </c>
      <c r="DS40" s="228">
        <f t="shared" si="926"/>
        <v>0</v>
      </c>
      <c r="DT40" s="228">
        <f t="shared" si="926"/>
        <v>0</v>
      </c>
      <c r="DU40" s="228">
        <f t="shared" si="926"/>
        <v>0</v>
      </c>
      <c r="DV40" s="472">
        <f t="shared" si="926"/>
        <v>0</v>
      </c>
      <c r="DW40" s="717"/>
      <c r="DX40" s="505">
        <f>SUM(D40:F40)</f>
        <v>0</v>
      </c>
      <c r="DY40" s="229">
        <f>SUM(G40:I40)</f>
        <v>0</v>
      </c>
      <c r="DZ40" s="229">
        <f>SUM(J40:L40)</f>
        <v>0</v>
      </c>
      <c r="EA40" s="229">
        <f>SUM(M40:O40)</f>
        <v>0</v>
      </c>
      <c r="EB40" s="229">
        <f>SUM(P40:R40)</f>
        <v>0</v>
      </c>
      <c r="EC40" s="230">
        <f>SUM(D40:R40)</f>
        <v>0</v>
      </c>
      <c r="ED40" s="230">
        <f>SUM(S40:AD40)</f>
        <v>0</v>
      </c>
      <c r="EE40" s="230">
        <f>SUM(AE40:AP40)</f>
        <v>0</v>
      </c>
      <c r="EF40" s="231">
        <f>SUM(EC40:EE40)</f>
        <v>0</v>
      </c>
      <c r="EG40" s="230">
        <f>SUM(AQ40:BB40)</f>
        <v>0</v>
      </c>
      <c r="EH40" s="230">
        <f>SUM(BC40:BN40)</f>
        <v>0</v>
      </c>
      <c r="EI40" s="506">
        <f>SUM(EF40:EH40)</f>
        <v>0</v>
      </c>
      <c r="EJ40" s="30">
        <v>0</v>
      </c>
      <c r="EK40" s="230">
        <f t="shared" si="4"/>
        <v>0</v>
      </c>
      <c r="EL40" s="230">
        <f t="shared" si="5"/>
        <v>0</v>
      </c>
      <c r="EM40" s="230">
        <f t="shared" si="6"/>
        <v>0</v>
      </c>
      <c r="EN40" s="230">
        <f t="shared" si="7"/>
        <v>0</v>
      </c>
      <c r="EO40" s="230">
        <f t="shared" si="8"/>
        <v>0</v>
      </c>
      <c r="EP40" s="506">
        <f t="shared" ref="EP40" si="927">SUM(EC40:EE40,EG40:EH40,EK40:EO40)</f>
        <v>0</v>
      </c>
    </row>
    <row r="41" spans="2:146" outlineLevel="1" x14ac:dyDescent="0.3">
      <c r="B41" s="209" t="s">
        <v>186</v>
      </c>
      <c r="C41" s="210"/>
      <c r="D41" s="211"/>
      <c r="E41" s="468"/>
      <c r="F41" s="211">
        <f>Data!G54*(1-Data!G$10)</f>
        <v>2.8721157939548738</v>
      </c>
      <c r="G41" s="212">
        <f>Data!H54*(1-Data!H$10)</f>
        <v>0.15796636866751859</v>
      </c>
      <c r="H41" s="212">
        <f>Data!I54*(1-Data!I$10)</f>
        <v>0.68930779054916991</v>
      </c>
      <c r="I41" s="212">
        <f>Data!J54*(1-Data!J$10)</f>
        <v>0.68930779054916991</v>
      </c>
      <c r="J41" s="212">
        <f>Data!K54*(1-Data!K$10)</f>
        <v>0.68930779054916991</v>
      </c>
      <c r="K41" s="212">
        <f>Data!L54*(1-Data!L$10)</f>
        <v>0.68930779054916991</v>
      </c>
      <c r="L41" s="212">
        <f>Data!M54*(1-Data!M$10)</f>
        <v>0.68930779054916991</v>
      </c>
      <c r="M41" s="212">
        <f>Data!N54*(1-Data!N$10)</f>
        <v>0.68930779054916991</v>
      </c>
      <c r="N41" s="212">
        <f>Data!O54*(1-Data!O$10)</f>
        <v>0.68930779054916991</v>
      </c>
      <c r="O41" s="212">
        <f>Data!P54*(1-Data!P$10)</f>
        <v>0.68930779054916991</v>
      </c>
      <c r="P41" s="212">
        <f>Data!Q54*(1-Data!Q$10)</f>
        <v>0.68930779054916991</v>
      </c>
      <c r="Q41" s="212">
        <f>Data!R54*(1-Data!R$10)</f>
        <v>0.68930779054916991</v>
      </c>
      <c r="R41" s="212">
        <f>Data!S54*(1-Data!S$10)</f>
        <v>0.68930779054916991</v>
      </c>
      <c r="S41" s="212">
        <f>Data!T54*(1-Data!T$10)</f>
        <v>0.68930779054916991</v>
      </c>
      <c r="T41" s="212">
        <f>Data!U54*(1-Data!U$10)</f>
        <v>0.68930779054916991</v>
      </c>
      <c r="U41" s="212">
        <f>Data!V54*(1-Data!V$10)</f>
        <v>0.68930779054916991</v>
      </c>
      <c r="V41" s="212">
        <f>Data!W54*(1-Data!W$10)</f>
        <v>0.68930779054916991</v>
      </c>
      <c r="W41" s="212">
        <f>Data!X54*(1-Data!X$10)</f>
        <v>0.68930779054916991</v>
      </c>
      <c r="X41" s="212">
        <f>Data!Y54*(1-Data!Y$10)</f>
        <v>0.68930779054916991</v>
      </c>
      <c r="Y41" s="212">
        <f>Data!Z54*(1-Data!Z$10)</f>
        <v>0.68930779054916991</v>
      </c>
      <c r="Z41" s="212">
        <f>Data!AA54*(1-Data!AA$10)</f>
        <v>0.68930779054916991</v>
      </c>
      <c r="AA41" s="212">
        <f>Data!AB54*(1-Data!AB$10)</f>
        <v>0.68930779054916991</v>
      </c>
      <c r="AB41" s="212">
        <f>Data!AC54*(1-Data!AC$10)</f>
        <v>0.68930779054916991</v>
      </c>
      <c r="AC41" s="212">
        <f>Data!AD54*(1-Data!AD$10)</f>
        <v>0.68930779054916991</v>
      </c>
      <c r="AD41" s="212">
        <f>Data!AE54*(1-Data!AE$10)</f>
        <v>0.68930779054916991</v>
      </c>
      <c r="AE41" s="212">
        <f>Data!AF54*(1-Data!AF$10)</f>
        <v>0.68930779054916991</v>
      </c>
      <c r="AF41" s="212">
        <f>Data!AG54*(1-Data!AG$10)</f>
        <v>0.68930779054916991</v>
      </c>
      <c r="AG41" s="212">
        <f>Data!AH54*(1-Data!AH$10)</f>
        <v>0.68930779054916991</v>
      </c>
      <c r="AH41" s="212">
        <f>Data!AI54*(1-Data!AI$10)</f>
        <v>0.68930779054916991</v>
      </c>
      <c r="AI41" s="212">
        <f>Data!AJ54*(1-Data!AJ$10)</f>
        <v>0.68930779054916991</v>
      </c>
      <c r="AJ41" s="212">
        <f>Data!AK54*(1-Data!AK$10)</f>
        <v>0.68930779054916991</v>
      </c>
      <c r="AK41" s="212">
        <f>Data!AL54*(1-Data!AL$10)</f>
        <v>0.68930779054916991</v>
      </c>
      <c r="AL41" s="212">
        <f>Data!AM54*(1-Data!AM$10)</f>
        <v>0.68930779054916991</v>
      </c>
      <c r="AM41" s="212">
        <f>Data!AN54*(1-Data!AN$10)</f>
        <v>0.68930779054916991</v>
      </c>
      <c r="AN41" s="212">
        <f>Data!AO54*(1-Data!AO$10)</f>
        <v>0.68930779054916991</v>
      </c>
      <c r="AO41" s="212">
        <f>Data!AP54*(1-Data!AP$10)</f>
        <v>0.68930779054916991</v>
      </c>
      <c r="AP41" s="212">
        <f>Data!AQ54*(1-Data!AQ$10)</f>
        <v>0.68930779054916991</v>
      </c>
      <c r="AQ41" s="212">
        <f>Data!AR54*(1-Data!AR$10)</f>
        <v>0.68930779054916991</v>
      </c>
      <c r="AR41" s="212">
        <f>Data!AS54*(1-Data!AS$10)</f>
        <v>0.68930779054916991</v>
      </c>
      <c r="AS41" s="212">
        <f>Data!AT54*(1-Data!AT$10)</f>
        <v>0.68930779054916991</v>
      </c>
      <c r="AT41" s="212">
        <f>Data!AU54*(1-Data!AU$10)</f>
        <v>0.68930779054916991</v>
      </c>
      <c r="AU41" s="212">
        <f>Data!AV54*(1-Data!AV$10)</f>
        <v>0.68930779054916991</v>
      </c>
      <c r="AV41" s="212">
        <f>Data!AW54*(1-Data!AW$10)</f>
        <v>0.68930779054916991</v>
      </c>
      <c r="AW41" s="212">
        <f>Data!AX54*(1-Data!AX$10)</f>
        <v>0.68930779054916991</v>
      </c>
      <c r="AX41" s="212">
        <f>Data!AY54*(1-Data!AY$10)</f>
        <v>0.68930779054916991</v>
      </c>
      <c r="AY41" s="212">
        <f>Data!AZ54*(1-Data!AZ$10)</f>
        <v>0.68930779054916991</v>
      </c>
      <c r="AZ41" s="212">
        <f>Data!BA54*(1-Data!BA$10)</f>
        <v>0.68930779054916991</v>
      </c>
      <c r="BA41" s="212">
        <f>Data!BB54*(1-Data!BB$10)</f>
        <v>0.68930779054916991</v>
      </c>
      <c r="BB41" s="212">
        <f>Data!BC54*(1-Data!BC$10)</f>
        <v>0.68930779054916991</v>
      </c>
      <c r="BC41" s="212">
        <f>Data!BD54*(1-Data!BD$10)</f>
        <v>0.68930779054916991</v>
      </c>
      <c r="BD41" s="212">
        <f>Data!BE54*(1-Data!BE$10)</f>
        <v>0.68930779054916991</v>
      </c>
      <c r="BE41" s="212">
        <f>Data!BF54*(1-Data!BF$10)</f>
        <v>0.68930779054916991</v>
      </c>
      <c r="BF41" s="212">
        <f>Data!BG54*(1-Data!BG$10)</f>
        <v>0.68930779054916991</v>
      </c>
      <c r="BG41" s="212">
        <f>Data!BH54*(1-Data!BH$10)</f>
        <v>0.68930779054916991</v>
      </c>
      <c r="BH41" s="212">
        <f>Data!BI54*(1-Data!BI$10)</f>
        <v>0.68930779054916991</v>
      </c>
      <c r="BI41" s="212">
        <f>Data!BJ54*(1-Data!BJ$10)</f>
        <v>0.68930779054916991</v>
      </c>
      <c r="BJ41" s="212">
        <f>Data!BK54*(1-Data!BK$10)</f>
        <v>0.68930779054916991</v>
      </c>
      <c r="BK41" s="212">
        <f>Data!BL54*(1-Data!BL$10)</f>
        <v>0.68930779054916991</v>
      </c>
      <c r="BL41" s="212">
        <f>Data!BM54*(1-Data!BM$10)</f>
        <v>0.68930779054916991</v>
      </c>
      <c r="BM41" s="212">
        <f>Data!BN54*(1-Data!BN$10)</f>
        <v>0.68930779054916991</v>
      </c>
      <c r="BN41" s="212">
        <f>Data!BO54*(1-Data!BO$10)</f>
        <v>0.68930779054916991</v>
      </c>
      <c r="BO41" s="212">
        <f>Data!BP54*(1-Data!BP$10)</f>
        <v>0.68930779054916991</v>
      </c>
      <c r="BP41" s="212">
        <f>Data!BQ54*(1-Data!BQ$10)</f>
        <v>0.68930779054916991</v>
      </c>
      <c r="BQ41" s="212">
        <f>Data!BR54*(1-Data!BR$10)</f>
        <v>0.68930779054916991</v>
      </c>
      <c r="BR41" s="212">
        <f>Data!BS54*(1-Data!BS$10)</f>
        <v>0.68930779054916991</v>
      </c>
      <c r="BS41" s="212">
        <f>Data!BT54*(1-Data!BT$10)</f>
        <v>0.68930779054916991</v>
      </c>
      <c r="BT41" s="212">
        <f>Data!BU54*(1-Data!BU$10)</f>
        <v>0.68930779054916991</v>
      </c>
      <c r="BU41" s="212">
        <f>Data!BV54*(1-Data!BV$10)</f>
        <v>0.68930779054916991</v>
      </c>
      <c r="BV41" s="212">
        <f>Data!BW54*(1-Data!BW$10)</f>
        <v>0.68930779054916991</v>
      </c>
      <c r="BW41" s="212">
        <f>Data!BX54*(1-Data!BX$10)</f>
        <v>0.68930779054916991</v>
      </c>
      <c r="BX41" s="212">
        <f>Data!BY54*(1-Data!BY$10)</f>
        <v>0.68930779054916991</v>
      </c>
      <c r="BY41" s="212">
        <f>Data!BZ54*(1-Data!BZ$10)</f>
        <v>0.68930779054916991</v>
      </c>
      <c r="BZ41" s="212">
        <f>Data!CA54*(1-Data!CA$10)</f>
        <v>0.68930779054916991</v>
      </c>
      <c r="CA41" s="212">
        <f>Data!CB54*(1-Data!CB$10)</f>
        <v>0.68930779054916991</v>
      </c>
      <c r="CB41" s="212">
        <f>Data!CC54*(1-Data!CC$10)</f>
        <v>0.68930779054916991</v>
      </c>
      <c r="CC41" s="212">
        <f>Data!CD54*(1-Data!CD$10)</f>
        <v>0.68930779054916991</v>
      </c>
      <c r="CD41" s="212">
        <f>Data!CE54*(1-Data!CE$10)</f>
        <v>0.68930779054916991</v>
      </c>
      <c r="CE41" s="212">
        <f>Data!CF54*(1-Data!CF$10)</f>
        <v>0.68930779054916991</v>
      </c>
      <c r="CF41" s="212">
        <f>Data!CG54*(1-Data!CG$10)</f>
        <v>0.68930779054916991</v>
      </c>
      <c r="CG41" s="212">
        <f>Data!CH54*(1-Data!CH$10)</f>
        <v>0.68930779054916991</v>
      </c>
      <c r="CH41" s="212">
        <f>Data!CI54*(1-Data!CI$10)</f>
        <v>0.68930779054916991</v>
      </c>
      <c r="CI41" s="212">
        <f>Data!CJ54*(1-Data!CJ$10)</f>
        <v>0.68930779054916991</v>
      </c>
      <c r="CJ41" s="212">
        <f>Data!CK54*(1-Data!CK$10)</f>
        <v>0.68930779054916991</v>
      </c>
      <c r="CK41" s="212">
        <f>Data!CL54*(1-Data!CL$10)</f>
        <v>0.68930779054916991</v>
      </c>
      <c r="CL41" s="212">
        <f>Data!CM54*(1-Data!CM$10)</f>
        <v>0.68930779054916991</v>
      </c>
      <c r="CM41" s="212">
        <f>Data!CN54*(1-Data!CN$10)</f>
        <v>0.68930779054916991</v>
      </c>
      <c r="CN41" s="212">
        <f>Data!CO54*(1-Data!CO$10)</f>
        <v>0.68930779054916991</v>
      </c>
      <c r="CO41" s="212">
        <f>Data!CP54*(1-Data!CP$10)</f>
        <v>0.68930779054916991</v>
      </c>
      <c r="CP41" s="212">
        <f>Data!CQ54*(1-Data!CQ$10)</f>
        <v>0.68930779054916991</v>
      </c>
      <c r="CQ41" s="212">
        <f>Data!CR54*(1-Data!CR$10)</f>
        <v>0.68930779054916991</v>
      </c>
      <c r="CR41" s="212">
        <f>Data!CS54*(1-Data!CS$10)</f>
        <v>0.68930779054916991</v>
      </c>
      <c r="CS41" s="212">
        <f>Data!CT54*(1-Data!CT$10)</f>
        <v>0.68930779054916991</v>
      </c>
      <c r="CT41" s="212">
        <f>Data!CU54*(1-Data!CU$10)</f>
        <v>0.68930779054916991</v>
      </c>
      <c r="CU41" s="212">
        <f>Data!CV54*(1-Data!CV$10)</f>
        <v>0.68930779054916991</v>
      </c>
      <c r="CV41" s="212">
        <f>Data!CW54*(1-Data!CW$10)</f>
        <v>0.68930779054916991</v>
      </c>
      <c r="CW41" s="212">
        <f>Data!CX54*(1-Data!CX$10)</f>
        <v>0.68930779054916991</v>
      </c>
      <c r="CX41" s="212">
        <f>Data!CY54*(1-Data!CY$10)</f>
        <v>0.68930779054916991</v>
      </c>
      <c r="CY41" s="212">
        <f>Data!CZ54*(1-Data!CZ$10)</f>
        <v>0.68930779054916991</v>
      </c>
      <c r="CZ41" s="212">
        <f>Data!DA54*(1-Data!DA$10)</f>
        <v>0.68930779054916991</v>
      </c>
      <c r="DA41" s="212">
        <f>Data!DB54*(1-Data!DB$10)</f>
        <v>0.68930779054916991</v>
      </c>
      <c r="DB41" s="212">
        <f>Data!DC54*(1-Data!DC$10)</f>
        <v>0.68930779054916991</v>
      </c>
      <c r="DC41" s="212">
        <f>Data!DD54*(1-Data!DD$10)</f>
        <v>0.68930779054916991</v>
      </c>
      <c r="DD41" s="212">
        <f>Data!DE54*(1-Data!DE$10)</f>
        <v>0.68930779054916991</v>
      </c>
      <c r="DE41" s="212">
        <f>Data!DF54*(1-Data!DF$10)</f>
        <v>0.68930779054916991</v>
      </c>
      <c r="DF41" s="212">
        <f>Data!DG54*(1-Data!DG$10)</f>
        <v>0.68930779054916991</v>
      </c>
      <c r="DG41" s="212">
        <f>Data!DH54*(1-Data!DH$10)</f>
        <v>0.68930779054916991</v>
      </c>
      <c r="DH41" s="212">
        <f>Data!DI54*(1-Data!DI$10)</f>
        <v>0.68930779054916991</v>
      </c>
      <c r="DI41" s="212">
        <f>Data!DJ54*(1-Data!DJ$10)</f>
        <v>0.68930779054916991</v>
      </c>
      <c r="DJ41" s="212">
        <f>Data!DK54*(1-Data!DK$10)</f>
        <v>0.68930779054916991</v>
      </c>
      <c r="DK41" s="212">
        <f>Data!DL54*(1-Data!DL$10)</f>
        <v>0.68930779054916991</v>
      </c>
      <c r="DL41" s="212">
        <f>Data!DM54*(1-Data!DM$10)</f>
        <v>0.68930779054916991</v>
      </c>
      <c r="DM41" s="212">
        <f>Data!DN54*(1-Data!DN$10)</f>
        <v>0.68930779054916991</v>
      </c>
      <c r="DN41" s="212">
        <f>Data!DO54*(1-Data!DO$10)</f>
        <v>0.68930779054916991</v>
      </c>
      <c r="DO41" s="212">
        <f>Data!DP54*(1-Data!DP$10)</f>
        <v>0.68930779054916991</v>
      </c>
      <c r="DP41" s="212">
        <f>Data!DQ54*(1-Data!DQ$10)</f>
        <v>0.68930779054916991</v>
      </c>
      <c r="DQ41" s="212">
        <f>Data!DR54*(1-Data!DR$10)</f>
        <v>0.68930779054916991</v>
      </c>
      <c r="DR41" s="212">
        <f>Data!DS54*(1-Data!DS$10)</f>
        <v>0.68930779054916991</v>
      </c>
      <c r="DS41" s="212">
        <f>Data!DT54*(1-Data!DT$10)</f>
        <v>0.68930779054916991</v>
      </c>
      <c r="DT41" s="212">
        <f>Data!DU54*(1-Data!DU$10)</f>
        <v>0.68930779054916991</v>
      </c>
      <c r="DU41" s="212">
        <f>Data!DV54*(1-Data!DV$10)</f>
        <v>0.68930779054916991</v>
      </c>
      <c r="DV41" s="468">
        <f>Data!DW54*(1-Data!DW$10)</f>
        <v>0.68930779054916991</v>
      </c>
      <c r="DW41" s="715"/>
      <c r="DX41" s="211"/>
      <c r="DY41" s="213"/>
      <c r="DZ41" s="213"/>
      <c r="EA41" s="213"/>
      <c r="EB41" s="213"/>
      <c r="EC41" s="213"/>
      <c r="ED41" s="213"/>
      <c r="EE41" s="213"/>
      <c r="EF41" s="214"/>
      <c r="EG41" s="213"/>
      <c r="EH41" s="213"/>
      <c r="EI41" s="500"/>
      <c r="EJ41" s="30"/>
      <c r="EK41" s="213"/>
      <c r="EL41" s="213"/>
      <c r="EM41" s="213"/>
      <c r="EN41" s="213"/>
      <c r="EO41" s="213"/>
      <c r="EP41" s="500"/>
    </row>
    <row r="42" spans="2:146" outlineLevel="1" x14ac:dyDescent="0.3">
      <c r="B42" s="225" t="s">
        <v>187</v>
      </c>
      <c r="C42" s="245"/>
      <c r="D42" s="227"/>
      <c r="E42" s="474"/>
      <c r="F42" s="215">
        <f t="shared" ref="F42" si="928">F41*$A$16*$A$17*5</f>
        <v>430.3865517241378</v>
      </c>
      <c r="G42" s="216">
        <f t="shared" ref="G42:BN42" si="929">(G41*$A$10*$A$9*G$2)</f>
        <v>28.433946360153346</v>
      </c>
      <c r="H42" s="216">
        <f t="shared" si="929"/>
        <v>137.36919540229886</v>
      </c>
      <c r="I42" s="216">
        <f t="shared" si="929"/>
        <v>132.93793103448274</v>
      </c>
      <c r="J42" s="216">
        <f t="shared" si="929"/>
        <v>137.36919540229886</v>
      </c>
      <c r="K42" s="216">
        <f t="shared" si="929"/>
        <v>132.93793103448274</v>
      </c>
      <c r="L42" s="216">
        <f t="shared" si="929"/>
        <v>137.36919540229886</v>
      </c>
      <c r="M42" s="216">
        <f t="shared" si="929"/>
        <v>137.36919540229886</v>
      </c>
      <c r="N42" s="216">
        <f t="shared" si="929"/>
        <v>132.93793103448274</v>
      </c>
      <c r="O42" s="216">
        <f t="shared" si="929"/>
        <v>137.36919540229886</v>
      </c>
      <c r="P42" s="216">
        <f t="shared" si="929"/>
        <v>132.93793103448274</v>
      </c>
      <c r="Q42" s="216">
        <f t="shared" si="929"/>
        <v>137.36919540229886</v>
      </c>
      <c r="R42" s="216">
        <f t="shared" si="929"/>
        <v>137.36919540229886</v>
      </c>
      <c r="S42" s="216">
        <f t="shared" si="929"/>
        <v>128.50666666666669</v>
      </c>
      <c r="T42" s="216">
        <f t="shared" si="929"/>
        <v>137.36919540229886</v>
      </c>
      <c r="U42" s="216">
        <f t="shared" si="929"/>
        <v>132.93793103448274</v>
      </c>
      <c r="V42" s="216">
        <f t="shared" si="929"/>
        <v>137.36919540229886</v>
      </c>
      <c r="W42" s="216">
        <f t="shared" si="929"/>
        <v>132.93793103448274</v>
      </c>
      <c r="X42" s="216">
        <f t="shared" si="929"/>
        <v>137.36919540229886</v>
      </c>
      <c r="Y42" s="216">
        <f t="shared" si="929"/>
        <v>137.36919540229886</v>
      </c>
      <c r="Z42" s="216">
        <f t="shared" si="929"/>
        <v>132.93793103448274</v>
      </c>
      <c r="AA42" s="216">
        <f t="shared" si="929"/>
        <v>137.36919540229886</v>
      </c>
      <c r="AB42" s="216">
        <f t="shared" si="929"/>
        <v>132.93793103448274</v>
      </c>
      <c r="AC42" s="216">
        <f t="shared" si="929"/>
        <v>137.36919540229886</v>
      </c>
      <c r="AD42" s="216">
        <f t="shared" si="929"/>
        <v>137.36919540229886</v>
      </c>
      <c r="AE42" s="216">
        <f t="shared" si="929"/>
        <v>124.07540229885058</v>
      </c>
      <c r="AF42" s="216">
        <f t="shared" si="929"/>
        <v>137.36919540229886</v>
      </c>
      <c r="AG42" s="216">
        <f t="shared" si="929"/>
        <v>132.93793103448274</v>
      </c>
      <c r="AH42" s="216">
        <f t="shared" si="929"/>
        <v>137.36919540229886</v>
      </c>
      <c r="AI42" s="216">
        <f t="shared" si="929"/>
        <v>132.93793103448274</v>
      </c>
      <c r="AJ42" s="216">
        <f t="shared" si="929"/>
        <v>137.36919540229886</v>
      </c>
      <c r="AK42" s="216">
        <f t="shared" si="929"/>
        <v>137.36919540229886</v>
      </c>
      <c r="AL42" s="216">
        <f t="shared" si="929"/>
        <v>132.93793103448274</v>
      </c>
      <c r="AM42" s="216">
        <f t="shared" si="929"/>
        <v>137.36919540229886</v>
      </c>
      <c r="AN42" s="216">
        <f t="shared" si="929"/>
        <v>132.93793103448274</v>
      </c>
      <c r="AO42" s="216">
        <f t="shared" si="929"/>
        <v>137.36919540229886</v>
      </c>
      <c r="AP42" s="216">
        <f t="shared" si="929"/>
        <v>137.36919540229886</v>
      </c>
      <c r="AQ42" s="216">
        <f t="shared" si="929"/>
        <v>124.07540229885058</v>
      </c>
      <c r="AR42" s="216">
        <f t="shared" si="929"/>
        <v>137.36919540229886</v>
      </c>
      <c r="AS42" s="216">
        <f t="shared" si="929"/>
        <v>132.93793103448274</v>
      </c>
      <c r="AT42" s="216">
        <f t="shared" si="929"/>
        <v>137.36919540229886</v>
      </c>
      <c r="AU42" s="216">
        <f t="shared" si="929"/>
        <v>132.93793103448274</v>
      </c>
      <c r="AV42" s="216">
        <f t="shared" si="929"/>
        <v>137.36919540229886</v>
      </c>
      <c r="AW42" s="216">
        <f t="shared" si="929"/>
        <v>137.36919540229886</v>
      </c>
      <c r="AX42" s="216">
        <f t="shared" si="929"/>
        <v>132.93793103448274</v>
      </c>
      <c r="AY42" s="216">
        <f t="shared" si="929"/>
        <v>137.36919540229886</v>
      </c>
      <c r="AZ42" s="216">
        <f t="shared" si="929"/>
        <v>132.93793103448274</v>
      </c>
      <c r="BA42" s="216">
        <f t="shared" si="929"/>
        <v>137.36919540229886</v>
      </c>
      <c r="BB42" s="216">
        <f t="shared" si="929"/>
        <v>137.36919540229886</v>
      </c>
      <c r="BC42" s="216">
        <f t="shared" si="929"/>
        <v>124.07540229885058</v>
      </c>
      <c r="BD42" s="216">
        <f t="shared" si="929"/>
        <v>137.36919540229886</v>
      </c>
      <c r="BE42" s="216">
        <f t="shared" si="929"/>
        <v>132.93793103448274</v>
      </c>
      <c r="BF42" s="216">
        <f t="shared" si="929"/>
        <v>137.36919540229886</v>
      </c>
      <c r="BG42" s="216">
        <f t="shared" si="929"/>
        <v>132.93793103448274</v>
      </c>
      <c r="BH42" s="216">
        <f t="shared" si="929"/>
        <v>137.36919540229886</v>
      </c>
      <c r="BI42" s="216">
        <f t="shared" si="929"/>
        <v>137.36919540229886</v>
      </c>
      <c r="BJ42" s="216">
        <f t="shared" si="929"/>
        <v>132.93793103448274</v>
      </c>
      <c r="BK42" s="216">
        <f t="shared" si="929"/>
        <v>137.36919540229886</v>
      </c>
      <c r="BL42" s="216">
        <f t="shared" si="929"/>
        <v>132.93793103448274</v>
      </c>
      <c r="BM42" s="216">
        <f t="shared" si="929"/>
        <v>137.36919540229886</v>
      </c>
      <c r="BN42" s="216">
        <f t="shared" si="929"/>
        <v>137.36919540229886</v>
      </c>
      <c r="BO42" s="216">
        <f t="shared" ref="BO42" si="930">(BO41*$A$10*$A$9*BO$2)</f>
        <v>128.50666666666669</v>
      </c>
      <c r="BP42" s="216">
        <f t="shared" ref="BP42:DV42" si="931">(BP41*$A$10*$A$9*BP$2)</f>
        <v>137.36919540229886</v>
      </c>
      <c r="BQ42" s="216">
        <f t="shared" si="931"/>
        <v>132.93793103448274</v>
      </c>
      <c r="BR42" s="216">
        <f t="shared" si="931"/>
        <v>137.36919540229886</v>
      </c>
      <c r="BS42" s="216">
        <f t="shared" si="931"/>
        <v>132.93793103448274</v>
      </c>
      <c r="BT42" s="216">
        <f t="shared" si="931"/>
        <v>137.36919540229886</v>
      </c>
      <c r="BU42" s="216">
        <f t="shared" si="931"/>
        <v>137.36919540229886</v>
      </c>
      <c r="BV42" s="216">
        <f t="shared" si="931"/>
        <v>132.93793103448274</v>
      </c>
      <c r="BW42" s="216">
        <f t="shared" si="931"/>
        <v>137.36919540229886</v>
      </c>
      <c r="BX42" s="216">
        <f t="shared" si="931"/>
        <v>132.93793103448274</v>
      </c>
      <c r="BY42" s="216">
        <f t="shared" si="931"/>
        <v>137.36919540229886</v>
      </c>
      <c r="BZ42" s="216">
        <f t="shared" si="931"/>
        <v>137.36919540229886</v>
      </c>
      <c r="CA42" s="216">
        <f t="shared" si="931"/>
        <v>124.07540229885058</v>
      </c>
      <c r="CB42" s="216">
        <f t="shared" si="931"/>
        <v>137.36919540229886</v>
      </c>
      <c r="CC42" s="216">
        <f t="shared" si="931"/>
        <v>132.93793103448274</v>
      </c>
      <c r="CD42" s="216">
        <f t="shared" si="931"/>
        <v>137.36919540229886</v>
      </c>
      <c r="CE42" s="216">
        <f t="shared" si="931"/>
        <v>132.93793103448274</v>
      </c>
      <c r="CF42" s="216">
        <f t="shared" si="931"/>
        <v>137.36919540229886</v>
      </c>
      <c r="CG42" s="216">
        <f t="shared" si="931"/>
        <v>137.36919540229886</v>
      </c>
      <c r="CH42" s="216">
        <f t="shared" si="931"/>
        <v>132.93793103448274</v>
      </c>
      <c r="CI42" s="216">
        <f t="shared" si="931"/>
        <v>137.36919540229886</v>
      </c>
      <c r="CJ42" s="216">
        <f t="shared" si="931"/>
        <v>132.93793103448274</v>
      </c>
      <c r="CK42" s="216">
        <f t="shared" si="931"/>
        <v>137.36919540229886</v>
      </c>
      <c r="CL42" s="216">
        <f t="shared" si="931"/>
        <v>137.36919540229886</v>
      </c>
      <c r="CM42" s="216">
        <f t="shared" si="931"/>
        <v>124.07540229885058</v>
      </c>
      <c r="CN42" s="216">
        <f t="shared" si="931"/>
        <v>137.36919540229886</v>
      </c>
      <c r="CO42" s="216">
        <f t="shared" si="931"/>
        <v>132.93793103448274</v>
      </c>
      <c r="CP42" s="216">
        <f t="shared" si="931"/>
        <v>137.36919540229886</v>
      </c>
      <c r="CQ42" s="216">
        <f t="shared" si="931"/>
        <v>132.93793103448274</v>
      </c>
      <c r="CR42" s="216">
        <f t="shared" si="931"/>
        <v>137.36919540229886</v>
      </c>
      <c r="CS42" s="216">
        <f t="shared" si="931"/>
        <v>137.36919540229886</v>
      </c>
      <c r="CT42" s="216">
        <f t="shared" si="931"/>
        <v>132.93793103448274</v>
      </c>
      <c r="CU42" s="216">
        <f t="shared" si="931"/>
        <v>137.36919540229886</v>
      </c>
      <c r="CV42" s="216">
        <f t="shared" si="931"/>
        <v>132.93793103448274</v>
      </c>
      <c r="CW42" s="216">
        <f t="shared" si="931"/>
        <v>137.36919540229886</v>
      </c>
      <c r="CX42" s="216">
        <f t="shared" si="931"/>
        <v>137.36919540229886</v>
      </c>
      <c r="CY42" s="216">
        <f t="shared" si="931"/>
        <v>124.07540229885058</v>
      </c>
      <c r="CZ42" s="216">
        <f t="shared" si="931"/>
        <v>137.36919540229886</v>
      </c>
      <c r="DA42" s="216">
        <f t="shared" si="931"/>
        <v>132.93793103448274</v>
      </c>
      <c r="DB42" s="216">
        <f t="shared" si="931"/>
        <v>137.36919540229886</v>
      </c>
      <c r="DC42" s="216">
        <f t="shared" si="931"/>
        <v>132.93793103448274</v>
      </c>
      <c r="DD42" s="216">
        <f t="shared" si="931"/>
        <v>137.36919540229886</v>
      </c>
      <c r="DE42" s="216">
        <f t="shared" si="931"/>
        <v>137.36919540229886</v>
      </c>
      <c r="DF42" s="216">
        <f t="shared" si="931"/>
        <v>132.93793103448274</v>
      </c>
      <c r="DG42" s="216">
        <f t="shared" si="931"/>
        <v>137.36919540229886</v>
      </c>
      <c r="DH42" s="216">
        <f t="shared" si="931"/>
        <v>132.93793103448274</v>
      </c>
      <c r="DI42" s="216">
        <f t="shared" si="931"/>
        <v>137.36919540229886</v>
      </c>
      <c r="DJ42" s="216">
        <f t="shared" si="931"/>
        <v>137.36919540229886</v>
      </c>
      <c r="DK42" s="216">
        <f t="shared" si="931"/>
        <v>128.50666666666669</v>
      </c>
      <c r="DL42" s="216">
        <f t="shared" si="931"/>
        <v>137.36919540229886</v>
      </c>
      <c r="DM42" s="216">
        <f t="shared" si="931"/>
        <v>132.93793103448274</v>
      </c>
      <c r="DN42" s="216">
        <f t="shared" si="931"/>
        <v>137.36919540229886</v>
      </c>
      <c r="DO42" s="216">
        <f t="shared" si="931"/>
        <v>132.93793103448274</v>
      </c>
      <c r="DP42" s="216">
        <f t="shared" si="931"/>
        <v>137.36919540229886</v>
      </c>
      <c r="DQ42" s="216">
        <f t="shared" si="931"/>
        <v>137.36919540229886</v>
      </c>
      <c r="DR42" s="216">
        <f t="shared" si="931"/>
        <v>132.93793103448274</v>
      </c>
      <c r="DS42" s="216">
        <f t="shared" si="931"/>
        <v>137.36919540229886</v>
      </c>
      <c r="DT42" s="216">
        <f t="shared" si="931"/>
        <v>132.93793103448274</v>
      </c>
      <c r="DU42" s="216">
        <f t="shared" si="931"/>
        <v>137.36919540229886</v>
      </c>
      <c r="DV42" s="469">
        <f t="shared" si="931"/>
        <v>137.36919540229886</v>
      </c>
      <c r="DW42" s="716"/>
      <c r="DX42" s="501"/>
      <c r="DY42" s="217"/>
      <c r="DZ42" s="217"/>
      <c r="EA42" s="217"/>
      <c r="EB42" s="217"/>
      <c r="EC42" s="218"/>
      <c r="ED42" s="218"/>
      <c r="EE42" s="218"/>
      <c r="EF42" s="219"/>
      <c r="EG42" s="218"/>
      <c r="EH42" s="218"/>
      <c r="EI42" s="502"/>
      <c r="EJ42" s="30"/>
      <c r="EK42" s="218"/>
      <c r="EL42" s="218"/>
      <c r="EM42" s="218"/>
      <c r="EN42" s="218"/>
      <c r="EO42" s="218"/>
      <c r="EP42" s="502"/>
    </row>
    <row r="43" spans="2:146" outlineLevel="1" x14ac:dyDescent="0.3">
      <c r="B43" s="225" t="s">
        <v>188</v>
      </c>
      <c r="C43" s="245" t="s">
        <v>685</v>
      </c>
      <c r="D43" s="227"/>
      <c r="E43" s="474"/>
      <c r="F43" s="222">
        <f>Summary!$AC$14</f>
        <v>0</v>
      </c>
      <c r="G43" s="223">
        <f t="shared" ref="G43" si="932">F43</f>
        <v>0</v>
      </c>
      <c r="H43" s="223">
        <f t="shared" ref="H43" si="933">G43</f>
        <v>0</v>
      </c>
      <c r="I43" s="223">
        <f t="shared" ref="I43" si="934">H43</f>
        <v>0</v>
      </c>
      <c r="J43" s="223">
        <f t="shared" ref="J43" si="935">I43</f>
        <v>0</v>
      </c>
      <c r="K43" s="223">
        <f t="shared" ref="K43" si="936">J43</f>
        <v>0</v>
      </c>
      <c r="L43" s="223">
        <f t="shared" ref="L43" si="937">K43</f>
        <v>0</v>
      </c>
      <c r="M43" s="223">
        <f t="shared" ref="M43" si="938">L43</f>
        <v>0</v>
      </c>
      <c r="N43" s="223">
        <f t="shared" ref="N43" si="939">M43</f>
        <v>0</v>
      </c>
      <c r="O43" s="223">
        <f t="shared" ref="O43" si="940">N43</f>
        <v>0</v>
      </c>
      <c r="P43" s="223">
        <f t="shared" ref="P43" si="941">O43</f>
        <v>0</v>
      </c>
      <c r="Q43" s="223">
        <f t="shared" ref="Q43" si="942">P43</f>
        <v>0</v>
      </c>
      <c r="R43" s="223">
        <f t="shared" ref="R43" si="943">Q43</f>
        <v>0</v>
      </c>
      <c r="S43" s="371">
        <f>Summary!$AD$14</f>
        <v>0</v>
      </c>
      <c r="T43" s="223">
        <f t="shared" ref="T43" si="944">S43</f>
        <v>0</v>
      </c>
      <c r="U43" s="223">
        <f t="shared" ref="U43" si="945">T43</f>
        <v>0</v>
      </c>
      <c r="V43" s="223">
        <f t="shared" ref="V43" si="946">U43</f>
        <v>0</v>
      </c>
      <c r="W43" s="223">
        <f t="shared" ref="W43" si="947">V43</f>
        <v>0</v>
      </c>
      <c r="X43" s="223">
        <f t="shared" ref="X43" si="948">W43</f>
        <v>0</v>
      </c>
      <c r="Y43" s="223">
        <f t="shared" ref="Y43" si="949">X43</f>
        <v>0</v>
      </c>
      <c r="Z43" s="223">
        <f t="shared" ref="Z43" si="950">Y43</f>
        <v>0</v>
      </c>
      <c r="AA43" s="223">
        <f t="shared" ref="AA43" si="951">Z43</f>
        <v>0</v>
      </c>
      <c r="AB43" s="223">
        <f t="shared" ref="AB43" si="952">AA43</f>
        <v>0</v>
      </c>
      <c r="AC43" s="223">
        <f t="shared" ref="AC43" si="953">AB43</f>
        <v>0</v>
      </c>
      <c r="AD43" s="223">
        <f t="shared" ref="AD43" si="954">AC43</f>
        <v>0</v>
      </c>
      <c r="AE43" s="371">
        <f>Summary!$AE$14</f>
        <v>0</v>
      </c>
      <c r="AF43" s="223">
        <f t="shared" ref="AF43" si="955">AE43</f>
        <v>0</v>
      </c>
      <c r="AG43" s="223">
        <f t="shared" ref="AG43" si="956">AF43</f>
        <v>0</v>
      </c>
      <c r="AH43" s="223">
        <f t="shared" ref="AH43" si="957">AG43</f>
        <v>0</v>
      </c>
      <c r="AI43" s="223">
        <f t="shared" ref="AI43" si="958">AH43</f>
        <v>0</v>
      </c>
      <c r="AJ43" s="223">
        <f t="shared" ref="AJ43" si="959">AI43</f>
        <v>0</v>
      </c>
      <c r="AK43" s="223">
        <f t="shared" ref="AK43" si="960">AJ43</f>
        <v>0</v>
      </c>
      <c r="AL43" s="223">
        <f t="shared" ref="AL43" si="961">AK43</f>
        <v>0</v>
      </c>
      <c r="AM43" s="223">
        <f t="shared" ref="AM43" si="962">AL43</f>
        <v>0</v>
      </c>
      <c r="AN43" s="223">
        <f t="shared" ref="AN43" si="963">AM43</f>
        <v>0</v>
      </c>
      <c r="AO43" s="223">
        <f t="shared" ref="AO43" si="964">AN43</f>
        <v>0</v>
      </c>
      <c r="AP43" s="223">
        <f t="shared" ref="AP43" si="965">AO43</f>
        <v>0</v>
      </c>
      <c r="AQ43" s="371">
        <f>Summary!$AF$14</f>
        <v>0</v>
      </c>
      <c r="AR43" s="223">
        <f t="shared" ref="AR43" si="966">AQ43</f>
        <v>0</v>
      </c>
      <c r="AS43" s="223">
        <f t="shared" ref="AS43" si="967">AR43</f>
        <v>0</v>
      </c>
      <c r="AT43" s="223">
        <f t="shared" ref="AT43" si="968">AS43</f>
        <v>0</v>
      </c>
      <c r="AU43" s="223">
        <f t="shared" ref="AU43" si="969">AT43</f>
        <v>0</v>
      </c>
      <c r="AV43" s="223">
        <f t="shared" ref="AV43" si="970">AU43</f>
        <v>0</v>
      </c>
      <c r="AW43" s="223">
        <f t="shared" ref="AW43" si="971">AV43</f>
        <v>0</v>
      </c>
      <c r="AX43" s="223">
        <f t="shared" ref="AX43" si="972">AW43</f>
        <v>0</v>
      </c>
      <c r="AY43" s="223">
        <f t="shared" ref="AY43" si="973">AX43</f>
        <v>0</v>
      </c>
      <c r="AZ43" s="223">
        <f t="shared" ref="AZ43" si="974">AY43</f>
        <v>0</v>
      </c>
      <c r="BA43" s="223">
        <f t="shared" ref="BA43" si="975">AZ43</f>
        <v>0</v>
      </c>
      <c r="BB43" s="223">
        <f t="shared" ref="BB43" si="976">BA43</f>
        <v>0</v>
      </c>
      <c r="BC43" s="371">
        <f>Summary!$AG$14</f>
        <v>0</v>
      </c>
      <c r="BD43" s="223">
        <f>BC43</f>
        <v>0</v>
      </c>
      <c r="BE43" s="223">
        <f t="shared" ref="BE43:BN43" si="977">BD43</f>
        <v>0</v>
      </c>
      <c r="BF43" s="223">
        <f t="shared" si="977"/>
        <v>0</v>
      </c>
      <c r="BG43" s="223">
        <f t="shared" si="977"/>
        <v>0</v>
      </c>
      <c r="BH43" s="223">
        <f t="shared" si="977"/>
        <v>0</v>
      </c>
      <c r="BI43" s="223">
        <f t="shared" si="977"/>
        <v>0</v>
      </c>
      <c r="BJ43" s="223">
        <f t="shared" si="977"/>
        <v>0</v>
      </c>
      <c r="BK43" s="223">
        <f t="shared" si="977"/>
        <v>0</v>
      </c>
      <c r="BL43" s="223">
        <f t="shared" si="977"/>
        <v>0</v>
      </c>
      <c r="BM43" s="223">
        <f t="shared" si="977"/>
        <v>0</v>
      </c>
      <c r="BN43" s="223">
        <f t="shared" si="977"/>
        <v>0</v>
      </c>
      <c r="BO43" s="371">
        <f>Summary!$AH$14</f>
        <v>0</v>
      </c>
      <c r="BP43" s="223">
        <f t="shared" ref="BP43" si="978">BO43</f>
        <v>0</v>
      </c>
      <c r="BQ43" s="223">
        <f t="shared" ref="BQ43" si="979">BP43</f>
        <v>0</v>
      </c>
      <c r="BR43" s="223">
        <f t="shared" ref="BR43" si="980">BQ43</f>
        <v>0</v>
      </c>
      <c r="BS43" s="223">
        <f t="shared" ref="BS43" si="981">BR43</f>
        <v>0</v>
      </c>
      <c r="BT43" s="223">
        <f t="shared" ref="BT43" si="982">BS43</f>
        <v>0</v>
      </c>
      <c r="BU43" s="223">
        <f t="shared" ref="BU43" si="983">BT43</f>
        <v>0</v>
      </c>
      <c r="BV43" s="223">
        <f t="shared" ref="BV43" si="984">BU43</f>
        <v>0</v>
      </c>
      <c r="BW43" s="223">
        <f t="shared" ref="BW43" si="985">BV43</f>
        <v>0</v>
      </c>
      <c r="BX43" s="223">
        <f t="shared" ref="BX43" si="986">BW43</f>
        <v>0</v>
      </c>
      <c r="BY43" s="223">
        <f t="shared" ref="BY43" si="987">BX43</f>
        <v>0</v>
      </c>
      <c r="BZ43" s="223">
        <f t="shared" ref="BZ43" si="988">BY43</f>
        <v>0</v>
      </c>
      <c r="CA43" s="371">
        <f>Summary!$AI$14</f>
        <v>0</v>
      </c>
      <c r="CB43" s="223">
        <f t="shared" ref="CB43" si="989">CA43</f>
        <v>0</v>
      </c>
      <c r="CC43" s="223">
        <f t="shared" ref="CC43" si="990">CB43</f>
        <v>0</v>
      </c>
      <c r="CD43" s="223">
        <f t="shared" ref="CD43" si="991">CC43</f>
        <v>0</v>
      </c>
      <c r="CE43" s="223">
        <f t="shared" ref="CE43" si="992">CD43</f>
        <v>0</v>
      </c>
      <c r="CF43" s="223">
        <f t="shared" ref="CF43" si="993">CE43</f>
        <v>0</v>
      </c>
      <c r="CG43" s="223">
        <f t="shared" ref="CG43" si="994">CF43</f>
        <v>0</v>
      </c>
      <c r="CH43" s="223">
        <f t="shared" ref="CH43" si="995">CG43</f>
        <v>0</v>
      </c>
      <c r="CI43" s="223">
        <f t="shared" ref="CI43" si="996">CH43</f>
        <v>0</v>
      </c>
      <c r="CJ43" s="223">
        <f t="shared" ref="CJ43" si="997">CI43</f>
        <v>0</v>
      </c>
      <c r="CK43" s="223">
        <f t="shared" ref="CK43" si="998">CJ43</f>
        <v>0</v>
      </c>
      <c r="CL43" s="223">
        <f t="shared" ref="CL43" si="999">CK43</f>
        <v>0</v>
      </c>
      <c r="CM43" s="371">
        <f>Summary!$AJ$14</f>
        <v>0</v>
      </c>
      <c r="CN43" s="223">
        <f t="shared" ref="CN43" si="1000">CM43</f>
        <v>0</v>
      </c>
      <c r="CO43" s="223">
        <f t="shared" ref="CO43" si="1001">CN43</f>
        <v>0</v>
      </c>
      <c r="CP43" s="223">
        <f t="shared" ref="CP43" si="1002">CO43</f>
        <v>0</v>
      </c>
      <c r="CQ43" s="223">
        <f t="shared" ref="CQ43" si="1003">CP43</f>
        <v>0</v>
      </c>
      <c r="CR43" s="223">
        <f t="shared" ref="CR43" si="1004">CQ43</f>
        <v>0</v>
      </c>
      <c r="CS43" s="223">
        <f t="shared" ref="CS43" si="1005">CR43</f>
        <v>0</v>
      </c>
      <c r="CT43" s="223">
        <f t="shared" ref="CT43" si="1006">CS43</f>
        <v>0</v>
      </c>
      <c r="CU43" s="223">
        <f t="shared" ref="CU43" si="1007">CT43</f>
        <v>0</v>
      </c>
      <c r="CV43" s="223">
        <f t="shared" ref="CV43" si="1008">CU43</f>
        <v>0</v>
      </c>
      <c r="CW43" s="223">
        <f t="shared" ref="CW43" si="1009">CV43</f>
        <v>0</v>
      </c>
      <c r="CX43" s="223">
        <f t="shared" ref="CX43" si="1010">CW43</f>
        <v>0</v>
      </c>
      <c r="CY43" s="371">
        <f>Summary!$AK$14</f>
        <v>0</v>
      </c>
      <c r="CZ43" s="223">
        <f t="shared" ref="CZ43" si="1011">CY43</f>
        <v>0</v>
      </c>
      <c r="DA43" s="223">
        <f t="shared" ref="DA43" si="1012">CZ43</f>
        <v>0</v>
      </c>
      <c r="DB43" s="223">
        <f t="shared" ref="DB43" si="1013">DA43</f>
        <v>0</v>
      </c>
      <c r="DC43" s="223">
        <f t="shared" ref="DC43" si="1014">DB43</f>
        <v>0</v>
      </c>
      <c r="DD43" s="223">
        <f t="shared" ref="DD43" si="1015">DC43</f>
        <v>0</v>
      </c>
      <c r="DE43" s="223">
        <f t="shared" ref="DE43" si="1016">DD43</f>
        <v>0</v>
      </c>
      <c r="DF43" s="223">
        <f t="shared" ref="DF43" si="1017">DE43</f>
        <v>0</v>
      </c>
      <c r="DG43" s="223">
        <f t="shared" ref="DG43" si="1018">DF43</f>
        <v>0</v>
      </c>
      <c r="DH43" s="223">
        <f t="shared" ref="DH43" si="1019">DG43</f>
        <v>0</v>
      </c>
      <c r="DI43" s="223">
        <f t="shared" ref="DI43" si="1020">DH43</f>
        <v>0</v>
      </c>
      <c r="DJ43" s="223">
        <f t="shared" ref="DJ43" si="1021">DI43</f>
        <v>0</v>
      </c>
      <c r="DK43" s="371">
        <f>Summary!$AL$14</f>
        <v>0</v>
      </c>
      <c r="DL43" s="223">
        <f t="shared" ref="DL43" si="1022">DK43</f>
        <v>0</v>
      </c>
      <c r="DM43" s="223">
        <f t="shared" ref="DM43" si="1023">DL43</f>
        <v>0</v>
      </c>
      <c r="DN43" s="223">
        <f t="shared" ref="DN43" si="1024">DM43</f>
        <v>0</v>
      </c>
      <c r="DO43" s="223">
        <f t="shared" ref="DO43" si="1025">DN43</f>
        <v>0</v>
      </c>
      <c r="DP43" s="223">
        <f t="shared" ref="DP43" si="1026">DO43</f>
        <v>0</v>
      </c>
      <c r="DQ43" s="223">
        <f t="shared" ref="DQ43" si="1027">DP43</f>
        <v>0</v>
      </c>
      <c r="DR43" s="223">
        <f t="shared" ref="DR43" si="1028">DQ43</f>
        <v>0</v>
      </c>
      <c r="DS43" s="223">
        <f t="shared" ref="DS43" si="1029">DR43</f>
        <v>0</v>
      </c>
      <c r="DT43" s="223">
        <f t="shared" ref="DT43" si="1030">DS43</f>
        <v>0</v>
      </c>
      <c r="DU43" s="223">
        <f t="shared" ref="DU43" si="1031">DT43</f>
        <v>0</v>
      </c>
      <c r="DV43" s="471">
        <f t="shared" ref="DV43" si="1032">DU43</f>
        <v>0</v>
      </c>
      <c r="DW43" s="640"/>
      <c r="DX43" s="470"/>
      <c r="DY43" s="244"/>
      <c r="DZ43" s="244"/>
      <c r="EA43" s="244"/>
      <c r="EB43" s="244"/>
      <c r="EC43" s="244"/>
      <c r="ED43" s="244"/>
      <c r="EE43" s="244"/>
      <c r="EF43" s="244"/>
      <c r="EG43" s="244"/>
      <c r="EH43" s="244"/>
      <c r="EI43" s="510"/>
      <c r="EJ43" s="30"/>
      <c r="EK43" s="244"/>
      <c r="EL43" s="244"/>
      <c r="EM43" s="244"/>
      <c r="EN43" s="244"/>
      <c r="EO43" s="244"/>
      <c r="EP43" s="510"/>
    </row>
    <row r="44" spans="2:146" outlineLevel="1" x14ac:dyDescent="0.3">
      <c r="B44" s="225" t="s">
        <v>189</v>
      </c>
      <c r="C44" s="245" t="s">
        <v>685</v>
      </c>
      <c r="D44" s="227"/>
      <c r="E44" s="474"/>
      <c r="F44" s="679">
        <f>F42*F43</f>
        <v>0</v>
      </c>
      <c r="G44" s="234">
        <f t="shared" ref="G44:BN44" si="1033">G42*G43</f>
        <v>0</v>
      </c>
      <c r="H44" s="234">
        <f t="shared" si="1033"/>
        <v>0</v>
      </c>
      <c r="I44" s="234">
        <f t="shared" si="1033"/>
        <v>0</v>
      </c>
      <c r="J44" s="234">
        <f t="shared" si="1033"/>
        <v>0</v>
      </c>
      <c r="K44" s="234">
        <f t="shared" si="1033"/>
        <v>0</v>
      </c>
      <c r="L44" s="234">
        <f t="shared" si="1033"/>
        <v>0</v>
      </c>
      <c r="M44" s="234">
        <f t="shared" si="1033"/>
        <v>0</v>
      </c>
      <c r="N44" s="234">
        <f t="shared" si="1033"/>
        <v>0</v>
      </c>
      <c r="O44" s="234">
        <f t="shared" si="1033"/>
        <v>0</v>
      </c>
      <c r="P44" s="234">
        <f t="shared" si="1033"/>
        <v>0</v>
      </c>
      <c r="Q44" s="234">
        <f t="shared" si="1033"/>
        <v>0</v>
      </c>
      <c r="R44" s="234">
        <f t="shared" si="1033"/>
        <v>0</v>
      </c>
      <c r="S44" s="234">
        <f t="shared" si="1033"/>
        <v>0</v>
      </c>
      <c r="T44" s="234">
        <f t="shared" si="1033"/>
        <v>0</v>
      </c>
      <c r="U44" s="234">
        <f t="shared" si="1033"/>
        <v>0</v>
      </c>
      <c r="V44" s="234">
        <f t="shared" si="1033"/>
        <v>0</v>
      </c>
      <c r="W44" s="234">
        <f t="shared" si="1033"/>
        <v>0</v>
      </c>
      <c r="X44" s="234">
        <f t="shared" si="1033"/>
        <v>0</v>
      </c>
      <c r="Y44" s="234">
        <f t="shared" si="1033"/>
        <v>0</v>
      </c>
      <c r="Z44" s="234">
        <f t="shared" si="1033"/>
        <v>0</v>
      </c>
      <c r="AA44" s="234">
        <f t="shared" si="1033"/>
        <v>0</v>
      </c>
      <c r="AB44" s="234">
        <f t="shared" si="1033"/>
        <v>0</v>
      </c>
      <c r="AC44" s="234">
        <f t="shared" si="1033"/>
        <v>0</v>
      </c>
      <c r="AD44" s="234">
        <f t="shared" si="1033"/>
        <v>0</v>
      </c>
      <c r="AE44" s="234">
        <f t="shared" si="1033"/>
        <v>0</v>
      </c>
      <c r="AF44" s="234">
        <f t="shared" si="1033"/>
        <v>0</v>
      </c>
      <c r="AG44" s="234">
        <f t="shared" si="1033"/>
        <v>0</v>
      </c>
      <c r="AH44" s="234">
        <f t="shared" si="1033"/>
        <v>0</v>
      </c>
      <c r="AI44" s="234">
        <f t="shared" si="1033"/>
        <v>0</v>
      </c>
      <c r="AJ44" s="234">
        <f t="shared" si="1033"/>
        <v>0</v>
      </c>
      <c r="AK44" s="234">
        <f t="shared" si="1033"/>
        <v>0</v>
      </c>
      <c r="AL44" s="234">
        <f t="shared" si="1033"/>
        <v>0</v>
      </c>
      <c r="AM44" s="234">
        <f t="shared" si="1033"/>
        <v>0</v>
      </c>
      <c r="AN44" s="234">
        <f t="shared" si="1033"/>
        <v>0</v>
      </c>
      <c r="AO44" s="234">
        <f t="shared" si="1033"/>
        <v>0</v>
      </c>
      <c r="AP44" s="234">
        <f t="shared" si="1033"/>
        <v>0</v>
      </c>
      <c r="AQ44" s="234">
        <f t="shared" si="1033"/>
        <v>0</v>
      </c>
      <c r="AR44" s="228">
        <f t="shared" si="1033"/>
        <v>0</v>
      </c>
      <c r="AS44" s="228">
        <f t="shared" si="1033"/>
        <v>0</v>
      </c>
      <c r="AT44" s="228">
        <f t="shared" si="1033"/>
        <v>0</v>
      </c>
      <c r="AU44" s="228">
        <f t="shared" si="1033"/>
        <v>0</v>
      </c>
      <c r="AV44" s="228">
        <f t="shared" si="1033"/>
        <v>0</v>
      </c>
      <c r="AW44" s="228">
        <f t="shared" si="1033"/>
        <v>0</v>
      </c>
      <c r="AX44" s="228">
        <f t="shared" si="1033"/>
        <v>0</v>
      </c>
      <c r="AY44" s="228">
        <f t="shared" si="1033"/>
        <v>0</v>
      </c>
      <c r="AZ44" s="228">
        <f t="shared" si="1033"/>
        <v>0</v>
      </c>
      <c r="BA44" s="228">
        <f t="shared" si="1033"/>
        <v>0</v>
      </c>
      <c r="BB44" s="228">
        <f t="shared" si="1033"/>
        <v>0</v>
      </c>
      <c r="BC44" s="234">
        <f t="shared" si="1033"/>
        <v>0</v>
      </c>
      <c r="BD44" s="228">
        <f t="shared" si="1033"/>
        <v>0</v>
      </c>
      <c r="BE44" s="228">
        <f t="shared" si="1033"/>
        <v>0</v>
      </c>
      <c r="BF44" s="228">
        <f t="shared" si="1033"/>
        <v>0</v>
      </c>
      <c r="BG44" s="228">
        <f t="shared" si="1033"/>
        <v>0</v>
      </c>
      <c r="BH44" s="228">
        <f t="shared" si="1033"/>
        <v>0</v>
      </c>
      <c r="BI44" s="228">
        <f t="shared" si="1033"/>
        <v>0</v>
      </c>
      <c r="BJ44" s="228">
        <f t="shared" si="1033"/>
        <v>0</v>
      </c>
      <c r="BK44" s="228">
        <f t="shared" si="1033"/>
        <v>0</v>
      </c>
      <c r="BL44" s="228">
        <f t="shared" si="1033"/>
        <v>0</v>
      </c>
      <c r="BM44" s="228">
        <f t="shared" si="1033"/>
        <v>0</v>
      </c>
      <c r="BN44" s="228">
        <f t="shared" si="1033"/>
        <v>0</v>
      </c>
      <c r="BO44" s="234">
        <f t="shared" ref="BO44" si="1034">BO42*BO43</f>
        <v>0</v>
      </c>
      <c r="BP44" s="228">
        <f t="shared" ref="BP44:DV44" si="1035">BP42*BP43</f>
        <v>0</v>
      </c>
      <c r="BQ44" s="228">
        <f t="shared" si="1035"/>
        <v>0</v>
      </c>
      <c r="BR44" s="228">
        <f t="shared" si="1035"/>
        <v>0</v>
      </c>
      <c r="BS44" s="228">
        <f t="shared" si="1035"/>
        <v>0</v>
      </c>
      <c r="BT44" s="228">
        <f t="shared" si="1035"/>
        <v>0</v>
      </c>
      <c r="BU44" s="228">
        <f t="shared" si="1035"/>
        <v>0</v>
      </c>
      <c r="BV44" s="228">
        <f t="shared" si="1035"/>
        <v>0</v>
      </c>
      <c r="BW44" s="228">
        <f t="shared" si="1035"/>
        <v>0</v>
      </c>
      <c r="BX44" s="228">
        <f t="shared" si="1035"/>
        <v>0</v>
      </c>
      <c r="BY44" s="228">
        <f t="shared" si="1035"/>
        <v>0</v>
      </c>
      <c r="BZ44" s="228">
        <f t="shared" si="1035"/>
        <v>0</v>
      </c>
      <c r="CA44" s="234">
        <f t="shared" si="1035"/>
        <v>0</v>
      </c>
      <c r="CB44" s="228">
        <f t="shared" si="1035"/>
        <v>0</v>
      </c>
      <c r="CC44" s="228">
        <f t="shared" si="1035"/>
        <v>0</v>
      </c>
      <c r="CD44" s="228">
        <f t="shared" si="1035"/>
        <v>0</v>
      </c>
      <c r="CE44" s="228">
        <f t="shared" si="1035"/>
        <v>0</v>
      </c>
      <c r="CF44" s="228">
        <f t="shared" si="1035"/>
        <v>0</v>
      </c>
      <c r="CG44" s="228">
        <f t="shared" si="1035"/>
        <v>0</v>
      </c>
      <c r="CH44" s="228">
        <f t="shared" si="1035"/>
        <v>0</v>
      </c>
      <c r="CI44" s="228">
        <f t="shared" si="1035"/>
        <v>0</v>
      </c>
      <c r="CJ44" s="228">
        <f t="shared" si="1035"/>
        <v>0</v>
      </c>
      <c r="CK44" s="228">
        <f t="shared" si="1035"/>
        <v>0</v>
      </c>
      <c r="CL44" s="228">
        <f t="shared" si="1035"/>
        <v>0</v>
      </c>
      <c r="CM44" s="234">
        <f t="shared" si="1035"/>
        <v>0</v>
      </c>
      <c r="CN44" s="228">
        <f t="shared" si="1035"/>
        <v>0</v>
      </c>
      <c r="CO44" s="228">
        <f t="shared" si="1035"/>
        <v>0</v>
      </c>
      <c r="CP44" s="228">
        <f t="shared" si="1035"/>
        <v>0</v>
      </c>
      <c r="CQ44" s="228">
        <f t="shared" si="1035"/>
        <v>0</v>
      </c>
      <c r="CR44" s="228">
        <f t="shared" si="1035"/>
        <v>0</v>
      </c>
      <c r="CS44" s="228">
        <f t="shared" si="1035"/>
        <v>0</v>
      </c>
      <c r="CT44" s="228">
        <f t="shared" si="1035"/>
        <v>0</v>
      </c>
      <c r="CU44" s="228">
        <f t="shared" si="1035"/>
        <v>0</v>
      </c>
      <c r="CV44" s="228">
        <f t="shared" si="1035"/>
        <v>0</v>
      </c>
      <c r="CW44" s="228">
        <f t="shared" si="1035"/>
        <v>0</v>
      </c>
      <c r="CX44" s="228">
        <f t="shared" si="1035"/>
        <v>0</v>
      </c>
      <c r="CY44" s="234">
        <f t="shared" si="1035"/>
        <v>0</v>
      </c>
      <c r="CZ44" s="228">
        <f t="shared" si="1035"/>
        <v>0</v>
      </c>
      <c r="DA44" s="228">
        <f t="shared" si="1035"/>
        <v>0</v>
      </c>
      <c r="DB44" s="228">
        <f t="shared" si="1035"/>
        <v>0</v>
      </c>
      <c r="DC44" s="228">
        <f t="shared" si="1035"/>
        <v>0</v>
      </c>
      <c r="DD44" s="228">
        <f t="shared" si="1035"/>
        <v>0</v>
      </c>
      <c r="DE44" s="228">
        <f t="shared" si="1035"/>
        <v>0</v>
      </c>
      <c r="DF44" s="228">
        <f t="shared" si="1035"/>
        <v>0</v>
      </c>
      <c r="DG44" s="228">
        <f t="shared" si="1035"/>
        <v>0</v>
      </c>
      <c r="DH44" s="228">
        <f t="shared" si="1035"/>
        <v>0</v>
      </c>
      <c r="DI44" s="228">
        <f t="shared" si="1035"/>
        <v>0</v>
      </c>
      <c r="DJ44" s="228">
        <f t="shared" si="1035"/>
        <v>0</v>
      </c>
      <c r="DK44" s="234">
        <f t="shared" si="1035"/>
        <v>0</v>
      </c>
      <c r="DL44" s="228">
        <f t="shared" si="1035"/>
        <v>0</v>
      </c>
      <c r="DM44" s="228">
        <f t="shared" si="1035"/>
        <v>0</v>
      </c>
      <c r="DN44" s="228">
        <f t="shared" si="1035"/>
        <v>0</v>
      </c>
      <c r="DO44" s="228">
        <f t="shared" si="1035"/>
        <v>0</v>
      </c>
      <c r="DP44" s="228">
        <f t="shared" si="1035"/>
        <v>0</v>
      </c>
      <c r="DQ44" s="228">
        <f t="shared" si="1035"/>
        <v>0</v>
      </c>
      <c r="DR44" s="228">
        <f t="shared" si="1035"/>
        <v>0</v>
      </c>
      <c r="DS44" s="228">
        <f t="shared" si="1035"/>
        <v>0</v>
      </c>
      <c r="DT44" s="228">
        <f t="shared" si="1035"/>
        <v>0</v>
      </c>
      <c r="DU44" s="228">
        <f t="shared" si="1035"/>
        <v>0</v>
      </c>
      <c r="DV44" s="472">
        <f t="shared" si="1035"/>
        <v>0</v>
      </c>
      <c r="DW44" s="717"/>
      <c r="DX44" s="505">
        <f>SUM(D44:F44)</f>
        <v>0</v>
      </c>
      <c r="DY44" s="229">
        <f>SUM(G44:I44)</f>
        <v>0</v>
      </c>
      <c r="DZ44" s="229">
        <f>SUM(J44:L44)</f>
        <v>0</v>
      </c>
      <c r="EA44" s="229">
        <f>SUM(M44:O44)</f>
        <v>0</v>
      </c>
      <c r="EB44" s="229">
        <f>SUM(P44:R44)</f>
        <v>0</v>
      </c>
      <c r="EC44" s="230">
        <f>SUM(D44:R44)</f>
        <v>0</v>
      </c>
      <c r="ED44" s="230">
        <f>SUM(S44:AD44)</f>
        <v>0</v>
      </c>
      <c r="EE44" s="230">
        <f>SUM(AE44:AP44)</f>
        <v>0</v>
      </c>
      <c r="EF44" s="231">
        <f>SUM(EC44:EE44)</f>
        <v>0</v>
      </c>
      <c r="EG44" s="230">
        <f>SUM(AQ44:BB44)</f>
        <v>0</v>
      </c>
      <c r="EH44" s="230">
        <f>SUM(BC44:BN44)</f>
        <v>0</v>
      </c>
      <c r="EI44" s="506">
        <f>SUM(EF44:EH44)</f>
        <v>0</v>
      </c>
      <c r="EJ44" s="30">
        <v>0</v>
      </c>
      <c r="EK44" s="230">
        <f t="shared" si="4"/>
        <v>0</v>
      </c>
      <c r="EL44" s="230">
        <f t="shared" si="5"/>
        <v>0</v>
      </c>
      <c r="EM44" s="230">
        <f t="shared" si="6"/>
        <v>0</v>
      </c>
      <c r="EN44" s="230">
        <f t="shared" si="7"/>
        <v>0</v>
      </c>
      <c r="EO44" s="230">
        <f t="shared" si="8"/>
        <v>0</v>
      </c>
      <c r="EP44" s="506">
        <f t="shared" ref="EP44" si="1036">SUM(EC44:EE44,EG44:EH44,EK44:EO44)</f>
        <v>0</v>
      </c>
    </row>
    <row r="45" spans="2:146" outlineLevel="1" x14ac:dyDescent="0.3">
      <c r="B45" s="209" t="s">
        <v>190</v>
      </c>
      <c r="C45" s="210"/>
      <c r="D45" s="211"/>
      <c r="E45" s="468"/>
      <c r="F45" s="211">
        <f>Data!G55*(1-Data!G$10)</f>
        <v>0.51698084291187729</v>
      </c>
      <c r="G45" s="212">
        <f>Data!H55*(1-Data!H$10)</f>
        <v>0.51698084291187729</v>
      </c>
      <c r="H45" s="212">
        <f>Data!I55*(1-Data!I$10)</f>
        <v>0.5169808429118774</v>
      </c>
      <c r="I45" s="212">
        <f>Data!J55*(1-Data!J$10)</f>
        <v>0.5169808429118774</v>
      </c>
      <c r="J45" s="212">
        <f>Data!K55*(1-Data!K$10)</f>
        <v>0.5169808429118774</v>
      </c>
      <c r="K45" s="212">
        <f>Data!L55*(1-Data!L$10)</f>
        <v>0.5169808429118774</v>
      </c>
      <c r="L45" s="212">
        <f>Data!M55*(1-Data!M$10)</f>
        <v>0.5169808429118774</v>
      </c>
      <c r="M45" s="212">
        <f>Data!N55*(1-Data!N$10)</f>
        <v>0.5169808429118774</v>
      </c>
      <c r="N45" s="212">
        <f>Data!O55*(1-Data!O$10)</f>
        <v>0.5169808429118774</v>
      </c>
      <c r="O45" s="212">
        <f>Data!P55*(1-Data!P$10)</f>
        <v>0.5169808429118774</v>
      </c>
      <c r="P45" s="212">
        <f>Data!Q55*(1-Data!Q$10)</f>
        <v>0.5169808429118774</v>
      </c>
      <c r="Q45" s="212">
        <f>Data!R55*(1-Data!R$10)</f>
        <v>0.5169808429118774</v>
      </c>
      <c r="R45" s="212">
        <f>Data!S55*(1-Data!S$10)</f>
        <v>0.5169808429118774</v>
      </c>
      <c r="S45" s="212">
        <f>Data!T55*(1-Data!T$10)</f>
        <v>0.5169808429118774</v>
      </c>
      <c r="T45" s="212">
        <f>Data!U55*(1-Data!U$10)</f>
        <v>0.5169808429118774</v>
      </c>
      <c r="U45" s="212">
        <f>Data!V55*(1-Data!V$10)</f>
        <v>0.5169808429118774</v>
      </c>
      <c r="V45" s="212">
        <f>Data!W55*(1-Data!W$10)</f>
        <v>0.5169808429118774</v>
      </c>
      <c r="W45" s="212">
        <f>Data!X55*(1-Data!X$10)</f>
        <v>0.5169808429118774</v>
      </c>
      <c r="X45" s="212">
        <f>Data!Y55*(1-Data!Y$10)</f>
        <v>0.5169808429118774</v>
      </c>
      <c r="Y45" s="212">
        <f>Data!Z55*(1-Data!Z$10)</f>
        <v>0.5169808429118774</v>
      </c>
      <c r="Z45" s="212">
        <f>Data!AA55*(1-Data!AA$10)</f>
        <v>0.5169808429118774</v>
      </c>
      <c r="AA45" s="212">
        <f>Data!AB55*(1-Data!AB$10)</f>
        <v>0.5169808429118774</v>
      </c>
      <c r="AB45" s="212">
        <f>Data!AC55*(1-Data!AC$10)</f>
        <v>0.5169808429118774</v>
      </c>
      <c r="AC45" s="212">
        <f>Data!AD55*(1-Data!AD$10)</f>
        <v>0.5169808429118774</v>
      </c>
      <c r="AD45" s="212">
        <f>Data!AE55*(1-Data!AE$10)</f>
        <v>0.5169808429118774</v>
      </c>
      <c r="AE45" s="212">
        <f>Data!AF55*(1-Data!AF$10)</f>
        <v>0.5169808429118774</v>
      </c>
      <c r="AF45" s="212">
        <f>Data!AG55*(1-Data!AG$10)</f>
        <v>0.5169808429118774</v>
      </c>
      <c r="AG45" s="212">
        <f>Data!AH55*(1-Data!AH$10)</f>
        <v>0.5169808429118774</v>
      </c>
      <c r="AH45" s="212">
        <f>Data!AI55*(1-Data!AI$10)</f>
        <v>0.5169808429118774</v>
      </c>
      <c r="AI45" s="212">
        <f>Data!AJ55*(1-Data!AJ$10)</f>
        <v>0.5169808429118774</v>
      </c>
      <c r="AJ45" s="212">
        <f>Data!AK55*(1-Data!AK$10)</f>
        <v>0.5169808429118774</v>
      </c>
      <c r="AK45" s="212">
        <f>Data!AL55*(1-Data!AL$10)</f>
        <v>0.5169808429118774</v>
      </c>
      <c r="AL45" s="212">
        <f>Data!AM55*(1-Data!AM$10)</f>
        <v>0.5169808429118774</v>
      </c>
      <c r="AM45" s="212">
        <f>Data!AN55*(1-Data!AN$10)</f>
        <v>0.5169808429118774</v>
      </c>
      <c r="AN45" s="212">
        <f>Data!AO55*(1-Data!AO$10)</f>
        <v>0.5169808429118774</v>
      </c>
      <c r="AO45" s="212">
        <f>Data!AP55*(1-Data!AP$10)</f>
        <v>0.5169808429118774</v>
      </c>
      <c r="AP45" s="212">
        <f>Data!AQ55*(1-Data!AQ$10)</f>
        <v>0.5169808429118774</v>
      </c>
      <c r="AQ45" s="212">
        <f>Data!AR55*(1-Data!AR$10)</f>
        <v>0.5169808429118774</v>
      </c>
      <c r="AR45" s="212">
        <f>Data!AS55*(1-Data!AS$10)</f>
        <v>0.5169808429118774</v>
      </c>
      <c r="AS45" s="212">
        <f>Data!AT55*(1-Data!AT$10)</f>
        <v>0.5169808429118774</v>
      </c>
      <c r="AT45" s="212">
        <f>Data!AU55*(1-Data!AU$10)</f>
        <v>0.5169808429118774</v>
      </c>
      <c r="AU45" s="212">
        <f>Data!AV55*(1-Data!AV$10)</f>
        <v>0.5169808429118774</v>
      </c>
      <c r="AV45" s="212">
        <f>Data!AW55*(1-Data!AW$10)</f>
        <v>0.5169808429118774</v>
      </c>
      <c r="AW45" s="212">
        <f>Data!AX55*(1-Data!AX$10)</f>
        <v>0.5169808429118774</v>
      </c>
      <c r="AX45" s="212">
        <f>Data!AY55*(1-Data!AY$10)</f>
        <v>0.5169808429118774</v>
      </c>
      <c r="AY45" s="212">
        <f>Data!AZ55*(1-Data!AZ$10)</f>
        <v>0.5169808429118774</v>
      </c>
      <c r="AZ45" s="212">
        <f>Data!BA55*(1-Data!BA$10)</f>
        <v>0.5169808429118774</v>
      </c>
      <c r="BA45" s="212">
        <f>Data!BB55*(1-Data!BB$10)</f>
        <v>0.5169808429118774</v>
      </c>
      <c r="BB45" s="212">
        <f>Data!BC55*(1-Data!BC$10)</f>
        <v>0.5169808429118774</v>
      </c>
      <c r="BC45" s="212">
        <f>Data!BD55*(1-Data!BD$10)</f>
        <v>0.5169808429118774</v>
      </c>
      <c r="BD45" s="212">
        <f>Data!BE55*(1-Data!BE$10)</f>
        <v>0.5169808429118774</v>
      </c>
      <c r="BE45" s="212">
        <f>Data!BF55*(1-Data!BF$10)</f>
        <v>0.5169808429118774</v>
      </c>
      <c r="BF45" s="212">
        <f>Data!BG55*(1-Data!BG$10)</f>
        <v>0.5169808429118774</v>
      </c>
      <c r="BG45" s="212">
        <f>Data!BH55*(1-Data!BH$10)</f>
        <v>0.5169808429118774</v>
      </c>
      <c r="BH45" s="212">
        <f>Data!BI55*(1-Data!BI$10)</f>
        <v>0.5169808429118774</v>
      </c>
      <c r="BI45" s="212">
        <f>Data!BJ55*(1-Data!BJ$10)</f>
        <v>0.5169808429118774</v>
      </c>
      <c r="BJ45" s="212">
        <f>Data!BK55*(1-Data!BK$10)</f>
        <v>0.5169808429118774</v>
      </c>
      <c r="BK45" s="212">
        <f>Data!BL55*(1-Data!BL$10)</f>
        <v>0.5169808429118774</v>
      </c>
      <c r="BL45" s="212">
        <f>Data!BM55*(1-Data!BM$10)</f>
        <v>0.5169808429118774</v>
      </c>
      <c r="BM45" s="212">
        <f>Data!BN55*(1-Data!BN$10)</f>
        <v>0.5169808429118774</v>
      </c>
      <c r="BN45" s="212">
        <f>Data!BO55*(1-Data!BO$10)</f>
        <v>0.5169808429118774</v>
      </c>
      <c r="BO45" s="212">
        <f>Data!BP55*(1-Data!BP$10)</f>
        <v>0.5169808429118774</v>
      </c>
      <c r="BP45" s="212">
        <f>Data!BQ55*(1-Data!BQ$10)</f>
        <v>0.5169808429118774</v>
      </c>
      <c r="BQ45" s="212">
        <f>Data!BR55*(1-Data!BR$10)</f>
        <v>0.5169808429118774</v>
      </c>
      <c r="BR45" s="212">
        <f>Data!BS55*(1-Data!BS$10)</f>
        <v>0.5169808429118774</v>
      </c>
      <c r="BS45" s="212">
        <f>Data!BT55*(1-Data!BT$10)</f>
        <v>0.5169808429118774</v>
      </c>
      <c r="BT45" s="212">
        <f>Data!BU55*(1-Data!BU$10)</f>
        <v>0.5169808429118774</v>
      </c>
      <c r="BU45" s="212">
        <f>Data!BV55*(1-Data!BV$10)</f>
        <v>0.5169808429118774</v>
      </c>
      <c r="BV45" s="212">
        <f>Data!BW55*(1-Data!BW$10)</f>
        <v>0.5169808429118774</v>
      </c>
      <c r="BW45" s="212">
        <f>Data!BX55*(1-Data!BX$10)</f>
        <v>0.5169808429118774</v>
      </c>
      <c r="BX45" s="212">
        <f>Data!BY55*(1-Data!BY$10)</f>
        <v>0.5169808429118774</v>
      </c>
      <c r="BY45" s="212">
        <f>Data!BZ55*(1-Data!BZ$10)</f>
        <v>0.5169808429118774</v>
      </c>
      <c r="BZ45" s="212">
        <f>Data!CA55*(1-Data!CA$10)</f>
        <v>0.5169808429118774</v>
      </c>
      <c r="CA45" s="212">
        <f>Data!CB55*(1-Data!CB$10)</f>
        <v>0.5169808429118774</v>
      </c>
      <c r="CB45" s="212">
        <f>Data!CC55*(1-Data!CC$10)</f>
        <v>0.5169808429118774</v>
      </c>
      <c r="CC45" s="212">
        <f>Data!CD55*(1-Data!CD$10)</f>
        <v>0.5169808429118774</v>
      </c>
      <c r="CD45" s="212">
        <f>Data!CE55*(1-Data!CE$10)</f>
        <v>0.5169808429118774</v>
      </c>
      <c r="CE45" s="212">
        <f>Data!CF55*(1-Data!CF$10)</f>
        <v>0.5169808429118774</v>
      </c>
      <c r="CF45" s="212">
        <f>Data!CG55*(1-Data!CG$10)</f>
        <v>0.5169808429118774</v>
      </c>
      <c r="CG45" s="212">
        <f>Data!CH55*(1-Data!CH$10)</f>
        <v>0.5169808429118774</v>
      </c>
      <c r="CH45" s="212">
        <f>Data!CI55*(1-Data!CI$10)</f>
        <v>0.5169808429118774</v>
      </c>
      <c r="CI45" s="212">
        <f>Data!CJ55*(1-Data!CJ$10)</f>
        <v>0.5169808429118774</v>
      </c>
      <c r="CJ45" s="212">
        <f>Data!CK55*(1-Data!CK$10)</f>
        <v>0.5169808429118774</v>
      </c>
      <c r="CK45" s="212">
        <f>Data!CL55*(1-Data!CL$10)</f>
        <v>0.5169808429118774</v>
      </c>
      <c r="CL45" s="212">
        <f>Data!CM55*(1-Data!CM$10)</f>
        <v>0.5169808429118774</v>
      </c>
      <c r="CM45" s="212">
        <f>Data!CN55*(1-Data!CN$10)</f>
        <v>0.5169808429118774</v>
      </c>
      <c r="CN45" s="212">
        <f>Data!CO55*(1-Data!CO$10)</f>
        <v>0.5169808429118774</v>
      </c>
      <c r="CO45" s="212">
        <f>Data!CP55*(1-Data!CP$10)</f>
        <v>0.5169808429118774</v>
      </c>
      <c r="CP45" s="212">
        <f>Data!CQ55*(1-Data!CQ$10)</f>
        <v>0.5169808429118774</v>
      </c>
      <c r="CQ45" s="212">
        <f>Data!CR55*(1-Data!CR$10)</f>
        <v>0.5169808429118774</v>
      </c>
      <c r="CR45" s="212">
        <f>Data!CS55*(1-Data!CS$10)</f>
        <v>0.5169808429118774</v>
      </c>
      <c r="CS45" s="212">
        <f>Data!CT55*(1-Data!CT$10)</f>
        <v>0.5169808429118774</v>
      </c>
      <c r="CT45" s="212">
        <f>Data!CU55*(1-Data!CU$10)</f>
        <v>0.5169808429118774</v>
      </c>
      <c r="CU45" s="212">
        <f>Data!CV55*(1-Data!CV$10)</f>
        <v>0.5169808429118774</v>
      </c>
      <c r="CV45" s="212">
        <f>Data!CW55*(1-Data!CW$10)</f>
        <v>0.5169808429118774</v>
      </c>
      <c r="CW45" s="212">
        <f>Data!CX55*(1-Data!CX$10)</f>
        <v>0.5169808429118774</v>
      </c>
      <c r="CX45" s="212">
        <f>Data!CY55*(1-Data!CY$10)</f>
        <v>0.5169808429118774</v>
      </c>
      <c r="CY45" s="212">
        <f>Data!CZ55*(1-Data!CZ$10)</f>
        <v>0.5169808429118774</v>
      </c>
      <c r="CZ45" s="212">
        <f>Data!DA55*(1-Data!DA$10)</f>
        <v>0.5169808429118774</v>
      </c>
      <c r="DA45" s="212">
        <f>Data!DB55*(1-Data!DB$10)</f>
        <v>0.5169808429118774</v>
      </c>
      <c r="DB45" s="212">
        <f>Data!DC55*(1-Data!DC$10)</f>
        <v>0.5169808429118774</v>
      </c>
      <c r="DC45" s="212">
        <f>Data!DD55*(1-Data!DD$10)</f>
        <v>0.5169808429118774</v>
      </c>
      <c r="DD45" s="212">
        <f>Data!DE55*(1-Data!DE$10)</f>
        <v>0.5169808429118774</v>
      </c>
      <c r="DE45" s="212">
        <f>Data!DF55*(1-Data!DF$10)</f>
        <v>0.5169808429118774</v>
      </c>
      <c r="DF45" s="212">
        <f>Data!DG55*(1-Data!DG$10)</f>
        <v>0.5169808429118774</v>
      </c>
      <c r="DG45" s="212">
        <f>Data!DH55*(1-Data!DH$10)</f>
        <v>0.5169808429118774</v>
      </c>
      <c r="DH45" s="212">
        <f>Data!DI55*(1-Data!DI$10)</f>
        <v>0.5169808429118774</v>
      </c>
      <c r="DI45" s="212">
        <f>Data!DJ55*(1-Data!DJ$10)</f>
        <v>0.5169808429118774</v>
      </c>
      <c r="DJ45" s="212">
        <f>Data!DK55*(1-Data!DK$10)</f>
        <v>0.5169808429118774</v>
      </c>
      <c r="DK45" s="212">
        <f>Data!DL55*(1-Data!DL$10)</f>
        <v>0.5169808429118774</v>
      </c>
      <c r="DL45" s="212">
        <f>Data!DM55*(1-Data!DM$10)</f>
        <v>0.5169808429118774</v>
      </c>
      <c r="DM45" s="212">
        <f>Data!DN55*(1-Data!DN$10)</f>
        <v>0.5169808429118774</v>
      </c>
      <c r="DN45" s="212">
        <f>Data!DO55*(1-Data!DO$10)</f>
        <v>0.5169808429118774</v>
      </c>
      <c r="DO45" s="212">
        <f>Data!DP55*(1-Data!DP$10)</f>
        <v>0.5169808429118774</v>
      </c>
      <c r="DP45" s="212">
        <f>Data!DQ55*(1-Data!DQ$10)</f>
        <v>0.5169808429118774</v>
      </c>
      <c r="DQ45" s="212">
        <f>Data!DR55*(1-Data!DR$10)</f>
        <v>0.5169808429118774</v>
      </c>
      <c r="DR45" s="212">
        <f>Data!DS55*(1-Data!DS$10)</f>
        <v>0.5169808429118774</v>
      </c>
      <c r="DS45" s="212">
        <f>Data!DT55*(1-Data!DT$10)</f>
        <v>0.5169808429118774</v>
      </c>
      <c r="DT45" s="212">
        <f>Data!DU55*(1-Data!DU$10)</f>
        <v>0.5169808429118774</v>
      </c>
      <c r="DU45" s="212">
        <f>Data!DV55*(1-Data!DV$10)</f>
        <v>0.5169808429118774</v>
      </c>
      <c r="DV45" s="468">
        <f>Data!DW55*(1-Data!DW$10)</f>
        <v>0.5169808429118774</v>
      </c>
      <c r="DW45" s="715"/>
      <c r="DX45" s="211"/>
      <c r="DY45" s="213"/>
      <c r="DZ45" s="213"/>
      <c r="EA45" s="213"/>
      <c r="EB45" s="213"/>
      <c r="EC45" s="213"/>
      <c r="ED45" s="213"/>
      <c r="EE45" s="213"/>
      <c r="EF45" s="214"/>
      <c r="EG45" s="213"/>
      <c r="EH45" s="213"/>
      <c r="EI45" s="500"/>
      <c r="EJ45" s="30"/>
      <c r="EK45" s="213"/>
      <c r="EL45" s="213"/>
      <c r="EM45" s="213"/>
      <c r="EN45" s="213"/>
      <c r="EO45" s="213"/>
      <c r="EP45" s="500"/>
    </row>
    <row r="46" spans="2:146" outlineLevel="1" x14ac:dyDescent="0.3">
      <c r="B46" s="225" t="s">
        <v>191</v>
      </c>
      <c r="C46" s="245"/>
      <c r="D46" s="227"/>
      <c r="E46" s="474"/>
      <c r="F46" s="215">
        <f t="shared" ref="F46" si="1037">F45*$A$16*$A$17*5</f>
        <v>77.469579310344812</v>
      </c>
      <c r="G46" s="216">
        <f t="shared" ref="G46:BN46" si="1038">(G45*$A$10*$A$9*G$2)</f>
        <v>93.056551724137918</v>
      </c>
      <c r="H46" s="216">
        <f t="shared" si="1038"/>
        <v>103.02689655172415</v>
      </c>
      <c r="I46" s="216">
        <f t="shared" si="1038"/>
        <v>99.703448275862073</v>
      </c>
      <c r="J46" s="216">
        <f t="shared" si="1038"/>
        <v>103.02689655172415</v>
      </c>
      <c r="K46" s="216">
        <f t="shared" si="1038"/>
        <v>99.703448275862073</v>
      </c>
      <c r="L46" s="216">
        <f t="shared" si="1038"/>
        <v>103.02689655172415</v>
      </c>
      <c r="M46" s="216">
        <f t="shared" si="1038"/>
        <v>103.02689655172415</v>
      </c>
      <c r="N46" s="216">
        <f t="shared" si="1038"/>
        <v>99.703448275862073</v>
      </c>
      <c r="O46" s="216">
        <f t="shared" si="1038"/>
        <v>103.02689655172415</v>
      </c>
      <c r="P46" s="216">
        <f t="shared" si="1038"/>
        <v>99.703448275862073</v>
      </c>
      <c r="Q46" s="216">
        <f t="shared" si="1038"/>
        <v>103.02689655172415</v>
      </c>
      <c r="R46" s="216">
        <f t="shared" si="1038"/>
        <v>103.02689655172415</v>
      </c>
      <c r="S46" s="216">
        <f t="shared" si="1038"/>
        <v>96.38000000000001</v>
      </c>
      <c r="T46" s="216">
        <f t="shared" si="1038"/>
        <v>103.02689655172415</v>
      </c>
      <c r="U46" s="216">
        <f t="shared" si="1038"/>
        <v>99.703448275862073</v>
      </c>
      <c r="V46" s="216">
        <f t="shared" si="1038"/>
        <v>103.02689655172415</v>
      </c>
      <c r="W46" s="216">
        <f t="shared" si="1038"/>
        <v>99.703448275862073</v>
      </c>
      <c r="X46" s="216">
        <f t="shared" si="1038"/>
        <v>103.02689655172415</v>
      </c>
      <c r="Y46" s="216">
        <f t="shared" si="1038"/>
        <v>103.02689655172415</v>
      </c>
      <c r="Z46" s="216">
        <f t="shared" si="1038"/>
        <v>99.703448275862073</v>
      </c>
      <c r="AA46" s="216">
        <f t="shared" si="1038"/>
        <v>103.02689655172415</v>
      </c>
      <c r="AB46" s="216">
        <f t="shared" si="1038"/>
        <v>99.703448275862073</v>
      </c>
      <c r="AC46" s="216">
        <f t="shared" si="1038"/>
        <v>103.02689655172415</v>
      </c>
      <c r="AD46" s="216">
        <f t="shared" si="1038"/>
        <v>103.02689655172415</v>
      </c>
      <c r="AE46" s="216">
        <f t="shared" si="1038"/>
        <v>93.056551724137933</v>
      </c>
      <c r="AF46" s="216">
        <f t="shared" si="1038"/>
        <v>103.02689655172415</v>
      </c>
      <c r="AG46" s="216">
        <f t="shared" si="1038"/>
        <v>99.703448275862073</v>
      </c>
      <c r="AH46" s="216">
        <f t="shared" si="1038"/>
        <v>103.02689655172415</v>
      </c>
      <c r="AI46" s="216">
        <f t="shared" si="1038"/>
        <v>99.703448275862073</v>
      </c>
      <c r="AJ46" s="216">
        <f t="shared" si="1038"/>
        <v>103.02689655172415</v>
      </c>
      <c r="AK46" s="216">
        <f t="shared" si="1038"/>
        <v>103.02689655172415</v>
      </c>
      <c r="AL46" s="216">
        <f t="shared" si="1038"/>
        <v>99.703448275862073</v>
      </c>
      <c r="AM46" s="216">
        <f t="shared" si="1038"/>
        <v>103.02689655172415</v>
      </c>
      <c r="AN46" s="216">
        <f t="shared" si="1038"/>
        <v>99.703448275862073</v>
      </c>
      <c r="AO46" s="216">
        <f t="shared" si="1038"/>
        <v>103.02689655172415</v>
      </c>
      <c r="AP46" s="216">
        <f t="shared" si="1038"/>
        <v>103.02689655172415</v>
      </c>
      <c r="AQ46" s="216">
        <f t="shared" si="1038"/>
        <v>93.056551724137933</v>
      </c>
      <c r="AR46" s="216">
        <f t="shared" si="1038"/>
        <v>103.02689655172415</v>
      </c>
      <c r="AS46" s="216">
        <f t="shared" si="1038"/>
        <v>99.703448275862073</v>
      </c>
      <c r="AT46" s="216">
        <f t="shared" si="1038"/>
        <v>103.02689655172415</v>
      </c>
      <c r="AU46" s="216">
        <f t="shared" si="1038"/>
        <v>99.703448275862073</v>
      </c>
      <c r="AV46" s="216">
        <f t="shared" si="1038"/>
        <v>103.02689655172415</v>
      </c>
      <c r="AW46" s="216">
        <f t="shared" si="1038"/>
        <v>103.02689655172415</v>
      </c>
      <c r="AX46" s="216">
        <f t="shared" si="1038"/>
        <v>99.703448275862073</v>
      </c>
      <c r="AY46" s="216">
        <f t="shared" si="1038"/>
        <v>103.02689655172415</v>
      </c>
      <c r="AZ46" s="216">
        <f t="shared" si="1038"/>
        <v>99.703448275862073</v>
      </c>
      <c r="BA46" s="216">
        <f t="shared" si="1038"/>
        <v>103.02689655172415</v>
      </c>
      <c r="BB46" s="216">
        <f t="shared" si="1038"/>
        <v>103.02689655172415</v>
      </c>
      <c r="BC46" s="216">
        <f t="shared" si="1038"/>
        <v>93.056551724137933</v>
      </c>
      <c r="BD46" s="216">
        <f t="shared" si="1038"/>
        <v>103.02689655172415</v>
      </c>
      <c r="BE46" s="216">
        <f t="shared" si="1038"/>
        <v>99.703448275862073</v>
      </c>
      <c r="BF46" s="216">
        <f t="shared" si="1038"/>
        <v>103.02689655172415</v>
      </c>
      <c r="BG46" s="216">
        <f t="shared" si="1038"/>
        <v>99.703448275862073</v>
      </c>
      <c r="BH46" s="216">
        <f t="shared" si="1038"/>
        <v>103.02689655172415</v>
      </c>
      <c r="BI46" s="216">
        <f t="shared" si="1038"/>
        <v>103.02689655172415</v>
      </c>
      <c r="BJ46" s="216">
        <f t="shared" si="1038"/>
        <v>99.703448275862073</v>
      </c>
      <c r="BK46" s="216">
        <f t="shared" si="1038"/>
        <v>103.02689655172415</v>
      </c>
      <c r="BL46" s="216">
        <f t="shared" si="1038"/>
        <v>99.703448275862073</v>
      </c>
      <c r="BM46" s="216">
        <f t="shared" si="1038"/>
        <v>103.02689655172415</v>
      </c>
      <c r="BN46" s="216">
        <f t="shared" si="1038"/>
        <v>103.02689655172415</v>
      </c>
      <c r="BO46" s="216">
        <f t="shared" ref="BO46" si="1039">(BO45*$A$10*$A$9*BO$2)</f>
        <v>96.38000000000001</v>
      </c>
      <c r="BP46" s="216">
        <f t="shared" ref="BP46:DV46" si="1040">(BP45*$A$10*$A$9*BP$2)</f>
        <v>103.02689655172415</v>
      </c>
      <c r="BQ46" s="216">
        <f t="shared" si="1040"/>
        <v>99.703448275862073</v>
      </c>
      <c r="BR46" s="216">
        <f t="shared" si="1040"/>
        <v>103.02689655172415</v>
      </c>
      <c r="BS46" s="216">
        <f t="shared" si="1040"/>
        <v>99.703448275862073</v>
      </c>
      <c r="BT46" s="216">
        <f t="shared" si="1040"/>
        <v>103.02689655172415</v>
      </c>
      <c r="BU46" s="216">
        <f t="shared" si="1040"/>
        <v>103.02689655172415</v>
      </c>
      <c r="BV46" s="216">
        <f t="shared" si="1040"/>
        <v>99.703448275862073</v>
      </c>
      <c r="BW46" s="216">
        <f t="shared" si="1040"/>
        <v>103.02689655172415</v>
      </c>
      <c r="BX46" s="216">
        <f t="shared" si="1040"/>
        <v>99.703448275862073</v>
      </c>
      <c r="BY46" s="216">
        <f t="shared" si="1040"/>
        <v>103.02689655172415</v>
      </c>
      <c r="BZ46" s="216">
        <f t="shared" si="1040"/>
        <v>103.02689655172415</v>
      </c>
      <c r="CA46" s="216">
        <f t="shared" si="1040"/>
        <v>93.056551724137933</v>
      </c>
      <c r="CB46" s="216">
        <f t="shared" si="1040"/>
        <v>103.02689655172415</v>
      </c>
      <c r="CC46" s="216">
        <f t="shared" si="1040"/>
        <v>99.703448275862073</v>
      </c>
      <c r="CD46" s="216">
        <f t="shared" si="1040"/>
        <v>103.02689655172415</v>
      </c>
      <c r="CE46" s="216">
        <f t="shared" si="1040"/>
        <v>99.703448275862073</v>
      </c>
      <c r="CF46" s="216">
        <f t="shared" si="1040"/>
        <v>103.02689655172415</v>
      </c>
      <c r="CG46" s="216">
        <f t="shared" si="1040"/>
        <v>103.02689655172415</v>
      </c>
      <c r="CH46" s="216">
        <f t="shared" si="1040"/>
        <v>99.703448275862073</v>
      </c>
      <c r="CI46" s="216">
        <f t="shared" si="1040"/>
        <v>103.02689655172415</v>
      </c>
      <c r="CJ46" s="216">
        <f t="shared" si="1040"/>
        <v>99.703448275862073</v>
      </c>
      <c r="CK46" s="216">
        <f t="shared" si="1040"/>
        <v>103.02689655172415</v>
      </c>
      <c r="CL46" s="216">
        <f t="shared" si="1040"/>
        <v>103.02689655172415</v>
      </c>
      <c r="CM46" s="216">
        <f t="shared" si="1040"/>
        <v>93.056551724137933</v>
      </c>
      <c r="CN46" s="216">
        <f t="shared" si="1040"/>
        <v>103.02689655172415</v>
      </c>
      <c r="CO46" s="216">
        <f t="shared" si="1040"/>
        <v>99.703448275862073</v>
      </c>
      <c r="CP46" s="216">
        <f t="shared" si="1040"/>
        <v>103.02689655172415</v>
      </c>
      <c r="CQ46" s="216">
        <f t="shared" si="1040"/>
        <v>99.703448275862073</v>
      </c>
      <c r="CR46" s="216">
        <f t="shared" si="1040"/>
        <v>103.02689655172415</v>
      </c>
      <c r="CS46" s="216">
        <f t="shared" si="1040"/>
        <v>103.02689655172415</v>
      </c>
      <c r="CT46" s="216">
        <f t="shared" si="1040"/>
        <v>99.703448275862073</v>
      </c>
      <c r="CU46" s="216">
        <f t="shared" si="1040"/>
        <v>103.02689655172415</v>
      </c>
      <c r="CV46" s="216">
        <f t="shared" si="1040"/>
        <v>99.703448275862073</v>
      </c>
      <c r="CW46" s="216">
        <f t="shared" si="1040"/>
        <v>103.02689655172415</v>
      </c>
      <c r="CX46" s="216">
        <f t="shared" si="1040"/>
        <v>103.02689655172415</v>
      </c>
      <c r="CY46" s="216">
        <f t="shared" si="1040"/>
        <v>93.056551724137933</v>
      </c>
      <c r="CZ46" s="216">
        <f t="shared" si="1040"/>
        <v>103.02689655172415</v>
      </c>
      <c r="DA46" s="216">
        <f t="shared" si="1040"/>
        <v>99.703448275862073</v>
      </c>
      <c r="DB46" s="216">
        <f t="shared" si="1040"/>
        <v>103.02689655172415</v>
      </c>
      <c r="DC46" s="216">
        <f t="shared" si="1040"/>
        <v>99.703448275862073</v>
      </c>
      <c r="DD46" s="216">
        <f t="shared" si="1040"/>
        <v>103.02689655172415</v>
      </c>
      <c r="DE46" s="216">
        <f t="shared" si="1040"/>
        <v>103.02689655172415</v>
      </c>
      <c r="DF46" s="216">
        <f t="shared" si="1040"/>
        <v>99.703448275862073</v>
      </c>
      <c r="DG46" s="216">
        <f t="shared" si="1040"/>
        <v>103.02689655172415</v>
      </c>
      <c r="DH46" s="216">
        <f t="shared" si="1040"/>
        <v>99.703448275862073</v>
      </c>
      <c r="DI46" s="216">
        <f t="shared" si="1040"/>
        <v>103.02689655172415</v>
      </c>
      <c r="DJ46" s="216">
        <f t="shared" si="1040"/>
        <v>103.02689655172415</v>
      </c>
      <c r="DK46" s="216">
        <f t="shared" si="1040"/>
        <v>96.38000000000001</v>
      </c>
      <c r="DL46" s="216">
        <f t="shared" si="1040"/>
        <v>103.02689655172415</v>
      </c>
      <c r="DM46" s="216">
        <f t="shared" si="1040"/>
        <v>99.703448275862073</v>
      </c>
      <c r="DN46" s="216">
        <f t="shared" si="1040"/>
        <v>103.02689655172415</v>
      </c>
      <c r="DO46" s="216">
        <f t="shared" si="1040"/>
        <v>99.703448275862073</v>
      </c>
      <c r="DP46" s="216">
        <f t="shared" si="1040"/>
        <v>103.02689655172415</v>
      </c>
      <c r="DQ46" s="216">
        <f t="shared" si="1040"/>
        <v>103.02689655172415</v>
      </c>
      <c r="DR46" s="216">
        <f t="shared" si="1040"/>
        <v>99.703448275862073</v>
      </c>
      <c r="DS46" s="216">
        <f t="shared" si="1040"/>
        <v>103.02689655172415</v>
      </c>
      <c r="DT46" s="216">
        <f t="shared" si="1040"/>
        <v>99.703448275862073</v>
      </c>
      <c r="DU46" s="216">
        <f t="shared" si="1040"/>
        <v>103.02689655172415</v>
      </c>
      <c r="DV46" s="469">
        <f t="shared" si="1040"/>
        <v>103.02689655172415</v>
      </c>
      <c r="DW46" s="716"/>
      <c r="DX46" s="501"/>
      <c r="DY46" s="217"/>
      <c r="DZ46" s="217"/>
      <c r="EA46" s="217"/>
      <c r="EB46" s="217"/>
      <c r="EC46" s="218"/>
      <c r="ED46" s="218"/>
      <c r="EE46" s="218"/>
      <c r="EF46" s="219"/>
      <c r="EG46" s="218"/>
      <c r="EH46" s="218"/>
      <c r="EI46" s="502"/>
      <c r="EJ46" s="30"/>
      <c r="EK46" s="218"/>
      <c r="EL46" s="218"/>
      <c r="EM46" s="218"/>
      <c r="EN46" s="218"/>
      <c r="EO46" s="218"/>
      <c r="EP46" s="502"/>
    </row>
    <row r="47" spans="2:146" outlineLevel="1" x14ac:dyDescent="0.3">
      <c r="B47" s="225" t="s">
        <v>192</v>
      </c>
      <c r="C47" s="245" t="s">
        <v>685</v>
      </c>
      <c r="D47" s="227"/>
      <c r="E47" s="474"/>
      <c r="F47" s="222">
        <f>Summary!$AC$15</f>
        <v>0</v>
      </c>
      <c r="G47" s="223">
        <f t="shared" ref="G47" si="1041">F47</f>
        <v>0</v>
      </c>
      <c r="H47" s="223">
        <f t="shared" ref="H47" si="1042">G47</f>
        <v>0</v>
      </c>
      <c r="I47" s="223">
        <f t="shared" ref="I47" si="1043">H47</f>
        <v>0</v>
      </c>
      <c r="J47" s="223">
        <f t="shared" ref="J47" si="1044">I47</f>
        <v>0</v>
      </c>
      <c r="K47" s="223">
        <f t="shared" ref="K47" si="1045">J47</f>
        <v>0</v>
      </c>
      <c r="L47" s="223">
        <f t="shared" ref="L47" si="1046">K47</f>
        <v>0</v>
      </c>
      <c r="M47" s="223">
        <f t="shared" ref="M47" si="1047">L47</f>
        <v>0</v>
      </c>
      <c r="N47" s="223">
        <f t="shared" ref="N47" si="1048">M47</f>
        <v>0</v>
      </c>
      <c r="O47" s="223">
        <f t="shared" ref="O47" si="1049">N47</f>
        <v>0</v>
      </c>
      <c r="P47" s="223">
        <f t="shared" ref="P47" si="1050">O47</f>
        <v>0</v>
      </c>
      <c r="Q47" s="223">
        <f t="shared" ref="Q47" si="1051">P47</f>
        <v>0</v>
      </c>
      <c r="R47" s="223">
        <f t="shared" ref="R47" si="1052">Q47</f>
        <v>0</v>
      </c>
      <c r="S47" s="371">
        <f>Summary!$AD$15</f>
        <v>0</v>
      </c>
      <c r="T47" s="223">
        <f t="shared" ref="T47" si="1053">S47</f>
        <v>0</v>
      </c>
      <c r="U47" s="223">
        <f t="shared" ref="U47" si="1054">T47</f>
        <v>0</v>
      </c>
      <c r="V47" s="223">
        <f t="shared" ref="V47" si="1055">U47</f>
        <v>0</v>
      </c>
      <c r="W47" s="223">
        <f t="shared" ref="W47" si="1056">V47</f>
        <v>0</v>
      </c>
      <c r="X47" s="223">
        <f t="shared" ref="X47" si="1057">W47</f>
        <v>0</v>
      </c>
      <c r="Y47" s="223">
        <f t="shared" ref="Y47" si="1058">X47</f>
        <v>0</v>
      </c>
      <c r="Z47" s="223">
        <f t="shared" ref="Z47" si="1059">Y47</f>
        <v>0</v>
      </c>
      <c r="AA47" s="223">
        <f t="shared" ref="AA47" si="1060">Z47</f>
        <v>0</v>
      </c>
      <c r="AB47" s="223">
        <f t="shared" ref="AB47" si="1061">AA47</f>
        <v>0</v>
      </c>
      <c r="AC47" s="223">
        <f t="shared" ref="AC47" si="1062">AB47</f>
        <v>0</v>
      </c>
      <c r="AD47" s="223">
        <f t="shared" ref="AD47" si="1063">AC47</f>
        <v>0</v>
      </c>
      <c r="AE47" s="371">
        <f>Summary!$AE$15</f>
        <v>0</v>
      </c>
      <c r="AF47" s="223">
        <f t="shared" ref="AF47" si="1064">AE47</f>
        <v>0</v>
      </c>
      <c r="AG47" s="223">
        <f t="shared" ref="AG47" si="1065">AF47</f>
        <v>0</v>
      </c>
      <c r="AH47" s="223">
        <f t="shared" ref="AH47" si="1066">AG47</f>
        <v>0</v>
      </c>
      <c r="AI47" s="223">
        <f t="shared" ref="AI47" si="1067">AH47</f>
        <v>0</v>
      </c>
      <c r="AJ47" s="223">
        <f t="shared" ref="AJ47" si="1068">AI47</f>
        <v>0</v>
      </c>
      <c r="AK47" s="223">
        <f t="shared" ref="AK47" si="1069">AJ47</f>
        <v>0</v>
      </c>
      <c r="AL47" s="223">
        <f t="shared" ref="AL47" si="1070">AK47</f>
        <v>0</v>
      </c>
      <c r="AM47" s="223">
        <f t="shared" ref="AM47" si="1071">AL47</f>
        <v>0</v>
      </c>
      <c r="AN47" s="223">
        <f t="shared" ref="AN47" si="1072">AM47</f>
        <v>0</v>
      </c>
      <c r="AO47" s="223">
        <f t="shared" ref="AO47" si="1073">AN47</f>
        <v>0</v>
      </c>
      <c r="AP47" s="223">
        <f t="shared" ref="AP47" si="1074">AO47</f>
        <v>0</v>
      </c>
      <c r="AQ47" s="371">
        <f>Summary!$AF$15</f>
        <v>0</v>
      </c>
      <c r="AR47" s="223">
        <f t="shared" ref="AR47" si="1075">AQ47</f>
        <v>0</v>
      </c>
      <c r="AS47" s="223">
        <f t="shared" ref="AS47" si="1076">AR47</f>
        <v>0</v>
      </c>
      <c r="AT47" s="223">
        <f t="shared" ref="AT47" si="1077">AS47</f>
        <v>0</v>
      </c>
      <c r="AU47" s="223">
        <f t="shared" ref="AU47" si="1078">AT47</f>
        <v>0</v>
      </c>
      <c r="AV47" s="223">
        <f t="shared" ref="AV47" si="1079">AU47</f>
        <v>0</v>
      </c>
      <c r="AW47" s="223">
        <f t="shared" ref="AW47" si="1080">AV47</f>
        <v>0</v>
      </c>
      <c r="AX47" s="223">
        <f t="shared" ref="AX47" si="1081">AW47</f>
        <v>0</v>
      </c>
      <c r="AY47" s="223">
        <f t="shared" ref="AY47" si="1082">AX47</f>
        <v>0</v>
      </c>
      <c r="AZ47" s="223">
        <f t="shared" ref="AZ47" si="1083">AY47</f>
        <v>0</v>
      </c>
      <c r="BA47" s="223">
        <f t="shared" ref="BA47" si="1084">AZ47</f>
        <v>0</v>
      </c>
      <c r="BB47" s="223">
        <f t="shared" ref="BB47" si="1085">BA47</f>
        <v>0</v>
      </c>
      <c r="BC47" s="371">
        <f>Summary!$AG$15</f>
        <v>0</v>
      </c>
      <c r="BD47" s="223">
        <f>BC47</f>
        <v>0</v>
      </c>
      <c r="BE47" s="223">
        <f t="shared" ref="BE47:BN47" si="1086">BD47</f>
        <v>0</v>
      </c>
      <c r="BF47" s="223">
        <f t="shared" si="1086"/>
        <v>0</v>
      </c>
      <c r="BG47" s="223">
        <f t="shared" si="1086"/>
        <v>0</v>
      </c>
      <c r="BH47" s="223">
        <f t="shared" si="1086"/>
        <v>0</v>
      </c>
      <c r="BI47" s="223">
        <f t="shared" si="1086"/>
        <v>0</v>
      </c>
      <c r="BJ47" s="223">
        <f t="shared" si="1086"/>
        <v>0</v>
      </c>
      <c r="BK47" s="223">
        <f t="shared" si="1086"/>
        <v>0</v>
      </c>
      <c r="BL47" s="223">
        <f t="shared" si="1086"/>
        <v>0</v>
      </c>
      <c r="BM47" s="223">
        <f t="shared" si="1086"/>
        <v>0</v>
      </c>
      <c r="BN47" s="223">
        <f t="shared" si="1086"/>
        <v>0</v>
      </c>
      <c r="BO47" s="371">
        <f>Summary!$AH$15</f>
        <v>0</v>
      </c>
      <c r="BP47" s="223">
        <f t="shared" ref="BP47" si="1087">BO47</f>
        <v>0</v>
      </c>
      <c r="BQ47" s="223">
        <f t="shared" ref="BQ47" si="1088">BP47</f>
        <v>0</v>
      </c>
      <c r="BR47" s="223">
        <f t="shared" ref="BR47" si="1089">BQ47</f>
        <v>0</v>
      </c>
      <c r="BS47" s="223">
        <f t="shared" ref="BS47" si="1090">BR47</f>
        <v>0</v>
      </c>
      <c r="BT47" s="223">
        <f t="shared" ref="BT47" si="1091">BS47</f>
        <v>0</v>
      </c>
      <c r="BU47" s="223">
        <f t="shared" ref="BU47" si="1092">BT47</f>
        <v>0</v>
      </c>
      <c r="BV47" s="223">
        <f t="shared" ref="BV47" si="1093">BU47</f>
        <v>0</v>
      </c>
      <c r="BW47" s="223">
        <f t="shared" ref="BW47" si="1094">BV47</f>
        <v>0</v>
      </c>
      <c r="BX47" s="223">
        <f t="shared" ref="BX47" si="1095">BW47</f>
        <v>0</v>
      </c>
      <c r="BY47" s="223">
        <f t="shared" ref="BY47" si="1096">BX47</f>
        <v>0</v>
      </c>
      <c r="BZ47" s="223">
        <f t="shared" ref="BZ47" si="1097">BY47</f>
        <v>0</v>
      </c>
      <c r="CA47" s="371">
        <f>Summary!$AI$15</f>
        <v>0</v>
      </c>
      <c r="CB47" s="223">
        <f t="shared" ref="CB47" si="1098">CA47</f>
        <v>0</v>
      </c>
      <c r="CC47" s="223">
        <f t="shared" ref="CC47" si="1099">CB47</f>
        <v>0</v>
      </c>
      <c r="CD47" s="223">
        <f t="shared" ref="CD47" si="1100">CC47</f>
        <v>0</v>
      </c>
      <c r="CE47" s="223">
        <f t="shared" ref="CE47" si="1101">CD47</f>
        <v>0</v>
      </c>
      <c r="CF47" s="223">
        <f t="shared" ref="CF47" si="1102">CE47</f>
        <v>0</v>
      </c>
      <c r="CG47" s="223">
        <f t="shared" ref="CG47" si="1103">CF47</f>
        <v>0</v>
      </c>
      <c r="CH47" s="223">
        <f t="shared" ref="CH47" si="1104">CG47</f>
        <v>0</v>
      </c>
      <c r="CI47" s="223">
        <f t="shared" ref="CI47" si="1105">CH47</f>
        <v>0</v>
      </c>
      <c r="CJ47" s="223">
        <f t="shared" ref="CJ47" si="1106">CI47</f>
        <v>0</v>
      </c>
      <c r="CK47" s="223">
        <f t="shared" ref="CK47" si="1107">CJ47</f>
        <v>0</v>
      </c>
      <c r="CL47" s="223">
        <f t="shared" ref="CL47" si="1108">CK47</f>
        <v>0</v>
      </c>
      <c r="CM47" s="371">
        <f>Summary!$AJ$15</f>
        <v>0</v>
      </c>
      <c r="CN47" s="223">
        <f t="shared" ref="CN47" si="1109">CM47</f>
        <v>0</v>
      </c>
      <c r="CO47" s="223">
        <f t="shared" ref="CO47" si="1110">CN47</f>
        <v>0</v>
      </c>
      <c r="CP47" s="223">
        <f t="shared" ref="CP47" si="1111">CO47</f>
        <v>0</v>
      </c>
      <c r="CQ47" s="223">
        <f t="shared" ref="CQ47" si="1112">CP47</f>
        <v>0</v>
      </c>
      <c r="CR47" s="223">
        <f t="shared" ref="CR47" si="1113">CQ47</f>
        <v>0</v>
      </c>
      <c r="CS47" s="223">
        <f t="shared" ref="CS47" si="1114">CR47</f>
        <v>0</v>
      </c>
      <c r="CT47" s="223">
        <f t="shared" ref="CT47" si="1115">CS47</f>
        <v>0</v>
      </c>
      <c r="CU47" s="223">
        <f t="shared" ref="CU47" si="1116">CT47</f>
        <v>0</v>
      </c>
      <c r="CV47" s="223">
        <f t="shared" ref="CV47" si="1117">CU47</f>
        <v>0</v>
      </c>
      <c r="CW47" s="223">
        <f t="shared" ref="CW47" si="1118">CV47</f>
        <v>0</v>
      </c>
      <c r="CX47" s="223">
        <f t="shared" ref="CX47" si="1119">CW47</f>
        <v>0</v>
      </c>
      <c r="CY47" s="371">
        <f>Summary!$AK$15</f>
        <v>0</v>
      </c>
      <c r="CZ47" s="223">
        <f t="shared" ref="CZ47" si="1120">CY47</f>
        <v>0</v>
      </c>
      <c r="DA47" s="223">
        <f t="shared" ref="DA47" si="1121">CZ47</f>
        <v>0</v>
      </c>
      <c r="DB47" s="223">
        <f t="shared" ref="DB47" si="1122">DA47</f>
        <v>0</v>
      </c>
      <c r="DC47" s="223">
        <f t="shared" ref="DC47" si="1123">DB47</f>
        <v>0</v>
      </c>
      <c r="DD47" s="223">
        <f t="shared" ref="DD47" si="1124">DC47</f>
        <v>0</v>
      </c>
      <c r="DE47" s="223">
        <f t="shared" ref="DE47" si="1125">DD47</f>
        <v>0</v>
      </c>
      <c r="DF47" s="223">
        <f t="shared" ref="DF47" si="1126">DE47</f>
        <v>0</v>
      </c>
      <c r="DG47" s="223">
        <f t="shared" ref="DG47" si="1127">DF47</f>
        <v>0</v>
      </c>
      <c r="DH47" s="223">
        <f t="shared" ref="DH47" si="1128">DG47</f>
        <v>0</v>
      </c>
      <c r="DI47" s="223">
        <f t="shared" ref="DI47" si="1129">DH47</f>
        <v>0</v>
      </c>
      <c r="DJ47" s="223">
        <f t="shared" ref="DJ47" si="1130">DI47</f>
        <v>0</v>
      </c>
      <c r="DK47" s="371">
        <f>Summary!$AL$15</f>
        <v>0</v>
      </c>
      <c r="DL47" s="223">
        <f t="shared" ref="DL47" si="1131">DK47</f>
        <v>0</v>
      </c>
      <c r="DM47" s="223">
        <f t="shared" ref="DM47" si="1132">DL47</f>
        <v>0</v>
      </c>
      <c r="DN47" s="223">
        <f t="shared" ref="DN47" si="1133">DM47</f>
        <v>0</v>
      </c>
      <c r="DO47" s="223">
        <f t="shared" ref="DO47" si="1134">DN47</f>
        <v>0</v>
      </c>
      <c r="DP47" s="223">
        <f t="shared" ref="DP47" si="1135">DO47</f>
        <v>0</v>
      </c>
      <c r="DQ47" s="223">
        <f t="shared" ref="DQ47" si="1136">DP47</f>
        <v>0</v>
      </c>
      <c r="DR47" s="223">
        <f t="shared" ref="DR47" si="1137">DQ47</f>
        <v>0</v>
      </c>
      <c r="DS47" s="223">
        <f t="shared" ref="DS47" si="1138">DR47</f>
        <v>0</v>
      </c>
      <c r="DT47" s="223">
        <f t="shared" ref="DT47" si="1139">DS47</f>
        <v>0</v>
      </c>
      <c r="DU47" s="223">
        <f t="shared" ref="DU47" si="1140">DT47</f>
        <v>0</v>
      </c>
      <c r="DV47" s="471">
        <f t="shared" ref="DV47" si="1141">DU47</f>
        <v>0</v>
      </c>
      <c r="DW47" s="640"/>
      <c r="DX47" s="470"/>
      <c r="DY47" s="244"/>
      <c r="DZ47" s="244"/>
      <c r="EA47" s="244"/>
      <c r="EB47" s="244"/>
      <c r="EC47" s="244"/>
      <c r="ED47" s="244"/>
      <c r="EE47" s="244"/>
      <c r="EF47" s="244"/>
      <c r="EG47" s="244"/>
      <c r="EH47" s="244"/>
      <c r="EI47" s="510"/>
      <c r="EJ47" s="30"/>
      <c r="EK47" s="244"/>
      <c r="EL47" s="244"/>
      <c r="EM47" s="244"/>
      <c r="EN47" s="244"/>
      <c r="EO47" s="244"/>
      <c r="EP47" s="510"/>
    </row>
    <row r="48" spans="2:146" outlineLevel="1" x14ac:dyDescent="0.3">
      <c r="B48" s="225" t="s">
        <v>193</v>
      </c>
      <c r="C48" s="245" t="s">
        <v>685</v>
      </c>
      <c r="D48" s="227"/>
      <c r="E48" s="474"/>
      <c r="F48" s="679">
        <f>F46*F47</f>
        <v>0</v>
      </c>
      <c r="G48" s="234">
        <f t="shared" ref="G48:BN48" si="1142">G46*G47</f>
        <v>0</v>
      </c>
      <c r="H48" s="234">
        <f t="shared" si="1142"/>
        <v>0</v>
      </c>
      <c r="I48" s="234">
        <f t="shared" si="1142"/>
        <v>0</v>
      </c>
      <c r="J48" s="234">
        <f t="shared" si="1142"/>
        <v>0</v>
      </c>
      <c r="K48" s="234">
        <f t="shared" si="1142"/>
        <v>0</v>
      </c>
      <c r="L48" s="234">
        <f t="shared" si="1142"/>
        <v>0</v>
      </c>
      <c r="M48" s="234">
        <f t="shared" si="1142"/>
        <v>0</v>
      </c>
      <c r="N48" s="234">
        <f t="shared" si="1142"/>
        <v>0</v>
      </c>
      <c r="O48" s="234">
        <f t="shared" si="1142"/>
        <v>0</v>
      </c>
      <c r="P48" s="234">
        <f t="shared" si="1142"/>
        <v>0</v>
      </c>
      <c r="Q48" s="234">
        <f t="shared" si="1142"/>
        <v>0</v>
      </c>
      <c r="R48" s="234">
        <f t="shared" si="1142"/>
        <v>0</v>
      </c>
      <c r="S48" s="234">
        <f t="shared" si="1142"/>
        <v>0</v>
      </c>
      <c r="T48" s="234">
        <f t="shared" si="1142"/>
        <v>0</v>
      </c>
      <c r="U48" s="234">
        <f t="shared" si="1142"/>
        <v>0</v>
      </c>
      <c r="V48" s="234">
        <f t="shared" si="1142"/>
        <v>0</v>
      </c>
      <c r="W48" s="234">
        <f t="shared" si="1142"/>
        <v>0</v>
      </c>
      <c r="X48" s="234">
        <f t="shared" si="1142"/>
        <v>0</v>
      </c>
      <c r="Y48" s="234">
        <f t="shared" si="1142"/>
        <v>0</v>
      </c>
      <c r="Z48" s="234">
        <f t="shared" si="1142"/>
        <v>0</v>
      </c>
      <c r="AA48" s="234">
        <f t="shared" si="1142"/>
        <v>0</v>
      </c>
      <c r="AB48" s="234">
        <f t="shared" si="1142"/>
        <v>0</v>
      </c>
      <c r="AC48" s="234">
        <f t="shared" si="1142"/>
        <v>0</v>
      </c>
      <c r="AD48" s="234">
        <f t="shared" si="1142"/>
        <v>0</v>
      </c>
      <c r="AE48" s="234">
        <f t="shared" si="1142"/>
        <v>0</v>
      </c>
      <c r="AF48" s="234">
        <f t="shared" si="1142"/>
        <v>0</v>
      </c>
      <c r="AG48" s="234">
        <f t="shared" si="1142"/>
        <v>0</v>
      </c>
      <c r="AH48" s="234">
        <f t="shared" si="1142"/>
        <v>0</v>
      </c>
      <c r="AI48" s="234">
        <f t="shared" si="1142"/>
        <v>0</v>
      </c>
      <c r="AJ48" s="234">
        <f t="shared" si="1142"/>
        <v>0</v>
      </c>
      <c r="AK48" s="234">
        <f t="shared" si="1142"/>
        <v>0</v>
      </c>
      <c r="AL48" s="234">
        <f t="shared" si="1142"/>
        <v>0</v>
      </c>
      <c r="AM48" s="234">
        <f t="shared" si="1142"/>
        <v>0</v>
      </c>
      <c r="AN48" s="234">
        <f t="shared" si="1142"/>
        <v>0</v>
      </c>
      <c r="AO48" s="234">
        <f t="shared" si="1142"/>
        <v>0</v>
      </c>
      <c r="AP48" s="234">
        <f t="shared" si="1142"/>
        <v>0</v>
      </c>
      <c r="AQ48" s="234">
        <f t="shared" si="1142"/>
        <v>0</v>
      </c>
      <c r="AR48" s="228">
        <f t="shared" si="1142"/>
        <v>0</v>
      </c>
      <c r="AS48" s="228">
        <f t="shared" si="1142"/>
        <v>0</v>
      </c>
      <c r="AT48" s="228">
        <f t="shared" si="1142"/>
        <v>0</v>
      </c>
      <c r="AU48" s="228">
        <f t="shared" si="1142"/>
        <v>0</v>
      </c>
      <c r="AV48" s="228">
        <f t="shared" si="1142"/>
        <v>0</v>
      </c>
      <c r="AW48" s="228">
        <f t="shared" si="1142"/>
        <v>0</v>
      </c>
      <c r="AX48" s="228">
        <f t="shared" si="1142"/>
        <v>0</v>
      </c>
      <c r="AY48" s="228">
        <f t="shared" si="1142"/>
        <v>0</v>
      </c>
      <c r="AZ48" s="228">
        <f t="shared" si="1142"/>
        <v>0</v>
      </c>
      <c r="BA48" s="228">
        <f t="shared" si="1142"/>
        <v>0</v>
      </c>
      <c r="BB48" s="228">
        <f t="shared" si="1142"/>
        <v>0</v>
      </c>
      <c r="BC48" s="234">
        <f t="shared" si="1142"/>
        <v>0</v>
      </c>
      <c r="BD48" s="228">
        <f t="shared" si="1142"/>
        <v>0</v>
      </c>
      <c r="BE48" s="228">
        <f t="shared" si="1142"/>
        <v>0</v>
      </c>
      <c r="BF48" s="228">
        <f t="shared" si="1142"/>
        <v>0</v>
      </c>
      <c r="BG48" s="228">
        <f t="shared" si="1142"/>
        <v>0</v>
      </c>
      <c r="BH48" s="228">
        <f t="shared" si="1142"/>
        <v>0</v>
      </c>
      <c r="BI48" s="228">
        <f t="shared" si="1142"/>
        <v>0</v>
      </c>
      <c r="BJ48" s="228">
        <f t="shared" si="1142"/>
        <v>0</v>
      </c>
      <c r="BK48" s="228">
        <f t="shared" si="1142"/>
        <v>0</v>
      </c>
      <c r="BL48" s="228">
        <f t="shared" si="1142"/>
        <v>0</v>
      </c>
      <c r="BM48" s="228">
        <f t="shared" si="1142"/>
        <v>0</v>
      </c>
      <c r="BN48" s="228">
        <f t="shared" si="1142"/>
        <v>0</v>
      </c>
      <c r="BO48" s="234">
        <f t="shared" ref="BO48" si="1143">BO46*BO47</f>
        <v>0</v>
      </c>
      <c r="BP48" s="228">
        <f t="shared" ref="BP48:DV48" si="1144">BP46*BP47</f>
        <v>0</v>
      </c>
      <c r="BQ48" s="228">
        <f t="shared" si="1144"/>
        <v>0</v>
      </c>
      <c r="BR48" s="228">
        <f t="shared" si="1144"/>
        <v>0</v>
      </c>
      <c r="BS48" s="228">
        <f t="shared" si="1144"/>
        <v>0</v>
      </c>
      <c r="BT48" s="228">
        <f t="shared" si="1144"/>
        <v>0</v>
      </c>
      <c r="BU48" s="228">
        <f t="shared" si="1144"/>
        <v>0</v>
      </c>
      <c r="BV48" s="228">
        <f t="shared" si="1144"/>
        <v>0</v>
      </c>
      <c r="BW48" s="228">
        <f t="shared" si="1144"/>
        <v>0</v>
      </c>
      <c r="BX48" s="228">
        <f t="shared" si="1144"/>
        <v>0</v>
      </c>
      <c r="BY48" s="228">
        <f t="shared" si="1144"/>
        <v>0</v>
      </c>
      <c r="BZ48" s="228">
        <f t="shared" si="1144"/>
        <v>0</v>
      </c>
      <c r="CA48" s="234">
        <f t="shared" si="1144"/>
        <v>0</v>
      </c>
      <c r="CB48" s="228">
        <f t="shared" si="1144"/>
        <v>0</v>
      </c>
      <c r="CC48" s="228">
        <f t="shared" si="1144"/>
        <v>0</v>
      </c>
      <c r="CD48" s="228">
        <f t="shared" si="1144"/>
        <v>0</v>
      </c>
      <c r="CE48" s="228">
        <f t="shared" si="1144"/>
        <v>0</v>
      </c>
      <c r="CF48" s="228">
        <f t="shared" si="1144"/>
        <v>0</v>
      </c>
      <c r="CG48" s="228">
        <f t="shared" si="1144"/>
        <v>0</v>
      </c>
      <c r="CH48" s="228">
        <f t="shared" si="1144"/>
        <v>0</v>
      </c>
      <c r="CI48" s="228">
        <f t="shared" si="1144"/>
        <v>0</v>
      </c>
      <c r="CJ48" s="228">
        <f t="shared" si="1144"/>
        <v>0</v>
      </c>
      <c r="CK48" s="228">
        <f t="shared" si="1144"/>
        <v>0</v>
      </c>
      <c r="CL48" s="228">
        <f t="shared" si="1144"/>
        <v>0</v>
      </c>
      <c r="CM48" s="234">
        <f t="shared" si="1144"/>
        <v>0</v>
      </c>
      <c r="CN48" s="228">
        <f t="shared" si="1144"/>
        <v>0</v>
      </c>
      <c r="CO48" s="228">
        <f t="shared" si="1144"/>
        <v>0</v>
      </c>
      <c r="CP48" s="228">
        <f t="shared" si="1144"/>
        <v>0</v>
      </c>
      <c r="CQ48" s="228">
        <f t="shared" si="1144"/>
        <v>0</v>
      </c>
      <c r="CR48" s="228">
        <f t="shared" si="1144"/>
        <v>0</v>
      </c>
      <c r="CS48" s="228">
        <f t="shared" si="1144"/>
        <v>0</v>
      </c>
      <c r="CT48" s="228">
        <f t="shared" si="1144"/>
        <v>0</v>
      </c>
      <c r="CU48" s="228">
        <f t="shared" si="1144"/>
        <v>0</v>
      </c>
      <c r="CV48" s="228">
        <f t="shared" si="1144"/>
        <v>0</v>
      </c>
      <c r="CW48" s="228">
        <f t="shared" si="1144"/>
        <v>0</v>
      </c>
      <c r="CX48" s="228">
        <f t="shared" si="1144"/>
        <v>0</v>
      </c>
      <c r="CY48" s="234">
        <f t="shared" si="1144"/>
        <v>0</v>
      </c>
      <c r="CZ48" s="228">
        <f t="shared" si="1144"/>
        <v>0</v>
      </c>
      <c r="DA48" s="228">
        <f t="shared" si="1144"/>
        <v>0</v>
      </c>
      <c r="DB48" s="228">
        <f t="shared" si="1144"/>
        <v>0</v>
      </c>
      <c r="DC48" s="228">
        <f t="shared" si="1144"/>
        <v>0</v>
      </c>
      <c r="DD48" s="228">
        <f t="shared" si="1144"/>
        <v>0</v>
      </c>
      <c r="DE48" s="228">
        <f t="shared" si="1144"/>
        <v>0</v>
      </c>
      <c r="DF48" s="228">
        <f t="shared" si="1144"/>
        <v>0</v>
      </c>
      <c r="DG48" s="228">
        <f t="shared" si="1144"/>
        <v>0</v>
      </c>
      <c r="DH48" s="228">
        <f t="shared" si="1144"/>
        <v>0</v>
      </c>
      <c r="DI48" s="228">
        <f t="shared" si="1144"/>
        <v>0</v>
      </c>
      <c r="DJ48" s="228">
        <f t="shared" si="1144"/>
        <v>0</v>
      </c>
      <c r="DK48" s="234">
        <f t="shared" si="1144"/>
        <v>0</v>
      </c>
      <c r="DL48" s="228">
        <f t="shared" si="1144"/>
        <v>0</v>
      </c>
      <c r="DM48" s="228">
        <f t="shared" si="1144"/>
        <v>0</v>
      </c>
      <c r="DN48" s="228">
        <f t="shared" si="1144"/>
        <v>0</v>
      </c>
      <c r="DO48" s="228">
        <f t="shared" si="1144"/>
        <v>0</v>
      </c>
      <c r="DP48" s="228">
        <f t="shared" si="1144"/>
        <v>0</v>
      </c>
      <c r="DQ48" s="228">
        <f t="shared" si="1144"/>
        <v>0</v>
      </c>
      <c r="DR48" s="228">
        <f t="shared" si="1144"/>
        <v>0</v>
      </c>
      <c r="DS48" s="228">
        <f t="shared" si="1144"/>
        <v>0</v>
      </c>
      <c r="DT48" s="228">
        <f t="shared" si="1144"/>
        <v>0</v>
      </c>
      <c r="DU48" s="228">
        <f t="shared" si="1144"/>
        <v>0</v>
      </c>
      <c r="DV48" s="472">
        <f t="shared" si="1144"/>
        <v>0</v>
      </c>
      <c r="DW48" s="717"/>
      <c r="DX48" s="505">
        <f>SUM(D48:F48)</f>
        <v>0</v>
      </c>
      <c r="DY48" s="229">
        <f>SUM(G48:I48)</f>
        <v>0</v>
      </c>
      <c r="DZ48" s="229">
        <f>SUM(J48:L48)</f>
        <v>0</v>
      </c>
      <c r="EA48" s="229">
        <f>SUM(M48:O48)</f>
        <v>0</v>
      </c>
      <c r="EB48" s="229">
        <f>SUM(P48:R48)</f>
        <v>0</v>
      </c>
      <c r="EC48" s="230">
        <f>SUM(D48:R48)</f>
        <v>0</v>
      </c>
      <c r="ED48" s="230">
        <f>SUM(S48:AD48)</f>
        <v>0</v>
      </c>
      <c r="EE48" s="230">
        <f>SUM(AE48:AP48)</f>
        <v>0</v>
      </c>
      <c r="EF48" s="231">
        <f>SUM(EC48:EE48)</f>
        <v>0</v>
      </c>
      <c r="EG48" s="230">
        <f>SUM(AQ48:BB48)</f>
        <v>0</v>
      </c>
      <c r="EH48" s="230">
        <f>SUM(BC48:BN48)</f>
        <v>0</v>
      </c>
      <c r="EI48" s="506">
        <f>SUM(EF48:EH48)</f>
        <v>0</v>
      </c>
      <c r="EJ48" s="30">
        <v>0</v>
      </c>
      <c r="EK48" s="230">
        <f t="shared" si="4"/>
        <v>0</v>
      </c>
      <c r="EL48" s="230">
        <f t="shared" si="5"/>
        <v>0</v>
      </c>
      <c r="EM48" s="230">
        <f t="shared" si="6"/>
        <v>0</v>
      </c>
      <c r="EN48" s="230">
        <f t="shared" si="7"/>
        <v>0</v>
      </c>
      <c r="EO48" s="230">
        <f t="shared" si="8"/>
        <v>0</v>
      </c>
      <c r="EP48" s="506">
        <f t="shared" ref="EP48:EP57" si="1145">SUM(EC48:EE48,EG48:EH48,EK48:EO48)</f>
        <v>0</v>
      </c>
    </row>
    <row r="49" spans="1:146" outlineLevel="1" x14ac:dyDescent="0.3">
      <c r="B49" s="249" t="s">
        <v>194</v>
      </c>
      <c r="C49" s="250" t="str">
        <f>C19</f>
        <v>GBP/USD/EURO/AUD/AUD</v>
      </c>
      <c r="D49" s="251"/>
      <c r="E49" s="479"/>
      <c r="F49" s="251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2"/>
      <c r="CD49" s="252"/>
      <c r="CE49" s="252"/>
      <c r="CF49" s="252"/>
      <c r="CG49" s="252"/>
      <c r="CH49" s="252"/>
      <c r="CI49" s="252"/>
      <c r="CJ49" s="252"/>
      <c r="CK49" s="252"/>
      <c r="CL49" s="252"/>
      <c r="CM49" s="252"/>
      <c r="CN49" s="252"/>
      <c r="CO49" s="252"/>
      <c r="CP49" s="252"/>
      <c r="CQ49" s="252"/>
      <c r="CR49" s="252"/>
      <c r="CS49" s="252"/>
      <c r="CT49" s="252"/>
      <c r="CU49" s="252"/>
      <c r="CV49" s="252"/>
      <c r="CW49" s="252"/>
      <c r="CX49" s="252"/>
      <c r="CY49" s="252"/>
      <c r="CZ49" s="252"/>
      <c r="DA49" s="252"/>
      <c r="DB49" s="252"/>
      <c r="DC49" s="252"/>
      <c r="DD49" s="252"/>
      <c r="DE49" s="252"/>
      <c r="DF49" s="252"/>
      <c r="DG49" s="252"/>
      <c r="DH49" s="252"/>
      <c r="DI49" s="252"/>
      <c r="DJ49" s="252"/>
      <c r="DK49" s="252"/>
      <c r="DL49" s="252"/>
      <c r="DM49" s="252"/>
      <c r="DN49" s="252"/>
      <c r="DO49" s="252"/>
      <c r="DP49" s="252"/>
      <c r="DQ49" s="252"/>
      <c r="DR49" s="252"/>
      <c r="DS49" s="252"/>
      <c r="DT49" s="252"/>
      <c r="DU49" s="252"/>
      <c r="DV49" s="479"/>
      <c r="DW49" s="720"/>
      <c r="DX49" s="511">
        <f t="shared" si="358"/>
        <v>0</v>
      </c>
      <c r="DY49" s="253">
        <f>SUM(G49:I49)</f>
        <v>0</v>
      </c>
      <c r="DZ49" s="253">
        <f>SUM(J49:L49)</f>
        <v>0</v>
      </c>
      <c r="EA49" s="253">
        <f>SUM(M49:O49)</f>
        <v>0</v>
      </c>
      <c r="EB49" s="253">
        <f>SUM(P49:R49)</f>
        <v>0</v>
      </c>
      <c r="EC49" s="254">
        <f t="shared" si="484"/>
        <v>0</v>
      </c>
      <c r="ED49" s="254">
        <f t="shared" si="485"/>
        <v>0</v>
      </c>
      <c r="EE49" s="254">
        <f t="shared" si="486"/>
        <v>0</v>
      </c>
      <c r="EF49" s="255">
        <f t="shared" si="487"/>
        <v>0</v>
      </c>
      <c r="EG49" s="254">
        <f t="shared" si="488"/>
        <v>0</v>
      </c>
      <c r="EH49" s="254">
        <f t="shared" si="489"/>
        <v>0</v>
      </c>
      <c r="EI49" s="512">
        <f t="shared" si="490"/>
        <v>0</v>
      </c>
      <c r="EJ49" s="30"/>
      <c r="EK49" s="254">
        <f t="shared" si="4"/>
        <v>0</v>
      </c>
      <c r="EL49" s="254">
        <f t="shared" si="5"/>
        <v>0</v>
      </c>
      <c r="EM49" s="254">
        <f t="shared" si="6"/>
        <v>0</v>
      </c>
      <c r="EN49" s="254">
        <f t="shared" si="7"/>
        <v>0</v>
      </c>
      <c r="EO49" s="254">
        <f t="shared" si="8"/>
        <v>0</v>
      </c>
      <c r="EP49" s="512">
        <f t="shared" si="1145"/>
        <v>0</v>
      </c>
    </row>
    <row r="50" spans="1:146" outlineLevel="1" x14ac:dyDescent="0.3">
      <c r="B50" s="249" t="s">
        <v>195</v>
      </c>
      <c r="C50" s="250" t="str">
        <f>C49</f>
        <v>GBP/USD/EURO/AUD/AUD</v>
      </c>
      <c r="D50" s="251"/>
      <c r="E50" s="479"/>
      <c r="F50" s="1653">
        <f>Summary!E17</f>
        <v>0</v>
      </c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52"/>
      <c r="CB50" s="252"/>
      <c r="CC50" s="252"/>
      <c r="CD50" s="252"/>
      <c r="CE50" s="252"/>
      <c r="CF50" s="252"/>
      <c r="CG50" s="252"/>
      <c r="CH50" s="252"/>
      <c r="CI50" s="252"/>
      <c r="CJ50" s="252"/>
      <c r="CK50" s="252"/>
      <c r="CL50" s="252"/>
      <c r="CM50" s="252"/>
      <c r="CN50" s="252"/>
      <c r="CO50" s="252"/>
      <c r="CP50" s="252"/>
      <c r="CQ50" s="252"/>
      <c r="CR50" s="252"/>
      <c r="CS50" s="252"/>
      <c r="CT50" s="252"/>
      <c r="CU50" s="252"/>
      <c r="CV50" s="252"/>
      <c r="CW50" s="252"/>
      <c r="CX50" s="252"/>
      <c r="CY50" s="252"/>
      <c r="CZ50" s="252"/>
      <c r="DA50" s="252"/>
      <c r="DB50" s="252"/>
      <c r="DC50" s="252"/>
      <c r="DD50" s="252"/>
      <c r="DE50" s="252"/>
      <c r="DF50" s="252"/>
      <c r="DG50" s="252"/>
      <c r="DH50" s="252"/>
      <c r="DI50" s="252"/>
      <c r="DJ50" s="252"/>
      <c r="DK50" s="252"/>
      <c r="DL50" s="252"/>
      <c r="DM50" s="252"/>
      <c r="DN50" s="252"/>
      <c r="DO50" s="252"/>
      <c r="DP50" s="252"/>
      <c r="DQ50" s="252"/>
      <c r="DR50" s="252"/>
      <c r="DS50" s="252"/>
      <c r="DT50" s="252"/>
      <c r="DU50" s="252"/>
      <c r="DV50" s="479"/>
      <c r="DW50" s="720"/>
      <c r="DX50" s="511">
        <f t="shared" si="358"/>
        <v>0</v>
      </c>
      <c r="DY50" s="253">
        <f>SUM(G50:I50)</f>
        <v>0</v>
      </c>
      <c r="DZ50" s="253">
        <f>SUM(J50:L50)</f>
        <v>0</v>
      </c>
      <c r="EA50" s="253">
        <f>SUM(M50:O50)</f>
        <v>0</v>
      </c>
      <c r="EB50" s="253">
        <f>SUM(P50:R50)</f>
        <v>0</v>
      </c>
      <c r="EC50" s="254">
        <f t="shared" si="484"/>
        <v>0</v>
      </c>
      <c r="ED50" s="254">
        <f t="shared" si="485"/>
        <v>0</v>
      </c>
      <c r="EE50" s="254">
        <f t="shared" si="486"/>
        <v>0</v>
      </c>
      <c r="EF50" s="255">
        <f t="shared" si="487"/>
        <v>0</v>
      </c>
      <c r="EG50" s="254">
        <f t="shared" si="488"/>
        <v>0</v>
      </c>
      <c r="EH50" s="254">
        <f t="shared" si="489"/>
        <v>0</v>
      </c>
      <c r="EI50" s="512">
        <f t="shared" si="490"/>
        <v>0</v>
      </c>
      <c r="EJ50" s="30"/>
      <c r="EK50" s="254">
        <f t="shared" si="4"/>
        <v>0</v>
      </c>
      <c r="EL50" s="254">
        <f t="shared" si="5"/>
        <v>0</v>
      </c>
      <c r="EM50" s="254">
        <f t="shared" si="6"/>
        <v>0</v>
      </c>
      <c r="EN50" s="254">
        <f t="shared" si="7"/>
        <v>0</v>
      </c>
      <c r="EO50" s="254">
        <f t="shared" si="8"/>
        <v>0</v>
      </c>
      <c r="EP50" s="512">
        <f t="shared" si="1145"/>
        <v>0</v>
      </c>
    </row>
    <row r="51" spans="1:146" outlineLevel="1" x14ac:dyDescent="0.3">
      <c r="A51" s="107">
        <f>-Summary!$R$4</f>
        <v>0</v>
      </c>
      <c r="B51" s="249" t="s">
        <v>196</v>
      </c>
      <c r="C51" s="250" t="str">
        <f>C50</f>
        <v>GBP/USD/EURO/AUD/AUD</v>
      </c>
      <c r="D51" s="251"/>
      <c r="E51" s="480"/>
      <c r="F51" s="251">
        <f>SUM(F12+F28+F32+F36+F40+F44+F48)*$A51</f>
        <v>0</v>
      </c>
      <c r="G51" s="256">
        <f t="shared" ref="G51:BN51" si="1146">SUM(G12+G28+G32+G36+G40+G44+G48)*$A51</f>
        <v>0</v>
      </c>
      <c r="H51" s="256">
        <f t="shared" si="1146"/>
        <v>0</v>
      </c>
      <c r="I51" s="256">
        <f t="shared" si="1146"/>
        <v>0</v>
      </c>
      <c r="J51" s="256">
        <f t="shared" si="1146"/>
        <v>0</v>
      </c>
      <c r="K51" s="256">
        <f t="shared" si="1146"/>
        <v>0</v>
      </c>
      <c r="L51" s="256">
        <f t="shared" si="1146"/>
        <v>0</v>
      </c>
      <c r="M51" s="256">
        <f t="shared" si="1146"/>
        <v>0</v>
      </c>
      <c r="N51" s="256">
        <f t="shared" si="1146"/>
        <v>0</v>
      </c>
      <c r="O51" s="256">
        <f t="shared" si="1146"/>
        <v>0</v>
      </c>
      <c r="P51" s="256">
        <f t="shared" si="1146"/>
        <v>0</v>
      </c>
      <c r="Q51" s="256">
        <f t="shared" si="1146"/>
        <v>0</v>
      </c>
      <c r="R51" s="256">
        <f t="shared" si="1146"/>
        <v>0</v>
      </c>
      <c r="S51" s="256">
        <f t="shared" si="1146"/>
        <v>0</v>
      </c>
      <c r="T51" s="256">
        <f t="shared" si="1146"/>
        <v>0</v>
      </c>
      <c r="U51" s="256">
        <f t="shared" si="1146"/>
        <v>0</v>
      </c>
      <c r="V51" s="256">
        <f t="shared" si="1146"/>
        <v>0</v>
      </c>
      <c r="W51" s="256">
        <f t="shared" si="1146"/>
        <v>0</v>
      </c>
      <c r="X51" s="256">
        <f t="shared" si="1146"/>
        <v>0</v>
      </c>
      <c r="Y51" s="256">
        <f t="shared" si="1146"/>
        <v>0</v>
      </c>
      <c r="Z51" s="256">
        <f t="shared" si="1146"/>
        <v>0</v>
      </c>
      <c r="AA51" s="256">
        <f t="shared" si="1146"/>
        <v>0</v>
      </c>
      <c r="AB51" s="256">
        <f t="shared" si="1146"/>
        <v>0</v>
      </c>
      <c r="AC51" s="256">
        <f t="shared" si="1146"/>
        <v>0</v>
      </c>
      <c r="AD51" s="256">
        <f t="shared" si="1146"/>
        <v>0</v>
      </c>
      <c r="AE51" s="256">
        <f t="shared" si="1146"/>
        <v>0</v>
      </c>
      <c r="AF51" s="256">
        <f t="shared" si="1146"/>
        <v>0</v>
      </c>
      <c r="AG51" s="256">
        <f t="shared" si="1146"/>
        <v>0</v>
      </c>
      <c r="AH51" s="256">
        <f t="shared" si="1146"/>
        <v>0</v>
      </c>
      <c r="AI51" s="256">
        <f t="shared" si="1146"/>
        <v>0</v>
      </c>
      <c r="AJ51" s="256">
        <f t="shared" si="1146"/>
        <v>0</v>
      </c>
      <c r="AK51" s="256">
        <f t="shared" si="1146"/>
        <v>0</v>
      </c>
      <c r="AL51" s="256">
        <f t="shared" si="1146"/>
        <v>0</v>
      </c>
      <c r="AM51" s="256">
        <f t="shared" si="1146"/>
        <v>0</v>
      </c>
      <c r="AN51" s="256">
        <f t="shared" si="1146"/>
        <v>0</v>
      </c>
      <c r="AO51" s="256">
        <f t="shared" si="1146"/>
        <v>0</v>
      </c>
      <c r="AP51" s="256">
        <f t="shared" si="1146"/>
        <v>0</v>
      </c>
      <c r="AQ51" s="252">
        <f t="shared" si="1146"/>
        <v>0</v>
      </c>
      <c r="AR51" s="252">
        <f t="shared" si="1146"/>
        <v>0</v>
      </c>
      <c r="AS51" s="252">
        <f t="shared" si="1146"/>
        <v>0</v>
      </c>
      <c r="AT51" s="252">
        <f t="shared" si="1146"/>
        <v>0</v>
      </c>
      <c r="AU51" s="252">
        <f t="shared" si="1146"/>
        <v>0</v>
      </c>
      <c r="AV51" s="252">
        <f t="shared" si="1146"/>
        <v>0</v>
      </c>
      <c r="AW51" s="252">
        <f t="shared" si="1146"/>
        <v>0</v>
      </c>
      <c r="AX51" s="252">
        <f t="shared" si="1146"/>
        <v>0</v>
      </c>
      <c r="AY51" s="252">
        <f t="shared" si="1146"/>
        <v>0</v>
      </c>
      <c r="AZ51" s="252">
        <f t="shared" si="1146"/>
        <v>0</v>
      </c>
      <c r="BA51" s="252">
        <f t="shared" si="1146"/>
        <v>0</v>
      </c>
      <c r="BB51" s="252">
        <f t="shared" si="1146"/>
        <v>0</v>
      </c>
      <c r="BC51" s="252">
        <f t="shared" si="1146"/>
        <v>0</v>
      </c>
      <c r="BD51" s="252">
        <f t="shared" si="1146"/>
        <v>0</v>
      </c>
      <c r="BE51" s="252">
        <f t="shared" si="1146"/>
        <v>0</v>
      </c>
      <c r="BF51" s="252">
        <f t="shared" si="1146"/>
        <v>0</v>
      </c>
      <c r="BG51" s="252">
        <f t="shared" si="1146"/>
        <v>0</v>
      </c>
      <c r="BH51" s="252">
        <f t="shared" si="1146"/>
        <v>0</v>
      </c>
      <c r="BI51" s="252">
        <f t="shared" si="1146"/>
        <v>0</v>
      </c>
      <c r="BJ51" s="252">
        <f t="shared" si="1146"/>
        <v>0</v>
      </c>
      <c r="BK51" s="252">
        <f t="shared" si="1146"/>
        <v>0</v>
      </c>
      <c r="BL51" s="252">
        <f t="shared" si="1146"/>
        <v>0</v>
      </c>
      <c r="BM51" s="252">
        <f t="shared" si="1146"/>
        <v>0</v>
      </c>
      <c r="BN51" s="252">
        <f t="shared" si="1146"/>
        <v>0</v>
      </c>
      <c r="BO51" s="252">
        <f t="shared" ref="BO51:DV51" si="1147">SUM(BO12+BO28+BO32+BO36+BO40+BO44+BO48)*$A51</f>
        <v>0</v>
      </c>
      <c r="BP51" s="252">
        <f t="shared" si="1147"/>
        <v>0</v>
      </c>
      <c r="BQ51" s="252">
        <f t="shared" si="1147"/>
        <v>0</v>
      </c>
      <c r="BR51" s="252">
        <f t="shared" si="1147"/>
        <v>0</v>
      </c>
      <c r="BS51" s="252">
        <f t="shared" si="1147"/>
        <v>0</v>
      </c>
      <c r="BT51" s="252">
        <f t="shared" si="1147"/>
        <v>0</v>
      </c>
      <c r="BU51" s="252">
        <f t="shared" si="1147"/>
        <v>0</v>
      </c>
      <c r="BV51" s="252">
        <f t="shared" si="1147"/>
        <v>0</v>
      </c>
      <c r="BW51" s="252">
        <f t="shared" si="1147"/>
        <v>0</v>
      </c>
      <c r="BX51" s="252">
        <f t="shared" si="1147"/>
        <v>0</v>
      </c>
      <c r="BY51" s="252">
        <f t="shared" si="1147"/>
        <v>0</v>
      </c>
      <c r="BZ51" s="252">
        <f t="shared" si="1147"/>
        <v>0</v>
      </c>
      <c r="CA51" s="252">
        <f t="shared" si="1147"/>
        <v>0</v>
      </c>
      <c r="CB51" s="252">
        <f t="shared" si="1147"/>
        <v>0</v>
      </c>
      <c r="CC51" s="252">
        <f t="shared" si="1147"/>
        <v>0</v>
      </c>
      <c r="CD51" s="252">
        <f t="shared" si="1147"/>
        <v>0</v>
      </c>
      <c r="CE51" s="252">
        <f t="shared" si="1147"/>
        <v>0</v>
      </c>
      <c r="CF51" s="252">
        <f t="shared" si="1147"/>
        <v>0</v>
      </c>
      <c r="CG51" s="252">
        <f t="shared" si="1147"/>
        <v>0</v>
      </c>
      <c r="CH51" s="252">
        <f t="shared" si="1147"/>
        <v>0</v>
      </c>
      <c r="CI51" s="252">
        <f t="shared" si="1147"/>
        <v>0</v>
      </c>
      <c r="CJ51" s="252">
        <f t="shared" si="1147"/>
        <v>0</v>
      </c>
      <c r="CK51" s="252">
        <f t="shared" si="1147"/>
        <v>0</v>
      </c>
      <c r="CL51" s="252">
        <f t="shared" si="1147"/>
        <v>0</v>
      </c>
      <c r="CM51" s="252">
        <f t="shared" si="1147"/>
        <v>0</v>
      </c>
      <c r="CN51" s="252">
        <f t="shared" si="1147"/>
        <v>0</v>
      </c>
      <c r="CO51" s="252">
        <f t="shared" si="1147"/>
        <v>0</v>
      </c>
      <c r="CP51" s="252">
        <f t="shared" si="1147"/>
        <v>0</v>
      </c>
      <c r="CQ51" s="252">
        <f t="shared" si="1147"/>
        <v>0</v>
      </c>
      <c r="CR51" s="252">
        <f t="shared" si="1147"/>
        <v>0</v>
      </c>
      <c r="CS51" s="252">
        <f t="shared" si="1147"/>
        <v>0</v>
      </c>
      <c r="CT51" s="252">
        <f t="shared" si="1147"/>
        <v>0</v>
      </c>
      <c r="CU51" s="252">
        <f t="shared" si="1147"/>
        <v>0</v>
      </c>
      <c r="CV51" s="252">
        <f t="shared" si="1147"/>
        <v>0</v>
      </c>
      <c r="CW51" s="252">
        <f t="shared" si="1147"/>
        <v>0</v>
      </c>
      <c r="CX51" s="252">
        <f t="shared" si="1147"/>
        <v>0</v>
      </c>
      <c r="CY51" s="252">
        <f t="shared" si="1147"/>
        <v>0</v>
      </c>
      <c r="CZ51" s="252">
        <f t="shared" si="1147"/>
        <v>0</v>
      </c>
      <c r="DA51" s="252">
        <f t="shared" si="1147"/>
        <v>0</v>
      </c>
      <c r="DB51" s="252">
        <f t="shared" si="1147"/>
        <v>0</v>
      </c>
      <c r="DC51" s="252">
        <f t="shared" si="1147"/>
        <v>0</v>
      </c>
      <c r="DD51" s="252">
        <f t="shared" si="1147"/>
        <v>0</v>
      </c>
      <c r="DE51" s="252">
        <f t="shared" si="1147"/>
        <v>0</v>
      </c>
      <c r="DF51" s="252">
        <f t="shared" si="1147"/>
        <v>0</v>
      </c>
      <c r="DG51" s="252">
        <f t="shared" si="1147"/>
        <v>0</v>
      </c>
      <c r="DH51" s="252">
        <f t="shared" si="1147"/>
        <v>0</v>
      </c>
      <c r="DI51" s="252">
        <f t="shared" si="1147"/>
        <v>0</v>
      </c>
      <c r="DJ51" s="252">
        <f t="shared" si="1147"/>
        <v>0</v>
      </c>
      <c r="DK51" s="252">
        <f t="shared" si="1147"/>
        <v>0</v>
      </c>
      <c r="DL51" s="252">
        <f t="shared" si="1147"/>
        <v>0</v>
      </c>
      <c r="DM51" s="252">
        <f t="shared" si="1147"/>
        <v>0</v>
      </c>
      <c r="DN51" s="252">
        <f t="shared" si="1147"/>
        <v>0</v>
      </c>
      <c r="DO51" s="252">
        <f t="shared" si="1147"/>
        <v>0</v>
      </c>
      <c r="DP51" s="252">
        <f t="shared" si="1147"/>
        <v>0</v>
      </c>
      <c r="DQ51" s="252">
        <f t="shared" si="1147"/>
        <v>0</v>
      </c>
      <c r="DR51" s="252">
        <f t="shared" si="1147"/>
        <v>0</v>
      </c>
      <c r="DS51" s="252">
        <f t="shared" si="1147"/>
        <v>0</v>
      </c>
      <c r="DT51" s="252">
        <f t="shared" si="1147"/>
        <v>0</v>
      </c>
      <c r="DU51" s="252">
        <f t="shared" si="1147"/>
        <v>0</v>
      </c>
      <c r="DV51" s="479">
        <f t="shared" si="1147"/>
        <v>0</v>
      </c>
      <c r="DW51" s="720"/>
      <c r="DX51" s="511">
        <f t="shared" si="358"/>
        <v>0</v>
      </c>
      <c r="DY51" s="253">
        <f>SUM(G51:I51)</f>
        <v>0</v>
      </c>
      <c r="DZ51" s="253">
        <f>SUM(J51:L51)</f>
        <v>0</v>
      </c>
      <c r="EA51" s="253">
        <f>SUM(M51:O51)</f>
        <v>0</v>
      </c>
      <c r="EB51" s="253">
        <f>SUM(P51:R51)</f>
        <v>0</v>
      </c>
      <c r="EC51" s="254">
        <f t="shared" si="484"/>
        <v>0</v>
      </c>
      <c r="ED51" s="254">
        <f t="shared" si="485"/>
        <v>0</v>
      </c>
      <c r="EE51" s="254">
        <f t="shared" si="486"/>
        <v>0</v>
      </c>
      <c r="EF51" s="255">
        <f t="shared" si="487"/>
        <v>0</v>
      </c>
      <c r="EG51" s="254">
        <f t="shared" si="488"/>
        <v>0</v>
      </c>
      <c r="EH51" s="254">
        <f t="shared" si="489"/>
        <v>0</v>
      </c>
      <c r="EI51" s="512">
        <f t="shared" si="490"/>
        <v>0</v>
      </c>
      <c r="EJ51" s="30"/>
      <c r="EK51" s="254">
        <f t="shared" si="4"/>
        <v>0</v>
      </c>
      <c r="EL51" s="254">
        <f t="shared" si="5"/>
        <v>0</v>
      </c>
      <c r="EM51" s="254">
        <f t="shared" si="6"/>
        <v>0</v>
      </c>
      <c r="EN51" s="254">
        <f t="shared" si="7"/>
        <v>0</v>
      </c>
      <c r="EO51" s="254">
        <f t="shared" si="8"/>
        <v>0</v>
      </c>
      <c r="EP51" s="512">
        <f t="shared" si="1145"/>
        <v>0</v>
      </c>
    </row>
    <row r="52" spans="1:146" outlineLevel="1" x14ac:dyDescent="0.3">
      <c r="B52" s="257" t="s">
        <v>197</v>
      </c>
      <c r="C52" s="108"/>
      <c r="D52" s="109"/>
      <c r="E52" s="481"/>
      <c r="F52" s="109">
        <f>F12+F14+F28+F32+F36+F40+F44+F48+F82</f>
        <v>0</v>
      </c>
      <c r="G52" s="110">
        <f t="shared" ref="G52:BR52" si="1148">G12+G14+G28+G32+G36+G40+G44+G48+G82</f>
        <v>90900</v>
      </c>
      <c r="H52" s="110">
        <f t="shared" si="1148"/>
        <v>100639.28571428572</v>
      </c>
      <c r="I52" s="110">
        <f t="shared" si="1148"/>
        <v>97392.857142857145</v>
      </c>
      <c r="J52" s="110">
        <f t="shared" si="1148"/>
        <v>100639.28571428572</v>
      </c>
      <c r="K52" s="110">
        <f t="shared" si="1148"/>
        <v>97392.857142857145</v>
      </c>
      <c r="L52" s="110">
        <f t="shared" si="1148"/>
        <v>100639.28571428572</v>
      </c>
      <c r="M52" s="110">
        <f t="shared" si="1148"/>
        <v>100639.28571428572</v>
      </c>
      <c r="N52" s="110">
        <f t="shared" si="1148"/>
        <v>97392.857142857145</v>
      </c>
      <c r="O52" s="110">
        <f t="shared" si="1148"/>
        <v>100639.28571428572</v>
      </c>
      <c r="P52" s="110">
        <f t="shared" si="1148"/>
        <v>97392.857142857145</v>
      </c>
      <c r="Q52" s="110">
        <f t="shared" si="1148"/>
        <v>100639.28571428572</v>
      </c>
      <c r="R52" s="110">
        <f t="shared" si="1148"/>
        <v>100639.28571428572</v>
      </c>
      <c r="S52" s="110">
        <f t="shared" si="1148"/>
        <v>98853.750000000015</v>
      </c>
      <c r="T52" s="110">
        <f t="shared" si="1148"/>
        <v>105671.25000000001</v>
      </c>
      <c r="U52" s="110">
        <f t="shared" si="1148"/>
        <v>102262.5</v>
      </c>
      <c r="V52" s="110">
        <f t="shared" si="1148"/>
        <v>105671.25000000001</v>
      </c>
      <c r="W52" s="110">
        <f t="shared" si="1148"/>
        <v>102262.5</v>
      </c>
      <c r="X52" s="110">
        <f t="shared" si="1148"/>
        <v>105671.25000000001</v>
      </c>
      <c r="Y52" s="110">
        <f t="shared" si="1148"/>
        <v>105671.25000000001</v>
      </c>
      <c r="Z52" s="110">
        <f t="shared" si="1148"/>
        <v>102262.5</v>
      </c>
      <c r="AA52" s="110">
        <f t="shared" si="1148"/>
        <v>105671.25000000001</v>
      </c>
      <c r="AB52" s="110">
        <f t="shared" si="1148"/>
        <v>102262.5</v>
      </c>
      <c r="AC52" s="110">
        <f t="shared" si="1148"/>
        <v>105671.25000000001</v>
      </c>
      <c r="AD52" s="110">
        <f t="shared" si="1148"/>
        <v>105671.25000000001</v>
      </c>
      <c r="AE52" s="110">
        <f t="shared" si="1148"/>
        <v>100217.25000000001</v>
      </c>
      <c r="AF52" s="110">
        <f t="shared" si="1148"/>
        <v>110954.81250000003</v>
      </c>
      <c r="AG52" s="110">
        <f t="shared" si="1148"/>
        <v>107375.62500000001</v>
      </c>
      <c r="AH52" s="110">
        <f t="shared" si="1148"/>
        <v>110954.81250000003</v>
      </c>
      <c r="AI52" s="110">
        <f t="shared" si="1148"/>
        <v>107375.62500000001</v>
      </c>
      <c r="AJ52" s="110">
        <f t="shared" si="1148"/>
        <v>110954.81250000003</v>
      </c>
      <c r="AK52" s="110">
        <f t="shared" si="1148"/>
        <v>110954.81250000003</v>
      </c>
      <c r="AL52" s="110">
        <f t="shared" si="1148"/>
        <v>107375.62500000001</v>
      </c>
      <c r="AM52" s="110">
        <f t="shared" si="1148"/>
        <v>110954.81250000003</v>
      </c>
      <c r="AN52" s="110">
        <f t="shared" si="1148"/>
        <v>107375.62500000001</v>
      </c>
      <c r="AO52" s="110">
        <f t="shared" si="1148"/>
        <v>110954.81250000003</v>
      </c>
      <c r="AP52" s="110">
        <f t="shared" si="1148"/>
        <v>110954.81250000003</v>
      </c>
      <c r="AQ52" s="111">
        <f t="shared" si="1148"/>
        <v>105228.11250000002</v>
      </c>
      <c r="AR52" s="111">
        <f t="shared" si="1148"/>
        <v>116502.55312500003</v>
      </c>
      <c r="AS52" s="111">
        <f t="shared" si="1148"/>
        <v>112744.40625000003</v>
      </c>
      <c r="AT52" s="111">
        <f t="shared" si="1148"/>
        <v>116502.55312500003</v>
      </c>
      <c r="AU52" s="111">
        <f t="shared" si="1148"/>
        <v>112744.40625000003</v>
      </c>
      <c r="AV52" s="111">
        <f t="shared" si="1148"/>
        <v>116502.55312500003</v>
      </c>
      <c r="AW52" s="111">
        <f t="shared" si="1148"/>
        <v>116502.55312500003</v>
      </c>
      <c r="AX52" s="111">
        <f t="shared" si="1148"/>
        <v>112744.40625000003</v>
      </c>
      <c r="AY52" s="111">
        <f t="shared" si="1148"/>
        <v>116502.55312500003</v>
      </c>
      <c r="AZ52" s="111">
        <f t="shared" si="1148"/>
        <v>112744.40625000003</v>
      </c>
      <c r="BA52" s="111">
        <f t="shared" si="1148"/>
        <v>116502.55312500003</v>
      </c>
      <c r="BB52" s="111">
        <f t="shared" si="1148"/>
        <v>116502.55312500003</v>
      </c>
      <c r="BC52" s="111">
        <f t="shared" si="1148"/>
        <v>110489.51812500002</v>
      </c>
      <c r="BD52" s="111">
        <f t="shared" si="1148"/>
        <v>122327.68078125005</v>
      </c>
      <c r="BE52" s="111">
        <f t="shared" si="1148"/>
        <v>118381.62656250002</v>
      </c>
      <c r="BF52" s="111">
        <f t="shared" si="1148"/>
        <v>122327.68078125005</v>
      </c>
      <c r="BG52" s="111">
        <f t="shared" si="1148"/>
        <v>118381.62656250002</v>
      </c>
      <c r="BH52" s="111">
        <f t="shared" si="1148"/>
        <v>122327.68078125005</v>
      </c>
      <c r="BI52" s="111">
        <f t="shared" si="1148"/>
        <v>122327.68078125005</v>
      </c>
      <c r="BJ52" s="111">
        <f t="shared" si="1148"/>
        <v>118381.62656250002</v>
      </c>
      <c r="BK52" s="111">
        <f t="shared" si="1148"/>
        <v>122327.68078125005</v>
      </c>
      <c r="BL52" s="111">
        <f t="shared" si="1148"/>
        <v>118381.62656250002</v>
      </c>
      <c r="BM52" s="111">
        <f t="shared" si="1148"/>
        <v>122327.68078125005</v>
      </c>
      <c r="BN52" s="111">
        <f t="shared" si="1148"/>
        <v>122327.68078125005</v>
      </c>
      <c r="BO52" s="111">
        <f t="shared" si="1148"/>
        <v>120157.35096093753</v>
      </c>
      <c r="BP52" s="111">
        <f t="shared" si="1148"/>
        <v>128444.06482031255</v>
      </c>
      <c r="BQ52" s="111">
        <f t="shared" si="1148"/>
        <v>124300.70789062502</v>
      </c>
      <c r="BR52" s="111">
        <f t="shared" si="1148"/>
        <v>128444.06482031255</v>
      </c>
      <c r="BS52" s="111">
        <f t="shared" ref="BS52:DV52" si="1149">BS12+BS14+BS28+BS32+BS36+BS40+BS44+BS48+BS82</f>
        <v>124300.70789062502</v>
      </c>
      <c r="BT52" s="111">
        <f t="shared" si="1149"/>
        <v>128444.06482031255</v>
      </c>
      <c r="BU52" s="111">
        <f t="shared" si="1149"/>
        <v>128444.06482031255</v>
      </c>
      <c r="BV52" s="111">
        <f t="shared" si="1149"/>
        <v>124300.70789062502</v>
      </c>
      <c r="BW52" s="111">
        <f t="shared" si="1149"/>
        <v>128444.06482031255</v>
      </c>
      <c r="BX52" s="111">
        <f t="shared" si="1149"/>
        <v>124300.70789062502</v>
      </c>
      <c r="BY52" s="111">
        <f t="shared" si="1149"/>
        <v>128444.06482031255</v>
      </c>
      <c r="BZ52" s="111">
        <f t="shared" si="1149"/>
        <v>128444.06482031255</v>
      </c>
      <c r="CA52" s="111">
        <f t="shared" si="1149"/>
        <v>121814.69373281254</v>
      </c>
      <c r="CB52" s="111">
        <f t="shared" si="1149"/>
        <v>134866.26806132818</v>
      </c>
      <c r="CC52" s="111">
        <f t="shared" si="1149"/>
        <v>130515.74328515629</v>
      </c>
      <c r="CD52" s="111">
        <f t="shared" si="1149"/>
        <v>134866.26806132818</v>
      </c>
      <c r="CE52" s="111">
        <f t="shared" si="1149"/>
        <v>130515.74328515629</v>
      </c>
      <c r="CF52" s="111">
        <f t="shared" si="1149"/>
        <v>134866.26806132818</v>
      </c>
      <c r="CG52" s="111">
        <f t="shared" si="1149"/>
        <v>134866.26806132818</v>
      </c>
      <c r="CH52" s="111">
        <f t="shared" si="1149"/>
        <v>130515.74328515629</v>
      </c>
      <c r="CI52" s="111">
        <f t="shared" si="1149"/>
        <v>134866.26806132818</v>
      </c>
      <c r="CJ52" s="111">
        <f t="shared" si="1149"/>
        <v>130515.74328515629</v>
      </c>
      <c r="CK52" s="111">
        <f t="shared" si="1149"/>
        <v>134866.26806132818</v>
      </c>
      <c r="CL52" s="111">
        <f t="shared" si="1149"/>
        <v>134866.26806132818</v>
      </c>
      <c r="CM52" s="111">
        <f t="shared" si="1149"/>
        <v>127905.42841945316</v>
      </c>
      <c r="CN52" s="111">
        <f t="shared" si="1149"/>
        <v>141609.58146439461</v>
      </c>
      <c r="CO52" s="111">
        <f t="shared" si="1149"/>
        <v>137041.5304494141</v>
      </c>
      <c r="CP52" s="111">
        <f t="shared" si="1149"/>
        <v>141609.58146439461</v>
      </c>
      <c r="CQ52" s="111">
        <f t="shared" si="1149"/>
        <v>137041.5304494141</v>
      </c>
      <c r="CR52" s="111">
        <f t="shared" si="1149"/>
        <v>141609.58146439461</v>
      </c>
      <c r="CS52" s="111">
        <f t="shared" si="1149"/>
        <v>141609.58146439461</v>
      </c>
      <c r="CT52" s="111">
        <f t="shared" si="1149"/>
        <v>137041.5304494141</v>
      </c>
      <c r="CU52" s="111">
        <f t="shared" si="1149"/>
        <v>141609.58146439461</v>
      </c>
      <c r="CV52" s="111">
        <f t="shared" si="1149"/>
        <v>137041.5304494141</v>
      </c>
      <c r="CW52" s="111">
        <f t="shared" si="1149"/>
        <v>141609.58146439461</v>
      </c>
      <c r="CX52" s="111">
        <f t="shared" si="1149"/>
        <v>141609.58146439461</v>
      </c>
      <c r="CY52" s="111">
        <f t="shared" si="1149"/>
        <v>134300.69984042583</v>
      </c>
      <c r="CZ52" s="111">
        <f t="shared" si="1149"/>
        <v>148690.06053761434</v>
      </c>
      <c r="DA52" s="111">
        <f t="shared" si="1149"/>
        <v>143893.60697188482</v>
      </c>
      <c r="DB52" s="111">
        <f t="shared" si="1149"/>
        <v>148690.06053761434</v>
      </c>
      <c r="DC52" s="111">
        <f t="shared" si="1149"/>
        <v>143893.60697188482</v>
      </c>
      <c r="DD52" s="111">
        <f t="shared" si="1149"/>
        <v>148690.06053761434</v>
      </c>
      <c r="DE52" s="111">
        <f t="shared" si="1149"/>
        <v>148690.06053761434</v>
      </c>
      <c r="DF52" s="111">
        <f t="shared" si="1149"/>
        <v>143893.60697188482</v>
      </c>
      <c r="DG52" s="111">
        <f t="shared" si="1149"/>
        <v>148690.06053761434</v>
      </c>
      <c r="DH52" s="111">
        <f t="shared" si="1149"/>
        <v>143893.60697188482</v>
      </c>
      <c r="DI52" s="111">
        <f t="shared" si="1149"/>
        <v>148690.06053761434</v>
      </c>
      <c r="DJ52" s="111">
        <f t="shared" si="1149"/>
        <v>148690.06053761434</v>
      </c>
      <c r="DK52" s="111">
        <f t="shared" si="1149"/>
        <v>146052.01107646312</v>
      </c>
      <c r="DL52" s="111">
        <f t="shared" si="1149"/>
        <v>156124.56356449507</v>
      </c>
      <c r="DM52" s="111">
        <f t="shared" si="1149"/>
        <v>151088.28732047908</v>
      </c>
      <c r="DN52" s="111">
        <f t="shared" si="1149"/>
        <v>156124.56356449507</v>
      </c>
      <c r="DO52" s="111">
        <f t="shared" si="1149"/>
        <v>151088.28732047908</v>
      </c>
      <c r="DP52" s="111">
        <f t="shared" si="1149"/>
        <v>156124.56356449507</v>
      </c>
      <c r="DQ52" s="111">
        <f t="shared" si="1149"/>
        <v>156124.56356449507</v>
      </c>
      <c r="DR52" s="111">
        <f t="shared" si="1149"/>
        <v>151088.28732047908</v>
      </c>
      <c r="DS52" s="111">
        <f t="shared" si="1149"/>
        <v>156124.56356449507</v>
      </c>
      <c r="DT52" s="111">
        <f t="shared" si="1149"/>
        <v>151088.28732047908</v>
      </c>
      <c r="DU52" s="111">
        <f t="shared" si="1149"/>
        <v>156124.56356449507</v>
      </c>
      <c r="DV52" s="487">
        <f t="shared" si="1149"/>
        <v>156124.56356449507</v>
      </c>
      <c r="DW52" s="721"/>
      <c r="DX52" s="109">
        <f t="shared" ref="DX52:EA52" si="1150">DX12+DX14+DX28+DX32+DX36+DX40+DX44+DX48</f>
        <v>0</v>
      </c>
      <c r="DY52" s="110">
        <f t="shared" si="1150"/>
        <v>288932.1428571429</v>
      </c>
      <c r="DZ52" s="110">
        <f t="shared" si="1150"/>
        <v>298671.42857142858</v>
      </c>
      <c r="EA52" s="110">
        <f t="shared" si="1150"/>
        <v>298671.42857142858</v>
      </c>
      <c r="EB52" s="111">
        <f t="shared" ref="EB52:EE52" si="1151">EB12+EB14+EB28+EB32+EB36+EB40+EB44+EB48</f>
        <v>298671.42857142858</v>
      </c>
      <c r="EC52" s="111">
        <f t="shared" si="1151"/>
        <v>1184946.4285714286</v>
      </c>
      <c r="ED52" s="111">
        <f t="shared" si="1151"/>
        <v>1247602.5</v>
      </c>
      <c r="EE52" s="111">
        <f t="shared" si="1151"/>
        <v>1306403.4375000002</v>
      </c>
      <c r="EF52" s="110">
        <f t="shared" si="487"/>
        <v>3738952.3660714291</v>
      </c>
      <c r="EG52" s="111">
        <f t="shared" ref="EG52:EH52" si="1152">EG12+EG14+EG28+EG32+EG36+EG40+EG44+EG48</f>
        <v>1371723.6093750005</v>
      </c>
      <c r="EH52" s="111">
        <f t="shared" si="1152"/>
        <v>1440309.7898437507</v>
      </c>
      <c r="EI52" s="481">
        <f t="shared" si="490"/>
        <v>6550985.7652901802</v>
      </c>
      <c r="EJ52" s="30">
        <f t="shared" ref="EJ52:EJ57" si="1153">SUM(F52:BN52)-EI52</f>
        <v>0</v>
      </c>
      <c r="EK52" s="110">
        <f t="shared" si="4"/>
        <v>1516468.6362656252</v>
      </c>
      <c r="EL52" s="110">
        <f t="shared" si="5"/>
        <v>1587941.5433027351</v>
      </c>
      <c r="EM52" s="110">
        <f t="shared" si="6"/>
        <v>1667338.6204678721</v>
      </c>
      <c r="EN52" s="110">
        <f t="shared" si="7"/>
        <v>1750705.5514912659</v>
      </c>
      <c r="EO52" s="110">
        <f t="shared" si="8"/>
        <v>1843277.1053098449</v>
      </c>
      <c r="EP52" s="481">
        <f t="shared" si="1145"/>
        <v>14916717.222127523</v>
      </c>
    </row>
    <row r="53" spans="1:146" outlineLevel="1" x14ac:dyDescent="0.3">
      <c r="B53" s="257" t="s">
        <v>198</v>
      </c>
      <c r="C53" s="108"/>
      <c r="D53" s="109"/>
      <c r="E53" s="481"/>
      <c r="F53" s="109">
        <f>F19</f>
        <v>75674.25</v>
      </c>
      <c r="G53" s="110">
        <f t="shared" ref="G53:BR53" si="1154">G19</f>
        <v>0</v>
      </c>
      <c r="H53" s="110">
        <f t="shared" si="1154"/>
        <v>0</v>
      </c>
      <c r="I53" s="110">
        <f t="shared" si="1154"/>
        <v>0</v>
      </c>
      <c r="J53" s="110">
        <f t="shared" si="1154"/>
        <v>0</v>
      </c>
      <c r="K53" s="110">
        <f t="shared" si="1154"/>
        <v>0</v>
      </c>
      <c r="L53" s="110">
        <f t="shared" si="1154"/>
        <v>0</v>
      </c>
      <c r="M53" s="110">
        <f t="shared" si="1154"/>
        <v>0</v>
      </c>
      <c r="N53" s="110">
        <f t="shared" si="1154"/>
        <v>0</v>
      </c>
      <c r="O53" s="110">
        <f t="shared" si="1154"/>
        <v>0</v>
      </c>
      <c r="P53" s="110">
        <f t="shared" si="1154"/>
        <v>0</v>
      </c>
      <c r="Q53" s="110">
        <f t="shared" si="1154"/>
        <v>0</v>
      </c>
      <c r="R53" s="110">
        <f t="shared" si="1154"/>
        <v>0</v>
      </c>
      <c r="S53" s="110">
        <f t="shared" si="1154"/>
        <v>0</v>
      </c>
      <c r="T53" s="110">
        <f t="shared" si="1154"/>
        <v>0</v>
      </c>
      <c r="U53" s="110">
        <f t="shared" si="1154"/>
        <v>0</v>
      </c>
      <c r="V53" s="110">
        <f t="shared" si="1154"/>
        <v>0</v>
      </c>
      <c r="W53" s="110">
        <f t="shared" si="1154"/>
        <v>0</v>
      </c>
      <c r="X53" s="110">
        <f t="shared" si="1154"/>
        <v>0</v>
      </c>
      <c r="Y53" s="110">
        <f t="shared" si="1154"/>
        <v>0</v>
      </c>
      <c r="Z53" s="110">
        <f t="shared" si="1154"/>
        <v>0</v>
      </c>
      <c r="AA53" s="110">
        <f t="shared" si="1154"/>
        <v>0</v>
      </c>
      <c r="AB53" s="110">
        <f t="shared" si="1154"/>
        <v>0</v>
      </c>
      <c r="AC53" s="110">
        <f t="shared" si="1154"/>
        <v>0</v>
      </c>
      <c r="AD53" s="110">
        <f t="shared" si="1154"/>
        <v>0</v>
      </c>
      <c r="AE53" s="110">
        <f t="shared" si="1154"/>
        <v>0</v>
      </c>
      <c r="AF53" s="110">
        <f t="shared" si="1154"/>
        <v>0</v>
      </c>
      <c r="AG53" s="110">
        <f t="shared" si="1154"/>
        <v>0</v>
      </c>
      <c r="AH53" s="110">
        <f t="shared" si="1154"/>
        <v>0</v>
      </c>
      <c r="AI53" s="110">
        <f t="shared" si="1154"/>
        <v>0</v>
      </c>
      <c r="AJ53" s="110">
        <f t="shared" si="1154"/>
        <v>0</v>
      </c>
      <c r="AK53" s="110">
        <f t="shared" si="1154"/>
        <v>0</v>
      </c>
      <c r="AL53" s="110">
        <f t="shared" si="1154"/>
        <v>0</v>
      </c>
      <c r="AM53" s="110">
        <f t="shared" si="1154"/>
        <v>0</v>
      </c>
      <c r="AN53" s="110">
        <f t="shared" si="1154"/>
        <v>0</v>
      </c>
      <c r="AO53" s="110">
        <f t="shared" si="1154"/>
        <v>0</v>
      </c>
      <c r="AP53" s="110">
        <f t="shared" si="1154"/>
        <v>0</v>
      </c>
      <c r="AQ53" s="111">
        <f t="shared" si="1154"/>
        <v>0</v>
      </c>
      <c r="AR53" s="111">
        <f t="shared" si="1154"/>
        <v>0</v>
      </c>
      <c r="AS53" s="111">
        <f t="shared" si="1154"/>
        <v>0</v>
      </c>
      <c r="AT53" s="111">
        <f t="shared" si="1154"/>
        <v>0</v>
      </c>
      <c r="AU53" s="111">
        <f t="shared" si="1154"/>
        <v>0</v>
      </c>
      <c r="AV53" s="111">
        <f t="shared" si="1154"/>
        <v>0</v>
      </c>
      <c r="AW53" s="111">
        <f t="shared" si="1154"/>
        <v>0</v>
      </c>
      <c r="AX53" s="111">
        <f t="shared" si="1154"/>
        <v>0</v>
      </c>
      <c r="AY53" s="111">
        <f t="shared" si="1154"/>
        <v>0</v>
      </c>
      <c r="AZ53" s="111">
        <f t="shared" si="1154"/>
        <v>0</v>
      </c>
      <c r="BA53" s="111">
        <f t="shared" si="1154"/>
        <v>0</v>
      </c>
      <c r="BB53" s="111">
        <f t="shared" si="1154"/>
        <v>0</v>
      </c>
      <c r="BC53" s="111">
        <f t="shared" si="1154"/>
        <v>0</v>
      </c>
      <c r="BD53" s="111">
        <f t="shared" si="1154"/>
        <v>0</v>
      </c>
      <c r="BE53" s="111">
        <f t="shared" si="1154"/>
        <v>0</v>
      </c>
      <c r="BF53" s="111">
        <f t="shared" si="1154"/>
        <v>0</v>
      </c>
      <c r="BG53" s="111">
        <f t="shared" si="1154"/>
        <v>0</v>
      </c>
      <c r="BH53" s="111">
        <f t="shared" si="1154"/>
        <v>0</v>
      </c>
      <c r="BI53" s="111">
        <f t="shared" si="1154"/>
        <v>0</v>
      </c>
      <c r="BJ53" s="111">
        <f t="shared" si="1154"/>
        <v>0</v>
      </c>
      <c r="BK53" s="111">
        <f t="shared" si="1154"/>
        <v>0</v>
      </c>
      <c r="BL53" s="111">
        <f t="shared" si="1154"/>
        <v>0</v>
      </c>
      <c r="BM53" s="111">
        <f t="shared" si="1154"/>
        <v>0</v>
      </c>
      <c r="BN53" s="111">
        <f t="shared" si="1154"/>
        <v>0</v>
      </c>
      <c r="BO53" s="111">
        <f t="shared" si="1154"/>
        <v>0</v>
      </c>
      <c r="BP53" s="111">
        <f t="shared" si="1154"/>
        <v>0</v>
      </c>
      <c r="BQ53" s="111">
        <f t="shared" si="1154"/>
        <v>0</v>
      </c>
      <c r="BR53" s="111">
        <f t="shared" si="1154"/>
        <v>0</v>
      </c>
      <c r="BS53" s="111">
        <f t="shared" ref="BS53:DV53" si="1155">BS19</f>
        <v>0</v>
      </c>
      <c r="BT53" s="111">
        <f t="shared" si="1155"/>
        <v>0</v>
      </c>
      <c r="BU53" s="111">
        <f t="shared" si="1155"/>
        <v>0</v>
      </c>
      <c r="BV53" s="111">
        <f t="shared" si="1155"/>
        <v>0</v>
      </c>
      <c r="BW53" s="111">
        <f t="shared" si="1155"/>
        <v>0</v>
      </c>
      <c r="BX53" s="111">
        <f t="shared" si="1155"/>
        <v>0</v>
      </c>
      <c r="BY53" s="111">
        <f t="shared" si="1155"/>
        <v>0</v>
      </c>
      <c r="BZ53" s="111">
        <f t="shared" si="1155"/>
        <v>0</v>
      </c>
      <c r="CA53" s="111">
        <f t="shared" si="1155"/>
        <v>0</v>
      </c>
      <c r="CB53" s="111">
        <f t="shared" si="1155"/>
        <v>0</v>
      </c>
      <c r="CC53" s="111">
        <f t="shared" si="1155"/>
        <v>0</v>
      </c>
      <c r="CD53" s="111">
        <f t="shared" si="1155"/>
        <v>0</v>
      </c>
      <c r="CE53" s="111">
        <f t="shared" si="1155"/>
        <v>0</v>
      </c>
      <c r="CF53" s="111">
        <f t="shared" si="1155"/>
        <v>0</v>
      </c>
      <c r="CG53" s="111">
        <f t="shared" si="1155"/>
        <v>0</v>
      </c>
      <c r="CH53" s="111">
        <f t="shared" si="1155"/>
        <v>0</v>
      </c>
      <c r="CI53" s="111">
        <f t="shared" si="1155"/>
        <v>0</v>
      </c>
      <c r="CJ53" s="111">
        <f t="shared" si="1155"/>
        <v>0</v>
      </c>
      <c r="CK53" s="111">
        <f t="shared" si="1155"/>
        <v>0</v>
      </c>
      <c r="CL53" s="111">
        <f t="shared" si="1155"/>
        <v>0</v>
      </c>
      <c r="CM53" s="111">
        <f t="shared" si="1155"/>
        <v>0</v>
      </c>
      <c r="CN53" s="111">
        <f t="shared" si="1155"/>
        <v>0</v>
      </c>
      <c r="CO53" s="111">
        <f t="shared" si="1155"/>
        <v>0</v>
      </c>
      <c r="CP53" s="111">
        <f t="shared" si="1155"/>
        <v>0</v>
      </c>
      <c r="CQ53" s="111">
        <f t="shared" si="1155"/>
        <v>0</v>
      </c>
      <c r="CR53" s="111">
        <f t="shared" si="1155"/>
        <v>0</v>
      </c>
      <c r="CS53" s="111">
        <f t="shared" si="1155"/>
        <v>0</v>
      </c>
      <c r="CT53" s="111">
        <f t="shared" si="1155"/>
        <v>0</v>
      </c>
      <c r="CU53" s="111">
        <f t="shared" si="1155"/>
        <v>0</v>
      </c>
      <c r="CV53" s="111">
        <f t="shared" si="1155"/>
        <v>0</v>
      </c>
      <c r="CW53" s="111">
        <f t="shared" si="1155"/>
        <v>0</v>
      </c>
      <c r="CX53" s="111">
        <f t="shared" si="1155"/>
        <v>0</v>
      </c>
      <c r="CY53" s="111">
        <f t="shared" si="1155"/>
        <v>0</v>
      </c>
      <c r="CZ53" s="111">
        <f t="shared" si="1155"/>
        <v>0</v>
      </c>
      <c r="DA53" s="111">
        <f t="shared" si="1155"/>
        <v>0</v>
      </c>
      <c r="DB53" s="111">
        <f t="shared" si="1155"/>
        <v>0</v>
      </c>
      <c r="DC53" s="111">
        <f t="shared" si="1155"/>
        <v>0</v>
      </c>
      <c r="DD53" s="111">
        <f t="shared" si="1155"/>
        <v>0</v>
      </c>
      <c r="DE53" s="111">
        <f t="shared" si="1155"/>
        <v>0</v>
      </c>
      <c r="DF53" s="111">
        <f t="shared" si="1155"/>
        <v>0</v>
      </c>
      <c r="DG53" s="111">
        <f t="shared" si="1155"/>
        <v>0</v>
      </c>
      <c r="DH53" s="111">
        <f t="shared" si="1155"/>
        <v>0</v>
      </c>
      <c r="DI53" s="111">
        <f t="shared" si="1155"/>
        <v>0</v>
      </c>
      <c r="DJ53" s="111">
        <f t="shared" si="1155"/>
        <v>0</v>
      </c>
      <c r="DK53" s="111">
        <f t="shared" si="1155"/>
        <v>0</v>
      </c>
      <c r="DL53" s="111">
        <f t="shared" si="1155"/>
        <v>0</v>
      </c>
      <c r="DM53" s="111">
        <f t="shared" si="1155"/>
        <v>0</v>
      </c>
      <c r="DN53" s="111">
        <f t="shared" si="1155"/>
        <v>0</v>
      </c>
      <c r="DO53" s="111">
        <f t="shared" si="1155"/>
        <v>0</v>
      </c>
      <c r="DP53" s="111">
        <f t="shared" si="1155"/>
        <v>0</v>
      </c>
      <c r="DQ53" s="111">
        <f t="shared" si="1155"/>
        <v>0</v>
      </c>
      <c r="DR53" s="111">
        <f t="shared" si="1155"/>
        <v>0</v>
      </c>
      <c r="DS53" s="111">
        <f t="shared" si="1155"/>
        <v>0</v>
      </c>
      <c r="DT53" s="111">
        <f t="shared" si="1155"/>
        <v>0</v>
      </c>
      <c r="DU53" s="111">
        <f t="shared" si="1155"/>
        <v>0</v>
      </c>
      <c r="DV53" s="487">
        <f t="shared" si="1155"/>
        <v>0</v>
      </c>
      <c r="DW53" s="721"/>
      <c r="DX53" s="109">
        <f>DX19</f>
        <v>75674.25</v>
      </c>
      <c r="DY53" s="110">
        <f t="shared" ref="DY53:EH53" si="1156">DY19</f>
        <v>0</v>
      </c>
      <c r="DZ53" s="110">
        <f t="shared" si="1156"/>
        <v>0</v>
      </c>
      <c r="EA53" s="110">
        <f t="shared" si="1156"/>
        <v>0</v>
      </c>
      <c r="EB53" s="111">
        <f t="shared" si="1156"/>
        <v>0</v>
      </c>
      <c r="EC53" s="111">
        <f t="shared" si="1156"/>
        <v>75674.25</v>
      </c>
      <c r="ED53" s="111">
        <f t="shared" si="1156"/>
        <v>0</v>
      </c>
      <c r="EE53" s="111">
        <f t="shared" si="1156"/>
        <v>0</v>
      </c>
      <c r="EF53" s="110">
        <f t="shared" si="487"/>
        <v>75674.25</v>
      </c>
      <c r="EG53" s="111">
        <f t="shared" si="1156"/>
        <v>0</v>
      </c>
      <c r="EH53" s="111">
        <f t="shared" si="1156"/>
        <v>0</v>
      </c>
      <c r="EI53" s="481">
        <f t="shared" si="490"/>
        <v>75674.25</v>
      </c>
      <c r="EJ53" s="30">
        <f t="shared" si="1153"/>
        <v>0</v>
      </c>
      <c r="EK53" s="110">
        <f t="shared" si="4"/>
        <v>0</v>
      </c>
      <c r="EL53" s="110">
        <f t="shared" si="5"/>
        <v>0</v>
      </c>
      <c r="EM53" s="110">
        <f t="shared" si="6"/>
        <v>0</v>
      </c>
      <c r="EN53" s="110">
        <f t="shared" si="7"/>
        <v>0</v>
      </c>
      <c r="EO53" s="110">
        <f t="shared" si="8"/>
        <v>0</v>
      </c>
      <c r="EP53" s="481">
        <f t="shared" si="1145"/>
        <v>75674.25</v>
      </c>
    </row>
    <row r="54" spans="1:146" outlineLevel="1" x14ac:dyDescent="0.3">
      <c r="B54" s="257" t="s">
        <v>199</v>
      </c>
      <c r="C54" s="108"/>
      <c r="D54" s="109"/>
      <c r="E54" s="481"/>
      <c r="F54" s="109">
        <f t="shared" ref="F54:F56" si="1157">F49</f>
        <v>0</v>
      </c>
      <c r="G54" s="110">
        <f t="shared" ref="G54:N54" si="1158">G49</f>
        <v>0</v>
      </c>
      <c r="H54" s="110">
        <f t="shared" si="1158"/>
        <v>0</v>
      </c>
      <c r="I54" s="110">
        <f t="shared" si="1158"/>
        <v>0</v>
      </c>
      <c r="J54" s="110">
        <f t="shared" si="1158"/>
        <v>0</v>
      </c>
      <c r="K54" s="110">
        <f t="shared" si="1158"/>
        <v>0</v>
      </c>
      <c r="L54" s="110">
        <f t="shared" si="1158"/>
        <v>0</v>
      </c>
      <c r="M54" s="110">
        <f t="shared" si="1158"/>
        <v>0</v>
      </c>
      <c r="N54" s="110">
        <f t="shared" si="1158"/>
        <v>0</v>
      </c>
      <c r="O54" s="110">
        <f t="shared" ref="O54:AO54" si="1159">O49</f>
        <v>0</v>
      </c>
      <c r="P54" s="110">
        <f t="shared" si="1159"/>
        <v>0</v>
      </c>
      <c r="Q54" s="110">
        <f t="shared" si="1159"/>
        <v>0</v>
      </c>
      <c r="R54" s="110">
        <f t="shared" si="1159"/>
        <v>0</v>
      </c>
      <c r="S54" s="110">
        <f t="shared" si="1159"/>
        <v>0</v>
      </c>
      <c r="T54" s="110">
        <f t="shared" si="1159"/>
        <v>0</v>
      </c>
      <c r="U54" s="110">
        <f t="shared" si="1159"/>
        <v>0</v>
      </c>
      <c r="V54" s="110">
        <f t="shared" si="1159"/>
        <v>0</v>
      </c>
      <c r="W54" s="110">
        <f t="shared" si="1159"/>
        <v>0</v>
      </c>
      <c r="X54" s="110">
        <f t="shared" si="1159"/>
        <v>0</v>
      </c>
      <c r="Y54" s="110">
        <f t="shared" si="1159"/>
        <v>0</v>
      </c>
      <c r="Z54" s="110">
        <f t="shared" si="1159"/>
        <v>0</v>
      </c>
      <c r="AA54" s="110">
        <f t="shared" si="1159"/>
        <v>0</v>
      </c>
      <c r="AB54" s="110">
        <f t="shared" si="1159"/>
        <v>0</v>
      </c>
      <c r="AC54" s="110">
        <f t="shared" si="1159"/>
        <v>0</v>
      </c>
      <c r="AD54" s="110">
        <f t="shared" si="1159"/>
        <v>0</v>
      </c>
      <c r="AE54" s="110">
        <f t="shared" si="1159"/>
        <v>0</v>
      </c>
      <c r="AF54" s="110">
        <f t="shared" si="1159"/>
        <v>0</v>
      </c>
      <c r="AG54" s="110">
        <f t="shared" si="1159"/>
        <v>0</v>
      </c>
      <c r="AH54" s="110">
        <f t="shared" si="1159"/>
        <v>0</v>
      </c>
      <c r="AI54" s="110">
        <f t="shared" si="1159"/>
        <v>0</v>
      </c>
      <c r="AJ54" s="110">
        <f t="shared" si="1159"/>
        <v>0</v>
      </c>
      <c r="AK54" s="110">
        <f t="shared" si="1159"/>
        <v>0</v>
      </c>
      <c r="AL54" s="110">
        <f t="shared" si="1159"/>
        <v>0</v>
      </c>
      <c r="AM54" s="110">
        <f t="shared" si="1159"/>
        <v>0</v>
      </c>
      <c r="AN54" s="110">
        <f t="shared" si="1159"/>
        <v>0</v>
      </c>
      <c r="AO54" s="110">
        <f t="shared" si="1159"/>
        <v>0</v>
      </c>
      <c r="AP54" s="110">
        <f t="shared" ref="AP54:BN54" si="1160">AP49</f>
        <v>0</v>
      </c>
      <c r="AQ54" s="111">
        <f t="shared" si="1160"/>
        <v>0</v>
      </c>
      <c r="AR54" s="111">
        <f t="shared" si="1160"/>
        <v>0</v>
      </c>
      <c r="AS54" s="111">
        <f t="shared" si="1160"/>
        <v>0</v>
      </c>
      <c r="AT54" s="111">
        <f t="shared" si="1160"/>
        <v>0</v>
      </c>
      <c r="AU54" s="111">
        <f t="shared" si="1160"/>
        <v>0</v>
      </c>
      <c r="AV54" s="111">
        <f t="shared" si="1160"/>
        <v>0</v>
      </c>
      <c r="AW54" s="111">
        <f t="shared" si="1160"/>
        <v>0</v>
      </c>
      <c r="AX54" s="111">
        <f t="shared" si="1160"/>
        <v>0</v>
      </c>
      <c r="AY54" s="111">
        <f t="shared" si="1160"/>
        <v>0</v>
      </c>
      <c r="AZ54" s="111">
        <f t="shared" si="1160"/>
        <v>0</v>
      </c>
      <c r="BA54" s="111">
        <f t="shared" si="1160"/>
        <v>0</v>
      </c>
      <c r="BB54" s="111">
        <f t="shared" si="1160"/>
        <v>0</v>
      </c>
      <c r="BC54" s="111">
        <f t="shared" si="1160"/>
        <v>0</v>
      </c>
      <c r="BD54" s="111">
        <f t="shared" si="1160"/>
        <v>0</v>
      </c>
      <c r="BE54" s="111">
        <f t="shared" si="1160"/>
        <v>0</v>
      </c>
      <c r="BF54" s="111">
        <f t="shared" si="1160"/>
        <v>0</v>
      </c>
      <c r="BG54" s="111">
        <f t="shared" si="1160"/>
        <v>0</v>
      </c>
      <c r="BH54" s="111">
        <f t="shared" si="1160"/>
        <v>0</v>
      </c>
      <c r="BI54" s="111">
        <f t="shared" si="1160"/>
        <v>0</v>
      </c>
      <c r="BJ54" s="111">
        <f t="shared" si="1160"/>
        <v>0</v>
      </c>
      <c r="BK54" s="111">
        <f t="shared" si="1160"/>
        <v>0</v>
      </c>
      <c r="BL54" s="111">
        <f t="shared" si="1160"/>
        <v>0</v>
      </c>
      <c r="BM54" s="111">
        <f t="shared" si="1160"/>
        <v>0</v>
      </c>
      <c r="BN54" s="111">
        <f t="shared" si="1160"/>
        <v>0</v>
      </c>
      <c r="BO54" s="111">
        <f t="shared" ref="BO54:DV54" si="1161">BO49</f>
        <v>0</v>
      </c>
      <c r="BP54" s="111">
        <f t="shared" si="1161"/>
        <v>0</v>
      </c>
      <c r="BQ54" s="111">
        <f t="shared" si="1161"/>
        <v>0</v>
      </c>
      <c r="BR54" s="111">
        <f t="shared" si="1161"/>
        <v>0</v>
      </c>
      <c r="BS54" s="111">
        <f t="shared" si="1161"/>
        <v>0</v>
      </c>
      <c r="BT54" s="111">
        <f t="shared" si="1161"/>
        <v>0</v>
      </c>
      <c r="BU54" s="111">
        <f t="shared" si="1161"/>
        <v>0</v>
      </c>
      <c r="BV54" s="111">
        <f t="shared" si="1161"/>
        <v>0</v>
      </c>
      <c r="BW54" s="111">
        <f t="shared" si="1161"/>
        <v>0</v>
      </c>
      <c r="BX54" s="111">
        <f t="shared" si="1161"/>
        <v>0</v>
      </c>
      <c r="BY54" s="111">
        <f t="shared" si="1161"/>
        <v>0</v>
      </c>
      <c r="BZ54" s="111">
        <f t="shared" si="1161"/>
        <v>0</v>
      </c>
      <c r="CA54" s="111">
        <f t="shared" si="1161"/>
        <v>0</v>
      </c>
      <c r="CB54" s="111">
        <f t="shared" si="1161"/>
        <v>0</v>
      </c>
      <c r="CC54" s="111">
        <f t="shared" si="1161"/>
        <v>0</v>
      </c>
      <c r="CD54" s="111">
        <f t="shared" si="1161"/>
        <v>0</v>
      </c>
      <c r="CE54" s="111">
        <f t="shared" si="1161"/>
        <v>0</v>
      </c>
      <c r="CF54" s="111">
        <f t="shared" si="1161"/>
        <v>0</v>
      </c>
      <c r="CG54" s="111">
        <f t="shared" si="1161"/>
        <v>0</v>
      </c>
      <c r="CH54" s="111">
        <f t="shared" si="1161"/>
        <v>0</v>
      </c>
      <c r="CI54" s="111">
        <f t="shared" si="1161"/>
        <v>0</v>
      </c>
      <c r="CJ54" s="111">
        <f t="shared" si="1161"/>
        <v>0</v>
      </c>
      <c r="CK54" s="111">
        <f t="shared" si="1161"/>
        <v>0</v>
      </c>
      <c r="CL54" s="111">
        <f t="shared" si="1161"/>
        <v>0</v>
      </c>
      <c r="CM54" s="111">
        <f t="shared" si="1161"/>
        <v>0</v>
      </c>
      <c r="CN54" s="111">
        <f t="shared" si="1161"/>
        <v>0</v>
      </c>
      <c r="CO54" s="111">
        <f t="shared" si="1161"/>
        <v>0</v>
      </c>
      <c r="CP54" s="111">
        <f t="shared" si="1161"/>
        <v>0</v>
      </c>
      <c r="CQ54" s="111">
        <f t="shared" si="1161"/>
        <v>0</v>
      </c>
      <c r="CR54" s="111">
        <f t="shared" si="1161"/>
        <v>0</v>
      </c>
      <c r="CS54" s="111">
        <f t="shared" si="1161"/>
        <v>0</v>
      </c>
      <c r="CT54" s="111">
        <f t="shared" si="1161"/>
        <v>0</v>
      </c>
      <c r="CU54" s="111">
        <f t="shared" si="1161"/>
        <v>0</v>
      </c>
      <c r="CV54" s="111">
        <f t="shared" si="1161"/>
        <v>0</v>
      </c>
      <c r="CW54" s="111">
        <f t="shared" si="1161"/>
        <v>0</v>
      </c>
      <c r="CX54" s="111">
        <f t="shared" si="1161"/>
        <v>0</v>
      </c>
      <c r="CY54" s="111">
        <f t="shared" si="1161"/>
        <v>0</v>
      </c>
      <c r="CZ54" s="111">
        <f t="shared" si="1161"/>
        <v>0</v>
      </c>
      <c r="DA54" s="111">
        <f t="shared" si="1161"/>
        <v>0</v>
      </c>
      <c r="DB54" s="111">
        <f t="shared" si="1161"/>
        <v>0</v>
      </c>
      <c r="DC54" s="111">
        <f t="shared" si="1161"/>
        <v>0</v>
      </c>
      <c r="DD54" s="111">
        <f t="shared" si="1161"/>
        <v>0</v>
      </c>
      <c r="DE54" s="111">
        <f t="shared" si="1161"/>
        <v>0</v>
      </c>
      <c r="DF54" s="111">
        <f t="shared" si="1161"/>
        <v>0</v>
      </c>
      <c r="DG54" s="111">
        <f t="shared" si="1161"/>
        <v>0</v>
      </c>
      <c r="DH54" s="111">
        <f t="shared" si="1161"/>
        <v>0</v>
      </c>
      <c r="DI54" s="111">
        <f t="shared" si="1161"/>
        <v>0</v>
      </c>
      <c r="DJ54" s="111">
        <f t="shared" si="1161"/>
        <v>0</v>
      </c>
      <c r="DK54" s="111">
        <f t="shared" si="1161"/>
        <v>0</v>
      </c>
      <c r="DL54" s="111">
        <f t="shared" si="1161"/>
        <v>0</v>
      </c>
      <c r="DM54" s="111">
        <f t="shared" si="1161"/>
        <v>0</v>
      </c>
      <c r="DN54" s="111">
        <f t="shared" si="1161"/>
        <v>0</v>
      </c>
      <c r="DO54" s="111">
        <f t="shared" si="1161"/>
        <v>0</v>
      </c>
      <c r="DP54" s="111">
        <f t="shared" si="1161"/>
        <v>0</v>
      </c>
      <c r="DQ54" s="111">
        <f t="shared" si="1161"/>
        <v>0</v>
      </c>
      <c r="DR54" s="111">
        <f t="shared" si="1161"/>
        <v>0</v>
      </c>
      <c r="DS54" s="111">
        <f t="shared" si="1161"/>
        <v>0</v>
      </c>
      <c r="DT54" s="111">
        <f t="shared" si="1161"/>
        <v>0</v>
      </c>
      <c r="DU54" s="111">
        <f t="shared" si="1161"/>
        <v>0</v>
      </c>
      <c r="DV54" s="487">
        <f t="shared" si="1161"/>
        <v>0</v>
      </c>
      <c r="DW54" s="721"/>
      <c r="DX54" s="109">
        <f t="shared" ref="DX54:DZ56" si="1162">DX49</f>
        <v>0</v>
      </c>
      <c r="DY54" s="110">
        <f t="shared" si="1162"/>
        <v>0</v>
      </c>
      <c r="DZ54" s="110">
        <f t="shared" si="1162"/>
        <v>0</v>
      </c>
      <c r="EA54" s="110">
        <f t="shared" ref="EA54:EB54" si="1163">EA49</f>
        <v>0</v>
      </c>
      <c r="EB54" s="111">
        <f t="shared" si="1163"/>
        <v>0</v>
      </c>
      <c r="EC54" s="111">
        <f t="shared" ref="EC54:EE54" si="1164">EC49</f>
        <v>0</v>
      </c>
      <c r="ED54" s="111">
        <f t="shared" si="1164"/>
        <v>0</v>
      </c>
      <c r="EE54" s="111">
        <f t="shared" si="1164"/>
        <v>0</v>
      </c>
      <c r="EF54" s="110">
        <f t="shared" si="487"/>
        <v>0</v>
      </c>
      <c r="EG54" s="111">
        <f t="shared" ref="EG54:EH54" si="1165">EG49</f>
        <v>0</v>
      </c>
      <c r="EH54" s="111">
        <f t="shared" si="1165"/>
        <v>0</v>
      </c>
      <c r="EI54" s="481">
        <f t="shared" si="490"/>
        <v>0</v>
      </c>
      <c r="EJ54" s="30">
        <f t="shared" si="1153"/>
        <v>0</v>
      </c>
      <c r="EK54" s="110">
        <f t="shared" si="4"/>
        <v>0</v>
      </c>
      <c r="EL54" s="110">
        <f t="shared" si="5"/>
        <v>0</v>
      </c>
      <c r="EM54" s="110">
        <f t="shared" si="6"/>
        <v>0</v>
      </c>
      <c r="EN54" s="110">
        <f t="shared" si="7"/>
        <v>0</v>
      </c>
      <c r="EO54" s="110">
        <f t="shared" si="8"/>
        <v>0</v>
      </c>
      <c r="EP54" s="481">
        <f t="shared" si="1145"/>
        <v>0</v>
      </c>
    </row>
    <row r="55" spans="1:146" outlineLevel="1" x14ac:dyDescent="0.3">
      <c r="B55" s="257" t="s">
        <v>200</v>
      </c>
      <c r="C55" s="108"/>
      <c r="D55" s="109"/>
      <c r="E55" s="481"/>
      <c r="F55" s="109">
        <f t="shared" si="1157"/>
        <v>0</v>
      </c>
      <c r="G55" s="110">
        <f t="shared" ref="G55:N55" si="1166">G50</f>
        <v>0</v>
      </c>
      <c r="H55" s="110">
        <f t="shared" si="1166"/>
        <v>0</v>
      </c>
      <c r="I55" s="110">
        <f t="shared" si="1166"/>
        <v>0</v>
      </c>
      <c r="J55" s="110">
        <f t="shared" si="1166"/>
        <v>0</v>
      </c>
      <c r="K55" s="110">
        <f t="shared" si="1166"/>
        <v>0</v>
      </c>
      <c r="L55" s="110">
        <f t="shared" si="1166"/>
        <v>0</v>
      </c>
      <c r="M55" s="110">
        <f t="shared" si="1166"/>
        <v>0</v>
      </c>
      <c r="N55" s="110">
        <f t="shared" si="1166"/>
        <v>0</v>
      </c>
      <c r="O55" s="110">
        <f t="shared" ref="O55:AO55" si="1167">O50</f>
        <v>0</v>
      </c>
      <c r="P55" s="110">
        <f t="shared" si="1167"/>
        <v>0</v>
      </c>
      <c r="Q55" s="110">
        <f t="shared" si="1167"/>
        <v>0</v>
      </c>
      <c r="R55" s="110">
        <f t="shared" si="1167"/>
        <v>0</v>
      </c>
      <c r="S55" s="110">
        <f t="shared" si="1167"/>
        <v>0</v>
      </c>
      <c r="T55" s="110">
        <f t="shared" si="1167"/>
        <v>0</v>
      </c>
      <c r="U55" s="110">
        <f t="shared" si="1167"/>
        <v>0</v>
      </c>
      <c r="V55" s="110">
        <f t="shared" si="1167"/>
        <v>0</v>
      </c>
      <c r="W55" s="110">
        <f t="shared" si="1167"/>
        <v>0</v>
      </c>
      <c r="X55" s="110">
        <f t="shared" si="1167"/>
        <v>0</v>
      </c>
      <c r="Y55" s="110">
        <f t="shared" si="1167"/>
        <v>0</v>
      </c>
      <c r="Z55" s="110">
        <f t="shared" si="1167"/>
        <v>0</v>
      </c>
      <c r="AA55" s="110">
        <f t="shared" si="1167"/>
        <v>0</v>
      </c>
      <c r="AB55" s="110">
        <f t="shared" si="1167"/>
        <v>0</v>
      </c>
      <c r="AC55" s="110">
        <f t="shared" si="1167"/>
        <v>0</v>
      </c>
      <c r="AD55" s="110">
        <f t="shared" si="1167"/>
        <v>0</v>
      </c>
      <c r="AE55" s="110">
        <f t="shared" si="1167"/>
        <v>0</v>
      </c>
      <c r="AF55" s="110">
        <f t="shared" si="1167"/>
        <v>0</v>
      </c>
      <c r="AG55" s="110">
        <f t="shared" si="1167"/>
        <v>0</v>
      </c>
      <c r="AH55" s="110">
        <f t="shared" si="1167"/>
        <v>0</v>
      </c>
      <c r="AI55" s="110">
        <f t="shared" si="1167"/>
        <v>0</v>
      </c>
      <c r="AJ55" s="110">
        <f t="shared" si="1167"/>
        <v>0</v>
      </c>
      <c r="AK55" s="110">
        <f t="shared" si="1167"/>
        <v>0</v>
      </c>
      <c r="AL55" s="110">
        <f t="shared" si="1167"/>
        <v>0</v>
      </c>
      <c r="AM55" s="110">
        <f t="shared" si="1167"/>
        <v>0</v>
      </c>
      <c r="AN55" s="110">
        <f t="shared" si="1167"/>
        <v>0</v>
      </c>
      <c r="AO55" s="110">
        <f t="shared" si="1167"/>
        <v>0</v>
      </c>
      <c r="AP55" s="110">
        <f t="shared" ref="AP55:BN55" si="1168">AP50</f>
        <v>0</v>
      </c>
      <c r="AQ55" s="111">
        <f t="shared" si="1168"/>
        <v>0</v>
      </c>
      <c r="AR55" s="111">
        <f t="shared" si="1168"/>
        <v>0</v>
      </c>
      <c r="AS55" s="111">
        <f t="shared" si="1168"/>
        <v>0</v>
      </c>
      <c r="AT55" s="111">
        <f t="shared" si="1168"/>
        <v>0</v>
      </c>
      <c r="AU55" s="111">
        <f t="shared" si="1168"/>
        <v>0</v>
      </c>
      <c r="AV55" s="111">
        <f t="shared" si="1168"/>
        <v>0</v>
      </c>
      <c r="AW55" s="111">
        <f t="shared" si="1168"/>
        <v>0</v>
      </c>
      <c r="AX55" s="111">
        <f t="shared" si="1168"/>
        <v>0</v>
      </c>
      <c r="AY55" s="111">
        <f t="shared" si="1168"/>
        <v>0</v>
      </c>
      <c r="AZ55" s="111">
        <f t="shared" si="1168"/>
        <v>0</v>
      </c>
      <c r="BA55" s="111">
        <f t="shared" si="1168"/>
        <v>0</v>
      </c>
      <c r="BB55" s="111">
        <f t="shared" si="1168"/>
        <v>0</v>
      </c>
      <c r="BC55" s="111">
        <f t="shared" si="1168"/>
        <v>0</v>
      </c>
      <c r="BD55" s="111">
        <f t="shared" si="1168"/>
        <v>0</v>
      </c>
      <c r="BE55" s="111">
        <f t="shared" si="1168"/>
        <v>0</v>
      </c>
      <c r="BF55" s="111">
        <f t="shared" si="1168"/>
        <v>0</v>
      </c>
      <c r="BG55" s="111">
        <f t="shared" si="1168"/>
        <v>0</v>
      </c>
      <c r="BH55" s="111">
        <f t="shared" si="1168"/>
        <v>0</v>
      </c>
      <c r="BI55" s="111">
        <f t="shared" si="1168"/>
        <v>0</v>
      </c>
      <c r="BJ55" s="111">
        <f t="shared" si="1168"/>
        <v>0</v>
      </c>
      <c r="BK55" s="111">
        <f t="shared" si="1168"/>
        <v>0</v>
      </c>
      <c r="BL55" s="111">
        <f t="shared" si="1168"/>
        <v>0</v>
      </c>
      <c r="BM55" s="111">
        <f t="shared" si="1168"/>
        <v>0</v>
      </c>
      <c r="BN55" s="111">
        <f t="shared" si="1168"/>
        <v>0</v>
      </c>
      <c r="BO55" s="111">
        <f t="shared" ref="BO55:DV55" si="1169">BO50</f>
        <v>0</v>
      </c>
      <c r="BP55" s="111">
        <f t="shared" si="1169"/>
        <v>0</v>
      </c>
      <c r="BQ55" s="111">
        <f t="shared" si="1169"/>
        <v>0</v>
      </c>
      <c r="BR55" s="111">
        <f t="shared" si="1169"/>
        <v>0</v>
      </c>
      <c r="BS55" s="111">
        <f t="shared" si="1169"/>
        <v>0</v>
      </c>
      <c r="BT55" s="111">
        <f t="shared" si="1169"/>
        <v>0</v>
      </c>
      <c r="BU55" s="111">
        <f t="shared" si="1169"/>
        <v>0</v>
      </c>
      <c r="BV55" s="111">
        <f t="shared" si="1169"/>
        <v>0</v>
      </c>
      <c r="BW55" s="111">
        <f t="shared" si="1169"/>
        <v>0</v>
      </c>
      <c r="BX55" s="111">
        <f t="shared" si="1169"/>
        <v>0</v>
      </c>
      <c r="BY55" s="111">
        <f t="shared" si="1169"/>
        <v>0</v>
      </c>
      <c r="BZ55" s="111">
        <f t="shared" si="1169"/>
        <v>0</v>
      </c>
      <c r="CA55" s="111">
        <f t="shared" si="1169"/>
        <v>0</v>
      </c>
      <c r="CB55" s="111">
        <f t="shared" si="1169"/>
        <v>0</v>
      </c>
      <c r="CC55" s="111">
        <f t="shared" si="1169"/>
        <v>0</v>
      </c>
      <c r="CD55" s="111">
        <f t="shared" si="1169"/>
        <v>0</v>
      </c>
      <c r="CE55" s="111">
        <f t="shared" si="1169"/>
        <v>0</v>
      </c>
      <c r="CF55" s="111">
        <f t="shared" si="1169"/>
        <v>0</v>
      </c>
      <c r="CG55" s="111">
        <f t="shared" si="1169"/>
        <v>0</v>
      </c>
      <c r="CH55" s="111">
        <f t="shared" si="1169"/>
        <v>0</v>
      </c>
      <c r="CI55" s="111">
        <f t="shared" si="1169"/>
        <v>0</v>
      </c>
      <c r="CJ55" s="111">
        <f t="shared" si="1169"/>
        <v>0</v>
      </c>
      <c r="CK55" s="111">
        <f t="shared" si="1169"/>
        <v>0</v>
      </c>
      <c r="CL55" s="111">
        <f t="shared" si="1169"/>
        <v>0</v>
      </c>
      <c r="CM55" s="111">
        <f t="shared" si="1169"/>
        <v>0</v>
      </c>
      <c r="CN55" s="111">
        <f t="shared" si="1169"/>
        <v>0</v>
      </c>
      <c r="CO55" s="111">
        <f t="shared" si="1169"/>
        <v>0</v>
      </c>
      <c r="CP55" s="111">
        <f t="shared" si="1169"/>
        <v>0</v>
      </c>
      <c r="CQ55" s="111">
        <f t="shared" si="1169"/>
        <v>0</v>
      </c>
      <c r="CR55" s="111">
        <f t="shared" si="1169"/>
        <v>0</v>
      </c>
      <c r="CS55" s="111">
        <f t="shared" si="1169"/>
        <v>0</v>
      </c>
      <c r="CT55" s="111">
        <f t="shared" si="1169"/>
        <v>0</v>
      </c>
      <c r="CU55" s="111">
        <f t="shared" si="1169"/>
        <v>0</v>
      </c>
      <c r="CV55" s="111">
        <f t="shared" si="1169"/>
        <v>0</v>
      </c>
      <c r="CW55" s="111">
        <f t="shared" si="1169"/>
        <v>0</v>
      </c>
      <c r="CX55" s="111">
        <f t="shared" si="1169"/>
        <v>0</v>
      </c>
      <c r="CY55" s="111">
        <f t="shared" si="1169"/>
        <v>0</v>
      </c>
      <c r="CZ55" s="111">
        <f t="shared" si="1169"/>
        <v>0</v>
      </c>
      <c r="DA55" s="111">
        <f t="shared" si="1169"/>
        <v>0</v>
      </c>
      <c r="DB55" s="111">
        <f t="shared" si="1169"/>
        <v>0</v>
      </c>
      <c r="DC55" s="111">
        <f t="shared" si="1169"/>
        <v>0</v>
      </c>
      <c r="DD55" s="111">
        <f t="shared" si="1169"/>
        <v>0</v>
      </c>
      <c r="DE55" s="111">
        <f t="shared" si="1169"/>
        <v>0</v>
      </c>
      <c r="DF55" s="111">
        <f t="shared" si="1169"/>
        <v>0</v>
      </c>
      <c r="DG55" s="111">
        <f t="shared" si="1169"/>
        <v>0</v>
      </c>
      <c r="DH55" s="111">
        <f t="shared" si="1169"/>
        <v>0</v>
      </c>
      <c r="DI55" s="111">
        <f t="shared" si="1169"/>
        <v>0</v>
      </c>
      <c r="DJ55" s="111">
        <f t="shared" si="1169"/>
        <v>0</v>
      </c>
      <c r="DK55" s="111">
        <f t="shared" si="1169"/>
        <v>0</v>
      </c>
      <c r="DL55" s="111">
        <f t="shared" si="1169"/>
        <v>0</v>
      </c>
      <c r="DM55" s="111">
        <f t="shared" si="1169"/>
        <v>0</v>
      </c>
      <c r="DN55" s="111">
        <f t="shared" si="1169"/>
        <v>0</v>
      </c>
      <c r="DO55" s="111">
        <f t="shared" si="1169"/>
        <v>0</v>
      </c>
      <c r="DP55" s="111">
        <f t="shared" si="1169"/>
        <v>0</v>
      </c>
      <c r="DQ55" s="111">
        <f t="shared" si="1169"/>
        <v>0</v>
      </c>
      <c r="DR55" s="111">
        <f t="shared" si="1169"/>
        <v>0</v>
      </c>
      <c r="DS55" s="111">
        <f t="shared" si="1169"/>
        <v>0</v>
      </c>
      <c r="DT55" s="111">
        <f t="shared" si="1169"/>
        <v>0</v>
      </c>
      <c r="DU55" s="111">
        <f t="shared" si="1169"/>
        <v>0</v>
      </c>
      <c r="DV55" s="487">
        <f t="shared" si="1169"/>
        <v>0</v>
      </c>
      <c r="DW55" s="721"/>
      <c r="DX55" s="109">
        <f t="shared" si="1162"/>
        <v>0</v>
      </c>
      <c r="DY55" s="110">
        <f t="shared" si="1162"/>
        <v>0</v>
      </c>
      <c r="DZ55" s="110">
        <f t="shared" si="1162"/>
        <v>0</v>
      </c>
      <c r="EA55" s="110">
        <f t="shared" ref="EA55:EB55" si="1170">EA50</f>
        <v>0</v>
      </c>
      <c r="EB55" s="111">
        <f t="shared" si="1170"/>
        <v>0</v>
      </c>
      <c r="EC55" s="111">
        <f t="shared" ref="EC55:EE55" si="1171">EC50</f>
        <v>0</v>
      </c>
      <c r="ED55" s="111">
        <f t="shared" si="1171"/>
        <v>0</v>
      </c>
      <c r="EE55" s="111">
        <f t="shared" si="1171"/>
        <v>0</v>
      </c>
      <c r="EF55" s="110">
        <f t="shared" si="487"/>
        <v>0</v>
      </c>
      <c r="EG55" s="111">
        <f t="shared" ref="EG55:EH55" si="1172">EG50</f>
        <v>0</v>
      </c>
      <c r="EH55" s="111">
        <f t="shared" si="1172"/>
        <v>0</v>
      </c>
      <c r="EI55" s="481">
        <f t="shared" si="490"/>
        <v>0</v>
      </c>
      <c r="EJ55" s="30">
        <f t="shared" si="1153"/>
        <v>0</v>
      </c>
      <c r="EK55" s="110">
        <f t="shared" si="4"/>
        <v>0</v>
      </c>
      <c r="EL55" s="110">
        <f t="shared" si="5"/>
        <v>0</v>
      </c>
      <c r="EM55" s="110">
        <f t="shared" si="6"/>
        <v>0</v>
      </c>
      <c r="EN55" s="110">
        <f t="shared" si="7"/>
        <v>0</v>
      </c>
      <c r="EO55" s="110">
        <f t="shared" si="8"/>
        <v>0</v>
      </c>
      <c r="EP55" s="481">
        <f t="shared" si="1145"/>
        <v>0</v>
      </c>
    </row>
    <row r="56" spans="1:146" outlineLevel="1" x14ac:dyDescent="0.3">
      <c r="B56" s="257" t="s">
        <v>201</v>
      </c>
      <c r="C56" s="108"/>
      <c r="D56" s="109"/>
      <c r="E56" s="481"/>
      <c r="F56" s="109">
        <f t="shared" si="1157"/>
        <v>0</v>
      </c>
      <c r="G56" s="110">
        <f t="shared" ref="G56:N56" si="1173">G51</f>
        <v>0</v>
      </c>
      <c r="H56" s="110">
        <f t="shared" si="1173"/>
        <v>0</v>
      </c>
      <c r="I56" s="110">
        <f t="shared" si="1173"/>
        <v>0</v>
      </c>
      <c r="J56" s="110">
        <f t="shared" si="1173"/>
        <v>0</v>
      </c>
      <c r="K56" s="110">
        <f t="shared" si="1173"/>
        <v>0</v>
      </c>
      <c r="L56" s="110">
        <f t="shared" si="1173"/>
        <v>0</v>
      </c>
      <c r="M56" s="110">
        <f t="shared" si="1173"/>
        <v>0</v>
      </c>
      <c r="N56" s="110">
        <f t="shared" si="1173"/>
        <v>0</v>
      </c>
      <c r="O56" s="110">
        <f t="shared" ref="O56:AO56" si="1174">O51</f>
        <v>0</v>
      </c>
      <c r="P56" s="110">
        <f t="shared" si="1174"/>
        <v>0</v>
      </c>
      <c r="Q56" s="110">
        <f t="shared" si="1174"/>
        <v>0</v>
      </c>
      <c r="R56" s="110">
        <f t="shared" si="1174"/>
        <v>0</v>
      </c>
      <c r="S56" s="110">
        <f t="shared" si="1174"/>
        <v>0</v>
      </c>
      <c r="T56" s="110">
        <f t="shared" si="1174"/>
        <v>0</v>
      </c>
      <c r="U56" s="110">
        <f t="shared" si="1174"/>
        <v>0</v>
      </c>
      <c r="V56" s="110">
        <f t="shared" si="1174"/>
        <v>0</v>
      </c>
      <c r="W56" s="110">
        <f t="shared" si="1174"/>
        <v>0</v>
      </c>
      <c r="X56" s="110">
        <f t="shared" si="1174"/>
        <v>0</v>
      </c>
      <c r="Y56" s="110">
        <f t="shared" si="1174"/>
        <v>0</v>
      </c>
      <c r="Z56" s="110">
        <f t="shared" si="1174"/>
        <v>0</v>
      </c>
      <c r="AA56" s="110">
        <f t="shared" si="1174"/>
        <v>0</v>
      </c>
      <c r="AB56" s="110">
        <f t="shared" si="1174"/>
        <v>0</v>
      </c>
      <c r="AC56" s="110">
        <f t="shared" si="1174"/>
        <v>0</v>
      </c>
      <c r="AD56" s="110">
        <f t="shared" si="1174"/>
        <v>0</v>
      </c>
      <c r="AE56" s="110">
        <f t="shared" si="1174"/>
        <v>0</v>
      </c>
      <c r="AF56" s="110">
        <f t="shared" si="1174"/>
        <v>0</v>
      </c>
      <c r="AG56" s="110">
        <f t="shared" si="1174"/>
        <v>0</v>
      </c>
      <c r="AH56" s="110">
        <f t="shared" si="1174"/>
        <v>0</v>
      </c>
      <c r="AI56" s="110">
        <f t="shared" si="1174"/>
        <v>0</v>
      </c>
      <c r="AJ56" s="110">
        <f t="shared" si="1174"/>
        <v>0</v>
      </c>
      <c r="AK56" s="110">
        <f t="shared" si="1174"/>
        <v>0</v>
      </c>
      <c r="AL56" s="110">
        <f t="shared" si="1174"/>
        <v>0</v>
      </c>
      <c r="AM56" s="110">
        <f t="shared" si="1174"/>
        <v>0</v>
      </c>
      <c r="AN56" s="110">
        <f t="shared" si="1174"/>
        <v>0</v>
      </c>
      <c r="AO56" s="110">
        <f t="shared" si="1174"/>
        <v>0</v>
      </c>
      <c r="AP56" s="110">
        <f t="shared" ref="AP56:BN56" si="1175">AP51</f>
        <v>0</v>
      </c>
      <c r="AQ56" s="111">
        <f t="shared" si="1175"/>
        <v>0</v>
      </c>
      <c r="AR56" s="111">
        <f t="shared" si="1175"/>
        <v>0</v>
      </c>
      <c r="AS56" s="111">
        <f t="shared" si="1175"/>
        <v>0</v>
      </c>
      <c r="AT56" s="111">
        <f t="shared" si="1175"/>
        <v>0</v>
      </c>
      <c r="AU56" s="111">
        <f t="shared" si="1175"/>
        <v>0</v>
      </c>
      <c r="AV56" s="111">
        <f t="shared" si="1175"/>
        <v>0</v>
      </c>
      <c r="AW56" s="111">
        <f t="shared" si="1175"/>
        <v>0</v>
      </c>
      <c r="AX56" s="111">
        <f t="shared" si="1175"/>
        <v>0</v>
      </c>
      <c r="AY56" s="111">
        <f t="shared" si="1175"/>
        <v>0</v>
      </c>
      <c r="AZ56" s="111">
        <f t="shared" si="1175"/>
        <v>0</v>
      </c>
      <c r="BA56" s="111">
        <f t="shared" si="1175"/>
        <v>0</v>
      </c>
      <c r="BB56" s="111">
        <f t="shared" si="1175"/>
        <v>0</v>
      </c>
      <c r="BC56" s="111">
        <f t="shared" si="1175"/>
        <v>0</v>
      </c>
      <c r="BD56" s="111">
        <f t="shared" si="1175"/>
        <v>0</v>
      </c>
      <c r="BE56" s="111">
        <f t="shared" si="1175"/>
        <v>0</v>
      </c>
      <c r="BF56" s="111">
        <f t="shared" si="1175"/>
        <v>0</v>
      </c>
      <c r="BG56" s="111">
        <f t="shared" si="1175"/>
        <v>0</v>
      </c>
      <c r="BH56" s="111">
        <f t="shared" si="1175"/>
        <v>0</v>
      </c>
      <c r="BI56" s="111">
        <f t="shared" si="1175"/>
        <v>0</v>
      </c>
      <c r="BJ56" s="111">
        <f t="shared" si="1175"/>
        <v>0</v>
      </c>
      <c r="BK56" s="111">
        <f t="shared" si="1175"/>
        <v>0</v>
      </c>
      <c r="BL56" s="111">
        <f t="shared" si="1175"/>
        <v>0</v>
      </c>
      <c r="BM56" s="111">
        <f t="shared" si="1175"/>
        <v>0</v>
      </c>
      <c r="BN56" s="111">
        <f t="shared" si="1175"/>
        <v>0</v>
      </c>
      <c r="BO56" s="111">
        <f t="shared" ref="BO56:DV56" si="1176">BO51</f>
        <v>0</v>
      </c>
      <c r="BP56" s="111">
        <f t="shared" si="1176"/>
        <v>0</v>
      </c>
      <c r="BQ56" s="111">
        <f t="shared" si="1176"/>
        <v>0</v>
      </c>
      <c r="BR56" s="111">
        <f t="shared" si="1176"/>
        <v>0</v>
      </c>
      <c r="BS56" s="111">
        <f t="shared" si="1176"/>
        <v>0</v>
      </c>
      <c r="BT56" s="111">
        <f t="shared" si="1176"/>
        <v>0</v>
      </c>
      <c r="BU56" s="111">
        <f t="shared" si="1176"/>
        <v>0</v>
      </c>
      <c r="BV56" s="111">
        <f t="shared" si="1176"/>
        <v>0</v>
      </c>
      <c r="BW56" s="111">
        <f t="shared" si="1176"/>
        <v>0</v>
      </c>
      <c r="BX56" s="111">
        <f t="shared" si="1176"/>
        <v>0</v>
      </c>
      <c r="BY56" s="111">
        <f t="shared" si="1176"/>
        <v>0</v>
      </c>
      <c r="BZ56" s="111">
        <f t="shared" si="1176"/>
        <v>0</v>
      </c>
      <c r="CA56" s="111">
        <f t="shared" si="1176"/>
        <v>0</v>
      </c>
      <c r="CB56" s="111">
        <f t="shared" si="1176"/>
        <v>0</v>
      </c>
      <c r="CC56" s="111">
        <f t="shared" si="1176"/>
        <v>0</v>
      </c>
      <c r="CD56" s="111">
        <f t="shared" si="1176"/>
        <v>0</v>
      </c>
      <c r="CE56" s="111">
        <f t="shared" si="1176"/>
        <v>0</v>
      </c>
      <c r="CF56" s="111">
        <f t="shared" si="1176"/>
        <v>0</v>
      </c>
      <c r="CG56" s="111">
        <f t="shared" si="1176"/>
        <v>0</v>
      </c>
      <c r="CH56" s="111">
        <f t="shared" si="1176"/>
        <v>0</v>
      </c>
      <c r="CI56" s="111">
        <f t="shared" si="1176"/>
        <v>0</v>
      </c>
      <c r="CJ56" s="111">
        <f t="shared" si="1176"/>
        <v>0</v>
      </c>
      <c r="CK56" s="111">
        <f t="shared" si="1176"/>
        <v>0</v>
      </c>
      <c r="CL56" s="111">
        <f t="shared" si="1176"/>
        <v>0</v>
      </c>
      <c r="CM56" s="111">
        <f t="shared" si="1176"/>
        <v>0</v>
      </c>
      <c r="CN56" s="111">
        <f t="shared" si="1176"/>
        <v>0</v>
      </c>
      <c r="CO56" s="111">
        <f t="shared" si="1176"/>
        <v>0</v>
      </c>
      <c r="CP56" s="111">
        <f t="shared" si="1176"/>
        <v>0</v>
      </c>
      <c r="CQ56" s="111">
        <f t="shared" si="1176"/>
        <v>0</v>
      </c>
      <c r="CR56" s="111">
        <f t="shared" si="1176"/>
        <v>0</v>
      </c>
      <c r="CS56" s="111">
        <f t="shared" si="1176"/>
        <v>0</v>
      </c>
      <c r="CT56" s="111">
        <f t="shared" si="1176"/>
        <v>0</v>
      </c>
      <c r="CU56" s="111">
        <f t="shared" si="1176"/>
        <v>0</v>
      </c>
      <c r="CV56" s="111">
        <f t="shared" si="1176"/>
        <v>0</v>
      </c>
      <c r="CW56" s="111">
        <f t="shared" si="1176"/>
        <v>0</v>
      </c>
      <c r="CX56" s="111">
        <f t="shared" si="1176"/>
        <v>0</v>
      </c>
      <c r="CY56" s="111">
        <f t="shared" si="1176"/>
        <v>0</v>
      </c>
      <c r="CZ56" s="111">
        <f t="shared" si="1176"/>
        <v>0</v>
      </c>
      <c r="DA56" s="111">
        <f t="shared" si="1176"/>
        <v>0</v>
      </c>
      <c r="DB56" s="111">
        <f t="shared" si="1176"/>
        <v>0</v>
      </c>
      <c r="DC56" s="111">
        <f t="shared" si="1176"/>
        <v>0</v>
      </c>
      <c r="DD56" s="111">
        <f t="shared" si="1176"/>
        <v>0</v>
      </c>
      <c r="DE56" s="111">
        <f t="shared" si="1176"/>
        <v>0</v>
      </c>
      <c r="DF56" s="111">
        <f t="shared" si="1176"/>
        <v>0</v>
      </c>
      <c r="DG56" s="111">
        <f t="shared" si="1176"/>
        <v>0</v>
      </c>
      <c r="DH56" s="111">
        <f t="shared" si="1176"/>
        <v>0</v>
      </c>
      <c r="DI56" s="111">
        <f t="shared" si="1176"/>
        <v>0</v>
      </c>
      <c r="DJ56" s="111">
        <f t="shared" si="1176"/>
        <v>0</v>
      </c>
      <c r="DK56" s="111">
        <f t="shared" si="1176"/>
        <v>0</v>
      </c>
      <c r="DL56" s="111">
        <f t="shared" si="1176"/>
        <v>0</v>
      </c>
      <c r="DM56" s="111">
        <f t="shared" si="1176"/>
        <v>0</v>
      </c>
      <c r="DN56" s="111">
        <f t="shared" si="1176"/>
        <v>0</v>
      </c>
      <c r="DO56" s="111">
        <f t="shared" si="1176"/>
        <v>0</v>
      </c>
      <c r="DP56" s="111">
        <f t="shared" si="1176"/>
        <v>0</v>
      </c>
      <c r="DQ56" s="111">
        <f t="shared" si="1176"/>
        <v>0</v>
      </c>
      <c r="DR56" s="111">
        <f t="shared" si="1176"/>
        <v>0</v>
      </c>
      <c r="DS56" s="111">
        <f t="shared" si="1176"/>
        <v>0</v>
      </c>
      <c r="DT56" s="111">
        <f t="shared" si="1176"/>
        <v>0</v>
      </c>
      <c r="DU56" s="111">
        <f t="shared" si="1176"/>
        <v>0</v>
      </c>
      <c r="DV56" s="487">
        <f t="shared" si="1176"/>
        <v>0</v>
      </c>
      <c r="DW56" s="721"/>
      <c r="DX56" s="109">
        <f t="shared" si="1162"/>
        <v>0</v>
      </c>
      <c r="DY56" s="110">
        <f t="shared" si="1162"/>
        <v>0</v>
      </c>
      <c r="DZ56" s="110">
        <f t="shared" si="1162"/>
        <v>0</v>
      </c>
      <c r="EA56" s="110">
        <f t="shared" ref="EA56:EB56" si="1177">EA51</f>
        <v>0</v>
      </c>
      <c r="EB56" s="111">
        <f t="shared" si="1177"/>
        <v>0</v>
      </c>
      <c r="EC56" s="111">
        <f t="shared" ref="EC56:EE56" si="1178">EC51</f>
        <v>0</v>
      </c>
      <c r="ED56" s="111">
        <f t="shared" si="1178"/>
        <v>0</v>
      </c>
      <c r="EE56" s="111">
        <f t="shared" si="1178"/>
        <v>0</v>
      </c>
      <c r="EF56" s="110">
        <f t="shared" si="487"/>
        <v>0</v>
      </c>
      <c r="EG56" s="111">
        <f t="shared" ref="EG56:EH56" si="1179">EG51</f>
        <v>0</v>
      </c>
      <c r="EH56" s="111">
        <f t="shared" si="1179"/>
        <v>0</v>
      </c>
      <c r="EI56" s="481">
        <f t="shared" si="490"/>
        <v>0</v>
      </c>
      <c r="EJ56" s="30">
        <f t="shared" si="1153"/>
        <v>0</v>
      </c>
      <c r="EK56" s="110">
        <f t="shared" si="4"/>
        <v>0</v>
      </c>
      <c r="EL56" s="110">
        <f t="shared" si="5"/>
        <v>0</v>
      </c>
      <c r="EM56" s="110">
        <f t="shared" si="6"/>
        <v>0</v>
      </c>
      <c r="EN56" s="110">
        <f t="shared" si="7"/>
        <v>0</v>
      </c>
      <c r="EO56" s="110">
        <f t="shared" si="8"/>
        <v>0</v>
      </c>
      <c r="EP56" s="481">
        <f t="shared" si="1145"/>
        <v>0</v>
      </c>
    </row>
    <row r="57" spans="1:146" ht="13.5" outlineLevel="1" thickBot="1" x14ac:dyDescent="0.35">
      <c r="B57" s="258" t="s">
        <v>202</v>
      </c>
      <c r="C57" s="112"/>
      <c r="D57" s="113"/>
      <c r="E57" s="482"/>
      <c r="F57" s="113">
        <f t="shared" ref="F57" si="1180">SUM(F52:F56)</f>
        <v>75674.25</v>
      </c>
      <c r="G57" s="114">
        <f t="shared" ref="G57:N57" si="1181">SUM(G52:G56)</f>
        <v>90900</v>
      </c>
      <c r="H57" s="114">
        <f t="shared" si="1181"/>
        <v>100639.28571428572</v>
      </c>
      <c r="I57" s="114">
        <f t="shared" si="1181"/>
        <v>97392.857142857145</v>
      </c>
      <c r="J57" s="114">
        <f t="shared" si="1181"/>
        <v>100639.28571428572</v>
      </c>
      <c r="K57" s="114">
        <f t="shared" si="1181"/>
        <v>97392.857142857145</v>
      </c>
      <c r="L57" s="114">
        <f t="shared" si="1181"/>
        <v>100639.28571428572</v>
      </c>
      <c r="M57" s="114">
        <f t="shared" si="1181"/>
        <v>100639.28571428572</v>
      </c>
      <c r="N57" s="114">
        <f t="shared" si="1181"/>
        <v>97392.857142857145</v>
      </c>
      <c r="O57" s="114">
        <f t="shared" ref="O57:AO57" si="1182">SUM(O52:O56)</f>
        <v>100639.28571428572</v>
      </c>
      <c r="P57" s="114">
        <f t="shared" si="1182"/>
        <v>97392.857142857145</v>
      </c>
      <c r="Q57" s="114">
        <f t="shared" si="1182"/>
        <v>100639.28571428572</v>
      </c>
      <c r="R57" s="114">
        <f t="shared" si="1182"/>
        <v>100639.28571428572</v>
      </c>
      <c r="S57" s="114">
        <f t="shared" si="1182"/>
        <v>98853.750000000015</v>
      </c>
      <c r="T57" s="114">
        <f t="shared" si="1182"/>
        <v>105671.25000000001</v>
      </c>
      <c r="U57" s="114">
        <f t="shared" si="1182"/>
        <v>102262.5</v>
      </c>
      <c r="V57" s="114">
        <f t="shared" si="1182"/>
        <v>105671.25000000001</v>
      </c>
      <c r="W57" s="114">
        <f t="shared" si="1182"/>
        <v>102262.5</v>
      </c>
      <c r="X57" s="114">
        <f t="shared" si="1182"/>
        <v>105671.25000000001</v>
      </c>
      <c r="Y57" s="114">
        <f t="shared" si="1182"/>
        <v>105671.25000000001</v>
      </c>
      <c r="Z57" s="114">
        <f t="shared" si="1182"/>
        <v>102262.5</v>
      </c>
      <c r="AA57" s="114">
        <f t="shared" si="1182"/>
        <v>105671.25000000001</v>
      </c>
      <c r="AB57" s="114">
        <f t="shared" si="1182"/>
        <v>102262.5</v>
      </c>
      <c r="AC57" s="114">
        <f t="shared" si="1182"/>
        <v>105671.25000000001</v>
      </c>
      <c r="AD57" s="114">
        <f t="shared" si="1182"/>
        <v>105671.25000000001</v>
      </c>
      <c r="AE57" s="114">
        <f t="shared" si="1182"/>
        <v>100217.25000000001</v>
      </c>
      <c r="AF57" s="114">
        <f t="shared" si="1182"/>
        <v>110954.81250000003</v>
      </c>
      <c r="AG57" s="114">
        <f t="shared" si="1182"/>
        <v>107375.62500000001</v>
      </c>
      <c r="AH57" s="114">
        <f t="shared" si="1182"/>
        <v>110954.81250000003</v>
      </c>
      <c r="AI57" s="114">
        <f t="shared" si="1182"/>
        <v>107375.62500000001</v>
      </c>
      <c r="AJ57" s="114">
        <f t="shared" si="1182"/>
        <v>110954.81250000003</v>
      </c>
      <c r="AK57" s="114">
        <f t="shared" si="1182"/>
        <v>110954.81250000003</v>
      </c>
      <c r="AL57" s="114">
        <f t="shared" si="1182"/>
        <v>107375.62500000001</v>
      </c>
      <c r="AM57" s="114">
        <f t="shared" si="1182"/>
        <v>110954.81250000003</v>
      </c>
      <c r="AN57" s="114">
        <f t="shared" si="1182"/>
        <v>107375.62500000001</v>
      </c>
      <c r="AO57" s="114">
        <f t="shared" si="1182"/>
        <v>110954.81250000003</v>
      </c>
      <c r="AP57" s="114">
        <f t="shared" ref="AP57:BN57" si="1183">SUM(AP52:AP56)</f>
        <v>110954.81250000003</v>
      </c>
      <c r="AQ57" s="115">
        <f t="shared" si="1183"/>
        <v>105228.11250000002</v>
      </c>
      <c r="AR57" s="115">
        <f t="shared" si="1183"/>
        <v>116502.55312500003</v>
      </c>
      <c r="AS57" s="115">
        <f t="shared" si="1183"/>
        <v>112744.40625000003</v>
      </c>
      <c r="AT57" s="115">
        <f t="shared" si="1183"/>
        <v>116502.55312500003</v>
      </c>
      <c r="AU57" s="115">
        <f t="shared" si="1183"/>
        <v>112744.40625000003</v>
      </c>
      <c r="AV57" s="115">
        <f t="shared" si="1183"/>
        <v>116502.55312500003</v>
      </c>
      <c r="AW57" s="115">
        <f t="shared" si="1183"/>
        <v>116502.55312500003</v>
      </c>
      <c r="AX57" s="115">
        <f t="shared" si="1183"/>
        <v>112744.40625000003</v>
      </c>
      <c r="AY57" s="115">
        <f t="shared" si="1183"/>
        <v>116502.55312500003</v>
      </c>
      <c r="AZ57" s="115">
        <f t="shared" si="1183"/>
        <v>112744.40625000003</v>
      </c>
      <c r="BA57" s="115">
        <f t="shared" si="1183"/>
        <v>116502.55312500003</v>
      </c>
      <c r="BB57" s="115">
        <f t="shared" si="1183"/>
        <v>116502.55312500003</v>
      </c>
      <c r="BC57" s="115">
        <f t="shared" si="1183"/>
        <v>110489.51812500002</v>
      </c>
      <c r="BD57" s="115">
        <f t="shared" si="1183"/>
        <v>122327.68078125005</v>
      </c>
      <c r="BE57" s="115">
        <f t="shared" si="1183"/>
        <v>118381.62656250002</v>
      </c>
      <c r="BF57" s="115">
        <f t="shared" si="1183"/>
        <v>122327.68078125005</v>
      </c>
      <c r="BG57" s="115">
        <f t="shared" si="1183"/>
        <v>118381.62656250002</v>
      </c>
      <c r="BH57" s="115">
        <f t="shared" si="1183"/>
        <v>122327.68078125005</v>
      </c>
      <c r="BI57" s="115">
        <f t="shared" si="1183"/>
        <v>122327.68078125005</v>
      </c>
      <c r="BJ57" s="115">
        <f t="shared" si="1183"/>
        <v>118381.62656250002</v>
      </c>
      <c r="BK57" s="115">
        <f t="shared" si="1183"/>
        <v>122327.68078125005</v>
      </c>
      <c r="BL57" s="115">
        <f t="shared" si="1183"/>
        <v>118381.62656250002</v>
      </c>
      <c r="BM57" s="115">
        <f t="shared" si="1183"/>
        <v>122327.68078125005</v>
      </c>
      <c r="BN57" s="115">
        <f t="shared" si="1183"/>
        <v>122327.68078125005</v>
      </c>
      <c r="BO57" s="115">
        <f t="shared" ref="BO57:DV57" si="1184">SUM(BO52:BO56)</f>
        <v>120157.35096093753</v>
      </c>
      <c r="BP57" s="115">
        <f t="shared" si="1184"/>
        <v>128444.06482031255</v>
      </c>
      <c r="BQ57" s="115">
        <f t="shared" si="1184"/>
        <v>124300.70789062502</v>
      </c>
      <c r="BR57" s="115">
        <f t="shared" si="1184"/>
        <v>128444.06482031255</v>
      </c>
      <c r="BS57" s="115">
        <f t="shared" si="1184"/>
        <v>124300.70789062502</v>
      </c>
      <c r="BT57" s="115">
        <f t="shared" si="1184"/>
        <v>128444.06482031255</v>
      </c>
      <c r="BU57" s="115">
        <f t="shared" si="1184"/>
        <v>128444.06482031255</v>
      </c>
      <c r="BV57" s="115">
        <f t="shared" si="1184"/>
        <v>124300.70789062502</v>
      </c>
      <c r="BW57" s="115">
        <f t="shared" si="1184"/>
        <v>128444.06482031255</v>
      </c>
      <c r="BX57" s="115">
        <f t="shared" si="1184"/>
        <v>124300.70789062502</v>
      </c>
      <c r="BY57" s="115">
        <f t="shared" si="1184"/>
        <v>128444.06482031255</v>
      </c>
      <c r="BZ57" s="115">
        <f t="shared" si="1184"/>
        <v>128444.06482031255</v>
      </c>
      <c r="CA57" s="115">
        <f t="shared" si="1184"/>
        <v>121814.69373281254</v>
      </c>
      <c r="CB57" s="115">
        <f t="shared" si="1184"/>
        <v>134866.26806132818</v>
      </c>
      <c r="CC57" s="115">
        <f t="shared" si="1184"/>
        <v>130515.74328515629</v>
      </c>
      <c r="CD57" s="115">
        <f t="shared" si="1184"/>
        <v>134866.26806132818</v>
      </c>
      <c r="CE57" s="115">
        <f t="shared" si="1184"/>
        <v>130515.74328515629</v>
      </c>
      <c r="CF57" s="115">
        <f t="shared" si="1184"/>
        <v>134866.26806132818</v>
      </c>
      <c r="CG57" s="115">
        <f t="shared" si="1184"/>
        <v>134866.26806132818</v>
      </c>
      <c r="CH57" s="115">
        <f t="shared" si="1184"/>
        <v>130515.74328515629</v>
      </c>
      <c r="CI57" s="115">
        <f t="shared" si="1184"/>
        <v>134866.26806132818</v>
      </c>
      <c r="CJ57" s="115">
        <f t="shared" si="1184"/>
        <v>130515.74328515629</v>
      </c>
      <c r="CK57" s="115">
        <f t="shared" si="1184"/>
        <v>134866.26806132818</v>
      </c>
      <c r="CL57" s="115">
        <f t="shared" si="1184"/>
        <v>134866.26806132818</v>
      </c>
      <c r="CM57" s="115">
        <f t="shared" si="1184"/>
        <v>127905.42841945316</v>
      </c>
      <c r="CN57" s="115">
        <f t="shared" si="1184"/>
        <v>141609.58146439461</v>
      </c>
      <c r="CO57" s="115">
        <f t="shared" si="1184"/>
        <v>137041.5304494141</v>
      </c>
      <c r="CP57" s="115">
        <f t="shared" si="1184"/>
        <v>141609.58146439461</v>
      </c>
      <c r="CQ57" s="115">
        <f t="shared" si="1184"/>
        <v>137041.5304494141</v>
      </c>
      <c r="CR57" s="115">
        <f t="shared" si="1184"/>
        <v>141609.58146439461</v>
      </c>
      <c r="CS57" s="115">
        <f t="shared" si="1184"/>
        <v>141609.58146439461</v>
      </c>
      <c r="CT57" s="115">
        <f t="shared" si="1184"/>
        <v>137041.5304494141</v>
      </c>
      <c r="CU57" s="115">
        <f t="shared" si="1184"/>
        <v>141609.58146439461</v>
      </c>
      <c r="CV57" s="115">
        <f t="shared" si="1184"/>
        <v>137041.5304494141</v>
      </c>
      <c r="CW57" s="115">
        <f t="shared" si="1184"/>
        <v>141609.58146439461</v>
      </c>
      <c r="CX57" s="115">
        <f t="shared" si="1184"/>
        <v>141609.58146439461</v>
      </c>
      <c r="CY57" s="115">
        <f t="shared" si="1184"/>
        <v>134300.69984042583</v>
      </c>
      <c r="CZ57" s="115">
        <f t="shared" si="1184"/>
        <v>148690.06053761434</v>
      </c>
      <c r="DA57" s="115">
        <f t="shared" si="1184"/>
        <v>143893.60697188482</v>
      </c>
      <c r="DB57" s="115">
        <f t="shared" si="1184"/>
        <v>148690.06053761434</v>
      </c>
      <c r="DC57" s="115">
        <f t="shared" si="1184"/>
        <v>143893.60697188482</v>
      </c>
      <c r="DD57" s="115">
        <f t="shared" si="1184"/>
        <v>148690.06053761434</v>
      </c>
      <c r="DE57" s="115">
        <f t="shared" si="1184"/>
        <v>148690.06053761434</v>
      </c>
      <c r="DF57" s="115">
        <f t="shared" si="1184"/>
        <v>143893.60697188482</v>
      </c>
      <c r="DG57" s="115">
        <f t="shared" si="1184"/>
        <v>148690.06053761434</v>
      </c>
      <c r="DH57" s="115">
        <f t="shared" si="1184"/>
        <v>143893.60697188482</v>
      </c>
      <c r="DI57" s="115">
        <f t="shared" si="1184"/>
        <v>148690.06053761434</v>
      </c>
      <c r="DJ57" s="115">
        <f t="shared" si="1184"/>
        <v>148690.06053761434</v>
      </c>
      <c r="DK57" s="115">
        <f t="shared" si="1184"/>
        <v>146052.01107646312</v>
      </c>
      <c r="DL57" s="115">
        <f t="shared" si="1184"/>
        <v>156124.56356449507</v>
      </c>
      <c r="DM57" s="115">
        <f t="shared" si="1184"/>
        <v>151088.28732047908</v>
      </c>
      <c r="DN57" s="115">
        <f t="shared" si="1184"/>
        <v>156124.56356449507</v>
      </c>
      <c r="DO57" s="115">
        <f t="shared" si="1184"/>
        <v>151088.28732047908</v>
      </c>
      <c r="DP57" s="115">
        <f t="shared" si="1184"/>
        <v>156124.56356449507</v>
      </c>
      <c r="DQ57" s="115">
        <f t="shared" si="1184"/>
        <v>156124.56356449507</v>
      </c>
      <c r="DR57" s="115">
        <f t="shared" si="1184"/>
        <v>151088.28732047908</v>
      </c>
      <c r="DS57" s="115">
        <f t="shared" si="1184"/>
        <v>156124.56356449507</v>
      </c>
      <c r="DT57" s="115">
        <f t="shared" si="1184"/>
        <v>151088.28732047908</v>
      </c>
      <c r="DU57" s="115">
        <f t="shared" si="1184"/>
        <v>156124.56356449507</v>
      </c>
      <c r="DV57" s="488">
        <f t="shared" si="1184"/>
        <v>156124.56356449507</v>
      </c>
      <c r="DW57" s="722"/>
      <c r="DX57" s="113">
        <f>SUM(DX52:DX56)</f>
        <v>75674.25</v>
      </c>
      <c r="DY57" s="114">
        <f t="shared" ref="DY57:EH57" si="1185">SUM(DY52:DY56)</f>
        <v>288932.1428571429</v>
      </c>
      <c r="DZ57" s="114">
        <f t="shared" si="1185"/>
        <v>298671.42857142858</v>
      </c>
      <c r="EA57" s="114">
        <f t="shared" si="1185"/>
        <v>298671.42857142858</v>
      </c>
      <c r="EB57" s="115">
        <f>SUM(EB52:EB56)</f>
        <v>298671.42857142858</v>
      </c>
      <c r="EC57" s="115">
        <f t="shared" ref="EC57:EE57" si="1186">SUM(EC52:EC56)</f>
        <v>1260620.6785714286</v>
      </c>
      <c r="ED57" s="115">
        <f t="shared" si="1186"/>
        <v>1247602.5</v>
      </c>
      <c r="EE57" s="115">
        <f t="shared" si="1186"/>
        <v>1306403.4375000002</v>
      </c>
      <c r="EF57" s="116">
        <f t="shared" si="1185"/>
        <v>3814626.6160714291</v>
      </c>
      <c r="EG57" s="115">
        <f t="shared" si="1185"/>
        <v>1371723.6093750005</v>
      </c>
      <c r="EH57" s="115">
        <f t="shared" si="1185"/>
        <v>1440309.7898437507</v>
      </c>
      <c r="EI57" s="513">
        <f t="shared" ref="EI57" si="1187">SUM(EI52:EI56)</f>
        <v>6626660.0152901802</v>
      </c>
      <c r="EJ57" s="30">
        <f t="shared" si="1153"/>
        <v>0</v>
      </c>
      <c r="EK57" s="639">
        <f t="shared" si="4"/>
        <v>1516468.6362656252</v>
      </c>
      <c r="EL57" s="639">
        <f t="shared" si="5"/>
        <v>1587941.5433027351</v>
      </c>
      <c r="EM57" s="639">
        <f t="shared" si="6"/>
        <v>1667338.6204678721</v>
      </c>
      <c r="EN57" s="639">
        <f t="shared" si="7"/>
        <v>1750705.5514912659</v>
      </c>
      <c r="EO57" s="639">
        <f t="shared" si="8"/>
        <v>1843277.1053098449</v>
      </c>
      <c r="EP57" s="513">
        <f t="shared" si="1145"/>
        <v>14992391.472127523</v>
      </c>
    </row>
    <row r="58" spans="1:146" x14ac:dyDescent="0.3"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EF58" s="31"/>
      <c r="EI58" s="31"/>
      <c r="EP58" s="31"/>
    </row>
    <row r="59" spans="1:146" x14ac:dyDescent="0.3">
      <c r="B59" s="368" t="s">
        <v>203</v>
      </c>
      <c r="C59" s="369" t="s">
        <v>204</v>
      </c>
      <c r="D59" s="369" t="s">
        <v>45</v>
      </c>
      <c r="E59" s="369" t="s">
        <v>205</v>
      </c>
      <c r="F59" s="369" t="s">
        <v>47</v>
      </c>
      <c r="G59" s="369" t="s">
        <v>46</v>
      </c>
      <c r="H59" s="369" t="s">
        <v>206</v>
      </c>
      <c r="I59" s="369" t="s">
        <v>374</v>
      </c>
    </row>
    <row r="60" spans="1:146" x14ac:dyDescent="0.3">
      <c r="B60" s="370" t="s">
        <v>207</v>
      </c>
      <c r="C60" s="1459">
        <f>Data!$G$68</f>
        <v>62500</v>
      </c>
      <c r="D60" s="1459">
        <f>Data!$G$69</f>
        <v>93333.333333333328</v>
      </c>
      <c r="E60" s="1459">
        <f>Data!$G$70</f>
        <v>150000</v>
      </c>
      <c r="F60" s="1459">
        <f>Data!G76</f>
        <v>62500</v>
      </c>
      <c r="G60" s="1459">
        <f>Data!G77</f>
        <v>75000</v>
      </c>
      <c r="H60" s="1459">
        <f>Data!G78</f>
        <v>62500</v>
      </c>
      <c r="I60" s="1459">
        <f>Data!$G$75</f>
        <v>62500</v>
      </c>
    </row>
    <row r="61" spans="1:146" x14ac:dyDescent="0.3">
      <c r="B61" s="370" t="s">
        <v>208</v>
      </c>
      <c r="C61" s="1459">
        <f>Data!$G$103+(Data!$G$105/12)</f>
        <v>2388.48</v>
      </c>
      <c r="D61" s="1459">
        <f>Data!$G$103+(Data!$G$105/12)</f>
        <v>2388.48</v>
      </c>
      <c r="E61" s="1459">
        <f>Data!$G$103+(Data!$G$105/12)</f>
        <v>2388.48</v>
      </c>
      <c r="F61" s="1459">
        <f>Data!$G$103+(Data!$G$105/12)</f>
        <v>2388.48</v>
      </c>
      <c r="G61" s="1459">
        <f>Data!$G$103+(Data!$G$105/12)</f>
        <v>2388.48</v>
      </c>
      <c r="H61" s="1459">
        <f>Data!$G$103+(Data!$G$105/12)</f>
        <v>2388.48</v>
      </c>
      <c r="I61" s="1459">
        <f>Data!$G$103+(Data!$G$105/12)</f>
        <v>2388.48</v>
      </c>
    </row>
    <row r="62" spans="1:146" x14ac:dyDescent="0.3">
      <c r="B62" s="370" t="s">
        <v>209</v>
      </c>
      <c r="C62" s="1459">
        <f>((C60*12)*Data!$C$86)/12</f>
        <v>3750</v>
      </c>
      <c r="D62" s="1459">
        <f>((D60*12)*Data!$C$86)/12</f>
        <v>5600</v>
      </c>
      <c r="E62" s="1459">
        <f>((E60*12)*Data!$C$86)/12</f>
        <v>9000</v>
      </c>
      <c r="F62" s="1459">
        <f>((F60*12)*Data!$C$86)/12</f>
        <v>3750</v>
      </c>
      <c r="G62" s="1459">
        <f>((G60*12)*Data!$C$86)/12</f>
        <v>4500</v>
      </c>
      <c r="H62" s="1459">
        <f>((H60*12)*Data!$C$86)/12</f>
        <v>3750</v>
      </c>
      <c r="I62" s="1459">
        <f>((I60*12)*Data!$C$86)/12</f>
        <v>3750</v>
      </c>
    </row>
    <row r="63" spans="1:146" x14ac:dyDescent="0.3">
      <c r="B63" s="370" t="s">
        <v>12</v>
      </c>
      <c r="C63" s="1459">
        <f>Data!$G$106</f>
        <v>3331.25</v>
      </c>
      <c r="D63" s="1459">
        <f>Data!$G$106</f>
        <v>3331.25</v>
      </c>
      <c r="E63" s="1459">
        <f>Data!$G$106</f>
        <v>3331.25</v>
      </c>
      <c r="F63" s="1459">
        <f>Data!$G$106</f>
        <v>3331.25</v>
      </c>
      <c r="G63" s="1459">
        <f>Data!$G$106</f>
        <v>3331.25</v>
      </c>
      <c r="H63" s="1459">
        <f>Data!$G$106</f>
        <v>3331.25</v>
      </c>
      <c r="I63" s="1459">
        <f>Data!$G$106</f>
        <v>3331.25</v>
      </c>
    </row>
    <row r="64" spans="1:146" x14ac:dyDescent="0.3">
      <c r="B64" s="559" t="s">
        <v>210</v>
      </c>
      <c r="C64" s="1460">
        <f>(Data!$G$110+Data!$C$114)*AVERAGE(Summary!$C$14:$E$14)</f>
        <v>18000</v>
      </c>
      <c r="D64" s="1460">
        <f>(Data!$G$110+Data!$C$114)*AVERAGE(Summary!$C$14:$E$14)</f>
        <v>18000</v>
      </c>
      <c r="E64" s="1460">
        <f>(Data!$G$110+Data!$C$114)*AVERAGE(Summary!$C$14:$E$14)</f>
        <v>18000</v>
      </c>
      <c r="F64" s="1460">
        <f>(Data!$G$110+Data!$C$114)*AVERAGE(Summary!$C$14:$E$14)</f>
        <v>18000</v>
      </c>
      <c r="G64" s="1460">
        <f>(Data!$G$110+Data!$C$114)*AVERAGE(Summary!$C$14:$E$14)</f>
        <v>18000</v>
      </c>
      <c r="H64" s="1460">
        <f>(Data!$G$110+Data!$C$114)*AVERAGE(Summary!$C$14:$E$14)</f>
        <v>18000</v>
      </c>
      <c r="I64" s="1460">
        <f>(Data!$G$110+Data!$C$114)*AVERAGE(Summary!$C$14:$E$14)</f>
        <v>18000</v>
      </c>
    </row>
    <row r="65" spans="1:146" x14ac:dyDescent="0.3">
      <c r="B65" s="370" t="s">
        <v>211</v>
      </c>
      <c r="C65" s="1459">
        <f>Data!$G$111</f>
        <v>6611.9000333333324</v>
      </c>
      <c r="D65" s="1459">
        <f>Data!$G$111</f>
        <v>6611.9000333333324</v>
      </c>
      <c r="E65" s="1459">
        <f>Data!$G$111</f>
        <v>6611.9000333333324</v>
      </c>
      <c r="F65" s="1459">
        <f>Data!$G$111</f>
        <v>6611.9000333333324</v>
      </c>
      <c r="G65" s="1459">
        <f>Data!$G$111</f>
        <v>6611.9000333333324</v>
      </c>
      <c r="H65" s="1459">
        <f>Data!$G$111</f>
        <v>6611.9000333333324</v>
      </c>
      <c r="I65" s="1459">
        <f>Data!$G$111</f>
        <v>6611.9000333333324</v>
      </c>
    </row>
    <row r="66" spans="1:146" x14ac:dyDescent="0.3">
      <c r="B66" s="370" t="s">
        <v>212</v>
      </c>
      <c r="C66" s="1459">
        <f>Data!$G$112</f>
        <v>3642</v>
      </c>
      <c r="D66" s="1459">
        <f>Data!$G$112</f>
        <v>3642</v>
      </c>
      <c r="E66" s="1459">
        <f>Data!$G$112</f>
        <v>3642</v>
      </c>
      <c r="F66" s="1459">
        <f>Data!$G$112</f>
        <v>3642</v>
      </c>
      <c r="G66" s="1459">
        <f>Data!$G$112</f>
        <v>3642</v>
      </c>
      <c r="H66" s="1459">
        <f>Data!$G$112</f>
        <v>3642</v>
      </c>
      <c r="I66" s="1459">
        <f>Data!$G$112</f>
        <v>3642</v>
      </c>
    </row>
    <row r="67" spans="1:146" x14ac:dyDescent="0.3">
      <c r="A67" s="674">
        <v>0.03</v>
      </c>
      <c r="B67" s="559" t="s">
        <v>213</v>
      </c>
      <c r="C67" s="1460">
        <f>(SUM(C60:C66)/(1-$A$68))*$A$67</f>
        <v>5019.5474140233728</v>
      </c>
      <c r="D67" s="1460">
        <f t="shared" ref="D67:H67" si="1188">(SUM(D60:D66)/(1-$A$68))*$A$67</f>
        <v>6656.4422387312188</v>
      </c>
      <c r="E67" s="1460">
        <f t="shared" si="1188"/>
        <v>9664.789484140234</v>
      </c>
      <c r="F67" s="1460">
        <f t="shared" si="1188"/>
        <v>5019.5474140233728</v>
      </c>
      <c r="G67" s="1460">
        <f t="shared" si="1188"/>
        <v>5683.153424040067</v>
      </c>
      <c r="H67" s="1460">
        <f t="shared" si="1188"/>
        <v>5019.5474140233728</v>
      </c>
      <c r="I67" s="1460">
        <f t="shared" ref="I67" si="1189">(SUM(I60:I66)/(1-$A$68))*$A$67</f>
        <v>5019.5474140233728</v>
      </c>
    </row>
    <row r="68" spans="1:146" x14ac:dyDescent="0.3">
      <c r="A68" s="674">
        <f>Summary!A3</f>
        <v>0.40100000000000002</v>
      </c>
      <c r="B68" s="373" t="s">
        <v>214</v>
      </c>
      <c r="C68" s="1459">
        <f t="shared" ref="C68:H68" si="1190">SUM(C60:C67)</f>
        <v>105243.17744735672</v>
      </c>
      <c r="D68" s="1459">
        <f t="shared" si="1190"/>
        <v>139563.40560539789</v>
      </c>
      <c r="E68" s="1459">
        <f t="shared" si="1190"/>
        <v>202638.41951747358</v>
      </c>
      <c r="F68" s="1459">
        <f t="shared" si="1190"/>
        <v>105243.17744735672</v>
      </c>
      <c r="G68" s="1459">
        <f t="shared" si="1190"/>
        <v>119156.7834573734</v>
      </c>
      <c r="H68" s="1459">
        <f t="shared" si="1190"/>
        <v>105243.17744735672</v>
      </c>
      <c r="I68" s="1459">
        <f t="shared" ref="I68" si="1191">SUM(I60:I67)</f>
        <v>105243.17744735672</v>
      </c>
    </row>
    <row r="69" spans="1:146" x14ac:dyDescent="0.3">
      <c r="B69" s="372" t="s">
        <v>215</v>
      </c>
      <c r="C69" s="1463">
        <f t="shared" ref="C69:I69" si="1192">$A$68</f>
        <v>0.40100000000000002</v>
      </c>
      <c r="D69" s="1463">
        <f t="shared" si="1192"/>
        <v>0.40100000000000002</v>
      </c>
      <c r="E69" s="1463">
        <f t="shared" si="1192"/>
        <v>0.40100000000000002</v>
      </c>
      <c r="F69" s="1463">
        <f t="shared" si="1192"/>
        <v>0.40100000000000002</v>
      </c>
      <c r="G69" s="1463">
        <f t="shared" si="1192"/>
        <v>0.40100000000000002</v>
      </c>
      <c r="H69" s="1463">
        <f t="shared" si="1192"/>
        <v>0.40100000000000002</v>
      </c>
      <c r="I69" s="1463">
        <f t="shared" si="1192"/>
        <v>0.40100000000000002</v>
      </c>
    </row>
    <row r="70" spans="1:146" x14ac:dyDescent="0.3">
      <c r="B70" s="370" t="s">
        <v>216</v>
      </c>
      <c r="C70" s="1459">
        <f t="shared" ref="C70:H70" si="1193">C68/(1-C69)</f>
        <v>175698.1259555204</v>
      </c>
      <c r="D70" s="1459">
        <f t="shared" si="1193"/>
        <v>232993.99934123186</v>
      </c>
      <c r="E70" s="1459">
        <f t="shared" si="1193"/>
        <v>338294.5234014584</v>
      </c>
      <c r="F70" s="1459">
        <f t="shared" si="1193"/>
        <v>175698.1259555204</v>
      </c>
      <c r="G70" s="1459">
        <f t="shared" si="1193"/>
        <v>198926.18273351152</v>
      </c>
      <c r="H70" s="1459">
        <f t="shared" si="1193"/>
        <v>175698.1259555204</v>
      </c>
      <c r="I70" s="1459">
        <f t="shared" ref="I70" si="1194">I68/(1-I69)</f>
        <v>175698.1259555204</v>
      </c>
    </row>
    <row r="71" spans="1:146" x14ac:dyDescent="0.3">
      <c r="B71" s="370" t="s">
        <v>217</v>
      </c>
      <c r="C71" s="1461">
        <f>Data!$G$10</f>
        <v>0.15249042145593869</v>
      </c>
      <c r="D71" s="1461">
        <f>Data!$G$10</f>
        <v>0.15249042145593869</v>
      </c>
      <c r="E71" s="1461">
        <f>Data!$G$10</f>
        <v>0.15249042145593869</v>
      </c>
      <c r="F71" s="1461">
        <f>Data!$G$10</f>
        <v>0.15249042145593869</v>
      </c>
      <c r="G71" s="1461">
        <f>Data!$G$10</f>
        <v>0.15249042145593869</v>
      </c>
      <c r="H71" s="1461">
        <f>Data!$G$10</f>
        <v>0.15249042145593869</v>
      </c>
      <c r="I71" s="1461">
        <f>Data!$G$10</f>
        <v>0.15249042145593869</v>
      </c>
    </row>
    <row r="72" spans="1:146" x14ac:dyDescent="0.3">
      <c r="B72" s="370" t="s">
        <v>218</v>
      </c>
      <c r="C72" s="1459">
        <f t="shared" ref="C72:H72" si="1195">C70/(1-C71)</f>
        <v>207311.07990230934</v>
      </c>
      <c r="D72" s="1459">
        <f t="shared" si="1195"/>
        <v>274916.066130477</v>
      </c>
      <c r="E72" s="1459">
        <f t="shared" si="1195"/>
        <v>399163.06784710957</v>
      </c>
      <c r="F72" s="1459">
        <f t="shared" si="1195"/>
        <v>207311.07990230934</v>
      </c>
      <c r="G72" s="1459">
        <f t="shared" si="1195"/>
        <v>234718.50675156649</v>
      </c>
      <c r="H72" s="1459">
        <f t="shared" si="1195"/>
        <v>207311.07990230934</v>
      </c>
      <c r="I72" s="1459">
        <f t="shared" ref="I72" si="1196">I70/(1-I71)</f>
        <v>207311.07990230934</v>
      </c>
    </row>
    <row r="73" spans="1:146" x14ac:dyDescent="0.3">
      <c r="A73" s="727">
        <f>Shrinkage!$D$11</f>
        <v>40</v>
      </c>
      <c r="B73" s="556" t="s">
        <v>219</v>
      </c>
      <c r="C73" s="1462">
        <f>C72/($A$73*(52/12))</f>
        <v>1196.0254609748617</v>
      </c>
      <c r="D73" s="1462">
        <f t="shared" ref="D73:H73" si="1197">D72/($A$73*(52/12))</f>
        <v>1586.054227675829</v>
      </c>
      <c r="E73" s="1462">
        <f t="shared" si="1197"/>
        <v>2302.8638529640939</v>
      </c>
      <c r="F73" s="1462">
        <f t="shared" si="1197"/>
        <v>1196.0254609748617</v>
      </c>
      <c r="G73" s="1462">
        <f t="shared" si="1197"/>
        <v>1354.1452312590375</v>
      </c>
      <c r="H73" s="1462">
        <f t="shared" si="1197"/>
        <v>1196.0254609748617</v>
      </c>
      <c r="I73" s="1462">
        <f t="shared" ref="I73" si="1198">I72/($A$73*(52/12))</f>
        <v>1196.0254609748617</v>
      </c>
    </row>
    <row r="74" spans="1:146" x14ac:dyDescent="0.3">
      <c r="A74" s="93">
        <f>'P&amp;L'!E5</f>
        <v>82.5</v>
      </c>
      <c r="B74" s="556" t="s">
        <v>700</v>
      </c>
      <c r="C74" s="557">
        <f>C73/$A$74</f>
        <v>14.49727831484681</v>
      </c>
      <c r="D74" s="557">
        <f t="shared" ref="D74:H74" si="1199">D73/$A$74</f>
        <v>19.224899729403987</v>
      </c>
      <c r="E74" s="557">
        <f t="shared" si="1199"/>
        <v>27.913501248049624</v>
      </c>
      <c r="F74" s="557">
        <f t="shared" si="1199"/>
        <v>14.49727831484681</v>
      </c>
      <c r="G74" s="557">
        <f t="shared" si="1199"/>
        <v>16.413881591018637</v>
      </c>
      <c r="H74" s="557">
        <f t="shared" si="1199"/>
        <v>14.49727831484681</v>
      </c>
      <c r="I74" s="557">
        <f t="shared" ref="I74" si="1200">I73/$A$74</f>
        <v>14.49727831484681</v>
      </c>
    </row>
    <row r="79" spans="1:146" x14ac:dyDescent="0.3">
      <c r="B79" s="209" t="s">
        <v>905</v>
      </c>
      <c r="C79" s="210"/>
      <c r="D79" s="211"/>
      <c r="E79" s="468"/>
      <c r="F79" s="211">
        <f>Data!G52*(1-Data!G$10)</f>
        <v>5.1698084291187735E-6</v>
      </c>
      <c r="G79" s="212">
        <v>5.49E-6</v>
      </c>
      <c r="H79" s="212">
        <v>5.49E-6</v>
      </c>
      <c r="I79" s="212">
        <v>5.49E-6</v>
      </c>
      <c r="J79" s="212">
        <v>5.49E-6</v>
      </c>
      <c r="K79" s="212">
        <v>5.49E-6</v>
      </c>
      <c r="L79" s="212">
        <v>5.49E-6</v>
      </c>
      <c r="M79" s="212">
        <v>5.49E-6</v>
      </c>
      <c r="N79" s="212">
        <v>5.49E-6</v>
      </c>
      <c r="O79" s="212">
        <v>5.49E-6</v>
      </c>
      <c r="P79" s="212">
        <v>5.49E-6</v>
      </c>
      <c r="Q79" s="212">
        <v>5.49E-6</v>
      </c>
      <c r="R79" s="212">
        <v>5.49E-6</v>
      </c>
      <c r="S79" s="212">
        <v>5.49E-6</v>
      </c>
      <c r="T79" s="212">
        <v>5.49E-6</v>
      </c>
      <c r="U79" s="212">
        <v>5.49E-6</v>
      </c>
      <c r="V79" s="212">
        <v>5.49E-6</v>
      </c>
      <c r="W79" s="212">
        <v>5.49E-6</v>
      </c>
      <c r="X79" s="212">
        <v>5.49E-6</v>
      </c>
      <c r="Y79" s="212">
        <v>5.49E-6</v>
      </c>
      <c r="Z79" s="212">
        <v>5.49E-6</v>
      </c>
      <c r="AA79" s="212">
        <v>5.49E-6</v>
      </c>
      <c r="AB79" s="212">
        <v>5.49E-6</v>
      </c>
      <c r="AC79" s="212">
        <v>5.49E-6</v>
      </c>
      <c r="AD79" s="212">
        <v>5.49E-6</v>
      </c>
      <c r="AE79" s="212">
        <v>5.49E-6</v>
      </c>
      <c r="AF79" s="212">
        <v>5.49E-6</v>
      </c>
      <c r="AG79" s="212">
        <v>5.49E-6</v>
      </c>
      <c r="AH79" s="212">
        <v>5.49E-6</v>
      </c>
      <c r="AI79" s="212">
        <v>5.49E-6</v>
      </c>
      <c r="AJ79" s="212">
        <v>5.49E-6</v>
      </c>
      <c r="AK79" s="212">
        <v>5.49E-6</v>
      </c>
      <c r="AL79" s="212">
        <v>5.49E-6</v>
      </c>
      <c r="AM79" s="212">
        <v>5.49E-6</v>
      </c>
      <c r="AN79" s="212">
        <v>5.49E-6</v>
      </c>
      <c r="AO79" s="212">
        <v>5.49E-6</v>
      </c>
      <c r="AP79" s="212">
        <v>5.49E-6</v>
      </c>
      <c r="AQ79" s="212">
        <v>5.49E-6</v>
      </c>
      <c r="AR79" s="212">
        <v>5.49E-6</v>
      </c>
      <c r="AS79" s="212">
        <v>5.49E-6</v>
      </c>
      <c r="AT79" s="212">
        <v>5.49E-6</v>
      </c>
      <c r="AU79" s="212">
        <v>5.49E-6</v>
      </c>
      <c r="AV79" s="212">
        <v>5.49E-6</v>
      </c>
      <c r="AW79" s="212">
        <v>5.49E-6</v>
      </c>
      <c r="AX79" s="212">
        <v>5.49E-6</v>
      </c>
      <c r="AY79" s="212">
        <v>5.49E-6</v>
      </c>
      <c r="AZ79" s="212">
        <v>5.49E-6</v>
      </c>
      <c r="BA79" s="212">
        <v>5.49E-6</v>
      </c>
      <c r="BB79" s="212">
        <v>5.49E-6</v>
      </c>
      <c r="BC79" s="212">
        <v>5.49E-6</v>
      </c>
      <c r="BD79" s="212">
        <v>5.49E-6</v>
      </c>
      <c r="BE79" s="212">
        <v>5.49E-6</v>
      </c>
      <c r="BF79" s="212">
        <v>5.49E-6</v>
      </c>
      <c r="BG79" s="212">
        <v>5.49E-6</v>
      </c>
      <c r="BH79" s="212">
        <v>5.49E-6</v>
      </c>
      <c r="BI79" s="212">
        <v>5.49E-6</v>
      </c>
      <c r="BJ79" s="212">
        <v>5.49E-6</v>
      </c>
      <c r="BK79" s="212">
        <v>5.49E-6</v>
      </c>
      <c r="BL79" s="212">
        <v>5.49E-6</v>
      </c>
      <c r="BM79" s="212">
        <v>5.49E-6</v>
      </c>
      <c r="BN79" s="212">
        <v>5.49E-6</v>
      </c>
      <c r="BO79" s="212">
        <v>5.49E-6</v>
      </c>
      <c r="BP79" s="212">
        <v>5.49E-6</v>
      </c>
      <c r="BQ79" s="212">
        <v>5.49E-6</v>
      </c>
      <c r="BR79" s="212">
        <v>5.49E-6</v>
      </c>
      <c r="BS79" s="212">
        <v>5.49E-6</v>
      </c>
      <c r="BT79" s="212">
        <v>5.49E-6</v>
      </c>
      <c r="BU79" s="212">
        <v>5.49E-6</v>
      </c>
      <c r="BV79" s="212">
        <v>5.49E-6</v>
      </c>
      <c r="BW79" s="212">
        <v>5.49E-6</v>
      </c>
      <c r="BX79" s="212">
        <v>5.49E-6</v>
      </c>
      <c r="BY79" s="212">
        <v>5.49E-6</v>
      </c>
      <c r="BZ79" s="212">
        <v>5.49E-6</v>
      </c>
      <c r="CA79" s="212">
        <v>5.49E-6</v>
      </c>
      <c r="CB79" s="212">
        <v>5.49E-6</v>
      </c>
      <c r="CC79" s="212">
        <v>5.49E-6</v>
      </c>
      <c r="CD79" s="212">
        <v>5.49E-6</v>
      </c>
      <c r="CE79" s="212">
        <v>5.49E-6</v>
      </c>
      <c r="CF79" s="212">
        <v>5.49E-6</v>
      </c>
      <c r="CG79" s="212">
        <v>5.49E-6</v>
      </c>
      <c r="CH79" s="212">
        <v>5.49E-6</v>
      </c>
      <c r="CI79" s="212">
        <v>5.49E-6</v>
      </c>
      <c r="CJ79" s="212">
        <v>5.49E-6</v>
      </c>
      <c r="CK79" s="212">
        <v>5.49E-6</v>
      </c>
      <c r="CL79" s="212">
        <v>5.49E-6</v>
      </c>
      <c r="CM79" s="212">
        <v>5.49E-6</v>
      </c>
      <c r="CN79" s="212">
        <v>5.49E-6</v>
      </c>
      <c r="CO79" s="212">
        <v>5.49E-6</v>
      </c>
      <c r="CP79" s="212">
        <v>5.49E-6</v>
      </c>
      <c r="CQ79" s="212">
        <v>5.49E-6</v>
      </c>
      <c r="CR79" s="212">
        <v>5.49E-6</v>
      </c>
      <c r="CS79" s="212">
        <v>5.49E-6</v>
      </c>
      <c r="CT79" s="212">
        <v>5.49E-6</v>
      </c>
      <c r="CU79" s="212">
        <v>5.49E-6</v>
      </c>
      <c r="CV79" s="212">
        <v>5.49E-6</v>
      </c>
      <c r="CW79" s="212">
        <v>5.49E-6</v>
      </c>
      <c r="CX79" s="212">
        <v>5.49E-6</v>
      </c>
      <c r="CY79" s="212">
        <v>5.49E-6</v>
      </c>
      <c r="CZ79" s="212">
        <v>5.49E-6</v>
      </c>
      <c r="DA79" s="212">
        <v>5.49E-6</v>
      </c>
      <c r="DB79" s="212">
        <v>5.49E-6</v>
      </c>
      <c r="DC79" s="212">
        <v>5.49E-6</v>
      </c>
      <c r="DD79" s="212">
        <v>5.49E-6</v>
      </c>
      <c r="DE79" s="212">
        <v>5.49E-6</v>
      </c>
      <c r="DF79" s="212">
        <v>5.49E-6</v>
      </c>
      <c r="DG79" s="212">
        <v>5.49E-6</v>
      </c>
      <c r="DH79" s="212">
        <v>5.49E-6</v>
      </c>
      <c r="DI79" s="212">
        <v>5.49E-6</v>
      </c>
      <c r="DJ79" s="212">
        <v>5.49E-6</v>
      </c>
      <c r="DK79" s="212">
        <v>5.49E-6</v>
      </c>
      <c r="DL79" s="212">
        <v>5.49E-6</v>
      </c>
      <c r="DM79" s="212">
        <v>5.49E-6</v>
      </c>
      <c r="DN79" s="212">
        <v>5.49E-6</v>
      </c>
      <c r="DO79" s="212">
        <v>5.49E-6</v>
      </c>
      <c r="DP79" s="212">
        <v>5.49E-6</v>
      </c>
      <c r="DQ79" s="212">
        <v>5.49E-6</v>
      </c>
      <c r="DR79" s="212">
        <v>5.49E-6</v>
      </c>
      <c r="DS79" s="212">
        <v>5.49E-6</v>
      </c>
      <c r="DT79" s="212">
        <v>5.49E-6</v>
      </c>
      <c r="DU79" s="212">
        <v>5.49E-6</v>
      </c>
      <c r="DV79" s="468">
        <v>5.49E-6</v>
      </c>
      <c r="DW79" s="715"/>
      <c r="DX79" s="211"/>
      <c r="DY79" s="213"/>
      <c r="DZ79" s="213"/>
      <c r="EA79" s="213"/>
      <c r="EB79" s="213"/>
      <c r="EC79" s="213"/>
      <c r="ED79" s="213"/>
      <c r="EE79" s="213"/>
      <c r="EF79" s="214"/>
      <c r="EG79" s="213"/>
      <c r="EH79" s="213"/>
      <c r="EI79" s="500"/>
      <c r="EJ79" s="30"/>
      <c r="EK79" s="213"/>
      <c r="EL79" s="213"/>
      <c r="EM79" s="213"/>
      <c r="EN79" s="213"/>
      <c r="EO79" s="213"/>
      <c r="EP79" s="500"/>
    </row>
    <row r="80" spans="1:146" x14ac:dyDescent="0.3">
      <c r="B80" s="225" t="s">
        <v>906</v>
      </c>
      <c r="C80" s="245"/>
      <c r="D80" s="227"/>
      <c r="E80" s="474"/>
      <c r="F80" s="215">
        <f t="shared" ref="F80" si="1201">F79*$A$16*$A$17*5</f>
        <v>7.7469579310344809E-4</v>
      </c>
      <c r="G80" s="216">
        <f t="shared" ref="G80:BR80" si="1202">(G79*$A$10*$A$9*G$2)</f>
        <v>9.8820000000000006E-4</v>
      </c>
      <c r="H80" s="216">
        <f t="shared" si="1202"/>
        <v>1.0940785714285716E-3</v>
      </c>
      <c r="I80" s="216">
        <f t="shared" si="1202"/>
        <v>1.0587857142857144E-3</v>
      </c>
      <c r="J80" s="216">
        <f t="shared" si="1202"/>
        <v>1.0940785714285716E-3</v>
      </c>
      <c r="K80" s="216">
        <f t="shared" si="1202"/>
        <v>1.0587857142857144E-3</v>
      </c>
      <c r="L80" s="216">
        <f t="shared" si="1202"/>
        <v>1.0940785714285716E-3</v>
      </c>
      <c r="M80" s="216">
        <f t="shared" si="1202"/>
        <v>1.0940785714285716E-3</v>
      </c>
      <c r="N80" s="216">
        <f t="shared" si="1202"/>
        <v>1.0587857142857144E-3</v>
      </c>
      <c r="O80" s="216">
        <f t="shared" si="1202"/>
        <v>1.0940785714285716E-3</v>
      </c>
      <c r="P80" s="216">
        <f t="shared" si="1202"/>
        <v>1.0587857142857144E-3</v>
      </c>
      <c r="Q80" s="216">
        <f t="shared" si="1202"/>
        <v>1.0940785714285716E-3</v>
      </c>
      <c r="R80" s="216">
        <f t="shared" si="1202"/>
        <v>1.0940785714285716E-3</v>
      </c>
      <c r="S80" s="216">
        <f t="shared" si="1202"/>
        <v>1.0234928571428573E-3</v>
      </c>
      <c r="T80" s="216">
        <f t="shared" si="1202"/>
        <v>1.0940785714285716E-3</v>
      </c>
      <c r="U80" s="216">
        <f t="shared" si="1202"/>
        <v>1.0587857142857144E-3</v>
      </c>
      <c r="V80" s="216">
        <f t="shared" si="1202"/>
        <v>1.0940785714285716E-3</v>
      </c>
      <c r="W80" s="216">
        <f t="shared" si="1202"/>
        <v>1.0587857142857144E-3</v>
      </c>
      <c r="X80" s="216">
        <f t="shared" si="1202"/>
        <v>1.0940785714285716E-3</v>
      </c>
      <c r="Y80" s="216">
        <f t="shared" si="1202"/>
        <v>1.0940785714285716E-3</v>
      </c>
      <c r="Z80" s="216">
        <f t="shared" si="1202"/>
        <v>1.0587857142857144E-3</v>
      </c>
      <c r="AA80" s="216">
        <f t="shared" si="1202"/>
        <v>1.0940785714285716E-3</v>
      </c>
      <c r="AB80" s="216">
        <f t="shared" si="1202"/>
        <v>1.0587857142857144E-3</v>
      </c>
      <c r="AC80" s="216">
        <f t="shared" si="1202"/>
        <v>1.0940785714285716E-3</v>
      </c>
      <c r="AD80" s="216">
        <f t="shared" si="1202"/>
        <v>1.0940785714285716E-3</v>
      </c>
      <c r="AE80" s="216">
        <f t="shared" si="1202"/>
        <v>9.8820000000000006E-4</v>
      </c>
      <c r="AF80" s="216">
        <f t="shared" si="1202"/>
        <v>1.0940785714285716E-3</v>
      </c>
      <c r="AG80" s="216">
        <f t="shared" si="1202"/>
        <v>1.0587857142857144E-3</v>
      </c>
      <c r="AH80" s="216">
        <f t="shared" si="1202"/>
        <v>1.0940785714285716E-3</v>
      </c>
      <c r="AI80" s="216">
        <f t="shared" si="1202"/>
        <v>1.0587857142857144E-3</v>
      </c>
      <c r="AJ80" s="216">
        <f t="shared" si="1202"/>
        <v>1.0940785714285716E-3</v>
      </c>
      <c r="AK80" s="216">
        <f t="shared" si="1202"/>
        <v>1.0940785714285716E-3</v>
      </c>
      <c r="AL80" s="216">
        <f t="shared" si="1202"/>
        <v>1.0587857142857144E-3</v>
      </c>
      <c r="AM80" s="216">
        <f t="shared" si="1202"/>
        <v>1.0940785714285716E-3</v>
      </c>
      <c r="AN80" s="216">
        <f t="shared" si="1202"/>
        <v>1.0587857142857144E-3</v>
      </c>
      <c r="AO80" s="216">
        <f t="shared" si="1202"/>
        <v>1.0940785714285716E-3</v>
      </c>
      <c r="AP80" s="216">
        <f t="shared" si="1202"/>
        <v>1.0940785714285716E-3</v>
      </c>
      <c r="AQ80" s="216">
        <f t="shared" si="1202"/>
        <v>9.8820000000000006E-4</v>
      </c>
      <c r="AR80" s="216">
        <f t="shared" si="1202"/>
        <v>1.0940785714285716E-3</v>
      </c>
      <c r="AS80" s="216">
        <f t="shared" si="1202"/>
        <v>1.0587857142857144E-3</v>
      </c>
      <c r="AT80" s="216">
        <f t="shared" si="1202"/>
        <v>1.0940785714285716E-3</v>
      </c>
      <c r="AU80" s="216">
        <f t="shared" si="1202"/>
        <v>1.0587857142857144E-3</v>
      </c>
      <c r="AV80" s="216">
        <f t="shared" si="1202"/>
        <v>1.0940785714285716E-3</v>
      </c>
      <c r="AW80" s="216">
        <f t="shared" si="1202"/>
        <v>1.0940785714285716E-3</v>
      </c>
      <c r="AX80" s="216">
        <f t="shared" si="1202"/>
        <v>1.0587857142857144E-3</v>
      </c>
      <c r="AY80" s="216">
        <f t="shared" si="1202"/>
        <v>1.0940785714285716E-3</v>
      </c>
      <c r="AZ80" s="216">
        <f t="shared" si="1202"/>
        <v>1.0587857142857144E-3</v>
      </c>
      <c r="BA80" s="216">
        <f t="shared" si="1202"/>
        <v>1.0940785714285716E-3</v>
      </c>
      <c r="BB80" s="216">
        <f t="shared" si="1202"/>
        <v>1.0940785714285716E-3</v>
      </c>
      <c r="BC80" s="216">
        <f t="shared" si="1202"/>
        <v>9.8820000000000006E-4</v>
      </c>
      <c r="BD80" s="216">
        <f t="shared" si="1202"/>
        <v>1.0940785714285716E-3</v>
      </c>
      <c r="BE80" s="216">
        <f t="shared" si="1202"/>
        <v>1.0587857142857144E-3</v>
      </c>
      <c r="BF80" s="216">
        <f t="shared" si="1202"/>
        <v>1.0940785714285716E-3</v>
      </c>
      <c r="BG80" s="216">
        <f t="shared" si="1202"/>
        <v>1.0587857142857144E-3</v>
      </c>
      <c r="BH80" s="216">
        <f t="shared" si="1202"/>
        <v>1.0940785714285716E-3</v>
      </c>
      <c r="BI80" s="216">
        <f t="shared" si="1202"/>
        <v>1.0940785714285716E-3</v>
      </c>
      <c r="BJ80" s="216">
        <f t="shared" si="1202"/>
        <v>1.0587857142857144E-3</v>
      </c>
      <c r="BK80" s="216">
        <f t="shared" si="1202"/>
        <v>1.0940785714285716E-3</v>
      </c>
      <c r="BL80" s="216">
        <f t="shared" si="1202"/>
        <v>1.0587857142857144E-3</v>
      </c>
      <c r="BM80" s="216">
        <f t="shared" si="1202"/>
        <v>1.0940785714285716E-3</v>
      </c>
      <c r="BN80" s="216">
        <f t="shared" si="1202"/>
        <v>1.0940785714285716E-3</v>
      </c>
      <c r="BO80" s="216">
        <f t="shared" si="1202"/>
        <v>1.0234928571428573E-3</v>
      </c>
      <c r="BP80" s="216">
        <f t="shared" si="1202"/>
        <v>1.0940785714285716E-3</v>
      </c>
      <c r="BQ80" s="216">
        <f t="shared" si="1202"/>
        <v>1.0587857142857144E-3</v>
      </c>
      <c r="BR80" s="216">
        <f t="shared" si="1202"/>
        <v>1.0940785714285716E-3</v>
      </c>
      <c r="BS80" s="216">
        <f t="shared" ref="BS80:DV80" si="1203">(BS79*$A$10*$A$9*BS$2)</f>
        <v>1.0587857142857144E-3</v>
      </c>
      <c r="BT80" s="216">
        <f t="shared" si="1203"/>
        <v>1.0940785714285716E-3</v>
      </c>
      <c r="BU80" s="216">
        <f t="shared" si="1203"/>
        <v>1.0940785714285716E-3</v>
      </c>
      <c r="BV80" s="216">
        <f t="shared" si="1203"/>
        <v>1.0587857142857144E-3</v>
      </c>
      <c r="BW80" s="216">
        <f t="shared" si="1203"/>
        <v>1.0940785714285716E-3</v>
      </c>
      <c r="BX80" s="216">
        <f t="shared" si="1203"/>
        <v>1.0587857142857144E-3</v>
      </c>
      <c r="BY80" s="216">
        <f t="shared" si="1203"/>
        <v>1.0940785714285716E-3</v>
      </c>
      <c r="BZ80" s="216">
        <f t="shared" si="1203"/>
        <v>1.0940785714285716E-3</v>
      </c>
      <c r="CA80" s="216">
        <f t="shared" si="1203"/>
        <v>9.8820000000000006E-4</v>
      </c>
      <c r="CB80" s="216">
        <f t="shared" si="1203"/>
        <v>1.0940785714285716E-3</v>
      </c>
      <c r="CC80" s="216">
        <f t="shared" si="1203"/>
        <v>1.0587857142857144E-3</v>
      </c>
      <c r="CD80" s="216">
        <f t="shared" si="1203"/>
        <v>1.0940785714285716E-3</v>
      </c>
      <c r="CE80" s="216">
        <f t="shared" si="1203"/>
        <v>1.0587857142857144E-3</v>
      </c>
      <c r="CF80" s="216">
        <f t="shared" si="1203"/>
        <v>1.0940785714285716E-3</v>
      </c>
      <c r="CG80" s="216">
        <f t="shared" si="1203"/>
        <v>1.0940785714285716E-3</v>
      </c>
      <c r="CH80" s="216">
        <f t="shared" si="1203"/>
        <v>1.0587857142857144E-3</v>
      </c>
      <c r="CI80" s="216">
        <f t="shared" si="1203"/>
        <v>1.0940785714285716E-3</v>
      </c>
      <c r="CJ80" s="216">
        <f t="shared" si="1203"/>
        <v>1.0587857142857144E-3</v>
      </c>
      <c r="CK80" s="216">
        <f t="shared" si="1203"/>
        <v>1.0940785714285716E-3</v>
      </c>
      <c r="CL80" s="216">
        <f t="shared" si="1203"/>
        <v>1.0940785714285716E-3</v>
      </c>
      <c r="CM80" s="216">
        <f t="shared" si="1203"/>
        <v>9.8820000000000006E-4</v>
      </c>
      <c r="CN80" s="216">
        <f t="shared" si="1203"/>
        <v>1.0940785714285716E-3</v>
      </c>
      <c r="CO80" s="216">
        <f t="shared" si="1203"/>
        <v>1.0587857142857144E-3</v>
      </c>
      <c r="CP80" s="216">
        <f t="shared" si="1203"/>
        <v>1.0940785714285716E-3</v>
      </c>
      <c r="CQ80" s="216">
        <f t="shared" si="1203"/>
        <v>1.0587857142857144E-3</v>
      </c>
      <c r="CR80" s="216">
        <f t="shared" si="1203"/>
        <v>1.0940785714285716E-3</v>
      </c>
      <c r="CS80" s="216">
        <f t="shared" si="1203"/>
        <v>1.0940785714285716E-3</v>
      </c>
      <c r="CT80" s="216">
        <f t="shared" si="1203"/>
        <v>1.0587857142857144E-3</v>
      </c>
      <c r="CU80" s="216">
        <f t="shared" si="1203"/>
        <v>1.0940785714285716E-3</v>
      </c>
      <c r="CV80" s="216">
        <f t="shared" si="1203"/>
        <v>1.0587857142857144E-3</v>
      </c>
      <c r="CW80" s="216">
        <f t="shared" si="1203"/>
        <v>1.0940785714285716E-3</v>
      </c>
      <c r="CX80" s="216">
        <f t="shared" si="1203"/>
        <v>1.0940785714285716E-3</v>
      </c>
      <c r="CY80" s="216">
        <f t="shared" si="1203"/>
        <v>9.8820000000000006E-4</v>
      </c>
      <c r="CZ80" s="216">
        <f t="shared" si="1203"/>
        <v>1.0940785714285716E-3</v>
      </c>
      <c r="DA80" s="216">
        <f t="shared" si="1203"/>
        <v>1.0587857142857144E-3</v>
      </c>
      <c r="DB80" s="216">
        <f t="shared" si="1203"/>
        <v>1.0940785714285716E-3</v>
      </c>
      <c r="DC80" s="216">
        <f t="shared" si="1203"/>
        <v>1.0587857142857144E-3</v>
      </c>
      <c r="DD80" s="216">
        <f t="shared" si="1203"/>
        <v>1.0940785714285716E-3</v>
      </c>
      <c r="DE80" s="216">
        <f t="shared" si="1203"/>
        <v>1.0940785714285716E-3</v>
      </c>
      <c r="DF80" s="216">
        <f t="shared" si="1203"/>
        <v>1.0587857142857144E-3</v>
      </c>
      <c r="DG80" s="216">
        <f t="shared" si="1203"/>
        <v>1.0940785714285716E-3</v>
      </c>
      <c r="DH80" s="216">
        <f t="shared" si="1203"/>
        <v>1.0587857142857144E-3</v>
      </c>
      <c r="DI80" s="216">
        <f t="shared" si="1203"/>
        <v>1.0940785714285716E-3</v>
      </c>
      <c r="DJ80" s="216">
        <f t="shared" si="1203"/>
        <v>1.0940785714285716E-3</v>
      </c>
      <c r="DK80" s="216">
        <f t="shared" si="1203"/>
        <v>1.0234928571428573E-3</v>
      </c>
      <c r="DL80" s="216">
        <f t="shared" si="1203"/>
        <v>1.0940785714285716E-3</v>
      </c>
      <c r="DM80" s="216">
        <f t="shared" si="1203"/>
        <v>1.0587857142857144E-3</v>
      </c>
      <c r="DN80" s="216">
        <f t="shared" si="1203"/>
        <v>1.0940785714285716E-3</v>
      </c>
      <c r="DO80" s="216">
        <f t="shared" si="1203"/>
        <v>1.0587857142857144E-3</v>
      </c>
      <c r="DP80" s="216">
        <f t="shared" si="1203"/>
        <v>1.0940785714285716E-3</v>
      </c>
      <c r="DQ80" s="216">
        <f t="shared" si="1203"/>
        <v>1.0940785714285716E-3</v>
      </c>
      <c r="DR80" s="216">
        <f t="shared" si="1203"/>
        <v>1.0587857142857144E-3</v>
      </c>
      <c r="DS80" s="216">
        <f t="shared" si="1203"/>
        <v>1.0940785714285716E-3</v>
      </c>
      <c r="DT80" s="216">
        <f t="shared" si="1203"/>
        <v>1.0587857142857144E-3</v>
      </c>
      <c r="DU80" s="216">
        <f t="shared" si="1203"/>
        <v>1.0940785714285716E-3</v>
      </c>
      <c r="DV80" s="469">
        <f t="shared" si="1203"/>
        <v>1.0940785714285716E-3</v>
      </c>
      <c r="DW80" s="716"/>
      <c r="DX80" s="501"/>
      <c r="DY80" s="217"/>
      <c r="DZ80" s="217"/>
      <c r="EA80" s="217"/>
      <c r="EB80" s="217"/>
      <c r="EC80" s="218"/>
      <c r="ED80" s="218"/>
      <c r="EE80" s="218"/>
      <c r="EF80" s="219"/>
      <c r="EG80" s="218"/>
      <c r="EH80" s="218"/>
      <c r="EI80" s="502"/>
      <c r="EJ80" s="30"/>
      <c r="EK80" s="218"/>
      <c r="EL80" s="218"/>
      <c r="EM80" s="218"/>
      <c r="EN80" s="218"/>
      <c r="EO80" s="218"/>
      <c r="EP80" s="502"/>
    </row>
    <row r="81" spans="2:146" x14ac:dyDescent="0.3">
      <c r="B81" s="225" t="s">
        <v>907</v>
      </c>
      <c r="C81" s="245" t="s">
        <v>685</v>
      </c>
      <c r="D81" s="227"/>
      <c r="E81" s="474"/>
      <c r="F81" s="222">
        <v>0</v>
      </c>
      <c r="G81" s="223">
        <f t="shared" ref="G81:R81" si="1204">F81</f>
        <v>0</v>
      </c>
      <c r="H81" s="223">
        <f t="shared" si="1204"/>
        <v>0</v>
      </c>
      <c r="I81" s="223">
        <f t="shared" si="1204"/>
        <v>0</v>
      </c>
      <c r="J81" s="223">
        <f t="shared" si="1204"/>
        <v>0</v>
      </c>
      <c r="K81" s="223">
        <f t="shared" si="1204"/>
        <v>0</v>
      </c>
      <c r="L81" s="223">
        <f t="shared" si="1204"/>
        <v>0</v>
      </c>
      <c r="M81" s="223">
        <f t="shared" si="1204"/>
        <v>0</v>
      </c>
      <c r="N81" s="223">
        <f t="shared" si="1204"/>
        <v>0</v>
      </c>
      <c r="O81" s="223">
        <f t="shared" si="1204"/>
        <v>0</v>
      </c>
      <c r="P81" s="223">
        <f t="shared" si="1204"/>
        <v>0</v>
      </c>
      <c r="Q81" s="223">
        <f t="shared" si="1204"/>
        <v>0</v>
      </c>
      <c r="R81" s="223">
        <f t="shared" si="1204"/>
        <v>0</v>
      </c>
      <c r="S81" s="371">
        <v>0</v>
      </c>
      <c r="T81" s="223">
        <f t="shared" ref="T81:AD81" si="1205">S81</f>
        <v>0</v>
      </c>
      <c r="U81" s="223">
        <f t="shared" si="1205"/>
        <v>0</v>
      </c>
      <c r="V81" s="223">
        <f t="shared" si="1205"/>
        <v>0</v>
      </c>
      <c r="W81" s="223">
        <f t="shared" si="1205"/>
        <v>0</v>
      </c>
      <c r="X81" s="223">
        <f t="shared" si="1205"/>
        <v>0</v>
      </c>
      <c r="Y81" s="223">
        <f t="shared" si="1205"/>
        <v>0</v>
      </c>
      <c r="Z81" s="223">
        <f t="shared" si="1205"/>
        <v>0</v>
      </c>
      <c r="AA81" s="223">
        <f t="shared" si="1205"/>
        <v>0</v>
      </c>
      <c r="AB81" s="223">
        <f t="shared" si="1205"/>
        <v>0</v>
      </c>
      <c r="AC81" s="223">
        <f t="shared" si="1205"/>
        <v>0</v>
      </c>
      <c r="AD81" s="223">
        <f t="shared" si="1205"/>
        <v>0</v>
      </c>
      <c r="AE81" s="371">
        <v>0</v>
      </c>
      <c r="AF81" s="223">
        <f t="shared" ref="AF81:AP81" si="1206">AE81</f>
        <v>0</v>
      </c>
      <c r="AG81" s="223">
        <f t="shared" si="1206"/>
        <v>0</v>
      </c>
      <c r="AH81" s="223">
        <f t="shared" si="1206"/>
        <v>0</v>
      </c>
      <c r="AI81" s="223">
        <f t="shared" si="1206"/>
        <v>0</v>
      </c>
      <c r="AJ81" s="223">
        <f t="shared" si="1206"/>
        <v>0</v>
      </c>
      <c r="AK81" s="223">
        <f t="shared" si="1206"/>
        <v>0</v>
      </c>
      <c r="AL81" s="223">
        <f t="shared" si="1206"/>
        <v>0</v>
      </c>
      <c r="AM81" s="223">
        <f t="shared" si="1206"/>
        <v>0</v>
      </c>
      <c r="AN81" s="223">
        <f t="shared" si="1206"/>
        <v>0</v>
      </c>
      <c r="AO81" s="223">
        <f t="shared" si="1206"/>
        <v>0</v>
      </c>
      <c r="AP81" s="223">
        <f t="shared" si="1206"/>
        <v>0</v>
      </c>
      <c r="AQ81" s="371">
        <v>0</v>
      </c>
      <c r="AR81" s="223">
        <f t="shared" ref="AR81:BB81" si="1207">AQ81</f>
        <v>0</v>
      </c>
      <c r="AS81" s="223">
        <f t="shared" si="1207"/>
        <v>0</v>
      </c>
      <c r="AT81" s="223">
        <f t="shared" si="1207"/>
        <v>0</v>
      </c>
      <c r="AU81" s="223">
        <f t="shared" si="1207"/>
        <v>0</v>
      </c>
      <c r="AV81" s="223">
        <f t="shared" si="1207"/>
        <v>0</v>
      </c>
      <c r="AW81" s="223">
        <f t="shared" si="1207"/>
        <v>0</v>
      </c>
      <c r="AX81" s="223">
        <f t="shared" si="1207"/>
        <v>0</v>
      </c>
      <c r="AY81" s="223">
        <f t="shared" si="1207"/>
        <v>0</v>
      </c>
      <c r="AZ81" s="223">
        <f t="shared" si="1207"/>
        <v>0</v>
      </c>
      <c r="BA81" s="223">
        <f t="shared" si="1207"/>
        <v>0</v>
      </c>
      <c r="BB81" s="223">
        <f t="shared" si="1207"/>
        <v>0</v>
      </c>
      <c r="BC81" s="371">
        <v>0</v>
      </c>
      <c r="BD81" s="223">
        <f>BC81</f>
        <v>0</v>
      </c>
      <c r="BE81" s="223">
        <f t="shared" ref="BE81:BN81" si="1208">BD81</f>
        <v>0</v>
      </c>
      <c r="BF81" s="223">
        <f t="shared" si="1208"/>
        <v>0</v>
      </c>
      <c r="BG81" s="223">
        <f t="shared" si="1208"/>
        <v>0</v>
      </c>
      <c r="BH81" s="223">
        <f t="shared" si="1208"/>
        <v>0</v>
      </c>
      <c r="BI81" s="223">
        <f t="shared" si="1208"/>
        <v>0</v>
      </c>
      <c r="BJ81" s="223">
        <f t="shared" si="1208"/>
        <v>0</v>
      </c>
      <c r="BK81" s="223">
        <f t="shared" si="1208"/>
        <v>0</v>
      </c>
      <c r="BL81" s="223">
        <f t="shared" si="1208"/>
        <v>0</v>
      </c>
      <c r="BM81" s="223">
        <f t="shared" si="1208"/>
        <v>0</v>
      </c>
      <c r="BN81" s="223">
        <f t="shared" si="1208"/>
        <v>0</v>
      </c>
      <c r="BO81" s="371">
        <v>0</v>
      </c>
      <c r="BP81" s="223">
        <f t="shared" ref="BP81:BZ81" si="1209">BO81</f>
        <v>0</v>
      </c>
      <c r="BQ81" s="223">
        <f t="shared" si="1209"/>
        <v>0</v>
      </c>
      <c r="BR81" s="223">
        <f t="shared" si="1209"/>
        <v>0</v>
      </c>
      <c r="BS81" s="223">
        <f t="shared" si="1209"/>
        <v>0</v>
      </c>
      <c r="BT81" s="223">
        <f t="shared" si="1209"/>
        <v>0</v>
      </c>
      <c r="BU81" s="223">
        <f t="shared" si="1209"/>
        <v>0</v>
      </c>
      <c r="BV81" s="223">
        <f t="shared" si="1209"/>
        <v>0</v>
      </c>
      <c r="BW81" s="223">
        <f t="shared" si="1209"/>
        <v>0</v>
      </c>
      <c r="BX81" s="223">
        <f t="shared" si="1209"/>
        <v>0</v>
      </c>
      <c r="BY81" s="223">
        <f t="shared" si="1209"/>
        <v>0</v>
      </c>
      <c r="BZ81" s="223">
        <f t="shared" si="1209"/>
        <v>0</v>
      </c>
      <c r="CA81" s="371">
        <v>0</v>
      </c>
      <c r="CB81" s="223">
        <f t="shared" ref="CB81:CL81" si="1210">CA81</f>
        <v>0</v>
      </c>
      <c r="CC81" s="223">
        <f t="shared" si="1210"/>
        <v>0</v>
      </c>
      <c r="CD81" s="223">
        <f t="shared" si="1210"/>
        <v>0</v>
      </c>
      <c r="CE81" s="223">
        <f t="shared" si="1210"/>
        <v>0</v>
      </c>
      <c r="CF81" s="223">
        <f t="shared" si="1210"/>
        <v>0</v>
      </c>
      <c r="CG81" s="223">
        <f t="shared" si="1210"/>
        <v>0</v>
      </c>
      <c r="CH81" s="223">
        <f t="shared" si="1210"/>
        <v>0</v>
      </c>
      <c r="CI81" s="223">
        <f t="shared" si="1210"/>
        <v>0</v>
      </c>
      <c r="CJ81" s="223">
        <f t="shared" si="1210"/>
        <v>0</v>
      </c>
      <c r="CK81" s="223">
        <f t="shared" si="1210"/>
        <v>0</v>
      </c>
      <c r="CL81" s="223">
        <f t="shared" si="1210"/>
        <v>0</v>
      </c>
      <c r="CM81" s="371">
        <v>0</v>
      </c>
      <c r="CN81" s="223">
        <f t="shared" ref="CN81:CX81" si="1211">CM81</f>
        <v>0</v>
      </c>
      <c r="CO81" s="223">
        <f t="shared" si="1211"/>
        <v>0</v>
      </c>
      <c r="CP81" s="223">
        <f t="shared" si="1211"/>
        <v>0</v>
      </c>
      <c r="CQ81" s="223">
        <f t="shared" si="1211"/>
        <v>0</v>
      </c>
      <c r="CR81" s="223">
        <f t="shared" si="1211"/>
        <v>0</v>
      </c>
      <c r="CS81" s="223">
        <f t="shared" si="1211"/>
        <v>0</v>
      </c>
      <c r="CT81" s="223">
        <f t="shared" si="1211"/>
        <v>0</v>
      </c>
      <c r="CU81" s="223">
        <f t="shared" si="1211"/>
        <v>0</v>
      </c>
      <c r="CV81" s="223">
        <f t="shared" si="1211"/>
        <v>0</v>
      </c>
      <c r="CW81" s="223">
        <f t="shared" si="1211"/>
        <v>0</v>
      </c>
      <c r="CX81" s="223">
        <f t="shared" si="1211"/>
        <v>0</v>
      </c>
      <c r="CY81" s="371">
        <v>0</v>
      </c>
      <c r="CZ81" s="223">
        <f t="shared" ref="CZ81:DJ81" si="1212">CY81</f>
        <v>0</v>
      </c>
      <c r="DA81" s="223">
        <f t="shared" si="1212"/>
        <v>0</v>
      </c>
      <c r="DB81" s="223">
        <f t="shared" si="1212"/>
        <v>0</v>
      </c>
      <c r="DC81" s="223">
        <f t="shared" si="1212"/>
        <v>0</v>
      </c>
      <c r="DD81" s="223">
        <f t="shared" si="1212"/>
        <v>0</v>
      </c>
      <c r="DE81" s="223">
        <f t="shared" si="1212"/>
        <v>0</v>
      </c>
      <c r="DF81" s="223">
        <f t="shared" si="1212"/>
        <v>0</v>
      </c>
      <c r="DG81" s="223">
        <f t="shared" si="1212"/>
        <v>0</v>
      </c>
      <c r="DH81" s="223">
        <f t="shared" si="1212"/>
        <v>0</v>
      </c>
      <c r="DI81" s="223">
        <f t="shared" si="1212"/>
        <v>0</v>
      </c>
      <c r="DJ81" s="223">
        <f t="shared" si="1212"/>
        <v>0</v>
      </c>
      <c r="DK81" s="371">
        <v>0</v>
      </c>
      <c r="DL81" s="223">
        <f t="shared" ref="DL81:DV81" si="1213">DK81</f>
        <v>0</v>
      </c>
      <c r="DM81" s="223">
        <f t="shared" si="1213"/>
        <v>0</v>
      </c>
      <c r="DN81" s="223">
        <f t="shared" si="1213"/>
        <v>0</v>
      </c>
      <c r="DO81" s="223">
        <f t="shared" si="1213"/>
        <v>0</v>
      </c>
      <c r="DP81" s="223">
        <f t="shared" si="1213"/>
        <v>0</v>
      </c>
      <c r="DQ81" s="223">
        <f t="shared" si="1213"/>
        <v>0</v>
      </c>
      <c r="DR81" s="223">
        <f t="shared" si="1213"/>
        <v>0</v>
      </c>
      <c r="DS81" s="223">
        <f t="shared" si="1213"/>
        <v>0</v>
      </c>
      <c r="DT81" s="223">
        <f t="shared" si="1213"/>
        <v>0</v>
      </c>
      <c r="DU81" s="223">
        <f t="shared" si="1213"/>
        <v>0</v>
      </c>
      <c r="DV81" s="471">
        <f t="shared" si="1213"/>
        <v>0</v>
      </c>
      <c r="DW81" s="640"/>
      <c r="DX81" s="470"/>
      <c r="DY81" s="244"/>
      <c r="DZ81" s="244"/>
      <c r="EA81" s="244"/>
      <c r="EB81" s="244"/>
      <c r="EC81" s="244"/>
      <c r="ED81" s="244"/>
      <c r="EE81" s="244"/>
      <c r="EF81" s="244"/>
      <c r="EG81" s="244"/>
      <c r="EH81" s="244"/>
      <c r="EI81" s="510"/>
      <c r="EJ81" s="30"/>
      <c r="EK81" s="244"/>
      <c r="EL81" s="244"/>
      <c r="EM81" s="244"/>
      <c r="EN81" s="244"/>
      <c r="EO81" s="244"/>
      <c r="EP81" s="510"/>
    </row>
    <row r="82" spans="2:146" x14ac:dyDescent="0.3">
      <c r="B82" s="225" t="s">
        <v>908</v>
      </c>
      <c r="C82" s="245" t="s">
        <v>685</v>
      </c>
      <c r="D82" s="227"/>
      <c r="E82" s="474"/>
      <c r="F82" s="679">
        <f>F80*F81</f>
        <v>0</v>
      </c>
      <c r="G82" s="234">
        <f t="shared" ref="G82:BR82" si="1214">G80*G81</f>
        <v>0</v>
      </c>
      <c r="H82" s="234">
        <f t="shared" si="1214"/>
        <v>0</v>
      </c>
      <c r="I82" s="234">
        <f t="shared" si="1214"/>
        <v>0</v>
      </c>
      <c r="J82" s="234">
        <f t="shared" si="1214"/>
        <v>0</v>
      </c>
      <c r="K82" s="234">
        <f t="shared" si="1214"/>
        <v>0</v>
      </c>
      <c r="L82" s="234">
        <f t="shared" si="1214"/>
        <v>0</v>
      </c>
      <c r="M82" s="234">
        <f t="shared" si="1214"/>
        <v>0</v>
      </c>
      <c r="N82" s="234">
        <f t="shared" si="1214"/>
        <v>0</v>
      </c>
      <c r="O82" s="234">
        <f t="shared" si="1214"/>
        <v>0</v>
      </c>
      <c r="P82" s="234">
        <f t="shared" si="1214"/>
        <v>0</v>
      </c>
      <c r="Q82" s="234">
        <f t="shared" si="1214"/>
        <v>0</v>
      </c>
      <c r="R82" s="234">
        <f t="shared" si="1214"/>
        <v>0</v>
      </c>
      <c r="S82" s="234">
        <f t="shared" si="1214"/>
        <v>0</v>
      </c>
      <c r="T82" s="234">
        <f t="shared" si="1214"/>
        <v>0</v>
      </c>
      <c r="U82" s="234">
        <f t="shared" si="1214"/>
        <v>0</v>
      </c>
      <c r="V82" s="234">
        <f t="shared" si="1214"/>
        <v>0</v>
      </c>
      <c r="W82" s="234">
        <f t="shared" si="1214"/>
        <v>0</v>
      </c>
      <c r="X82" s="234">
        <f t="shared" si="1214"/>
        <v>0</v>
      </c>
      <c r="Y82" s="234">
        <f t="shared" si="1214"/>
        <v>0</v>
      </c>
      <c r="Z82" s="234">
        <f t="shared" si="1214"/>
        <v>0</v>
      </c>
      <c r="AA82" s="234">
        <f t="shared" si="1214"/>
        <v>0</v>
      </c>
      <c r="AB82" s="234">
        <f t="shared" si="1214"/>
        <v>0</v>
      </c>
      <c r="AC82" s="234">
        <f t="shared" si="1214"/>
        <v>0</v>
      </c>
      <c r="AD82" s="234">
        <f t="shared" si="1214"/>
        <v>0</v>
      </c>
      <c r="AE82" s="234">
        <f t="shared" si="1214"/>
        <v>0</v>
      </c>
      <c r="AF82" s="234">
        <f t="shared" si="1214"/>
        <v>0</v>
      </c>
      <c r="AG82" s="234">
        <f t="shared" si="1214"/>
        <v>0</v>
      </c>
      <c r="AH82" s="234">
        <f t="shared" si="1214"/>
        <v>0</v>
      </c>
      <c r="AI82" s="234">
        <f t="shared" si="1214"/>
        <v>0</v>
      </c>
      <c r="AJ82" s="234">
        <f t="shared" si="1214"/>
        <v>0</v>
      </c>
      <c r="AK82" s="234">
        <f t="shared" si="1214"/>
        <v>0</v>
      </c>
      <c r="AL82" s="234">
        <f t="shared" si="1214"/>
        <v>0</v>
      </c>
      <c r="AM82" s="234">
        <f t="shared" si="1214"/>
        <v>0</v>
      </c>
      <c r="AN82" s="234">
        <f t="shared" si="1214"/>
        <v>0</v>
      </c>
      <c r="AO82" s="234">
        <f t="shared" si="1214"/>
        <v>0</v>
      </c>
      <c r="AP82" s="234">
        <f t="shared" si="1214"/>
        <v>0</v>
      </c>
      <c r="AQ82" s="234">
        <f t="shared" si="1214"/>
        <v>0</v>
      </c>
      <c r="AR82" s="228">
        <f t="shared" si="1214"/>
        <v>0</v>
      </c>
      <c r="AS82" s="228">
        <f t="shared" si="1214"/>
        <v>0</v>
      </c>
      <c r="AT82" s="228">
        <f t="shared" si="1214"/>
        <v>0</v>
      </c>
      <c r="AU82" s="228">
        <f t="shared" si="1214"/>
        <v>0</v>
      </c>
      <c r="AV82" s="228">
        <f t="shared" si="1214"/>
        <v>0</v>
      </c>
      <c r="AW82" s="228">
        <f t="shared" si="1214"/>
        <v>0</v>
      </c>
      <c r="AX82" s="228">
        <f t="shared" si="1214"/>
        <v>0</v>
      </c>
      <c r="AY82" s="228">
        <f t="shared" si="1214"/>
        <v>0</v>
      </c>
      <c r="AZ82" s="228">
        <f t="shared" si="1214"/>
        <v>0</v>
      </c>
      <c r="BA82" s="228">
        <f t="shared" si="1214"/>
        <v>0</v>
      </c>
      <c r="BB82" s="228">
        <f t="shared" si="1214"/>
        <v>0</v>
      </c>
      <c r="BC82" s="234">
        <f t="shared" si="1214"/>
        <v>0</v>
      </c>
      <c r="BD82" s="228">
        <f t="shared" si="1214"/>
        <v>0</v>
      </c>
      <c r="BE82" s="228">
        <f t="shared" si="1214"/>
        <v>0</v>
      </c>
      <c r="BF82" s="228">
        <f t="shared" si="1214"/>
        <v>0</v>
      </c>
      <c r="BG82" s="228">
        <f t="shared" si="1214"/>
        <v>0</v>
      </c>
      <c r="BH82" s="228">
        <f t="shared" si="1214"/>
        <v>0</v>
      </c>
      <c r="BI82" s="228">
        <f t="shared" si="1214"/>
        <v>0</v>
      </c>
      <c r="BJ82" s="228">
        <f t="shared" si="1214"/>
        <v>0</v>
      </c>
      <c r="BK82" s="228">
        <f t="shared" si="1214"/>
        <v>0</v>
      </c>
      <c r="BL82" s="228">
        <f t="shared" si="1214"/>
        <v>0</v>
      </c>
      <c r="BM82" s="228">
        <f t="shared" si="1214"/>
        <v>0</v>
      </c>
      <c r="BN82" s="228">
        <f t="shared" si="1214"/>
        <v>0</v>
      </c>
      <c r="BO82" s="234">
        <f t="shared" si="1214"/>
        <v>0</v>
      </c>
      <c r="BP82" s="228">
        <f t="shared" si="1214"/>
        <v>0</v>
      </c>
      <c r="BQ82" s="228">
        <f t="shared" si="1214"/>
        <v>0</v>
      </c>
      <c r="BR82" s="228">
        <f t="shared" si="1214"/>
        <v>0</v>
      </c>
      <c r="BS82" s="228">
        <f t="shared" ref="BS82:DV82" si="1215">BS80*BS81</f>
        <v>0</v>
      </c>
      <c r="BT82" s="228">
        <f t="shared" si="1215"/>
        <v>0</v>
      </c>
      <c r="BU82" s="228">
        <f t="shared" si="1215"/>
        <v>0</v>
      </c>
      <c r="BV82" s="228">
        <f t="shared" si="1215"/>
        <v>0</v>
      </c>
      <c r="BW82" s="228">
        <f t="shared" si="1215"/>
        <v>0</v>
      </c>
      <c r="BX82" s="228">
        <f t="shared" si="1215"/>
        <v>0</v>
      </c>
      <c r="BY82" s="228">
        <f t="shared" si="1215"/>
        <v>0</v>
      </c>
      <c r="BZ82" s="228">
        <f t="shared" si="1215"/>
        <v>0</v>
      </c>
      <c r="CA82" s="234">
        <f t="shared" si="1215"/>
        <v>0</v>
      </c>
      <c r="CB82" s="228">
        <f t="shared" si="1215"/>
        <v>0</v>
      </c>
      <c r="CC82" s="228">
        <f t="shared" si="1215"/>
        <v>0</v>
      </c>
      <c r="CD82" s="228">
        <f t="shared" si="1215"/>
        <v>0</v>
      </c>
      <c r="CE82" s="228">
        <f t="shared" si="1215"/>
        <v>0</v>
      </c>
      <c r="CF82" s="228">
        <f t="shared" si="1215"/>
        <v>0</v>
      </c>
      <c r="CG82" s="228">
        <f t="shared" si="1215"/>
        <v>0</v>
      </c>
      <c r="CH82" s="228">
        <f t="shared" si="1215"/>
        <v>0</v>
      </c>
      <c r="CI82" s="228">
        <f t="shared" si="1215"/>
        <v>0</v>
      </c>
      <c r="CJ82" s="228">
        <f t="shared" si="1215"/>
        <v>0</v>
      </c>
      <c r="CK82" s="228">
        <f t="shared" si="1215"/>
        <v>0</v>
      </c>
      <c r="CL82" s="228">
        <f t="shared" si="1215"/>
        <v>0</v>
      </c>
      <c r="CM82" s="234">
        <f t="shared" si="1215"/>
        <v>0</v>
      </c>
      <c r="CN82" s="228">
        <f t="shared" si="1215"/>
        <v>0</v>
      </c>
      <c r="CO82" s="228">
        <f t="shared" si="1215"/>
        <v>0</v>
      </c>
      <c r="CP82" s="228">
        <f t="shared" si="1215"/>
        <v>0</v>
      </c>
      <c r="CQ82" s="228">
        <f t="shared" si="1215"/>
        <v>0</v>
      </c>
      <c r="CR82" s="228">
        <f t="shared" si="1215"/>
        <v>0</v>
      </c>
      <c r="CS82" s="228">
        <f t="shared" si="1215"/>
        <v>0</v>
      </c>
      <c r="CT82" s="228">
        <f t="shared" si="1215"/>
        <v>0</v>
      </c>
      <c r="CU82" s="228">
        <f t="shared" si="1215"/>
        <v>0</v>
      </c>
      <c r="CV82" s="228">
        <f t="shared" si="1215"/>
        <v>0</v>
      </c>
      <c r="CW82" s="228">
        <f t="shared" si="1215"/>
        <v>0</v>
      </c>
      <c r="CX82" s="228">
        <f t="shared" si="1215"/>
        <v>0</v>
      </c>
      <c r="CY82" s="234">
        <f t="shared" si="1215"/>
        <v>0</v>
      </c>
      <c r="CZ82" s="228">
        <f t="shared" si="1215"/>
        <v>0</v>
      </c>
      <c r="DA82" s="228">
        <f t="shared" si="1215"/>
        <v>0</v>
      </c>
      <c r="DB82" s="228">
        <f t="shared" si="1215"/>
        <v>0</v>
      </c>
      <c r="DC82" s="228">
        <f t="shared" si="1215"/>
        <v>0</v>
      </c>
      <c r="DD82" s="228">
        <f t="shared" si="1215"/>
        <v>0</v>
      </c>
      <c r="DE82" s="228">
        <f t="shared" si="1215"/>
        <v>0</v>
      </c>
      <c r="DF82" s="228">
        <f t="shared" si="1215"/>
        <v>0</v>
      </c>
      <c r="DG82" s="228">
        <f t="shared" si="1215"/>
        <v>0</v>
      </c>
      <c r="DH82" s="228">
        <f t="shared" si="1215"/>
        <v>0</v>
      </c>
      <c r="DI82" s="228">
        <f t="shared" si="1215"/>
        <v>0</v>
      </c>
      <c r="DJ82" s="228">
        <f t="shared" si="1215"/>
        <v>0</v>
      </c>
      <c r="DK82" s="234">
        <f t="shared" si="1215"/>
        <v>0</v>
      </c>
      <c r="DL82" s="228">
        <f t="shared" si="1215"/>
        <v>0</v>
      </c>
      <c r="DM82" s="228">
        <f t="shared" si="1215"/>
        <v>0</v>
      </c>
      <c r="DN82" s="228">
        <f t="shared" si="1215"/>
        <v>0</v>
      </c>
      <c r="DO82" s="228">
        <f t="shared" si="1215"/>
        <v>0</v>
      </c>
      <c r="DP82" s="228">
        <f t="shared" si="1215"/>
        <v>0</v>
      </c>
      <c r="DQ82" s="228">
        <f t="shared" si="1215"/>
        <v>0</v>
      </c>
      <c r="DR82" s="228">
        <f t="shared" si="1215"/>
        <v>0</v>
      </c>
      <c r="DS82" s="228">
        <f t="shared" si="1215"/>
        <v>0</v>
      </c>
      <c r="DT82" s="228">
        <f t="shared" si="1215"/>
        <v>0</v>
      </c>
      <c r="DU82" s="228">
        <f t="shared" si="1215"/>
        <v>0</v>
      </c>
      <c r="DV82" s="472">
        <f t="shared" si="1215"/>
        <v>0</v>
      </c>
      <c r="DW82" s="717"/>
      <c r="DX82" s="505">
        <f>SUM(D82:F82)</f>
        <v>0</v>
      </c>
      <c r="DY82" s="229">
        <f>SUM(G82:I82)</f>
        <v>0</v>
      </c>
      <c r="DZ82" s="229">
        <f>SUM(J82:L82)</f>
        <v>0</v>
      </c>
      <c r="EA82" s="229">
        <f>SUM(M82:O82)</f>
        <v>0</v>
      </c>
      <c r="EB82" s="229">
        <f>SUM(P82:R82)</f>
        <v>0</v>
      </c>
      <c r="EC82" s="230">
        <f>SUM(D82:R82)</f>
        <v>0</v>
      </c>
      <c r="ED82" s="230">
        <f>SUM(S82:AD82)</f>
        <v>0</v>
      </c>
      <c r="EE82" s="230">
        <f>SUM(AE82:AP82)</f>
        <v>0</v>
      </c>
      <c r="EF82" s="231">
        <f>SUM(EC82:EE82)</f>
        <v>0</v>
      </c>
      <c r="EG82" s="230">
        <f>SUM(AQ82:BB82)</f>
        <v>0</v>
      </c>
      <c r="EH82" s="230">
        <f>SUM(BC82:BN82)</f>
        <v>0</v>
      </c>
      <c r="EI82" s="506">
        <f>SUM(EF82:EH82)</f>
        <v>0</v>
      </c>
      <c r="EJ82" s="30">
        <v>0</v>
      </c>
      <c r="EK82" s="230">
        <f t="shared" ref="EK82" si="1216">SUM(BO82:BZ82)</f>
        <v>0</v>
      </c>
      <c r="EL82" s="230">
        <f t="shared" ref="EL82" si="1217">SUM(CA82:CL82)</f>
        <v>0</v>
      </c>
      <c r="EM82" s="230">
        <f t="shared" ref="EM82" si="1218">SUM(CM82:CX82)</f>
        <v>0</v>
      </c>
      <c r="EN82" s="230">
        <f t="shared" ref="EN82" si="1219">SUM(CY82:DJ82)</f>
        <v>0</v>
      </c>
      <c r="EO82" s="230">
        <f t="shared" ref="EO82" si="1220">SUM(DK82:DV82)</f>
        <v>0</v>
      </c>
      <c r="EP82" s="506">
        <f t="shared" ref="EP82" si="1221">SUM(EC82:EE82,EG82:EH82,EK82:EO82)</f>
        <v>0</v>
      </c>
    </row>
    <row r="85" spans="2:146" x14ac:dyDescent="0.3">
      <c r="B85" s="1577" t="s">
        <v>944</v>
      </c>
      <c r="C85" s="1578">
        <v>46388</v>
      </c>
      <c r="D85" s="1578">
        <v>46753</v>
      </c>
      <c r="E85" s="1578">
        <v>47119</v>
      </c>
      <c r="F85" s="1578">
        <v>47484</v>
      </c>
    </row>
    <row r="86" spans="2:146" x14ac:dyDescent="0.3">
      <c r="B86" s="370" t="s">
        <v>943</v>
      </c>
      <c r="C86" s="1579">
        <v>46</v>
      </c>
      <c r="D86" s="1579">
        <v>44</v>
      </c>
      <c r="E86" s="1579">
        <v>42</v>
      </c>
      <c r="F86" s="1579">
        <v>40</v>
      </c>
    </row>
    <row r="87" spans="2:146" x14ac:dyDescent="0.3">
      <c r="C87" s="1226">
        <v>8.5</v>
      </c>
      <c r="D87" s="1226">
        <v>8.5</v>
      </c>
      <c r="E87" s="1226">
        <v>8</v>
      </c>
      <c r="F87" s="1226">
        <v>8</v>
      </c>
    </row>
    <row r="88" spans="2:146" x14ac:dyDescent="0.3">
      <c r="B88" s="738"/>
    </row>
  </sheetData>
  <customSheetViews>
    <customSheetView guid="{8575BA2F-1C78-4E30-AE5C-07AED6245426}" scale="80" showGridLines="0" topLeftCell="A52">
      <selection activeCell="B76" sqref="B76"/>
      <pageMargins left="0" right="0" top="0" bottom="0" header="0" footer="0"/>
      <pageSetup orientation="portrait" r:id="rId1"/>
    </customSheetView>
  </customSheetViews>
  <conditionalFormatting sqref="F8:F17 F24 F19:F22 G8:N10 G12:N17 G19:N24 DX8:EF24 DX49:EF51 F49:N51">
    <cfRule type="cellIs" dxfId="729" priority="1596" stopIfTrue="1" operator="lessThan">
      <formula>0</formula>
    </cfRule>
  </conditionalFormatting>
  <conditionalFormatting sqref="H11:N11">
    <cfRule type="cellIs" dxfId="728" priority="788" stopIfTrue="1" operator="lessThan">
      <formula>0</formula>
    </cfRule>
  </conditionalFormatting>
  <conditionalFormatting sqref="O11:R11 T11:AD11 AF11:AP11 AR11:BB11 O8:BN10 O16:BN16 O21:BN22 O49:BN51 O12:BN13 BD11:BN11 BP49:BZ51 BP21:BZ22 BP16:BZ16 BP8:BZ13 CB8:CL13 CB16:CL16 CB21:CL22 CB49:CL51 CN49:CX51 CN21:CX22 CN16:CX16 CN8:CX13 CZ8:DJ13 CZ16:DJ16 CZ21:DJ22 CZ49:DJ51 DL49:DW51 DL21:DW22 DL16:DW16 DL8:DW13">
    <cfRule type="cellIs" dxfId="727" priority="778" stopIfTrue="1" operator="lessThan">
      <formula>0</formula>
    </cfRule>
  </conditionalFormatting>
  <conditionalFormatting sqref="O14:BN14 BP14:BZ14 CB14:CL14 CN14:CX14 CZ14:DJ14 DL14:DW14">
    <cfRule type="cellIs" dxfId="726" priority="776" stopIfTrue="1" operator="lessThan">
      <formula>0</formula>
    </cfRule>
  </conditionalFormatting>
  <conditionalFormatting sqref="O15:BN15 BP15:BZ15 CB15:CL15 CN15:CX15 CZ15:DJ15 DL15:DW15">
    <cfRule type="cellIs" dxfId="725" priority="775" stopIfTrue="1" operator="lessThan">
      <formula>0</formula>
    </cfRule>
  </conditionalFormatting>
  <conditionalFormatting sqref="O17:BN17 BP17:BZ17 CB17:CL17 CN17:CX17 CZ17:DJ17 DL17:DW17">
    <cfRule type="cellIs" dxfId="724" priority="774" stopIfTrue="1" operator="lessThan">
      <formula>0</formula>
    </cfRule>
  </conditionalFormatting>
  <conditionalFormatting sqref="O19:BN19 BP19:BZ19 CB19:CL19 CN19:CX19 CZ19:DJ19 DL19:DW19">
    <cfRule type="cellIs" dxfId="723" priority="772" stopIfTrue="1" operator="lessThan">
      <formula>0</formula>
    </cfRule>
  </conditionalFormatting>
  <conditionalFormatting sqref="O20:BN20 BP20:BZ20 CB20:CL20 CN20:CX20 CZ20:DJ20 DL20:DW20">
    <cfRule type="cellIs" dxfId="722" priority="771" stopIfTrue="1" operator="lessThan">
      <formula>0</formula>
    </cfRule>
  </conditionalFormatting>
  <conditionalFormatting sqref="O24:BN24 BP24:BZ24 CB24:CL24 CN24:CX24 CZ24:DJ24 DL24:DW24">
    <cfRule type="cellIs" dxfId="721" priority="769" stopIfTrue="1" operator="lessThan">
      <formula>0</formula>
    </cfRule>
  </conditionalFormatting>
  <conditionalFormatting sqref="H18:N18">
    <cfRule type="cellIs" dxfId="720" priority="765" stopIfTrue="1" operator="lessThan">
      <formula>0</formula>
    </cfRule>
  </conditionalFormatting>
  <conditionalFormatting sqref="O18:R18 T18:AD18 AF18:AP18 AR18:BB18 BD18:BN18 BP18:BZ18 CB18:CL18 CN18:CX18 CZ18:DJ18 DL18:DW18">
    <cfRule type="cellIs" dxfId="719" priority="764" stopIfTrue="1" operator="lessThan">
      <formula>0</formula>
    </cfRule>
  </conditionalFormatting>
  <conditionalFormatting sqref="F23">
    <cfRule type="cellIs" dxfId="718" priority="761" stopIfTrue="1" operator="lessThan">
      <formula>0</formula>
    </cfRule>
  </conditionalFormatting>
  <conditionalFormatting sqref="O23:R23 T23:AD23 AF23:AP23 AR23:BB23 BD23:BN23 BP23:BZ23 CB23:CL23 CN23:CX23 CZ23:DJ23 DL23:DW23">
    <cfRule type="cellIs" dxfId="717" priority="759" stopIfTrue="1" operator="lessThan">
      <formula>0</formula>
    </cfRule>
  </conditionalFormatting>
  <conditionalFormatting sqref="S23">
    <cfRule type="cellIs" dxfId="716" priority="758" stopIfTrue="1" operator="lessThan">
      <formula>0</formula>
    </cfRule>
  </conditionalFormatting>
  <conditionalFormatting sqref="AE23">
    <cfRule type="cellIs" dxfId="715" priority="757" stopIfTrue="1" operator="lessThan">
      <formula>0</formula>
    </cfRule>
  </conditionalFormatting>
  <conditionalFormatting sqref="F18">
    <cfRule type="cellIs" dxfId="714" priority="749" stopIfTrue="1" operator="lessThan">
      <formula>0</formula>
    </cfRule>
  </conditionalFormatting>
  <conditionalFormatting sqref="G18">
    <cfRule type="cellIs" dxfId="713" priority="747" stopIfTrue="1" operator="lessThan">
      <formula>0</formula>
    </cfRule>
  </conditionalFormatting>
  <conditionalFormatting sqref="G11">
    <cfRule type="cellIs" dxfId="712" priority="748" stopIfTrue="1" operator="lessThan">
      <formula>0</formula>
    </cfRule>
  </conditionalFormatting>
  <conditionalFormatting sqref="S11">
    <cfRule type="cellIs" dxfId="711" priority="746" stopIfTrue="1" operator="lessThan">
      <formula>0</formula>
    </cfRule>
  </conditionalFormatting>
  <conditionalFormatting sqref="EG8:EI24 EG49:EI51">
    <cfRule type="cellIs" dxfId="710" priority="742" stopIfTrue="1" operator="lessThan">
      <formula>0</formula>
    </cfRule>
  </conditionalFormatting>
  <conditionalFormatting sqref="S18">
    <cfRule type="cellIs" dxfId="709" priority="744" stopIfTrue="1" operator="lessThan">
      <formula>0</formula>
    </cfRule>
  </conditionalFormatting>
  <conditionalFormatting sqref="AE18">
    <cfRule type="cellIs" dxfId="708" priority="743" stopIfTrue="1" operator="lessThan">
      <formula>0</formula>
    </cfRule>
  </conditionalFormatting>
  <conditionalFormatting sqref="AQ23">
    <cfRule type="cellIs" dxfId="707" priority="740" stopIfTrue="1" operator="lessThan">
      <formula>0</formula>
    </cfRule>
  </conditionalFormatting>
  <conditionalFormatting sqref="BC23">
    <cfRule type="cellIs" dxfId="706" priority="739" stopIfTrue="1" operator="lessThan">
      <formula>0</formula>
    </cfRule>
  </conditionalFormatting>
  <conditionalFormatting sqref="AQ18">
    <cfRule type="cellIs" dxfId="705" priority="738" stopIfTrue="1" operator="lessThan">
      <formula>0</formula>
    </cfRule>
  </conditionalFormatting>
  <conditionalFormatting sqref="BC18">
    <cfRule type="cellIs" dxfId="704" priority="737" stopIfTrue="1" operator="lessThan">
      <formula>0</formula>
    </cfRule>
  </conditionalFormatting>
  <conditionalFormatting sqref="D8:E10 D12:E17 D19:E24 D49:E51">
    <cfRule type="cellIs" dxfId="703" priority="734" stopIfTrue="1" operator="lessThan">
      <formula>0</formula>
    </cfRule>
  </conditionalFormatting>
  <conditionalFormatting sqref="D18:E18">
    <cfRule type="cellIs" dxfId="702" priority="732" stopIfTrue="1" operator="lessThan">
      <formula>0</formula>
    </cfRule>
  </conditionalFormatting>
  <conditionalFormatting sqref="D11:E11">
    <cfRule type="cellIs" dxfId="701" priority="733" stopIfTrue="1" operator="lessThan">
      <formula>0</formula>
    </cfRule>
  </conditionalFormatting>
  <conditionalFormatting sqref="AE11">
    <cfRule type="cellIs" dxfId="700" priority="731" stopIfTrue="1" operator="lessThan">
      <formula>0</formula>
    </cfRule>
  </conditionalFormatting>
  <conditionalFormatting sqref="AQ11">
    <cfRule type="cellIs" dxfId="699" priority="730" stopIfTrue="1" operator="lessThan">
      <formula>0</formula>
    </cfRule>
  </conditionalFormatting>
  <conditionalFormatting sqref="BC11">
    <cfRule type="cellIs" dxfId="698" priority="729" stopIfTrue="1" operator="lessThan">
      <formula>0</formula>
    </cfRule>
  </conditionalFormatting>
  <conditionalFormatting sqref="AQ29">
    <cfRule type="cellIs" dxfId="697" priority="674" stopIfTrue="1" operator="lessThan">
      <formula>0</formula>
    </cfRule>
  </conditionalFormatting>
  <conditionalFormatting sqref="AQ33">
    <cfRule type="cellIs" dxfId="696" priority="673" stopIfTrue="1" operator="lessThan">
      <formula>0</formula>
    </cfRule>
  </conditionalFormatting>
  <conditionalFormatting sqref="AQ41">
    <cfRule type="cellIs" dxfId="695" priority="671" stopIfTrue="1" operator="lessThan">
      <formula>0</formula>
    </cfRule>
  </conditionalFormatting>
  <conditionalFormatting sqref="AQ45">
    <cfRule type="cellIs" dxfId="694" priority="669" stopIfTrue="1" operator="lessThan">
      <formula>0</formula>
    </cfRule>
  </conditionalFormatting>
  <conditionalFormatting sqref="D44:E44">
    <cfRule type="cellIs" dxfId="693" priority="627" stopIfTrue="1" operator="lessThan">
      <formula>0</formula>
    </cfRule>
  </conditionalFormatting>
  <conditionalFormatting sqref="BC45">
    <cfRule type="cellIs" dxfId="692" priority="662" stopIfTrue="1" operator="lessThan">
      <formula>0</formula>
    </cfRule>
  </conditionalFormatting>
  <conditionalFormatting sqref="AE27">
    <cfRule type="cellIs" dxfId="691" priority="661" stopIfTrue="1" operator="lessThan">
      <formula>0</formula>
    </cfRule>
  </conditionalFormatting>
  <conditionalFormatting sqref="BC27">
    <cfRule type="cellIs" dxfId="690" priority="659" stopIfTrue="1" operator="lessThan">
      <formula>0</formula>
    </cfRule>
  </conditionalFormatting>
  <conditionalFormatting sqref="D48:E48">
    <cfRule type="cellIs" dxfId="689" priority="621" stopIfTrue="1" operator="lessThan">
      <formula>0</formula>
    </cfRule>
  </conditionalFormatting>
  <conditionalFormatting sqref="D28:E28">
    <cfRule type="cellIs" dxfId="688" priority="651" stopIfTrue="1" operator="lessThan">
      <formula>0</formula>
    </cfRule>
  </conditionalFormatting>
  <conditionalFormatting sqref="D26:E27 D30:E31 D34:E35 D38:E39 D42:E43">
    <cfRule type="cellIs" dxfId="687" priority="728" stopIfTrue="1" operator="lessThan">
      <formula>0</formula>
    </cfRule>
  </conditionalFormatting>
  <conditionalFormatting sqref="DX27:EI27">
    <cfRule type="cellIs" dxfId="686" priority="727" stopIfTrue="1" operator="lessThan">
      <formula>0</formula>
    </cfRule>
  </conditionalFormatting>
  <conditionalFormatting sqref="BD27:BN27 BP27:BZ27 CB27:CL27 CN27:CX27 CZ27:DJ27 DL27:DW27">
    <cfRule type="cellIs" dxfId="685" priority="725" stopIfTrue="1" operator="lessThan">
      <formula>0</formula>
    </cfRule>
  </conditionalFormatting>
  <conditionalFormatting sqref="F27">
    <cfRule type="cellIs" dxfId="684" priority="724" stopIfTrue="1" operator="lessThan">
      <formula>0</formula>
    </cfRule>
  </conditionalFormatting>
  <conditionalFormatting sqref="DX42:EI42">
    <cfRule type="cellIs" dxfId="683" priority="693" stopIfTrue="1" operator="lessThan">
      <formula>0</formula>
    </cfRule>
  </conditionalFormatting>
  <conditionalFormatting sqref="DX31:EI31">
    <cfRule type="cellIs" dxfId="682" priority="722" stopIfTrue="1" operator="lessThan">
      <formula>0</formula>
    </cfRule>
  </conditionalFormatting>
  <conditionalFormatting sqref="DX45:EI45">
    <cfRule type="cellIs" dxfId="681" priority="689" stopIfTrue="1" operator="lessThan">
      <formula>0</formula>
    </cfRule>
  </conditionalFormatting>
  <conditionalFormatting sqref="DX35:EI35">
    <cfRule type="cellIs" dxfId="680" priority="721" stopIfTrue="1" operator="lessThan">
      <formula>0</formula>
    </cfRule>
  </conditionalFormatting>
  <conditionalFormatting sqref="D46:E47">
    <cfRule type="cellIs" dxfId="679" priority="692" stopIfTrue="1" operator="lessThan">
      <formula>0</formula>
    </cfRule>
  </conditionalFormatting>
  <conditionalFormatting sqref="DX47:EI47">
    <cfRule type="cellIs" dxfId="678" priority="691" stopIfTrue="1" operator="lessThan">
      <formula>0</formula>
    </cfRule>
  </conditionalFormatting>
  <conditionalFormatting sqref="DX30:EI30">
    <cfRule type="cellIs" dxfId="677" priority="696" stopIfTrue="1" operator="lessThan">
      <formula>0</formula>
    </cfRule>
  </conditionalFormatting>
  <conditionalFormatting sqref="DX39:EI39">
    <cfRule type="cellIs" dxfId="676" priority="720" stopIfTrue="1" operator="lessThan">
      <formula>0</formula>
    </cfRule>
  </conditionalFormatting>
  <conditionalFormatting sqref="DX43:EI43">
    <cfRule type="cellIs" dxfId="675" priority="719" stopIfTrue="1" operator="lessThan">
      <formula>0</formula>
    </cfRule>
  </conditionalFormatting>
  <conditionalFormatting sqref="F37:N37">
    <cfRule type="cellIs" dxfId="674" priority="702" stopIfTrue="1" operator="lessThan">
      <formula>0</formula>
    </cfRule>
  </conditionalFormatting>
  <conditionalFormatting sqref="O41:AD41 AF41:AP41 AR41:BB41 BD41:BN41 BP41:BZ41 CB41:CL41 CN41:CX41 CZ41:DJ41 DL41:DW41">
    <cfRule type="cellIs" dxfId="673" priority="699" stopIfTrue="1" operator="lessThan">
      <formula>0</formula>
    </cfRule>
  </conditionalFormatting>
  <conditionalFormatting sqref="BC41">
    <cfRule type="cellIs" dxfId="672" priority="664" stopIfTrue="1" operator="lessThan">
      <formula>0</formula>
    </cfRule>
  </conditionalFormatting>
  <conditionalFormatting sqref="DX25:EI25">
    <cfRule type="cellIs" dxfId="671" priority="717" stopIfTrue="1" operator="lessThan">
      <formula>0</formula>
    </cfRule>
  </conditionalFormatting>
  <conditionalFormatting sqref="D25:E25">
    <cfRule type="cellIs" dxfId="670" priority="715" stopIfTrue="1" operator="lessThan">
      <formula>0</formula>
    </cfRule>
  </conditionalFormatting>
  <conditionalFormatting sqref="DX29:EI29">
    <cfRule type="cellIs" dxfId="669" priority="714" stopIfTrue="1" operator="lessThan">
      <formula>0</formula>
    </cfRule>
  </conditionalFormatting>
  <conditionalFormatting sqref="D29:E29">
    <cfRule type="cellIs" dxfId="668" priority="713" stopIfTrue="1" operator="lessThan">
      <formula>0</formula>
    </cfRule>
  </conditionalFormatting>
  <conditionalFormatting sqref="DX33:EI33">
    <cfRule type="cellIs" dxfId="667" priority="712" stopIfTrue="1" operator="lessThan">
      <formula>0</formula>
    </cfRule>
  </conditionalFormatting>
  <conditionalFormatting sqref="D33:E33">
    <cfRule type="cellIs" dxfId="666" priority="711" stopIfTrue="1" operator="lessThan">
      <formula>0</formula>
    </cfRule>
  </conditionalFormatting>
  <conditionalFormatting sqref="DX37:EI37">
    <cfRule type="cellIs" dxfId="665" priority="710" stopIfTrue="1" operator="lessThan">
      <formula>0</formula>
    </cfRule>
  </conditionalFormatting>
  <conditionalFormatting sqref="D37:E37">
    <cfRule type="cellIs" dxfId="664" priority="709" stopIfTrue="1" operator="lessThan">
      <formula>0</formula>
    </cfRule>
  </conditionalFormatting>
  <conditionalFormatting sqref="DX41:EI41">
    <cfRule type="cellIs" dxfId="663" priority="708" stopIfTrue="1" operator="lessThan">
      <formula>0</formula>
    </cfRule>
  </conditionalFormatting>
  <conditionalFormatting sqref="D41:E41">
    <cfRule type="cellIs" dxfId="662" priority="707" stopIfTrue="1" operator="lessThan">
      <formula>0</formula>
    </cfRule>
  </conditionalFormatting>
  <conditionalFormatting sqref="F41:N41">
    <cfRule type="cellIs" dxfId="661" priority="700" stopIfTrue="1" operator="lessThan">
      <formula>0</formula>
    </cfRule>
  </conditionalFormatting>
  <conditionalFormatting sqref="F29:N29">
    <cfRule type="cellIs" dxfId="660" priority="706" stopIfTrue="1" operator="lessThan">
      <formula>0</formula>
    </cfRule>
  </conditionalFormatting>
  <conditionalFormatting sqref="O29:AD29 AF29:AP29 AR29:BB29 BD29:BN29 BP29:BZ29 CB29:CL29 CN29:CX29 CZ29:DJ29 DL29:DW29">
    <cfRule type="cellIs" dxfId="659" priority="705" stopIfTrue="1" operator="lessThan">
      <formula>0</formula>
    </cfRule>
  </conditionalFormatting>
  <conditionalFormatting sqref="F33:N33">
    <cfRule type="cellIs" dxfId="658" priority="704" stopIfTrue="1" operator="lessThan">
      <formula>0</formula>
    </cfRule>
  </conditionalFormatting>
  <conditionalFormatting sqref="O33:AD33 AF33:AP33 AR33:BB33 BD33:BN33 BP33:BZ33 CB33:CL33 CN33:CX33 CZ33:DJ33 DL33:DW33">
    <cfRule type="cellIs" dxfId="657" priority="703" stopIfTrue="1" operator="lessThan">
      <formula>0</formula>
    </cfRule>
  </conditionalFormatting>
  <conditionalFormatting sqref="DX26:EI26">
    <cfRule type="cellIs" dxfId="656" priority="698" stopIfTrue="1" operator="lessThan">
      <formula>0</formula>
    </cfRule>
  </conditionalFormatting>
  <conditionalFormatting sqref="O37:AD37 AF37:AP37 AR37:BB37 BD37:BN37 BP37:BZ37 CB37:CL37 CN37:CX37 CZ37:DJ37 DL37:DW37">
    <cfRule type="cellIs" dxfId="655" priority="701" stopIfTrue="1" operator="lessThan">
      <formula>0</formula>
    </cfRule>
  </conditionalFormatting>
  <conditionalFormatting sqref="AE33">
    <cfRule type="cellIs" dxfId="654" priority="680" stopIfTrue="1" operator="lessThan">
      <formula>0</formula>
    </cfRule>
  </conditionalFormatting>
  <conditionalFormatting sqref="DX34:EI34">
    <cfRule type="cellIs" dxfId="653" priority="695" stopIfTrue="1" operator="lessThan">
      <formula>0</formula>
    </cfRule>
  </conditionalFormatting>
  <conditionalFormatting sqref="DX38:EI38">
    <cfRule type="cellIs" dxfId="652" priority="694" stopIfTrue="1" operator="lessThan">
      <formula>0</formula>
    </cfRule>
  </conditionalFormatting>
  <conditionalFormatting sqref="BC37">
    <cfRule type="cellIs" dxfId="651" priority="665" stopIfTrue="1" operator="lessThan">
      <formula>0</formula>
    </cfRule>
  </conditionalFormatting>
  <conditionalFormatting sqref="DX46:EI46">
    <cfRule type="cellIs" dxfId="650" priority="685" stopIfTrue="1" operator="lessThan">
      <formula>0</formula>
    </cfRule>
  </conditionalFormatting>
  <conditionalFormatting sqref="D45:E45">
    <cfRule type="cellIs" dxfId="649" priority="688" stopIfTrue="1" operator="lessThan">
      <formula>0</formula>
    </cfRule>
  </conditionalFormatting>
  <conditionalFormatting sqref="F45:N45">
    <cfRule type="cellIs" dxfId="648" priority="687" stopIfTrue="1" operator="lessThan">
      <formula>0</formula>
    </cfRule>
  </conditionalFormatting>
  <conditionalFormatting sqref="O45:AD45 AF45:AP45 AR45:BB45 BD45:BN45 BP45:BZ45 CB45:CL45 CN45:CX45 CZ45:DJ45 DL45:DW45">
    <cfRule type="cellIs" dxfId="647" priority="686" stopIfTrue="1" operator="lessThan">
      <formula>0</formula>
    </cfRule>
  </conditionalFormatting>
  <conditionalFormatting sqref="S27">
    <cfRule type="cellIs" dxfId="646" priority="684" stopIfTrue="1" operator="lessThan">
      <formula>0</formula>
    </cfRule>
  </conditionalFormatting>
  <conditionalFormatting sqref="AE29">
    <cfRule type="cellIs" dxfId="645" priority="681" stopIfTrue="1" operator="lessThan">
      <formula>0</formula>
    </cfRule>
  </conditionalFormatting>
  <conditionalFormatting sqref="BC33">
    <cfRule type="cellIs" dxfId="644" priority="666" stopIfTrue="1" operator="lessThan">
      <formula>0</formula>
    </cfRule>
  </conditionalFormatting>
  <conditionalFormatting sqref="AE41">
    <cfRule type="cellIs" dxfId="643" priority="678" stopIfTrue="1" operator="lessThan">
      <formula>0</formula>
    </cfRule>
  </conditionalFormatting>
  <conditionalFormatting sqref="AE37">
    <cfRule type="cellIs" dxfId="642" priority="679" stopIfTrue="1" operator="lessThan">
      <formula>0</formula>
    </cfRule>
  </conditionalFormatting>
  <conditionalFormatting sqref="D40:E40">
    <cfRule type="cellIs" dxfId="641" priority="633" stopIfTrue="1" operator="lessThan">
      <formula>0</formula>
    </cfRule>
  </conditionalFormatting>
  <conditionalFormatting sqref="D32:E32">
    <cfRule type="cellIs" dxfId="640" priority="645" stopIfTrue="1" operator="lessThan">
      <formula>0</formula>
    </cfRule>
  </conditionalFormatting>
  <conditionalFormatting sqref="AE45">
    <cfRule type="cellIs" dxfId="639" priority="676" stopIfTrue="1" operator="lessThan">
      <formula>0</formula>
    </cfRule>
  </conditionalFormatting>
  <conditionalFormatting sqref="AQ37">
    <cfRule type="cellIs" dxfId="638" priority="672" stopIfTrue="1" operator="lessThan">
      <formula>0</formula>
    </cfRule>
  </conditionalFormatting>
  <conditionalFormatting sqref="F31">
    <cfRule type="cellIs" dxfId="637" priority="590" stopIfTrue="1" operator="lessThan">
      <formula>0</formula>
    </cfRule>
  </conditionalFormatting>
  <conditionalFormatting sqref="BC29">
    <cfRule type="cellIs" dxfId="636" priority="667" stopIfTrue="1" operator="lessThan">
      <formula>0</formula>
    </cfRule>
  </conditionalFormatting>
  <conditionalFormatting sqref="D36:E36">
    <cfRule type="cellIs" dxfId="635" priority="639" stopIfTrue="1" operator="lessThan">
      <formula>0</formula>
    </cfRule>
  </conditionalFormatting>
  <conditionalFormatting sqref="S31">
    <cfRule type="cellIs" dxfId="634" priority="588" stopIfTrue="1" operator="lessThan">
      <formula>0</formula>
    </cfRule>
  </conditionalFormatting>
  <conditionalFormatting sqref="AQ26">
    <cfRule type="cellIs" dxfId="633" priority="547" stopIfTrue="1" operator="lessThan">
      <formula>0</formula>
    </cfRule>
  </conditionalFormatting>
  <conditionalFormatting sqref="O26:AD26 AF26:AP26 AR26:BB26 BD26:BN26 BP26:BZ26 CB26:CL26 CN26:CX26 CZ26:DJ26 DL26:DW26">
    <cfRule type="cellIs" dxfId="632" priority="549" stopIfTrue="1" operator="lessThan">
      <formula>0</formula>
    </cfRule>
  </conditionalFormatting>
  <conditionalFormatting sqref="AE26">
    <cfRule type="cellIs" dxfId="631" priority="548" stopIfTrue="1" operator="lessThan">
      <formula>0</formula>
    </cfRule>
  </conditionalFormatting>
  <conditionalFormatting sqref="F26:N26">
    <cfRule type="cellIs" dxfId="630" priority="550" stopIfTrue="1" operator="lessThan">
      <formula>0</formula>
    </cfRule>
  </conditionalFormatting>
  <conditionalFormatting sqref="BC26">
    <cfRule type="cellIs" dxfId="629" priority="546" stopIfTrue="1" operator="lessThan">
      <formula>0</formula>
    </cfRule>
  </conditionalFormatting>
  <conditionalFormatting sqref="AQ28">
    <cfRule type="cellIs" dxfId="628" priority="542" stopIfTrue="1" operator="lessThan">
      <formula>0</formula>
    </cfRule>
  </conditionalFormatting>
  <conditionalFormatting sqref="G28:AD28 AF28:AP28 AR28:BB28 BD28:BN28 BP28:BZ28 CB28:CL28 CN28:CX28 CZ28:DJ28 DL28:EI28">
    <cfRule type="cellIs" dxfId="627" priority="545" stopIfTrue="1" operator="lessThan">
      <formula>0</formula>
    </cfRule>
  </conditionalFormatting>
  <conditionalFormatting sqref="F28">
    <cfRule type="cellIs" dxfId="626" priority="544" stopIfTrue="1" operator="lessThan">
      <formula>0</formula>
    </cfRule>
  </conditionalFormatting>
  <conditionalFormatting sqref="AE28">
    <cfRule type="cellIs" dxfId="625" priority="543" stopIfTrue="1" operator="lessThan">
      <formula>0</formula>
    </cfRule>
  </conditionalFormatting>
  <conditionalFormatting sqref="BC28">
    <cfRule type="cellIs" dxfId="624" priority="541" stopIfTrue="1" operator="lessThan">
      <formula>0</formula>
    </cfRule>
  </conditionalFormatting>
  <conditionalFormatting sqref="BD31:BN31 BP31:BZ31 CB31:CL31 CN31:CX31 CZ31:DJ31 DL31:DW31">
    <cfRule type="cellIs" dxfId="623" priority="540" stopIfTrue="1" operator="lessThan">
      <formula>0</formula>
    </cfRule>
  </conditionalFormatting>
  <conditionalFormatting sqref="BD35:BN35 BP35:BZ35 CB35:CL35 CN35:CX35 CZ35:DJ35 DL35:DW35">
    <cfRule type="cellIs" dxfId="622" priority="539" stopIfTrue="1" operator="lessThan">
      <formula>0</formula>
    </cfRule>
  </conditionalFormatting>
  <conditionalFormatting sqref="BD39:BN39 BP39:BZ39 CB39:CL39 CN39:CX39 CZ39:DJ39 DL39:DW39">
    <cfRule type="cellIs" dxfId="621" priority="538" stopIfTrue="1" operator="lessThan">
      <formula>0</formula>
    </cfRule>
  </conditionalFormatting>
  <conditionalFormatting sqref="BD43:BN43 BP43:BZ43 CB43:CL43 CN43:CX43 CZ43:DJ43 DL43:DW43">
    <cfRule type="cellIs" dxfId="620" priority="537" stopIfTrue="1" operator="lessThan">
      <formula>0</formula>
    </cfRule>
  </conditionalFormatting>
  <conditionalFormatting sqref="BD47:BN47 BP47:BZ47 CB47:CL47 CN47:CX47 CZ47:DJ47 DL47:DW47">
    <cfRule type="cellIs" dxfId="619" priority="536" stopIfTrue="1" operator="lessThan">
      <formula>0</formula>
    </cfRule>
  </conditionalFormatting>
  <conditionalFormatting sqref="AR27:BB27">
    <cfRule type="cellIs" dxfId="618" priority="535" stopIfTrue="1" operator="lessThan">
      <formula>0</formula>
    </cfRule>
  </conditionalFormatting>
  <conditionalFormatting sqref="AR31:BB31">
    <cfRule type="cellIs" dxfId="617" priority="534" stopIfTrue="1" operator="lessThan">
      <formula>0</formula>
    </cfRule>
  </conditionalFormatting>
  <conditionalFormatting sqref="AR35:BB35">
    <cfRule type="cellIs" dxfId="616" priority="533" stopIfTrue="1" operator="lessThan">
      <formula>0</formula>
    </cfRule>
  </conditionalFormatting>
  <conditionalFormatting sqref="AR39:BB39">
    <cfRule type="cellIs" dxfId="615" priority="532" stopIfTrue="1" operator="lessThan">
      <formula>0</formula>
    </cfRule>
  </conditionalFormatting>
  <conditionalFormatting sqref="AR43:BB43">
    <cfRule type="cellIs" dxfId="614" priority="531" stopIfTrue="1" operator="lessThan">
      <formula>0</formula>
    </cfRule>
  </conditionalFormatting>
  <conditionalFormatting sqref="AR47:BB47">
    <cfRule type="cellIs" dxfId="613" priority="530" stopIfTrue="1" operator="lessThan">
      <formula>0</formula>
    </cfRule>
  </conditionalFormatting>
  <conditionalFormatting sqref="AF27:AP27">
    <cfRule type="cellIs" dxfId="612" priority="529" stopIfTrue="1" operator="lessThan">
      <formula>0</formula>
    </cfRule>
  </conditionalFormatting>
  <conditionalFormatting sqref="AF31:AP31">
    <cfRule type="cellIs" dxfId="611" priority="528" stopIfTrue="1" operator="lessThan">
      <formula>0</formula>
    </cfRule>
  </conditionalFormatting>
  <conditionalFormatting sqref="AF35:AP35">
    <cfRule type="cellIs" dxfId="610" priority="527" stopIfTrue="1" operator="lessThan">
      <formula>0</formula>
    </cfRule>
  </conditionalFormatting>
  <conditionalFormatting sqref="AF39:AP39">
    <cfRule type="cellIs" dxfId="609" priority="526" stopIfTrue="1" operator="lessThan">
      <formula>0</formula>
    </cfRule>
  </conditionalFormatting>
  <conditionalFormatting sqref="AF43:AP43">
    <cfRule type="cellIs" dxfId="608" priority="525" stopIfTrue="1" operator="lessThan">
      <formula>0</formula>
    </cfRule>
  </conditionalFormatting>
  <conditionalFormatting sqref="AF47:AP47">
    <cfRule type="cellIs" dxfId="607" priority="524" stopIfTrue="1" operator="lessThan">
      <formula>0</formula>
    </cfRule>
  </conditionalFormatting>
  <conditionalFormatting sqref="T27:AD27">
    <cfRule type="cellIs" dxfId="606" priority="523" stopIfTrue="1" operator="lessThan">
      <formula>0</formula>
    </cfRule>
  </conditionalFormatting>
  <conditionalFormatting sqref="T31:AD31">
    <cfRule type="cellIs" dxfId="605" priority="522" stopIfTrue="1" operator="lessThan">
      <formula>0</formula>
    </cfRule>
  </conditionalFormatting>
  <conditionalFormatting sqref="T35:AD35">
    <cfRule type="cellIs" dxfId="604" priority="521" stopIfTrue="1" operator="lessThan">
      <formula>0</formula>
    </cfRule>
  </conditionalFormatting>
  <conditionalFormatting sqref="T39:AD39">
    <cfRule type="cellIs" dxfId="603" priority="520" stopIfTrue="1" operator="lessThan">
      <formula>0</formula>
    </cfRule>
  </conditionalFormatting>
  <conditionalFormatting sqref="T43:AD43">
    <cfRule type="cellIs" dxfId="602" priority="519" stopIfTrue="1" operator="lessThan">
      <formula>0</formula>
    </cfRule>
  </conditionalFormatting>
  <conditionalFormatting sqref="T47:AD47">
    <cfRule type="cellIs" dxfId="601" priority="518" stopIfTrue="1" operator="lessThan">
      <formula>0</formula>
    </cfRule>
  </conditionalFormatting>
  <conditionalFormatting sqref="G27:N27">
    <cfRule type="cellIs" dxfId="600" priority="517" stopIfTrue="1" operator="lessThan">
      <formula>0</formula>
    </cfRule>
  </conditionalFormatting>
  <conditionalFormatting sqref="O27:R27">
    <cfRule type="cellIs" dxfId="599" priority="516" stopIfTrue="1" operator="lessThan">
      <formula>0</formula>
    </cfRule>
  </conditionalFormatting>
  <conditionalFormatting sqref="G31:N31">
    <cfRule type="cellIs" dxfId="598" priority="515" stopIfTrue="1" operator="lessThan">
      <formula>0</formula>
    </cfRule>
  </conditionalFormatting>
  <conditionalFormatting sqref="O31:R31">
    <cfRule type="cellIs" dxfId="597" priority="514" stopIfTrue="1" operator="lessThan">
      <formula>0</formula>
    </cfRule>
  </conditionalFormatting>
  <conditionalFormatting sqref="G35:N35">
    <cfRule type="cellIs" dxfId="596" priority="513" stopIfTrue="1" operator="lessThan">
      <formula>0</formula>
    </cfRule>
  </conditionalFormatting>
  <conditionalFormatting sqref="O35:R35">
    <cfRule type="cellIs" dxfId="595" priority="512" stopIfTrue="1" operator="lessThan">
      <formula>0</formula>
    </cfRule>
  </conditionalFormatting>
  <conditionalFormatting sqref="G39:N39">
    <cfRule type="cellIs" dxfId="594" priority="511" stopIfTrue="1" operator="lessThan">
      <formula>0</formula>
    </cfRule>
  </conditionalFormatting>
  <conditionalFormatting sqref="O39:R39">
    <cfRule type="cellIs" dxfId="593" priority="510" stopIfTrue="1" operator="lessThan">
      <formula>0</formula>
    </cfRule>
  </conditionalFormatting>
  <conditionalFormatting sqref="G43:N43">
    <cfRule type="cellIs" dxfId="592" priority="509" stopIfTrue="1" operator="lessThan">
      <formula>0</formula>
    </cfRule>
  </conditionalFormatting>
  <conditionalFormatting sqref="O43:R43">
    <cfRule type="cellIs" dxfId="591" priority="508" stopIfTrue="1" operator="lessThan">
      <formula>0</formula>
    </cfRule>
  </conditionalFormatting>
  <conditionalFormatting sqref="G47:N47">
    <cfRule type="cellIs" dxfId="590" priority="507" stopIfTrue="1" operator="lessThan">
      <formula>0</formula>
    </cfRule>
  </conditionalFormatting>
  <conditionalFormatting sqref="O47:R47">
    <cfRule type="cellIs" dxfId="589" priority="506" stopIfTrue="1" operator="lessThan">
      <formula>0</formula>
    </cfRule>
  </conditionalFormatting>
  <conditionalFormatting sqref="AQ30">
    <cfRule type="cellIs" dxfId="588" priority="502" stopIfTrue="1" operator="lessThan">
      <formula>0</formula>
    </cfRule>
  </conditionalFormatting>
  <conditionalFormatting sqref="O30:AD30 AF30:AP30 AR30:BB30 BD30:BN30 BP30:BZ30 CB30:CL30 CN30:CX30 CZ30:DJ30 DL30:DW30">
    <cfRule type="cellIs" dxfId="587" priority="504" stopIfTrue="1" operator="lessThan">
      <formula>0</formula>
    </cfRule>
  </conditionalFormatting>
  <conditionalFormatting sqref="AE30">
    <cfRule type="cellIs" dxfId="586" priority="503" stopIfTrue="1" operator="lessThan">
      <formula>0</formula>
    </cfRule>
  </conditionalFormatting>
  <conditionalFormatting sqref="G30:N30">
    <cfRule type="cellIs" dxfId="585" priority="505" stopIfTrue="1" operator="lessThan">
      <formula>0</formula>
    </cfRule>
  </conditionalFormatting>
  <conditionalFormatting sqref="BC30">
    <cfRule type="cellIs" dxfId="584" priority="501" stopIfTrue="1" operator="lessThan">
      <formula>0</formula>
    </cfRule>
  </conditionalFormatting>
  <conditionalFormatting sqref="AQ34">
    <cfRule type="cellIs" dxfId="583" priority="497" stopIfTrue="1" operator="lessThan">
      <formula>0</formula>
    </cfRule>
  </conditionalFormatting>
  <conditionalFormatting sqref="O34:AD34 AF34:AP34 AR34:BB34 BD34:BN34 BP34:BZ34 CB34:CL34 CN34:CX34 CZ34:DJ34 DL34:DW34">
    <cfRule type="cellIs" dxfId="582" priority="499" stopIfTrue="1" operator="lessThan">
      <formula>0</formula>
    </cfRule>
  </conditionalFormatting>
  <conditionalFormatting sqref="AE34">
    <cfRule type="cellIs" dxfId="581" priority="498" stopIfTrue="1" operator="lessThan">
      <formula>0</formula>
    </cfRule>
  </conditionalFormatting>
  <conditionalFormatting sqref="G34:N34">
    <cfRule type="cellIs" dxfId="580" priority="500" stopIfTrue="1" operator="lessThan">
      <formula>0</formula>
    </cfRule>
  </conditionalFormatting>
  <conditionalFormatting sqref="BC34">
    <cfRule type="cellIs" dxfId="579" priority="496" stopIfTrue="1" operator="lessThan">
      <formula>0</formula>
    </cfRule>
  </conditionalFormatting>
  <conditionalFormatting sqref="AQ38">
    <cfRule type="cellIs" dxfId="578" priority="492" stopIfTrue="1" operator="lessThan">
      <formula>0</formula>
    </cfRule>
  </conditionalFormatting>
  <conditionalFormatting sqref="O38:AD38 AF38:AP38 AR38:BB38 BD38:BN38 BP38:BZ38 CB38:CL38 CN38:CX38 CZ38:DJ38 DL38:DW38">
    <cfRule type="cellIs" dxfId="577" priority="494" stopIfTrue="1" operator="lessThan">
      <formula>0</formula>
    </cfRule>
  </conditionalFormatting>
  <conditionalFormatting sqref="AE38">
    <cfRule type="cellIs" dxfId="576" priority="493" stopIfTrue="1" operator="lessThan">
      <formula>0</formula>
    </cfRule>
  </conditionalFormatting>
  <conditionalFormatting sqref="G38:N38">
    <cfRule type="cellIs" dxfId="575" priority="495" stopIfTrue="1" operator="lessThan">
      <formula>0</formula>
    </cfRule>
  </conditionalFormatting>
  <conditionalFormatting sqref="BC38">
    <cfRule type="cellIs" dxfId="574" priority="491" stopIfTrue="1" operator="lessThan">
      <formula>0</formula>
    </cfRule>
  </conditionalFormatting>
  <conditionalFormatting sqref="AQ42">
    <cfRule type="cellIs" dxfId="573" priority="487" stopIfTrue="1" operator="lessThan">
      <formula>0</formula>
    </cfRule>
  </conditionalFormatting>
  <conditionalFormatting sqref="O42:AD42 AF42:AP42 AR42:BB42 BD42:BN42 BP42:BZ42 CB42:CL42 CN42:CX42 CZ42:DJ42 DL42:DW42">
    <cfRule type="cellIs" dxfId="572" priority="489" stopIfTrue="1" operator="lessThan">
      <formula>0</formula>
    </cfRule>
  </conditionalFormatting>
  <conditionalFormatting sqref="AE42">
    <cfRule type="cellIs" dxfId="571" priority="488" stopIfTrue="1" operator="lessThan">
      <formula>0</formula>
    </cfRule>
  </conditionalFormatting>
  <conditionalFormatting sqref="G42:N42">
    <cfRule type="cellIs" dxfId="570" priority="490" stopIfTrue="1" operator="lessThan">
      <formula>0</formula>
    </cfRule>
  </conditionalFormatting>
  <conditionalFormatting sqref="BC42">
    <cfRule type="cellIs" dxfId="569" priority="486" stopIfTrue="1" operator="lessThan">
      <formula>0</formula>
    </cfRule>
  </conditionalFormatting>
  <conditionalFormatting sqref="AQ46">
    <cfRule type="cellIs" dxfId="568" priority="482" stopIfTrue="1" operator="lessThan">
      <formula>0</formula>
    </cfRule>
  </conditionalFormatting>
  <conditionalFormatting sqref="O46:AD46 AF46:AP46 AR46:BB46 BD46:BN46 BP46:BZ46 CB46:CL46 CN46:CX46 CZ46:DJ46 DL46:DW46">
    <cfRule type="cellIs" dxfId="567" priority="484" stopIfTrue="1" operator="lessThan">
      <formula>0</formula>
    </cfRule>
  </conditionalFormatting>
  <conditionalFormatting sqref="AE46">
    <cfRule type="cellIs" dxfId="566" priority="483" stopIfTrue="1" operator="lessThan">
      <formula>0</formula>
    </cfRule>
  </conditionalFormatting>
  <conditionalFormatting sqref="G46:N46">
    <cfRule type="cellIs" dxfId="565" priority="485" stopIfTrue="1" operator="lessThan">
      <formula>0</formula>
    </cfRule>
  </conditionalFormatting>
  <conditionalFormatting sqref="BC46">
    <cfRule type="cellIs" dxfId="564" priority="481" stopIfTrue="1" operator="lessThan">
      <formula>0</formula>
    </cfRule>
  </conditionalFormatting>
  <conditionalFormatting sqref="AQ32">
    <cfRule type="cellIs" dxfId="563" priority="477" stopIfTrue="1" operator="lessThan">
      <formula>0</formula>
    </cfRule>
  </conditionalFormatting>
  <conditionalFormatting sqref="G32:AD32 AF32:AP32 AR32:BB32 BD32:BN32 BP32:BZ32 CB32:CL32 CN32:CX32 CZ32:DJ32 DL32:EI32">
    <cfRule type="cellIs" dxfId="562" priority="480" stopIfTrue="1" operator="lessThan">
      <formula>0</formula>
    </cfRule>
  </conditionalFormatting>
  <conditionalFormatting sqref="F32">
    <cfRule type="cellIs" dxfId="561" priority="479" stopIfTrue="1" operator="lessThan">
      <formula>0</formula>
    </cfRule>
  </conditionalFormatting>
  <conditionalFormatting sqref="AE32">
    <cfRule type="cellIs" dxfId="560" priority="478" stopIfTrue="1" operator="lessThan">
      <formula>0</formula>
    </cfRule>
  </conditionalFormatting>
  <conditionalFormatting sqref="BC32">
    <cfRule type="cellIs" dxfId="559" priority="476" stopIfTrue="1" operator="lessThan">
      <formula>0</formula>
    </cfRule>
  </conditionalFormatting>
  <conditionalFormatting sqref="AQ36">
    <cfRule type="cellIs" dxfId="558" priority="472" stopIfTrue="1" operator="lessThan">
      <formula>0</formula>
    </cfRule>
  </conditionalFormatting>
  <conditionalFormatting sqref="G36:AD36 AF36:AP36 AR36:BB36 BD36:BN36 BP36:BZ36 CB36:CL36 CN36:CX36 CZ36:DJ36 DL36:EI36">
    <cfRule type="cellIs" dxfId="557" priority="475" stopIfTrue="1" operator="lessThan">
      <formula>0</formula>
    </cfRule>
  </conditionalFormatting>
  <conditionalFormatting sqref="F36">
    <cfRule type="cellIs" dxfId="556" priority="474" stopIfTrue="1" operator="lessThan">
      <formula>0</formula>
    </cfRule>
  </conditionalFormatting>
  <conditionalFormatting sqref="AE36">
    <cfRule type="cellIs" dxfId="555" priority="473" stopIfTrue="1" operator="lessThan">
      <formula>0</formula>
    </cfRule>
  </conditionalFormatting>
  <conditionalFormatting sqref="BC36">
    <cfRule type="cellIs" dxfId="554" priority="471" stopIfTrue="1" operator="lessThan">
      <formula>0</formula>
    </cfRule>
  </conditionalFormatting>
  <conditionalFormatting sqref="AQ40">
    <cfRule type="cellIs" dxfId="553" priority="467" stopIfTrue="1" operator="lessThan">
      <formula>0</formula>
    </cfRule>
  </conditionalFormatting>
  <conditionalFormatting sqref="G40:AD40 AF40:AP40 AR40:BB40 BD40:BN40 BP40:BZ40 CB40:CL40 CN40:CX40 CZ40:DJ40 DL40:EI40">
    <cfRule type="cellIs" dxfId="552" priority="470" stopIfTrue="1" operator="lessThan">
      <formula>0</formula>
    </cfRule>
  </conditionalFormatting>
  <conditionalFormatting sqref="F40">
    <cfRule type="cellIs" dxfId="551" priority="469" stopIfTrue="1" operator="lessThan">
      <formula>0</formula>
    </cfRule>
  </conditionalFormatting>
  <conditionalFormatting sqref="AE40">
    <cfRule type="cellIs" dxfId="550" priority="468" stopIfTrue="1" operator="lessThan">
      <formula>0</formula>
    </cfRule>
  </conditionalFormatting>
  <conditionalFormatting sqref="BC40">
    <cfRule type="cellIs" dxfId="549" priority="466" stopIfTrue="1" operator="lessThan">
      <formula>0</formula>
    </cfRule>
  </conditionalFormatting>
  <conditionalFormatting sqref="AQ44">
    <cfRule type="cellIs" dxfId="548" priority="462" stopIfTrue="1" operator="lessThan">
      <formula>0</formula>
    </cfRule>
  </conditionalFormatting>
  <conditionalFormatting sqref="G44:AD44 AF44:AP44 AR44:BB44 BD44:BN44 BP44:BZ44 CB44:CL44 CN44:CX44 CZ44:DJ44 DL44:EI44">
    <cfRule type="cellIs" dxfId="547" priority="465" stopIfTrue="1" operator="lessThan">
      <formula>0</formula>
    </cfRule>
  </conditionalFormatting>
  <conditionalFormatting sqref="F44">
    <cfRule type="cellIs" dxfId="546" priority="464" stopIfTrue="1" operator="lessThan">
      <formula>0</formula>
    </cfRule>
  </conditionalFormatting>
  <conditionalFormatting sqref="AE44">
    <cfRule type="cellIs" dxfId="545" priority="463" stopIfTrue="1" operator="lessThan">
      <formula>0</formula>
    </cfRule>
  </conditionalFormatting>
  <conditionalFormatting sqref="BC44">
    <cfRule type="cellIs" dxfId="544" priority="461" stopIfTrue="1" operator="lessThan">
      <formula>0</formula>
    </cfRule>
  </conditionalFormatting>
  <conditionalFormatting sqref="F47">
    <cfRule type="cellIs" dxfId="543" priority="452" stopIfTrue="1" operator="lessThan">
      <formula>0</formula>
    </cfRule>
  </conditionalFormatting>
  <conditionalFormatting sqref="F35">
    <cfRule type="cellIs" dxfId="542" priority="455" stopIfTrue="1" operator="lessThan">
      <formula>0</formula>
    </cfRule>
  </conditionalFormatting>
  <conditionalFormatting sqref="F39">
    <cfRule type="cellIs" dxfId="541" priority="454" stopIfTrue="1" operator="lessThan">
      <formula>0</formula>
    </cfRule>
  </conditionalFormatting>
  <conditionalFormatting sqref="F43">
    <cfRule type="cellIs" dxfId="540" priority="453" stopIfTrue="1" operator="lessThan">
      <formula>0</formula>
    </cfRule>
  </conditionalFormatting>
  <conditionalFormatting sqref="S35">
    <cfRule type="cellIs" dxfId="539" priority="451" stopIfTrue="1" operator="lessThan">
      <formula>0</formula>
    </cfRule>
  </conditionalFormatting>
  <conditionalFormatting sqref="S39">
    <cfRule type="cellIs" dxfId="538" priority="450" stopIfTrue="1" operator="lessThan">
      <formula>0</formula>
    </cfRule>
  </conditionalFormatting>
  <conditionalFormatting sqref="S43">
    <cfRule type="cellIs" dxfId="537" priority="449" stopIfTrue="1" operator="lessThan">
      <formula>0</formula>
    </cfRule>
  </conditionalFormatting>
  <conditionalFormatting sqref="S47">
    <cfRule type="cellIs" dxfId="536" priority="448" stopIfTrue="1" operator="lessThan">
      <formula>0</formula>
    </cfRule>
  </conditionalFormatting>
  <conditionalFormatting sqref="AE31">
    <cfRule type="cellIs" dxfId="535" priority="447" stopIfTrue="1" operator="lessThan">
      <formula>0</formula>
    </cfRule>
  </conditionalFormatting>
  <conditionalFormatting sqref="AE35">
    <cfRule type="cellIs" dxfId="534" priority="446" stopIfTrue="1" operator="lessThan">
      <formula>0</formula>
    </cfRule>
  </conditionalFormatting>
  <conditionalFormatting sqref="AE39">
    <cfRule type="cellIs" dxfId="533" priority="445" stopIfTrue="1" operator="lessThan">
      <formula>0</formula>
    </cfRule>
  </conditionalFormatting>
  <conditionalFormatting sqref="AE43">
    <cfRule type="cellIs" dxfId="532" priority="444" stopIfTrue="1" operator="lessThan">
      <formula>0</formula>
    </cfRule>
  </conditionalFormatting>
  <conditionalFormatting sqref="AE47">
    <cfRule type="cellIs" dxfId="531" priority="443" stopIfTrue="1" operator="lessThan">
      <formula>0</formula>
    </cfRule>
  </conditionalFormatting>
  <conditionalFormatting sqref="AQ27">
    <cfRule type="cellIs" dxfId="530" priority="442" stopIfTrue="1" operator="lessThan">
      <formula>0</formula>
    </cfRule>
  </conditionalFormatting>
  <conditionalFormatting sqref="AQ31">
    <cfRule type="cellIs" dxfId="529" priority="441" stopIfTrue="1" operator="lessThan">
      <formula>0</formula>
    </cfRule>
  </conditionalFormatting>
  <conditionalFormatting sqref="AQ35">
    <cfRule type="cellIs" dxfId="528" priority="440" stopIfTrue="1" operator="lessThan">
      <formula>0</formula>
    </cfRule>
  </conditionalFormatting>
  <conditionalFormatting sqref="AQ39">
    <cfRule type="cellIs" dxfId="527" priority="439" stopIfTrue="1" operator="lessThan">
      <formula>0</formula>
    </cfRule>
  </conditionalFormatting>
  <conditionalFormatting sqref="AQ43">
    <cfRule type="cellIs" dxfId="526" priority="438" stopIfTrue="1" operator="lessThan">
      <formula>0</formula>
    </cfRule>
  </conditionalFormatting>
  <conditionalFormatting sqref="AQ47">
    <cfRule type="cellIs" dxfId="525" priority="437" stopIfTrue="1" operator="lessThan">
      <formula>0</formula>
    </cfRule>
  </conditionalFormatting>
  <conditionalFormatting sqref="BC31">
    <cfRule type="cellIs" dxfId="524" priority="436" stopIfTrue="1" operator="lessThan">
      <formula>0</formula>
    </cfRule>
  </conditionalFormatting>
  <conditionalFormatting sqref="BC35">
    <cfRule type="cellIs" dxfId="523" priority="435" stopIfTrue="1" operator="lessThan">
      <formula>0</formula>
    </cfRule>
  </conditionalFormatting>
  <conditionalFormatting sqref="BC39">
    <cfRule type="cellIs" dxfId="522" priority="434" stopIfTrue="1" operator="lessThan">
      <formula>0</formula>
    </cfRule>
  </conditionalFormatting>
  <conditionalFormatting sqref="BC43">
    <cfRule type="cellIs" dxfId="521" priority="433" stopIfTrue="1" operator="lessThan">
      <formula>0</formula>
    </cfRule>
  </conditionalFormatting>
  <conditionalFormatting sqref="BC47">
    <cfRule type="cellIs" dxfId="520" priority="432" stopIfTrue="1" operator="lessThan">
      <formula>0</formula>
    </cfRule>
  </conditionalFormatting>
  <conditionalFormatting sqref="F25:N25">
    <cfRule type="cellIs" dxfId="519" priority="431" stopIfTrue="1" operator="lessThan">
      <formula>0</formula>
    </cfRule>
  </conditionalFormatting>
  <conditionalFormatting sqref="O25:AD25 AF25:AP25 AR25:BB25 BD25:BN25 BP25:BZ25 CB25:CL25 CN25:CX25 CZ25:DJ25 DL25:DW25">
    <cfRule type="cellIs" dxfId="518" priority="430" stopIfTrue="1" operator="lessThan">
      <formula>0</formula>
    </cfRule>
  </conditionalFormatting>
  <conditionalFormatting sqref="AE25">
    <cfRule type="cellIs" dxfId="517" priority="429" stopIfTrue="1" operator="lessThan">
      <formula>0</formula>
    </cfRule>
  </conditionalFormatting>
  <conditionalFormatting sqref="AQ25">
    <cfRule type="cellIs" dxfId="516" priority="428" stopIfTrue="1" operator="lessThan">
      <formula>0</formula>
    </cfRule>
  </conditionalFormatting>
  <conditionalFormatting sqref="BC25">
    <cfRule type="cellIs" dxfId="515" priority="427" stopIfTrue="1" operator="lessThan">
      <formula>0</formula>
    </cfRule>
  </conditionalFormatting>
  <conditionalFormatting sqref="AQ48">
    <cfRule type="cellIs" dxfId="514" priority="423" stopIfTrue="1" operator="lessThan">
      <formula>0</formula>
    </cfRule>
  </conditionalFormatting>
  <conditionalFormatting sqref="G48:AD48 AF48:AP48 AR48:BB48 BD48:BN48 BP48:BZ48 CB48:CL48 CN48:CX48 CZ48:DJ48 DL48:EI48">
    <cfRule type="cellIs" dxfId="513" priority="426" stopIfTrue="1" operator="lessThan">
      <formula>0</formula>
    </cfRule>
  </conditionalFormatting>
  <conditionalFormatting sqref="F48">
    <cfRule type="cellIs" dxfId="512" priority="425" stopIfTrue="1" operator="lessThan">
      <formula>0</formula>
    </cfRule>
  </conditionalFormatting>
  <conditionalFormatting sqref="AE48">
    <cfRule type="cellIs" dxfId="511" priority="424" stopIfTrue="1" operator="lessThan">
      <formula>0</formula>
    </cfRule>
  </conditionalFormatting>
  <conditionalFormatting sqref="BC48">
    <cfRule type="cellIs" dxfId="510" priority="422" stopIfTrue="1" operator="lessThan">
      <formula>0</formula>
    </cfRule>
  </conditionalFormatting>
  <conditionalFormatting sqref="EK8:EO24 EK49:EO51">
    <cfRule type="cellIs" dxfId="509" priority="421" stopIfTrue="1" operator="lessThan">
      <formula>0</formula>
    </cfRule>
  </conditionalFormatting>
  <conditionalFormatting sqref="EK27:EO27">
    <cfRule type="cellIs" dxfId="508" priority="420" stopIfTrue="1" operator="lessThan">
      <formula>0</formula>
    </cfRule>
  </conditionalFormatting>
  <conditionalFormatting sqref="EK42:EO42">
    <cfRule type="cellIs" dxfId="507" priority="406" stopIfTrue="1" operator="lessThan">
      <formula>0</formula>
    </cfRule>
  </conditionalFormatting>
  <conditionalFormatting sqref="EK31:EO31">
    <cfRule type="cellIs" dxfId="506" priority="419" stopIfTrue="1" operator="lessThan">
      <formula>0</formula>
    </cfRule>
  </conditionalFormatting>
  <conditionalFormatting sqref="EK45:EO45">
    <cfRule type="cellIs" dxfId="505" priority="404" stopIfTrue="1" operator="lessThan">
      <formula>0</formula>
    </cfRule>
  </conditionalFormatting>
  <conditionalFormatting sqref="EK35:EO35">
    <cfRule type="cellIs" dxfId="504" priority="418" stopIfTrue="1" operator="lessThan">
      <formula>0</formula>
    </cfRule>
  </conditionalFormatting>
  <conditionalFormatting sqref="EK47:EO47">
    <cfRule type="cellIs" dxfId="503" priority="405" stopIfTrue="1" operator="lessThan">
      <formula>0</formula>
    </cfRule>
  </conditionalFormatting>
  <conditionalFormatting sqref="EK30:EO30">
    <cfRule type="cellIs" dxfId="502" priority="409" stopIfTrue="1" operator="lessThan">
      <formula>0</formula>
    </cfRule>
  </conditionalFormatting>
  <conditionalFormatting sqref="EK39:EO39">
    <cfRule type="cellIs" dxfId="501" priority="417" stopIfTrue="1" operator="lessThan">
      <formula>0</formula>
    </cfRule>
  </conditionalFormatting>
  <conditionalFormatting sqref="EK43:EO43">
    <cfRule type="cellIs" dxfId="500" priority="416" stopIfTrue="1" operator="lessThan">
      <formula>0</formula>
    </cfRule>
  </conditionalFormatting>
  <conditionalFormatting sqref="EK25:EO25">
    <cfRule type="cellIs" dxfId="499" priority="415" stopIfTrue="1" operator="lessThan">
      <formula>0</formula>
    </cfRule>
  </conditionalFormatting>
  <conditionalFormatting sqref="EK29:EO29">
    <cfRule type="cellIs" dxfId="498" priority="414" stopIfTrue="1" operator="lessThan">
      <formula>0</formula>
    </cfRule>
  </conditionalFormatting>
  <conditionalFormatting sqref="EK33:EO33">
    <cfRule type="cellIs" dxfId="497" priority="413" stopIfTrue="1" operator="lessThan">
      <formula>0</formula>
    </cfRule>
  </conditionalFormatting>
  <conditionalFormatting sqref="EK37:EO37">
    <cfRule type="cellIs" dxfId="496" priority="412" stopIfTrue="1" operator="lessThan">
      <formula>0</formula>
    </cfRule>
  </conditionalFormatting>
  <conditionalFormatting sqref="EK41:EO41">
    <cfRule type="cellIs" dxfId="495" priority="411" stopIfTrue="1" operator="lessThan">
      <formula>0</formula>
    </cfRule>
  </conditionalFormatting>
  <conditionalFormatting sqref="EK26:EO26">
    <cfRule type="cellIs" dxfId="494" priority="410" stopIfTrue="1" operator="lessThan">
      <formula>0</formula>
    </cfRule>
  </conditionalFormatting>
  <conditionalFormatting sqref="EK34:EO34">
    <cfRule type="cellIs" dxfId="493" priority="408" stopIfTrue="1" operator="lessThan">
      <formula>0</formula>
    </cfRule>
  </conditionalFormatting>
  <conditionalFormatting sqref="EK38:EO38">
    <cfRule type="cellIs" dxfId="492" priority="407" stopIfTrue="1" operator="lessThan">
      <formula>0</formula>
    </cfRule>
  </conditionalFormatting>
  <conditionalFormatting sqref="EK46:EO46">
    <cfRule type="cellIs" dxfId="491" priority="403" stopIfTrue="1" operator="lessThan">
      <formula>0</formula>
    </cfRule>
  </conditionalFormatting>
  <conditionalFormatting sqref="EK28:EO28">
    <cfRule type="cellIs" dxfId="490" priority="402" stopIfTrue="1" operator="lessThan">
      <formula>0</formula>
    </cfRule>
  </conditionalFormatting>
  <conditionalFormatting sqref="EK32:EO32">
    <cfRule type="cellIs" dxfId="489" priority="401" stopIfTrue="1" operator="lessThan">
      <formula>0</formula>
    </cfRule>
  </conditionalFormatting>
  <conditionalFormatting sqref="EK36:EO36">
    <cfRule type="cellIs" dxfId="488" priority="400" stopIfTrue="1" operator="lessThan">
      <formula>0</formula>
    </cfRule>
  </conditionalFormatting>
  <conditionalFormatting sqref="EK40:EO40">
    <cfRule type="cellIs" dxfId="487" priority="399" stopIfTrue="1" operator="lessThan">
      <formula>0</formula>
    </cfRule>
  </conditionalFormatting>
  <conditionalFormatting sqref="EK44:EO44">
    <cfRule type="cellIs" dxfId="486" priority="398" stopIfTrue="1" operator="lessThan">
      <formula>0</formula>
    </cfRule>
  </conditionalFormatting>
  <conditionalFormatting sqref="EK48:EO48">
    <cfRule type="cellIs" dxfId="485" priority="397" stopIfTrue="1" operator="lessThan">
      <formula>0</formula>
    </cfRule>
  </conditionalFormatting>
  <conditionalFormatting sqref="EP8:EP24 EP49:EP51">
    <cfRule type="cellIs" dxfId="484" priority="396" stopIfTrue="1" operator="lessThan">
      <formula>0</formula>
    </cfRule>
  </conditionalFormatting>
  <conditionalFormatting sqref="EP27">
    <cfRule type="cellIs" dxfId="483" priority="395" stopIfTrue="1" operator="lessThan">
      <formula>0</formula>
    </cfRule>
  </conditionalFormatting>
  <conditionalFormatting sqref="EP42">
    <cfRule type="cellIs" dxfId="482" priority="381" stopIfTrue="1" operator="lessThan">
      <formula>0</formula>
    </cfRule>
  </conditionalFormatting>
  <conditionalFormatting sqref="EP31">
    <cfRule type="cellIs" dxfId="481" priority="394" stopIfTrue="1" operator="lessThan">
      <formula>0</formula>
    </cfRule>
  </conditionalFormatting>
  <conditionalFormatting sqref="EP45">
    <cfRule type="cellIs" dxfId="480" priority="379" stopIfTrue="1" operator="lessThan">
      <formula>0</formula>
    </cfRule>
  </conditionalFormatting>
  <conditionalFormatting sqref="EP35">
    <cfRule type="cellIs" dxfId="479" priority="393" stopIfTrue="1" operator="lessThan">
      <formula>0</formula>
    </cfRule>
  </conditionalFormatting>
  <conditionalFormatting sqref="EP47">
    <cfRule type="cellIs" dxfId="478" priority="380" stopIfTrue="1" operator="lessThan">
      <formula>0</formula>
    </cfRule>
  </conditionalFormatting>
  <conditionalFormatting sqref="EP30">
    <cfRule type="cellIs" dxfId="477" priority="384" stopIfTrue="1" operator="lessThan">
      <formula>0</formula>
    </cfRule>
  </conditionalFormatting>
  <conditionalFormatting sqref="EP39">
    <cfRule type="cellIs" dxfId="476" priority="392" stopIfTrue="1" operator="lessThan">
      <formula>0</formula>
    </cfRule>
  </conditionalFormatting>
  <conditionalFormatting sqref="EP43">
    <cfRule type="cellIs" dxfId="475" priority="391" stopIfTrue="1" operator="lessThan">
      <formula>0</formula>
    </cfRule>
  </conditionalFormatting>
  <conditionalFormatting sqref="EP25">
    <cfRule type="cellIs" dxfId="474" priority="390" stopIfTrue="1" operator="lessThan">
      <formula>0</formula>
    </cfRule>
  </conditionalFormatting>
  <conditionalFormatting sqref="EP29">
    <cfRule type="cellIs" dxfId="473" priority="389" stopIfTrue="1" operator="lessThan">
      <formula>0</formula>
    </cfRule>
  </conditionalFormatting>
  <conditionalFormatting sqref="EP33">
    <cfRule type="cellIs" dxfId="472" priority="388" stopIfTrue="1" operator="lessThan">
      <formula>0</formula>
    </cfRule>
  </conditionalFormatting>
  <conditionalFormatting sqref="EP37">
    <cfRule type="cellIs" dxfId="471" priority="387" stopIfTrue="1" operator="lessThan">
      <formula>0</formula>
    </cfRule>
  </conditionalFormatting>
  <conditionalFormatting sqref="EP41">
    <cfRule type="cellIs" dxfId="470" priority="386" stopIfTrue="1" operator="lessThan">
      <formula>0</formula>
    </cfRule>
  </conditionalFormatting>
  <conditionalFormatting sqref="EP26">
    <cfRule type="cellIs" dxfId="469" priority="385" stopIfTrue="1" operator="lessThan">
      <formula>0</formula>
    </cfRule>
  </conditionalFormatting>
  <conditionalFormatting sqref="EP34">
    <cfRule type="cellIs" dxfId="468" priority="383" stopIfTrue="1" operator="lessThan">
      <formula>0</formula>
    </cfRule>
  </conditionalFormatting>
  <conditionalFormatting sqref="EP38">
    <cfRule type="cellIs" dxfId="467" priority="382" stopIfTrue="1" operator="lessThan">
      <formula>0</formula>
    </cfRule>
  </conditionalFormatting>
  <conditionalFormatting sqref="EP46">
    <cfRule type="cellIs" dxfId="466" priority="378" stopIfTrue="1" operator="lessThan">
      <formula>0</formula>
    </cfRule>
  </conditionalFormatting>
  <conditionalFormatting sqref="EP28">
    <cfRule type="cellIs" dxfId="465" priority="377" stopIfTrue="1" operator="lessThan">
      <formula>0</formula>
    </cfRule>
  </conditionalFormatting>
  <conditionalFormatting sqref="EP32">
    <cfRule type="cellIs" dxfId="464" priority="371" stopIfTrue="1" operator="lessThan">
      <formula>0</formula>
    </cfRule>
  </conditionalFormatting>
  <conditionalFormatting sqref="EP36">
    <cfRule type="cellIs" dxfId="463" priority="370" stopIfTrue="1" operator="lessThan">
      <formula>0</formula>
    </cfRule>
  </conditionalFormatting>
  <conditionalFormatting sqref="EP40">
    <cfRule type="cellIs" dxfId="462" priority="369" stopIfTrue="1" operator="lessThan">
      <formula>0</formula>
    </cfRule>
  </conditionalFormatting>
  <conditionalFormatting sqref="EP44">
    <cfRule type="cellIs" dxfId="461" priority="368" stopIfTrue="1" operator="lessThan">
      <formula>0</formula>
    </cfRule>
  </conditionalFormatting>
  <conditionalFormatting sqref="EP48">
    <cfRule type="cellIs" dxfId="460" priority="367" stopIfTrue="1" operator="lessThan">
      <formula>0</formula>
    </cfRule>
  </conditionalFormatting>
  <conditionalFormatting sqref="BO8:BO10 BO16 BO21:BO22 BO49:BO51 BO12:BO13">
    <cfRule type="cellIs" dxfId="459" priority="366" stopIfTrue="1" operator="lessThan">
      <formula>0</formula>
    </cfRule>
  </conditionalFormatting>
  <conditionalFormatting sqref="BO14">
    <cfRule type="cellIs" dxfId="458" priority="365" stopIfTrue="1" operator="lessThan">
      <formula>0</formula>
    </cfRule>
  </conditionalFormatting>
  <conditionalFormatting sqref="BO15">
    <cfRule type="cellIs" dxfId="457" priority="364" stopIfTrue="1" operator="lessThan">
      <formula>0</formula>
    </cfRule>
  </conditionalFormatting>
  <conditionalFormatting sqref="BO17">
    <cfRule type="cellIs" dxfId="456" priority="363" stopIfTrue="1" operator="lessThan">
      <formula>0</formula>
    </cfRule>
  </conditionalFormatting>
  <conditionalFormatting sqref="BO19">
    <cfRule type="cellIs" dxfId="455" priority="362" stopIfTrue="1" operator="lessThan">
      <formula>0</formula>
    </cfRule>
  </conditionalFormatting>
  <conditionalFormatting sqref="BO20">
    <cfRule type="cellIs" dxfId="454" priority="361" stopIfTrue="1" operator="lessThan">
      <formula>0</formula>
    </cfRule>
  </conditionalFormatting>
  <conditionalFormatting sqref="BO18">
    <cfRule type="cellIs" dxfId="453" priority="358" stopIfTrue="1" operator="lessThan">
      <formula>0</formula>
    </cfRule>
  </conditionalFormatting>
  <conditionalFormatting sqref="BO11">
    <cfRule type="cellIs" dxfId="452" priority="357" stopIfTrue="1" operator="lessThan">
      <formula>0</formula>
    </cfRule>
  </conditionalFormatting>
  <conditionalFormatting sqref="CA8:CA10 CA16 CA21:CA22 CA49:CA51 CA12:CA13">
    <cfRule type="cellIs" dxfId="451" priority="332" stopIfTrue="1" operator="lessThan">
      <formula>0</formula>
    </cfRule>
  </conditionalFormatting>
  <conditionalFormatting sqref="CA14">
    <cfRule type="cellIs" dxfId="450" priority="331" stopIfTrue="1" operator="lessThan">
      <formula>0</formula>
    </cfRule>
  </conditionalFormatting>
  <conditionalFormatting sqref="CA15">
    <cfRule type="cellIs" dxfId="449" priority="330" stopIfTrue="1" operator="lessThan">
      <formula>0</formula>
    </cfRule>
  </conditionalFormatting>
  <conditionalFormatting sqref="CA17">
    <cfRule type="cellIs" dxfId="448" priority="329" stopIfTrue="1" operator="lessThan">
      <formula>0</formula>
    </cfRule>
  </conditionalFormatting>
  <conditionalFormatting sqref="CA19">
    <cfRule type="cellIs" dxfId="447" priority="328" stopIfTrue="1" operator="lessThan">
      <formula>0</formula>
    </cfRule>
  </conditionalFormatting>
  <conditionalFormatting sqref="CA20">
    <cfRule type="cellIs" dxfId="446" priority="327" stopIfTrue="1" operator="lessThan">
      <formula>0</formula>
    </cfRule>
  </conditionalFormatting>
  <conditionalFormatting sqref="CA18">
    <cfRule type="cellIs" dxfId="445" priority="324" stopIfTrue="1" operator="lessThan">
      <formula>0</formula>
    </cfRule>
  </conditionalFormatting>
  <conditionalFormatting sqref="CA11">
    <cfRule type="cellIs" dxfId="444" priority="323" stopIfTrue="1" operator="lessThan">
      <formula>0</formula>
    </cfRule>
  </conditionalFormatting>
  <conditionalFormatting sqref="CM8:CM10 CM16 CM21:CM22 CM49:CM51 CM12:CM13">
    <cfRule type="cellIs" dxfId="443" priority="298" stopIfTrue="1" operator="lessThan">
      <formula>0</formula>
    </cfRule>
  </conditionalFormatting>
  <conditionalFormatting sqref="CM14">
    <cfRule type="cellIs" dxfId="442" priority="297" stopIfTrue="1" operator="lessThan">
      <formula>0</formula>
    </cfRule>
  </conditionalFormatting>
  <conditionalFormatting sqref="CM15">
    <cfRule type="cellIs" dxfId="441" priority="296" stopIfTrue="1" operator="lessThan">
      <formula>0</formula>
    </cfRule>
  </conditionalFormatting>
  <conditionalFormatting sqref="CM17">
    <cfRule type="cellIs" dxfId="440" priority="295" stopIfTrue="1" operator="lessThan">
      <formula>0</formula>
    </cfRule>
  </conditionalFormatting>
  <conditionalFormatting sqref="CM19">
    <cfRule type="cellIs" dxfId="439" priority="294" stopIfTrue="1" operator="lessThan">
      <formula>0</formula>
    </cfRule>
  </conditionalFormatting>
  <conditionalFormatting sqref="CM20">
    <cfRule type="cellIs" dxfId="438" priority="293" stopIfTrue="1" operator="lessThan">
      <formula>0</formula>
    </cfRule>
  </conditionalFormatting>
  <conditionalFormatting sqref="CM18">
    <cfRule type="cellIs" dxfId="437" priority="290" stopIfTrue="1" operator="lessThan">
      <formula>0</formula>
    </cfRule>
  </conditionalFormatting>
  <conditionalFormatting sqref="CM11">
    <cfRule type="cellIs" dxfId="436" priority="289" stopIfTrue="1" operator="lessThan">
      <formula>0</formula>
    </cfRule>
  </conditionalFormatting>
  <conditionalFormatting sqref="CY8:CY10 CY16 CY21:CY22 CY49:CY51 CY12:CY13">
    <cfRule type="cellIs" dxfId="435" priority="264" stopIfTrue="1" operator="lessThan">
      <formula>0</formula>
    </cfRule>
  </conditionalFormatting>
  <conditionalFormatting sqref="CY14">
    <cfRule type="cellIs" dxfId="434" priority="263" stopIfTrue="1" operator="lessThan">
      <formula>0</formula>
    </cfRule>
  </conditionalFormatting>
  <conditionalFormatting sqref="CY15">
    <cfRule type="cellIs" dxfId="433" priority="262" stopIfTrue="1" operator="lessThan">
      <formula>0</formula>
    </cfRule>
  </conditionalFormatting>
  <conditionalFormatting sqref="CY17">
    <cfRule type="cellIs" dxfId="432" priority="261" stopIfTrue="1" operator="lessThan">
      <formula>0</formula>
    </cfRule>
  </conditionalFormatting>
  <conditionalFormatting sqref="CY19">
    <cfRule type="cellIs" dxfId="431" priority="260" stopIfTrue="1" operator="lessThan">
      <formula>0</formula>
    </cfRule>
  </conditionalFormatting>
  <conditionalFormatting sqref="CY20">
    <cfRule type="cellIs" dxfId="430" priority="259" stopIfTrue="1" operator="lessThan">
      <formula>0</formula>
    </cfRule>
  </conditionalFormatting>
  <conditionalFormatting sqref="CY18">
    <cfRule type="cellIs" dxfId="429" priority="256" stopIfTrue="1" operator="lessThan">
      <formula>0</formula>
    </cfRule>
  </conditionalFormatting>
  <conditionalFormatting sqref="CY11">
    <cfRule type="cellIs" dxfId="428" priority="255" stopIfTrue="1" operator="lessThan">
      <formula>0</formula>
    </cfRule>
  </conditionalFormatting>
  <conditionalFormatting sqref="DK8:DK10 DK16 DK21:DK22 DK49:DK51 DK12:DK13">
    <cfRule type="cellIs" dxfId="427" priority="230" stopIfTrue="1" operator="lessThan">
      <formula>0</formula>
    </cfRule>
  </conditionalFormatting>
  <conditionalFormatting sqref="DK14">
    <cfRule type="cellIs" dxfId="426" priority="229" stopIfTrue="1" operator="lessThan">
      <formula>0</formula>
    </cfRule>
  </conditionalFormatting>
  <conditionalFormatting sqref="DK15">
    <cfRule type="cellIs" dxfId="425" priority="228" stopIfTrue="1" operator="lessThan">
      <formula>0</formula>
    </cfRule>
  </conditionalFormatting>
  <conditionalFormatting sqref="DK17">
    <cfRule type="cellIs" dxfId="424" priority="227" stopIfTrue="1" operator="lessThan">
      <formula>0</formula>
    </cfRule>
  </conditionalFormatting>
  <conditionalFormatting sqref="DK19">
    <cfRule type="cellIs" dxfId="423" priority="226" stopIfTrue="1" operator="lessThan">
      <formula>0</formula>
    </cfRule>
  </conditionalFormatting>
  <conditionalFormatting sqref="DK20">
    <cfRule type="cellIs" dxfId="422" priority="225" stopIfTrue="1" operator="lessThan">
      <formula>0</formula>
    </cfRule>
  </conditionalFormatting>
  <conditionalFormatting sqref="DK18">
    <cfRule type="cellIs" dxfId="421" priority="222" stopIfTrue="1" operator="lessThan">
      <formula>0</formula>
    </cfRule>
  </conditionalFormatting>
  <conditionalFormatting sqref="DK11">
    <cfRule type="cellIs" dxfId="420" priority="221" stopIfTrue="1" operator="lessThan">
      <formula>0</formula>
    </cfRule>
  </conditionalFormatting>
  <conditionalFormatting sqref="BO24">
    <cfRule type="cellIs" dxfId="419" priority="196" stopIfTrue="1" operator="lessThan">
      <formula>0</formula>
    </cfRule>
  </conditionalFormatting>
  <conditionalFormatting sqref="BO23">
    <cfRule type="cellIs" dxfId="418" priority="195" stopIfTrue="1" operator="lessThan">
      <formula>0</formula>
    </cfRule>
  </conditionalFormatting>
  <conditionalFormatting sqref="BO45">
    <cfRule type="cellIs" dxfId="417" priority="190" stopIfTrue="1" operator="lessThan">
      <formula>0</formula>
    </cfRule>
  </conditionalFormatting>
  <conditionalFormatting sqref="BO27">
    <cfRule type="cellIs" dxfId="416" priority="189" stopIfTrue="1" operator="lessThan">
      <formula>0</formula>
    </cfRule>
  </conditionalFormatting>
  <conditionalFormatting sqref="BO41">
    <cfRule type="cellIs" dxfId="415" priority="191" stopIfTrue="1" operator="lessThan">
      <formula>0</formula>
    </cfRule>
  </conditionalFormatting>
  <conditionalFormatting sqref="BO37">
    <cfRule type="cellIs" dxfId="414" priority="192" stopIfTrue="1" operator="lessThan">
      <formula>0</formula>
    </cfRule>
  </conditionalFormatting>
  <conditionalFormatting sqref="BO33">
    <cfRule type="cellIs" dxfId="413" priority="193" stopIfTrue="1" operator="lessThan">
      <formula>0</formula>
    </cfRule>
  </conditionalFormatting>
  <conditionalFormatting sqref="BO29">
    <cfRule type="cellIs" dxfId="412" priority="194" stopIfTrue="1" operator="lessThan">
      <formula>0</formula>
    </cfRule>
  </conditionalFormatting>
  <conditionalFormatting sqref="BO26">
    <cfRule type="cellIs" dxfId="411" priority="188" stopIfTrue="1" operator="lessThan">
      <formula>0</formula>
    </cfRule>
  </conditionalFormatting>
  <conditionalFormatting sqref="BO28">
    <cfRule type="cellIs" dxfId="410" priority="187" stopIfTrue="1" operator="lessThan">
      <formula>0</formula>
    </cfRule>
  </conditionalFormatting>
  <conditionalFormatting sqref="BO30">
    <cfRule type="cellIs" dxfId="409" priority="186" stopIfTrue="1" operator="lessThan">
      <formula>0</formula>
    </cfRule>
  </conditionalFormatting>
  <conditionalFormatting sqref="BO34">
    <cfRule type="cellIs" dxfId="408" priority="185" stopIfTrue="1" operator="lessThan">
      <formula>0</formula>
    </cfRule>
  </conditionalFormatting>
  <conditionalFormatting sqref="BO38">
    <cfRule type="cellIs" dxfId="407" priority="184" stopIfTrue="1" operator="lessThan">
      <formula>0</formula>
    </cfRule>
  </conditionalFormatting>
  <conditionalFormatting sqref="BO42">
    <cfRule type="cellIs" dxfId="406" priority="183" stopIfTrue="1" operator="lessThan">
      <formula>0</formula>
    </cfRule>
  </conditionalFormatting>
  <conditionalFormatting sqref="BO46">
    <cfRule type="cellIs" dxfId="405" priority="182" stopIfTrue="1" operator="lessThan">
      <formula>0</formula>
    </cfRule>
  </conditionalFormatting>
  <conditionalFormatting sqref="BO32">
    <cfRule type="cellIs" dxfId="404" priority="181" stopIfTrue="1" operator="lessThan">
      <formula>0</formula>
    </cfRule>
  </conditionalFormatting>
  <conditionalFormatting sqref="BO36">
    <cfRule type="cellIs" dxfId="403" priority="180" stopIfTrue="1" operator="lessThan">
      <formula>0</formula>
    </cfRule>
  </conditionalFormatting>
  <conditionalFormatting sqref="BO40">
    <cfRule type="cellIs" dxfId="402" priority="179" stopIfTrue="1" operator="lessThan">
      <formula>0</formula>
    </cfRule>
  </conditionalFormatting>
  <conditionalFormatting sqref="BO44">
    <cfRule type="cellIs" dxfId="401" priority="178" stopIfTrue="1" operator="lessThan">
      <formula>0</formula>
    </cfRule>
  </conditionalFormatting>
  <conditionalFormatting sqref="BO31">
    <cfRule type="cellIs" dxfId="400" priority="177" stopIfTrue="1" operator="lessThan">
      <formula>0</formula>
    </cfRule>
  </conditionalFormatting>
  <conditionalFormatting sqref="BO35">
    <cfRule type="cellIs" dxfId="399" priority="176" stopIfTrue="1" operator="lessThan">
      <formula>0</formula>
    </cfRule>
  </conditionalFormatting>
  <conditionalFormatting sqref="BO39">
    <cfRule type="cellIs" dxfId="398" priority="175" stopIfTrue="1" operator="lessThan">
      <formula>0</formula>
    </cfRule>
  </conditionalFormatting>
  <conditionalFormatting sqref="BO43">
    <cfRule type="cellIs" dxfId="397" priority="174" stopIfTrue="1" operator="lessThan">
      <formula>0</formula>
    </cfRule>
  </conditionalFormatting>
  <conditionalFormatting sqref="BO47">
    <cfRule type="cellIs" dxfId="396" priority="173" stopIfTrue="1" operator="lessThan">
      <formula>0</formula>
    </cfRule>
  </conditionalFormatting>
  <conditionalFormatting sqref="BO25">
    <cfRule type="cellIs" dxfId="395" priority="172" stopIfTrue="1" operator="lessThan">
      <formula>0</formula>
    </cfRule>
  </conditionalFormatting>
  <conditionalFormatting sqref="BO48">
    <cfRule type="cellIs" dxfId="394" priority="171" stopIfTrue="1" operator="lessThan">
      <formula>0</formula>
    </cfRule>
  </conditionalFormatting>
  <conditionalFormatting sqref="CA24">
    <cfRule type="cellIs" dxfId="393" priority="170" stopIfTrue="1" operator="lessThan">
      <formula>0</formula>
    </cfRule>
  </conditionalFormatting>
  <conditionalFormatting sqref="CA23">
    <cfRule type="cellIs" dxfId="392" priority="169" stopIfTrue="1" operator="lessThan">
      <formula>0</formula>
    </cfRule>
  </conditionalFormatting>
  <conditionalFormatting sqref="CA45">
    <cfRule type="cellIs" dxfId="391" priority="164" stopIfTrue="1" operator="lessThan">
      <formula>0</formula>
    </cfRule>
  </conditionalFormatting>
  <conditionalFormatting sqref="CA27">
    <cfRule type="cellIs" dxfId="390" priority="163" stopIfTrue="1" operator="lessThan">
      <formula>0</formula>
    </cfRule>
  </conditionalFormatting>
  <conditionalFormatting sqref="CA41">
    <cfRule type="cellIs" dxfId="389" priority="165" stopIfTrue="1" operator="lessThan">
      <formula>0</formula>
    </cfRule>
  </conditionalFormatting>
  <conditionalFormatting sqref="CA37">
    <cfRule type="cellIs" dxfId="388" priority="166" stopIfTrue="1" operator="lessThan">
      <formula>0</formula>
    </cfRule>
  </conditionalFormatting>
  <conditionalFormatting sqref="CA33">
    <cfRule type="cellIs" dxfId="387" priority="167" stopIfTrue="1" operator="lessThan">
      <formula>0</formula>
    </cfRule>
  </conditionalFormatting>
  <conditionalFormatting sqref="CA29">
    <cfRule type="cellIs" dxfId="386" priority="168" stopIfTrue="1" operator="lessThan">
      <formula>0</formula>
    </cfRule>
  </conditionalFormatting>
  <conditionalFormatting sqref="CA26">
    <cfRule type="cellIs" dxfId="385" priority="162" stopIfTrue="1" operator="lessThan">
      <formula>0</formula>
    </cfRule>
  </conditionalFormatting>
  <conditionalFormatting sqref="CA28">
    <cfRule type="cellIs" dxfId="384" priority="161" stopIfTrue="1" operator="lessThan">
      <formula>0</formula>
    </cfRule>
  </conditionalFormatting>
  <conditionalFormatting sqref="CA30">
    <cfRule type="cellIs" dxfId="383" priority="160" stopIfTrue="1" operator="lessThan">
      <formula>0</formula>
    </cfRule>
  </conditionalFormatting>
  <conditionalFormatting sqref="CA34">
    <cfRule type="cellIs" dxfId="382" priority="159" stopIfTrue="1" operator="lessThan">
      <formula>0</formula>
    </cfRule>
  </conditionalFormatting>
  <conditionalFormatting sqref="CA38">
    <cfRule type="cellIs" dxfId="381" priority="158" stopIfTrue="1" operator="lessThan">
      <formula>0</formula>
    </cfRule>
  </conditionalFormatting>
  <conditionalFormatting sqref="CA42">
    <cfRule type="cellIs" dxfId="380" priority="157" stopIfTrue="1" operator="lessThan">
      <formula>0</formula>
    </cfRule>
  </conditionalFormatting>
  <conditionalFormatting sqref="CA46">
    <cfRule type="cellIs" dxfId="379" priority="156" stopIfTrue="1" operator="lessThan">
      <formula>0</formula>
    </cfRule>
  </conditionalFormatting>
  <conditionalFormatting sqref="CA32">
    <cfRule type="cellIs" dxfId="378" priority="155" stopIfTrue="1" operator="lessThan">
      <formula>0</formula>
    </cfRule>
  </conditionalFormatting>
  <conditionalFormatting sqref="CA36">
    <cfRule type="cellIs" dxfId="377" priority="154" stopIfTrue="1" operator="lessThan">
      <formula>0</formula>
    </cfRule>
  </conditionalFormatting>
  <conditionalFormatting sqref="CA40">
    <cfRule type="cellIs" dxfId="376" priority="153" stopIfTrue="1" operator="lessThan">
      <formula>0</formula>
    </cfRule>
  </conditionalFormatting>
  <conditionalFormatting sqref="CA44">
    <cfRule type="cellIs" dxfId="375" priority="152" stopIfTrue="1" operator="lessThan">
      <formula>0</formula>
    </cfRule>
  </conditionalFormatting>
  <conditionalFormatting sqref="CA31">
    <cfRule type="cellIs" dxfId="374" priority="151" stopIfTrue="1" operator="lessThan">
      <formula>0</formula>
    </cfRule>
  </conditionalFormatting>
  <conditionalFormatting sqref="CA35">
    <cfRule type="cellIs" dxfId="373" priority="150" stopIfTrue="1" operator="lessThan">
      <formula>0</formula>
    </cfRule>
  </conditionalFormatting>
  <conditionalFormatting sqref="CA39">
    <cfRule type="cellIs" dxfId="372" priority="149" stopIfTrue="1" operator="lessThan">
      <formula>0</formula>
    </cfRule>
  </conditionalFormatting>
  <conditionalFormatting sqref="CA43">
    <cfRule type="cellIs" dxfId="371" priority="148" stopIfTrue="1" operator="lessThan">
      <formula>0</formula>
    </cfRule>
  </conditionalFormatting>
  <conditionalFormatting sqref="CA47">
    <cfRule type="cellIs" dxfId="370" priority="147" stopIfTrue="1" operator="lessThan">
      <formula>0</formula>
    </cfRule>
  </conditionalFormatting>
  <conditionalFormatting sqref="CA25">
    <cfRule type="cellIs" dxfId="369" priority="146" stopIfTrue="1" operator="lessThan">
      <formula>0</formula>
    </cfRule>
  </conditionalFormatting>
  <conditionalFormatting sqref="CA48">
    <cfRule type="cellIs" dxfId="368" priority="145" stopIfTrue="1" operator="lessThan">
      <formula>0</formula>
    </cfRule>
  </conditionalFormatting>
  <conditionalFormatting sqref="CM24">
    <cfRule type="cellIs" dxfId="367" priority="144" stopIfTrue="1" operator="lessThan">
      <formula>0</formula>
    </cfRule>
  </conditionalFormatting>
  <conditionalFormatting sqref="CM23">
    <cfRule type="cellIs" dxfId="366" priority="143" stopIfTrue="1" operator="lessThan">
      <formula>0</formula>
    </cfRule>
  </conditionalFormatting>
  <conditionalFormatting sqref="CM45">
    <cfRule type="cellIs" dxfId="365" priority="138" stopIfTrue="1" operator="lessThan">
      <formula>0</formula>
    </cfRule>
  </conditionalFormatting>
  <conditionalFormatting sqref="CM27">
    <cfRule type="cellIs" dxfId="364" priority="137" stopIfTrue="1" operator="lessThan">
      <formula>0</formula>
    </cfRule>
  </conditionalFormatting>
  <conditionalFormatting sqref="CM41">
    <cfRule type="cellIs" dxfId="363" priority="139" stopIfTrue="1" operator="lessThan">
      <formula>0</formula>
    </cfRule>
  </conditionalFormatting>
  <conditionalFormatting sqref="CM37">
    <cfRule type="cellIs" dxfId="362" priority="140" stopIfTrue="1" operator="lessThan">
      <formula>0</formula>
    </cfRule>
  </conditionalFormatting>
  <conditionalFormatting sqref="CM33">
    <cfRule type="cellIs" dxfId="361" priority="141" stopIfTrue="1" operator="lessThan">
      <formula>0</formula>
    </cfRule>
  </conditionalFormatting>
  <conditionalFormatting sqref="CM29">
    <cfRule type="cellIs" dxfId="360" priority="142" stopIfTrue="1" operator="lessThan">
      <formula>0</formula>
    </cfRule>
  </conditionalFormatting>
  <conditionalFormatting sqref="CM26">
    <cfRule type="cellIs" dxfId="359" priority="136" stopIfTrue="1" operator="lessThan">
      <formula>0</formula>
    </cfRule>
  </conditionalFormatting>
  <conditionalFormatting sqref="CM28">
    <cfRule type="cellIs" dxfId="358" priority="135" stopIfTrue="1" operator="lessThan">
      <formula>0</formula>
    </cfRule>
  </conditionalFormatting>
  <conditionalFormatting sqref="CM30">
    <cfRule type="cellIs" dxfId="357" priority="134" stopIfTrue="1" operator="lessThan">
      <formula>0</formula>
    </cfRule>
  </conditionalFormatting>
  <conditionalFormatting sqref="CM34">
    <cfRule type="cellIs" dxfId="356" priority="133" stopIfTrue="1" operator="lessThan">
      <formula>0</formula>
    </cfRule>
  </conditionalFormatting>
  <conditionalFormatting sqref="CM38">
    <cfRule type="cellIs" dxfId="355" priority="132" stopIfTrue="1" operator="lessThan">
      <formula>0</formula>
    </cfRule>
  </conditionalFormatting>
  <conditionalFormatting sqref="CM42">
    <cfRule type="cellIs" dxfId="354" priority="131" stopIfTrue="1" operator="lessThan">
      <formula>0</formula>
    </cfRule>
  </conditionalFormatting>
  <conditionalFormatting sqref="CM46">
    <cfRule type="cellIs" dxfId="353" priority="130" stopIfTrue="1" operator="lessThan">
      <formula>0</formula>
    </cfRule>
  </conditionalFormatting>
  <conditionalFormatting sqref="CM32">
    <cfRule type="cellIs" dxfId="352" priority="129" stopIfTrue="1" operator="lessThan">
      <formula>0</formula>
    </cfRule>
  </conditionalFormatting>
  <conditionalFormatting sqref="CM36">
    <cfRule type="cellIs" dxfId="351" priority="128" stopIfTrue="1" operator="lessThan">
      <formula>0</formula>
    </cfRule>
  </conditionalFormatting>
  <conditionalFormatting sqref="CM40">
    <cfRule type="cellIs" dxfId="350" priority="127" stopIfTrue="1" operator="lessThan">
      <formula>0</formula>
    </cfRule>
  </conditionalFormatting>
  <conditionalFormatting sqref="CM44">
    <cfRule type="cellIs" dxfId="349" priority="126" stopIfTrue="1" operator="lessThan">
      <formula>0</formula>
    </cfRule>
  </conditionalFormatting>
  <conditionalFormatting sqref="CM31">
    <cfRule type="cellIs" dxfId="348" priority="125" stopIfTrue="1" operator="lessThan">
      <formula>0</formula>
    </cfRule>
  </conditionalFormatting>
  <conditionalFormatting sqref="CM35">
    <cfRule type="cellIs" dxfId="347" priority="124" stopIfTrue="1" operator="lessThan">
      <formula>0</formula>
    </cfRule>
  </conditionalFormatting>
  <conditionalFormatting sqref="CM39">
    <cfRule type="cellIs" dxfId="346" priority="123" stopIfTrue="1" operator="lessThan">
      <formula>0</formula>
    </cfRule>
  </conditionalFormatting>
  <conditionalFormatting sqref="CM43">
    <cfRule type="cellIs" dxfId="345" priority="122" stopIfTrue="1" operator="lessThan">
      <formula>0</formula>
    </cfRule>
  </conditionalFormatting>
  <conditionalFormatting sqref="CM47">
    <cfRule type="cellIs" dxfId="344" priority="121" stopIfTrue="1" operator="lessThan">
      <formula>0</formula>
    </cfRule>
  </conditionalFormatting>
  <conditionalFormatting sqref="CM25">
    <cfRule type="cellIs" dxfId="343" priority="120" stopIfTrue="1" operator="lessThan">
      <formula>0</formula>
    </cfRule>
  </conditionalFormatting>
  <conditionalFormatting sqref="CM48">
    <cfRule type="cellIs" dxfId="342" priority="119" stopIfTrue="1" operator="lessThan">
      <formula>0</formula>
    </cfRule>
  </conditionalFormatting>
  <conditionalFormatting sqref="CY24">
    <cfRule type="cellIs" dxfId="341" priority="118" stopIfTrue="1" operator="lessThan">
      <formula>0</formula>
    </cfRule>
  </conditionalFormatting>
  <conditionalFormatting sqref="CY23">
    <cfRule type="cellIs" dxfId="340" priority="117" stopIfTrue="1" operator="lessThan">
      <formula>0</formula>
    </cfRule>
  </conditionalFormatting>
  <conditionalFormatting sqref="CY45">
    <cfRule type="cellIs" dxfId="339" priority="112" stopIfTrue="1" operator="lessThan">
      <formula>0</formula>
    </cfRule>
  </conditionalFormatting>
  <conditionalFormatting sqref="CY27">
    <cfRule type="cellIs" dxfId="338" priority="111" stopIfTrue="1" operator="lessThan">
      <formula>0</formula>
    </cfRule>
  </conditionalFormatting>
  <conditionalFormatting sqref="CY41">
    <cfRule type="cellIs" dxfId="337" priority="113" stopIfTrue="1" operator="lessThan">
      <formula>0</formula>
    </cfRule>
  </conditionalFormatting>
  <conditionalFormatting sqref="CY37">
    <cfRule type="cellIs" dxfId="336" priority="114" stopIfTrue="1" operator="lessThan">
      <formula>0</formula>
    </cfRule>
  </conditionalFormatting>
  <conditionalFormatting sqref="CY33">
    <cfRule type="cellIs" dxfId="335" priority="115" stopIfTrue="1" operator="lessThan">
      <formula>0</formula>
    </cfRule>
  </conditionalFormatting>
  <conditionalFormatting sqref="CY29">
    <cfRule type="cellIs" dxfId="334" priority="116" stopIfTrue="1" operator="lessThan">
      <formula>0</formula>
    </cfRule>
  </conditionalFormatting>
  <conditionalFormatting sqref="CY26">
    <cfRule type="cellIs" dxfId="333" priority="110" stopIfTrue="1" operator="lessThan">
      <formula>0</formula>
    </cfRule>
  </conditionalFormatting>
  <conditionalFormatting sqref="CY28">
    <cfRule type="cellIs" dxfId="332" priority="109" stopIfTrue="1" operator="lessThan">
      <formula>0</formula>
    </cfRule>
  </conditionalFormatting>
  <conditionalFormatting sqref="CY30">
    <cfRule type="cellIs" dxfId="331" priority="108" stopIfTrue="1" operator="lessThan">
      <formula>0</formula>
    </cfRule>
  </conditionalFormatting>
  <conditionalFormatting sqref="CY34">
    <cfRule type="cellIs" dxfId="330" priority="107" stopIfTrue="1" operator="lessThan">
      <formula>0</formula>
    </cfRule>
  </conditionalFormatting>
  <conditionalFormatting sqref="CY38">
    <cfRule type="cellIs" dxfId="329" priority="106" stopIfTrue="1" operator="lessThan">
      <formula>0</formula>
    </cfRule>
  </conditionalFormatting>
  <conditionalFormatting sqref="CY42">
    <cfRule type="cellIs" dxfId="328" priority="105" stopIfTrue="1" operator="lessThan">
      <formula>0</formula>
    </cfRule>
  </conditionalFormatting>
  <conditionalFormatting sqref="CY46">
    <cfRule type="cellIs" dxfId="327" priority="104" stopIfTrue="1" operator="lessThan">
      <formula>0</formula>
    </cfRule>
  </conditionalFormatting>
  <conditionalFormatting sqref="CY32">
    <cfRule type="cellIs" dxfId="326" priority="103" stopIfTrue="1" operator="lessThan">
      <formula>0</formula>
    </cfRule>
  </conditionalFormatting>
  <conditionalFormatting sqref="CY36">
    <cfRule type="cellIs" dxfId="325" priority="102" stopIfTrue="1" operator="lessThan">
      <formula>0</formula>
    </cfRule>
  </conditionalFormatting>
  <conditionalFormatting sqref="CY40">
    <cfRule type="cellIs" dxfId="324" priority="101" stopIfTrue="1" operator="lessThan">
      <formula>0</formula>
    </cfRule>
  </conditionalFormatting>
  <conditionalFormatting sqref="CY44">
    <cfRule type="cellIs" dxfId="323" priority="100" stopIfTrue="1" operator="lessThan">
      <formula>0</formula>
    </cfRule>
  </conditionalFormatting>
  <conditionalFormatting sqref="CY31">
    <cfRule type="cellIs" dxfId="322" priority="99" stopIfTrue="1" operator="lessThan">
      <formula>0</formula>
    </cfRule>
  </conditionalFormatting>
  <conditionalFormatting sqref="CY35">
    <cfRule type="cellIs" dxfId="321" priority="98" stopIfTrue="1" operator="lessThan">
      <formula>0</formula>
    </cfRule>
  </conditionalFormatting>
  <conditionalFormatting sqref="CY39">
    <cfRule type="cellIs" dxfId="320" priority="97" stopIfTrue="1" operator="lessThan">
      <formula>0</formula>
    </cfRule>
  </conditionalFormatting>
  <conditionalFormatting sqref="CY43">
    <cfRule type="cellIs" dxfId="319" priority="96" stopIfTrue="1" operator="lessThan">
      <formula>0</formula>
    </cfRule>
  </conditionalFormatting>
  <conditionalFormatting sqref="CY47">
    <cfRule type="cellIs" dxfId="318" priority="95" stopIfTrue="1" operator="lessThan">
      <formula>0</formula>
    </cfRule>
  </conditionalFormatting>
  <conditionalFormatting sqref="CY25">
    <cfRule type="cellIs" dxfId="317" priority="94" stopIfTrue="1" operator="lessThan">
      <formula>0</formula>
    </cfRule>
  </conditionalFormatting>
  <conditionalFormatting sqref="CY48">
    <cfRule type="cellIs" dxfId="316" priority="93" stopIfTrue="1" operator="lessThan">
      <formula>0</formula>
    </cfRule>
  </conditionalFormatting>
  <conditionalFormatting sqref="DK24">
    <cfRule type="cellIs" dxfId="315" priority="92" stopIfTrue="1" operator="lessThan">
      <formula>0</formula>
    </cfRule>
  </conditionalFormatting>
  <conditionalFormatting sqref="DK23">
    <cfRule type="cellIs" dxfId="314" priority="91" stopIfTrue="1" operator="lessThan">
      <formula>0</formula>
    </cfRule>
  </conditionalFormatting>
  <conditionalFormatting sqref="DK45">
    <cfRule type="cellIs" dxfId="313" priority="86" stopIfTrue="1" operator="lessThan">
      <formula>0</formula>
    </cfRule>
  </conditionalFormatting>
  <conditionalFormatting sqref="DK27">
    <cfRule type="cellIs" dxfId="312" priority="85" stopIfTrue="1" operator="lessThan">
      <formula>0</formula>
    </cfRule>
  </conditionalFormatting>
  <conditionalFormatting sqref="DK41">
    <cfRule type="cellIs" dxfId="311" priority="87" stopIfTrue="1" operator="lessThan">
      <formula>0</formula>
    </cfRule>
  </conditionalFormatting>
  <conditionalFormatting sqref="DK37">
    <cfRule type="cellIs" dxfId="310" priority="88" stopIfTrue="1" operator="lessThan">
      <formula>0</formula>
    </cfRule>
  </conditionalFormatting>
  <conditionalFormatting sqref="DK33">
    <cfRule type="cellIs" dxfId="309" priority="89" stopIfTrue="1" operator="lessThan">
      <formula>0</formula>
    </cfRule>
  </conditionalFormatting>
  <conditionalFormatting sqref="DK29">
    <cfRule type="cellIs" dxfId="308" priority="90" stopIfTrue="1" operator="lessThan">
      <formula>0</formula>
    </cfRule>
  </conditionalFormatting>
  <conditionalFormatting sqref="DK26">
    <cfRule type="cellIs" dxfId="307" priority="84" stopIfTrue="1" operator="lessThan">
      <formula>0</formula>
    </cfRule>
  </conditionalFormatting>
  <conditionalFormatting sqref="DK28">
    <cfRule type="cellIs" dxfId="306" priority="83" stopIfTrue="1" operator="lessThan">
      <formula>0</formula>
    </cfRule>
  </conditionalFormatting>
  <conditionalFormatting sqref="DK30">
    <cfRule type="cellIs" dxfId="305" priority="82" stopIfTrue="1" operator="lessThan">
      <formula>0</formula>
    </cfRule>
  </conditionalFormatting>
  <conditionalFormatting sqref="DK34">
    <cfRule type="cellIs" dxfId="304" priority="81" stopIfTrue="1" operator="lessThan">
      <formula>0</formula>
    </cfRule>
  </conditionalFormatting>
  <conditionalFormatting sqref="DK38">
    <cfRule type="cellIs" dxfId="303" priority="80" stopIfTrue="1" operator="lessThan">
      <formula>0</formula>
    </cfRule>
  </conditionalFormatting>
  <conditionalFormatting sqref="DK42">
    <cfRule type="cellIs" dxfId="302" priority="79" stopIfTrue="1" operator="lessThan">
      <formula>0</formula>
    </cfRule>
  </conditionalFormatting>
  <conditionalFormatting sqref="DK46">
    <cfRule type="cellIs" dxfId="301" priority="78" stopIfTrue="1" operator="lessThan">
      <formula>0</formula>
    </cfRule>
  </conditionalFormatting>
  <conditionalFormatting sqref="DK32">
    <cfRule type="cellIs" dxfId="300" priority="77" stopIfTrue="1" operator="lessThan">
      <formula>0</formula>
    </cfRule>
  </conditionalFormatting>
  <conditionalFormatting sqref="DK36">
    <cfRule type="cellIs" dxfId="299" priority="76" stopIfTrue="1" operator="lessThan">
      <formula>0</formula>
    </cfRule>
  </conditionalFormatting>
  <conditionalFormatting sqref="DK40">
    <cfRule type="cellIs" dxfId="298" priority="75" stopIfTrue="1" operator="lessThan">
      <formula>0</formula>
    </cfRule>
  </conditionalFormatting>
  <conditionalFormatting sqref="DK44">
    <cfRule type="cellIs" dxfId="297" priority="74" stopIfTrue="1" operator="lessThan">
      <formula>0</formula>
    </cfRule>
  </conditionalFormatting>
  <conditionalFormatting sqref="DK31">
    <cfRule type="cellIs" dxfId="296" priority="73" stopIfTrue="1" operator="lessThan">
      <formula>0</formula>
    </cfRule>
  </conditionalFormatting>
  <conditionalFormatting sqref="DK35">
    <cfRule type="cellIs" dxfId="295" priority="72" stopIfTrue="1" operator="lessThan">
      <formula>0</formula>
    </cfRule>
  </conditionalFormatting>
  <conditionalFormatting sqref="DK39">
    <cfRule type="cellIs" dxfId="294" priority="71" stopIfTrue="1" operator="lessThan">
      <formula>0</formula>
    </cfRule>
  </conditionalFormatting>
  <conditionalFormatting sqref="DK43">
    <cfRule type="cellIs" dxfId="293" priority="70" stopIfTrue="1" operator="lessThan">
      <formula>0</formula>
    </cfRule>
  </conditionalFormatting>
  <conditionalFormatting sqref="DK47">
    <cfRule type="cellIs" dxfId="292" priority="69" stopIfTrue="1" operator="lessThan">
      <formula>0</formula>
    </cfRule>
  </conditionalFormatting>
  <conditionalFormatting sqref="DK25">
    <cfRule type="cellIs" dxfId="291" priority="68" stopIfTrue="1" operator="lessThan">
      <formula>0</formula>
    </cfRule>
  </conditionalFormatting>
  <conditionalFormatting sqref="DK48">
    <cfRule type="cellIs" dxfId="290" priority="67" stopIfTrue="1" operator="lessThan">
      <formula>0</formula>
    </cfRule>
  </conditionalFormatting>
  <conditionalFormatting sqref="F30">
    <cfRule type="cellIs" dxfId="289" priority="66" stopIfTrue="1" operator="lessThan">
      <formula>0</formula>
    </cfRule>
  </conditionalFormatting>
  <conditionalFormatting sqref="F34">
    <cfRule type="cellIs" dxfId="288" priority="65" stopIfTrue="1" operator="lessThan">
      <formula>0</formula>
    </cfRule>
  </conditionalFormatting>
  <conditionalFormatting sqref="F38">
    <cfRule type="cellIs" dxfId="287" priority="64" stopIfTrue="1" operator="lessThan">
      <formula>0</formula>
    </cfRule>
  </conditionalFormatting>
  <conditionalFormatting sqref="F42">
    <cfRule type="cellIs" dxfId="286" priority="63" stopIfTrue="1" operator="lessThan">
      <formula>0</formula>
    </cfRule>
  </conditionalFormatting>
  <conditionalFormatting sqref="F46">
    <cfRule type="cellIs" dxfId="285" priority="62" stopIfTrue="1" operator="lessThan">
      <formula>0</formula>
    </cfRule>
  </conditionalFormatting>
  <conditionalFormatting sqref="AQ79">
    <cfRule type="cellIs" dxfId="284" priority="53" stopIfTrue="1" operator="lessThan">
      <formula>0</formula>
    </cfRule>
  </conditionalFormatting>
  <conditionalFormatting sqref="BC79">
    <cfRule type="cellIs" dxfId="283" priority="52" stopIfTrue="1" operator="lessThan">
      <formula>0</formula>
    </cfRule>
  </conditionalFormatting>
  <conditionalFormatting sqref="D82:E82">
    <cfRule type="cellIs" dxfId="282" priority="51" stopIfTrue="1" operator="lessThan">
      <formula>0</formula>
    </cfRule>
  </conditionalFormatting>
  <conditionalFormatting sqref="DX79:EI79">
    <cfRule type="cellIs" dxfId="281" priority="59" stopIfTrue="1" operator="lessThan">
      <formula>0</formula>
    </cfRule>
  </conditionalFormatting>
  <conditionalFormatting sqref="D80:E81">
    <cfRule type="cellIs" dxfId="280" priority="61" stopIfTrue="1" operator="lessThan">
      <formula>0</formula>
    </cfRule>
  </conditionalFormatting>
  <conditionalFormatting sqref="DX81:EI81">
    <cfRule type="cellIs" dxfId="279" priority="60" stopIfTrue="1" operator="lessThan">
      <formula>0</formula>
    </cfRule>
  </conditionalFormatting>
  <conditionalFormatting sqref="DX80:EI80">
    <cfRule type="cellIs" dxfId="278" priority="55" stopIfTrue="1" operator="lessThan">
      <formula>0</formula>
    </cfRule>
  </conditionalFormatting>
  <conditionalFormatting sqref="D79:E79">
    <cfRule type="cellIs" dxfId="277" priority="58" stopIfTrue="1" operator="lessThan">
      <formula>0</formula>
    </cfRule>
  </conditionalFormatting>
  <conditionalFormatting sqref="F79:N79">
    <cfRule type="cellIs" dxfId="276" priority="57" stopIfTrue="1" operator="lessThan">
      <formula>0</formula>
    </cfRule>
  </conditionalFormatting>
  <conditionalFormatting sqref="O79:AD79 AF79:AP79 AR79:BB79 BD79:BN79 BP79:BZ79 CB79:CL79 CN79:CX79 CZ79:DJ79 DL79:DW79">
    <cfRule type="cellIs" dxfId="275" priority="56" stopIfTrue="1" operator="lessThan">
      <formula>0</formula>
    </cfRule>
  </conditionalFormatting>
  <conditionalFormatting sqref="AE79">
    <cfRule type="cellIs" dxfId="274" priority="54" stopIfTrue="1" operator="lessThan">
      <formula>0</formula>
    </cfRule>
  </conditionalFormatting>
  <conditionalFormatting sqref="BD81:BN81 BP81:BZ81 CB81:CL81 CN81:CX81 CZ81:DJ81 DL81:DW81">
    <cfRule type="cellIs" dxfId="273" priority="50" stopIfTrue="1" operator="lessThan">
      <formula>0</formula>
    </cfRule>
  </conditionalFormatting>
  <conditionalFormatting sqref="AR81:BB81">
    <cfRule type="cellIs" dxfId="272" priority="49" stopIfTrue="1" operator="lessThan">
      <formula>0</formula>
    </cfRule>
  </conditionalFormatting>
  <conditionalFormatting sqref="AF81:AP81">
    <cfRule type="cellIs" dxfId="271" priority="48" stopIfTrue="1" operator="lessThan">
      <formula>0</formula>
    </cfRule>
  </conditionalFormatting>
  <conditionalFormatting sqref="T81:AD81">
    <cfRule type="cellIs" dxfId="270" priority="47" stopIfTrue="1" operator="lessThan">
      <formula>0</formula>
    </cfRule>
  </conditionalFormatting>
  <conditionalFormatting sqref="G81:N81">
    <cfRule type="cellIs" dxfId="269" priority="46" stopIfTrue="1" operator="lessThan">
      <formula>0</formula>
    </cfRule>
  </conditionalFormatting>
  <conditionalFormatting sqref="O81:R81">
    <cfRule type="cellIs" dxfId="268" priority="45" stopIfTrue="1" operator="lessThan">
      <formula>0</formula>
    </cfRule>
  </conditionalFormatting>
  <conditionalFormatting sqref="AQ80">
    <cfRule type="cellIs" dxfId="267" priority="41" stopIfTrue="1" operator="lessThan">
      <formula>0</formula>
    </cfRule>
  </conditionalFormatting>
  <conditionalFormatting sqref="O80:AD80 AF80:AP80 AR80:BB80 BD80:BN80 BP80:BZ80 CB80:CL80 CN80:CX80 CZ80:DJ80 DL80:DW80">
    <cfRule type="cellIs" dxfId="266" priority="43" stopIfTrue="1" operator="lessThan">
      <formula>0</formula>
    </cfRule>
  </conditionalFormatting>
  <conditionalFormatting sqref="AE80">
    <cfRule type="cellIs" dxfId="265" priority="42" stopIfTrue="1" operator="lessThan">
      <formula>0</formula>
    </cfRule>
  </conditionalFormatting>
  <conditionalFormatting sqref="G80:N80">
    <cfRule type="cellIs" dxfId="264" priority="44" stopIfTrue="1" operator="lessThan">
      <formula>0</formula>
    </cfRule>
  </conditionalFormatting>
  <conditionalFormatting sqref="BC80">
    <cfRule type="cellIs" dxfId="263" priority="40" stopIfTrue="1" operator="lessThan">
      <formula>0</formula>
    </cfRule>
  </conditionalFormatting>
  <conditionalFormatting sqref="F81">
    <cfRule type="cellIs" dxfId="262" priority="39" stopIfTrue="1" operator="lessThan">
      <formula>0</formula>
    </cfRule>
  </conditionalFormatting>
  <conditionalFormatting sqref="S81">
    <cfRule type="cellIs" dxfId="261" priority="38" stopIfTrue="1" operator="lessThan">
      <formula>0</formula>
    </cfRule>
  </conditionalFormatting>
  <conditionalFormatting sqref="AE81">
    <cfRule type="cellIs" dxfId="260" priority="37" stopIfTrue="1" operator="lessThan">
      <formula>0</formula>
    </cfRule>
  </conditionalFormatting>
  <conditionalFormatting sqref="AQ81">
    <cfRule type="cellIs" dxfId="259" priority="36" stopIfTrue="1" operator="lessThan">
      <formula>0</formula>
    </cfRule>
  </conditionalFormatting>
  <conditionalFormatting sqref="BC81">
    <cfRule type="cellIs" dxfId="258" priority="35" stopIfTrue="1" operator="lessThan">
      <formula>0</formula>
    </cfRule>
  </conditionalFormatting>
  <conditionalFormatting sqref="AQ82">
    <cfRule type="cellIs" dxfId="257" priority="31" stopIfTrue="1" operator="lessThan">
      <formula>0</formula>
    </cfRule>
  </conditionalFormatting>
  <conditionalFormatting sqref="G82:AD82 AF82:AP82 AR82:BB82 BD82:BN82 BP82:BZ82 CB82:CL82 CN82:CX82 CZ82:DJ82 DL82:EI82">
    <cfRule type="cellIs" dxfId="256" priority="34" stopIfTrue="1" operator="lessThan">
      <formula>0</formula>
    </cfRule>
  </conditionalFormatting>
  <conditionalFormatting sqref="F82">
    <cfRule type="cellIs" dxfId="255" priority="33" stopIfTrue="1" operator="lessThan">
      <formula>0</formula>
    </cfRule>
  </conditionalFormatting>
  <conditionalFormatting sqref="AE82">
    <cfRule type="cellIs" dxfId="254" priority="32" stopIfTrue="1" operator="lessThan">
      <formula>0</formula>
    </cfRule>
  </conditionalFormatting>
  <conditionalFormatting sqref="BC82">
    <cfRule type="cellIs" dxfId="253" priority="30" stopIfTrue="1" operator="lessThan">
      <formula>0</formula>
    </cfRule>
  </conditionalFormatting>
  <conditionalFormatting sqref="EK79:EO79">
    <cfRule type="cellIs" dxfId="252" priority="28" stopIfTrue="1" operator="lessThan">
      <formula>0</formula>
    </cfRule>
  </conditionalFormatting>
  <conditionalFormatting sqref="EK81:EO81">
    <cfRule type="cellIs" dxfId="251" priority="29" stopIfTrue="1" operator="lessThan">
      <formula>0</formula>
    </cfRule>
  </conditionalFormatting>
  <conditionalFormatting sqref="EK80:EO80">
    <cfRule type="cellIs" dxfId="250" priority="27" stopIfTrue="1" operator="lessThan">
      <formula>0</formula>
    </cfRule>
  </conditionalFormatting>
  <conditionalFormatting sqref="EK82:EO82">
    <cfRule type="cellIs" dxfId="249" priority="26" stopIfTrue="1" operator="lessThan">
      <formula>0</formula>
    </cfRule>
  </conditionalFormatting>
  <conditionalFormatting sqref="EP79">
    <cfRule type="cellIs" dxfId="248" priority="24" stopIfTrue="1" operator="lessThan">
      <formula>0</formula>
    </cfRule>
  </conditionalFormatting>
  <conditionalFormatting sqref="EP81">
    <cfRule type="cellIs" dxfId="247" priority="25" stopIfTrue="1" operator="lessThan">
      <formula>0</formula>
    </cfRule>
  </conditionalFormatting>
  <conditionalFormatting sqref="EP80">
    <cfRule type="cellIs" dxfId="246" priority="23" stopIfTrue="1" operator="lessThan">
      <formula>0</formula>
    </cfRule>
  </conditionalFormatting>
  <conditionalFormatting sqref="EP82">
    <cfRule type="cellIs" dxfId="245" priority="22" stopIfTrue="1" operator="lessThan">
      <formula>0</formula>
    </cfRule>
  </conditionalFormatting>
  <conditionalFormatting sqref="BO79">
    <cfRule type="cellIs" dxfId="244" priority="21" stopIfTrue="1" operator="lessThan">
      <formula>0</formula>
    </cfRule>
  </conditionalFormatting>
  <conditionalFormatting sqref="BO80">
    <cfRule type="cellIs" dxfId="243" priority="20" stopIfTrue="1" operator="lessThan">
      <formula>0</formula>
    </cfRule>
  </conditionalFormatting>
  <conditionalFormatting sqref="BO81">
    <cfRule type="cellIs" dxfId="242" priority="19" stopIfTrue="1" operator="lessThan">
      <formula>0</formula>
    </cfRule>
  </conditionalFormatting>
  <conditionalFormatting sqref="BO82">
    <cfRule type="cellIs" dxfId="241" priority="18" stopIfTrue="1" operator="lessThan">
      <formula>0</formula>
    </cfRule>
  </conditionalFormatting>
  <conditionalFormatting sqref="CA79">
    <cfRule type="cellIs" dxfId="240" priority="17" stopIfTrue="1" operator="lessThan">
      <formula>0</formula>
    </cfRule>
  </conditionalFormatting>
  <conditionalFormatting sqref="CA80">
    <cfRule type="cellIs" dxfId="239" priority="16" stopIfTrue="1" operator="lessThan">
      <formula>0</formula>
    </cfRule>
  </conditionalFormatting>
  <conditionalFormatting sqref="CA81">
    <cfRule type="cellIs" dxfId="238" priority="15" stopIfTrue="1" operator="lessThan">
      <formula>0</formula>
    </cfRule>
  </conditionalFormatting>
  <conditionalFormatting sqref="CA82">
    <cfRule type="cellIs" dxfId="237" priority="14" stopIfTrue="1" operator="lessThan">
      <formula>0</formula>
    </cfRule>
  </conditionalFormatting>
  <conditionalFormatting sqref="CM79">
    <cfRule type="cellIs" dxfId="236" priority="13" stopIfTrue="1" operator="lessThan">
      <formula>0</formula>
    </cfRule>
  </conditionalFormatting>
  <conditionalFormatting sqref="CM80">
    <cfRule type="cellIs" dxfId="235" priority="12" stopIfTrue="1" operator="lessThan">
      <formula>0</formula>
    </cfRule>
  </conditionalFormatting>
  <conditionalFormatting sqref="CM81">
    <cfRule type="cellIs" dxfId="234" priority="11" stopIfTrue="1" operator="lessThan">
      <formula>0</formula>
    </cfRule>
  </conditionalFormatting>
  <conditionalFormatting sqref="CM82">
    <cfRule type="cellIs" dxfId="233" priority="10" stopIfTrue="1" operator="lessThan">
      <formula>0</formula>
    </cfRule>
  </conditionalFormatting>
  <conditionalFormatting sqref="CY79">
    <cfRule type="cellIs" dxfId="232" priority="9" stopIfTrue="1" operator="lessThan">
      <formula>0</formula>
    </cfRule>
  </conditionalFormatting>
  <conditionalFormatting sqref="CY80">
    <cfRule type="cellIs" dxfId="231" priority="8" stopIfTrue="1" operator="lessThan">
      <formula>0</formula>
    </cfRule>
  </conditionalFormatting>
  <conditionalFormatting sqref="CY81">
    <cfRule type="cellIs" dxfId="230" priority="7" stopIfTrue="1" operator="lessThan">
      <formula>0</formula>
    </cfRule>
  </conditionalFormatting>
  <conditionalFormatting sqref="CY82">
    <cfRule type="cellIs" dxfId="229" priority="6" stopIfTrue="1" operator="lessThan">
      <formula>0</formula>
    </cfRule>
  </conditionalFormatting>
  <conditionalFormatting sqref="DK79">
    <cfRule type="cellIs" dxfId="228" priority="5" stopIfTrue="1" operator="lessThan">
      <formula>0</formula>
    </cfRule>
  </conditionalFormatting>
  <conditionalFormatting sqref="DK80">
    <cfRule type="cellIs" dxfId="227" priority="4" stopIfTrue="1" operator="lessThan">
      <formula>0</formula>
    </cfRule>
  </conditionalFormatting>
  <conditionalFormatting sqref="DK81">
    <cfRule type="cellIs" dxfId="226" priority="3" stopIfTrue="1" operator="lessThan">
      <formula>0</formula>
    </cfRule>
  </conditionalFormatting>
  <conditionalFormatting sqref="DK82">
    <cfRule type="cellIs" dxfId="225" priority="2" stopIfTrue="1" operator="lessThan">
      <formula>0</formula>
    </cfRule>
  </conditionalFormatting>
  <conditionalFormatting sqref="F80">
    <cfRule type="cellIs" dxfId="224" priority="1" stopIfTrue="1" operator="lessThan">
      <formula>0</formula>
    </cfRule>
  </conditionalFormatting>
  <pageMargins left="0.7" right="0.7" top="0.75" bottom="0.75" header="0.3" footer="0.3"/>
  <pageSetup orientation="portrait" r:id="rId2"/>
  <ignoredErrors>
    <ignoredError sqref="C61:H61 C63:H63 C65:H72 C60:E60" unlockedFormula="1"/>
  </ignoredErrors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1"/>
  </sheetPr>
  <dimension ref="A1:ED165"/>
  <sheetViews>
    <sheetView showGridLines="0" zoomScale="80" zoomScaleNormal="80" workbookViewId="0">
      <pane xSplit="4" ySplit="6" topLeftCell="G77" activePane="bottomRight" state="frozen"/>
      <selection pane="topRight" activeCell="E1" sqref="E1"/>
      <selection pane="bottomLeft" activeCell="A7" sqref="A7"/>
      <selection pane="bottomRight" activeCell="J77" sqref="J77"/>
    </sheetView>
  </sheetViews>
  <sheetFormatPr defaultColWidth="6.81640625" defaultRowHeight="13" x14ac:dyDescent="0.3"/>
  <cols>
    <col min="1" max="1" width="6.81640625" style="14"/>
    <col min="2" max="2" width="26.1796875" style="14" bestFit="1" customWidth="1"/>
    <col min="3" max="3" width="9.453125" style="93" bestFit="1" customWidth="1"/>
    <col min="4" max="4" width="33.7265625" style="14" bestFit="1" customWidth="1"/>
    <col min="5" max="6" width="12.81640625" style="14" customWidth="1"/>
    <col min="7" max="127" width="11.7265625" style="14" bestFit="1" customWidth="1"/>
    <col min="128" max="132" width="9.08984375" style="14" bestFit="1" customWidth="1"/>
    <col min="133" max="16384" width="6.81640625" style="14"/>
  </cols>
  <sheetData>
    <row r="1" spans="2:132" x14ac:dyDescent="0.3">
      <c r="B1" s="1394" t="str">
        <f>VLOOKUP(Summary!$B$3,PPT!$C$79:$D$94,2,0)</f>
        <v>India</v>
      </c>
      <c r="C1" s="1394" t="str">
        <f>Summary!B3</f>
        <v>Ind Tier 1 -Mumbai</v>
      </c>
    </row>
    <row r="2" spans="2:132" x14ac:dyDescent="0.3">
      <c r="B2" s="1394" t="s">
        <v>664</v>
      </c>
      <c r="D2" s="122" t="s">
        <v>120</v>
      </c>
      <c r="E2" s="123"/>
      <c r="F2" s="123"/>
      <c r="G2" s="123">
        <f>'P&amp;L'!E3</f>
        <v>31</v>
      </c>
      <c r="H2" s="123">
        <f>'P&amp;L'!F3</f>
        <v>28</v>
      </c>
      <c r="I2" s="123">
        <f>'P&amp;L'!G3</f>
        <v>31</v>
      </c>
      <c r="J2" s="123">
        <f>'P&amp;L'!H3</f>
        <v>30</v>
      </c>
      <c r="K2" s="123">
        <f>'P&amp;L'!I3</f>
        <v>31</v>
      </c>
      <c r="L2" s="123">
        <f>'P&amp;L'!J3</f>
        <v>30</v>
      </c>
      <c r="M2" s="123">
        <f>'P&amp;L'!K3</f>
        <v>31</v>
      </c>
      <c r="N2" s="123">
        <f>'P&amp;L'!L3</f>
        <v>31</v>
      </c>
      <c r="O2" s="123">
        <f>'P&amp;L'!M3</f>
        <v>30</v>
      </c>
      <c r="P2" s="123">
        <f>'P&amp;L'!N3</f>
        <v>31</v>
      </c>
      <c r="Q2" s="123">
        <f>'P&amp;L'!O3</f>
        <v>30</v>
      </c>
      <c r="R2" s="123">
        <f>'P&amp;L'!P3</f>
        <v>31</v>
      </c>
      <c r="S2" s="123">
        <f>'P&amp;L'!Q3</f>
        <v>31</v>
      </c>
      <c r="T2" s="123">
        <f>'P&amp;L'!R3</f>
        <v>29</v>
      </c>
      <c r="U2" s="123">
        <f>'P&amp;L'!S3</f>
        <v>31</v>
      </c>
      <c r="V2" s="123">
        <f>'P&amp;L'!T3</f>
        <v>30</v>
      </c>
      <c r="W2" s="123">
        <f>'P&amp;L'!U3</f>
        <v>31</v>
      </c>
      <c r="X2" s="123">
        <f>'P&amp;L'!V3</f>
        <v>30</v>
      </c>
      <c r="Y2" s="123">
        <f>'P&amp;L'!W3</f>
        <v>31</v>
      </c>
      <c r="Z2" s="123">
        <f>'P&amp;L'!X3</f>
        <v>31</v>
      </c>
      <c r="AA2" s="123">
        <f>'P&amp;L'!Y3</f>
        <v>30</v>
      </c>
      <c r="AB2" s="123">
        <f>'P&amp;L'!Z3</f>
        <v>31</v>
      </c>
      <c r="AC2" s="123">
        <f>'P&amp;L'!AA3</f>
        <v>30</v>
      </c>
      <c r="AD2" s="123">
        <f>'P&amp;L'!AB3</f>
        <v>31</v>
      </c>
      <c r="AE2" s="123">
        <f>'P&amp;L'!AC3</f>
        <v>31</v>
      </c>
      <c r="AF2" s="123">
        <f>'P&amp;L'!AD3</f>
        <v>28</v>
      </c>
      <c r="AG2" s="123">
        <f>'P&amp;L'!AE3</f>
        <v>31</v>
      </c>
      <c r="AH2" s="123">
        <f>'P&amp;L'!AF3</f>
        <v>30</v>
      </c>
      <c r="AI2" s="123">
        <f>'P&amp;L'!AG3</f>
        <v>31</v>
      </c>
      <c r="AJ2" s="123">
        <f>'P&amp;L'!AH3</f>
        <v>30</v>
      </c>
      <c r="AK2" s="123">
        <f>'P&amp;L'!AI3</f>
        <v>31</v>
      </c>
      <c r="AL2" s="123">
        <f>'P&amp;L'!AJ3</f>
        <v>31</v>
      </c>
      <c r="AM2" s="123">
        <f>'P&amp;L'!AK3</f>
        <v>30</v>
      </c>
      <c r="AN2" s="123">
        <f>'P&amp;L'!AL3</f>
        <v>31</v>
      </c>
      <c r="AO2" s="123">
        <f>'P&amp;L'!AM3</f>
        <v>30</v>
      </c>
      <c r="AP2" s="123">
        <f>'P&amp;L'!AN3</f>
        <v>31</v>
      </c>
      <c r="AQ2" s="123">
        <f>'P&amp;L'!AO3</f>
        <v>31</v>
      </c>
      <c r="AR2" s="123">
        <f>'P&amp;L'!AP3</f>
        <v>28</v>
      </c>
      <c r="AS2" s="123">
        <f>'P&amp;L'!AQ3</f>
        <v>31</v>
      </c>
      <c r="AT2" s="123">
        <f>'P&amp;L'!AR3</f>
        <v>30</v>
      </c>
      <c r="AU2" s="123">
        <f>'P&amp;L'!AS3</f>
        <v>31</v>
      </c>
      <c r="AV2" s="123">
        <f>'P&amp;L'!AT3</f>
        <v>30</v>
      </c>
      <c r="AW2" s="123">
        <f>'P&amp;L'!AU3</f>
        <v>31</v>
      </c>
      <c r="AX2" s="123">
        <f>'P&amp;L'!AV3</f>
        <v>31</v>
      </c>
      <c r="AY2" s="123">
        <f>'P&amp;L'!AW3</f>
        <v>30</v>
      </c>
      <c r="AZ2" s="123">
        <f>'P&amp;L'!AX3</f>
        <v>31</v>
      </c>
      <c r="BA2" s="123">
        <f>'P&amp;L'!AY3</f>
        <v>30</v>
      </c>
      <c r="BB2" s="123">
        <f>'P&amp;L'!AZ3</f>
        <v>31</v>
      </c>
      <c r="BC2" s="123">
        <f>'P&amp;L'!BA3</f>
        <v>31</v>
      </c>
      <c r="BD2" s="123">
        <f>'P&amp;L'!BB3</f>
        <v>28</v>
      </c>
      <c r="BE2" s="123">
        <f>'P&amp;L'!BC3</f>
        <v>31</v>
      </c>
      <c r="BF2" s="123">
        <f>'P&amp;L'!BD3</f>
        <v>30</v>
      </c>
      <c r="BG2" s="123">
        <f>'P&amp;L'!BE3</f>
        <v>31</v>
      </c>
      <c r="BH2" s="123">
        <f>'P&amp;L'!BF3</f>
        <v>30</v>
      </c>
      <c r="BI2" s="123">
        <f>'P&amp;L'!BG3</f>
        <v>31</v>
      </c>
      <c r="BJ2" s="123">
        <f>'P&amp;L'!BH3</f>
        <v>31</v>
      </c>
      <c r="BK2" s="123">
        <f>'P&amp;L'!BI3</f>
        <v>30</v>
      </c>
      <c r="BL2" s="123">
        <f>'P&amp;L'!BJ3</f>
        <v>31</v>
      </c>
      <c r="BM2" s="123">
        <f>'P&amp;L'!BK3</f>
        <v>30</v>
      </c>
      <c r="BN2" s="123">
        <f>'P&amp;L'!BL3</f>
        <v>31</v>
      </c>
      <c r="BO2" s="123">
        <f>'P&amp;L'!BM3</f>
        <v>31</v>
      </c>
      <c r="BP2" s="123">
        <f>'P&amp;L'!BN3</f>
        <v>29</v>
      </c>
      <c r="BQ2" s="123">
        <f>'P&amp;L'!BO3</f>
        <v>31</v>
      </c>
      <c r="BR2" s="123">
        <f>'P&amp;L'!BP3</f>
        <v>30</v>
      </c>
      <c r="BS2" s="123">
        <f>'P&amp;L'!BQ3</f>
        <v>31</v>
      </c>
      <c r="BT2" s="123">
        <f>'P&amp;L'!BR3</f>
        <v>30</v>
      </c>
      <c r="BU2" s="123">
        <f>'P&amp;L'!BS3</f>
        <v>31</v>
      </c>
      <c r="BV2" s="123">
        <f>'P&amp;L'!BT3</f>
        <v>31</v>
      </c>
      <c r="BW2" s="123">
        <f>'P&amp;L'!BU3</f>
        <v>30</v>
      </c>
      <c r="BX2" s="123">
        <f>'P&amp;L'!BV3</f>
        <v>31</v>
      </c>
      <c r="BY2" s="123">
        <f>'P&amp;L'!BW3</f>
        <v>30</v>
      </c>
      <c r="BZ2" s="123">
        <f>'P&amp;L'!BX3</f>
        <v>31</v>
      </c>
      <c r="CA2" s="123">
        <f>'P&amp;L'!BY3</f>
        <v>31</v>
      </c>
      <c r="CB2" s="123">
        <f>'P&amp;L'!BZ3</f>
        <v>28</v>
      </c>
      <c r="CC2" s="123">
        <f>'P&amp;L'!CA3</f>
        <v>31</v>
      </c>
      <c r="CD2" s="123">
        <f>'P&amp;L'!CB3</f>
        <v>30</v>
      </c>
      <c r="CE2" s="123">
        <f>'P&amp;L'!CC3</f>
        <v>31</v>
      </c>
      <c r="CF2" s="123">
        <f>'P&amp;L'!CD3</f>
        <v>30</v>
      </c>
      <c r="CG2" s="123">
        <f>'P&amp;L'!CE3</f>
        <v>31</v>
      </c>
      <c r="CH2" s="123">
        <f>'P&amp;L'!CF3</f>
        <v>31</v>
      </c>
      <c r="CI2" s="123">
        <f>'P&amp;L'!CG3</f>
        <v>30</v>
      </c>
      <c r="CJ2" s="123">
        <f>'P&amp;L'!CH3</f>
        <v>31</v>
      </c>
      <c r="CK2" s="123">
        <f>'P&amp;L'!CI3</f>
        <v>30</v>
      </c>
      <c r="CL2" s="123">
        <f>'P&amp;L'!CJ3</f>
        <v>31</v>
      </c>
      <c r="CM2" s="123">
        <f>'P&amp;L'!CK3</f>
        <v>31</v>
      </c>
      <c r="CN2" s="123">
        <f>'P&amp;L'!CL3</f>
        <v>28</v>
      </c>
      <c r="CO2" s="123">
        <f>'P&amp;L'!CM3</f>
        <v>31</v>
      </c>
      <c r="CP2" s="123">
        <f>'P&amp;L'!CN3</f>
        <v>30</v>
      </c>
      <c r="CQ2" s="123">
        <f>'P&amp;L'!CO3</f>
        <v>31</v>
      </c>
      <c r="CR2" s="123">
        <f>'P&amp;L'!CP3</f>
        <v>30</v>
      </c>
      <c r="CS2" s="123">
        <f>'P&amp;L'!CQ3</f>
        <v>31</v>
      </c>
      <c r="CT2" s="123">
        <f>'P&amp;L'!CR3</f>
        <v>31</v>
      </c>
      <c r="CU2" s="123">
        <f>'P&amp;L'!CS3</f>
        <v>30</v>
      </c>
      <c r="CV2" s="123">
        <f>'P&amp;L'!CT3</f>
        <v>31</v>
      </c>
      <c r="CW2" s="123">
        <f>'P&amp;L'!CU3</f>
        <v>30</v>
      </c>
      <c r="CX2" s="123">
        <f>'P&amp;L'!CV3</f>
        <v>31</v>
      </c>
      <c r="CY2" s="123">
        <f>'P&amp;L'!CW3</f>
        <v>31</v>
      </c>
      <c r="CZ2" s="123">
        <f>'P&amp;L'!CX3</f>
        <v>28</v>
      </c>
      <c r="DA2" s="123">
        <f>'P&amp;L'!CY3</f>
        <v>31</v>
      </c>
      <c r="DB2" s="123">
        <f>'P&amp;L'!CZ3</f>
        <v>30</v>
      </c>
      <c r="DC2" s="123">
        <f>'P&amp;L'!DA3</f>
        <v>31</v>
      </c>
      <c r="DD2" s="123">
        <f>'P&amp;L'!DB3</f>
        <v>30</v>
      </c>
      <c r="DE2" s="123">
        <f>'P&amp;L'!DC3</f>
        <v>31</v>
      </c>
      <c r="DF2" s="123">
        <f>'P&amp;L'!DD3</f>
        <v>31</v>
      </c>
      <c r="DG2" s="123">
        <f>'P&amp;L'!DE3</f>
        <v>30</v>
      </c>
      <c r="DH2" s="123">
        <f>'P&amp;L'!DF3</f>
        <v>31</v>
      </c>
      <c r="DI2" s="123">
        <f>'P&amp;L'!DG3</f>
        <v>30</v>
      </c>
      <c r="DJ2" s="123">
        <f>'P&amp;L'!DH3</f>
        <v>31</v>
      </c>
      <c r="DK2" s="123">
        <f>'P&amp;L'!DI3</f>
        <v>31</v>
      </c>
      <c r="DL2" s="123">
        <f>'P&amp;L'!DJ3</f>
        <v>29</v>
      </c>
      <c r="DM2" s="123">
        <f>'P&amp;L'!DK3</f>
        <v>31</v>
      </c>
      <c r="DN2" s="123">
        <f>'P&amp;L'!DL3</f>
        <v>30</v>
      </c>
      <c r="DO2" s="123">
        <f>'P&amp;L'!DM3</f>
        <v>31</v>
      </c>
      <c r="DP2" s="123">
        <f>'P&amp;L'!DN3</f>
        <v>30</v>
      </c>
      <c r="DQ2" s="123">
        <f>'P&amp;L'!DO3</f>
        <v>31</v>
      </c>
      <c r="DR2" s="123">
        <f>'P&amp;L'!DP3</f>
        <v>31</v>
      </c>
      <c r="DS2" s="123">
        <f>'P&amp;L'!DQ3</f>
        <v>30</v>
      </c>
      <c r="DT2" s="123">
        <f>'P&amp;L'!DR3</f>
        <v>31</v>
      </c>
      <c r="DU2" s="123">
        <f>'P&amp;L'!DS3</f>
        <v>30</v>
      </c>
      <c r="DV2" s="123">
        <f>'P&amp;L'!DT3</f>
        <v>31</v>
      </c>
      <c r="DW2" s="123">
        <f>'P&amp;L'!DU3</f>
        <v>31</v>
      </c>
    </row>
    <row r="3" spans="2:132" x14ac:dyDescent="0.3">
      <c r="B3" s="1394" t="str">
        <f>Summary!C3&amp;Summary!D3</f>
        <v>BackofficeL1</v>
      </c>
      <c r="D3" s="122" t="s">
        <v>121</v>
      </c>
      <c r="E3" s="40"/>
      <c r="F3" s="40"/>
      <c r="G3" s="123">
        <f>'P&amp;L'!E4</f>
        <v>4.33</v>
      </c>
      <c r="H3" s="40">
        <f>'P&amp;L'!F4</f>
        <v>4</v>
      </c>
      <c r="I3" s="40">
        <f>'P&amp;L'!G4</f>
        <v>4.4285714285714288</v>
      </c>
      <c r="J3" s="40">
        <f>'P&amp;L'!H4</f>
        <v>4.2857142857142856</v>
      </c>
      <c r="K3" s="40">
        <f>'P&amp;L'!I4</f>
        <v>4.4285714285714288</v>
      </c>
      <c r="L3" s="40">
        <f>'P&amp;L'!J4</f>
        <v>4.2857142857142856</v>
      </c>
      <c r="M3" s="40">
        <f>'P&amp;L'!K4</f>
        <v>4.4285714285714288</v>
      </c>
      <c r="N3" s="40">
        <f>'P&amp;L'!L4</f>
        <v>4.4285714285714288</v>
      </c>
      <c r="O3" s="40">
        <f>'P&amp;L'!M4</f>
        <v>4.2857142857142856</v>
      </c>
      <c r="P3" s="40">
        <f>'P&amp;L'!N4</f>
        <v>4.4285714285714288</v>
      </c>
      <c r="Q3" s="40">
        <f>'P&amp;L'!O4</f>
        <v>4.2857142857142856</v>
      </c>
      <c r="R3" s="40">
        <f>'P&amp;L'!P4</f>
        <v>4.4285714285714288</v>
      </c>
      <c r="S3" s="40">
        <f>'P&amp;L'!Q4</f>
        <v>4.4285714285714288</v>
      </c>
      <c r="T3" s="40">
        <f>'P&amp;L'!R4</f>
        <v>4.1428571428571432</v>
      </c>
      <c r="U3" s="40">
        <f>'P&amp;L'!S4</f>
        <v>4.4285714285714288</v>
      </c>
      <c r="V3" s="40">
        <f>'P&amp;L'!T4</f>
        <v>4.2857142857142856</v>
      </c>
      <c r="W3" s="40">
        <f>'P&amp;L'!U4</f>
        <v>4.4285714285714288</v>
      </c>
      <c r="X3" s="40">
        <f>'P&amp;L'!V4</f>
        <v>4.2857142857142856</v>
      </c>
      <c r="Y3" s="40">
        <f>'P&amp;L'!W4</f>
        <v>4.4285714285714288</v>
      </c>
      <c r="Z3" s="40">
        <f>'P&amp;L'!X4</f>
        <v>4.4285714285714288</v>
      </c>
      <c r="AA3" s="40">
        <f>'P&amp;L'!Y4</f>
        <v>4.2857142857142856</v>
      </c>
      <c r="AB3" s="40">
        <f>'P&amp;L'!Z4</f>
        <v>4.4285714285714288</v>
      </c>
      <c r="AC3" s="40">
        <f>'P&amp;L'!AA4</f>
        <v>4.2857142857142856</v>
      </c>
      <c r="AD3" s="40">
        <f>'P&amp;L'!AB4</f>
        <v>4.4285714285714288</v>
      </c>
      <c r="AE3" s="40">
        <f>'P&amp;L'!AC4</f>
        <v>4.4285714285714288</v>
      </c>
      <c r="AF3" s="40">
        <f>'P&amp;L'!AD4</f>
        <v>4</v>
      </c>
      <c r="AG3" s="40">
        <f>'P&amp;L'!AE4</f>
        <v>4.4285714285714288</v>
      </c>
      <c r="AH3" s="40">
        <f>'P&amp;L'!AF4</f>
        <v>4.2857142857142856</v>
      </c>
      <c r="AI3" s="40">
        <f>'P&amp;L'!AG4</f>
        <v>4.4285714285714288</v>
      </c>
      <c r="AJ3" s="40">
        <f>'P&amp;L'!AH4</f>
        <v>4.2857142857142856</v>
      </c>
      <c r="AK3" s="40">
        <f>'P&amp;L'!AI4</f>
        <v>4.4285714285714288</v>
      </c>
      <c r="AL3" s="40">
        <f>'P&amp;L'!AJ4</f>
        <v>4.4285714285714288</v>
      </c>
      <c r="AM3" s="40">
        <f>'P&amp;L'!AK4</f>
        <v>4.2857142857142856</v>
      </c>
      <c r="AN3" s="40">
        <f>'P&amp;L'!AL4</f>
        <v>4.4285714285714288</v>
      </c>
      <c r="AO3" s="40">
        <f>'P&amp;L'!AM4</f>
        <v>4.2857142857142856</v>
      </c>
      <c r="AP3" s="40">
        <f>'P&amp;L'!AN4</f>
        <v>4.4285714285714288</v>
      </c>
      <c r="AQ3" s="40">
        <f>'P&amp;L'!AO4</f>
        <v>4.4285714285714288</v>
      </c>
      <c r="AR3" s="40">
        <f>'P&amp;L'!AP4</f>
        <v>4</v>
      </c>
      <c r="AS3" s="40">
        <f>'P&amp;L'!AQ4</f>
        <v>4.4285714285714288</v>
      </c>
      <c r="AT3" s="40">
        <f>'P&amp;L'!AR4</f>
        <v>4.2857142857142856</v>
      </c>
      <c r="AU3" s="40">
        <f>'P&amp;L'!AS4</f>
        <v>4.4285714285714288</v>
      </c>
      <c r="AV3" s="40">
        <f>'P&amp;L'!AT4</f>
        <v>4.2857142857142856</v>
      </c>
      <c r="AW3" s="40">
        <f>'P&amp;L'!AU4</f>
        <v>4.4285714285714288</v>
      </c>
      <c r="AX3" s="40">
        <f>'P&amp;L'!AV4</f>
        <v>4.4285714285714288</v>
      </c>
      <c r="AY3" s="40">
        <f>'P&amp;L'!AW4</f>
        <v>4.2857142857142856</v>
      </c>
      <c r="AZ3" s="40">
        <f>'P&amp;L'!AX4</f>
        <v>4.4285714285714288</v>
      </c>
      <c r="BA3" s="40">
        <f>'P&amp;L'!AY4</f>
        <v>4.2857142857142856</v>
      </c>
      <c r="BB3" s="40">
        <f>'P&amp;L'!AZ4</f>
        <v>4.4285714285714288</v>
      </c>
      <c r="BC3" s="40">
        <f>'P&amp;L'!BA4</f>
        <v>4.4285714285714288</v>
      </c>
      <c r="BD3" s="40">
        <f>'P&amp;L'!BB4</f>
        <v>4</v>
      </c>
      <c r="BE3" s="40">
        <f>'P&amp;L'!BC4</f>
        <v>4.4285714285714288</v>
      </c>
      <c r="BF3" s="40">
        <f>'P&amp;L'!BD4</f>
        <v>4.2857142857142856</v>
      </c>
      <c r="BG3" s="40">
        <f>'P&amp;L'!BE4</f>
        <v>4.4285714285714288</v>
      </c>
      <c r="BH3" s="40">
        <f>'P&amp;L'!BF4</f>
        <v>4.2857142857142856</v>
      </c>
      <c r="BI3" s="40">
        <f>'P&amp;L'!BG4</f>
        <v>4.4285714285714288</v>
      </c>
      <c r="BJ3" s="40">
        <f>'P&amp;L'!BH4</f>
        <v>4.4285714285714288</v>
      </c>
      <c r="BK3" s="40">
        <f>'P&amp;L'!BI4</f>
        <v>4.2857142857142856</v>
      </c>
      <c r="BL3" s="40">
        <f>'P&amp;L'!BJ4</f>
        <v>4.4285714285714288</v>
      </c>
      <c r="BM3" s="40">
        <f>'P&amp;L'!BK4</f>
        <v>4.2857142857142856</v>
      </c>
      <c r="BN3" s="40">
        <f>'P&amp;L'!BL4</f>
        <v>4.4285714285714288</v>
      </c>
      <c r="BO3" s="40">
        <f>'P&amp;L'!BM4</f>
        <v>4.4285714285714288</v>
      </c>
      <c r="BP3" s="40">
        <f>'P&amp;L'!BN4</f>
        <v>4.1428571428571432</v>
      </c>
      <c r="BQ3" s="40">
        <f>'P&amp;L'!BO4</f>
        <v>4.4285714285714288</v>
      </c>
      <c r="BR3" s="40">
        <f>'P&amp;L'!BP4</f>
        <v>4.2857142857142856</v>
      </c>
      <c r="BS3" s="40">
        <f>'P&amp;L'!BQ4</f>
        <v>4.4285714285714288</v>
      </c>
      <c r="BT3" s="40">
        <f>'P&amp;L'!BR4</f>
        <v>4.2857142857142856</v>
      </c>
      <c r="BU3" s="40">
        <f>'P&amp;L'!BS4</f>
        <v>4.4285714285714288</v>
      </c>
      <c r="BV3" s="40">
        <f>'P&amp;L'!BT4</f>
        <v>4.4285714285714288</v>
      </c>
      <c r="BW3" s="40">
        <f>'P&amp;L'!BU4</f>
        <v>4.2857142857142856</v>
      </c>
      <c r="BX3" s="40">
        <f>'P&amp;L'!BV4</f>
        <v>4.4285714285714288</v>
      </c>
      <c r="BY3" s="40">
        <f>'P&amp;L'!BW4</f>
        <v>4.2857142857142856</v>
      </c>
      <c r="BZ3" s="40">
        <f>'P&amp;L'!BX4</f>
        <v>4.4285714285714288</v>
      </c>
      <c r="CA3" s="40">
        <f>'P&amp;L'!BY4</f>
        <v>4.4285714285714288</v>
      </c>
      <c r="CB3" s="40">
        <f>'P&amp;L'!BZ4</f>
        <v>4</v>
      </c>
      <c r="CC3" s="40">
        <f>'P&amp;L'!CA4</f>
        <v>4.4285714285714288</v>
      </c>
      <c r="CD3" s="40">
        <f>'P&amp;L'!CB4</f>
        <v>4.2857142857142856</v>
      </c>
      <c r="CE3" s="40">
        <f>'P&amp;L'!CC4</f>
        <v>4.4285714285714288</v>
      </c>
      <c r="CF3" s="40">
        <f>'P&amp;L'!CD4</f>
        <v>4.2857142857142856</v>
      </c>
      <c r="CG3" s="40">
        <f>'P&amp;L'!CE4</f>
        <v>4.4285714285714288</v>
      </c>
      <c r="CH3" s="40">
        <f>'P&amp;L'!CF4</f>
        <v>4.4285714285714288</v>
      </c>
      <c r="CI3" s="40">
        <f>'P&amp;L'!CG4</f>
        <v>4.2857142857142856</v>
      </c>
      <c r="CJ3" s="40">
        <f>'P&amp;L'!CH4</f>
        <v>4.4285714285714288</v>
      </c>
      <c r="CK3" s="40">
        <f>'P&amp;L'!CI4</f>
        <v>4.2857142857142856</v>
      </c>
      <c r="CL3" s="40">
        <f>'P&amp;L'!CJ4</f>
        <v>4.4285714285714288</v>
      </c>
      <c r="CM3" s="40">
        <f>'P&amp;L'!CK4</f>
        <v>4.4285714285714288</v>
      </c>
      <c r="CN3" s="40">
        <f>'P&amp;L'!CL4</f>
        <v>4</v>
      </c>
      <c r="CO3" s="40">
        <f>'P&amp;L'!CM4</f>
        <v>4.4285714285714288</v>
      </c>
      <c r="CP3" s="40">
        <f>'P&amp;L'!CN4</f>
        <v>4.2857142857142856</v>
      </c>
      <c r="CQ3" s="40">
        <f>'P&amp;L'!CO4</f>
        <v>4.4285714285714288</v>
      </c>
      <c r="CR3" s="40">
        <f>'P&amp;L'!CP4</f>
        <v>4.2857142857142856</v>
      </c>
      <c r="CS3" s="40">
        <f>'P&amp;L'!CQ4</f>
        <v>4.4285714285714288</v>
      </c>
      <c r="CT3" s="40">
        <f>'P&amp;L'!CR4</f>
        <v>4.4285714285714288</v>
      </c>
      <c r="CU3" s="40">
        <f>'P&amp;L'!CS4</f>
        <v>4.2857142857142856</v>
      </c>
      <c r="CV3" s="40">
        <f>'P&amp;L'!CT4</f>
        <v>4.4285714285714288</v>
      </c>
      <c r="CW3" s="40">
        <f>'P&amp;L'!CU4</f>
        <v>4.2857142857142856</v>
      </c>
      <c r="CX3" s="40">
        <f>'P&amp;L'!CV4</f>
        <v>4.4285714285714288</v>
      </c>
      <c r="CY3" s="40">
        <f>'P&amp;L'!CW4</f>
        <v>4.4285714285714288</v>
      </c>
      <c r="CZ3" s="40">
        <f>'P&amp;L'!CX4</f>
        <v>4</v>
      </c>
      <c r="DA3" s="40">
        <f>'P&amp;L'!CY4</f>
        <v>4.4285714285714288</v>
      </c>
      <c r="DB3" s="40">
        <f>'P&amp;L'!CZ4</f>
        <v>4.2857142857142856</v>
      </c>
      <c r="DC3" s="40">
        <f>'P&amp;L'!DA4</f>
        <v>4.4285714285714288</v>
      </c>
      <c r="DD3" s="40">
        <f>'P&amp;L'!DB4</f>
        <v>4.2857142857142856</v>
      </c>
      <c r="DE3" s="40">
        <f>'P&amp;L'!DC4</f>
        <v>4.4285714285714288</v>
      </c>
      <c r="DF3" s="40">
        <f>'P&amp;L'!DD4</f>
        <v>4.4285714285714288</v>
      </c>
      <c r="DG3" s="40">
        <f>'P&amp;L'!DE4</f>
        <v>4.2857142857142856</v>
      </c>
      <c r="DH3" s="40">
        <f>'P&amp;L'!DF4</f>
        <v>4.4285714285714288</v>
      </c>
      <c r="DI3" s="40">
        <f>'P&amp;L'!DG4</f>
        <v>4.2857142857142856</v>
      </c>
      <c r="DJ3" s="40">
        <f>'P&amp;L'!DH4</f>
        <v>4.4285714285714288</v>
      </c>
      <c r="DK3" s="40">
        <f>'P&amp;L'!DI4</f>
        <v>4.4285714285714288</v>
      </c>
      <c r="DL3" s="40">
        <f>'P&amp;L'!DJ4</f>
        <v>4.1428571428571432</v>
      </c>
      <c r="DM3" s="40">
        <f>'P&amp;L'!DK4</f>
        <v>4.4285714285714288</v>
      </c>
      <c r="DN3" s="40">
        <f>'P&amp;L'!DL4</f>
        <v>4.2857142857142856</v>
      </c>
      <c r="DO3" s="40">
        <f>'P&amp;L'!DM4</f>
        <v>4.4285714285714288</v>
      </c>
      <c r="DP3" s="40">
        <f>'P&amp;L'!DN4</f>
        <v>4.2857142857142856</v>
      </c>
      <c r="DQ3" s="40">
        <f>'P&amp;L'!DO4</f>
        <v>4.4285714285714288</v>
      </c>
      <c r="DR3" s="40">
        <f>'P&amp;L'!DP4</f>
        <v>4.4285714285714288</v>
      </c>
      <c r="DS3" s="40">
        <f>'P&amp;L'!DQ4</f>
        <v>4.2857142857142856</v>
      </c>
      <c r="DT3" s="40">
        <f>'P&amp;L'!DR4</f>
        <v>4.4285714285714288</v>
      </c>
      <c r="DU3" s="40">
        <f>'P&amp;L'!DS4</f>
        <v>4.2857142857142856</v>
      </c>
      <c r="DV3" s="40">
        <f>'P&amp;L'!DT4</f>
        <v>4.4285714285714288</v>
      </c>
      <c r="DW3" s="40">
        <f>'P&amp;L'!DU4</f>
        <v>4.4285714285714288</v>
      </c>
    </row>
    <row r="4" spans="2:132" x14ac:dyDescent="0.3">
      <c r="B4" s="1394" t="str">
        <f>D4&amp;E4&amp;F4</f>
        <v>IndiaBackofficeL1</v>
      </c>
      <c r="D4" s="1054" t="str">
        <f>VLOOKUP(Summary!$B$3,PPT!$C$79:$D$94,2,0)</f>
        <v>India</v>
      </c>
      <c r="E4" s="1054" t="str">
        <f>Summary!C3</f>
        <v>Backoffice</v>
      </c>
      <c r="F4" s="1054" t="str">
        <f>Summary!D3</f>
        <v>L1</v>
      </c>
      <c r="H4" s="1408"/>
      <c r="I4" s="1408"/>
      <c r="J4" s="1408"/>
      <c r="K4" s="1563"/>
      <c r="L4" s="1408"/>
      <c r="M4" s="1408"/>
      <c r="N4" s="1408"/>
      <c r="O4" s="1408"/>
      <c r="P4" s="1408"/>
      <c r="Q4" s="1408"/>
      <c r="R4" s="1408"/>
      <c r="S4" s="1408"/>
      <c r="T4" s="1408"/>
      <c r="U4" s="1408"/>
      <c r="V4" s="1408"/>
      <c r="W4" s="1408"/>
      <c r="X4" s="1408"/>
      <c r="Y4" s="1408"/>
      <c r="Z4" s="1408"/>
      <c r="AA4" s="1408"/>
      <c r="AB4" s="1408"/>
      <c r="AC4" s="1408"/>
      <c r="AD4" s="1408"/>
      <c r="AE4" s="1408"/>
      <c r="AF4" s="1408"/>
      <c r="AG4" s="1408"/>
      <c r="AH4" s="1408"/>
      <c r="AI4" s="1408"/>
      <c r="AJ4" s="1408"/>
      <c r="AK4" s="1408"/>
      <c r="AL4" s="1408"/>
      <c r="AM4" s="1408"/>
      <c r="AN4" s="1408"/>
      <c r="AO4" s="1408"/>
      <c r="AP4" s="1408"/>
      <c r="AQ4" s="1408"/>
      <c r="AR4" s="1408"/>
      <c r="AS4" s="1408"/>
      <c r="AT4" s="1408"/>
      <c r="AU4" s="1408"/>
      <c r="AV4" s="1408"/>
      <c r="AW4" s="1408"/>
      <c r="AX4" s="1408"/>
      <c r="AY4" s="1408"/>
      <c r="AZ4" s="1408"/>
      <c r="BA4" s="1408"/>
      <c r="BB4" s="1408"/>
      <c r="BC4" s="1408"/>
      <c r="BD4" s="1408"/>
      <c r="BE4" s="1408"/>
      <c r="BF4" s="1408"/>
      <c r="BG4" s="1408"/>
      <c r="BH4" s="1408"/>
      <c r="BI4" s="1408"/>
      <c r="BJ4" s="1408"/>
      <c r="BK4" s="1408"/>
      <c r="BL4" s="1408"/>
      <c r="BM4" s="1408"/>
      <c r="BN4" s="1408"/>
      <c r="BO4" s="1408"/>
      <c r="BP4" s="1408"/>
      <c r="BQ4" s="1408"/>
      <c r="BR4" s="1408"/>
      <c r="BS4" s="1408"/>
      <c r="BT4" s="1408"/>
      <c r="BU4" s="1408"/>
      <c r="BV4" s="1408"/>
      <c r="BW4" s="1408"/>
      <c r="BX4" s="1408"/>
      <c r="BY4" s="1408"/>
      <c r="BZ4" s="1408"/>
      <c r="CA4" s="1408"/>
      <c r="CB4" s="1408"/>
      <c r="CC4" s="1408"/>
      <c r="CD4" s="1408"/>
      <c r="CE4" s="1408"/>
      <c r="CF4" s="1408"/>
      <c r="CG4" s="1408"/>
      <c r="CH4" s="1408"/>
      <c r="CI4" s="1408"/>
      <c r="CJ4" s="1408"/>
      <c r="CK4" s="1408"/>
      <c r="CL4" s="1408"/>
      <c r="CM4" s="1408"/>
      <c r="CN4" s="1408"/>
      <c r="CO4" s="1408"/>
      <c r="CP4" s="1408"/>
      <c r="CQ4" s="1408"/>
      <c r="CR4" s="1408"/>
      <c r="CS4" s="1408"/>
      <c r="CT4" s="1408"/>
      <c r="CU4" s="1408"/>
      <c r="CV4" s="1408"/>
      <c r="CW4" s="1408"/>
      <c r="CX4" s="1408"/>
      <c r="CY4" s="1408"/>
      <c r="CZ4" s="1408"/>
      <c r="DA4" s="1408"/>
      <c r="DB4" s="1408"/>
      <c r="DC4" s="1408"/>
      <c r="DD4" s="1408"/>
      <c r="DE4" s="1408"/>
      <c r="DF4" s="1408"/>
      <c r="DG4" s="1408"/>
      <c r="DH4" s="1408"/>
      <c r="DI4" s="1408"/>
      <c r="DJ4" s="1408"/>
      <c r="DK4" s="1408"/>
      <c r="DL4" s="1408"/>
      <c r="DM4" s="1408"/>
      <c r="DN4" s="1408"/>
      <c r="DO4" s="1408"/>
      <c r="DP4" s="1408"/>
      <c r="DQ4" s="1408"/>
      <c r="DR4" s="1408"/>
      <c r="DS4" s="1408"/>
      <c r="DT4" s="1408"/>
      <c r="DU4" s="1408"/>
      <c r="DV4" s="1408"/>
      <c r="DW4" s="1408"/>
    </row>
    <row r="5" spans="2:132" x14ac:dyDescent="0.3">
      <c r="D5" s="93"/>
      <c r="E5" s="93"/>
      <c r="F5" s="93"/>
      <c r="G5" s="93" t="str">
        <f>'P&amp;L'!E16</f>
        <v>Pre go Live</v>
      </c>
      <c r="H5" s="93">
        <f>'P&amp;L'!F16</f>
        <v>1</v>
      </c>
      <c r="I5" s="93">
        <f>'P&amp;L'!G16</f>
        <v>2</v>
      </c>
      <c r="J5" s="93">
        <f>'P&amp;L'!H16</f>
        <v>3</v>
      </c>
      <c r="K5" s="93">
        <f>'P&amp;L'!I16</f>
        <v>4</v>
      </c>
      <c r="L5" s="93">
        <f>'P&amp;L'!J16</f>
        <v>5</v>
      </c>
      <c r="M5" s="93">
        <f>'P&amp;L'!K16</f>
        <v>6</v>
      </c>
      <c r="N5" s="93">
        <f>'P&amp;L'!L16</f>
        <v>7</v>
      </c>
      <c r="O5" s="93">
        <f>'P&amp;L'!M16</f>
        <v>8</v>
      </c>
      <c r="P5" s="93">
        <f>'P&amp;L'!N16</f>
        <v>9</v>
      </c>
      <c r="Q5" s="93">
        <f>'P&amp;L'!O16</f>
        <v>10</v>
      </c>
      <c r="R5" s="93">
        <f>'P&amp;L'!P16</f>
        <v>11</v>
      </c>
      <c r="S5" s="93">
        <f>'P&amp;L'!Q16</f>
        <v>12</v>
      </c>
      <c r="T5" s="93">
        <f>'P&amp;L'!R16</f>
        <v>13</v>
      </c>
      <c r="U5" s="93">
        <f>'P&amp;L'!S16</f>
        <v>14</v>
      </c>
      <c r="V5" s="93">
        <f>'P&amp;L'!T16</f>
        <v>15</v>
      </c>
      <c r="W5" s="93">
        <f>'P&amp;L'!U16</f>
        <v>16</v>
      </c>
      <c r="X5" s="93">
        <f>'P&amp;L'!V16</f>
        <v>17</v>
      </c>
      <c r="Y5" s="93">
        <f>'P&amp;L'!W16</f>
        <v>18</v>
      </c>
      <c r="Z5" s="93">
        <f>'P&amp;L'!X16</f>
        <v>19</v>
      </c>
      <c r="AA5" s="93">
        <f>'P&amp;L'!Y16</f>
        <v>20</v>
      </c>
      <c r="AB5" s="93">
        <f>'P&amp;L'!Z16</f>
        <v>21</v>
      </c>
      <c r="AC5" s="93">
        <f>'P&amp;L'!AA16</f>
        <v>22</v>
      </c>
      <c r="AD5" s="93">
        <f>'P&amp;L'!AB16</f>
        <v>23</v>
      </c>
      <c r="AE5" s="93">
        <f>'P&amp;L'!AC16</f>
        <v>24</v>
      </c>
      <c r="AF5" s="93">
        <f>'P&amp;L'!AD16</f>
        <v>25</v>
      </c>
      <c r="AG5" s="93">
        <f>'P&amp;L'!AE16</f>
        <v>26</v>
      </c>
      <c r="AH5" s="93">
        <f>'P&amp;L'!AF16</f>
        <v>27</v>
      </c>
      <c r="AI5" s="93">
        <f>'P&amp;L'!AG16</f>
        <v>28</v>
      </c>
      <c r="AJ5" s="93">
        <f>'P&amp;L'!AH16</f>
        <v>29</v>
      </c>
      <c r="AK5" s="93">
        <f>'P&amp;L'!AI16</f>
        <v>30</v>
      </c>
      <c r="AL5" s="93">
        <f>'P&amp;L'!AJ16</f>
        <v>31</v>
      </c>
      <c r="AM5" s="93">
        <f>'P&amp;L'!AK16</f>
        <v>32</v>
      </c>
      <c r="AN5" s="93">
        <f>'P&amp;L'!AL16</f>
        <v>33</v>
      </c>
      <c r="AO5" s="93">
        <f>'P&amp;L'!AM16</f>
        <v>34</v>
      </c>
      <c r="AP5" s="93">
        <f>'P&amp;L'!AN16</f>
        <v>35</v>
      </c>
      <c r="AQ5" s="93">
        <f>'P&amp;L'!AO16</f>
        <v>36</v>
      </c>
      <c r="AR5" s="93">
        <f>'P&amp;L'!AP16</f>
        <v>37</v>
      </c>
      <c r="AS5" s="93">
        <f>'P&amp;L'!AQ16</f>
        <v>38</v>
      </c>
      <c r="AT5" s="93">
        <f>'P&amp;L'!AR16</f>
        <v>39</v>
      </c>
      <c r="AU5" s="93">
        <f>'P&amp;L'!AS16</f>
        <v>40</v>
      </c>
      <c r="AV5" s="93">
        <f>'P&amp;L'!AT16</f>
        <v>41</v>
      </c>
      <c r="AW5" s="93">
        <f>'P&amp;L'!AU16</f>
        <v>42</v>
      </c>
      <c r="AX5" s="93">
        <f>'P&amp;L'!AV16</f>
        <v>43</v>
      </c>
      <c r="AY5" s="93">
        <f>'P&amp;L'!AW16</f>
        <v>44</v>
      </c>
      <c r="AZ5" s="93">
        <f>'P&amp;L'!AX16</f>
        <v>45</v>
      </c>
      <c r="BA5" s="93">
        <f>'P&amp;L'!AY16</f>
        <v>46</v>
      </c>
      <c r="BB5" s="93">
        <f>'P&amp;L'!AZ16</f>
        <v>47</v>
      </c>
      <c r="BC5" s="93">
        <f>'P&amp;L'!BA16</f>
        <v>48</v>
      </c>
      <c r="BD5" s="93">
        <f>'P&amp;L'!BB16</f>
        <v>49</v>
      </c>
      <c r="BE5" s="93">
        <f>'P&amp;L'!BC16</f>
        <v>50</v>
      </c>
      <c r="BF5" s="93">
        <f>'P&amp;L'!BD16</f>
        <v>51</v>
      </c>
      <c r="BG5" s="93">
        <f>'P&amp;L'!BE16</f>
        <v>52</v>
      </c>
      <c r="BH5" s="93">
        <f>'P&amp;L'!BF16</f>
        <v>53</v>
      </c>
      <c r="BI5" s="93">
        <f>'P&amp;L'!BG16</f>
        <v>54</v>
      </c>
      <c r="BJ5" s="93">
        <f>'P&amp;L'!BH16</f>
        <v>55</v>
      </c>
      <c r="BK5" s="93">
        <f>'P&amp;L'!BI16</f>
        <v>56</v>
      </c>
      <c r="BL5" s="93">
        <f>'P&amp;L'!BJ16</f>
        <v>57</v>
      </c>
      <c r="BM5" s="93">
        <f>'P&amp;L'!BK16</f>
        <v>58</v>
      </c>
      <c r="BN5" s="93">
        <f>'P&amp;L'!BL16</f>
        <v>59</v>
      </c>
      <c r="BO5" s="93">
        <f>'P&amp;L'!BM16</f>
        <v>60</v>
      </c>
      <c r="BP5" s="93">
        <f>'P&amp;L'!BN16</f>
        <v>61</v>
      </c>
      <c r="BQ5" s="93">
        <f>'P&amp;L'!BO16</f>
        <v>62</v>
      </c>
      <c r="BR5" s="93">
        <f>'P&amp;L'!BP16</f>
        <v>63</v>
      </c>
      <c r="BS5" s="93">
        <f>'P&amp;L'!BQ16</f>
        <v>64</v>
      </c>
      <c r="BT5" s="93">
        <f>'P&amp;L'!BR16</f>
        <v>65</v>
      </c>
      <c r="BU5" s="93">
        <f>'P&amp;L'!BS16</f>
        <v>66</v>
      </c>
      <c r="BV5" s="93">
        <f>'P&amp;L'!BT16</f>
        <v>67</v>
      </c>
      <c r="BW5" s="93">
        <f>'P&amp;L'!BU16</f>
        <v>68</v>
      </c>
      <c r="BX5" s="93">
        <f>'P&amp;L'!BV16</f>
        <v>69</v>
      </c>
      <c r="BY5" s="93">
        <f>'P&amp;L'!BW16</f>
        <v>70</v>
      </c>
      <c r="BZ5" s="93">
        <f>'P&amp;L'!BX16</f>
        <v>71</v>
      </c>
      <c r="CA5" s="93">
        <f>'P&amp;L'!BY16</f>
        <v>72</v>
      </c>
      <c r="CB5" s="93">
        <f>'P&amp;L'!BZ16</f>
        <v>73</v>
      </c>
      <c r="CC5" s="93">
        <f>'P&amp;L'!CA16</f>
        <v>74</v>
      </c>
      <c r="CD5" s="93">
        <f>'P&amp;L'!CB16</f>
        <v>75</v>
      </c>
      <c r="CE5" s="93">
        <f>'P&amp;L'!CC16</f>
        <v>76</v>
      </c>
      <c r="CF5" s="93">
        <f>'P&amp;L'!CD16</f>
        <v>77</v>
      </c>
      <c r="CG5" s="93">
        <f>'P&amp;L'!CE16</f>
        <v>78</v>
      </c>
      <c r="CH5" s="93">
        <f>'P&amp;L'!CF16</f>
        <v>79</v>
      </c>
      <c r="CI5" s="93">
        <f>'P&amp;L'!CG16</f>
        <v>80</v>
      </c>
      <c r="CJ5" s="93">
        <f>'P&amp;L'!CH16</f>
        <v>81</v>
      </c>
      <c r="CK5" s="93">
        <f>'P&amp;L'!CI16</f>
        <v>82</v>
      </c>
      <c r="CL5" s="93">
        <f>'P&amp;L'!CJ16</f>
        <v>83</v>
      </c>
      <c r="CM5" s="93">
        <f>'P&amp;L'!CK16</f>
        <v>84</v>
      </c>
      <c r="CN5" s="93">
        <f>'P&amp;L'!CL16</f>
        <v>85</v>
      </c>
      <c r="CO5" s="93">
        <f>'P&amp;L'!CM16</f>
        <v>86</v>
      </c>
      <c r="CP5" s="93">
        <f>'P&amp;L'!CN16</f>
        <v>87</v>
      </c>
      <c r="CQ5" s="93">
        <f>'P&amp;L'!CO16</f>
        <v>88</v>
      </c>
      <c r="CR5" s="93">
        <f>'P&amp;L'!CP16</f>
        <v>89</v>
      </c>
      <c r="CS5" s="93">
        <f>'P&amp;L'!CQ16</f>
        <v>90</v>
      </c>
      <c r="CT5" s="93">
        <f>'P&amp;L'!CR16</f>
        <v>91</v>
      </c>
      <c r="CU5" s="93">
        <f>'P&amp;L'!CS16</f>
        <v>92</v>
      </c>
      <c r="CV5" s="93">
        <f>'P&amp;L'!CT16</f>
        <v>93</v>
      </c>
      <c r="CW5" s="93">
        <f>'P&amp;L'!CU16</f>
        <v>94</v>
      </c>
      <c r="CX5" s="93">
        <f>'P&amp;L'!CV16</f>
        <v>95</v>
      </c>
      <c r="CY5" s="93">
        <f>'P&amp;L'!CW16</f>
        <v>96</v>
      </c>
      <c r="CZ5" s="93">
        <f>'P&amp;L'!CX16</f>
        <v>97</v>
      </c>
      <c r="DA5" s="93">
        <f>'P&amp;L'!CY16</f>
        <v>98</v>
      </c>
      <c r="DB5" s="93">
        <f>'P&amp;L'!CZ16</f>
        <v>99</v>
      </c>
      <c r="DC5" s="93">
        <f>'P&amp;L'!DA16</f>
        <v>100</v>
      </c>
      <c r="DD5" s="93">
        <f>'P&amp;L'!DB16</f>
        <v>101</v>
      </c>
      <c r="DE5" s="93">
        <f>'P&amp;L'!DC16</f>
        <v>102</v>
      </c>
      <c r="DF5" s="93">
        <f>'P&amp;L'!DD16</f>
        <v>103</v>
      </c>
      <c r="DG5" s="93">
        <f>'P&amp;L'!DE16</f>
        <v>104</v>
      </c>
      <c r="DH5" s="93">
        <f>'P&amp;L'!DF16</f>
        <v>105</v>
      </c>
      <c r="DI5" s="93">
        <f>'P&amp;L'!DG16</f>
        <v>106</v>
      </c>
      <c r="DJ5" s="93">
        <f>'P&amp;L'!DH16</f>
        <v>107</v>
      </c>
      <c r="DK5" s="93">
        <f>'P&amp;L'!DI16</f>
        <v>108</v>
      </c>
      <c r="DL5" s="93">
        <f>'P&amp;L'!DJ16</f>
        <v>109</v>
      </c>
      <c r="DM5" s="93">
        <f>'P&amp;L'!DK16</f>
        <v>110</v>
      </c>
      <c r="DN5" s="93">
        <f>'P&amp;L'!DL16</f>
        <v>111</v>
      </c>
      <c r="DO5" s="93">
        <f>'P&amp;L'!DM16</f>
        <v>112</v>
      </c>
      <c r="DP5" s="93">
        <f>'P&amp;L'!DN16</f>
        <v>113</v>
      </c>
      <c r="DQ5" s="93">
        <f>'P&amp;L'!DO16</f>
        <v>114</v>
      </c>
      <c r="DR5" s="93">
        <f>'P&amp;L'!DP16</f>
        <v>115</v>
      </c>
      <c r="DS5" s="93">
        <f>'P&amp;L'!DQ16</f>
        <v>116</v>
      </c>
      <c r="DT5" s="93">
        <f>'P&amp;L'!DR16</f>
        <v>117</v>
      </c>
      <c r="DU5" s="93">
        <f>'P&amp;L'!DS16</f>
        <v>118</v>
      </c>
      <c r="DV5" s="93">
        <f>'P&amp;L'!DT16</f>
        <v>119</v>
      </c>
      <c r="DW5" s="93">
        <f>'P&amp;L'!DU16</f>
        <v>120</v>
      </c>
    </row>
    <row r="6" spans="2:132" x14ac:dyDescent="0.3">
      <c r="D6" s="1170" t="str">
        <f>Summary!AB3</f>
        <v>ClientX</v>
      </c>
      <c r="E6" s="1171"/>
      <c r="F6" s="1172"/>
      <c r="G6" s="1173">
        <f>'P&amp;L'!E17</f>
        <v>46388</v>
      </c>
      <c r="H6" s="1171">
        <f>'P&amp;L'!F17</f>
        <v>46446</v>
      </c>
      <c r="I6" s="1171">
        <f>'P&amp;L'!G17</f>
        <v>46477</v>
      </c>
      <c r="J6" s="1171">
        <f>'P&amp;L'!H17</f>
        <v>46507</v>
      </c>
      <c r="K6" s="1171">
        <f>'P&amp;L'!I17</f>
        <v>46538</v>
      </c>
      <c r="L6" s="1171">
        <f>'P&amp;L'!J17</f>
        <v>46568</v>
      </c>
      <c r="M6" s="1171">
        <f>'P&amp;L'!K17</f>
        <v>46599</v>
      </c>
      <c r="N6" s="1171">
        <f>'P&amp;L'!L17</f>
        <v>46630</v>
      </c>
      <c r="O6" s="1171">
        <f>'P&amp;L'!M17</f>
        <v>46660</v>
      </c>
      <c r="P6" s="1171">
        <f>'P&amp;L'!N17</f>
        <v>46691</v>
      </c>
      <c r="Q6" s="1171">
        <f>'P&amp;L'!O17</f>
        <v>46721</v>
      </c>
      <c r="R6" s="1171">
        <f>'P&amp;L'!P17</f>
        <v>46752</v>
      </c>
      <c r="S6" s="1171">
        <f>'P&amp;L'!Q17</f>
        <v>46783</v>
      </c>
      <c r="T6" s="1171">
        <f>'P&amp;L'!R17</f>
        <v>46812</v>
      </c>
      <c r="U6" s="1171">
        <f>'P&amp;L'!S17</f>
        <v>46843</v>
      </c>
      <c r="V6" s="1171">
        <f>'P&amp;L'!T17</f>
        <v>46873</v>
      </c>
      <c r="W6" s="1171">
        <f>'P&amp;L'!U17</f>
        <v>46904</v>
      </c>
      <c r="X6" s="1171">
        <f>'P&amp;L'!V17</f>
        <v>46934</v>
      </c>
      <c r="Y6" s="1171">
        <f>'P&amp;L'!W17</f>
        <v>46965</v>
      </c>
      <c r="Z6" s="1171">
        <f>'P&amp;L'!X17</f>
        <v>46996</v>
      </c>
      <c r="AA6" s="1171">
        <f>'P&amp;L'!Y17</f>
        <v>47026</v>
      </c>
      <c r="AB6" s="1171">
        <f>'P&amp;L'!Z17</f>
        <v>47057</v>
      </c>
      <c r="AC6" s="1171">
        <f>'P&amp;L'!AA17</f>
        <v>47087</v>
      </c>
      <c r="AD6" s="1171">
        <f>'P&amp;L'!AB17</f>
        <v>47118</v>
      </c>
      <c r="AE6" s="1171">
        <f>'P&amp;L'!AC17</f>
        <v>47149</v>
      </c>
      <c r="AF6" s="1171">
        <f>'P&amp;L'!AD17</f>
        <v>47177</v>
      </c>
      <c r="AG6" s="1171">
        <f>'P&amp;L'!AE17</f>
        <v>47208</v>
      </c>
      <c r="AH6" s="1171">
        <f>'P&amp;L'!AF17</f>
        <v>47238</v>
      </c>
      <c r="AI6" s="1171">
        <f>'P&amp;L'!AG17</f>
        <v>47269</v>
      </c>
      <c r="AJ6" s="1171">
        <f>'P&amp;L'!AH17</f>
        <v>47299</v>
      </c>
      <c r="AK6" s="1171">
        <f>'P&amp;L'!AI17</f>
        <v>47330</v>
      </c>
      <c r="AL6" s="1171">
        <f>'P&amp;L'!AJ17</f>
        <v>47361</v>
      </c>
      <c r="AM6" s="1171">
        <f>'P&amp;L'!AK17</f>
        <v>47391</v>
      </c>
      <c r="AN6" s="1171">
        <f>'P&amp;L'!AL17</f>
        <v>47422</v>
      </c>
      <c r="AO6" s="1171">
        <f>'P&amp;L'!AM17</f>
        <v>47452</v>
      </c>
      <c r="AP6" s="1171">
        <f>'P&amp;L'!AN17</f>
        <v>47483</v>
      </c>
      <c r="AQ6" s="1171">
        <f>'P&amp;L'!AO17</f>
        <v>47514</v>
      </c>
      <c r="AR6" s="1171">
        <f>'P&amp;L'!AP17</f>
        <v>47542</v>
      </c>
      <c r="AS6" s="1171">
        <f>'P&amp;L'!AQ17</f>
        <v>47573</v>
      </c>
      <c r="AT6" s="1171">
        <f>'P&amp;L'!AR17</f>
        <v>47603</v>
      </c>
      <c r="AU6" s="1171">
        <f>'P&amp;L'!AS17</f>
        <v>47634</v>
      </c>
      <c r="AV6" s="1171">
        <f>'P&amp;L'!AT17</f>
        <v>47664</v>
      </c>
      <c r="AW6" s="1171">
        <f>'P&amp;L'!AU17</f>
        <v>47695</v>
      </c>
      <c r="AX6" s="1171">
        <f>'P&amp;L'!AV17</f>
        <v>47726</v>
      </c>
      <c r="AY6" s="1171">
        <f>'P&amp;L'!AW17</f>
        <v>47756</v>
      </c>
      <c r="AZ6" s="1171">
        <f>'P&amp;L'!AX17</f>
        <v>47787</v>
      </c>
      <c r="BA6" s="1171">
        <f>'P&amp;L'!AY17</f>
        <v>47817</v>
      </c>
      <c r="BB6" s="1171">
        <f>'P&amp;L'!AZ17</f>
        <v>47848</v>
      </c>
      <c r="BC6" s="1171">
        <f>'P&amp;L'!BA17</f>
        <v>47879</v>
      </c>
      <c r="BD6" s="1171">
        <f>'P&amp;L'!BB17</f>
        <v>47907</v>
      </c>
      <c r="BE6" s="1171">
        <f>'P&amp;L'!BC17</f>
        <v>47938</v>
      </c>
      <c r="BF6" s="1171">
        <f>'P&amp;L'!BD17</f>
        <v>47968</v>
      </c>
      <c r="BG6" s="1171">
        <f>'P&amp;L'!BE17</f>
        <v>47999</v>
      </c>
      <c r="BH6" s="1171">
        <f>'P&amp;L'!BF17</f>
        <v>48029</v>
      </c>
      <c r="BI6" s="1171">
        <f>'P&amp;L'!BG17</f>
        <v>48060</v>
      </c>
      <c r="BJ6" s="1171">
        <f>'P&amp;L'!BH17</f>
        <v>48091</v>
      </c>
      <c r="BK6" s="1171">
        <f>'P&amp;L'!BI17</f>
        <v>48121</v>
      </c>
      <c r="BL6" s="1171">
        <f>'P&amp;L'!BJ17</f>
        <v>48152</v>
      </c>
      <c r="BM6" s="1171">
        <f>'P&amp;L'!BK17</f>
        <v>48182</v>
      </c>
      <c r="BN6" s="1171">
        <f>'P&amp;L'!BL17</f>
        <v>48213</v>
      </c>
      <c r="BO6" s="1171">
        <f>'P&amp;L'!BM17</f>
        <v>48244</v>
      </c>
      <c r="BP6" s="1171">
        <f>'P&amp;L'!BN17</f>
        <v>48273</v>
      </c>
      <c r="BQ6" s="1171">
        <f>'P&amp;L'!BO17</f>
        <v>48304</v>
      </c>
      <c r="BR6" s="1171">
        <f>'P&amp;L'!BP17</f>
        <v>48334</v>
      </c>
      <c r="BS6" s="1171">
        <f>'P&amp;L'!BQ17</f>
        <v>48365</v>
      </c>
      <c r="BT6" s="1171">
        <f>'P&amp;L'!BR17</f>
        <v>48395</v>
      </c>
      <c r="BU6" s="1171">
        <f>'P&amp;L'!BS17</f>
        <v>48426</v>
      </c>
      <c r="BV6" s="1171">
        <f>'P&amp;L'!BT17</f>
        <v>48457</v>
      </c>
      <c r="BW6" s="1171">
        <f>'P&amp;L'!BU17</f>
        <v>48487</v>
      </c>
      <c r="BX6" s="1171">
        <f>'P&amp;L'!BV17</f>
        <v>48518</v>
      </c>
      <c r="BY6" s="1171">
        <f>'P&amp;L'!BW17</f>
        <v>48548</v>
      </c>
      <c r="BZ6" s="1171">
        <f>'P&amp;L'!BX17</f>
        <v>48579</v>
      </c>
      <c r="CA6" s="1171">
        <f>'P&amp;L'!BY17</f>
        <v>48610</v>
      </c>
      <c r="CB6" s="1171">
        <f>'P&amp;L'!BZ17</f>
        <v>48638</v>
      </c>
      <c r="CC6" s="1171">
        <f>'P&amp;L'!CA17</f>
        <v>48669</v>
      </c>
      <c r="CD6" s="1171">
        <f>'P&amp;L'!CB17</f>
        <v>48699</v>
      </c>
      <c r="CE6" s="1171">
        <f>'P&amp;L'!CC17</f>
        <v>48730</v>
      </c>
      <c r="CF6" s="1171">
        <f>'P&amp;L'!CD17</f>
        <v>48760</v>
      </c>
      <c r="CG6" s="1171">
        <f>'P&amp;L'!CE17</f>
        <v>48791</v>
      </c>
      <c r="CH6" s="1171">
        <f>'P&amp;L'!CF17</f>
        <v>48822</v>
      </c>
      <c r="CI6" s="1171">
        <f>'P&amp;L'!CG17</f>
        <v>48852</v>
      </c>
      <c r="CJ6" s="1171">
        <f>'P&amp;L'!CH17</f>
        <v>48883</v>
      </c>
      <c r="CK6" s="1171">
        <f>'P&amp;L'!CI17</f>
        <v>48913</v>
      </c>
      <c r="CL6" s="1171">
        <f>'P&amp;L'!CJ17</f>
        <v>48944</v>
      </c>
      <c r="CM6" s="1171">
        <f>'P&amp;L'!CK17</f>
        <v>48975</v>
      </c>
      <c r="CN6" s="1171">
        <f>'P&amp;L'!CL17</f>
        <v>49003</v>
      </c>
      <c r="CO6" s="1171">
        <f>'P&amp;L'!CM17</f>
        <v>49034</v>
      </c>
      <c r="CP6" s="1171">
        <f>'P&amp;L'!CN17</f>
        <v>49064</v>
      </c>
      <c r="CQ6" s="1171">
        <f>'P&amp;L'!CO17</f>
        <v>49095</v>
      </c>
      <c r="CR6" s="1171">
        <f>'P&amp;L'!CP17</f>
        <v>49125</v>
      </c>
      <c r="CS6" s="1171">
        <f>'P&amp;L'!CQ17</f>
        <v>49156</v>
      </c>
      <c r="CT6" s="1171">
        <f>'P&amp;L'!CR17</f>
        <v>49187</v>
      </c>
      <c r="CU6" s="1171">
        <f>'P&amp;L'!CS17</f>
        <v>49217</v>
      </c>
      <c r="CV6" s="1171">
        <f>'P&amp;L'!CT17</f>
        <v>49248</v>
      </c>
      <c r="CW6" s="1171">
        <f>'P&amp;L'!CU17</f>
        <v>49278</v>
      </c>
      <c r="CX6" s="1171">
        <f>'P&amp;L'!CV17</f>
        <v>49309</v>
      </c>
      <c r="CY6" s="1171">
        <f>'P&amp;L'!CW17</f>
        <v>49340</v>
      </c>
      <c r="CZ6" s="1171">
        <f>'P&amp;L'!CX17</f>
        <v>49368</v>
      </c>
      <c r="DA6" s="1171">
        <f>'P&amp;L'!CY17</f>
        <v>49399</v>
      </c>
      <c r="DB6" s="1171">
        <f>'P&amp;L'!CZ17</f>
        <v>49429</v>
      </c>
      <c r="DC6" s="1171">
        <f>'P&amp;L'!DA17</f>
        <v>49460</v>
      </c>
      <c r="DD6" s="1171">
        <f>'P&amp;L'!DB17</f>
        <v>49490</v>
      </c>
      <c r="DE6" s="1171">
        <f>'P&amp;L'!DC17</f>
        <v>49521</v>
      </c>
      <c r="DF6" s="1171">
        <f>'P&amp;L'!DD17</f>
        <v>49552</v>
      </c>
      <c r="DG6" s="1171">
        <f>'P&amp;L'!DE17</f>
        <v>49582</v>
      </c>
      <c r="DH6" s="1171">
        <f>'P&amp;L'!DF17</f>
        <v>49613</v>
      </c>
      <c r="DI6" s="1171">
        <f>'P&amp;L'!DG17</f>
        <v>49643</v>
      </c>
      <c r="DJ6" s="1171">
        <f>'P&amp;L'!DH17</f>
        <v>49674</v>
      </c>
      <c r="DK6" s="1171">
        <f>'P&amp;L'!DI17</f>
        <v>49705</v>
      </c>
      <c r="DL6" s="1171">
        <f>'P&amp;L'!DJ17</f>
        <v>49734</v>
      </c>
      <c r="DM6" s="1171">
        <f>'P&amp;L'!DK17</f>
        <v>49765</v>
      </c>
      <c r="DN6" s="1171">
        <f>'P&amp;L'!DL17</f>
        <v>49795</v>
      </c>
      <c r="DO6" s="1171">
        <f>'P&amp;L'!DM17</f>
        <v>49826</v>
      </c>
      <c r="DP6" s="1171">
        <f>'P&amp;L'!DN17</f>
        <v>49856</v>
      </c>
      <c r="DQ6" s="1171">
        <f>'P&amp;L'!DO17</f>
        <v>49887</v>
      </c>
      <c r="DR6" s="1171">
        <f>'P&amp;L'!DP17</f>
        <v>49918</v>
      </c>
      <c r="DS6" s="1171">
        <f>'P&amp;L'!DQ17</f>
        <v>49948</v>
      </c>
      <c r="DT6" s="1171">
        <f>'P&amp;L'!DR17</f>
        <v>49979</v>
      </c>
      <c r="DU6" s="1171">
        <f>'P&amp;L'!DS17</f>
        <v>50009</v>
      </c>
      <c r="DV6" s="1171">
        <f>'P&amp;L'!DT17</f>
        <v>50040</v>
      </c>
      <c r="DW6" s="1171">
        <f>'P&amp;L'!DU17</f>
        <v>50071</v>
      </c>
    </row>
    <row r="7" spans="2:132" x14ac:dyDescent="0.3">
      <c r="D7" s="1184" t="s">
        <v>220</v>
      </c>
      <c r="E7" s="1185"/>
      <c r="F7" s="1186"/>
      <c r="G7" s="1187">
        <f t="shared" ref="G7:BR7" si="0">G8</f>
        <v>50</v>
      </c>
      <c r="H7" s="1185">
        <f t="shared" si="0"/>
        <v>50</v>
      </c>
      <c r="I7" s="1185">
        <f t="shared" si="0"/>
        <v>50</v>
      </c>
      <c r="J7" s="1185">
        <f t="shared" si="0"/>
        <v>50</v>
      </c>
      <c r="K7" s="1185">
        <f t="shared" si="0"/>
        <v>50</v>
      </c>
      <c r="L7" s="1185">
        <f t="shared" si="0"/>
        <v>50</v>
      </c>
      <c r="M7" s="1185">
        <f t="shared" si="0"/>
        <v>50</v>
      </c>
      <c r="N7" s="1185">
        <f t="shared" si="0"/>
        <v>50</v>
      </c>
      <c r="O7" s="1185">
        <f t="shared" si="0"/>
        <v>50</v>
      </c>
      <c r="P7" s="1185">
        <f t="shared" si="0"/>
        <v>50</v>
      </c>
      <c r="Q7" s="1185">
        <f t="shared" si="0"/>
        <v>50</v>
      </c>
      <c r="R7" s="1185">
        <f t="shared" si="0"/>
        <v>50</v>
      </c>
      <c r="S7" s="1185">
        <f t="shared" si="0"/>
        <v>50</v>
      </c>
      <c r="T7" s="1185">
        <f t="shared" si="0"/>
        <v>50</v>
      </c>
      <c r="U7" s="1185">
        <f t="shared" si="0"/>
        <v>50</v>
      </c>
      <c r="V7" s="1185">
        <f t="shared" si="0"/>
        <v>50</v>
      </c>
      <c r="W7" s="1185">
        <f t="shared" si="0"/>
        <v>50</v>
      </c>
      <c r="X7" s="1185">
        <f t="shared" si="0"/>
        <v>50</v>
      </c>
      <c r="Y7" s="1185">
        <f t="shared" si="0"/>
        <v>50</v>
      </c>
      <c r="Z7" s="1185">
        <f t="shared" si="0"/>
        <v>50</v>
      </c>
      <c r="AA7" s="1185">
        <f t="shared" si="0"/>
        <v>50</v>
      </c>
      <c r="AB7" s="1185">
        <f t="shared" si="0"/>
        <v>50</v>
      </c>
      <c r="AC7" s="1185">
        <f t="shared" si="0"/>
        <v>50</v>
      </c>
      <c r="AD7" s="1185">
        <f t="shared" si="0"/>
        <v>50</v>
      </c>
      <c r="AE7" s="1185">
        <f t="shared" si="0"/>
        <v>50</v>
      </c>
      <c r="AF7" s="1185">
        <f t="shared" si="0"/>
        <v>50</v>
      </c>
      <c r="AG7" s="1185">
        <f t="shared" si="0"/>
        <v>50</v>
      </c>
      <c r="AH7" s="1185">
        <f t="shared" si="0"/>
        <v>50</v>
      </c>
      <c r="AI7" s="1185">
        <f t="shared" si="0"/>
        <v>50</v>
      </c>
      <c r="AJ7" s="1185">
        <f t="shared" si="0"/>
        <v>50</v>
      </c>
      <c r="AK7" s="1185">
        <f t="shared" si="0"/>
        <v>50</v>
      </c>
      <c r="AL7" s="1185">
        <f t="shared" si="0"/>
        <v>50</v>
      </c>
      <c r="AM7" s="1185">
        <f t="shared" si="0"/>
        <v>50</v>
      </c>
      <c r="AN7" s="1185">
        <f t="shared" si="0"/>
        <v>50</v>
      </c>
      <c r="AO7" s="1185">
        <f t="shared" si="0"/>
        <v>50</v>
      </c>
      <c r="AP7" s="1185">
        <f t="shared" si="0"/>
        <v>50</v>
      </c>
      <c r="AQ7" s="1185">
        <f t="shared" si="0"/>
        <v>50</v>
      </c>
      <c r="AR7" s="1185">
        <f t="shared" si="0"/>
        <v>50</v>
      </c>
      <c r="AS7" s="1185">
        <f t="shared" si="0"/>
        <v>50</v>
      </c>
      <c r="AT7" s="1185">
        <f t="shared" si="0"/>
        <v>50</v>
      </c>
      <c r="AU7" s="1185">
        <f t="shared" si="0"/>
        <v>50</v>
      </c>
      <c r="AV7" s="1185">
        <f t="shared" si="0"/>
        <v>50</v>
      </c>
      <c r="AW7" s="1185">
        <f t="shared" si="0"/>
        <v>50</v>
      </c>
      <c r="AX7" s="1185">
        <f t="shared" si="0"/>
        <v>50</v>
      </c>
      <c r="AY7" s="1185">
        <f t="shared" si="0"/>
        <v>50</v>
      </c>
      <c r="AZ7" s="1185">
        <f t="shared" si="0"/>
        <v>50</v>
      </c>
      <c r="BA7" s="1185">
        <f t="shared" si="0"/>
        <v>50</v>
      </c>
      <c r="BB7" s="1185">
        <f t="shared" si="0"/>
        <v>50</v>
      </c>
      <c r="BC7" s="1185">
        <f t="shared" si="0"/>
        <v>50</v>
      </c>
      <c r="BD7" s="1185">
        <f t="shared" si="0"/>
        <v>50</v>
      </c>
      <c r="BE7" s="1185">
        <f t="shared" si="0"/>
        <v>50</v>
      </c>
      <c r="BF7" s="1185">
        <f t="shared" si="0"/>
        <v>50</v>
      </c>
      <c r="BG7" s="1185">
        <f t="shared" si="0"/>
        <v>50</v>
      </c>
      <c r="BH7" s="1185">
        <f t="shared" si="0"/>
        <v>50</v>
      </c>
      <c r="BI7" s="1185">
        <f t="shared" si="0"/>
        <v>50</v>
      </c>
      <c r="BJ7" s="1185">
        <f t="shared" si="0"/>
        <v>50</v>
      </c>
      <c r="BK7" s="1185">
        <f t="shared" si="0"/>
        <v>50</v>
      </c>
      <c r="BL7" s="1185">
        <f t="shared" si="0"/>
        <v>50</v>
      </c>
      <c r="BM7" s="1185">
        <f t="shared" si="0"/>
        <v>50</v>
      </c>
      <c r="BN7" s="1185">
        <f t="shared" si="0"/>
        <v>50</v>
      </c>
      <c r="BO7" s="1185">
        <f t="shared" si="0"/>
        <v>50</v>
      </c>
      <c r="BP7" s="1185">
        <f t="shared" si="0"/>
        <v>50</v>
      </c>
      <c r="BQ7" s="1185">
        <f t="shared" si="0"/>
        <v>50</v>
      </c>
      <c r="BR7" s="1185">
        <f t="shared" si="0"/>
        <v>50</v>
      </c>
      <c r="BS7" s="1185">
        <f t="shared" ref="BS7:DW7" si="1">BS8</f>
        <v>50</v>
      </c>
      <c r="BT7" s="1185">
        <f t="shared" si="1"/>
        <v>50</v>
      </c>
      <c r="BU7" s="1185">
        <f t="shared" si="1"/>
        <v>50</v>
      </c>
      <c r="BV7" s="1185">
        <f t="shared" si="1"/>
        <v>50</v>
      </c>
      <c r="BW7" s="1185">
        <f t="shared" si="1"/>
        <v>50</v>
      </c>
      <c r="BX7" s="1185">
        <f t="shared" si="1"/>
        <v>50</v>
      </c>
      <c r="BY7" s="1185">
        <f t="shared" si="1"/>
        <v>50</v>
      </c>
      <c r="BZ7" s="1185">
        <f t="shared" si="1"/>
        <v>50</v>
      </c>
      <c r="CA7" s="1185">
        <f t="shared" si="1"/>
        <v>50</v>
      </c>
      <c r="CB7" s="1185">
        <f t="shared" si="1"/>
        <v>50</v>
      </c>
      <c r="CC7" s="1185">
        <f t="shared" si="1"/>
        <v>50</v>
      </c>
      <c r="CD7" s="1185">
        <f t="shared" si="1"/>
        <v>50</v>
      </c>
      <c r="CE7" s="1185">
        <f t="shared" si="1"/>
        <v>50</v>
      </c>
      <c r="CF7" s="1185">
        <f t="shared" si="1"/>
        <v>50</v>
      </c>
      <c r="CG7" s="1185">
        <f t="shared" si="1"/>
        <v>50</v>
      </c>
      <c r="CH7" s="1185">
        <f t="shared" si="1"/>
        <v>50</v>
      </c>
      <c r="CI7" s="1185">
        <f t="shared" si="1"/>
        <v>50</v>
      </c>
      <c r="CJ7" s="1185">
        <f t="shared" si="1"/>
        <v>50</v>
      </c>
      <c r="CK7" s="1185">
        <f t="shared" si="1"/>
        <v>50</v>
      </c>
      <c r="CL7" s="1185">
        <f t="shared" si="1"/>
        <v>50</v>
      </c>
      <c r="CM7" s="1185">
        <f t="shared" si="1"/>
        <v>50</v>
      </c>
      <c r="CN7" s="1185">
        <f t="shared" si="1"/>
        <v>50</v>
      </c>
      <c r="CO7" s="1185">
        <f t="shared" si="1"/>
        <v>50</v>
      </c>
      <c r="CP7" s="1185">
        <f t="shared" si="1"/>
        <v>50</v>
      </c>
      <c r="CQ7" s="1185">
        <f t="shared" si="1"/>
        <v>50</v>
      </c>
      <c r="CR7" s="1185">
        <f t="shared" si="1"/>
        <v>50</v>
      </c>
      <c r="CS7" s="1185">
        <f t="shared" si="1"/>
        <v>50</v>
      </c>
      <c r="CT7" s="1185">
        <f t="shared" si="1"/>
        <v>50</v>
      </c>
      <c r="CU7" s="1185">
        <f t="shared" si="1"/>
        <v>50</v>
      </c>
      <c r="CV7" s="1185">
        <f t="shared" si="1"/>
        <v>50</v>
      </c>
      <c r="CW7" s="1185">
        <f t="shared" si="1"/>
        <v>50</v>
      </c>
      <c r="CX7" s="1185">
        <f t="shared" si="1"/>
        <v>50</v>
      </c>
      <c r="CY7" s="1185">
        <f t="shared" si="1"/>
        <v>50</v>
      </c>
      <c r="CZ7" s="1185">
        <f t="shared" si="1"/>
        <v>50</v>
      </c>
      <c r="DA7" s="1185">
        <f t="shared" si="1"/>
        <v>50</v>
      </c>
      <c r="DB7" s="1185">
        <f t="shared" si="1"/>
        <v>50</v>
      </c>
      <c r="DC7" s="1185">
        <f t="shared" si="1"/>
        <v>50</v>
      </c>
      <c r="DD7" s="1185">
        <f t="shared" si="1"/>
        <v>50</v>
      </c>
      <c r="DE7" s="1185">
        <f t="shared" si="1"/>
        <v>50</v>
      </c>
      <c r="DF7" s="1185">
        <f t="shared" si="1"/>
        <v>50</v>
      </c>
      <c r="DG7" s="1185">
        <f t="shared" si="1"/>
        <v>50</v>
      </c>
      <c r="DH7" s="1185">
        <f t="shared" si="1"/>
        <v>50</v>
      </c>
      <c r="DI7" s="1185">
        <f t="shared" si="1"/>
        <v>50</v>
      </c>
      <c r="DJ7" s="1185">
        <f t="shared" si="1"/>
        <v>50</v>
      </c>
      <c r="DK7" s="1185">
        <f t="shared" si="1"/>
        <v>50</v>
      </c>
      <c r="DL7" s="1185">
        <f t="shared" si="1"/>
        <v>50</v>
      </c>
      <c r="DM7" s="1185">
        <f t="shared" si="1"/>
        <v>50</v>
      </c>
      <c r="DN7" s="1185">
        <f t="shared" si="1"/>
        <v>50</v>
      </c>
      <c r="DO7" s="1185">
        <f t="shared" si="1"/>
        <v>50</v>
      </c>
      <c r="DP7" s="1185">
        <f t="shared" si="1"/>
        <v>50</v>
      </c>
      <c r="DQ7" s="1185">
        <f t="shared" si="1"/>
        <v>50</v>
      </c>
      <c r="DR7" s="1185">
        <f t="shared" si="1"/>
        <v>50</v>
      </c>
      <c r="DS7" s="1185">
        <f t="shared" si="1"/>
        <v>50</v>
      </c>
      <c r="DT7" s="1185">
        <f t="shared" si="1"/>
        <v>50</v>
      </c>
      <c r="DU7" s="1185">
        <f t="shared" si="1"/>
        <v>50</v>
      </c>
      <c r="DV7" s="1185">
        <f t="shared" si="1"/>
        <v>50</v>
      </c>
      <c r="DW7" s="1185">
        <f t="shared" si="1"/>
        <v>50</v>
      </c>
      <c r="DX7" s="1414">
        <f t="shared" ref="DX7:EB7" si="2">DW7</f>
        <v>50</v>
      </c>
      <c r="DY7" s="1414">
        <f t="shared" si="2"/>
        <v>50</v>
      </c>
      <c r="DZ7" s="1414">
        <f t="shared" si="2"/>
        <v>50</v>
      </c>
      <c r="EA7" s="1414">
        <f t="shared" si="2"/>
        <v>50</v>
      </c>
      <c r="EB7" s="1414">
        <f t="shared" si="2"/>
        <v>50</v>
      </c>
    </row>
    <row r="8" spans="2:132" x14ac:dyDescent="0.3">
      <c r="C8" s="117"/>
      <c r="D8" s="1174" t="s">
        <v>221</v>
      </c>
      <c r="E8" s="261"/>
      <c r="F8" s="514"/>
      <c r="G8" s="516">
        <f>Summary!$G$3</f>
        <v>50</v>
      </c>
      <c r="H8" s="359">
        <f>G8</f>
        <v>50</v>
      </c>
      <c r="I8" s="359">
        <f t="shared" ref="I8:BT8" si="3">H8</f>
        <v>50</v>
      </c>
      <c r="J8" s="359">
        <f t="shared" si="3"/>
        <v>50</v>
      </c>
      <c r="K8" s="359">
        <f t="shared" si="3"/>
        <v>50</v>
      </c>
      <c r="L8" s="359">
        <f t="shared" si="3"/>
        <v>50</v>
      </c>
      <c r="M8" s="359">
        <f t="shared" si="3"/>
        <v>50</v>
      </c>
      <c r="N8" s="359">
        <f t="shared" si="3"/>
        <v>50</v>
      </c>
      <c r="O8" s="359">
        <f t="shared" si="3"/>
        <v>50</v>
      </c>
      <c r="P8" s="359">
        <f t="shared" si="3"/>
        <v>50</v>
      </c>
      <c r="Q8" s="359">
        <f t="shared" si="3"/>
        <v>50</v>
      </c>
      <c r="R8" s="359">
        <f t="shared" si="3"/>
        <v>50</v>
      </c>
      <c r="S8" s="359">
        <f t="shared" si="3"/>
        <v>50</v>
      </c>
      <c r="T8" s="275">
        <f t="shared" si="3"/>
        <v>50</v>
      </c>
      <c r="U8" s="359">
        <f t="shared" si="3"/>
        <v>50</v>
      </c>
      <c r="V8" s="359">
        <f t="shared" si="3"/>
        <v>50</v>
      </c>
      <c r="W8" s="359">
        <f t="shared" si="3"/>
        <v>50</v>
      </c>
      <c r="X8" s="359">
        <f t="shared" si="3"/>
        <v>50</v>
      </c>
      <c r="Y8" s="359">
        <f t="shared" si="3"/>
        <v>50</v>
      </c>
      <c r="Z8" s="359">
        <f t="shared" si="3"/>
        <v>50</v>
      </c>
      <c r="AA8" s="359">
        <f t="shared" si="3"/>
        <v>50</v>
      </c>
      <c r="AB8" s="359">
        <f t="shared" si="3"/>
        <v>50</v>
      </c>
      <c r="AC8" s="359">
        <f t="shared" si="3"/>
        <v>50</v>
      </c>
      <c r="AD8" s="359">
        <f t="shared" si="3"/>
        <v>50</v>
      </c>
      <c r="AE8" s="359">
        <f t="shared" si="3"/>
        <v>50</v>
      </c>
      <c r="AF8" s="275">
        <f t="shared" si="3"/>
        <v>50</v>
      </c>
      <c r="AG8" s="359">
        <f t="shared" si="3"/>
        <v>50</v>
      </c>
      <c r="AH8" s="359">
        <f t="shared" si="3"/>
        <v>50</v>
      </c>
      <c r="AI8" s="359">
        <f t="shared" si="3"/>
        <v>50</v>
      </c>
      <c r="AJ8" s="359">
        <f t="shared" si="3"/>
        <v>50</v>
      </c>
      <c r="AK8" s="359">
        <f t="shared" si="3"/>
        <v>50</v>
      </c>
      <c r="AL8" s="359">
        <f t="shared" si="3"/>
        <v>50</v>
      </c>
      <c r="AM8" s="359">
        <f t="shared" si="3"/>
        <v>50</v>
      </c>
      <c r="AN8" s="359">
        <f t="shared" si="3"/>
        <v>50</v>
      </c>
      <c r="AO8" s="359">
        <f t="shared" si="3"/>
        <v>50</v>
      </c>
      <c r="AP8" s="359">
        <f t="shared" si="3"/>
        <v>50</v>
      </c>
      <c r="AQ8" s="359">
        <f t="shared" si="3"/>
        <v>50</v>
      </c>
      <c r="AR8" s="275">
        <f t="shared" si="3"/>
        <v>50</v>
      </c>
      <c r="AS8" s="359">
        <f t="shared" si="3"/>
        <v>50</v>
      </c>
      <c r="AT8" s="359">
        <f t="shared" si="3"/>
        <v>50</v>
      </c>
      <c r="AU8" s="359">
        <f t="shared" si="3"/>
        <v>50</v>
      </c>
      <c r="AV8" s="359">
        <f t="shared" si="3"/>
        <v>50</v>
      </c>
      <c r="AW8" s="359">
        <f t="shared" si="3"/>
        <v>50</v>
      </c>
      <c r="AX8" s="359">
        <f t="shared" si="3"/>
        <v>50</v>
      </c>
      <c r="AY8" s="359">
        <f t="shared" si="3"/>
        <v>50</v>
      </c>
      <c r="AZ8" s="359">
        <f t="shared" si="3"/>
        <v>50</v>
      </c>
      <c r="BA8" s="359">
        <f t="shared" si="3"/>
        <v>50</v>
      </c>
      <c r="BB8" s="359">
        <f t="shared" si="3"/>
        <v>50</v>
      </c>
      <c r="BC8" s="359">
        <f t="shared" si="3"/>
        <v>50</v>
      </c>
      <c r="BD8" s="275">
        <f t="shared" si="3"/>
        <v>50</v>
      </c>
      <c r="BE8" s="359">
        <f t="shared" si="3"/>
        <v>50</v>
      </c>
      <c r="BF8" s="359">
        <f t="shared" si="3"/>
        <v>50</v>
      </c>
      <c r="BG8" s="359">
        <f t="shared" si="3"/>
        <v>50</v>
      </c>
      <c r="BH8" s="359">
        <f t="shared" si="3"/>
        <v>50</v>
      </c>
      <c r="BI8" s="359">
        <f t="shared" si="3"/>
        <v>50</v>
      </c>
      <c r="BJ8" s="359">
        <f t="shared" si="3"/>
        <v>50</v>
      </c>
      <c r="BK8" s="359">
        <f t="shared" si="3"/>
        <v>50</v>
      </c>
      <c r="BL8" s="359">
        <f t="shared" si="3"/>
        <v>50</v>
      </c>
      <c r="BM8" s="359">
        <f t="shared" si="3"/>
        <v>50</v>
      </c>
      <c r="BN8" s="359">
        <f t="shared" si="3"/>
        <v>50</v>
      </c>
      <c r="BO8" s="359">
        <f t="shared" si="3"/>
        <v>50</v>
      </c>
      <c r="BP8" s="275">
        <f t="shared" si="3"/>
        <v>50</v>
      </c>
      <c r="BQ8" s="359">
        <f t="shared" si="3"/>
        <v>50</v>
      </c>
      <c r="BR8" s="359">
        <f t="shared" si="3"/>
        <v>50</v>
      </c>
      <c r="BS8" s="359">
        <f t="shared" si="3"/>
        <v>50</v>
      </c>
      <c r="BT8" s="359">
        <f t="shared" si="3"/>
        <v>50</v>
      </c>
      <c r="BU8" s="359">
        <f t="shared" ref="BU8:EB12" si="4">BT8</f>
        <v>50</v>
      </c>
      <c r="BV8" s="359">
        <f t="shared" si="4"/>
        <v>50</v>
      </c>
      <c r="BW8" s="359">
        <f t="shared" si="4"/>
        <v>50</v>
      </c>
      <c r="BX8" s="359">
        <f t="shared" si="4"/>
        <v>50</v>
      </c>
      <c r="BY8" s="359">
        <f t="shared" si="4"/>
        <v>50</v>
      </c>
      <c r="BZ8" s="359">
        <f t="shared" si="4"/>
        <v>50</v>
      </c>
      <c r="CA8" s="359">
        <f t="shared" si="4"/>
        <v>50</v>
      </c>
      <c r="CB8" s="275">
        <f t="shared" si="4"/>
        <v>50</v>
      </c>
      <c r="CC8" s="359">
        <f t="shared" si="4"/>
        <v>50</v>
      </c>
      <c r="CD8" s="359">
        <f t="shared" si="4"/>
        <v>50</v>
      </c>
      <c r="CE8" s="359">
        <f t="shared" si="4"/>
        <v>50</v>
      </c>
      <c r="CF8" s="359">
        <f t="shared" si="4"/>
        <v>50</v>
      </c>
      <c r="CG8" s="359">
        <f t="shared" si="4"/>
        <v>50</v>
      </c>
      <c r="CH8" s="359">
        <f t="shared" si="4"/>
        <v>50</v>
      </c>
      <c r="CI8" s="359">
        <f t="shared" si="4"/>
        <v>50</v>
      </c>
      <c r="CJ8" s="359">
        <f t="shared" si="4"/>
        <v>50</v>
      </c>
      <c r="CK8" s="359">
        <f t="shared" si="4"/>
        <v>50</v>
      </c>
      <c r="CL8" s="359">
        <f t="shared" si="4"/>
        <v>50</v>
      </c>
      <c r="CM8" s="359">
        <f t="shared" si="4"/>
        <v>50</v>
      </c>
      <c r="CN8" s="275">
        <f t="shared" si="4"/>
        <v>50</v>
      </c>
      <c r="CO8" s="359">
        <f t="shared" si="4"/>
        <v>50</v>
      </c>
      <c r="CP8" s="359">
        <f t="shared" si="4"/>
        <v>50</v>
      </c>
      <c r="CQ8" s="359">
        <f t="shared" si="4"/>
        <v>50</v>
      </c>
      <c r="CR8" s="359">
        <f t="shared" si="4"/>
        <v>50</v>
      </c>
      <c r="CS8" s="359">
        <f t="shared" si="4"/>
        <v>50</v>
      </c>
      <c r="CT8" s="359">
        <f t="shared" si="4"/>
        <v>50</v>
      </c>
      <c r="CU8" s="359">
        <f t="shared" si="4"/>
        <v>50</v>
      </c>
      <c r="CV8" s="359">
        <f t="shared" si="4"/>
        <v>50</v>
      </c>
      <c r="CW8" s="359">
        <f t="shared" si="4"/>
        <v>50</v>
      </c>
      <c r="CX8" s="359">
        <f t="shared" si="4"/>
        <v>50</v>
      </c>
      <c r="CY8" s="359">
        <f t="shared" si="4"/>
        <v>50</v>
      </c>
      <c r="CZ8" s="275">
        <f t="shared" si="4"/>
        <v>50</v>
      </c>
      <c r="DA8" s="359">
        <f t="shared" si="4"/>
        <v>50</v>
      </c>
      <c r="DB8" s="359">
        <f t="shared" si="4"/>
        <v>50</v>
      </c>
      <c r="DC8" s="359">
        <f t="shared" si="4"/>
        <v>50</v>
      </c>
      <c r="DD8" s="359">
        <f t="shared" si="4"/>
        <v>50</v>
      </c>
      <c r="DE8" s="359">
        <f t="shared" si="4"/>
        <v>50</v>
      </c>
      <c r="DF8" s="359">
        <f t="shared" si="4"/>
        <v>50</v>
      </c>
      <c r="DG8" s="359">
        <f t="shared" si="4"/>
        <v>50</v>
      </c>
      <c r="DH8" s="359">
        <f t="shared" si="4"/>
        <v>50</v>
      </c>
      <c r="DI8" s="359">
        <f t="shared" si="4"/>
        <v>50</v>
      </c>
      <c r="DJ8" s="359">
        <f t="shared" si="4"/>
        <v>50</v>
      </c>
      <c r="DK8" s="359">
        <f t="shared" si="4"/>
        <v>50</v>
      </c>
      <c r="DL8" s="275">
        <f t="shared" si="4"/>
        <v>50</v>
      </c>
      <c r="DM8" s="359">
        <f t="shared" si="4"/>
        <v>50</v>
      </c>
      <c r="DN8" s="359">
        <f t="shared" si="4"/>
        <v>50</v>
      </c>
      <c r="DO8" s="359">
        <f t="shared" si="4"/>
        <v>50</v>
      </c>
      <c r="DP8" s="359">
        <f t="shared" si="4"/>
        <v>50</v>
      </c>
      <c r="DQ8" s="359">
        <f t="shared" si="4"/>
        <v>50</v>
      </c>
      <c r="DR8" s="359">
        <f t="shared" si="4"/>
        <v>50</v>
      </c>
      <c r="DS8" s="359">
        <f t="shared" si="4"/>
        <v>50</v>
      </c>
      <c r="DT8" s="359">
        <f t="shared" si="4"/>
        <v>50</v>
      </c>
      <c r="DU8" s="359">
        <f t="shared" si="4"/>
        <v>50</v>
      </c>
      <c r="DV8" s="359">
        <f t="shared" si="4"/>
        <v>50</v>
      </c>
      <c r="DW8" s="359">
        <f t="shared" si="4"/>
        <v>50</v>
      </c>
      <c r="DX8" s="1414">
        <f t="shared" si="4"/>
        <v>50</v>
      </c>
      <c r="DY8" s="1414">
        <f t="shared" si="4"/>
        <v>50</v>
      </c>
      <c r="DZ8" s="1414">
        <f t="shared" si="4"/>
        <v>50</v>
      </c>
      <c r="EA8" s="1414">
        <f t="shared" si="4"/>
        <v>50</v>
      </c>
      <c r="EB8" s="1414">
        <f t="shared" si="4"/>
        <v>50</v>
      </c>
    </row>
    <row r="9" spans="2:132" x14ac:dyDescent="0.3">
      <c r="B9" s="14" t="b">
        <f>IF(AND(J13&lt;=(4.33*2),J13&gt;4.33),(IF(MIN($C$43,(L12-((K40*(1-K21))))/L17)&lt;0,0,MIN($C$43,(L12-((K40*(1-K21))))))))</f>
        <v>0</v>
      </c>
      <c r="C9" s="568"/>
      <c r="D9" s="49" t="s">
        <v>48</v>
      </c>
      <c r="E9" s="51"/>
      <c r="F9" s="388"/>
      <c r="G9" s="50">
        <f>SUM(G10:G11)</f>
        <v>0.16781609195402297</v>
      </c>
      <c r="H9" s="51">
        <f t="shared" ref="H9" si="5">SUM(H10:H11)</f>
        <v>0.16781609195402297</v>
      </c>
      <c r="I9" s="51">
        <f t="shared" ref="I9:BO9" si="6">SUM(I10:I11)</f>
        <v>0.16781609195402297</v>
      </c>
      <c r="J9" s="51">
        <f t="shared" si="6"/>
        <v>0.16781609195402297</v>
      </c>
      <c r="K9" s="51">
        <f t="shared" si="6"/>
        <v>0.16781609195402297</v>
      </c>
      <c r="L9" s="51">
        <f t="shared" si="6"/>
        <v>0.16781609195402297</v>
      </c>
      <c r="M9" s="51">
        <f t="shared" si="6"/>
        <v>0.16781609195402297</v>
      </c>
      <c r="N9" s="51">
        <f t="shared" si="6"/>
        <v>0.16781609195402297</v>
      </c>
      <c r="O9" s="51">
        <f t="shared" si="6"/>
        <v>0.16781609195402297</v>
      </c>
      <c r="P9" s="51">
        <f t="shared" si="6"/>
        <v>0.16781609195402297</v>
      </c>
      <c r="Q9" s="51">
        <f t="shared" si="6"/>
        <v>0.16781609195402297</v>
      </c>
      <c r="R9" s="51">
        <f t="shared" si="6"/>
        <v>0.16781609195402297</v>
      </c>
      <c r="S9" s="51">
        <f t="shared" si="6"/>
        <v>0.16781609195402297</v>
      </c>
      <c r="T9" s="276">
        <f t="shared" si="6"/>
        <v>0.16781609195402297</v>
      </c>
      <c r="U9" s="51">
        <f t="shared" si="6"/>
        <v>0.16781609195402297</v>
      </c>
      <c r="V9" s="51">
        <f t="shared" si="6"/>
        <v>0.16781609195402297</v>
      </c>
      <c r="W9" s="51">
        <f t="shared" si="6"/>
        <v>0.16781609195402297</v>
      </c>
      <c r="X9" s="51">
        <f t="shared" si="6"/>
        <v>0.16781609195402297</v>
      </c>
      <c r="Y9" s="51">
        <f t="shared" si="6"/>
        <v>0.16781609195402297</v>
      </c>
      <c r="Z9" s="51">
        <f t="shared" si="6"/>
        <v>0.16781609195402297</v>
      </c>
      <c r="AA9" s="51">
        <f t="shared" si="6"/>
        <v>0.16781609195402297</v>
      </c>
      <c r="AB9" s="51">
        <f t="shared" si="6"/>
        <v>0.16781609195402297</v>
      </c>
      <c r="AC9" s="51">
        <f t="shared" si="6"/>
        <v>0.16781609195402297</v>
      </c>
      <c r="AD9" s="51">
        <f t="shared" si="6"/>
        <v>0.16781609195402297</v>
      </c>
      <c r="AE9" s="51">
        <f t="shared" si="6"/>
        <v>0.16781609195402297</v>
      </c>
      <c r="AF9" s="276">
        <f t="shared" si="6"/>
        <v>0.16781609195402297</v>
      </c>
      <c r="AG9" s="51">
        <f t="shared" si="6"/>
        <v>0.16781609195402297</v>
      </c>
      <c r="AH9" s="51">
        <f t="shared" si="6"/>
        <v>0.16781609195402297</v>
      </c>
      <c r="AI9" s="51">
        <f t="shared" si="6"/>
        <v>0.16781609195402297</v>
      </c>
      <c r="AJ9" s="51">
        <f t="shared" si="6"/>
        <v>0.16781609195402297</v>
      </c>
      <c r="AK9" s="51">
        <f t="shared" si="6"/>
        <v>0.16781609195402297</v>
      </c>
      <c r="AL9" s="51">
        <f t="shared" si="6"/>
        <v>0.16781609195402297</v>
      </c>
      <c r="AM9" s="51">
        <f t="shared" si="6"/>
        <v>0.16781609195402297</v>
      </c>
      <c r="AN9" s="51">
        <f t="shared" si="6"/>
        <v>0.16781609195402297</v>
      </c>
      <c r="AO9" s="51">
        <f t="shared" si="6"/>
        <v>0.16781609195402297</v>
      </c>
      <c r="AP9" s="51">
        <f t="shared" si="6"/>
        <v>0.16781609195402297</v>
      </c>
      <c r="AQ9" s="51">
        <f t="shared" si="6"/>
        <v>0.16781609195402297</v>
      </c>
      <c r="AR9" s="276">
        <f t="shared" si="6"/>
        <v>0.16781609195402297</v>
      </c>
      <c r="AS9" s="51">
        <f t="shared" si="6"/>
        <v>0.16781609195402297</v>
      </c>
      <c r="AT9" s="51">
        <f t="shared" si="6"/>
        <v>0.16781609195402297</v>
      </c>
      <c r="AU9" s="51">
        <f t="shared" si="6"/>
        <v>0.16781609195402297</v>
      </c>
      <c r="AV9" s="51">
        <f t="shared" si="6"/>
        <v>0.16781609195402297</v>
      </c>
      <c r="AW9" s="51">
        <f t="shared" si="6"/>
        <v>0.16781609195402297</v>
      </c>
      <c r="AX9" s="51">
        <f t="shared" si="6"/>
        <v>0.16781609195402297</v>
      </c>
      <c r="AY9" s="51">
        <f t="shared" si="6"/>
        <v>0.16781609195402297</v>
      </c>
      <c r="AZ9" s="51">
        <f t="shared" si="6"/>
        <v>0.16781609195402297</v>
      </c>
      <c r="BA9" s="51">
        <f t="shared" si="6"/>
        <v>0.16781609195402297</v>
      </c>
      <c r="BB9" s="51">
        <f t="shared" si="6"/>
        <v>0.16781609195402297</v>
      </c>
      <c r="BC9" s="51">
        <f t="shared" si="6"/>
        <v>0.16781609195402297</v>
      </c>
      <c r="BD9" s="276">
        <f t="shared" si="6"/>
        <v>0.16781609195402297</v>
      </c>
      <c r="BE9" s="51">
        <f t="shared" si="6"/>
        <v>0.16781609195402297</v>
      </c>
      <c r="BF9" s="51">
        <f t="shared" si="6"/>
        <v>0.16781609195402297</v>
      </c>
      <c r="BG9" s="51">
        <f t="shared" si="6"/>
        <v>0.16781609195402297</v>
      </c>
      <c r="BH9" s="51">
        <f t="shared" si="6"/>
        <v>0.16781609195402297</v>
      </c>
      <c r="BI9" s="51">
        <f t="shared" si="6"/>
        <v>0.16781609195402297</v>
      </c>
      <c r="BJ9" s="51">
        <f t="shared" si="6"/>
        <v>0.16781609195402297</v>
      </c>
      <c r="BK9" s="51">
        <f t="shared" si="6"/>
        <v>0.16781609195402297</v>
      </c>
      <c r="BL9" s="51">
        <f t="shared" si="6"/>
        <v>0.16781609195402297</v>
      </c>
      <c r="BM9" s="51">
        <f t="shared" si="6"/>
        <v>0.16781609195402297</v>
      </c>
      <c r="BN9" s="51">
        <f t="shared" si="6"/>
        <v>0.16781609195402297</v>
      </c>
      <c r="BO9" s="51">
        <f t="shared" si="6"/>
        <v>0.16781609195402297</v>
      </c>
      <c r="BP9" s="276">
        <f t="shared" ref="BP9:DW9" si="7">SUM(BP10:BP11)</f>
        <v>0.16781609195402297</v>
      </c>
      <c r="BQ9" s="51">
        <f t="shared" si="7"/>
        <v>0.16781609195402297</v>
      </c>
      <c r="BR9" s="51">
        <f t="shared" si="7"/>
        <v>0.16781609195402297</v>
      </c>
      <c r="BS9" s="51">
        <f t="shared" si="7"/>
        <v>0.16781609195402297</v>
      </c>
      <c r="BT9" s="51">
        <f t="shared" si="7"/>
        <v>0.16781609195402297</v>
      </c>
      <c r="BU9" s="51">
        <f t="shared" si="7"/>
        <v>0.16781609195402297</v>
      </c>
      <c r="BV9" s="51">
        <f t="shared" si="7"/>
        <v>0.16781609195402297</v>
      </c>
      <c r="BW9" s="51">
        <f t="shared" si="7"/>
        <v>0.16781609195402297</v>
      </c>
      <c r="BX9" s="51">
        <f t="shared" si="7"/>
        <v>0.16781609195402297</v>
      </c>
      <c r="BY9" s="51">
        <f t="shared" si="7"/>
        <v>0.16781609195402297</v>
      </c>
      <c r="BZ9" s="51">
        <f t="shared" si="7"/>
        <v>0.16781609195402297</v>
      </c>
      <c r="CA9" s="51">
        <f t="shared" si="7"/>
        <v>0.16781609195402297</v>
      </c>
      <c r="CB9" s="276">
        <f t="shared" si="7"/>
        <v>0.16781609195402297</v>
      </c>
      <c r="CC9" s="51">
        <f t="shared" si="7"/>
        <v>0.16781609195402297</v>
      </c>
      <c r="CD9" s="51">
        <f t="shared" si="7"/>
        <v>0.16781609195402297</v>
      </c>
      <c r="CE9" s="51">
        <f t="shared" si="7"/>
        <v>0.16781609195402297</v>
      </c>
      <c r="CF9" s="51">
        <f t="shared" si="7"/>
        <v>0.16781609195402297</v>
      </c>
      <c r="CG9" s="51">
        <f t="shared" si="7"/>
        <v>0.16781609195402297</v>
      </c>
      <c r="CH9" s="51">
        <f t="shared" si="7"/>
        <v>0.16781609195402297</v>
      </c>
      <c r="CI9" s="51">
        <f t="shared" si="7"/>
        <v>0.16781609195402297</v>
      </c>
      <c r="CJ9" s="51">
        <f t="shared" si="7"/>
        <v>0.16781609195402297</v>
      </c>
      <c r="CK9" s="51">
        <f t="shared" si="7"/>
        <v>0.16781609195402297</v>
      </c>
      <c r="CL9" s="51">
        <f t="shared" si="7"/>
        <v>0.16781609195402297</v>
      </c>
      <c r="CM9" s="51">
        <f t="shared" si="7"/>
        <v>0.16781609195402297</v>
      </c>
      <c r="CN9" s="276">
        <f t="shared" si="7"/>
        <v>0.16781609195402297</v>
      </c>
      <c r="CO9" s="51">
        <f t="shared" si="7"/>
        <v>0.16781609195402297</v>
      </c>
      <c r="CP9" s="51">
        <f t="shared" si="7"/>
        <v>0.16781609195402297</v>
      </c>
      <c r="CQ9" s="51">
        <f t="shared" si="7"/>
        <v>0.16781609195402297</v>
      </c>
      <c r="CR9" s="51">
        <f t="shared" si="7"/>
        <v>0.16781609195402297</v>
      </c>
      <c r="CS9" s="51">
        <f t="shared" si="7"/>
        <v>0.16781609195402297</v>
      </c>
      <c r="CT9" s="51">
        <f t="shared" si="7"/>
        <v>0.16781609195402297</v>
      </c>
      <c r="CU9" s="51">
        <f t="shared" si="7"/>
        <v>0.16781609195402297</v>
      </c>
      <c r="CV9" s="51">
        <f t="shared" si="7"/>
        <v>0.16781609195402297</v>
      </c>
      <c r="CW9" s="51">
        <f t="shared" si="7"/>
        <v>0.16781609195402297</v>
      </c>
      <c r="CX9" s="51">
        <f t="shared" si="7"/>
        <v>0.16781609195402297</v>
      </c>
      <c r="CY9" s="51">
        <f t="shared" si="7"/>
        <v>0.16781609195402297</v>
      </c>
      <c r="CZ9" s="276">
        <f t="shared" si="7"/>
        <v>0.16781609195402297</v>
      </c>
      <c r="DA9" s="51">
        <f t="shared" si="7"/>
        <v>0.16781609195402297</v>
      </c>
      <c r="DB9" s="51">
        <f t="shared" si="7"/>
        <v>0.16781609195402297</v>
      </c>
      <c r="DC9" s="51">
        <f t="shared" si="7"/>
        <v>0.16781609195402297</v>
      </c>
      <c r="DD9" s="51">
        <f t="shared" si="7"/>
        <v>0.16781609195402297</v>
      </c>
      <c r="DE9" s="51">
        <f t="shared" si="7"/>
        <v>0.16781609195402297</v>
      </c>
      <c r="DF9" s="51">
        <f t="shared" si="7"/>
        <v>0.16781609195402297</v>
      </c>
      <c r="DG9" s="51">
        <f t="shared" si="7"/>
        <v>0.16781609195402297</v>
      </c>
      <c r="DH9" s="51">
        <f t="shared" si="7"/>
        <v>0.16781609195402297</v>
      </c>
      <c r="DI9" s="51">
        <f t="shared" si="7"/>
        <v>0.16781609195402297</v>
      </c>
      <c r="DJ9" s="51">
        <f t="shared" si="7"/>
        <v>0.16781609195402297</v>
      </c>
      <c r="DK9" s="51">
        <f t="shared" si="7"/>
        <v>0.16781609195402297</v>
      </c>
      <c r="DL9" s="276">
        <f t="shared" si="7"/>
        <v>0.16781609195402297</v>
      </c>
      <c r="DM9" s="51">
        <f t="shared" si="7"/>
        <v>0.16781609195402297</v>
      </c>
      <c r="DN9" s="51">
        <f t="shared" si="7"/>
        <v>0.16781609195402297</v>
      </c>
      <c r="DO9" s="51">
        <f t="shared" si="7"/>
        <v>0.16781609195402297</v>
      </c>
      <c r="DP9" s="51">
        <f t="shared" si="7"/>
        <v>0.16781609195402297</v>
      </c>
      <c r="DQ9" s="51">
        <f t="shared" si="7"/>
        <v>0.16781609195402297</v>
      </c>
      <c r="DR9" s="51">
        <f t="shared" si="7"/>
        <v>0.16781609195402297</v>
      </c>
      <c r="DS9" s="51">
        <f t="shared" si="7"/>
        <v>0.16781609195402297</v>
      </c>
      <c r="DT9" s="51">
        <f t="shared" si="7"/>
        <v>0.16781609195402297</v>
      </c>
      <c r="DU9" s="51">
        <f t="shared" si="7"/>
        <v>0.16781609195402297</v>
      </c>
      <c r="DV9" s="51">
        <f t="shared" si="7"/>
        <v>0.16781609195402297</v>
      </c>
      <c r="DW9" s="51">
        <f t="shared" si="7"/>
        <v>0.16781609195402297</v>
      </c>
      <c r="DX9" s="1414">
        <f t="shared" si="4"/>
        <v>0.16781609195402297</v>
      </c>
      <c r="DY9" s="1414">
        <f t="shared" si="4"/>
        <v>0.16781609195402297</v>
      </c>
      <c r="DZ9" s="1414">
        <f t="shared" si="4"/>
        <v>0.16781609195402297</v>
      </c>
      <c r="EA9" s="1414">
        <f t="shared" si="4"/>
        <v>0.16781609195402297</v>
      </c>
      <c r="EB9" s="1414">
        <f t="shared" si="4"/>
        <v>0.16781609195402297</v>
      </c>
    </row>
    <row r="10" spans="2:132" x14ac:dyDescent="0.3">
      <c r="B10" s="14">
        <f>IF(AND(J13&lt;=(4.33*2),J13&gt;4.33),0,1)</f>
        <v>1</v>
      </c>
      <c r="C10" s="568"/>
      <c r="D10" s="49" t="s">
        <v>49</v>
      </c>
      <c r="E10" s="51"/>
      <c r="F10" s="388"/>
      <c r="G10" s="50">
        <f>VLOOKUP($B$4,'Data Master'!$B$5:$DT$13,('Data Master'!D$3+2),0)</f>
        <v>0.15249042145593869</v>
      </c>
      <c r="H10" s="51">
        <f>VLOOKUP($B$4,'Data Master'!$B$5:$DT$13,('Data Master'!D$3+2),0)</f>
        <v>0.15249042145593869</v>
      </c>
      <c r="I10" s="51">
        <f>VLOOKUP($B$4,'Data Master'!$B$5:$DT$13,('Data Master'!E$3+2),0)</f>
        <v>0.15249042145593869</v>
      </c>
      <c r="J10" s="51">
        <f>VLOOKUP($B$4,'Data Master'!$B$5:$DT$13,('Data Master'!F$3+2),0)</f>
        <v>0.15249042145593869</v>
      </c>
      <c r="K10" s="51">
        <f>VLOOKUP($B$4,'Data Master'!$B$5:$DT$13,('Data Master'!G$3+2),0)</f>
        <v>0.15249042145593869</v>
      </c>
      <c r="L10" s="51">
        <f>VLOOKUP($B$4,'Data Master'!$B$5:$DT$13,('Data Master'!H$3+2),0)</f>
        <v>0.15249042145593869</v>
      </c>
      <c r="M10" s="51">
        <f>VLOOKUP($B$4,'Data Master'!$B$5:$DT$13,('Data Master'!I$3+2),0)</f>
        <v>0.15249042145593869</v>
      </c>
      <c r="N10" s="51">
        <f>VLOOKUP($B$4,'Data Master'!$B$5:$DT$13,('Data Master'!J$3+2),0)</f>
        <v>0.15249042145593869</v>
      </c>
      <c r="O10" s="51">
        <f>VLOOKUP($B$4,'Data Master'!$B$5:$DT$13,('Data Master'!K$3+2),0)</f>
        <v>0.15249042145593869</v>
      </c>
      <c r="P10" s="51">
        <f>VLOOKUP($B$4,'Data Master'!$B$5:$DT$13,('Data Master'!L$3+2),0)</f>
        <v>0.15249042145593869</v>
      </c>
      <c r="Q10" s="51">
        <f>VLOOKUP($B$4,'Data Master'!$B$5:$DT$13,('Data Master'!M$3+2),0)</f>
        <v>0.15249042145593869</v>
      </c>
      <c r="R10" s="51">
        <f>VLOOKUP($B$4,'Data Master'!$B$5:$DT$13,('Data Master'!N$3+2),0)</f>
        <v>0.15249042145593869</v>
      </c>
      <c r="S10" s="51">
        <f>VLOOKUP($B$4,'Data Master'!$B$5:$DT$13,('Data Master'!O$3+2),0)</f>
        <v>0.15249042145593869</v>
      </c>
      <c r="T10" s="276">
        <f>VLOOKUP($B$4,'Data Master'!$B$5:$DT$13,('Data Master'!P$3+2),0)</f>
        <v>0.15249042145593869</v>
      </c>
      <c r="U10" s="51">
        <f>VLOOKUP($B$4,'Data Master'!$B$5:$DT$13,('Data Master'!Q$3+2),0)</f>
        <v>0.15249042145593869</v>
      </c>
      <c r="V10" s="51">
        <f>VLOOKUP($B$4,'Data Master'!$B$5:$DT$13,('Data Master'!R$3+2),0)</f>
        <v>0.15249042145593869</v>
      </c>
      <c r="W10" s="51">
        <f>VLOOKUP($B$4,'Data Master'!$B$5:$DT$13,('Data Master'!S$3+2),0)</f>
        <v>0.15249042145593869</v>
      </c>
      <c r="X10" s="51">
        <f>VLOOKUP($B$4,'Data Master'!$B$5:$DT$13,('Data Master'!T$3+2),0)</f>
        <v>0.15249042145593869</v>
      </c>
      <c r="Y10" s="51">
        <f>VLOOKUP($B$4,'Data Master'!$B$5:$DT$13,('Data Master'!U$3+2),0)</f>
        <v>0.15249042145593869</v>
      </c>
      <c r="Z10" s="51">
        <f>VLOOKUP($B$4,'Data Master'!$B$5:$DT$13,('Data Master'!V$3+2),0)</f>
        <v>0.15249042145593869</v>
      </c>
      <c r="AA10" s="51">
        <f>VLOOKUP($B$4,'Data Master'!$B$5:$DT$13,('Data Master'!W$3+2),0)</f>
        <v>0.15249042145593869</v>
      </c>
      <c r="AB10" s="51">
        <f>VLOOKUP($B$4,'Data Master'!$B$5:$DT$13,('Data Master'!X$3+2),0)</f>
        <v>0.15249042145593869</v>
      </c>
      <c r="AC10" s="51">
        <f>VLOOKUP($B$4,'Data Master'!$B$5:$DT$13,('Data Master'!Y$3+2),0)</f>
        <v>0.15249042145593869</v>
      </c>
      <c r="AD10" s="51">
        <f>VLOOKUP($B$4,'Data Master'!$B$5:$DT$13,('Data Master'!Z$3+2),0)</f>
        <v>0.15249042145593869</v>
      </c>
      <c r="AE10" s="51">
        <f>VLOOKUP($B$4,'Data Master'!$B$5:$DT$13,('Data Master'!AA$3+2),0)</f>
        <v>0.15249042145593869</v>
      </c>
      <c r="AF10" s="276">
        <f>VLOOKUP($B$4,'Data Master'!$B$5:$DT$13,('Data Master'!AB$3+2),0)</f>
        <v>0.15249042145593869</v>
      </c>
      <c r="AG10" s="51">
        <f>VLOOKUP($B$4,'Data Master'!$B$5:$DT$13,('Data Master'!AC$3+2),0)</f>
        <v>0.15249042145593869</v>
      </c>
      <c r="AH10" s="51">
        <f>VLOOKUP($B$4,'Data Master'!$B$5:$DT$13,('Data Master'!AD$3+2),0)</f>
        <v>0.15249042145593869</v>
      </c>
      <c r="AI10" s="51">
        <f>VLOOKUP($B$4,'Data Master'!$B$5:$DT$13,('Data Master'!AE$3+2),0)</f>
        <v>0.15249042145593869</v>
      </c>
      <c r="AJ10" s="51">
        <f>VLOOKUP($B$4,'Data Master'!$B$5:$DT$13,('Data Master'!AF$3+2),0)</f>
        <v>0.15249042145593869</v>
      </c>
      <c r="AK10" s="51">
        <f>VLOOKUP($B$4,'Data Master'!$B$5:$DT$13,('Data Master'!AG$3+2),0)</f>
        <v>0.15249042145593869</v>
      </c>
      <c r="AL10" s="51">
        <f>VLOOKUP($B$4,'Data Master'!$B$5:$DT$13,('Data Master'!AH$3+2),0)</f>
        <v>0.15249042145593869</v>
      </c>
      <c r="AM10" s="51">
        <f>VLOOKUP($B$4,'Data Master'!$B$5:$DT$13,('Data Master'!AI$3+2),0)</f>
        <v>0.15249042145593869</v>
      </c>
      <c r="AN10" s="51">
        <f>VLOOKUP($B$4,'Data Master'!$B$5:$DT$13,('Data Master'!AJ$3+2),0)</f>
        <v>0.15249042145593869</v>
      </c>
      <c r="AO10" s="51">
        <f>VLOOKUP($B$4,'Data Master'!$B$5:$DT$13,('Data Master'!AK$3+2),0)</f>
        <v>0.15249042145593869</v>
      </c>
      <c r="AP10" s="51">
        <f>VLOOKUP($B$4,'Data Master'!$B$5:$DT$13,('Data Master'!AL$3+2),0)</f>
        <v>0.15249042145593869</v>
      </c>
      <c r="AQ10" s="51">
        <f>VLOOKUP($B$4,'Data Master'!$B$5:$DT$13,('Data Master'!AM$3+2),0)</f>
        <v>0.15249042145593869</v>
      </c>
      <c r="AR10" s="276">
        <f>VLOOKUP($B$4,'Data Master'!$B$5:$DT$13,('Data Master'!AN$3+2),0)</f>
        <v>0.15249042145593869</v>
      </c>
      <c r="AS10" s="51">
        <f>VLOOKUP($B$4,'Data Master'!$B$5:$DT$13,('Data Master'!AO$3+2),0)</f>
        <v>0.15249042145593869</v>
      </c>
      <c r="AT10" s="51">
        <f>VLOOKUP($B$4,'Data Master'!$B$5:$DT$13,('Data Master'!AP$3+2),0)</f>
        <v>0.15249042145593869</v>
      </c>
      <c r="AU10" s="51">
        <f>VLOOKUP($B$4,'Data Master'!$B$5:$DT$13,('Data Master'!AQ$3+2),0)</f>
        <v>0.15249042145593869</v>
      </c>
      <c r="AV10" s="51">
        <f>VLOOKUP($B$4,'Data Master'!$B$5:$DT$13,('Data Master'!AR$3+2),0)</f>
        <v>0.15249042145593869</v>
      </c>
      <c r="AW10" s="51">
        <f>VLOOKUP($B$4,'Data Master'!$B$5:$DT$13,('Data Master'!AS$3+2),0)</f>
        <v>0.15249042145593869</v>
      </c>
      <c r="AX10" s="51">
        <f>VLOOKUP($B$4,'Data Master'!$B$5:$DT$13,('Data Master'!AT$3+2),0)</f>
        <v>0.15249042145593869</v>
      </c>
      <c r="AY10" s="51">
        <f>VLOOKUP($B$4,'Data Master'!$B$5:$DT$13,('Data Master'!AU$3+2),0)</f>
        <v>0.15249042145593869</v>
      </c>
      <c r="AZ10" s="51">
        <f>VLOOKUP($B$4,'Data Master'!$B$5:$DT$13,('Data Master'!AV$3+2),0)</f>
        <v>0.15249042145593869</v>
      </c>
      <c r="BA10" s="51">
        <f>VLOOKUP($B$4,'Data Master'!$B$5:$DT$13,('Data Master'!AW$3+2),0)</f>
        <v>0.15249042145593869</v>
      </c>
      <c r="BB10" s="51">
        <f>VLOOKUP($B$4,'Data Master'!$B$5:$DT$13,('Data Master'!AX$3+2),0)</f>
        <v>0.15249042145593869</v>
      </c>
      <c r="BC10" s="51">
        <f>VLOOKUP($B$4,'Data Master'!$B$5:$DT$13,('Data Master'!AY$3+2),0)</f>
        <v>0.15249042145593869</v>
      </c>
      <c r="BD10" s="276">
        <f>VLOOKUP($B$4,'Data Master'!$B$5:$DT$13,('Data Master'!AZ$3+2),0)</f>
        <v>0.15249042145593869</v>
      </c>
      <c r="BE10" s="51">
        <f>VLOOKUP($B$4,'Data Master'!$B$5:$DT$13,('Data Master'!BA$3+2),0)</f>
        <v>0.15249042145593869</v>
      </c>
      <c r="BF10" s="51">
        <f>VLOOKUP($B$4,'Data Master'!$B$5:$DT$13,('Data Master'!BB$3+2),0)</f>
        <v>0.15249042145593869</v>
      </c>
      <c r="BG10" s="51">
        <f>VLOOKUP($B$4,'Data Master'!$B$5:$DT$13,('Data Master'!BC$3+2),0)</f>
        <v>0.15249042145593869</v>
      </c>
      <c r="BH10" s="51">
        <f>VLOOKUP($B$4,'Data Master'!$B$5:$DT$13,('Data Master'!BD$3+2),0)</f>
        <v>0.15249042145593869</v>
      </c>
      <c r="BI10" s="51">
        <f>VLOOKUP($B$4,'Data Master'!$B$5:$DT$13,('Data Master'!BE$3+2),0)</f>
        <v>0.15249042145593869</v>
      </c>
      <c r="BJ10" s="51">
        <f>VLOOKUP($B$4,'Data Master'!$B$5:$DT$13,('Data Master'!BF$3+2),0)</f>
        <v>0.15249042145593869</v>
      </c>
      <c r="BK10" s="51">
        <f>VLOOKUP($B$4,'Data Master'!$B$5:$DT$13,('Data Master'!BG$3+2),0)</f>
        <v>0.15249042145593869</v>
      </c>
      <c r="BL10" s="51">
        <f>VLOOKUP($B$4,'Data Master'!$B$5:$DT$13,('Data Master'!BH$3+2),0)</f>
        <v>0.15249042145593869</v>
      </c>
      <c r="BM10" s="51">
        <f>VLOOKUP($B$4,'Data Master'!$B$5:$DT$13,('Data Master'!BI$3+2),0)</f>
        <v>0.15249042145593869</v>
      </c>
      <c r="BN10" s="51">
        <f>VLOOKUP($B$4,'Data Master'!$B$5:$DT$13,('Data Master'!BJ$3+2),0)</f>
        <v>0.15249042145593869</v>
      </c>
      <c r="BO10" s="51">
        <f>VLOOKUP($B$4,'Data Master'!$B$5:$DT$13,('Data Master'!BK$3+2),0)</f>
        <v>0.15249042145593869</v>
      </c>
      <c r="BP10" s="276">
        <f>VLOOKUP($B$4,'Data Master'!$B$5:$DT$13,('Data Master'!BL$3+2),0)</f>
        <v>0.15249042145593869</v>
      </c>
      <c r="BQ10" s="51">
        <f>VLOOKUP($B$4,'Data Master'!$B$5:$DT$13,('Data Master'!BM$3+2),0)</f>
        <v>0.15249042145593869</v>
      </c>
      <c r="BR10" s="51">
        <f>VLOOKUP($B$4,'Data Master'!$B$5:$DT$13,('Data Master'!BN$3+2),0)</f>
        <v>0.15249042145593869</v>
      </c>
      <c r="BS10" s="51">
        <f>VLOOKUP($B$4,'Data Master'!$B$5:$DT$13,('Data Master'!BO$3+2),0)</f>
        <v>0.15249042145593869</v>
      </c>
      <c r="BT10" s="51">
        <f>VLOOKUP($B$4,'Data Master'!$B$5:$DT$13,('Data Master'!BP$3+2),0)</f>
        <v>0.15249042145593869</v>
      </c>
      <c r="BU10" s="51">
        <f>VLOOKUP($B$4,'Data Master'!$B$5:$DT$13,('Data Master'!BQ$3+2),0)</f>
        <v>0.15249042145593869</v>
      </c>
      <c r="BV10" s="51">
        <f>VLOOKUP($B$4,'Data Master'!$B$5:$DT$13,('Data Master'!BR$3+2),0)</f>
        <v>0.15249042145593869</v>
      </c>
      <c r="BW10" s="51">
        <f>VLOOKUP($B$4,'Data Master'!$B$5:$DT$13,('Data Master'!BS$3+2),0)</f>
        <v>0.15249042145593869</v>
      </c>
      <c r="BX10" s="51">
        <f>VLOOKUP($B$4,'Data Master'!$B$5:$DT$13,('Data Master'!BT$3+2),0)</f>
        <v>0.15249042145593869</v>
      </c>
      <c r="BY10" s="51">
        <f>VLOOKUP($B$4,'Data Master'!$B$5:$DT$13,('Data Master'!BU$3+2),0)</f>
        <v>0.15249042145593869</v>
      </c>
      <c r="BZ10" s="51">
        <f>VLOOKUP($B$4,'Data Master'!$B$5:$DT$13,('Data Master'!BV$3+2),0)</f>
        <v>0.15249042145593869</v>
      </c>
      <c r="CA10" s="51">
        <f>VLOOKUP($B$4,'Data Master'!$B$5:$DT$13,('Data Master'!BW$3+2),0)</f>
        <v>0.15249042145593869</v>
      </c>
      <c r="CB10" s="276">
        <f>VLOOKUP($B$4,'Data Master'!$B$5:$DT$13,('Data Master'!BX$3+2),0)</f>
        <v>0.15249042145593869</v>
      </c>
      <c r="CC10" s="51">
        <f>VLOOKUP($B$4,'Data Master'!$B$5:$DT$13,('Data Master'!BY$3+2),0)</f>
        <v>0.15249042145593869</v>
      </c>
      <c r="CD10" s="51">
        <f>VLOOKUP($B$4,'Data Master'!$B$5:$DT$13,('Data Master'!BZ$3+2),0)</f>
        <v>0.15249042145593869</v>
      </c>
      <c r="CE10" s="51">
        <f>VLOOKUP($B$4,'Data Master'!$B$5:$DT$13,('Data Master'!CA$3+2),0)</f>
        <v>0.15249042145593869</v>
      </c>
      <c r="CF10" s="51">
        <f>VLOOKUP($B$4,'Data Master'!$B$5:$DT$13,('Data Master'!CB$3+2),0)</f>
        <v>0.15249042145593869</v>
      </c>
      <c r="CG10" s="51">
        <f>VLOOKUP($B$4,'Data Master'!$B$5:$DT$13,('Data Master'!CC$3+2),0)</f>
        <v>0.15249042145593869</v>
      </c>
      <c r="CH10" s="51">
        <f>VLOOKUP($B$4,'Data Master'!$B$5:$DT$13,('Data Master'!CD$3+2),0)</f>
        <v>0.15249042145593869</v>
      </c>
      <c r="CI10" s="51">
        <f>VLOOKUP($B$4,'Data Master'!$B$5:$DT$13,('Data Master'!CE$3+2),0)</f>
        <v>0.15249042145593869</v>
      </c>
      <c r="CJ10" s="51">
        <f>VLOOKUP($B$4,'Data Master'!$B$5:$DT$13,('Data Master'!CF$3+2),0)</f>
        <v>0.15249042145593869</v>
      </c>
      <c r="CK10" s="51">
        <f>VLOOKUP($B$4,'Data Master'!$B$5:$DT$13,('Data Master'!CG$3+2),0)</f>
        <v>0.15249042145593869</v>
      </c>
      <c r="CL10" s="51">
        <f>VLOOKUP($B$4,'Data Master'!$B$5:$DT$13,('Data Master'!CH$3+2),0)</f>
        <v>0.15249042145593869</v>
      </c>
      <c r="CM10" s="51">
        <f>VLOOKUP($B$4,'Data Master'!$B$5:$DT$13,('Data Master'!CI$3+2),0)</f>
        <v>0.15249042145593869</v>
      </c>
      <c r="CN10" s="276">
        <f>VLOOKUP($B$4,'Data Master'!$B$5:$DT$13,('Data Master'!CJ$3+2),0)</f>
        <v>0.15249042145593869</v>
      </c>
      <c r="CO10" s="51">
        <f>VLOOKUP($B$4,'Data Master'!$B$5:$DT$13,('Data Master'!CK$3+2),0)</f>
        <v>0.15249042145593869</v>
      </c>
      <c r="CP10" s="51">
        <f>VLOOKUP($B$4,'Data Master'!$B$5:$DT$13,('Data Master'!CL$3+2),0)</f>
        <v>0.15249042145593869</v>
      </c>
      <c r="CQ10" s="51">
        <f>VLOOKUP($B$4,'Data Master'!$B$5:$DT$13,('Data Master'!CM$3+2),0)</f>
        <v>0.15249042145593869</v>
      </c>
      <c r="CR10" s="51">
        <f>VLOOKUP($B$4,'Data Master'!$B$5:$DT$13,('Data Master'!CN$3+2),0)</f>
        <v>0.15249042145593869</v>
      </c>
      <c r="CS10" s="51">
        <f>VLOOKUP($B$4,'Data Master'!$B$5:$DT$13,('Data Master'!CO$3+2),0)</f>
        <v>0.15249042145593869</v>
      </c>
      <c r="CT10" s="51">
        <f>VLOOKUP($B$4,'Data Master'!$B$5:$DT$13,('Data Master'!CP$3+2),0)</f>
        <v>0.15249042145593869</v>
      </c>
      <c r="CU10" s="51">
        <f>VLOOKUP($B$4,'Data Master'!$B$5:$DT$13,('Data Master'!CQ$3+2),0)</f>
        <v>0.15249042145593869</v>
      </c>
      <c r="CV10" s="51">
        <f>VLOOKUP($B$4,'Data Master'!$B$5:$DT$13,('Data Master'!CR$3+2),0)</f>
        <v>0.15249042145593869</v>
      </c>
      <c r="CW10" s="51">
        <f>VLOOKUP($B$4,'Data Master'!$B$5:$DT$13,('Data Master'!CS$3+2),0)</f>
        <v>0.15249042145593869</v>
      </c>
      <c r="CX10" s="51">
        <f>VLOOKUP($B$4,'Data Master'!$B$5:$DT$13,('Data Master'!CT$3+2),0)</f>
        <v>0.15249042145593869</v>
      </c>
      <c r="CY10" s="51">
        <f>VLOOKUP($B$4,'Data Master'!$B$5:$DT$13,('Data Master'!CU$3+2),0)</f>
        <v>0.15249042145593869</v>
      </c>
      <c r="CZ10" s="276">
        <f>VLOOKUP($B$4,'Data Master'!$B$5:$DT$13,('Data Master'!CV$3+2),0)</f>
        <v>0.15249042145593869</v>
      </c>
      <c r="DA10" s="51">
        <f>VLOOKUP($B$4,'Data Master'!$B$5:$DT$13,('Data Master'!CW$3+2),0)</f>
        <v>0.15249042145593869</v>
      </c>
      <c r="DB10" s="51">
        <f>VLOOKUP($B$4,'Data Master'!$B$5:$DT$13,('Data Master'!CX$3+2),0)</f>
        <v>0.15249042145593869</v>
      </c>
      <c r="DC10" s="51">
        <f>VLOOKUP($B$4,'Data Master'!$B$5:$DT$13,('Data Master'!CY$3+2),0)</f>
        <v>0.15249042145593869</v>
      </c>
      <c r="DD10" s="51">
        <f>VLOOKUP($B$4,'Data Master'!$B$5:$DT$13,('Data Master'!CZ$3+2),0)</f>
        <v>0.15249042145593869</v>
      </c>
      <c r="DE10" s="51">
        <f>VLOOKUP($B$4,'Data Master'!$B$5:$DT$13,('Data Master'!DA$3+2),0)</f>
        <v>0.15249042145593869</v>
      </c>
      <c r="DF10" s="51">
        <f>VLOOKUP($B$4,'Data Master'!$B$5:$DT$13,('Data Master'!DB$3+2),0)</f>
        <v>0.15249042145593869</v>
      </c>
      <c r="DG10" s="51">
        <f>VLOOKUP($B$4,'Data Master'!$B$5:$DT$13,('Data Master'!DC$3+2),0)</f>
        <v>0.15249042145593869</v>
      </c>
      <c r="DH10" s="51">
        <f>VLOOKUP($B$4,'Data Master'!$B$5:$DT$13,('Data Master'!DD$3+2),0)</f>
        <v>0.15249042145593869</v>
      </c>
      <c r="DI10" s="51">
        <f>VLOOKUP($B$4,'Data Master'!$B$5:$DT$13,('Data Master'!DE$3+2),0)</f>
        <v>0.15249042145593869</v>
      </c>
      <c r="DJ10" s="51">
        <f>VLOOKUP($B$4,'Data Master'!$B$5:$DT$13,('Data Master'!DF$3+2),0)</f>
        <v>0.15249042145593869</v>
      </c>
      <c r="DK10" s="51">
        <f>VLOOKUP($B$4,'Data Master'!$B$5:$DT$13,('Data Master'!DG$3+2),0)</f>
        <v>0.15249042145593869</v>
      </c>
      <c r="DL10" s="276">
        <f>VLOOKUP($B$4,'Data Master'!$B$5:$DT$13,('Data Master'!DH$3+2),0)</f>
        <v>0.15249042145593869</v>
      </c>
      <c r="DM10" s="51">
        <f>VLOOKUP($B$4,'Data Master'!$B$5:$DT$13,('Data Master'!DI$3+2),0)</f>
        <v>0.15249042145593869</v>
      </c>
      <c r="DN10" s="51">
        <f>VLOOKUP($B$4,'Data Master'!$B$5:$DT$13,('Data Master'!DJ$3+2),0)</f>
        <v>0.15249042145593869</v>
      </c>
      <c r="DO10" s="51">
        <f>VLOOKUP($B$4,'Data Master'!$B$5:$DT$13,('Data Master'!DK$3+2),0)</f>
        <v>0.15249042145593869</v>
      </c>
      <c r="DP10" s="51">
        <f>VLOOKUP($B$4,'Data Master'!$B$5:$DT$13,('Data Master'!DL$3+2),0)</f>
        <v>0.15249042145593869</v>
      </c>
      <c r="DQ10" s="51">
        <f>VLOOKUP($B$4,'Data Master'!$B$5:$DT$13,('Data Master'!DM$3+2),0)</f>
        <v>0.15249042145593869</v>
      </c>
      <c r="DR10" s="51">
        <f>VLOOKUP($B$4,'Data Master'!$B$5:$DT$13,('Data Master'!DN$3+2),0)</f>
        <v>0.15249042145593869</v>
      </c>
      <c r="DS10" s="51">
        <f>VLOOKUP($B$4,'Data Master'!$B$5:$DT$13,('Data Master'!DO$3+2),0)</f>
        <v>0.15249042145593869</v>
      </c>
      <c r="DT10" s="51">
        <f>VLOOKUP($B$4,'Data Master'!$B$5:$DT$13,('Data Master'!DP$3+2),0)</f>
        <v>0.15249042145593869</v>
      </c>
      <c r="DU10" s="51">
        <f>VLOOKUP($B$4,'Data Master'!$B$5:$DT$13,('Data Master'!DQ$3+2),0)</f>
        <v>0.15249042145593869</v>
      </c>
      <c r="DV10" s="51">
        <f>VLOOKUP($B$4,'Data Master'!$B$5:$DT$13,('Data Master'!DR$3+2),0)</f>
        <v>0.15249042145593869</v>
      </c>
      <c r="DW10" s="51">
        <f>VLOOKUP($B$4,'Data Master'!$B$5:$DT$13,('Data Master'!DS$3+2),0)</f>
        <v>0.15249042145593869</v>
      </c>
      <c r="DX10" s="1414">
        <f t="shared" si="4"/>
        <v>0.15249042145593869</v>
      </c>
      <c r="DY10" s="1414">
        <f t="shared" si="4"/>
        <v>0.15249042145593869</v>
      </c>
      <c r="DZ10" s="1414">
        <f t="shared" si="4"/>
        <v>0.15249042145593869</v>
      </c>
      <c r="EA10" s="1414">
        <f t="shared" si="4"/>
        <v>0.15249042145593869</v>
      </c>
      <c r="EB10" s="1414">
        <f t="shared" si="4"/>
        <v>0.15249042145593869</v>
      </c>
    </row>
    <row r="11" spans="2:132" x14ac:dyDescent="0.3">
      <c r="C11" s="568"/>
      <c r="D11" s="49" t="s">
        <v>51</v>
      </c>
      <c r="E11" s="51"/>
      <c r="F11" s="388"/>
      <c r="G11" s="50">
        <f>VLOOKUP($B$4,'Data Master'!$B$16:$DT$24,('Data Master'!D$3+2),0)</f>
        <v>1.532567049808429E-2</v>
      </c>
      <c r="H11" s="51">
        <f>VLOOKUP($B$4,'Data Master'!$B$16:$DT$24,('Data Master'!D$3+2),0)</f>
        <v>1.532567049808429E-2</v>
      </c>
      <c r="I11" s="51">
        <f>VLOOKUP($B$4,'Data Master'!$B$16:$DT$24,('Data Master'!E$3+2),0)</f>
        <v>1.532567049808429E-2</v>
      </c>
      <c r="J11" s="51">
        <f>VLOOKUP($B$4,'Data Master'!$B$16:$DT$24,('Data Master'!F$3+2),0)</f>
        <v>1.532567049808429E-2</v>
      </c>
      <c r="K11" s="51">
        <f>VLOOKUP($B$4,'Data Master'!$B$16:$DT$24,('Data Master'!G$3+2),0)</f>
        <v>1.532567049808429E-2</v>
      </c>
      <c r="L11" s="51">
        <f>VLOOKUP($B$4,'Data Master'!$B$16:$DT$24,('Data Master'!H$3+2),0)</f>
        <v>1.532567049808429E-2</v>
      </c>
      <c r="M11" s="51">
        <f>VLOOKUP($B$4,'Data Master'!$B$16:$DT$24,('Data Master'!I$3+2),0)</f>
        <v>1.532567049808429E-2</v>
      </c>
      <c r="N11" s="51">
        <f>VLOOKUP($B$4,'Data Master'!$B$16:$DT$24,('Data Master'!J$3+2),0)</f>
        <v>1.532567049808429E-2</v>
      </c>
      <c r="O11" s="51">
        <f>VLOOKUP($B$4,'Data Master'!$B$16:$DT$24,('Data Master'!K$3+2),0)</f>
        <v>1.532567049808429E-2</v>
      </c>
      <c r="P11" s="51">
        <f>VLOOKUP($B$4,'Data Master'!$B$16:$DT$24,('Data Master'!L$3+2),0)</f>
        <v>1.532567049808429E-2</v>
      </c>
      <c r="Q11" s="51">
        <f>VLOOKUP($B$4,'Data Master'!$B$16:$DT$24,('Data Master'!M$3+2),0)</f>
        <v>1.532567049808429E-2</v>
      </c>
      <c r="R11" s="51">
        <f>VLOOKUP($B$4,'Data Master'!$B$16:$DT$24,('Data Master'!N$3+2),0)</f>
        <v>1.532567049808429E-2</v>
      </c>
      <c r="S11" s="51">
        <f>VLOOKUP($B$4,'Data Master'!$B$16:$DT$24,('Data Master'!O$3+2),0)</f>
        <v>1.532567049808429E-2</v>
      </c>
      <c r="T11" s="276">
        <f>VLOOKUP($B$4,'Data Master'!$B$16:$DT$24,('Data Master'!P$3+2),0)</f>
        <v>1.532567049808429E-2</v>
      </c>
      <c r="U11" s="51">
        <f>VLOOKUP($B$4,'Data Master'!$B$16:$DT$24,('Data Master'!Q$3+2),0)</f>
        <v>1.532567049808429E-2</v>
      </c>
      <c r="V11" s="51">
        <f>VLOOKUP($B$4,'Data Master'!$B$16:$DT$24,('Data Master'!R$3+2),0)</f>
        <v>1.532567049808429E-2</v>
      </c>
      <c r="W11" s="51">
        <f>VLOOKUP($B$4,'Data Master'!$B$16:$DT$24,('Data Master'!S$3+2),0)</f>
        <v>1.532567049808429E-2</v>
      </c>
      <c r="X11" s="51">
        <f>VLOOKUP($B$4,'Data Master'!$B$16:$DT$24,('Data Master'!T$3+2),0)</f>
        <v>1.532567049808429E-2</v>
      </c>
      <c r="Y11" s="51">
        <f>VLOOKUP($B$4,'Data Master'!$B$16:$DT$24,('Data Master'!U$3+2),0)</f>
        <v>1.532567049808429E-2</v>
      </c>
      <c r="Z11" s="51">
        <f>VLOOKUP($B$4,'Data Master'!$B$16:$DT$24,('Data Master'!V$3+2),0)</f>
        <v>1.532567049808429E-2</v>
      </c>
      <c r="AA11" s="51">
        <f>VLOOKUP($B$4,'Data Master'!$B$16:$DT$24,('Data Master'!W$3+2),0)</f>
        <v>1.532567049808429E-2</v>
      </c>
      <c r="AB11" s="51">
        <f>VLOOKUP($B$4,'Data Master'!$B$16:$DT$24,('Data Master'!X$3+2),0)</f>
        <v>1.532567049808429E-2</v>
      </c>
      <c r="AC11" s="51">
        <f>VLOOKUP($B$4,'Data Master'!$B$16:$DT$24,('Data Master'!Y$3+2),0)</f>
        <v>1.532567049808429E-2</v>
      </c>
      <c r="AD11" s="51">
        <f>VLOOKUP($B$4,'Data Master'!$B$16:$DT$24,('Data Master'!Z$3+2),0)</f>
        <v>1.532567049808429E-2</v>
      </c>
      <c r="AE11" s="51">
        <f>VLOOKUP($B$4,'Data Master'!$B$16:$DT$24,('Data Master'!AA$3+2),0)</f>
        <v>1.532567049808429E-2</v>
      </c>
      <c r="AF11" s="276">
        <f>VLOOKUP($B$4,'Data Master'!$B$16:$DT$24,('Data Master'!AB$3+2),0)</f>
        <v>1.532567049808429E-2</v>
      </c>
      <c r="AG11" s="51">
        <f>VLOOKUP($B$4,'Data Master'!$B$16:$DT$24,('Data Master'!AC$3+2),0)</f>
        <v>1.532567049808429E-2</v>
      </c>
      <c r="AH11" s="51">
        <f>VLOOKUP($B$4,'Data Master'!$B$16:$DT$24,('Data Master'!AD$3+2),0)</f>
        <v>1.532567049808429E-2</v>
      </c>
      <c r="AI11" s="51">
        <f>VLOOKUP($B$4,'Data Master'!$B$16:$DT$24,('Data Master'!AE$3+2),0)</f>
        <v>1.532567049808429E-2</v>
      </c>
      <c r="AJ11" s="51">
        <f>VLOOKUP($B$4,'Data Master'!$B$16:$DT$24,('Data Master'!AF$3+2),0)</f>
        <v>1.532567049808429E-2</v>
      </c>
      <c r="AK11" s="51">
        <f>VLOOKUP($B$4,'Data Master'!$B$16:$DT$24,('Data Master'!AG$3+2),0)</f>
        <v>1.532567049808429E-2</v>
      </c>
      <c r="AL11" s="51">
        <f>VLOOKUP($B$4,'Data Master'!$B$16:$DT$24,('Data Master'!AH$3+2),0)</f>
        <v>1.532567049808429E-2</v>
      </c>
      <c r="AM11" s="51">
        <f>VLOOKUP($B$4,'Data Master'!$B$16:$DT$24,('Data Master'!AI$3+2),0)</f>
        <v>1.532567049808429E-2</v>
      </c>
      <c r="AN11" s="51">
        <f>VLOOKUP($B$4,'Data Master'!$B$16:$DT$24,('Data Master'!AJ$3+2),0)</f>
        <v>1.532567049808429E-2</v>
      </c>
      <c r="AO11" s="51">
        <f>VLOOKUP($B$4,'Data Master'!$B$16:$DT$24,('Data Master'!AK$3+2),0)</f>
        <v>1.532567049808429E-2</v>
      </c>
      <c r="AP11" s="51">
        <f>VLOOKUP($B$4,'Data Master'!$B$16:$DT$24,('Data Master'!AL$3+2),0)</f>
        <v>1.532567049808429E-2</v>
      </c>
      <c r="AQ11" s="51">
        <f>VLOOKUP($B$4,'Data Master'!$B$16:$DT$24,('Data Master'!AM$3+2),0)</f>
        <v>1.532567049808429E-2</v>
      </c>
      <c r="AR11" s="276">
        <f>VLOOKUP($B$4,'Data Master'!$B$16:$DT$24,('Data Master'!AN$3+2),0)</f>
        <v>1.532567049808429E-2</v>
      </c>
      <c r="AS11" s="51">
        <f>VLOOKUP($B$4,'Data Master'!$B$16:$DT$24,('Data Master'!AO$3+2),0)</f>
        <v>1.532567049808429E-2</v>
      </c>
      <c r="AT11" s="51">
        <f>VLOOKUP($B$4,'Data Master'!$B$16:$DT$24,('Data Master'!AP$3+2),0)</f>
        <v>1.532567049808429E-2</v>
      </c>
      <c r="AU11" s="51">
        <f>VLOOKUP($B$4,'Data Master'!$B$16:$DT$24,('Data Master'!AQ$3+2),0)</f>
        <v>1.532567049808429E-2</v>
      </c>
      <c r="AV11" s="51">
        <f>VLOOKUP($B$4,'Data Master'!$B$16:$DT$24,('Data Master'!AR$3+2),0)</f>
        <v>1.532567049808429E-2</v>
      </c>
      <c r="AW11" s="51">
        <f>VLOOKUP($B$4,'Data Master'!$B$16:$DT$24,('Data Master'!AS$3+2),0)</f>
        <v>1.532567049808429E-2</v>
      </c>
      <c r="AX11" s="51">
        <f>VLOOKUP($B$4,'Data Master'!$B$16:$DT$24,('Data Master'!AT$3+2),0)</f>
        <v>1.532567049808429E-2</v>
      </c>
      <c r="AY11" s="51">
        <f>VLOOKUP($B$4,'Data Master'!$B$16:$DT$24,('Data Master'!AU$3+2),0)</f>
        <v>1.532567049808429E-2</v>
      </c>
      <c r="AZ11" s="51">
        <f>VLOOKUP($B$4,'Data Master'!$B$16:$DT$24,('Data Master'!AV$3+2),0)</f>
        <v>1.532567049808429E-2</v>
      </c>
      <c r="BA11" s="51">
        <f>VLOOKUP($B$4,'Data Master'!$B$16:$DT$24,('Data Master'!AW$3+2),0)</f>
        <v>1.532567049808429E-2</v>
      </c>
      <c r="BB11" s="51">
        <f>VLOOKUP($B$4,'Data Master'!$B$16:$DT$24,('Data Master'!AX$3+2),0)</f>
        <v>1.532567049808429E-2</v>
      </c>
      <c r="BC11" s="51">
        <f>VLOOKUP($B$4,'Data Master'!$B$16:$DT$24,('Data Master'!AY$3+2),0)</f>
        <v>1.532567049808429E-2</v>
      </c>
      <c r="BD11" s="276">
        <f>VLOOKUP($B$4,'Data Master'!$B$16:$DT$24,('Data Master'!AZ$3+2),0)</f>
        <v>1.532567049808429E-2</v>
      </c>
      <c r="BE11" s="51">
        <f>VLOOKUP($B$4,'Data Master'!$B$16:$DT$24,('Data Master'!BA$3+2),0)</f>
        <v>1.532567049808429E-2</v>
      </c>
      <c r="BF11" s="51">
        <f>VLOOKUP($B$4,'Data Master'!$B$16:$DT$24,('Data Master'!BB$3+2),0)</f>
        <v>1.532567049808429E-2</v>
      </c>
      <c r="BG11" s="51">
        <f>VLOOKUP($B$4,'Data Master'!$B$16:$DT$24,('Data Master'!BC$3+2),0)</f>
        <v>1.532567049808429E-2</v>
      </c>
      <c r="BH11" s="51">
        <f>VLOOKUP($B$4,'Data Master'!$B$16:$DT$24,('Data Master'!BD$3+2),0)</f>
        <v>1.532567049808429E-2</v>
      </c>
      <c r="BI11" s="51">
        <f>VLOOKUP($B$4,'Data Master'!$B$16:$DT$24,('Data Master'!BE$3+2),0)</f>
        <v>1.532567049808429E-2</v>
      </c>
      <c r="BJ11" s="51">
        <f>VLOOKUP($B$4,'Data Master'!$B$16:$DT$24,('Data Master'!BF$3+2),0)</f>
        <v>1.532567049808429E-2</v>
      </c>
      <c r="BK11" s="51">
        <f>VLOOKUP($B$4,'Data Master'!$B$16:$DT$24,('Data Master'!BG$3+2),0)</f>
        <v>1.532567049808429E-2</v>
      </c>
      <c r="BL11" s="51">
        <f>VLOOKUP($B$4,'Data Master'!$B$16:$DT$24,('Data Master'!BH$3+2),0)</f>
        <v>1.532567049808429E-2</v>
      </c>
      <c r="BM11" s="51">
        <f>VLOOKUP($B$4,'Data Master'!$B$16:$DT$24,('Data Master'!BI$3+2),0)</f>
        <v>1.532567049808429E-2</v>
      </c>
      <c r="BN11" s="51">
        <f>VLOOKUP($B$4,'Data Master'!$B$16:$DT$24,('Data Master'!BJ$3+2),0)</f>
        <v>1.532567049808429E-2</v>
      </c>
      <c r="BO11" s="51">
        <f>VLOOKUP($B$4,'Data Master'!$B$16:$DT$24,('Data Master'!BK$3+2),0)</f>
        <v>1.532567049808429E-2</v>
      </c>
      <c r="BP11" s="276">
        <f>VLOOKUP($B$4,'Data Master'!$B$16:$DT$24,('Data Master'!BL$3+2),0)</f>
        <v>1.532567049808429E-2</v>
      </c>
      <c r="BQ11" s="51">
        <f>VLOOKUP($B$4,'Data Master'!$B$16:$DT$24,('Data Master'!BM$3+2),0)</f>
        <v>1.532567049808429E-2</v>
      </c>
      <c r="BR11" s="51">
        <f>VLOOKUP($B$4,'Data Master'!$B$16:$DT$24,('Data Master'!BN$3+2),0)</f>
        <v>1.532567049808429E-2</v>
      </c>
      <c r="BS11" s="51">
        <f>VLOOKUP($B$4,'Data Master'!$B$16:$DT$24,('Data Master'!BO$3+2),0)</f>
        <v>1.532567049808429E-2</v>
      </c>
      <c r="BT11" s="51">
        <f>VLOOKUP($B$4,'Data Master'!$B$16:$DT$24,('Data Master'!BP$3+2),0)</f>
        <v>1.532567049808429E-2</v>
      </c>
      <c r="BU11" s="51">
        <f>VLOOKUP($B$4,'Data Master'!$B$16:$DT$24,('Data Master'!BQ$3+2),0)</f>
        <v>1.532567049808429E-2</v>
      </c>
      <c r="BV11" s="51">
        <f>VLOOKUP($B$4,'Data Master'!$B$16:$DT$24,('Data Master'!BR$3+2),0)</f>
        <v>1.532567049808429E-2</v>
      </c>
      <c r="BW11" s="51">
        <f>VLOOKUP($B$4,'Data Master'!$B$16:$DT$24,('Data Master'!BS$3+2),0)</f>
        <v>1.532567049808429E-2</v>
      </c>
      <c r="BX11" s="51">
        <f>VLOOKUP($B$4,'Data Master'!$B$16:$DT$24,('Data Master'!BT$3+2),0)</f>
        <v>1.532567049808429E-2</v>
      </c>
      <c r="BY11" s="51">
        <f>VLOOKUP($B$4,'Data Master'!$B$16:$DT$24,('Data Master'!BU$3+2),0)</f>
        <v>1.532567049808429E-2</v>
      </c>
      <c r="BZ11" s="51">
        <f>VLOOKUP($B$4,'Data Master'!$B$16:$DT$24,('Data Master'!BV$3+2),0)</f>
        <v>1.532567049808429E-2</v>
      </c>
      <c r="CA11" s="51">
        <f>VLOOKUP($B$4,'Data Master'!$B$16:$DT$24,('Data Master'!BW$3+2),0)</f>
        <v>1.532567049808429E-2</v>
      </c>
      <c r="CB11" s="276">
        <f>VLOOKUP($B$4,'Data Master'!$B$16:$DT$24,('Data Master'!BX$3+2),0)</f>
        <v>1.532567049808429E-2</v>
      </c>
      <c r="CC11" s="51">
        <f>VLOOKUP($B$4,'Data Master'!$B$16:$DT$24,('Data Master'!BY$3+2),0)</f>
        <v>1.532567049808429E-2</v>
      </c>
      <c r="CD11" s="51">
        <f>VLOOKUP($B$4,'Data Master'!$B$16:$DT$24,('Data Master'!BZ$3+2),0)</f>
        <v>1.532567049808429E-2</v>
      </c>
      <c r="CE11" s="51">
        <f>VLOOKUP($B$4,'Data Master'!$B$16:$DT$24,('Data Master'!CA$3+2),0)</f>
        <v>1.532567049808429E-2</v>
      </c>
      <c r="CF11" s="51">
        <f>VLOOKUP($B$4,'Data Master'!$B$16:$DT$24,('Data Master'!CB$3+2),0)</f>
        <v>1.532567049808429E-2</v>
      </c>
      <c r="CG11" s="51">
        <f>VLOOKUP($B$4,'Data Master'!$B$16:$DT$24,('Data Master'!CC$3+2),0)</f>
        <v>1.532567049808429E-2</v>
      </c>
      <c r="CH11" s="51">
        <f>VLOOKUP($B$4,'Data Master'!$B$16:$DT$24,('Data Master'!CD$3+2),0)</f>
        <v>1.532567049808429E-2</v>
      </c>
      <c r="CI11" s="51">
        <f>VLOOKUP($B$4,'Data Master'!$B$16:$DT$24,('Data Master'!CE$3+2),0)</f>
        <v>1.532567049808429E-2</v>
      </c>
      <c r="CJ11" s="51">
        <f>VLOOKUP($B$4,'Data Master'!$B$16:$DT$24,('Data Master'!CF$3+2),0)</f>
        <v>1.532567049808429E-2</v>
      </c>
      <c r="CK11" s="51">
        <f>VLOOKUP($B$4,'Data Master'!$B$16:$DT$24,('Data Master'!CG$3+2),0)</f>
        <v>1.532567049808429E-2</v>
      </c>
      <c r="CL11" s="51">
        <f>VLOOKUP($B$4,'Data Master'!$B$16:$DT$24,('Data Master'!CH$3+2),0)</f>
        <v>1.532567049808429E-2</v>
      </c>
      <c r="CM11" s="51">
        <f>VLOOKUP($B$4,'Data Master'!$B$16:$DT$24,('Data Master'!CI$3+2),0)</f>
        <v>1.532567049808429E-2</v>
      </c>
      <c r="CN11" s="276">
        <f>VLOOKUP($B$4,'Data Master'!$B$16:$DT$24,('Data Master'!CJ$3+2),0)</f>
        <v>1.532567049808429E-2</v>
      </c>
      <c r="CO11" s="51">
        <f>VLOOKUP($B$4,'Data Master'!$B$16:$DT$24,('Data Master'!CK$3+2),0)</f>
        <v>1.532567049808429E-2</v>
      </c>
      <c r="CP11" s="51">
        <f>VLOOKUP($B$4,'Data Master'!$B$16:$DT$24,('Data Master'!CL$3+2),0)</f>
        <v>1.532567049808429E-2</v>
      </c>
      <c r="CQ11" s="51">
        <f>VLOOKUP($B$4,'Data Master'!$B$16:$DT$24,('Data Master'!CM$3+2),0)</f>
        <v>1.532567049808429E-2</v>
      </c>
      <c r="CR11" s="51">
        <f>VLOOKUP($B$4,'Data Master'!$B$16:$DT$24,('Data Master'!CN$3+2),0)</f>
        <v>1.532567049808429E-2</v>
      </c>
      <c r="CS11" s="51">
        <f>VLOOKUP($B$4,'Data Master'!$B$16:$DT$24,('Data Master'!CO$3+2),0)</f>
        <v>1.532567049808429E-2</v>
      </c>
      <c r="CT11" s="51">
        <f>VLOOKUP($B$4,'Data Master'!$B$16:$DT$24,('Data Master'!CP$3+2),0)</f>
        <v>1.532567049808429E-2</v>
      </c>
      <c r="CU11" s="51">
        <f>VLOOKUP($B$4,'Data Master'!$B$16:$DT$24,('Data Master'!CQ$3+2),0)</f>
        <v>1.532567049808429E-2</v>
      </c>
      <c r="CV11" s="51">
        <f>VLOOKUP($B$4,'Data Master'!$B$16:$DT$24,('Data Master'!CR$3+2),0)</f>
        <v>1.532567049808429E-2</v>
      </c>
      <c r="CW11" s="51">
        <f>VLOOKUP($B$4,'Data Master'!$B$16:$DT$24,('Data Master'!CS$3+2),0)</f>
        <v>1.532567049808429E-2</v>
      </c>
      <c r="CX11" s="51">
        <f>VLOOKUP($B$4,'Data Master'!$B$16:$DT$24,('Data Master'!CT$3+2),0)</f>
        <v>1.532567049808429E-2</v>
      </c>
      <c r="CY11" s="51">
        <f>VLOOKUP($B$4,'Data Master'!$B$16:$DT$24,('Data Master'!CU$3+2),0)</f>
        <v>1.532567049808429E-2</v>
      </c>
      <c r="CZ11" s="276">
        <f>VLOOKUP($B$4,'Data Master'!$B$16:$DT$24,('Data Master'!CV$3+2),0)</f>
        <v>1.532567049808429E-2</v>
      </c>
      <c r="DA11" s="51">
        <f>VLOOKUP($B$4,'Data Master'!$B$16:$DT$24,('Data Master'!CW$3+2),0)</f>
        <v>1.532567049808429E-2</v>
      </c>
      <c r="DB11" s="51">
        <f>VLOOKUP($B$4,'Data Master'!$B$16:$DT$24,('Data Master'!CX$3+2),0)</f>
        <v>1.532567049808429E-2</v>
      </c>
      <c r="DC11" s="51">
        <f>VLOOKUP($B$4,'Data Master'!$B$16:$DT$24,('Data Master'!CY$3+2),0)</f>
        <v>1.532567049808429E-2</v>
      </c>
      <c r="DD11" s="51">
        <f>VLOOKUP($B$4,'Data Master'!$B$16:$DT$24,('Data Master'!CZ$3+2),0)</f>
        <v>1.532567049808429E-2</v>
      </c>
      <c r="DE11" s="51">
        <f>VLOOKUP($B$4,'Data Master'!$B$16:$DT$24,('Data Master'!DA$3+2),0)</f>
        <v>1.532567049808429E-2</v>
      </c>
      <c r="DF11" s="51">
        <f>VLOOKUP($B$4,'Data Master'!$B$16:$DT$24,('Data Master'!DB$3+2),0)</f>
        <v>1.532567049808429E-2</v>
      </c>
      <c r="DG11" s="51">
        <f>VLOOKUP($B$4,'Data Master'!$B$16:$DT$24,('Data Master'!DC$3+2),0)</f>
        <v>1.532567049808429E-2</v>
      </c>
      <c r="DH11" s="51">
        <f>VLOOKUP($B$4,'Data Master'!$B$16:$DT$24,('Data Master'!DD$3+2),0)</f>
        <v>1.532567049808429E-2</v>
      </c>
      <c r="DI11" s="51">
        <f>VLOOKUP($B$4,'Data Master'!$B$16:$DT$24,('Data Master'!DE$3+2),0)</f>
        <v>1.532567049808429E-2</v>
      </c>
      <c r="DJ11" s="51">
        <f>VLOOKUP($B$4,'Data Master'!$B$16:$DT$24,('Data Master'!DF$3+2),0)</f>
        <v>1.532567049808429E-2</v>
      </c>
      <c r="DK11" s="51">
        <f>VLOOKUP($B$4,'Data Master'!$B$16:$DT$24,('Data Master'!DG$3+2),0)</f>
        <v>1.532567049808429E-2</v>
      </c>
      <c r="DL11" s="276">
        <f>VLOOKUP($B$4,'Data Master'!$B$16:$DT$24,('Data Master'!DH$3+2),0)</f>
        <v>1.532567049808429E-2</v>
      </c>
      <c r="DM11" s="51">
        <f>VLOOKUP($B$4,'Data Master'!$B$16:$DT$24,('Data Master'!DI$3+2),0)</f>
        <v>1.532567049808429E-2</v>
      </c>
      <c r="DN11" s="51">
        <f>VLOOKUP($B$4,'Data Master'!$B$16:$DT$24,('Data Master'!DJ$3+2),0)</f>
        <v>1.532567049808429E-2</v>
      </c>
      <c r="DO11" s="51">
        <f>VLOOKUP($B$4,'Data Master'!$B$16:$DT$24,('Data Master'!DK$3+2),0)</f>
        <v>1.532567049808429E-2</v>
      </c>
      <c r="DP11" s="51">
        <f>VLOOKUP($B$4,'Data Master'!$B$16:$DT$24,('Data Master'!DL$3+2),0)</f>
        <v>1.532567049808429E-2</v>
      </c>
      <c r="DQ11" s="51">
        <f>VLOOKUP($B$4,'Data Master'!$B$16:$DT$24,('Data Master'!DM$3+2),0)</f>
        <v>1.532567049808429E-2</v>
      </c>
      <c r="DR11" s="51">
        <f>VLOOKUP($B$4,'Data Master'!$B$16:$DT$24,('Data Master'!DN$3+2),0)</f>
        <v>1.532567049808429E-2</v>
      </c>
      <c r="DS11" s="51">
        <f>VLOOKUP($B$4,'Data Master'!$B$16:$DT$24,('Data Master'!DO$3+2),0)</f>
        <v>1.532567049808429E-2</v>
      </c>
      <c r="DT11" s="51">
        <f>VLOOKUP($B$4,'Data Master'!$B$16:$DT$24,('Data Master'!DP$3+2),0)</f>
        <v>1.532567049808429E-2</v>
      </c>
      <c r="DU11" s="51">
        <f>VLOOKUP($B$4,'Data Master'!$B$16:$DT$24,('Data Master'!DQ$3+2),0)</f>
        <v>1.532567049808429E-2</v>
      </c>
      <c r="DV11" s="51">
        <f>VLOOKUP($B$4,'Data Master'!$B$16:$DT$24,('Data Master'!DR$3+2),0)</f>
        <v>1.532567049808429E-2</v>
      </c>
      <c r="DW11" s="51">
        <f>VLOOKUP($B$4,'Data Master'!$B$16:$DT$24,('Data Master'!DS$3+2),0)</f>
        <v>1.532567049808429E-2</v>
      </c>
      <c r="DX11" s="1414">
        <f t="shared" si="4"/>
        <v>1.532567049808429E-2</v>
      </c>
      <c r="DY11" s="1414">
        <f t="shared" si="4"/>
        <v>1.532567049808429E-2</v>
      </c>
      <c r="DZ11" s="1414">
        <f t="shared" si="4"/>
        <v>1.532567049808429E-2</v>
      </c>
      <c r="EA11" s="1414">
        <f t="shared" si="4"/>
        <v>1.532567049808429E-2</v>
      </c>
      <c r="EB11" s="1414">
        <f t="shared" si="4"/>
        <v>1.532567049808429E-2</v>
      </c>
    </row>
    <row r="12" spans="2:132" x14ac:dyDescent="0.3">
      <c r="C12" s="1053"/>
      <c r="D12" s="1175" t="s">
        <v>222</v>
      </c>
      <c r="E12" s="125"/>
      <c r="F12" s="515"/>
      <c r="G12" s="517">
        <f>IF(G8&lt;1,(ROUNDUP(G8/(1-G9),2)),(ROUNDUP(G8/(1-G9),0)))</f>
        <v>61</v>
      </c>
      <c r="H12" s="360">
        <f t="shared" ref="H12:BS12" si="8">IF(H8&lt;1,(ROUNDUP(H8/(1-H9),2)),(ROUNDUP(H8/(1-H9),0)))</f>
        <v>61</v>
      </c>
      <c r="I12" s="360">
        <f t="shared" si="8"/>
        <v>61</v>
      </c>
      <c r="J12" s="360">
        <f t="shared" si="8"/>
        <v>61</v>
      </c>
      <c r="K12" s="360">
        <f t="shared" si="8"/>
        <v>61</v>
      </c>
      <c r="L12" s="360">
        <f t="shared" si="8"/>
        <v>61</v>
      </c>
      <c r="M12" s="360">
        <f t="shared" si="8"/>
        <v>61</v>
      </c>
      <c r="N12" s="360">
        <f t="shared" si="8"/>
        <v>61</v>
      </c>
      <c r="O12" s="360">
        <f t="shared" si="8"/>
        <v>61</v>
      </c>
      <c r="P12" s="360">
        <f t="shared" si="8"/>
        <v>61</v>
      </c>
      <c r="Q12" s="360">
        <f t="shared" si="8"/>
        <v>61</v>
      </c>
      <c r="R12" s="360">
        <f t="shared" si="8"/>
        <v>61</v>
      </c>
      <c r="S12" s="360">
        <f t="shared" si="8"/>
        <v>61</v>
      </c>
      <c r="T12" s="360">
        <f t="shared" si="8"/>
        <v>61</v>
      </c>
      <c r="U12" s="360">
        <f t="shared" si="8"/>
        <v>61</v>
      </c>
      <c r="V12" s="360">
        <f t="shared" si="8"/>
        <v>61</v>
      </c>
      <c r="W12" s="360">
        <f t="shared" si="8"/>
        <v>61</v>
      </c>
      <c r="X12" s="360">
        <f t="shared" si="8"/>
        <v>61</v>
      </c>
      <c r="Y12" s="360">
        <f t="shared" si="8"/>
        <v>61</v>
      </c>
      <c r="Z12" s="360">
        <f t="shared" si="8"/>
        <v>61</v>
      </c>
      <c r="AA12" s="360">
        <f t="shared" si="8"/>
        <v>61</v>
      </c>
      <c r="AB12" s="360">
        <f t="shared" si="8"/>
        <v>61</v>
      </c>
      <c r="AC12" s="360">
        <f t="shared" si="8"/>
        <v>61</v>
      </c>
      <c r="AD12" s="360">
        <f t="shared" si="8"/>
        <v>61</v>
      </c>
      <c r="AE12" s="360">
        <f t="shared" si="8"/>
        <v>61</v>
      </c>
      <c r="AF12" s="360">
        <f t="shared" si="8"/>
        <v>61</v>
      </c>
      <c r="AG12" s="360">
        <f t="shared" si="8"/>
        <v>61</v>
      </c>
      <c r="AH12" s="360">
        <f t="shared" si="8"/>
        <v>61</v>
      </c>
      <c r="AI12" s="360">
        <f t="shared" si="8"/>
        <v>61</v>
      </c>
      <c r="AJ12" s="360">
        <f t="shared" si="8"/>
        <v>61</v>
      </c>
      <c r="AK12" s="360">
        <f t="shared" si="8"/>
        <v>61</v>
      </c>
      <c r="AL12" s="360">
        <f t="shared" si="8"/>
        <v>61</v>
      </c>
      <c r="AM12" s="360">
        <f t="shared" si="8"/>
        <v>61</v>
      </c>
      <c r="AN12" s="360">
        <f t="shared" si="8"/>
        <v>61</v>
      </c>
      <c r="AO12" s="360">
        <f t="shared" si="8"/>
        <v>61</v>
      </c>
      <c r="AP12" s="360">
        <f t="shared" si="8"/>
        <v>61</v>
      </c>
      <c r="AQ12" s="360">
        <f t="shared" si="8"/>
        <v>61</v>
      </c>
      <c r="AR12" s="360">
        <f t="shared" si="8"/>
        <v>61</v>
      </c>
      <c r="AS12" s="360">
        <f t="shared" si="8"/>
        <v>61</v>
      </c>
      <c r="AT12" s="360">
        <f t="shared" si="8"/>
        <v>61</v>
      </c>
      <c r="AU12" s="360">
        <f t="shared" si="8"/>
        <v>61</v>
      </c>
      <c r="AV12" s="360">
        <f t="shared" si="8"/>
        <v>61</v>
      </c>
      <c r="AW12" s="360">
        <f t="shared" si="8"/>
        <v>61</v>
      </c>
      <c r="AX12" s="360">
        <f t="shared" si="8"/>
        <v>61</v>
      </c>
      <c r="AY12" s="360">
        <f t="shared" si="8"/>
        <v>61</v>
      </c>
      <c r="AZ12" s="360">
        <f t="shared" si="8"/>
        <v>61</v>
      </c>
      <c r="BA12" s="360">
        <f t="shared" si="8"/>
        <v>61</v>
      </c>
      <c r="BB12" s="360">
        <f t="shared" si="8"/>
        <v>61</v>
      </c>
      <c r="BC12" s="360">
        <f t="shared" si="8"/>
        <v>61</v>
      </c>
      <c r="BD12" s="360">
        <f t="shared" si="8"/>
        <v>61</v>
      </c>
      <c r="BE12" s="360">
        <f t="shared" si="8"/>
        <v>61</v>
      </c>
      <c r="BF12" s="360">
        <f t="shared" si="8"/>
        <v>61</v>
      </c>
      <c r="BG12" s="360">
        <f t="shared" si="8"/>
        <v>61</v>
      </c>
      <c r="BH12" s="360">
        <f t="shared" si="8"/>
        <v>61</v>
      </c>
      <c r="BI12" s="360">
        <f t="shared" si="8"/>
        <v>61</v>
      </c>
      <c r="BJ12" s="360">
        <f t="shared" si="8"/>
        <v>61</v>
      </c>
      <c r="BK12" s="360">
        <f t="shared" si="8"/>
        <v>61</v>
      </c>
      <c r="BL12" s="360">
        <f t="shared" si="8"/>
        <v>61</v>
      </c>
      <c r="BM12" s="360">
        <f t="shared" si="8"/>
        <v>61</v>
      </c>
      <c r="BN12" s="360">
        <f t="shared" si="8"/>
        <v>61</v>
      </c>
      <c r="BO12" s="360">
        <f t="shared" si="8"/>
        <v>61</v>
      </c>
      <c r="BP12" s="360">
        <f t="shared" si="8"/>
        <v>61</v>
      </c>
      <c r="BQ12" s="360">
        <f t="shared" si="8"/>
        <v>61</v>
      </c>
      <c r="BR12" s="360">
        <f t="shared" si="8"/>
        <v>61</v>
      </c>
      <c r="BS12" s="360">
        <f t="shared" si="8"/>
        <v>61</v>
      </c>
      <c r="BT12" s="360">
        <f t="shared" ref="BT12:DW12" si="9">IF(BT8&lt;1,(ROUNDUP(BT8/(1-BT9),2)),(ROUNDUP(BT8/(1-BT9),0)))</f>
        <v>61</v>
      </c>
      <c r="BU12" s="360">
        <f t="shared" si="9"/>
        <v>61</v>
      </c>
      <c r="BV12" s="360">
        <f t="shared" si="9"/>
        <v>61</v>
      </c>
      <c r="BW12" s="360">
        <f t="shared" si="9"/>
        <v>61</v>
      </c>
      <c r="BX12" s="360">
        <f t="shared" si="9"/>
        <v>61</v>
      </c>
      <c r="BY12" s="360">
        <f t="shared" si="9"/>
        <v>61</v>
      </c>
      <c r="BZ12" s="360">
        <f t="shared" si="9"/>
        <v>61</v>
      </c>
      <c r="CA12" s="360">
        <f t="shared" si="9"/>
        <v>61</v>
      </c>
      <c r="CB12" s="360">
        <f t="shared" si="9"/>
        <v>61</v>
      </c>
      <c r="CC12" s="360">
        <f t="shared" si="9"/>
        <v>61</v>
      </c>
      <c r="CD12" s="360">
        <f t="shared" si="9"/>
        <v>61</v>
      </c>
      <c r="CE12" s="360">
        <f t="shared" si="9"/>
        <v>61</v>
      </c>
      <c r="CF12" s="360">
        <f t="shared" si="9"/>
        <v>61</v>
      </c>
      <c r="CG12" s="360">
        <f t="shared" si="9"/>
        <v>61</v>
      </c>
      <c r="CH12" s="360">
        <f t="shared" si="9"/>
        <v>61</v>
      </c>
      <c r="CI12" s="360">
        <f t="shared" si="9"/>
        <v>61</v>
      </c>
      <c r="CJ12" s="360">
        <f t="shared" si="9"/>
        <v>61</v>
      </c>
      <c r="CK12" s="360">
        <f t="shared" si="9"/>
        <v>61</v>
      </c>
      <c r="CL12" s="360">
        <f t="shared" si="9"/>
        <v>61</v>
      </c>
      <c r="CM12" s="360">
        <f t="shared" si="9"/>
        <v>61</v>
      </c>
      <c r="CN12" s="360">
        <f t="shared" si="9"/>
        <v>61</v>
      </c>
      <c r="CO12" s="360">
        <f t="shared" si="9"/>
        <v>61</v>
      </c>
      <c r="CP12" s="360">
        <f t="shared" si="9"/>
        <v>61</v>
      </c>
      <c r="CQ12" s="360">
        <f t="shared" si="9"/>
        <v>61</v>
      </c>
      <c r="CR12" s="360">
        <f t="shared" si="9"/>
        <v>61</v>
      </c>
      <c r="CS12" s="360">
        <f t="shared" si="9"/>
        <v>61</v>
      </c>
      <c r="CT12" s="360">
        <f t="shared" si="9"/>
        <v>61</v>
      </c>
      <c r="CU12" s="360">
        <f t="shared" si="9"/>
        <v>61</v>
      </c>
      <c r="CV12" s="360">
        <f t="shared" si="9"/>
        <v>61</v>
      </c>
      <c r="CW12" s="360">
        <f t="shared" si="9"/>
        <v>61</v>
      </c>
      <c r="CX12" s="360">
        <f t="shared" si="9"/>
        <v>61</v>
      </c>
      <c r="CY12" s="360">
        <f t="shared" si="9"/>
        <v>61</v>
      </c>
      <c r="CZ12" s="360">
        <f t="shared" si="9"/>
        <v>61</v>
      </c>
      <c r="DA12" s="360">
        <f t="shared" si="9"/>
        <v>61</v>
      </c>
      <c r="DB12" s="360">
        <f t="shared" si="9"/>
        <v>61</v>
      </c>
      <c r="DC12" s="360">
        <f t="shared" si="9"/>
        <v>61</v>
      </c>
      <c r="DD12" s="360">
        <f t="shared" si="9"/>
        <v>61</v>
      </c>
      <c r="DE12" s="360">
        <f t="shared" si="9"/>
        <v>61</v>
      </c>
      <c r="DF12" s="360">
        <f t="shared" si="9"/>
        <v>61</v>
      </c>
      <c r="DG12" s="360">
        <f t="shared" si="9"/>
        <v>61</v>
      </c>
      <c r="DH12" s="360">
        <f t="shared" si="9"/>
        <v>61</v>
      </c>
      <c r="DI12" s="360">
        <f t="shared" si="9"/>
        <v>61</v>
      </c>
      <c r="DJ12" s="360">
        <f t="shared" si="9"/>
        <v>61</v>
      </c>
      <c r="DK12" s="360">
        <f t="shared" si="9"/>
        <v>61</v>
      </c>
      <c r="DL12" s="360">
        <f t="shared" si="9"/>
        <v>61</v>
      </c>
      <c r="DM12" s="360">
        <f t="shared" si="9"/>
        <v>61</v>
      </c>
      <c r="DN12" s="360">
        <f t="shared" si="9"/>
        <v>61</v>
      </c>
      <c r="DO12" s="360">
        <f t="shared" si="9"/>
        <v>61</v>
      </c>
      <c r="DP12" s="360">
        <f t="shared" si="9"/>
        <v>61</v>
      </c>
      <c r="DQ12" s="360">
        <f t="shared" si="9"/>
        <v>61</v>
      </c>
      <c r="DR12" s="360">
        <f t="shared" si="9"/>
        <v>61</v>
      </c>
      <c r="DS12" s="360">
        <f t="shared" si="9"/>
        <v>61</v>
      </c>
      <c r="DT12" s="360">
        <f t="shared" si="9"/>
        <v>61</v>
      </c>
      <c r="DU12" s="360">
        <f t="shared" si="9"/>
        <v>61</v>
      </c>
      <c r="DV12" s="360">
        <f t="shared" si="9"/>
        <v>61</v>
      </c>
      <c r="DW12" s="360">
        <f t="shared" si="9"/>
        <v>61</v>
      </c>
      <c r="DX12" s="1414">
        <f t="shared" si="4"/>
        <v>61</v>
      </c>
      <c r="DY12" s="1414">
        <f t="shared" si="4"/>
        <v>61</v>
      </c>
      <c r="DZ12" s="1414">
        <f t="shared" si="4"/>
        <v>61</v>
      </c>
      <c r="EA12" s="1414">
        <f t="shared" si="4"/>
        <v>61</v>
      </c>
      <c r="EB12" s="1414">
        <f t="shared" si="4"/>
        <v>61</v>
      </c>
    </row>
    <row r="13" spans="2:132" x14ac:dyDescent="0.3">
      <c r="D13" s="1176" t="s">
        <v>223</v>
      </c>
      <c r="E13" s="1177"/>
      <c r="F13" s="1178"/>
      <c r="G13" s="1179">
        <f>SUM(G14:G16)</f>
        <v>4.33</v>
      </c>
      <c r="H13" s="1180">
        <f t="shared" ref="H13:BO13" si="10">SUM(H14:H16)</f>
        <v>4.33</v>
      </c>
      <c r="I13" s="1180">
        <f t="shared" si="10"/>
        <v>4.33</v>
      </c>
      <c r="J13" s="1180">
        <f t="shared" si="10"/>
        <v>4.33</v>
      </c>
      <c r="K13" s="1180">
        <f>J13*(1-$C$15)</f>
        <v>3.4640000000000004</v>
      </c>
      <c r="L13" s="1180">
        <f t="shared" si="10"/>
        <v>3.6639999999999997</v>
      </c>
      <c r="M13" s="1180">
        <f t="shared" si="10"/>
        <v>3.6639999999999997</v>
      </c>
      <c r="N13" s="1180">
        <f t="shared" si="10"/>
        <v>3.6639999999999997</v>
      </c>
      <c r="O13" s="1180">
        <f t="shared" si="10"/>
        <v>3.6639999999999997</v>
      </c>
      <c r="P13" s="1180">
        <f t="shared" si="10"/>
        <v>3.6639999999999997</v>
      </c>
      <c r="Q13" s="1180">
        <f t="shared" si="10"/>
        <v>3.6639999999999997</v>
      </c>
      <c r="R13" s="1180">
        <f t="shared" si="10"/>
        <v>3.6639999999999997</v>
      </c>
      <c r="S13" s="1180">
        <f t="shared" si="10"/>
        <v>3.6639999999999997</v>
      </c>
      <c r="T13" s="1180">
        <f t="shared" si="10"/>
        <v>3.6639999999999997</v>
      </c>
      <c r="U13" s="1180">
        <f t="shared" si="10"/>
        <v>3.6639999999999997</v>
      </c>
      <c r="V13" s="1180">
        <f t="shared" si="10"/>
        <v>3.6639999999999997</v>
      </c>
      <c r="W13" s="1180">
        <f t="shared" si="10"/>
        <v>3.6639999999999997</v>
      </c>
      <c r="X13" s="1180">
        <f t="shared" si="10"/>
        <v>3.6639999999999997</v>
      </c>
      <c r="Y13" s="1180">
        <f t="shared" si="10"/>
        <v>3.6639999999999997</v>
      </c>
      <c r="Z13" s="1180">
        <f t="shared" si="10"/>
        <v>3.6639999999999997</v>
      </c>
      <c r="AA13" s="1180">
        <f t="shared" si="10"/>
        <v>3.6639999999999997</v>
      </c>
      <c r="AB13" s="1180">
        <f t="shared" si="10"/>
        <v>3.6639999999999997</v>
      </c>
      <c r="AC13" s="1180">
        <f t="shared" si="10"/>
        <v>3.6639999999999997</v>
      </c>
      <c r="AD13" s="1180">
        <f t="shared" si="10"/>
        <v>3.6639999999999997</v>
      </c>
      <c r="AE13" s="1180">
        <f t="shared" si="10"/>
        <v>3.6639999999999997</v>
      </c>
      <c r="AF13" s="1180">
        <f t="shared" si="10"/>
        <v>3.6639999999999997</v>
      </c>
      <c r="AG13" s="1180">
        <f t="shared" si="10"/>
        <v>3.6639999999999997</v>
      </c>
      <c r="AH13" s="1180">
        <f t="shared" si="10"/>
        <v>3.6639999999999997</v>
      </c>
      <c r="AI13" s="1180">
        <f t="shared" si="10"/>
        <v>3.6639999999999997</v>
      </c>
      <c r="AJ13" s="1180">
        <f t="shared" si="10"/>
        <v>3.6639999999999997</v>
      </c>
      <c r="AK13" s="1180">
        <f t="shared" si="10"/>
        <v>3.6639999999999997</v>
      </c>
      <c r="AL13" s="1180">
        <f t="shared" si="10"/>
        <v>3.6639999999999997</v>
      </c>
      <c r="AM13" s="1180">
        <f t="shared" si="10"/>
        <v>3.6639999999999997</v>
      </c>
      <c r="AN13" s="1180">
        <f t="shared" si="10"/>
        <v>3.6639999999999997</v>
      </c>
      <c r="AO13" s="1180">
        <f t="shared" si="10"/>
        <v>3.6639999999999997</v>
      </c>
      <c r="AP13" s="1180">
        <f t="shared" si="10"/>
        <v>3.6639999999999997</v>
      </c>
      <c r="AQ13" s="1180">
        <f t="shared" si="10"/>
        <v>3.6639999999999997</v>
      </c>
      <c r="AR13" s="1180">
        <f t="shared" si="10"/>
        <v>3.6639999999999997</v>
      </c>
      <c r="AS13" s="1180">
        <f t="shared" si="10"/>
        <v>3.6639999999999997</v>
      </c>
      <c r="AT13" s="1180">
        <f t="shared" si="10"/>
        <v>3.6639999999999997</v>
      </c>
      <c r="AU13" s="1180">
        <f t="shared" si="10"/>
        <v>3.6639999999999997</v>
      </c>
      <c r="AV13" s="1180">
        <f t="shared" si="10"/>
        <v>3.6639999999999997</v>
      </c>
      <c r="AW13" s="1180">
        <f t="shared" si="10"/>
        <v>3.6639999999999997</v>
      </c>
      <c r="AX13" s="1180">
        <f t="shared" si="10"/>
        <v>3.6639999999999997</v>
      </c>
      <c r="AY13" s="1180">
        <f t="shared" si="10"/>
        <v>3.6639999999999997</v>
      </c>
      <c r="AZ13" s="1180">
        <f t="shared" si="10"/>
        <v>3.6639999999999997</v>
      </c>
      <c r="BA13" s="1180">
        <f t="shared" si="10"/>
        <v>3.6639999999999997</v>
      </c>
      <c r="BB13" s="1180">
        <f t="shared" si="10"/>
        <v>3.6639999999999997</v>
      </c>
      <c r="BC13" s="1180">
        <f t="shared" si="10"/>
        <v>3.6639999999999997</v>
      </c>
      <c r="BD13" s="1180">
        <f t="shared" si="10"/>
        <v>3.6639999999999997</v>
      </c>
      <c r="BE13" s="1180">
        <f t="shared" si="10"/>
        <v>3.6639999999999997</v>
      </c>
      <c r="BF13" s="1180">
        <f t="shared" si="10"/>
        <v>3.6639999999999997</v>
      </c>
      <c r="BG13" s="1180">
        <f t="shared" si="10"/>
        <v>3.6639999999999997</v>
      </c>
      <c r="BH13" s="1180">
        <f t="shared" si="10"/>
        <v>3.6639999999999997</v>
      </c>
      <c r="BI13" s="1180">
        <f t="shared" si="10"/>
        <v>3.6639999999999997</v>
      </c>
      <c r="BJ13" s="1180">
        <f t="shared" si="10"/>
        <v>3.6639999999999997</v>
      </c>
      <c r="BK13" s="1180">
        <f t="shared" si="10"/>
        <v>3.6639999999999997</v>
      </c>
      <c r="BL13" s="1180">
        <f t="shared" si="10"/>
        <v>3.6639999999999997</v>
      </c>
      <c r="BM13" s="1180">
        <f t="shared" si="10"/>
        <v>3.6639999999999997</v>
      </c>
      <c r="BN13" s="1180">
        <f t="shared" si="10"/>
        <v>3.6639999999999997</v>
      </c>
      <c r="BO13" s="1180">
        <f t="shared" si="10"/>
        <v>3.6639999999999997</v>
      </c>
      <c r="BP13" s="1180">
        <f t="shared" ref="BP13:DW13" si="11">SUM(BP14:BP16)</f>
        <v>3.6639999999999997</v>
      </c>
      <c r="BQ13" s="1180">
        <f t="shared" si="11"/>
        <v>3.6639999999999997</v>
      </c>
      <c r="BR13" s="1180">
        <f t="shared" si="11"/>
        <v>3.6639999999999997</v>
      </c>
      <c r="BS13" s="1180">
        <f t="shared" si="11"/>
        <v>3.6639999999999997</v>
      </c>
      <c r="BT13" s="1180">
        <f t="shared" si="11"/>
        <v>3.6639999999999997</v>
      </c>
      <c r="BU13" s="1180">
        <f t="shared" si="11"/>
        <v>3.6639999999999997</v>
      </c>
      <c r="BV13" s="1180">
        <f t="shared" si="11"/>
        <v>3.6639999999999997</v>
      </c>
      <c r="BW13" s="1180">
        <f t="shared" si="11"/>
        <v>3.6639999999999997</v>
      </c>
      <c r="BX13" s="1180">
        <f t="shared" si="11"/>
        <v>3.6639999999999997</v>
      </c>
      <c r="BY13" s="1180">
        <f t="shared" si="11"/>
        <v>3.6639999999999997</v>
      </c>
      <c r="BZ13" s="1180">
        <f t="shared" si="11"/>
        <v>3.6639999999999997</v>
      </c>
      <c r="CA13" s="1180">
        <f t="shared" si="11"/>
        <v>3.6639999999999997</v>
      </c>
      <c r="CB13" s="1180">
        <f t="shared" si="11"/>
        <v>3.6639999999999997</v>
      </c>
      <c r="CC13" s="1180">
        <f t="shared" si="11"/>
        <v>3.6639999999999997</v>
      </c>
      <c r="CD13" s="1180">
        <f t="shared" si="11"/>
        <v>3.6639999999999997</v>
      </c>
      <c r="CE13" s="1180">
        <f t="shared" si="11"/>
        <v>3.6639999999999997</v>
      </c>
      <c r="CF13" s="1180">
        <f t="shared" si="11"/>
        <v>3.6639999999999997</v>
      </c>
      <c r="CG13" s="1180">
        <f t="shared" si="11"/>
        <v>3.6639999999999997</v>
      </c>
      <c r="CH13" s="1180">
        <f t="shared" si="11"/>
        <v>3.6639999999999997</v>
      </c>
      <c r="CI13" s="1180">
        <f t="shared" si="11"/>
        <v>3.6639999999999997</v>
      </c>
      <c r="CJ13" s="1180">
        <f t="shared" si="11"/>
        <v>3.6639999999999997</v>
      </c>
      <c r="CK13" s="1180">
        <f t="shared" si="11"/>
        <v>3.6639999999999997</v>
      </c>
      <c r="CL13" s="1180">
        <f t="shared" si="11"/>
        <v>3.6639999999999997</v>
      </c>
      <c r="CM13" s="1180">
        <f t="shared" si="11"/>
        <v>3.6639999999999997</v>
      </c>
      <c r="CN13" s="1180">
        <f t="shared" si="11"/>
        <v>3.6639999999999997</v>
      </c>
      <c r="CO13" s="1180">
        <f t="shared" si="11"/>
        <v>3.6639999999999997</v>
      </c>
      <c r="CP13" s="1180">
        <f t="shared" si="11"/>
        <v>3.6639999999999997</v>
      </c>
      <c r="CQ13" s="1180">
        <f t="shared" si="11"/>
        <v>3.6639999999999997</v>
      </c>
      <c r="CR13" s="1180">
        <f t="shared" si="11"/>
        <v>3.6639999999999997</v>
      </c>
      <c r="CS13" s="1180">
        <f t="shared" si="11"/>
        <v>3.6639999999999997</v>
      </c>
      <c r="CT13" s="1180">
        <f t="shared" si="11"/>
        <v>3.6639999999999997</v>
      </c>
      <c r="CU13" s="1180">
        <f t="shared" si="11"/>
        <v>3.6639999999999997</v>
      </c>
      <c r="CV13" s="1180">
        <f t="shared" si="11"/>
        <v>3.6639999999999997</v>
      </c>
      <c r="CW13" s="1180">
        <f t="shared" si="11"/>
        <v>3.6639999999999997</v>
      </c>
      <c r="CX13" s="1180">
        <f t="shared" si="11"/>
        <v>3.6639999999999997</v>
      </c>
      <c r="CY13" s="1180">
        <f t="shared" si="11"/>
        <v>3.6639999999999997</v>
      </c>
      <c r="CZ13" s="1180">
        <f t="shared" si="11"/>
        <v>3.6639999999999997</v>
      </c>
      <c r="DA13" s="1180">
        <f t="shared" si="11"/>
        <v>3.6639999999999997</v>
      </c>
      <c r="DB13" s="1180">
        <f t="shared" si="11"/>
        <v>3.6639999999999997</v>
      </c>
      <c r="DC13" s="1180">
        <f t="shared" si="11"/>
        <v>3.6639999999999997</v>
      </c>
      <c r="DD13" s="1180">
        <f t="shared" si="11"/>
        <v>3.6639999999999997</v>
      </c>
      <c r="DE13" s="1180">
        <f t="shared" si="11"/>
        <v>3.6639999999999997</v>
      </c>
      <c r="DF13" s="1180">
        <f t="shared" si="11"/>
        <v>3.6639999999999997</v>
      </c>
      <c r="DG13" s="1180">
        <f t="shared" si="11"/>
        <v>3.6639999999999997</v>
      </c>
      <c r="DH13" s="1180">
        <f t="shared" si="11"/>
        <v>3.6639999999999997</v>
      </c>
      <c r="DI13" s="1180">
        <f t="shared" si="11"/>
        <v>3.6639999999999997</v>
      </c>
      <c r="DJ13" s="1180">
        <f t="shared" si="11"/>
        <v>3.6639999999999997</v>
      </c>
      <c r="DK13" s="1180">
        <f t="shared" si="11"/>
        <v>3.6639999999999997</v>
      </c>
      <c r="DL13" s="1180">
        <f t="shared" si="11"/>
        <v>3.6639999999999997</v>
      </c>
      <c r="DM13" s="1180">
        <f t="shared" si="11"/>
        <v>3.6639999999999997</v>
      </c>
      <c r="DN13" s="1180">
        <f t="shared" si="11"/>
        <v>3.6639999999999997</v>
      </c>
      <c r="DO13" s="1180">
        <f t="shared" si="11"/>
        <v>3.6639999999999997</v>
      </c>
      <c r="DP13" s="1180">
        <f t="shared" si="11"/>
        <v>3.6639999999999997</v>
      </c>
      <c r="DQ13" s="1180">
        <f t="shared" si="11"/>
        <v>3.6639999999999997</v>
      </c>
      <c r="DR13" s="1180">
        <f t="shared" si="11"/>
        <v>3.6639999999999997</v>
      </c>
      <c r="DS13" s="1180">
        <f t="shared" si="11"/>
        <v>3.6639999999999997</v>
      </c>
      <c r="DT13" s="1180">
        <f t="shared" si="11"/>
        <v>3.6639999999999997</v>
      </c>
      <c r="DU13" s="1180">
        <f t="shared" si="11"/>
        <v>3.6639999999999997</v>
      </c>
      <c r="DV13" s="1180">
        <f t="shared" si="11"/>
        <v>3.6639999999999997</v>
      </c>
      <c r="DW13" s="1180">
        <f t="shared" si="11"/>
        <v>3.6639999999999997</v>
      </c>
      <c r="DX13" s="1414">
        <f>DW13</f>
        <v>3.6639999999999997</v>
      </c>
      <c r="DY13" s="1414">
        <f t="shared" ref="DY13:EB13" si="12">DX13</f>
        <v>3.6639999999999997</v>
      </c>
      <c r="DZ13" s="1414">
        <f t="shared" si="12"/>
        <v>3.6639999999999997</v>
      </c>
      <c r="EA13" s="1414">
        <f t="shared" si="12"/>
        <v>3.6639999999999997</v>
      </c>
      <c r="EB13" s="1414">
        <f t="shared" si="12"/>
        <v>3.6639999999999997</v>
      </c>
    </row>
    <row r="14" spans="2:132" x14ac:dyDescent="0.3">
      <c r="D14" s="49" t="s">
        <v>312</v>
      </c>
      <c r="E14" s="55"/>
      <c r="F14" s="390"/>
      <c r="G14" s="1188">
        <f>HLOOKUP($D$4,'Data Master'!$D$136:$L$139,2,0)/5</f>
        <v>1</v>
      </c>
      <c r="H14" s="741">
        <f>G14</f>
        <v>1</v>
      </c>
      <c r="I14" s="741">
        <f t="shared" ref="I14:AM14" si="13">H14</f>
        <v>1</v>
      </c>
      <c r="J14" s="741">
        <f t="shared" si="13"/>
        <v>1</v>
      </c>
      <c r="K14" s="741">
        <f t="shared" si="13"/>
        <v>1</v>
      </c>
      <c r="L14" s="741">
        <f t="shared" si="13"/>
        <v>1</v>
      </c>
      <c r="M14" s="741">
        <f t="shared" si="13"/>
        <v>1</v>
      </c>
      <c r="N14" s="741">
        <f t="shared" si="13"/>
        <v>1</v>
      </c>
      <c r="O14" s="741">
        <f t="shared" si="13"/>
        <v>1</v>
      </c>
      <c r="P14" s="741">
        <f t="shared" si="13"/>
        <v>1</v>
      </c>
      <c r="Q14" s="741">
        <f t="shared" si="13"/>
        <v>1</v>
      </c>
      <c r="R14" s="741">
        <f t="shared" si="13"/>
        <v>1</v>
      </c>
      <c r="S14" s="741">
        <f t="shared" si="13"/>
        <v>1</v>
      </c>
      <c r="T14" s="742">
        <f t="shared" si="13"/>
        <v>1</v>
      </c>
      <c r="U14" s="741">
        <f t="shared" si="13"/>
        <v>1</v>
      </c>
      <c r="V14" s="741">
        <f t="shared" si="13"/>
        <v>1</v>
      </c>
      <c r="W14" s="741">
        <f t="shared" si="13"/>
        <v>1</v>
      </c>
      <c r="X14" s="741">
        <f t="shared" si="13"/>
        <v>1</v>
      </c>
      <c r="Y14" s="741">
        <f t="shared" si="13"/>
        <v>1</v>
      </c>
      <c r="Z14" s="741">
        <f t="shared" si="13"/>
        <v>1</v>
      </c>
      <c r="AA14" s="741">
        <f t="shared" si="13"/>
        <v>1</v>
      </c>
      <c r="AB14" s="741">
        <f t="shared" si="13"/>
        <v>1</v>
      </c>
      <c r="AC14" s="741">
        <f t="shared" si="13"/>
        <v>1</v>
      </c>
      <c r="AD14" s="741">
        <f t="shared" si="13"/>
        <v>1</v>
      </c>
      <c r="AE14" s="741">
        <f t="shared" si="13"/>
        <v>1</v>
      </c>
      <c r="AF14" s="742">
        <f t="shared" si="13"/>
        <v>1</v>
      </c>
      <c r="AG14" s="741">
        <f t="shared" si="13"/>
        <v>1</v>
      </c>
      <c r="AH14" s="741">
        <f t="shared" si="13"/>
        <v>1</v>
      </c>
      <c r="AI14" s="741">
        <f t="shared" si="13"/>
        <v>1</v>
      </c>
      <c r="AJ14" s="741">
        <f t="shared" si="13"/>
        <v>1</v>
      </c>
      <c r="AK14" s="741">
        <f t="shared" si="13"/>
        <v>1</v>
      </c>
      <c r="AL14" s="741">
        <f t="shared" si="13"/>
        <v>1</v>
      </c>
      <c r="AM14" s="741">
        <f t="shared" si="13"/>
        <v>1</v>
      </c>
      <c r="AN14" s="741">
        <f t="shared" ref="AN14:BO14" si="14">AM14</f>
        <v>1</v>
      </c>
      <c r="AO14" s="741">
        <f t="shared" si="14"/>
        <v>1</v>
      </c>
      <c r="AP14" s="741">
        <f t="shared" si="14"/>
        <v>1</v>
      </c>
      <c r="AQ14" s="741">
        <f t="shared" si="14"/>
        <v>1</v>
      </c>
      <c r="AR14" s="742">
        <f t="shared" si="14"/>
        <v>1</v>
      </c>
      <c r="AS14" s="741">
        <f t="shared" si="14"/>
        <v>1</v>
      </c>
      <c r="AT14" s="741">
        <f t="shared" si="14"/>
        <v>1</v>
      </c>
      <c r="AU14" s="741">
        <f t="shared" si="14"/>
        <v>1</v>
      </c>
      <c r="AV14" s="741">
        <f t="shared" si="14"/>
        <v>1</v>
      </c>
      <c r="AW14" s="741">
        <f t="shared" si="14"/>
        <v>1</v>
      </c>
      <c r="AX14" s="741">
        <f t="shared" si="14"/>
        <v>1</v>
      </c>
      <c r="AY14" s="741">
        <f t="shared" si="14"/>
        <v>1</v>
      </c>
      <c r="AZ14" s="741">
        <f t="shared" si="14"/>
        <v>1</v>
      </c>
      <c r="BA14" s="741">
        <f t="shared" si="14"/>
        <v>1</v>
      </c>
      <c r="BB14" s="741">
        <f t="shared" si="14"/>
        <v>1</v>
      </c>
      <c r="BC14" s="741">
        <f t="shared" si="14"/>
        <v>1</v>
      </c>
      <c r="BD14" s="742">
        <f t="shared" si="14"/>
        <v>1</v>
      </c>
      <c r="BE14" s="741">
        <f t="shared" si="14"/>
        <v>1</v>
      </c>
      <c r="BF14" s="741">
        <f t="shared" si="14"/>
        <v>1</v>
      </c>
      <c r="BG14" s="741">
        <f t="shared" si="14"/>
        <v>1</v>
      </c>
      <c r="BH14" s="741">
        <f t="shared" si="14"/>
        <v>1</v>
      </c>
      <c r="BI14" s="741">
        <f t="shared" si="14"/>
        <v>1</v>
      </c>
      <c r="BJ14" s="741">
        <f t="shared" si="14"/>
        <v>1</v>
      </c>
      <c r="BK14" s="741">
        <f t="shared" si="14"/>
        <v>1</v>
      </c>
      <c r="BL14" s="741">
        <f t="shared" si="14"/>
        <v>1</v>
      </c>
      <c r="BM14" s="741">
        <f t="shared" si="14"/>
        <v>1</v>
      </c>
      <c r="BN14" s="741">
        <f t="shared" si="14"/>
        <v>1</v>
      </c>
      <c r="BO14" s="741">
        <f t="shared" si="14"/>
        <v>1</v>
      </c>
      <c r="BP14" s="742">
        <f t="shared" ref="BP14:BP16" si="15">BO14</f>
        <v>1</v>
      </c>
      <c r="BQ14" s="741">
        <f t="shared" ref="BQ14:BQ16" si="16">BP14</f>
        <v>1</v>
      </c>
      <c r="BR14" s="741">
        <f t="shared" ref="BR14:BR16" si="17">BQ14</f>
        <v>1</v>
      </c>
      <c r="BS14" s="741">
        <f t="shared" ref="BS14:BS16" si="18">BR14</f>
        <v>1</v>
      </c>
      <c r="BT14" s="741">
        <f t="shared" ref="BT14:BT16" si="19">BS14</f>
        <v>1</v>
      </c>
      <c r="BU14" s="741">
        <f t="shared" ref="BU14:BU16" si="20">BT14</f>
        <v>1</v>
      </c>
      <c r="BV14" s="741">
        <f t="shared" ref="BV14:BV16" si="21">BU14</f>
        <v>1</v>
      </c>
      <c r="BW14" s="741">
        <f t="shared" ref="BW14:BW16" si="22">BV14</f>
        <v>1</v>
      </c>
      <c r="BX14" s="741">
        <f t="shared" ref="BX14:BX16" si="23">BW14</f>
        <v>1</v>
      </c>
      <c r="BY14" s="741">
        <f t="shared" ref="BY14:BY16" si="24">BX14</f>
        <v>1</v>
      </c>
      <c r="BZ14" s="741">
        <f t="shared" ref="BZ14:BZ16" si="25">BY14</f>
        <v>1</v>
      </c>
      <c r="CA14" s="741">
        <f t="shared" ref="CA14:CA16" si="26">BZ14</f>
        <v>1</v>
      </c>
      <c r="CB14" s="742">
        <f t="shared" ref="CB14:CB16" si="27">CA14</f>
        <v>1</v>
      </c>
      <c r="CC14" s="741">
        <f t="shared" ref="CC14:CC16" si="28">CB14</f>
        <v>1</v>
      </c>
      <c r="CD14" s="741">
        <f t="shared" ref="CD14:CD16" si="29">CC14</f>
        <v>1</v>
      </c>
      <c r="CE14" s="741">
        <f t="shared" ref="CE14:CE16" si="30">CD14</f>
        <v>1</v>
      </c>
      <c r="CF14" s="741">
        <f t="shared" ref="CF14:CF16" si="31">CE14</f>
        <v>1</v>
      </c>
      <c r="CG14" s="741">
        <f t="shared" ref="CG14:CG16" si="32">CF14</f>
        <v>1</v>
      </c>
      <c r="CH14" s="741">
        <f t="shared" ref="CH14:CH16" si="33">CG14</f>
        <v>1</v>
      </c>
      <c r="CI14" s="741">
        <f t="shared" ref="CI14:CI16" si="34">CH14</f>
        <v>1</v>
      </c>
      <c r="CJ14" s="741">
        <f t="shared" ref="CJ14:CJ16" si="35">CI14</f>
        <v>1</v>
      </c>
      <c r="CK14" s="741">
        <f t="shared" ref="CK14:CK16" si="36">CJ14</f>
        <v>1</v>
      </c>
      <c r="CL14" s="741">
        <f t="shared" ref="CL14:CL16" si="37">CK14</f>
        <v>1</v>
      </c>
      <c r="CM14" s="741">
        <f t="shared" ref="CM14:CM16" si="38">CL14</f>
        <v>1</v>
      </c>
      <c r="CN14" s="742">
        <f t="shared" ref="CN14:CN16" si="39">CM14</f>
        <v>1</v>
      </c>
      <c r="CO14" s="741">
        <f t="shared" ref="CO14:CO16" si="40">CN14</f>
        <v>1</v>
      </c>
      <c r="CP14" s="741">
        <f t="shared" ref="CP14:CP16" si="41">CO14</f>
        <v>1</v>
      </c>
      <c r="CQ14" s="741">
        <f t="shared" ref="CQ14:CQ16" si="42">CP14</f>
        <v>1</v>
      </c>
      <c r="CR14" s="741">
        <f t="shared" ref="CR14:CR16" si="43">CQ14</f>
        <v>1</v>
      </c>
      <c r="CS14" s="741">
        <f t="shared" ref="CS14:CS16" si="44">CR14</f>
        <v>1</v>
      </c>
      <c r="CT14" s="741">
        <f t="shared" ref="CT14:CT16" si="45">CS14</f>
        <v>1</v>
      </c>
      <c r="CU14" s="741">
        <f t="shared" ref="CU14:CU16" si="46">CT14</f>
        <v>1</v>
      </c>
      <c r="CV14" s="741">
        <f t="shared" ref="CV14:CV16" si="47">CU14</f>
        <v>1</v>
      </c>
      <c r="CW14" s="741">
        <f t="shared" ref="CW14:CW16" si="48">CV14</f>
        <v>1</v>
      </c>
      <c r="CX14" s="741">
        <f t="shared" ref="CX14:CX16" si="49">CW14</f>
        <v>1</v>
      </c>
      <c r="CY14" s="741">
        <f t="shared" ref="CY14:CY16" si="50">CX14</f>
        <v>1</v>
      </c>
      <c r="CZ14" s="742">
        <f t="shared" ref="CZ14:CZ16" si="51">CY14</f>
        <v>1</v>
      </c>
      <c r="DA14" s="741">
        <f t="shared" ref="DA14:DA16" si="52">CZ14</f>
        <v>1</v>
      </c>
      <c r="DB14" s="741">
        <f t="shared" ref="DB14:DB16" si="53">DA14</f>
        <v>1</v>
      </c>
      <c r="DC14" s="741">
        <f t="shared" ref="DC14:DC16" si="54">DB14</f>
        <v>1</v>
      </c>
      <c r="DD14" s="741">
        <f t="shared" ref="DD14:DD16" si="55">DC14</f>
        <v>1</v>
      </c>
      <c r="DE14" s="741">
        <f t="shared" ref="DE14:DE16" si="56">DD14</f>
        <v>1</v>
      </c>
      <c r="DF14" s="741">
        <f t="shared" ref="DF14:DF16" si="57">DE14</f>
        <v>1</v>
      </c>
      <c r="DG14" s="741">
        <f t="shared" ref="DG14:DG16" si="58">DF14</f>
        <v>1</v>
      </c>
      <c r="DH14" s="741">
        <f t="shared" ref="DH14:DH16" si="59">DG14</f>
        <v>1</v>
      </c>
      <c r="DI14" s="741">
        <f t="shared" ref="DI14:DI16" si="60">DH14</f>
        <v>1</v>
      </c>
      <c r="DJ14" s="741">
        <f t="shared" ref="DJ14:DJ16" si="61">DI14</f>
        <v>1</v>
      </c>
      <c r="DK14" s="741">
        <f t="shared" ref="DK14:DK16" si="62">DJ14</f>
        <v>1</v>
      </c>
      <c r="DL14" s="742">
        <f t="shared" ref="DL14:DL16" si="63">DK14</f>
        <v>1</v>
      </c>
      <c r="DM14" s="741">
        <f t="shared" ref="DM14:DM16" si="64">DL14</f>
        <v>1</v>
      </c>
      <c r="DN14" s="741">
        <f t="shared" ref="DN14:DN16" si="65">DM14</f>
        <v>1</v>
      </c>
      <c r="DO14" s="741">
        <f t="shared" ref="DO14:DO16" si="66">DN14</f>
        <v>1</v>
      </c>
      <c r="DP14" s="741">
        <f t="shared" ref="DP14:DP16" si="67">DO14</f>
        <v>1</v>
      </c>
      <c r="DQ14" s="741">
        <f t="shared" ref="DQ14:DQ16" si="68">DP14</f>
        <v>1</v>
      </c>
      <c r="DR14" s="741">
        <f t="shared" ref="DR14:DR16" si="69">DQ14</f>
        <v>1</v>
      </c>
      <c r="DS14" s="741">
        <f t="shared" ref="DS14:DS16" si="70">DR14</f>
        <v>1</v>
      </c>
      <c r="DT14" s="741">
        <f t="shared" ref="DT14:DT16" si="71">DS14</f>
        <v>1</v>
      </c>
      <c r="DU14" s="741">
        <f t="shared" ref="DU14:DU16" si="72">DT14</f>
        <v>1</v>
      </c>
      <c r="DV14" s="741">
        <f t="shared" ref="DV14:DV16" si="73">DU14</f>
        <v>1</v>
      </c>
      <c r="DW14" s="741">
        <f t="shared" ref="DW14:DW16" si="74">DV14</f>
        <v>1</v>
      </c>
      <c r="DX14" s="1414">
        <f t="shared" ref="DX14:EB14" si="75">DW14</f>
        <v>1</v>
      </c>
      <c r="DY14" s="1414">
        <f t="shared" si="75"/>
        <v>1</v>
      </c>
      <c r="DZ14" s="1414">
        <f t="shared" si="75"/>
        <v>1</v>
      </c>
      <c r="EA14" s="1414">
        <f t="shared" si="75"/>
        <v>1</v>
      </c>
      <c r="EB14" s="1414">
        <f t="shared" si="75"/>
        <v>1</v>
      </c>
    </row>
    <row r="15" spans="2:132" x14ac:dyDescent="0.3">
      <c r="C15" s="740">
        <f>Summary!AO8</f>
        <v>0.2</v>
      </c>
      <c r="D15" s="49" t="s">
        <v>224</v>
      </c>
      <c r="E15" s="55"/>
      <c r="F15" s="390"/>
      <c r="G15" s="1188">
        <f>HLOOKUP($D$4,'Data Master'!$D$136:$L$139,3,0)/5</f>
        <v>3.3299999999999996</v>
      </c>
      <c r="H15" s="741">
        <f t="shared" ref="H15:AM15" si="76">G15</f>
        <v>3.3299999999999996</v>
      </c>
      <c r="I15" s="741">
        <f t="shared" si="76"/>
        <v>3.3299999999999996</v>
      </c>
      <c r="J15" s="741">
        <f t="shared" si="76"/>
        <v>3.3299999999999996</v>
      </c>
      <c r="K15" s="1189">
        <f>J15*(1-$C$15)</f>
        <v>2.6639999999999997</v>
      </c>
      <c r="L15" s="741">
        <f t="shared" si="76"/>
        <v>2.6639999999999997</v>
      </c>
      <c r="M15" s="741">
        <f t="shared" si="76"/>
        <v>2.6639999999999997</v>
      </c>
      <c r="N15" s="741">
        <f t="shared" si="76"/>
        <v>2.6639999999999997</v>
      </c>
      <c r="O15" s="741">
        <f t="shared" si="76"/>
        <v>2.6639999999999997</v>
      </c>
      <c r="P15" s="741">
        <f t="shared" si="76"/>
        <v>2.6639999999999997</v>
      </c>
      <c r="Q15" s="741">
        <f t="shared" si="76"/>
        <v>2.6639999999999997</v>
      </c>
      <c r="R15" s="741">
        <f t="shared" si="76"/>
        <v>2.6639999999999997</v>
      </c>
      <c r="S15" s="741">
        <f t="shared" si="76"/>
        <v>2.6639999999999997</v>
      </c>
      <c r="T15" s="742">
        <f t="shared" si="76"/>
        <v>2.6639999999999997</v>
      </c>
      <c r="U15" s="741">
        <f t="shared" si="76"/>
        <v>2.6639999999999997</v>
      </c>
      <c r="V15" s="741">
        <f t="shared" si="76"/>
        <v>2.6639999999999997</v>
      </c>
      <c r="W15" s="741">
        <f t="shared" si="76"/>
        <v>2.6639999999999997</v>
      </c>
      <c r="X15" s="741">
        <f t="shared" si="76"/>
        <v>2.6639999999999997</v>
      </c>
      <c r="Y15" s="741">
        <f t="shared" si="76"/>
        <v>2.6639999999999997</v>
      </c>
      <c r="Z15" s="741">
        <f t="shared" si="76"/>
        <v>2.6639999999999997</v>
      </c>
      <c r="AA15" s="741">
        <f t="shared" si="76"/>
        <v>2.6639999999999997</v>
      </c>
      <c r="AB15" s="741">
        <f t="shared" si="76"/>
        <v>2.6639999999999997</v>
      </c>
      <c r="AC15" s="741">
        <f t="shared" si="76"/>
        <v>2.6639999999999997</v>
      </c>
      <c r="AD15" s="741">
        <f t="shared" si="76"/>
        <v>2.6639999999999997</v>
      </c>
      <c r="AE15" s="741">
        <f t="shared" si="76"/>
        <v>2.6639999999999997</v>
      </c>
      <c r="AF15" s="742">
        <f t="shared" si="76"/>
        <v>2.6639999999999997</v>
      </c>
      <c r="AG15" s="741">
        <f t="shared" si="76"/>
        <v>2.6639999999999997</v>
      </c>
      <c r="AH15" s="741">
        <f t="shared" si="76"/>
        <v>2.6639999999999997</v>
      </c>
      <c r="AI15" s="741">
        <f t="shared" si="76"/>
        <v>2.6639999999999997</v>
      </c>
      <c r="AJ15" s="741">
        <f t="shared" si="76"/>
        <v>2.6639999999999997</v>
      </c>
      <c r="AK15" s="741">
        <f t="shared" si="76"/>
        <v>2.6639999999999997</v>
      </c>
      <c r="AL15" s="741">
        <f t="shared" si="76"/>
        <v>2.6639999999999997</v>
      </c>
      <c r="AM15" s="741">
        <f t="shared" si="76"/>
        <v>2.6639999999999997</v>
      </c>
      <c r="AN15" s="741">
        <f t="shared" ref="AN15:BO15" si="77">AM15</f>
        <v>2.6639999999999997</v>
      </c>
      <c r="AO15" s="741">
        <f t="shared" si="77"/>
        <v>2.6639999999999997</v>
      </c>
      <c r="AP15" s="741">
        <f t="shared" si="77"/>
        <v>2.6639999999999997</v>
      </c>
      <c r="AQ15" s="741">
        <f t="shared" si="77"/>
        <v>2.6639999999999997</v>
      </c>
      <c r="AR15" s="742">
        <f t="shared" si="77"/>
        <v>2.6639999999999997</v>
      </c>
      <c r="AS15" s="741">
        <f t="shared" si="77"/>
        <v>2.6639999999999997</v>
      </c>
      <c r="AT15" s="741">
        <f t="shared" si="77"/>
        <v>2.6639999999999997</v>
      </c>
      <c r="AU15" s="741">
        <f t="shared" si="77"/>
        <v>2.6639999999999997</v>
      </c>
      <c r="AV15" s="741">
        <f t="shared" si="77"/>
        <v>2.6639999999999997</v>
      </c>
      <c r="AW15" s="741">
        <f t="shared" si="77"/>
        <v>2.6639999999999997</v>
      </c>
      <c r="AX15" s="741">
        <f t="shared" si="77"/>
        <v>2.6639999999999997</v>
      </c>
      <c r="AY15" s="741">
        <f t="shared" si="77"/>
        <v>2.6639999999999997</v>
      </c>
      <c r="AZ15" s="741">
        <f t="shared" si="77"/>
        <v>2.6639999999999997</v>
      </c>
      <c r="BA15" s="741">
        <f t="shared" si="77"/>
        <v>2.6639999999999997</v>
      </c>
      <c r="BB15" s="741">
        <f t="shared" si="77"/>
        <v>2.6639999999999997</v>
      </c>
      <c r="BC15" s="741">
        <f t="shared" si="77"/>
        <v>2.6639999999999997</v>
      </c>
      <c r="BD15" s="742">
        <f t="shared" si="77"/>
        <v>2.6639999999999997</v>
      </c>
      <c r="BE15" s="741">
        <f t="shared" si="77"/>
        <v>2.6639999999999997</v>
      </c>
      <c r="BF15" s="741">
        <f t="shared" si="77"/>
        <v>2.6639999999999997</v>
      </c>
      <c r="BG15" s="741">
        <f t="shared" si="77"/>
        <v>2.6639999999999997</v>
      </c>
      <c r="BH15" s="741">
        <f t="shared" si="77"/>
        <v>2.6639999999999997</v>
      </c>
      <c r="BI15" s="741">
        <f t="shared" si="77"/>
        <v>2.6639999999999997</v>
      </c>
      <c r="BJ15" s="741">
        <f t="shared" si="77"/>
        <v>2.6639999999999997</v>
      </c>
      <c r="BK15" s="741">
        <f t="shared" si="77"/>
        <v>2.6639999999999997</v>
      </c>
      <c r="BL15" s="741">
        <f t="shared" si="77"/>
        <v>2.6639999999999997</v>
      </c>
      <c r="BM15" s="741">
        <f t="shared" si="77"/>
        <v>2.6639999999999997</v>
      </c>
      <c r="BN15" s="741">
        <f t="shared" si="77"/>
        <v>2.6639999999999997</v>
      </c>
      <c r="BO15" s="741">
        <f t="shared" si="77"/>
        <v>2.6639999999999997</v>
      </c>
      <c r="BP15" s="742">
        <f t="shared" si="15"/>
        <v>2.6639999999999997</v>
      </c>
      <c r="BQ15" s="741">
        <f t="shared" si="16"/>
        <v>2.6639999999999997</v>
      </c>
      <c r="BR15" s="741">
        <f t="shared" si="17"/>
        <v>2.6639999999999997</v>
      </c>
      <c r="BS15" s="741">
        <f t="shared" si="18"/>
        <v>2.6639999999999997</v>
      </c>
      <c r="BT15" s="741">
        <f t="shared" si="19"/>
        <v>2.6639999999999997</v>
      </c>
      <c r="BU15" s="741">
        <f t="shared" si="20"/>
        <v>2.6639999999999997</v>
      </c>
      <c r="BV15" s="741">
        <f t="shared" si="21"/>
        <v>2.6639999999999997</v>
      </c>
      <c r="BW15" s="741">
        <f t="shared" si="22"/>
        <v>2.6639999999999997</v>
      </c>
      <c r="BX15" s="741">
        <f t="shared" si="23"/>
        <v>2.6639999999999997</v>
      </c>
      <c r="BY15" s="741">
        <f t="shared" si="24"/>
        <v>2.6639999999999997</v>
      </c>
      <c r="BZ15" s="741">
        <f t="shared" si="25"/>
        <v>2.6639999999999997</v>
      </c>
      <c r="CA15" s="741">
        <f t="shared" si="26"/>
        <v>2.6639999999999997</v>
      </c>
      <c r="CB15" s="742">
        <f t="shared" si="27"/>
        <v>2.6639999999999997</v>
      </c>
      <c r="CC15" s="741">
        <f t="shared" si="28"/>
        <v>2.6639999999999997</v>
      </c>
      <c r="CD15" s="741">
        <f t="shared" si="29"/>
        <v>2.6639999999999997</v>
      </c>
      <c r="CE15" s="741">
        <f t="shared" si="30"/>
        <v>2.6639999999999997</v>
      </c>
      <c r="CF15" s="741">
        <f t="shared" si="31"/>
        <v>2.6639999999999997</v>
      </c>
      <c r="CG15" s="741">
        <f t="shared" si="32"/>
        <v>2.6639999999999997</v>
      </c>
      <c r="CH15" s="741">
        <f t="shared" si="33"/>
        <v>2.6639999999999997</v>
      </c>
      <c r="CI15" s="741">
        <f t="shared" si="34"/>
        <v>2.6639999999999997</v>
      </c>
      <c r="CJ15" s="741">
        <f t="shared" si="35"/>
        <v>2.6639999999999997</v>
      </c>
      <c r="CK15" s="741">
        <f t="shared" si="36"/>
        <v>2.6639999999999997</v>
      </c>
      <c r="CL15" s="741">
        <f t="shared" si="37"/>
        <v>2.6639999999999997</v>
      </c>
      <c r="CM15" s="741">
        <f t="shared" si="38"/>
        <v>2.6639999999999997</v>
      </c>
      <c r="CN15" s="742">
        <f t="shared" si="39"/>
        <v>2.6639999999999997</v>
      </c>
      <c r="CO15" s="741">
        <f t="shared" si="40"/>
        <v>2.6639999999999997</v>
      </c>
      <c r="CP15" s="741">
        <f t="shared" si="41"/>
        <v>2.6639999999999997</v>
      </c>
      <c r="CQ15" s="741">
        <f t="shared" si="42"/>
        <v>2.6639999999999997</v>
      </c>
      <c r="CR15" s="741">
        <f t="shared" si="43"/>
        <v>2.6639999999999997</v>
      </c>
      <c r="CS15" s="741">
        <f t="shared" si="44"/>
        <v>2.6639999999999997</v>
      </c>
      <c r="CT15" s="741">
        <f t="shared" si="45"/>
        <v>2.6639999999999997</v>
      </c>
      <c r="CU15" s="741">
        <f t="shared" si="46"/>
        <v>2.6639999999999997</v>
      </c>
      <c r="CV15" s="741">
        <f t="shared" si="47"/>
        <v>2.6639999999999997</v>
      </c>
      <c r="CW15" s="741">
        <f t="shared" si="48"/>
        <v>2.6639999999999997</v>
      </c>
      <c r="CX15" s="741">
        <f t="shared" si="49"/>
        <v>2.6639999999999997</v>
      </c>
      <c r="CY15" s="741">
        <f t="shared" si="50"/>
        <v>2.6639999999999997</v>
      </c>
      <c r="CZ15" s="742">
        <f t="shared" si="51"/>
        <v>2.6639999999999997</v>
      </c>
      <c r="DA15" s="741">
        <f t="shared" si="52"/>
        <v>2.6639999999999997</v>
      </c>
      <c r="DB15" s="741">
        <f t="shared" si="53"/>
        <v>2.6639999999999997</v>
      </c>
      <c r="DC15" s="741">
        <f t="shared" si="54"/>
        <v>2.6639999999999997</v>
      </c>
      <c r="DD15" s="741">
        <f t="shared" si="55"/>
        <v>2.6639999999999997</v>
      </c>
      <c r="DE15" s="741">
        <f t="shared" si="56"/>
        <v>2.6639999999999997</v>
      </c>
      <c r="DF15" s="741">
        <f t="shared" si="57"/>
        <v>2.6639999999999997</v>
      </c>
      <c r="DG15" s="741">
        <f t="shared" si="58"/>
        <v>2.6639999999999997</v>
      </c>
      <c r="DH15" s="741">
        <f t="shared" si="59"/>
        <v>2.6639999999999997</v>
      </c>
      <c r="DI15" s="741">
        <f t="shared" si="60"/>
        <v>2.6639999999999997</v>
      </c>
      <c r="DJ15" s="741">
        <f t="shared" si="61"/>
        <v>2.6639999999999997</v>
      </c>
      <c r="DK15" s="741">
        <f t="shared" si="62"/>
        <v>2.6639999999999997</v>
      </c>
      <c r="DL15" s="742">
        <f t="shared" si="63"/>
        <v>2.6639999999999997</v>
      </c>
      <c r="DM15" s="741">
        <f t="shared" si="64"/>
        <v>2.6639999999999997</v>
      </c>
      <c r="DN15" s="741">
        <f t="shared" si="65"/>
        <v>2.6639999999999997</v>
      </c>
      <c r="DO15" s="741">
        <f t="shared" si="66"/>
        <v>2.6639999999999997</v>
      </c>
      <c r="DP15" s="741">
        <f t="shared" si="67"/>
        <v>2.6639999999999997</v>
      </c>
      <c r="DQ15" s="741">
        <f t="shared" si="68"/>
        <v>2.6639999999999997</v>
      </c>
      <c r="DR15" s="741">
        <f t="shared" si="69"/>
        <v>2.6639999999999997</v>
      </c>
      <c r="DS15" s="741">
        <f t="shared" si="70"/>
        <v>2.6639999999999997</v>
      </c>
      <c r="DT15" s="741">
        <f t="shared" si="71"/>
        <v>2.6639999999999997</v>
      </c>
      <c r="DU15" s="741">
        <f t="shared" si="72"/>
        <v>2.6639999999999997</v>
      </c>
      <c r="DV15" s="741">
        <f t="shared" si="73"/>
        <v>2.6639999999999997</v>
      </c>
      <c r="DW15" s="741">
        <f t="shared" si="74"/>
        <v>2.6639999999999997</v>
      </c>
      <c r="DX15" s="1414">
        <f t="shared" ref="DX15:EB15" si="78">DW15</f>
        <v>2.6639999999999997</v>
      </c>
      <c r="DY15" s="1414">
        <f t="shared" si="78"/>
        <v>2.6639999999999997</v>
      </c>
      <c r="DZ15" s="1414">
        <f t="shared" si="78"/>
        <v>2.6639999999999997</v>
      </c>
      <c r="EA15" s="1414">
        <f t="shared" si="78"/>
        <v>2.6639999999999997</v>
      </c>
      <c r="EB15" s="1414">
        <f t="shared" si="78"/>
        <v>2.6639999999999997</v>
      </c>
    </row>
    <row r="16" spans="2:132" x14ac:dyDescent="0.3">
      <c r="D16" s="60" t="s">
        <v>225</v>
      </c>
      <c r="E16" s="55"/>
      <c r="F16" s="390"/>
      <c r="G16" s="1188">
        <f>HLOOKUP($D$4,'Data Master'!$D$136:$L$139,4,0)</f>
        <v>0</v>
      </c>
      <c r="H16" s="741">
        <f t="shared" ref="H16:AM16" si="79">G16</f>
        <v>0</v>
      </c>
      <c r="I16" s="741">
        <f t="shared" si="79"/>
        <v>0</v>
      </c>
      <c r="J16" s="741">
        <f t="shared" si="79"/>
        <v>0</v>
      </c>
      <c r="K16" s="741">
        <f t="shared" si="79"/>
        <v>0</v>
      </c>
      <c r="L16" s="741">
        <f t="shared" si="79"/>
        <v>0</v>
      </c>
      <c r="M16" s="741">
        <f t="shared" si="79"/>
        <v>0</v>
      </c>
      <c r="N16" s="741">
        <f t="shared" si="79"/>
        <v>0</v>
      </c>
      <c r="O16" s="741">
        <f t="shared" si="79"/>
        <v>0</v>
      </c>
      <c r="P16" s="741">
        <f t="shared" si="79"/>
        <v>0</v>
      </c>
      <c r="Q16" s="741">
        <f t="shared" si="79"/>
        <v>0</v>
      </c>
      <c r="R16" s="741">
        <f t="shared" si="79"/>
        <v>0</v>
      </c>
      <c r="S16" s="741">
        <f t="shared" si="79"/>
        <v>0</v>
      </c>
      <c r="T16" s="742">
        <f t="shared" si="79"/>
        <v>0</v>
      </c>
      <c r="U16" s="741">
        <f t="shared" si="79"/>
        <v>0</v>
      </c>
      <c r="V16" s="741">
        <f t="shared" si="79"/>
        <v>0</v>
      </c>
      <c r="W16" s="741">
        <f t="shared" si="79"/>
        <v>0</v>
      </c>
      <c r="X16" s="741">
        <f t="shared" si="79"/>
        <v>0</v>
      </c>
      <c r="Y16" s="741">
        <f t="shared" si="79"/>
        <v>0</v>
      </c>
      <c r="Z16" s="741">
        <f t="shared" si="79"/>
        <v>0</v>
      </c>
      <c r="AA16" s="741">
        <f t="shared" si="79"/>
        <v>0</v>
      </c>
      <c r="AB16" s="741">
        <f t="shared" si="79"/>
        <v>0</v>
      </c>
      <c r="AC16" s="741">
        <f t="shared" si="79"/>
        <v>0</v>
      </c>
      <c r="AD16" s="741">
        <f t="shared" si="79"/>
        <v>0</v>
      </c>
      <c r="AE16" s="741">
        <f t="shared" si="79"/>
        <v>0</v>
      </c>
      <c r="AF16" s="742">
        <f t="shared" si="79"/>
        <v>0</v>
      </c>
      <c r="AG16" s="741">
        <f t="shared" si="79"/>
        <v>0</v>
      </c>
      <c r="AH16" s="741">
        <f t="shared" si="79"/>
        <v>0</v>
      </c>
      <c r="AI16" s="741">
        <f t="shared" si="79"/>
        <v>0</v>
      </c>
      <c r="AJ16" s="741">
        <f t="shared" si="79"/>
        <v>0</v>
      </c>
      <c r="AK16" s="741">
        <f t="shared" si="79"/>
        <v>0</v>
      </c>
      <c r="AL16" s="741">
        <f t="shared" si="79"/>
        <v>0</v>
      </c>
      <c r="AM16" s="741">
        <f t="shared" si="79"/>
        <v>0</v>
      </c>
      <c r="AN16" s="741">
        <f t="shared" ref="AN16:BO16" si="80">AM16</f>
        <v>0</v>
      </c>
      <c r="AO16" s="741">
        <f t="shared" si="80"/>
        <v>0</v>
      </c>
      <c r="AP16" s="741">
        <f t="shared" si="80"/>
        <v>0</v>
      </c>
      <c r="AQ16" s="741">
        <f t="shared" si="80"/>
        <v>0</v>
      </c>
      <c r="AR16" s="742">
        <f t="shared" si="80"/>
        <v>0</v>
      </c>
      <c r="AS16" s="741">
        <f t="shared" si="80"/>
        <v>0</v>
      </c>
      <c r="AT16" s="741">
        <f t="shared" si="80"/>
        <v>0</v>
      </c>
      <c r="AU16" s="741">
        <f t="shared" si="80"/>
        <v>0</v>
      </c>
      <c r="AV16" s="741">
        <f t="shared" si="80"/>
        <v>0</v>
      </c>
      <c r="AW16" s="741">
        <f t="shared" si="80"/>
        <v>0</v>
      </c>
      <c r="AX16" s="741">
        <f t="shared" si="80"/>
        <v>0</v>
      </c>
      <c r="AY16" s="741">
        <f t="shared" si="80"/>
        <v>0</v>
      </c>
      <c r="AZ16" s="741">
        <f t="shared" si="80"/>
        <v>0</v>
      </c>
      <c r="BA16" s="741">
        <f t="shared" si="80"/>
        <v>0</v>
      </c>
      <c r="BB16" s="741">
        <f t="shared" si="80"/>
        <v>0</v>
      </c>
      <c r="BC16" s="741">
        <f t="shared" si="80"/>
        <v>0</v>
      </c>
      <c r="BD16" s="742">
        <f t="shared" si="80"/>
        <v>0</v>
      </c>
      <c r="BE16" s="741">
        <f t="shared" si="80"/>
        <v>0</v>
      </c>
      <c r="BF16" s="741">
        <f t="shared" si="80"/>
        <v>0</v>
      </c>
      <c r="BG16" s="741">
        <f t="shared" si="80"/>
        <v>0</v>
      </c>
      <c r="BH16" s="741">
        <f t="shared" si="80"/>
        <v>0</v>
      </c>
      <c r="BI16" s="741">
        <f t="shared" si="80"/>
        <v>0</v>
      </c>
      <c r="BJ16" s="741">
        <f t="shared" si="80"/>
        <v>0</v>
      </c>
      <c r="BK16" s="741">
        <f t="shared" si="80"/>
        <v>0</v>
      </c>
      <c r="BL16" s="741">
        <f t="shared" si="80"/>
        <v>0</v>
      </c>
      <c r="BM16" s="741">
        <f t="shared" si="80"/>
        <v>0</v>
      </c>
      <c r="BN16" s="741">
        <f t="shared" si="80"/>
        <v>0</v>
      </c>
      <c r="BO16" s="741">
        <f t="shared" si="80"/>
        <v>0</v>
      </c>
      <c r="BP16" s="742">
        <f t="shared" si="15"/>
        <v>0</v>
      </c>
      <c r="BQ16" s="741">
        <f t="shared" si="16"/>
        <v>0</v>
      </c>
      <c r="BR16" s="741">
        <f t="shared" si="17"/>
        <v>0</v>
      </c>
      <c r="BS16" s="741">
        <f t="shared" si="18"/>
        <v>0</v>
      </c>
      <c r="BT16" s="741">
        <f t="shared" si="19"/>
        <v>0</v>
      </c>
      <c r="BU16" s="741">
        <f t="shared" si="20"/>
        <v>0</v>
      </c>
      <c r="BV16" s="741">
        <f t="shared" si="21"/>
        <v>0</v>
      </c>
      <c r="BW16" s="741">
        <f t="shared" si="22"/>
        <v>0</v>
      </c>
      <c r="BX16" s="741">
        <f t="shared" si="23"/>
        <v>0</v>
      </c>
      <c r="BY16" s="741">
        <f t="shared" si="24"/>
        <v>0</v>
      </c>
      <c r="BZ16" s="741">
        <f t="shared" si="25"/>
        <v>0</v>
      </c>
      <c r="CA16" s="741">
        <f t="shared" si="26"/>
        <v>0</v>
      </c>
      <c r="CB16" s="742">
        <f t="shared" si="27"/>
        <v>0</v>
      </c>
      <c r="CC16" s="741">
        <f t="shared" si="28"/>
        <v>0</v>
      </c>
      <c r="CD16" s="741">
        <f t="shared" si="29"/>
        <v>0</v>
      </c>
      <c r="CE16" s="741">
        <f t="shared" si="30"/>
        <v>0</v>
      </c>
      <c r="CF16" s="741">
        <f t="shared" si="31"/>
        <v>0</v>
      </c>
      <c r="CG16" s="741">
        <f t="shared" si="32"/>
        <v>0</v>
      </c>
      <c r="CH16" s="741">
        <f t="shared" si="33"/>
        <v>0</v>
      </c>
      <c r="CI16" s="741">
        <f t="shared" si="34"/>
        <v>0</v>
      </c>
      <c r="CJ16" s="741">
        <f t="shared" si="35"/>
        <v>0</v>
      </c>
      <c r="CK16" s="741">
        <f t="shared" si="36"/>
        <v>0</v>
      </c>
      <c r="CL16" s="741">
        <f t="shared" si="37"/>
        <v>0</v>
      </c>
      <c r="CM16" s="741">
        <f t="shared" si="38"/>
        <v>0</v>
      </c>
      <c r="CN16" s="742">
        <f t="shared" si="39"/>
        <v>0</v>
      </c>
      <c r="CO16" s="741">
        <f t="shared" si="40"/>
        <v>0</v>
      </c>
      <c r="CP16" s="741">
        <f t="shared" si="41"/>
        <v>0</v>
      </c>
      <c r="CQ16" s="741">
        <f t="shared" si="42"/>
        <v>0</v>
      </c>
      <c r="CR16" s="741">
        <f t="shared" si="43"/>
        <v>0</v>
      </c>
      <c r="CS16" s="741">
        <f t="shared" si="44"/>
        <v>0</v>
      </c>
      <c r="CT16" s="741">
        <f t="shared" si="45"/>
        <v>0</v>
      </c>
      <c r="CU16" s="741">
        <f t="shared" si="46"/>
        <v>0</v>
      </c>
      <c r="CV16" s="741">
        <f t="shared" si="47"/>
        <v>0</v>
      </c>
      <c r="CW16" s="741">
        <f t="shared" si="48"/>
        <v>0</v>
      </c>
      <c r="CX16" s="741">
        <f t="shared" si="49"/>
        <v>0</v>
      </c>
      <c r="CY16" s="741">
        <f t="shared" si="50"/>
        <v>0</v>
      </c>
      <c r="CZ16" s="742">
        <f t="shared" si="51"/>
        <v>0</v>
      </c>
      <c r="DA16" s="741">
        <f t="shared" si="52"/>
        <v>0</v>
      </c>
      <c r="DB16" s="741">
        <f t="shared" si="53"/>
        <v>0</v>
      </c>
      <c r="DC16" s="741">
        <f t="shared" si="54"/>
        <v>0</v>
      </c>
      <c r="DD16" s="741">
        <f t="shared" si="55"/>
        <v>0</v>
      </c>
      <c r="DE16" s="741">
        <f t="shared" si="56"/>
        <v>0</v>
      </c>
      <c r="DF16" s="741">
        <f t="shared" si="57"/>
        <v>0</v>
      </c>
      <c r="DG16" s="741">
        <f t="shared" si="58"/>
        <v>0</v>
      </c>
      <c r="DH16" s="741">
        <f t="shared" si="59"/>
        <v>0</v>
      </c>
      <c r="DI16" s="741">
        <f t="shared" si="60"/>
        <v>0</v>
      </c>
      <c r="DJ16" s="741">
        <f t="shared" si="61"/>
        <v>0</v>
      </c>
      <c r="DK16" s="741">
        <f t="shared" si="62"/>
        <v>0</v>
      </c>
      <c r="DL16" s="742">
        <f t="shared" si="63"/>
        <v>0</v>
      </c>
      <c r="DM16" s="741">
        <f t="shared" si="64"/>
        <v>0</v>
      </c>
      <c r="DN16" s="741">
        <f t="shared" si="65"/>
        <v>0</v>
      </c>
      <c r="DO16" s="741">
        <f t="shared" si="66"/>
        <v>0</v>
      </c>
      <c r="DP16" s="741">
        <f t="shared" si="67"/>
        <v>0</v>
      </c>
      <c r="DQ16" s="741">
        <f t="shared" si="68"/>
        <v>0</v>
      </c>
      <c r="DR16" s="741">
        <f t="shared" si="69"/>
        <v>0</v>
      </c>
      <c r="DS16" s="741">
        <f t="shared" si="70"/>
        <v>0</v>
      </c>
      <c r="DT16" s="741">
        <f t="shared" si="71"/>
        <v>0</v>
      </c>
      <c r="DU16" s="741">
        <f t="shared" si="72"/>
        <v>0</v>
      </c>
      <c r="DV16" s="741">
        <f t="shared" si="73"/>
        <v>0</v>
      </c>
      <c r="DW16" s="741">
        <f t="shared" si="74"/>
        <v>0</v>
      </c>
      <c r="DX16" s="1414">
        <f t="shared" ref="DX16:EB16" si="81">DW16</f>
        <v>0</v>
      </c>
      <c r="DY16" s="1414">
        <f t="shared" si="81"/>
        <v>0</v>
      </c>
      <c r="DZ16" s="1414">
        <f t="shared" si="81"/>
        <v>0</v>
      </c>
      <c r="EA16" s="1414">
        <f t="shared" si="81"/>
        <v>0</v>
      </c>
      <c r="EB16" s="1414">
        <f t="shared" si="81"/>
        <v>0</v>
      </c>
    </row>
    <row r="17" spans="3:132" x14ac:dyDescent="0.3">
      <c r="D17" s="1176" t="s">
        <v>52</v>
      </c>
      <c r="E17" s="1181"/>
      <c r="F17" s="1182"/>
      <c r="G17" s="1183">
        <f>G19*G20*G18</f>
        <v>0.9</v>
      </c>
      <c r="H17" s="1181">
        <f t="shared" ref="H17:BS17" si="82">H19*H20*H18</f>
        <v>0.9</v>
      </c>
      <c r="I17" s="1181">
        <f t="shared" si="82"/>
        <v>0.9</v>
      </c>
      <c r="J17" s="1181">
        <f t="shared" si="82"/>
        <v>0.9</v>
      </c>
      <c r="K17" s="1181">
        <f t="shared" si="82"/>
        <v>0.9</v>
      </c>
      <c r="L17" s="1181">
        <f t="shared" si="82"/>
        <v>0.9</v>
      </c>
      <c r="M17" s="1181">
        <f t="shared" si="82"/>
        <v>0.9</v>
      </c>
      <c r="N17" s="1181">
        <f t="shared" si="82"/>
        <v>0.9</v>
      </c>
      <c r="O17" s="1181">
        <f t="shared" si="82"/>
        <v>0.9</v>
      </c>
      <c r="P17" s="1181">
        <f t="shared" si="82"/>
        <v>0.9</v>
      </c>
      <c r="Q17" s="1181">
        <f t="shared" si="82"/>
        <v>0.9</v>
      </c>
      <c r="R17" s="1181">
        <f t="shared" si="82"/>
        <v>0.9</v>
      </c>
      <c r="S17" s="1181">
        <f t="shared" si="82"/>
        <v>0.9</v>
      </c>
      <c r="T17" s="1181">
        <f t="shared" si="82"/>
        <v>0.9</v>
      </c>
      <c r="U17" s="1181">
        <f t="shared" si="82"/>
        <v>0.9</v>
      </c>
      <c r="V17" s="1181">
        <f t="shared" si="82"/>
        <v>0.9</v>
      </c>
      <c r="W17" s="1181">
        <f t="shared" si="82"/>
        <v>0.9</v>
      </c>
      <c r="X17" s="1181">
        <f t="shared" si="82"/>
        <v>0.9</v>
      </c>
      <c r="Y17" s="1181">
        <f t="shared" si="82"/>
        <v>0.9</v>
      </c>
      <c r="Z17" s="1181">
        <f t="shared" si="82"/>
        <v>0.9</v>
      </c>
      <c r="AA17" s="1181">
        <f t="shared" si="82"/>
        <v>0.9</v>
      </c>
      <c r="AB17" s="1181">
        <f t="shared" si="82"/>
        <v>0.9</v>
      </c>
      <c r="AC17" s="1181">
        <f t="shared" si="82"/>
        <v>0.9</v>
      </c>
      <c r="AD17" s="1181">
        <f t="shared" si="82"/>
        <v>0.9</v>
      </c>
      <c r="AE17" s="1181">
        <f t="shared" si="82"/>
        <v>0.9</v>
      </c>
      <c r="AF17" s="1181">
        <f t="shared" si="82"/>
        <v>0.9</v>
      </c>
      <c r="AG17" s="1181">
        <f t="shared" si="82"/>
        <v>0.9</v>
      </c>
      <c r="AH17" s="1181">
        <f t="shared" si="82"/>
        <v>0.9</v>
      </c>
      <c r="AI17" s="1181">
        <f t="shared" si="82"/>
        <v>0.9</v>
      </c>
      <c r="AJ17" s="1181">
        <f t="shared" si="82"/>
        <v>0.9</v>
      </c>
      <c r="AK17" s="1181">
        <f t="shared" si="82"/>
        <v>0.9</v>
      </c>
      <c r="AL17" s="1181">
        <f t="shared" si="82"/>
        <v>0.9</v>
      </c>
      <c r="AM17" s="1181">
        <f t="shared" si="82"/>
        <v>0.9</v>
      </c>
      <c r="AN17" s="1181">
        <f t="shared" si="82"/>
        <v>0.9</v>
      </c>
      <c r="AO17" s="1181">
        <f t="shared" si="82"/>
        <v>0.9</v>
      </c>
      <c r="AP17" s="1181">
        <f t="shared" si="82"/>
        <v>0.9</v>
      </c>
      <c r="AQ17" s="1181">
        <f t="shared" si="82"/>
        <v>0.9</v>
      </c>
      <c r="AR17" s="1181">
        <f t="shared" si="82"/>
        <v>0.9</v>
      </c>
      <c r="AS17" s="1181">
        <f t="shared" si="82"/>
        <v>0.9</v>
      </c>
      <c r="AT17" s="1181">
        <f t="shared" si="82"/>
        <v>0.9</v>
      </c>
      <c r="AU17" s="1181">
        <f t="shared" si="82"/>
        <v>0.9</v>
      </c>
      <c r="AV17" s="1181">
        <f t="shared" si="82"/>
        <v>0.9</v>
      </c>
      <c r="AW17" s="1181">
        <f t="shared" si="82"/>
        <v>0.9</v>
      </c>
      <c r="AX17" s="1181">
        <f t="shared" si="82"/>
        <v>0.9</v>
      </c>
      <c r="AY17" s="1181">
        <f t="shared" si="82"/>
        <v>0.9</v>
      </c>
      <c r="AZ17" s="1181">
        <f t="shared" si="82"/>
        <v>0.9</v>
      </c>
      <c r="BA17" s="1181">
        <f t="shared" si="82"/>
        <v>0.9</v>
      </c>
      <c r="BB17" s="1181">
        <f t="shared" si="82"/>
        <v>0.9</v>
      </c>
      <c r="BC17" s="1181">
        <f t="shared" si="82"/>
        <v>0.9</v>
      </c>
      <c r="BD17" s="1181">
        <f t="shared" si="82"/>
        <v>0.9</v>
      </c>
      <c r="BE17" s="1181">
        <f t="shared" si="82"/>
        <v>0.9</v>
      </c>
      <c r="BF17" s="1181">
        <f t="shared" si="82"/>
        <v>0.9</v>
      </c>
      <c r="BG17" s="1181">
        <f t="shared" si="82"/>
        <v>0.9</v>
      </c>
      <c r="BH17" s="1181">
        <f t="shared" si="82"/>
        <v>0.9</v>
      </c>
      <c r="BI17" s="1181">
        <f t="shared" si="82"/>
        <v>0.9</v>
      </c>
      <c r="BJ17" s="1181">
        <f t="shared" si="82"/>
        <v>0.9</v>
      </c>
      <c r="BK17" s="1181">
        <f t="shared" si="82"/>
        <v>0.9</v>
      </c>
      <c r="BL17" s="1181">
        <f t="shared" si="82"/>
        <v>0.9</v>
      </c>
      <c r="BM17" s="1181">
        <f t="shared" si="82"/>
        <v>0.9</v>
      </c>
      <c r="BN17" s="1181">
        <f t="shared" si="82"/>
        <v>0.9</v>
      </c>
      <c r="BO17" s="1181">
        <f t="shared" si="82"/>
        <v>0.9</v>
      </c>
      <c r="BP17" s="1181">
        <f t="shared" si="82"/>
        <v>0.9</v>
      </c>
      <c r="BQ17" s="1181">
        <f t="shared" si="82"/>
        <v>0.9</v>
      </c>
      <c r="BR17" s="1181">
        <f t="shared" si="82"/>
        <v>0.9</v>
      </c>
      <c r="BS17" s="1181">
        <f t="shared" si="82"/>
        <v>0.9</v>
      </c>
      <c r="BT17" s="1181">
        <f t="shared" ref="BT17:DW17" si="83">BT19*BT20*BT18</f>
        <v>0.9</v>
      </c>
      <c r="BU17" s="1181">
        <f t="shared" si="83"/>
        <v>0.9</v>
      </c>
      <c r="BV17" s="1181">
        <f t="shared" si="83"/>
        <v>0.9</v>
      </c>
      <c r="BW17" s="1181">
        <f t="shared" si="83"/>
        <v>0.9</v>
      </c>
      <c r="BX17" s="1181">
        <f t="shared" si="83"/>
        <v>0.9</v>
      </c>
      <c r="BY17" s="1181">
        <f t="shared" si="83"/>
        <v>0.9</v>
      </c>
      <c r="BZ17" s="1181">
        <f t="shared" si="83"/>
        <v>0.9</v>
      </c>
      <c r="CA17" s="1181">
        <f t="shared" si="83"/>
        <v>0.9</v>
      </c>
      <c r="CB17" s="1181">
        <f t="shared" si="83"/>
        <v>0.9</v>
      </c>
      <c r="CC17" s="1181">
        <f t="shared" si="83"/>
        <v>0.9</v>
      </c>
      <c r="CD17" s="1181">
        <f t="shared" si="83"/>
        <v>0.9</v>
      </c>
      <c r="CE17" s="1181">
        <f t="shared" si="83"/>
        <v>0.9</v>
      </c>
      <c r="CF17" s="1181">
        <f t="shared" si="83"/>
        <v>0.9</v>
      </c>
      <c r="CG17" s="1181">
        <f t="shared" si="83"/>
        <v>0.9</v>
      </c>
      <c r="CH17" s="1181">
        <f t="shared" si="83"/>
        <v>0.9</v>
      </c>
      <c r="CI17" s="1181">
        <f t="shared" si="83"/>
        <v>0.9</v>
      </c>
      <c r="CJ17" s="1181">
        <f t="shared" si="83"/>
        <v>0.9</v>
      </c>
      <c r="CK17" s="1181">
        <f t="shared" si="83"/>
        <v>0.9</v>
      </c>
      <c r="CL17" s="1181">
        <f t="shared" si="83"/>
        <v>0.9</v>
      </c>
      <c r="CM17" s="1181">
        <f t="shared" si="83"/>
        <v>0.9</v>
      </c>
      <c r="CN17" s="1181">
        <f t="shared" si="83"/>
        <v>0.9</v>
      </c>
      <c r="CO17" s="1181">
        <f t="shared" si="83"/>
        <v>0.9</v>
      </c>
      <c r="CP17" s="1181">
        <f t="shared" si="83"/>
        <v>0.9</v>
      </c>
      <c r="CQ17" s="1181">
        <f t="shared" si="83"/>
        <v>0.9</v>
      </c>
      <c r="CR17" s="1181">
        <f t="shared" si="83"/>
        <v>0.9</v>
      </c>
      <c r="CS17" s="1181">
        <f t="shared" si="83"/>
        <v>0.9</v>
      </c>
      <c r="CT17" s="1181">
        <f t="shared" si="83"/>
        <v>0.9</v>
      </c>
      <c r="CU17" s="1181">
        <f t="shared" si="83"/>
        <v>0.9</v>
      </c>
      <c r="CV17" s="1181">
        <f t="shared" si="83"/>
        <v>0.9</v>
      </c>
      <c r="CW17" s="1181">
        <f t="shared" si="83"/>
        <v>0.9</v>
      </c>
      <c r="CX17" s="1181">
        <f t="shared" si="83"/>
        <v>0.9</v>
      </c>
      <c r="CY17" s="1181">
        <f t="shared" si="83"/>
        <v>0.9</v>
      </c>
      <c r="CZ17" s="1181">
        <f t="shared" si="83"/>
        <v>0.9</v>
      </c>
      <c r="DA17" s="1181">
        <f t="shared" si="83"/>
        <v>0.9</v>
      </c>
      <c r="DB17" s="1181">
        <f t="shared" si="83"/>
        <v>0.9</v>
      </c>
      <c r="DC17" s="1181">
        <f t="shared" si="83"/>
        <v>0.9</v>
      </c>
      <c r="DD17" s="1181">
        <f t="shared" si="83"/>
        <v>0.9</v>
      </c>
      <c r="DE17" s="1181">
        <f t="shared" si="83"/>
        <v>0.9</v>
      </c>
      <c r="DF17" s="1181">
        <f t="shared" si="83"/>
        <v>0.9</v>
      </c>
      <c r="DG17" s="1181">
        <f t="shared" si="83"/>
        <v>0.9</v>
      </c>
      <c r="DH17" s="1181">
        <f t="shared" si="83"/>
        <v>0.9</v>
      </c>
      <c r="DI17" s="1181">
        <f t="shared" si="83"/>
        <v>0.9</v>
      </c>
      <c r="DJ17" s="1181">
        <f t="shared" si="83"/>
        <v>0.9</v>
      </c>
      <c r="DK17" s="1181">
        <f t="shared" si="83"/>
        <v>0.9</v>
      </c>
      <c r="DL17" s="1181">
        <f t="shared" si="83"/>
        <v>0.9</v>
      </c>
      <c r="DM17" s="1181">
        <f t="shared" si="83"/>
        <v>0.9</v>
      </c>
      <c r="DN17" s="1181">
        <f t="shared" si="83"/>
        <v>0.9</v>
      </c>
      <c r="DO17" s="1181">
        <f t="shared" si="83"/>
        <v>0.9</v>
      </c>
      <c r="DP17" s="1181">
        <f t="shared" si="83"/>
        <v>0.9</v>
      </c>
      <c r="DQ17" s="1181">
        <f t="shared" si="83"/>
        <v>0.9</v>
      </c>
      <c r="DR17" s="1181">
        <f t="shared" si="83"/>
        <v>0.9</v>
      </c>
      <c r="DS17" s="1181">
        <f t="shared" si="83"/>
        <v>0.9</v>
      </c>
      <c r="DT17" s="1181">
        <f t="shared" si="83"/>
        <v>0.9</v>
      </c>
      <c r="DU17" s="1181">
        <f t="shared" si="83"/>
        <v>0.9</v>
      </c>
      <c r="DV17" s="1181">
        <f t="shared" si="83"/>
        <v>0.9</v>
      </c>
      <c r="DW17" s="1181">
        <f t="shared" si="83"/>
        <v>0.9</v>
      </c>
      <c r="DX17" s="1414">
        <f t="shared" ref="DX17:EB17" si="84">DW17</f>
        <v>0.9</v>
      </c>
      <c r="DY17" s="1414">
        <f t="shared" si="84"/>
        <v>0.9</v>
      </c>
      <c r="DZ17" s="1414">
        <f t="shared" si="84"/>
        <v>0.9</v>
      </c>
      <c r="EA17" s="1414">
        <f t="shared" si="84"/>
        <v>0.9</v>
      </c>
      <c r="EB17" s="1414">
        <f t="shared" si="84"/>
        <v>0.9</v>
      </c>
    </row>
    <row r="18" spans="3:132" x14ac:dyDescent="0.3">
      <c r="D18" s="49" t="s">
        <v>312</v>
      </c>
      <c r="E18" s="59"/>
      <c r="F18" s="392"/>
      <c r="G18" s="1190">
        <v>1</v>
      </c>
      <c r="H18" s="59">
        <f t="shared" ref="H18:S18" si="85">G18</f>
        <v>1</v>
      </c>
      <c r="I18" s="59">
        <f t="shared" si="85"/>
        <v>1</v>
      </c>
      <c r="J18" s="59">
        <f t="shared" si="85"/>
        <v>1</v>
      </c>
      <c r="K18" s="59">
        <f t="shared" si="85"/>
        <v>1</v>
      </c>
      <c r="L18" s="59">
        <f t="shared" si="85"/>
        <v>1</v>
      </c>
      <c r="M18" s="59">
        <f t="shared" si="85"/>
        <v>1</v>
      </c>
      <c r="N18" s="59">
        <f t="shared" si="85"/>
        <v>1</v>
      </c>
      <c r="O18" s="59">
        <f t="shared" si="85"/>
        <v>1</v>
      </c>
      <c r="P18" s="59">
        <f t="shared" si="85"/>
        <v>1</v>
      </c>
      <c r="Q18" s="59">
        <f t="shared" si="85"/>
        <v>1</v>
      </c>
      <c r="R18" s="59">
        <f t="shared" si="85"/>
        <v>1</v>
      </c>
      <c r="S18" s="59">
        <f t="shared" si="85"/>
        <v>1</v>
      </c>
      <c r="T18" s="277">
        <f t="shared" ref="T18:T20" si="86">S18</f>
        <v>1</v>
      </c>
      <c r="U18" s="59">
        <f t="shared" ref="U18:U20" si="87">T18</f>
        <v>1</v>
      </c>
      <c r="V18" s="59">
        <f t="shared" ref="V18:V20" si="88">U18</f>
        <v>1</v>
      </c>
      <c r="W18" s="59">
        <f t="shared" ref="W18:W20" si="89">V18</f>
        <v>1</v>
      </c>
      <c r="X18" s="59">
        <f t="shared" ref="X18:X20" si="90">W18</f>
        <v>1</v>
      </c>
      <c r="Y18" s="59">
        <f t="shared" ref="Y18:Y20" si="91">X18</f>
        <v>1</v>
      </c>
      <c r="Z18" s="59">
        <f t="shared" ref="Z18:Z20" si="92">Y18</f>
        <v>1</v>
      </c>
      <c r="AA18" s="59">
        <f t="shared" ref="AA18:AA20" si="93">Z18</f>
        <v>1</v>
      </c>
      <c r="AB18" s="59">
        <f t="shared" ref="AB18:AB20" si="94">AA18</f>
        <v>1</v>
      </c>
      <c r="AC18" s="59">
        <f t="shared" ref="AC18:AC20" si="95">AB18</f>
        <v>1</v>
      </c>
      <c r="AD18" s="59">
        <f t="shared" ref="AD18:AD20" si="96">AC18</f>
        <v>1</v>
      </c>
      <c r="AE18" s="59">
        <f t="shared" ref="AE18:AE20" si="97">AD18</f>
        <v>1</v>
      </c>
      <c r="AF18" s="277">
        <f t="shared" ref="AF18:AF20" si="98">AE18</f>
        <v>1</v>
      </c>
      <c r="AG18" s="59">
        <f t="shared" ref="AG18:AG20" si="99">AF18</f>
        <v>1</v>
      </c>
      <c r="AH18" s="59">
        <f t="shared" ref="AH18:AH20" si="100">AG18</f>
        <v>1</v>
      </c>
      <c r="AI18" s="59">
        <f t="shared" ref="AI18:AI20" si="101">AH18</f>
        <v>1</v>
      </c>
      <c r="AJ18" s="59">
        <f t="shared" ref="AJ18:AJ20" si="102">AI18</f>
        <v>1</v>
      </c>
      <c r="AK18" s="59">
        <f t="shared" ref="AK18:AK20" si="103">AJ18</f>
        <v>1</v>
      </c>
      <c r="AL18" s="59">
        <f t="shared" ref="AL18:AL20" si="104">AK18</f>
        <v>1</v>
      </c>
      <c r="AM18" s="59">
        <f t="shared" ref="AM18:AM20" si="105">AL18</f>
        <v>1</v>
      </c>
      <c r="AN18" s="59">
        <f t="shared" ref="AN18:AN20" si="106">AM18</f>
        <v>1</v>
      </c>
      <c r="AO18" s="59">
        <f t="shared" ref="AO18:AO20" si="107">AN18</f>
        <v>1</v>
      </c>
      <c r="AP18" s="59">
        <f t="shared" ref="AP18:AP20" si="108">AO18</f>
        <v>1</v>
      </c>
      <c r="AQ18" s="59">
        <f t="shared" ref="AQ18:AQ20" si="109">AP18</f>
        <v>1</v>
      </c>
      <c r="AR18" s="277">
        <f t="shared" ref="AR18:AR20" si="110">AQ18</f>
        <v>1</v>
      </c>
      <c r="AS18" s="59">
        <f t="shared" ref="AS18:AS20" si="111">AR18</f>
        <v>1</v>
      </c>
      <c r="AT18" s="59">
        <f t="shared" ref="AT18:AT20" si="112">AS18</f>
        <v>1</v>
      </c>
      <c r="AU18" s="59">
        <f t="shared" ref="AU18:AU20" si="113">AT18</f>
        <v>1</v>
      </c>
      <c r="AV18" s="59">
        <f t="shared" ref="AV18:AV20" si="114">AU18</f>
        <v>1</v>
      </c>
      <c r="AW18" s="59">
        <f t="shared" ref="AW18:AW20" si="115">AV18</f>
        <v>1</v>
      </c>
      <c r="AX18" s="59">
        <f t="shared" ref="AX18:AX20" si="116">AW18</f>
        <v>1</v>
      </c>
      <c r="AY18" s="59">
        <f t="shared" ref="AY18:AY20" si="117">AX18</f>
        <v>1</v>
      </c>
      <c r="AZ18" s="59">
        <f t="shared" ref="AZ18:AZ20" si="118">AY18</f>
        <v>1</v>
      </c>
      <c r="BA18" s="59">
        <f t="shared" ref="BA18:BA20" si="119">AZ18</f>
        <v>1</v>
      </c>
      <c r="BB18" s="59">
        <f t="shared" ref="BB18:BB20" si="120">BA18</f>
        <v>1</v>
      </c>
      <c r="BC18" s="59">
        <f t="shared" ref="BC18:BC20" si="121">BB18</f>
        <v>1</v>
      </c>
      <c r="BD18" s="277">
        <f t="shared" ref="BD18:BD20" si="122">BC18</f>
        <v>1</v>
      </c>
      <c r="BE18" s="59">
        <f t="shared" ref="BE18:BE20" si="123">BD18</f>
        <v>1</v>
      </c>
      <c r="BF18" s="59">
        <f t="shared" ref="BF18:BF20" si="124">BE18</f>
        <v>1</v>
      </c>
      <c r="BG18" s="59">
        <f t="shared" ref="BG18:BG20" si="125">BF18</f>
        <v>1</v>
      </c>
      <c r="BH18" s="59">
        <f t="shared" ref="BH18:BH20" si="126">BG18</f>
        <v>1</v>
      </c>
      <c r="BI18" s="59">
        <f t="shared" ref="BI18:BI20" si="127">BH18</f>
        <v>1</v>
      </c>
      <c r="BJ18" s="59">
        <f t="shared" ref="BJ18:BJ20" si="128">BI18</f>
        <v>1</v>
      </c>
      <c r="BK18" s="59">
        <f t="shared" ref="BK18:BK20" si="129">BJ18</f>
        <v>1</v>
      </c>
      <c r="BL18" s="59">
        <f t="shared" ref="BL18:BL20" si="130">BK18</f>
        <v>1</v>
      </c>
      <c r="BM18" s="59">
        <f t="shared" ref="BM18:BM20" si="131">BL18</f>
        <v>1</v>
      </c>
      <c r="BN18" s="59">
        <f t="shared" ref="BN18:BN20" si="132">BM18</f>
        <v>1</v>
      </c>
      <c r="BO18" s="59">
        <f t="shared" ref="BO18:BO20" si="133">BN18</f>
        <v>1</v>
      </c>
      <c r="BP18" s="277">
        <f t="shared" ref="BP18:BP20" si="134">BO18</f>
        <v>1</v>
      </c>
      <c r="BQ18" s="59">
        <f t="shared" ref="BQ18:BQ20" si="135">BP18</f>
        <v>1</v>
      </c>
      <c r="BR18" s="59">
        <f t="shared" ref="BR18:BR20" si="136">BQ18</f>
        <v>1</v>
      </c>
      <c r="BS18" s="59">
        <f t="shared" ref="BS18:BS20" si="137">BR18</f>
        <v>1</v>
      </c>
      <c r="BT18" s="59">
        <f t="shared" ref="BT18:BT20" si="138">BS18</f>
        <v>1</v>
      </c>
      <c r="BU18" s="59">
        <f t="shared" ref="BU18:BU20" si="139">BT18</f>
        <v>1</v>
      </c>
      <c r="BV18" s="59">
        <f t="shared" ref="BV18:BV20" si="140">BU18</f>
        <v>1</v>
      </c>
      <c r="BW18" s="59">
        <f t="shared" ref="BW18:BW20" si="141">BV18</f>
        <v>1</v>
      </c>
      <c r="BX18" s="59">
        <f t="shared" ref="BX18:BX20" si="142">BW18</f>
        <v>1</v>
      </c>
      <c r="BY18" s="59">
        <f t="shared" ref="BY18:BY20" si="143">BX18</f>
        <v>1</v>
      </c>
      <c r="BZ18" s="59">
        <f t="shared" ref="BZ18:BZ20" si="144">BY18</f>
        <v>1</v>
      </c>
      <c r="CA18" s="59">
        <f t="shared" ref="CA18:CA20" si="145">BZ18</f>
        <v>1</v>
      </c>
      <c r="CB18" s="277">
        <f t="shared" ref="CB18:CB20" si="146">CA18</f>
        <v>1</v>
      </c>
      <c r="CC18" s="59">
        <f t="shared" ref="CC18:CC20" si="147">CB18</f>
        <v>1</v>
      </c>
      <c r="CD18" s="59">
        <f t="shared" ref="CD18:CD20" si="148">CC18</f>
        <v>1</v>
      </c>
      <c r="CE18" s="59">
        <f t="shared" ref="CE18:CE20" si="149">CD18</f>
        <v>1</v>
      </c>
      <c r="CF18" s="59">
        <f t="shared" ref="CF18:CF20" si="150">CE18</f>
        <v>1</v>
      </c>
      <c r="CG18" s="59">
        <f t="shared" ref="CG18:CG20" si="151">CF18</f>
        <v>1</v>
      </c>
      <c r="CH18" s="59">
        <f t="shared" ref="CH18:CH20" si="152">CG18</f>
        <v>1</v>
      </c>
      <c r="CI18" s="59">
        <f t="shared" ref="CI18:CI20" si="153">CH18</f>
        <v>1</v>
      </c>
      <c r="CJ18" s="59">
        <f t="shared" ref="CJ18:CJ20" si="154">CI18</f>
        <v>1</v>
      </c>
      <c r="CK18" s="59">
        <f t="shared" ref="CK18:CK20" si="155">CJ18</f>
        <v>1</v>
      </c>
      <c r="CL18" s="59">
        <f t="shared" ref="CL18:CL20" si="156">CK18</f>
        <v>1</v>
      </c>
      <c r="CM18" s="59">
        <f t="shared" ref="CM18:CM20" si="157">CL18</f>
        <v>1</v>
      </c>
      <c r="CN18" s="277">
        <f t="shared" ref="CN18:CN20" si="158">CM18</f>
        <v>1</v>
      </c>
      <c r="CO18" s="59">
        <f t="shared" ref="CO18:CO20" si="159">CN18</f>
        <v>1</v>
      </c>
      <c r="CP18" s="59">
        <f t="shared" ref="CP18:CP20" si="160">CO18</f>
        <v>1</v>
      </c>
      <c r="CQ18" s="59">
        <f t="shared" ref="CQ18:CQ20" si="161">CP18</f>
        <v>1</v>
      </c>
      <c r="CR18" s="59">
        <f t="shared" ref="CR18:CR20" si="162">CQ18</f>
        <v>1</v>
      </c>
      <c r="CS18" s="59">
        <f t="shared" ref="CS18:CS20" si="163">CR18</f>
        <v>1</v>
      </c>
      <c r="CT18" s="59">
        <f t="shared" ref="CT18:CT20" si="164">CS18</f>
        <v>1</v>
      </c>
      <c r="CU18" s="59">
        <f t="shared" ref="CU18:CU20" si="165">CT18</f>
        <v>1</v>
      </c>
      <c r="CV18" s="59">
        <f t="shared" ref="CV18:CV20" si="166">CU18</f>
        <v>1</v>
      </c>
      <c r="CW18" s="59">
        <f t="shared" ref="CW18:CW20" si="167">CV18</f>
        <v>1</v>
      </c>
      <c r="CX18" s="59">
        <f t="shared" ref="CX18:CX20" si="168">CW18</f>
        <v>1</v>
      </c>
      <c r="CY18" s="59">
        <f t="shared" ref="CY18:CY20" si="169">CX18</f>
        <v>1</v>
      </c>
      <c r="CZ18" s="277">
        <f t="shared" ref="CZ18:CZ20" si="170">CY18</f>
        <v>1</v>
      </c>
      <c r="DA18" s="59">
        <f t="shared" ref="DA18:DA20" si="171">CZ18</f>
        <v>1</v>
      </c>
      <c r="DB18" s="59">
        <f t="shared" ref="DB18:DB20" si="172">DA18</f>
        <v>1</v>
      </c>
      <c r="DC18" s="59">
        <f t="shared" ref="DC18:DC20" si="173">DB18</f>
        <v>1</v>
      </c>
      <c r="DD18" s="59">
        <f t="shared" ref="DD18:DD20" si="174">DC18</f>
        <v>1</v>
      </c>
      <c r="DE18" s="59">
        <f t="shared" ref="DE18:DE20" si="175">DD18</f>
        <v>1</v>
      </c>
      <c r="DF18" s="59">
        <f t="shared" ref="DF18:DF20" si="176">DE18</f>
        <v>1</v>
      </c>
      <c r="DG18" s="59">
        <f t="shared" ref="DG18:DG20" si="177">DF18</f>
        <v>1</v>
      </c>
      <c r="DH18" s="59">
        <f t="shared" ref="DH18:DH20" si="178">DG18</f>
        <v>1</v>
      </c>
      <c r="DI18" s="59">
        <f t="shared" ref="DI18:DI20" si="179">DH18</f>
        <v>1</v>
      </c>
      <c r="DJ18" s="59">
        <f t="shared" ref="DJ18:DJ20" si="180">DI18</f>
        <v>1</v>
      </c>
      <c r="DK18" s="59">
        <f t="shared" ref="DK18:DK20" si="181">DJ18</f>
        <v>1</v>
      </c>
      <c r="DL18" s="277">
        <f t="shared" ref="DL18:DL20" si="182">DK18</f>
        <v>1</v>
      </c>
      <c r="DM18" s="59">
        <f t="shared" ref="DM18:DM20" si="183">DL18</f>
        <v>1</v>
      </c>
      <c r="DN18" s="59">
        <f t="shared" ref="DN18:DN20" si="184">DM18</f>
        <v>1</v>
      </c>
      <c r="DO18" s="59">
        <f t="shared" ref="DO18:DO20" si="185">DN18</f>
        <v>1</v>
      </c>
      <c r="DP18" s="59">
        <f t="shared" ref="DP18:DP20" si="186">DO18</f>
        <v>1</v>
      </c>
      <c r="DQ18" s="59">
        <f t="shared" ref="DQ18:DQ20" si="187">DP18</f>
        <v>1</v>
      </c>
      <c r="DR18" s="59">
        <f t="shared" ref="DR18:DR20" si="188">DQ18</f>
        <v>1</v>
      </c>
      <c r="DS18" s="59">
        <f t="shared" ref="DS18:DS20" si="189">DR18</f>
        <v>1</v>
      </c>
      <c r="DT18" s="59">
        <f t="shared" ref="DT18:DT20" si="190">DS18</f>
        <v>1</v>
      </c>
      <c r="DU18" s="59">
        <f t="shared" ref="DU18:DU20" si="191">DT18</f>
        <v>1</v>
      </c>
      <c r="DV18" s="59">
        <f t="shared" ref="DV18:DV20" si="192">DU18</f>
        <v>1</v>
      </c>
      <c r="DW18" s="59">
        <f t="shared" ref="DW18:DW20" si="193">DV18</f>
        <v>1</v>
      </c>
      <c r="DX18" s="1414">
        <f t="shared" ref="DX18:EB18" si="194">DW18</f>
        <v>1</v>
      </c>
      <c r="DY18" s="1414">
        <f t="shared" si="194"/>
        <v>1</v>
      </c>
      <c r="DZ18" s="1414">
        <f t="shared" si="194"/>
        <v>1</v>
      </c>
      <c r="EA18" s="1414">
        <f t="shared" si="194"/>
        <v>1</v>
      </c>
      <c r="EB18" s="1414">
        <f t="shared" si="194"/>
        <v>1</v>
      </c>
    </row>
    <row r="19" spans="3:132" x14ac:dyDescent="0.3">
      <c r="D19" s="49" t="s">
        <v>224</v>
      </c>
      <c r="E19" s="59"/>
      <c r="F19" s="392"/>
      <c r="G19" s="1190">
        <f>VLOOKUP($B$4,'Data Master'!$B$27:$DT$35,('Data Master'!D$3+2),0)</f>
        <v>0.9</v>
      </c>
      <c r="H19" s="59">
        <f>VLOOKUP($B$4,'Data Master'!$B$27:$DT$35,('Data Master'!E$3+2),0)</f>
        <v>0.9</v>
      </c>
      <c r="I19" s="59">
        <f>VLOOKUP($B$4,'Data Master'!$B$27:$DT$35,('Data Master'!F$3+2),0)</f>
        <v>0.9</v>
      </c>
      <c r="J19" s="59">
        <f>VLOOKUP($B$4,'Data Master'!$B$27:$DT$35,('Data Master'!G$3+2),0)</f>
        <v>0.9</v>
      </c>
      <c r="K19" s="59">
        <f>VLOOKUP($B$4,'Data Master'!$B$27:$DT$35,('Data Master'!H$3+2),0)</f>
        <v>0.9</v>
      </c>
      <c r="L19" s="59">
        <f>VLOOKUP($B$4,'Data Master'!$B$27:$DT$35,('Data Master'!I$3+2),0)</f>
        <v>0.9</v>
      </c>
      <c r="M19" s="59">
        <f>VLOOKUP($B$4,'Data Master'!$B$27:$DT$35,('Data Master'!J$3+2),0)</f>
        <v>0.9</v>
      </c>
      <c r="N19" s="59">
        <f>VLOOKUP($B$4,'Data Master'!$B$27:$DT$35,('Data Master'!K$3+2),0)</f>
        <v>0.9</v>
      </c>
      <c r="O19" s="59">
        <f>VLOOKUP($B$4,'Data Master'!$B$27:$DT$35,('Data Master'!L$3+2),0)</f>
        <v>0.9</v>
      </c>
      <c r="P19" s="59">
        <f>VLOOKUP($B$4,'Data Master'!$B$27:$DT$35,('Data Master'!M$3+2),0)</f>
        <v>0.9</v>
      </c>
      <c r="Q19" s="59">
        <f>VLOOKUP($B$4,'Data Master'!$B$27:$DT$35,('Data Master'!N$3+2),0)</f>
        <v>0.9</v>
      </c>
      <c r="R19" s="59">
        <f>VLOOKUP($B$4,'Data Master'!$B$27:$DT$35,('Data Master'!O$3+2),0)</f>
        <v>0.9</v>
      </c>
      <c r="S19" s="59">
        <f>VLOOKUP($B$4,'Data Master'!$B$27:$DT$35,('Data Master'!P$3+2),0)</f>
        <v>0.9</v>
      </c>
      <c r="T19" s="277">
        <f>VLOOKUP($B$4,'Data Master'!$B$27:$DT$35,('Data Master'!Q$3+2),0)</f>
        <v>0.9</v>
      </c>
      <c r="U19" s="59">
        <f>VLOOKUP($B$4,'Data Master'!$B$27:$DT$35,('Data Master'!R$3+2),0)</f>
        <v>0.9</v>
      </c>
      <c r="V19" s="59">
        <f>VLOOKUP($B$4,'Data Master'!$B$27:$DT$35,('Data Master'!S$3+2),0)</f>
        <v>0.9</v>
      </c>
      <c r="W19" s="59">
        <f>VLOOKUP($B$4,'Data Master'!$B$27:$DT$35,('Data Master'!T$3+2),0)</f>
        <v>0.9</v>
      </c>
      <c r="X19" s="59">
        <f>VLOOKUP($B$4,'Data Master'!$B$27:$DT$35,('Data Master'!U$3+2),0)</f>
        <v>0.9</v>
      </c>
      <c r="Y19" s="59">
        <f>VLOOKUP($B$4,'Data Master'!$B$27:$DT$35,('Data Master'!V$3+2),0)</f>
        <v>0.9</v>
      </c>
      <c r="Z19" s="59">
        <f>VLOOKUP($B$4,'Data Master'!$B$27:$DT$35,('Data Master'!W$3+2),0)</f>
        <v>0.9</v>
      </c>
      <c r="AA19" s="59">
        <f>VLOOKUP($B$4,'Data Master'!$B$27:$DT$35,('Data Master'!X$3+2),0)</f>
        <v>0.9</v>
      </c>
      <c r="AB19" s="59">
        <f>VLOOKUP($B$4,'Data Master'!$B$27:$DT$35,('Data Master'!Y$3+2),0)</f>
        <v>0.9</v>
      </c>
      <c r="AC19" s="59">
        <f>VLOOKUP($B$4,'Data Master'!$B$27:$DT$35,('Data Master'!Z$3+2),0)</f>
        <v>0.9</v>
      </c>
      <c r="AD19" s="59">
        <f>VLOOKUP($B$4,'Data Master'!$B$27:$DT$35,('Data Master'!AA$3+2),0)</f>
        <v>0.9</v>
      </c>
      <c r="AE19" s="59">
        <f>VLOOKUP($B$4,'Data Master'!$B$27:$DT$35,('Data Master'!AB$3+2),0)</f>
        <v>0.9</v>
      </c>
      <c r="AF19" s="277">
        <f>VLOOKUP($B$4,'Data Master'!$B$27:$DT$35,('Data Master'!AC$3+2),0)</f>
        <v>0.9</v>
      </c>
      <c r="AG19" s="59">
        <f>VLOOKUP($B$4,'Data Master'!$B$27:$DT$35,('Data Master'!AD$3+2),0)</f>
        <v>0.9</v>
      </c>
      <c r="AH19" s="59">
        <f>VLOOKUP($B$4,'Data Master'!$B$27:$DT$35,('Data Master'!AE$3+2),0)</f>
        <v>0.9</v>
      </c>
      <c r="AI19" s="59">
        <f>VLOOKUP($B$4,'Data Master'!$B$27:$DT$35,('Data Master'!AF$3+2),0)</f>
        <v>0.9</v>
      </c>
      <c r="AJ19" s="59">
        <f>VLOOKUP($B$4,'Data Master'!$B$27:$DT$35,('Data Master'!AG$3+2),0)</f>
        <v>0.9</v>
      </c>
      <c r="AK19" s="59">
        <f>VLOOKUP($B$4,'Data Master'!$B$27:$DT$35,('Data Master'!AH$3+2),0)</f>
        <v>0.9</v>
      </c>
      <c r="AL19" s="59">
        <f>VLOOKUP($B$4,'Data Master'!$B$27:$DT$35,('Data Master'!AI$3+2),0)</f>
        <v>0.9</v>
      </c>
      <c r="AM19" s="59">
        <f>VLOOKUP($B$4,'Data Master'!$B$27:$DT$35,('Data Master'!AJ$3+2),0)</f>
        <v>0.9</v>
      </c>
      <c r="AN19" s="59">
        <f>VLOOKUP($B$4,'Data Master'!$B$27:$DT$35,('Data Master'!AK$3+2),0)</f>
        <v>0.9</v>
      </c>
      <c r="AO19" s="59">
        <f>VLOOKUP($B$4,'Data Master'!$B$27:$DT$35,('Data Master'!AL$3+2),0)</f>
        <v>0.9</v>
      </c>
      <c r="AP19" s="59">
        <f>VLOOKUP($B$4,'Data Master'!$B$27:$DT$35,('Data Master'!AM$3+2),0)</f>
        <v>0.9</v>
      </c>
      <c r="AQ19" s="59">
        <f>VLOOKUP($B$4,'Data Master'!$B$27:$DT$35,('Data Master'!AN$3+2),0)</f>
        <v>0.9</v>
      </c>
      <c r="AR19" s="277">
        <f>VLOOKUP($B$4,'Data Master'!$B$27:$DT$35,('Data Master'!AO$3+2),0)</f>
        <v>0.9</v>
      </c>
      <c r="AS19" s="59">
        <f>VLOOKUP($B$4,'Data Master'!$B$27:$DT$35,('Data Master'!AP$3+2),0)</f>
        <v>0.9</v>
      </c>
      <c r="AT19" s="59">
        <f>VLOOKUP($B$4,'Data Master'!$B$27:$DT$35,('Data Master'!AQ$3+2),0)</f>
        <v>0.9</v>
      </c>
      <c r="AU19" s="59">
        <f>VLOOKUP($B$4,'Data Master'!$B$27:$DT$35,('Data Master'!AR$3+2),0)</f>
        <v>0.9</v>
      </c>
      <c r="AV19" s="59">
        <f>VLOOKUP($B$4,'Data Master'!$B$27:$DT$35,('Data Master'!AS$3+2),0)</f>
        <v>0.9</v>
      </c>
      <c r="AW19" s="59">
        <f>VLOOKUP($B$4,'Data Master'!$B$27:$DT$35,('Data Master'!AT$3+2),0)</f>
        <v>0.9</v>
      </c>
      <c r="AX19" s="59">
        <f>VLOOKUP($B$4,'Data Master'!$B$27:$DT$35,('Data Master'!AU$3+2),0)</f>
        <v>0.9</v>
      </c>
      <c r="AY19" s="59">
        <f>VLOOKUP($B$4,'Data Master'!$B$27:$DT$35,('Data Master'!AV$3+2),0)</f>
        <v>0.9</v>
      </c>
      <c r="AZ19" s="59">
        <f>VLOOKUP($B$4,'Data Master'!$B$27:$DT$35,('Data Master'!AW$3+2),0)</f>
        <v>0.9</v>
      </c>
      <c r="BA19" s="59">
        <f>VLOOKUP($B$4,'Data Master'!$B$27:$DT$35,('Data Master'!AX$3+2),0)</f>
        <v>0.9</v>
      </c>
      <c r="BB19" s="59">
        <f>VLOOKUP($B$4,'Data Master'!$B$27:$DT$35,('Data Master'!AY$3+2),0)</f>
        <v>0.9</v>
      </c>
      <c r="BC19" s="59">
        <f>VLOOKUP($B$4,'Data Master'!$B$27:$DT$35,('Data Master'!AZ$3+2),0)</f>
        <v>0.9</v>
      </c>
      <c r="BD19" s="277">
        <f>VLOOKUP($B$4,'Data Master'!$B$27:$DT$35,('Data Master'!BA$3+2),0)</f>
        <v>0.9</v>
      </c>
      <c r="BE19" s="59">
        <f>VLOOKUP($B$4,'Data Master'!$B$27:$DT$35,('Data Master'!BB$3+2),0)</f>
        <v>0.9</v>
      </c>
      <c r="BF19" s="59">
        <f>VLOOKUP($B$4,'Data Master'!$B$27:$DT$35,('Data Master'!BC$3+2),0)</f>
        <v>0.9</v>
      </c>
      <c r="BG19" s="59">
        <f>VLOOKUP($B$4,'Data Master'!$B$27:$DT$35,('Data Master'!BD$3+2),0)</f>
        <v>0.9</v>
      </c>
      <c r="BH19" s="59">
        <f>VLOOKUP($B$4,'Data Master'!$B$27:$DT$35,('Data Master'!BE$3+2),0)</f>
        <v>0.9</v>
      </c>
      <c r="BI19" s="59">
        <f>VLOOKUP($B$4,'Data Master'!$B$27:$DT$35,('Data Master'!BF$3+2),0)</f>
        <v>0.9</v>
      </c>
      <c r="BJ19" s="59">
        <f>VLOOKUP($B$4,'Data Master'!$B$27:$DT$35,('Data Master'!BG$3+2),0)</f>
        <v>0.9</v>
      </c>
      <c r="BK19" s="59">
        <f>VLOOKUP($B$4,'Data Master'!$B$27:$DT$35,('Data Master'!BH$3+2),0)</f>
        <v>0.9</v>
      </c>
      <c r="BL19" s="59">
        <f>VLOOKUP($B$4,'Data Master'!$B$27:$DT$35,('Data Master'!BI$3+2),0)</f>
        <v>0.9</v>
      </c>
      <c r="BM19" s="59">
        <f>VLOOKUP($B$4,'Data Master'!$B$27:$DT$35,('Data Master'!BJ$3+2),0)</f>
        <v>0.9</v>
      </c>
      <c r="BN19" s="59">
        <f>VLOOKUP($B$4,'Data Master'!$B$27:$DT$35,('Data Master'!BK$3+2),0)</f>
        <v>0.9</v>
      </c>
      <c r="BO19" s="59">
        <f>VLOOKUP($B$4,'Data Master'!$B$27:$DT$35,('Data Master'!BL$3+2),0)</f>
        <v>0.9</v>
      </c>
      <c r="BP19" s="277">
        <f>VLOOKUP($B$4,'Data Master'!$B$27:$DT$35,('Data Master'!BM$3+2),0)</f>
        <v>0.9</v>
      </c>
      <c r="BQ19" s="59">
        <f>VLOOKUP($B$4,'Data Master'!$B$27:$DT$35,('Data Master'!BN$3+2),0)</f>
        <v>0.9</v>
      </c>
      <c r="BR19" s="59">
        <f>VLOOKUP($B$4,'Data Master'!$B$27:$DT$35,('Data Master'!BO$3+2),0)</f>
        <v>0.9</v>
      </c>
      <c r="BS19" s="59">
        <f>VLOOKUP($B$4,'Data Master'!$B$27:$DT$35,('Data Master'!BP$3+2),0)</f>
        <v>0.9</v>
      </c>
      <c r="BT19" s="59">
        <f>VLOOKUP($B$4,'Data Master'!$B$27:$DT$35,('Data Master'!BQ$3+2),0)</f>
        <v>0.9</v>
      </c>
      <c r="BU19" s="59">
        <f>VLOOKUP($B$4,'Data Master'!$B$27:$DT$35,('Data Master'!BR$3+2),0)</f>
        <v>0.9</v>
      </c>
      <c r="BV19" s="59">
        <f>VLOOKUP($B$4,'Data Master'!$B$27:$DT$35,('Data Master'!BS$3+2),0)</f>
        <v>0.9</v>
      </c>
      <c r="BW19" s="59">
        <f>VLOOKUP($B$4,'Data Master'!$B$27:$DT$35,('Data Master'!BT$3+2),0)</f>
        <v>0.9</v>
      </c>
      <c r="BX19" s="59">
        <f>VLOOKUP($B$4,'Data Master'!$B$27:$DT$35,('Data Master'!BU$3+2),0)</f>
        <v>0.9</v>
      </c>
      <c r="BY19" s="59">
        <f>VLOOKUP($B$4,'Data Master'!$B$27:$DT$35,('Data Master'!BV$3+2),0)</f>
        <v>0.9</v>
      </c>
      <c r="BZ19" s="59">
        <f>VLOOKUP($B$4,'Data Master'!$B$27:$DT$35,('Data Master'!BW$3+2),0)</f>
        <v>0.9</v>
      </c>
      <c r="CA19" s="59">
        <f>VLOOKUP($B$4,'Data Master'!$B$27:$DT$35,('Data Master'!BX$3+2),0)</f>
        <v>0.9</v>
      </c>
      <c r="CB19" s="277">
        <f>VLOOKUP($B$4,'Data Master'!$B$27:$DT$35,('Data Master'!BY$3+2),0)</f>
        <v>0.9</v>
      </c>
      <c r="CC19" s="59">
        <f>VLOOKUP($B$4,'Data Master'!$B$27:$DT$35,('Data Master'!BZ$3+2),0)</f>
        <v>0.9</v>
      </c>
      <c r="CD19" s="59">
        <f>VLOOKUP($B$4,'Data Master'!$B$27:$DT$35,('Data Master'!CA$3+2),0)</f>
        <v>0.9</v>
      </c>
      <c r="CE19" s="59">
        <f>VLOOKUP($B$4,'Data Master'!$B$27:$DT$35,('Data Master'!CB$3+2),0)</f>
        <v>0.9</v>
      </c>
      <c r="CF19" s="59">
        <f>VLOOKUP($B$4,'Data Master'!$B$27:$DT$35,('Data Master'!CC$3+2),0)</f>
        <v>0.9</v>
      </c>
      <c r="CG19" s="59">
        <f>VLOOKUP($B$4,'Data Master'!$B$27:$DT$35,('Data Master'!CD$3+2),0)</f>
        <v>0.9</v>
      </c>
      <c r="CH19" s="59">
        <f>VLOOKUP($B$4,'Data Master'!$B$27:$DT$35,('Data Master'!CE$3+2),0)</f>
        <v>0.9</v>
      </c>
      <c r="CI19" s="59">
        <f>VLOOKUP($B$4,'Data Master'!$B$27:$DT$35,('Data Master'!CF$3+2),0)</f>
        <v>0.9</v>
      </c>
      <c r="CJ19" s="59">
        <f>VLOOKUP($B$4,'Data Master'!$B$27:$DT$35,('Data Master'!CG$3+2),0)</f>
        <v>0.9</v>
      </c>
      <c r="CK19" s="59">
        <f>VLOOKUP($B$4,'Data Master'!$B$27:$DT$35,('Data Master'!CH$3+2),0)</f>
        <v>0.9</v>
      </c>
      <c r="CL19" s="59">
        <f>VLOOKUP($B$4,'Data Master'!$B$27:$DT$35,('Data Master'!CI$3+2),0)</f>
        <v>0.9</v>
      </c>
      <c r="CM19" s="59">
        <f>VLOOKUP($B$4,'Data Master'!$B$27:$DT$35,('Data Master'!CJ$3+2),0)</f>
        <v>0.9</v>
      </c>
      <c r="CN19" s="277">
        <f>VLOOKUP($B$4,'Data Master'!$B$27:$DT$35,('Data Master'!CK$3+2),0)</f>
        <v>0.9</v>
      </c>
      <c r="CO19" s="59">
        <f>VLOOKUP($B$4,'Data Master'!$B$27:$DT$35,('Data Master'!CL$3+2),0)</f>
        <v>0.9</v>
      </c>
      <c r="CP19" s="59">
        <f>VLOOKUP($B$4,'Data Master'!$B$27:$DT$35,('Data Master'!CM$3+2),0)</f>
        <v>0.9</v>
      </c>
      <c r="CQ19" s="59">
        <f>VLOOKUP($B$4,'Data Master'!$B$27:$DT$35,('Data Master'!CN$3+2),0)</f>
        <v>0.9</v>
      </c>
      <c r="CR19" s="59">
        <f>VLOOKUP($B$4,'Data Master'!$B$27:$DT$35,('Data Master'!CO$3+2),0)</f>
        <v>0.9</v>
      </c>
      <c r="CS19" s="59">
        <f>VLOOKUP($B$4,'Data Master'!$B$27:$DT$35,('Data Master'!CP$3+2),0)</f>
        <v>0.9</v>
      </c>
      <c r="CT19" s="59">
        <f>VLOOKUP($B$4,'Data Master'!$B$27:$DT$35,('Data Master'!CQ$3+2),0)</f>
        <v>0.9</v>
      </c>
      <c r="CU19" s="59">
        <f>VLOOKUP($B$4,'Data Master'!$B$27:$DT$35,('Data Master'!CR$3+2),0)</f>
        <v>0.9</v>
      </c>
      <c r="CV19" s="59">
        <f>VLOOKUP($B$4,'Data Master'!$B$27:$DT$35,('Data Master'!CS$3+2),0)</f>
        <v>0.9</v>
      </c>
      <c r="CW19" s="59">
        <f>VLOOKUP($B$4,'Data Master'!$B$27:$DT$35,('Data Master'!CT$3+2),0)</f>
        <v>0.9</v>
      </c>
      <c r="CX19" s="59">
        <f>VLOOKUP($B$4,'Data Master'!$B$27:$DT$35,('Data Master'!CU$3+2),0)</f>
        <v>0.9</v>
      </c>
      <c r="CY19" s="59">
        <f>VLOOKUP($B$4,'Data Master'!$B$27:$DT$35,('Data Master'!CV$3+2),0)</f>
        <v>0.9</v>
      </c>
      <c r="CZ19" s="277">
        <f>VLOOKUP($B$4,'Data Master'!$B$27:$DT$35,('Data Master'!CW$3+2),0)</f>
        <v>0.9</v>
      </c>
      <c r="DA19" s="59">
        <f>VLOOKUP($B$4,'Data Master'!$B$27:$DT$35,('Data Master'!CX$3+2),0)</f>
        <v>0.9</v>
      </c>
      <c r="DB19" s="59">
        <f>VLOOKUP($B$4,'Data Master'!$B$27:$DT$35,('Data Master'!CY$3+2),0)</f>
        <v>0.9</v>
      </c>
      <c r="DC19" s="59">
        <f>VLOOKUP($B$4,'Data Master'!$B$27:$DT$35,('Data Master'!CZ$3+2),0)</f>
        <v>0.9</v>
      </c>
      <c r="DD19" s="59">
        <f>VLOOKUP($B$4,'Data Master'!$B$27:$DT$35,('Data Master'!DA$3+2),0)</f>
        <v>0.9</v>
      </c>
      <c r="DE19" s="59">
        <f>VLOOKUP($B$4,'Data Master'!$B$27:$DT$35,('Data Master'!DB$3+2),0)</f>
        <v>0.9</v>
      </c>
      <c r="DF19" s="59">
        <f>VLOOKUP($B$4,'Data Master'!$B$27:$DT$35,('Data Master'!DC$3+2),0)</f>
        <v>0.9</v>
      </c>
      <c r="DG19" s="59">
        <f>VLOOKUP($B$4,'Data Master'!$B$27:$DT$35,('Data Master'!DD$3+2),0)</f>
        <v>0.9</v>
      </c>
      <c r="DH19" s="59">
        <f>VLOOKUP($B$4,'Data Master'!$B$27:$DT$35,('Data Master'!DE$3+2),0)</f>
        <v>0.9</v>
      </c>
      <c r="DI19" s="59">
        <f>VLOOKUP($B$4,'Data Master'!$B$27:$DT$35,('Data Master'!DF$3+2),0)</f>
        <v>0.9</v>
      </c>
      <c r="DJ19" s="59">
        <f>VLOOKUP($B$4,'Data Master'!$B$27:$DT$35,('Data Master'!DG$3+2),0)</f>
        <v>0.9</v>
      </c>
      <c r="DK19" s="59">
        <f>VLOOKUP($B$4,'Data Master'!$B$27:$DT$35,('Data Master'!DH$3+2),0)</f>
        <v>0.9</v>
      </c>
      <c r="DL19" s="277">
        <f>VLOOKUP($B$4,'Data Master'!$B$27:$DT$35,('Data Master'!DI$3+2),0)</f>
        <v>0.9</v>
      </c>
      <c r="DM19" s="59">
        <f>VLOOKUP($B$4,'Data Master'!$B$27:$DT$35,('Data Master'!DJ$3+2),0)</f>
        <v>0.9</v>
      </c>
      <c r="DN19" s="59">
        <f>VLOOKUP($B$4,'Data Master'!$B$27:$DT$35,('Data Master'!DK$3+2),0)</f>
        <v>0.9</v>
      </c>
      <c r="DO19" s="59">
        <f>VLOOKUP($B$4,'Data Master'!$B$27:$DT$35,('Data Master'!DL$3+2),0)</f>
        <v>0.9</v>
      </c>
      <c r="DP19" s="59">
        <f>VLOOKUP($B$4,'Data Master'!$B$27:$DT$35,('Data Master'!DM$3+2),0)</f>
        <v>0.9</v>
      </c>
      <c r="DQ19" s="59">
        <f>VLOOKUP($B$4,'Data Master'!$B$27:$DT$35,('Data Master'!DN$3+2),0)</f>
        <v>0.9</v>
      </c>
      <c r="DR19" s="59">
        <f>VLOOKUP($B$4,'Data Master'!$B$27:$DT$35,('Data Master'!DO$3+2),0)</f>
        <v>0.9</v>
      </c>
      <c r="DS19" s="59">
        <f>VLOOKUP($B$4,'Data Master'!$B$27:$DT$35,('Data Master'!DP$3+2),0)</f>
        <v>0.9</v>
      </c>
      <c r="DT19" s="59">
        <f>VLOOKUP($B$4,'Data Master'!$B$27:$DT$35,('Data Master'!DQ$3+2),0)</f>
        <v>0.9</v>
      </c>
      <c r="DU19" s="59">
        <f>VLOOKUP($B$4,'Data Master'!$B$27:$DT$35,('Data Master'!DR$3+2),0)</f>
        <v>0.9</v>
      </c>
      <c r="DV19" s="59">
        <f>VLOOKUP($B$4,'Data Master'!$B$27:$DT$35,('Data Master'!DS$3+2),0)</f>
        <v>0.9</v>
      </c>
      <c r="DW19" s="59">
        <f>VLOOKUP($B$4,'Data Master'!$B$27:$DT$35,('Data Master'!DT$3+2),0)</f>
        <v>0.9</v>
      </c>
      <c r="DX19" s="1414">
        <f t="shared" ref="DX19:EB19" si="195">DW19</f>
        <v>0.9</v>
      </c>
      <c r="DY19" s="1414">
        <f t="shared" si="195"/>
        <v>0.9</v>
      </c>
      <c r="DZ19" s="1414">
        <f t="shared" si="195"/>
        <v>0.9</v>
      </c>
      <c r="EA19" s="1414">
        <f t="shared" si="195"/>
        <v>0.9</v>
      </c>
      <c r="EB19" s="1414">
        <f t="shared" si="195"/>
        <v>0.9</v>
      </c>
    </row>
    <row r="20" spans="3:132" x14ac:dyDescent="0.3">
      <c r="D20" s="60" t="s">
        <v>225</v>
      </c>
      <c r="E20" s="59"/>
      <c r="F20" s="392"/>
      <c r="G20" s="1190">
        <v>1</v>
      </c>
      <c r="H20" s="59">
        <f t="shared" ref="H20:S20" si="196">G20</f>
        <v>1</v>
      </c>
      <c r="I20" s="59">
        <f t="shared" si="196"/>
        <v>1</v>
      </c>
      <c r="J20" s="59">
        <f t="shared" si="196"/>
        <v>1</v>
      </c>
      <c r="K20" s="59">
        <f t="shared" si="196"/>
        <v>1</v>
      </c>
      <c r="L20" s="59">
        <f t="shared" si="196"/>
        <v>1</v>
      </c>
      <c r="M20" s="59">
        <f t="shared" si="196"/>
        <v>1</v>
      </c>
      <c r="N20" s="59">
        <f t="shared" si="196"/>
        <v>1</v>
      </c>
      <c r="O20" s="59">
        <f t="shared" si="196"/>
        <v>1</v>
      </c>
      <c r="P20" s="59">
        <f t="shared" si="196"/>
        <v>1</v>
      </c>
      <c r="Q20" s="59">
        <f t="shared" si="196"/>
        <v>1</v>
      </c>
      <c r="R20" s="59">
        <f t="shared" si="196"/>
        <v>1</v>
      </c>
      <c r="S20" s="59">
        <f t="shared" si="196"/>
        <v>1</v>
      </c>
      <c r="T20" s="277">
        <f t="shared" si="86"/>
        <v>1</v>
      </c>
      <c r="U20" s="59">
        <f t="shared" si="87"/>
        <v>1</v>
      </c>
      <c r="V20" s="59">
        <f t="shared" si="88"/>
        <v>1</v>
      </c>
      <c r="W20" s="59">
        <f t="shared" si="89"/>
        <v>1</v>
      </c>
      <c r="X20" s="59">
        <f t="shared" si="90"/>
        <v>1</v>
      </c>
      <c r="Y20" s="59">
        <f t="shared" si="91"/>
        <v>1</v>
      </c>
      <c r="Z20" s="59">
        <f t="shared" si="92"/>
        <v>1</v>
      </c>
      <c r="AA20" s="59">
        <f t="shared" si="93"/>
        <v>1</v>
      </c>
      <c r="AB20" s="59">
        <f t="shared" si="94"/>
        <v>1</v>
      </c>
      <c r="AC20" s="59">
        <f t="shared" si="95"/>
        <v>1</v>
      </c>
      <c r="AD20" s="59">
        <f t="shared" si="96"/>
        <v>1</v>
      </c>
      <c r="AE20" s="59">
        <f t="shared" si="97"/>
        <v>1</v>
      </c>
      <c r="AF20" s="277">
        <f t="shared" si="98"/>
        <v>1</v>
      </c>
      <c r="AG20" s="59">
        <f t="shared" si="99"/>
        <v>1</v>
      </c>
      <c r="AH20" s="59">
        <f t="shared" si="100"/>
        <v>1</v>
      </c>
      <c r="AI20" s="59">
        <f t="shared" si="101"/>
        <v>1</v>
      </c>
      <c r="AJ20" s="59">
        <f t="shared" si="102"/>
        <v>1</v>
      </c>
      <c r="AK20" s="59">
        <f t="shared" si="103"/>
        <v>1</v>
      </c>
      <c r="AL20" s="59">
        <f t="shared" si="104"/>
        <v>1</v>
      </c>
      <c r="AM20" s="59">
        <f t="shared" si="105"/>
        <v>1</v>
      </c>
      <c r="AN20" s="59">
        <f t="shared" si="106"/>
        <v>1</v>
      </c>
      <c r="AO20" s="59">
        <f t="shared" si="107"/>
        <v>1</v>
      </c>
      <c r="AP20" s="59">
        <f t="shared" si="108"/>
        <v>1</v>
      </c>
      <c r="AQ20" s="59">
        <f t="shared" si="109"/>
        <v>1</v>
      </c>
      <c r="AR20" s="277">
        <f t="shared" si="110"/>
        <v>1</v>
      </c>
      <c r="AS20" s="59">
        <f t="shared" si="111"/>
        <v>1</v>
      </c>
      <c r="AT20" s="59">
        <f t="shared" si="112"/>
        <v>1</v>
      </c>
      <c r="AU20" s="59">
        <f t="shared" si="113"/>
        <v>1</v>
      </c>
      <c r="AV20" s="59">
        <f t="shared" si="114"/>
        <v>1</v>
      </c>
      <c r="AW20" s="59">
        <f t="shared" si="115"/>
        <v>1</v>
      </c>
      <c r="AX20" s="59">
        <f t="shared" si="116"/>
        <v>1</v>
      </c>
      <c r="AY20" s="59">
        <f t="shared" si="117"/>
        <v>1</v>
      </c>
      <c r="AZ20" s="59">
        <f t="shared" si="118"/>
        <v>1</v>
      </c>
      <c r="BA20" s="59">
        <f t="shared" si="119"/>
        <v>1</v>
      </c>
      <c r="BB20" s="59">
        <f t="shared" si="120"/>
        <v>1</v>
      </c>
      <c r="BC20" s="59">
        <f t="shared" si="121"/>
        <v>1</v>
      </c>
      <c r="BD20" s="277">
        <f t="shared" si="122"/>
        <v>1</v>
      </c>
      <c r="BE20" s="59">
        <f t="shared" si="123"/>
        <v>1</v>
      </c>
      <c r="BF20" s="59">
        <f t="shared" si="124"/>
        <v>1</v>
      </c>
      <c r="BG20" s="59">
        <f t="shared" si="125"/>
        <v>1</v>
      </c>
      <c r="BH20" s="59">
        <f t="shared" si="126"/>
        <v>1</v>
      </c>
      <c r="BI20" s="59">
        <f t="shared" si="127"/>
        <v>1</v>
      </c>
      <c r="BJ20" s="59">
        <f t="shared" si="128"/>
        <v>1</v>
      </c>
      <c r="BK20" s="59">
        <f t="shared" si="129"/>
        <v>1</v>
      </c>
      <c r="BL20" s="59">
        <f t="shared" si="130"/>
        <v>1</v>
      </c>
      <c r="BM20" s="59">
        <f t="shared" si="131"/>
        <v>1</v>
      </c>
      <c r="BN20" s="59">
        <f t="shared" si="132"/>
        <v>1</v>
      </c>
      <c r="BO20" s="59">
        <f t="shared" si="133"/>
        <v>1</v>
      </c>
      <c r="BP20" s="277">
        <f t="shared" si="134"/>
        <v>1</v>
      </c>
      <c r="BQ20" s="59">
        <f t="shared" si="135"/>
        <v>1</v>
      </c>
      <c r="BR20" s="59">
        <f t="shared" si="136"/>
        <v>1</v>
      </c>
      <c r="BS20" s="59">
        <f t="shared" si="137"/>
        <v>1</v>
      </c>
      <c r="BT20" s="59">
        <f t="shared" si="138"/>
        <v>1</v>
      </c>
      <c r="BU20" s="59">
        <f t="shared" si="139"/>
        <v>1</v>
      </c>
      <c r="BV20" s="59">
        <f t="shared" si="140"/>
        <v>1</v>
      </c>
      <c r="BW20" s="59">
        <f t="shared" si="141"/>
        <v>1</v>
      </c>
      <c r="BX20" s="59">
        <f t="shared" si="142"/>
        <v>1</v>
      </c>
      <c r="BY20" s="59">
        <f t="shared" si="143"/>
        <v>1</v>
      </c>
      <c r="BZ20" s="59">
        <f t="shared" si="144"/>
        <v>1</v>
      </c>
      <c r="CA20" s="59">
        <f t="shared" si="145"/>
        <v>1</v>
      </c>
      <c r="CB20" s="277">
        <f t="shared" si="146"/>
        <v>1</v>
      </c>
      <c r="CC20" s="59">
        <f t="shared" si="147"/>
        <v>1</v>
      </c>
      <c r="CD20" s="59">
        <f t="shared" si="148"/>
        <v>1</v>
      </c>
      <c r="CE20" s="59">
        <f t="shared" si="149"/>
        <v>1</v>
      </c>
      <c r="CF20" s="59">
        <f t="shared" si="150"/>
        <v>1</v>
      </c>
      <c r="CG20" s="59">
        <f t="shared" si="151"/>
        <v>1</v>
      </c>
      <c r="CH20" s="59">
        <f t="shared" si="152"/>
        <v>1</v>
      </c>
      <c r="CI20" s="59">
        <f t="shared" si="153"/>
        <v>1</v>
      </c>
      <c r="CJ20" s="59">
        <f t="shared" si="154"/>
        <v>1</v>
      </c>
      <c r="CK20" s="59">
        <f t="shared" si="155"/>
        <v>1</v>
      </c>
      <c r="CL20" s="59">
        <f t="shared" si="156"/>
        <v>1</v>
      </c>
      <c r="CM20" s="59">
        <f t="shared" si="157"/>
        <v>1</v>
      </c>
      <c r="CN20" s="277">
        <f t="shared" si="158"/>
        <v>1</v>
      </c>
      <c r="CO20" s="59">
        <f t="shared" si="159"/>
        <v>1</v>
      </c>
      <c r="CP20" s="59">
        <f t="shared" si="160"/>
        <v>1</v>
      </c>
      <c r="CQ20" s="59">
        <f t="shared" si="161"/>
        <v>1</v>
      </c>
      <c r="CR20" s="59">
        <f t="shared" si="162"/>
        <v>1</v>
      </c>
      <c r="CS20" s="59">
        <f t="shared" si="163"/>
        <v>1</v>
      </c>
      <c r="CT20" s="59">
        <f t="shared" si="164"/>
        <v>1</v>
      </c>
      <c r="CU20" s="59">
        <f t="shared" si="165"/>
        <v>1</v>
      </c>
      <c r="CV20" s="59">
        <f t="shared" si="166"/>
        <v>1</v>
      </c>
      <c r="CW20" s="59">
        <f t="shared" si="167"/>
        <v>1</v>
      </c>
      <c r="CX20" s="59">
        <f t="shared" si="168"/>
        <v>1</v>
      </c>
      <c r="CY20" s="59">
        <f t="shared" si="169"/>
        <v>1</v>
      </c>
      <c r="CZ20" s="277">
        <f t="shared" si="170"/>
        <v>1</v>
      </c>
      <c r="DA20" s="59">
        <f t="shared" si="171"/>
        <v>1</v>
      </c>
      <c r="DB20" s="59">
        <f t="shared" si="172"/>
        <v>1</v>
      </c>
      <c r="DC20" s="59">
        <f t="shared" si="173"/>
        <v>1</v>
      </c>
      <c r="DD20" s="59">
        <f t="shared" si="174"/>
        <v>1</v>
      </c>
      <c r="DE20" s="59">
        <f t="shared" si="175"/>
        <v>1</v>
      </c>
      <c r="DF20" s="59">
        <f t="shared" si="176"/>
        <v>1</v>
      </c>
      <c r="DG20" s="59">
        <f t="shared" si="177"/>
        <v>1</v>
      </c>
      <c r="DH20" s="59">
        <f t="shared" si="178"/>
        <v>1</v>
      </c>
      <c r="DI20" s="59">
        <f t="shared" si="179"/>
        <v>1</v>
      </c>
      <c r="DJ20" s="59">
        <f t="shared" si="180"/>
        <v>1</v>
      </c>
      <c r="DK20" s="59">
        <f t="shared" si="181"/>
        <v>1</v>
      </c>
      <c r="DL20" s="277">
        <f t="shared" si="182"/>
        <v>1</v>
      </c>
      <c r="DM20" s="59">
        <f t="shared" si="183"/>
        <v>1</v>
      </c>
      <c r="DN20" s="59">
        <f t="shared" si="184"/>
        <v>1</v>
      </c>
      <c r="DO20" s="59">
        <f t="shared" si="185"/>
        <v>1</v>
      </c>
      <c r="DP20" s="59">
        <f t="shared" si="186"/>
        <v>1</v>
      </c>
      <c r="DQ20" s="59">
        <f t="shared" si="187"/>
        <v>1</v>
      </c>
      <c r="DR20" s="59">
        <f t="shared" si="188"/>
        <v>1</v>
      </c>
      <c r="DS20" s="59">
        <f t="shared" si="189"/>
        <v>1</v>
      </c>
      <c r="DT20" s="59">
        <f t="shared" si="190"/>
        <v>1</v>
      </c>
      <c r="DU20" s="59">
        <f t="shared" si="191"/>
        <v>1</v>
      </c>
      <c r="DV20" s="59">
        <f t="shared" si="192"/>
        <v>1</v>
      </c>
      <c r="DW20" s="59">
        <f t="shared" si="193"/>
        <v>1</v>
      </c>
      <c r="DX20" s="1414">
        <f t="shared" ref="DX20:EB20" si="197">DW20</f>
        <v>1</v>
      </c>
      <c r="DY20" s="1414">
        <f t="shared" si="197"/>
        <v>1</v>
      </c>
      <c r="DZ20" s="1414">
        <f t="shared" si="197"/>
        <v>1</v>
      </c>
      <c r="EA20" s="1414">
        <f t="shared" si="197"/>
        <v>1</v>
      </c>
      <c r="EB20" s="1414">
        <f t="shared" si="197"/>
        <v>1</v>
      </c>
    </row>
    <row r="21" spans="3:132" x14ac:dyDescent="0.3">
      <c r="D21" s="1175" t="s">
        <v>53</v>
      </c>
      <c r="E21" s="1191"/>
      <c r="F21" s="1192"/>
      <c r="G21" s="1193">
        <f>VLOOKUP($B$4,'Data Master'!$B$38:$DT$46,('Data Master'!D$3+3),0)</f>
        <v>5.5E-2</v>
      </c>
      <c r="H21" s="1193">
        <f>VLOOKUP($B$4,'Data Master'!$B$38:$DT$46,('Data Master'!E$3+3),0)</f>
        <v>5.5E-2</v>
      </c>
      <c r="I21" s="1193">
        <f>VLOOKUP($B$4,'Data Master'!$B$38:$DT$46,('Data Master'!F$3+3),0)</f>
        <v>5.5E-2</v>
      </c>
      <c r="J21" s="1193">
        <f>VLOOKUP($B$4,'Data Master'!$B$38:$DT$46,('Data Master'!G$3+3),0)</f>
        <v>5.5E-2</v>
      </c>
      <c r="K21" s="1193">
        <f>VLOOKUP($B$4,'Data Master'!$B$38:$DT$46,('Data Master'!H$3+3),0)</f>
        <v>5.5E-2</v>
      </c>
      <c r="L21" s="1193">
        <f>VLOOKUP($B$4,'Data Master'!$B$38:$DT$46,('Data Master'!I$3+3),0)</f>
        <v>4.4999999999999998E-2</v>
      </c>
      <c r="M21" s="1194">
        <f>VLOOKUP($B$4,'Data Master'!$B$38:$DT$46,('Data Master'!J$3+3),0)</f>
        <v>4.4999999999999998E-2</v>
      </c>
      <c r="N21" s="1193">
        <f>VLOOKUP($B$4,'Data Master'!$B$38:$DT$46,('Data Master'!K$3+3),0)</f>
        <v>4.4999999999999998E-2</v>
      </c>
      <c r="O21" s="1193">
        <f>VLOOKUP($B$4,'Data Master'!$B$38:$DT$46,('Data Master'!L$3+3),0)</f>
        <v>4.4999999999999998E-2</v>
      </c>
      <c r="P21" s="1193">
        <f>VLOOKUP($B$4,'Data Master'!$B$38:$DT$46,('Data Master'!M$3+3),0)</f>
        <v>4.4999999999999998E-2</v>
      </c>
      <c r="Q21" s="1193">
        <f>VLOOKUP($B$4,'Data Master'!$B$38:$DT$46,('Data Master'!N$3+3),0)</f>
        <v>4.4999999999999998E-2</v>
      </c>
      <c r="R21" s="1193">
        <f>VLOOKUP($B$4,'Data Master'!$B$38:$DT$46,('Data Master'!O$3+3),0)</f>
        <v>0.04</v>
      </c>
      <c r="S21" s="1193">
        <f>VLOOKUP($B$4,'Data Master'!$B$38:$DT$46,('Data Master'!P$3+3),0)</f>
        <v>0.04</v>
      </c>
      <c r="T21" s="1194">
        <f>VLOOKUP($B$4,'Data Master'!$B$38:$DT$46,('Data Master'!Q$3+3),0)</f>
        <v>0.04</v>
      </c>
      <c r="U21" s="1193">
        <f>VLOOKUP($B$4,'Data Master'!$B$38:$DT$46,('Data Master'!R$3+3),0)</f>
        <v>0.04</v>
      </c>
      <c r="V21" s="1193">
        <f>VLOOKUP($B$4,'Data Master'!$B$38:$DT$46,('Data Master'!S$3+3),0)</f>
        <v>0.04</v>
      </c>
      <c r="W21" s="1193">
        <f>VLOOKUP($B$4,'Data Master'!$B$38:$DT$46,('Data Master'!T$3+3),0)</f>
        <v>0.04</v>
      </c>
      <c r="X21" s="1193">
        <f>VLOOKUP($B$4,'Data Master'!$B$38:$DT$46,('Data Master'!U$3+3),0)</f>
        <v>0.04</v>
      </c>
      <c r="Y21" s="1193">
        <f>VLOOKUP($B$4,'Data Master'!$B$38:$DT$46,('Data Master'!V$3+3),0)</f>
        <v>0.04</v>
      </c>
      <c r="Z21" s="1193">
        <f>VLOOKUP($B$4,'Data Master'!$B$38:$DT$46,('Data Master'!W$3+3),0)</f>
        <v>0.04</v>
      </c>
      <c r="AA21" s="1193">
        <f>VLOOKUP($B$4,'Data Master'!$B$38:$DT$46,('Data Master'!X$3+3),0)</f>
        <v>0.04</v>
      </c>
      <c r="AB21" s="1193">
        <f>VLOOKUP($B$4,'Data Master'!$B$38:$DT$46,('Data Master'!Y$3+3),0)</f>
        <v>0.04</v>
      </c>
      <c r="AC21" s="1193">
        <f>VLOOKUP($B$4,'Data Master'!$B$38:$DT$46,('Data Master'!Z$3+3),0)</f>
        <v>0.04</v>
      </c>
      <c r="AD21" s="1193">
        <f>VLOOKUP($B$4,'Data Master'!$B$38:$DT$46,('Data Master'!AA$3+3),0)</f>
        <v>0.04</v>
      </c>
      <c r="AE21" s="1193">
        <f>VLOOKUP($B$4,'Data Master'!$B$38:$DT$46,('Data Master'!AB$3+3),0)</f>
        <v>0.04</v>
      </c>
      <c r="AF21" s="1193">
        <f>VLOOKUP($B$4,'Data Master'!$B$38:$DT$46,('Data Master'!AC$3+3),0)</f>
        <v>0.04</v>
      </c>
      <c r="AG21" s="1193">
        <f>VLOOKUP($B$4,'Data Master'!$B$38:$DT$46,('Data Master'!AD$3+3),0)</f>
        <v>0.04</v>
      </c>
      <c r="AH21" s="1193">
        <f>VLOOKUP($B$4,'Data Master'!$B$38:$DT$46,('Data Master'!AE$3+3),0)</f>
        <v>0.04</v>
      </c>
      <c r="AI21" s="1193">
        <f>VLOOKUP($B$4,'Data Master'!$B$38:$DT$46,('Data Master'!AF$3+3),0)</f>
        <v>0.04</v>
      </c>
      <c r="AJ21" s="1193">
        <f>VLOOKUP($B$4,'Data Master'!$B$38:$DT$46,('Data Master'!AG$3+3),0)</f>
        <v>0.04</v>
      </c>
      <c r="AK21" s="1193">
        <f>VLOOKUP($B$4,'Data Master'!$B$38:$DT$46,('Data Master'!AH$3+3),0)</f>
        <v>0.04</v>
      </c>
      <c r="AL21" s="1193">
        <f>VLOOKUP($B$4,'Data Master'!$B$38:$DT$46,('Data Master'!AI$3+3),0)</f>
        <v>0.04</v>
      </c>
      <c r="AM21" s="1193">
        <f>VLOOKUP($B$4,'Data Master'!$B$38:$DT$46,('Data Master'!AJ$3+3),0)</f>
        <v>0.04</v>
      </c>
      <c r="AN21" s="1193">
        <f>VLOOKUP($B$4,'Data Master'!$B$38:$DT$46,('Data Master'!AK$3+3),0)</f>
        <v>0.04</v>
      </c>
      <c r="AO21" s="1193">
        <f>VLOOKUP($B$4,'Data Master'!$B$38:$DT$46,('Data Master'!AL$3+3),0)</f>
        <v>0.04</v>
      </c>
      <c r="AP21" s="1193">
        <f>VLOOKUP($B$4,'Data Master'!$B$38:$DT$46,('Data Master'!AM$3+3),0)</f>
        <v>0.04</v>
      </c>
      <c r="AQ21" s="1193">
        <f>VLOOKUP($B$4,'Data Master'!$B$38:$DT$46,('Data Master'!AN$3+3),0)</f>
        <v>0.04</v>
      </c>
      <c r="AR21" s="1193">
        <f>VLOOKUP($B$4,'Data Master'!$B$38:$DT$46,('Data Master'!AO$3+3),0)</f>
        <v>0.04</v>
      </c>
      <c r="AS21" s="1193">
        <f>VLOOKUP($B$4,'Data Master'!$B$38:$DT$46,('Data Master'!AP$3+3),0)</f>
        <v>0.04</v>
      </c>
      <c r="AT21" s="1193">
        <f>VLOOKUP($B$4,'Data Master'!$B$38:$DT$46,('Data Master'!AQ$3+3),0)</f>
        <v>0.04</v>
      </c>
      <c r="AU21" s="1193">
        <f>VLOOKUP($B$4,'Data Master'!$B$38:$DT$46,('Data Master'!AR$3+3),0)</f>
        <v>0.04</v>
      </c>
      <c r="AV21" s="1193">
        <f>VLOOKUP($B$4,'Data Master'!$B$38:$DT$46,('Data Master'!AS$3+3),0)</f>
        <v>0.04</v>
      </c>
      <c r="AW21" s="1193">
        <f>VLOOKUP($B$4,'Data Master'!$B$38:$DT$46,('Data Master'!AT$3+3),0)</f>
        <v>0.04</v>
      </c>
      <c r="AX21" s="1193">
        <f>VLOOKUP($B$4,'Data Master'!$B$38:$DT$46,('Data Master'!AU$3+3),0)</f>
        <v>0.04</v>
      </c>
      <c r="AY21" s="1193">
        <f>VLOOKUP($B$4,'Data Master'!$B$38:$DT$46,('Data Master'!AV$3+3),0)</f>
        <v>0.04</v>
      </c>
      <c r="AZ21" s="1193">
        <f>VLOOKUP($B$4,'Data Master'!$B$38:$DT$46,('Data Master'!AW$3+3),0)</f>
        <v>0.04</v>
      </c>
      <c r="BA21" s="1193">
        <f>VLOOKUP($B$4,'Data Master'!$B$38:$DT$46,('Data Master'!AX$3+3),0)</f>
        <v>0.04</v>
      </c>
      <c r="BB21" s="1193">
        <f>VLOOKUP($B$4,'Data Master'!$B$38:$DT$46,('Data Master'!AY$3+3),0)</f>
        <v>0.04</v>
      </c>
      <c r="BC21" s="1193">
        <f>VLOOKUP($B$4,'Data Master'!$B$38:$DT$46,('Data Master'!AZ$3+3),0)</f>
        <v>0.04</v>
      </c>
      <c r="BD21" s="1193">
        <f>VLOOKUP($B$4,'Data Master'!$B$38:$DT$46,('Data Master'!BA$3+3),0)</f>
        <v>0.04</v>
      </c>
      <c r="BE21" s="1193">
        <f>VLOOKUP($B$4,'Data Master'!$B$38:$DT$46,('Data Master'!BB$3+3),0)</f>
        <v>0.04</v>
      </c>
      <c r="BF21" s="1193">
        <f>VLOOKUP($B$4,'Data Master'!$B$38:$DT$46,('Data Master'!BC$3+3),0)</f>
        <v>0.04</v>
      </c>
      <c r="BG21" s="1193">
        <f>VLOOKUP($B$4,'Data Master'!$B$38:$DT$46,('Data Master'!BD$3+3),0)</f>
        <v>0.04</v>
      </c>
      <c r="BH21" s="1193">
        <f>VLOOKUP($B$4,'Data Master'!$B$38:$DT$46,('Data Master'!BE$3+3),0)</f>
        <v>0.04</v>
      </c>
      <c r="BI21" s="1193">
        <f>VLOOKUP($B$4,'Data Master'!$B$38:$DT$46,('Data Master'!BF$3+3),0)</f>
        <v>0.04</v>
      </c>
      <c r="BJ21" s="1193">
        <f>VLOOKUP($B$4,'Data Master'!$B$38:$DT$46,('Data Master'!BG$3+3),0)</f>
        <v>0.04</v>
      </c>
      <c r="BK21" s="1193">
        <f>VLOOKUP($B$4,'Data Master'!$B$38:$DT$46,('Data Master'!BH$3+3),0)</f>
        <v>0.04</v>
      </c>
      <c r="BL21" s="1193">
        <f>VLOOKUP($B$4,'Data Master'!$B$38:$DT$46,('Data Master'!BI$3+3),0)</f>
        <v>0.04</v>
      </c>
      <c r="BM21" s="1193">
        <f>VLOOKUP($B$4,'Data Master'!$B$38:$DT$46,('Data Master'!BJ$3+3),0)</f>
        <v>0.04</v>
      </c>
      <c r="BN21" s="1193">
        <f>VLOOKUP($B$4,'Data Master'!$B$38:$DT$46,('Data Master'!BK$3+3),0)</f>
        <v>0.04</v>
      </c>
      <c r="BO21" s="1193">
        <f>VLOOKUP($B$4,'Data Master'!$B$38:$DT$46,('Data Master'!BL$3+3),0)</f>
        <v>0.04</v>
      </c>
      <c r="BP21" s="1193">
        <f>VLOOKUP($B$4,'Data Master'!$B$38:$DT$46,('Data Master'!BM$3+3),0)</f>
        <v>0.04</v>
      </c>
      <c r="BQ21" s="1193">
        <f>VLOOKUP($B$4,'Data Master'!$B$38:$DT$46,('Data Master'!BN$3+3),0)</f>
        <v>0.04</v>
      </c>
      <c r="BR21" s="1193">
        <f>VLOOKUP($B$4,'Data Master'!$B$38:$DT$46,('Data Master'!BO$3+3),0)</f>
        <v>0.04</v>
      </c>
      <c r="BS21" s="1193">
        <f>VLOOKUP($B$4,'Data Master'!$B$38:$DT$46,('Data Master'!BP$3+3),0)</f>
        <v>0.04</v>
      </c>
      <c r="BT21" s="1193">
        <f>VLOOKUP($B$4,'Data Master'!$B$38:$DT$46,('Data Master'!BQ$3+3),0)</f>
        <v>0.04</v>
      </c>
      <c r="BU21" s="1193">
        <f>VLOOKUP($B$4,'Data Master'!$B$38:$DT$46,('Data Master'!BR$3+3),0)</f>
        <v>0.04</v>
      </c>
      <c r="BV21" s="1193">
        <f>VLOOKUP($B$4,'Data Master'!$B$38:$DT$46,('Data Master'!BS$3+3),0)</f>
        <v>0.04</v>
      </c>
      <c r="BW21" s="1193">
        <f>VLOOKUP($B$4,'Data Master'!$B$38:$DT$46,('Data Master'!BT$3+3),0)</f>
        <v>0.04</v>
      </c>
      <c r="BX21" s="1193">
        <f>VLOOKUP($B$4,'Data Master'!$B$38:$DT$46,('Data Master'!BU$3+3),0)</f>
        <v>0.04</v>
      </c>
      <c r="BY21" s="1193">
        <f>VLOOKUP($B$4,'Data Master'!$B$38:$DT$46,('Data Master'!BV$3+3),0)</f>
        <v>0.04</v>
      </c>
      <c r="BZ21" s="1193">
        <f>VLOOKUP($B$4,'Data Master'!$B$38:$DT$46,('Data Master'!BW$3+3),0)</f>
        <v>0.04</v>
      </c>
      <c r="CA21" s="1193">
        <f>VLOOKUP($B$4,'Data Master'!$B$38:$DT$46,('Data Master'!BX$3+3),0)</f>
        <v>0.04</v>
      </c>
      <c r="CB21" s="1193">
        <f>VLOOKUP($B$4,'Data Master'!$B$38:$DT$46,('Data Master'!BY$3+3),0)</f>
        <v>0.04</v>
      </c>
      <c r="CC21" s="1193">
        <f>VLOOKUP($B$4,'Data Master'!$B$38:$DT$46,('Data Master'!BZ$3+3),0)</f>
        <v>0.04</v>
      </c>
      <c r="CD21" s="1193">
        <f>VLOOKUP($B$4,'Data Master'!$B$38:$DT$46,('Data Master'!CA$3+3),0)</f>
        <v>0.04</v>
      </c>
      <c r="CE21" s="1193">
        <f>VLOOKUP($B$4,'Data Master'!$B$38:$DT$46,('Data Master'!CB$3+3),0)</f>
        <v>0.04</v>
      </c>
      <c r="CF21" s="1193">
        <f>VLOOKUP($B$4,'Data Master'!$B$38:$DT$46,('Data Master'!CC$3+3),0)</f>
        <v>0.04</v>
      </c>
      <c r="CG21" s="1193">
        <f>VLOOKUP($B$4,'Data Master'!$B$38:$DT$46,('Data Master'!CD$3+3),0)</f>
        <v>0.04</v>
      </c>
      <c r="CH21" s="1193">
        <f>VLOOKUP($B$4,'Data Master'!$B$38:$DT$46,('Data Master'!CE$3+3),0)</f>
        <v>0.04</v>
      </c>
      <c r="CI21" s="1193">
        <f>VLOOKUP($B$4,'Data Master'!$B$38:$DT$46,('Data Master'!CF$3+3),0)</f>
        <v>0.04</v>
      </c>
      <c r="CJ21" s="1193">
        <f>VLOOKUP($B$4,'Data Master'!$B$38:$DT$46,('Data Master'!CG$3+3),0)</f>
        <v>0.04</v>
      </c>
      <c r="CK21" s="1193">
        <f>VLOOKUP($B$4,'Data Master'!$B$38:$DT$46,('Data Master'!CH$3+3),0)</f>
        <v>0.04</v>
      </c>
      <c r="CL21" s="1193">
        <f>VLOOKUP($B$4,'Data Master'!$B$38:$DT$46,('Data Master'!CI$3+3),0)</f>
        <v>0.04</v>
      </c>
      <c r="CM21" s="1193">
        <f>VLOOKUP($B$4,'Data Master'!$B$38:$DT$46,('Data Master'!CJ$3+3),0)</f>
        <v>0.04</v>
      </c>
      <c r="CN21" s="1193">
        <f>VLOOKUP($B$4,'Data Master'!$B$38:$DT$46,('Data Master'!CK$3+3),0)</f>
        <v>0.04</v>
      </c>
      <c r="CO21" s="1193">
        <f>VLOOKUP($B$4,'Data Master'!$B$38:$DT$46,('Data Master'!CL$3+3),0)</f>
        <v>0.04</v>
      </c>
      <c r="CP21" s="1193">
        <f>VLOOKUP($B$4,'Data Master'!$B$38:$DT$46,('Data Master'!CM$3+3),0)</f>
        <v>0.04</v>
      </c>
      <c r="CQ21" s="1193">
        <f>VLOOKUP($B$4,'Data Master'!$B$38:$DT$46,('Data Master'!CN$3+3),0)</f>
        <v>0.04</v>
      </c>
      <c r="CR21" s="1193">
        <f>VLOOKUP($B$4,'Data Master'!$B$38:$DT$46,('Data Master'!CO$3+3),0)</f>
        <v>0.04</v>
      </c>
      <c r="CS21" s="1193">
        <f>VLOOKUP($B$4,'Data Master'!$B$38:$DT$46,('Data Master'!CP$3+3),0)</f>
        <v>0.04</v>
      </c>
      <c r="CT21" s="1193">
        <f>VLOOKUP($B$4,'Data Master'!$B$38:$DT$46,('Data Master'!CQ$3+3),0)</f>
        <v>0.04</v>
      </c>
      <c r="CU21" s="1193">
        <f>VLOOKUP($B$4,'Data Master'!$B$38:$DT$46,('Data Master'!CR$3+3),0)</f>
        <v>0.04</v>
      </c>
      <c r="CV21" s="1193">
        <f>VLOOKUP($B$4,'Data Master'!$B$38:$DT$46,('Data Master'!CS$3+3),0)</f>
        <v>0.04</v>
      </c>
      <c r="CW21" s="1193">
        <f>VLOOKUP($B$4,'Data Master'!$B$38:$DT$46,('Data Master'!CT$3+3),0)</f>
        <v>0.04</v>
      </c>
      <c r="CX21" s="1193">
        <f>VLOOKUP($B$4,'Data Master'!$B$38:$DT$46,('Data Master'!CU$3+3),0)</f>
        <v>0.04</v>
      </c>
      <c r="CY21" s="1193">
        <f>VLOOKUP($B$4,'Data Master'!$B$38:$DT$46,('Data Master'!CV$3+3),0)</f>
        <v>0.04</v>
      </c>
      <c r="CZ21" s="1193">
        <f>VLOOKUP($B$4,'Data Master'!$B$38:$DT$46,('Data Master'!CW$3+3),0)</f>
        <v>0.04</v>
      </c>
      <c r="DA21" s="1193">
        <f>VLOOKUP($B$4,'Data Master'!$B$38:$DT$46,('Data Master'!CX$3+3),0)</f>
        <v>0.04</v>
      </c>
      <c r="DB21" s="1193">
        <f>VLOOKUP($B$4,'Data Master'!$B$38:$DT$46,('Data Master'!CY$3+3),0)</f>
        <v>0.04</v>
      </c>
      <c r="DC21" s="1193">
        <f>VLOOKUP($B$4,'Data Master'!$B$38:$DT$46,('Data Master'!CZ$3+3),0)</f>
        <v>0.04</v>
      </c>
      <c r="DD21" s="1193">
        <f>VLOOKUP($B$4,'Data Master'!$B$38:$DT$46,('Data Master'!DA$3+3),0)</f>
        <v>0.04</v>
      </c>
      <c r="DE21" s="1193">
        <f>VLOOKUP($B$4,'Data Master'!$B$38:$DT$46,('Data Master'!DB$3+3),0)</f>
        <v>0.04</v>
      </c>
      <c r="DF21" s="1193">
        <f>VLOOKUP($B$4,'Data Master'!$B$38:$DT$46,('Data Master'!DC$3+3),0)</f>
        <v>0.04</v>
      </c>
      <c r="DG21" s="1193">
        <f>VLOOKUP($B$4,'Data Master'!$B$38:$DT$46,('Data Master'!DD$3+3),0)</f>
        <v>0.04</v>
      </c>
      <c r="DH21" s="1193">
        <f>VLOOKUP($B$4,'Data Master'!$B$38:$DT$46,('Data Master'!DE$3+3),0)</f>
        <v>0.04</v>
      </c>
      <c r="DI21" s="1193">
        <f>VLOOKUP($B$4,'Data Master'!$B$38:$DT$46,('Data Master'!DF$3+3),0)</f>
        <v>0.04</v>
      </c>
      <c r="DJ21" s="1193">
        <f>VLOOKUP($B$4,'Data Master'!$B$38:$DT$46,('Data Master'!DG$3+3),0)</f>
        <v>0.04</v>
      </c>
      <c r="DK21" s="1193">
        <f>VLOOKUP($B$4,'Data Master'!$B$38:$DT$46,('Data Master'!DH$3+3),0)</f>
        <v>0.04</v>
      </c>
      <c r="DL21" s="1193">
        <f>VLOOKUP($B$4,'Data Master'!$B$38:$DT$46,('Data Master'!DI$3+3),0)</f>
        <v>0.04</v>
      </c>
      <c r="DM21" s="1193">
        <f>VLOOKUP($B$4,'Data Master'!$B$38:$DT$46,('Data Master'!DJ$3+3),0)</f>
        <v>0.04</v>
      </c>
      <c r="DN21" s="1193">
        <f>VLOOKUP($B$4,'Data Master'!$B$38:$DT$46,('Data Master'!DK$3+3),0)</f>
        <v>0.04</v>
      </c>
      <c r="DO21" s="1193">
        <f>VLOOKUP($B$4,'Data Master'!$B$38:$DT$46,('Data Master'!DL$3+3),0)</f>
        <v>0.04</v>
      </c>
      <c r="DP21" s="1193">
        <f>VLOOKUP($B$4,'Data Master'!$B$38:$DT$46,('Data Master'!DM$3+3),0)</f>
        <v>0.04</v>
      </c>
      <c r="DQ21" s="1193">
        <f>VLOOKUP($B$4,'Data Master'!$B$38:$DT$46,('Data Master'!DN$3+3),0)</f>
        <v>0.04</v>
      </c>
      <c r="DR21" s="1193">
        <f>VLOOKUP($B$4,'Data Master'!$B$38:$DT$46,('Data Master'!DO$3+3),0)</f>
        <v>0.04</v>
      </c>
      <c r="DS21" s="1193">
        <f>VLOOKUP($B$4,'Data Master'!$B$38:$DT$46,('Data Master'!DP$3+3),0)</f>
        <v>0.04</v>
      </c>
      <c r="DT21" s="1193">
        <f>VLOOKUP($B$4,'Data Master'!$B$38:$DT$46,('Data Master'!DQ$3+3),0)</f>
        <v>0.04</v>
      </c>
      <c r="DU21" s="1193">
        <f>VLOOKUP($B$4,'Data Master'!$B$38:$DT$46,('Data Master'!DR$3+3),0)</f>
        <v>0.04</v>
      </c>
      <c r="DV21" s="1193">
        <f>VLOOKUP($B$4,'Data Master'!$B$38:$DT$46,('Data Master'!DS$3+3),0)</f>
        <v>0.04</v>
      </c>
      <c r="DW21" s="1193">
        <f>DV21</f>
        <v>0.04</v>
      </c>
      <c r="DX21" s="1414">
        <f t="shared" ref="DX21:EB21" si="198">DW21</f>
        <v>0.04</v>
      </c>
      <c r="DY21" s="1414">
        <f t="shared" si="198"/>
        <v>0.04</v>
      </c>
      <c r="DZ21" s="1414">
        <f t="shared" si="198"/>
        <v>0.04</v>
      </c>
      <c r="EA21" s="1414">
        <f t="shared" si="198"/>
        <v>0.04</v>
      </c>
      <c r="EB21" s="1414">
        <f t="shared" si="198"/>
        <v>0.04</v>
      </c>
    </row>
    <row r="22" spans="3:132" hidden="1" x14ac:dyDescent="0.3">
      <c r="D22" s="32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B22" s="356"/>
      <c r="AC22" s="356"/>
      <c r="AD22" s="356"/>
      <c r="AE22" s="356"/>
      <c r="AF22" s="356"/>
      <c r="AG22" s="356"/>
      <c r="AH22" s="356"/>
      <c r="AI22" s="356"/>
      <c r="AJ22" s="356"/>
      <c r="AK22" s="356"/>
      <c r="AL22" s="356"/>
      <c r="AM22" s="356"/>
      <c r="AN22" s="356"/>
      <c r="AO22" s="356"/>
      <c r="AP22" s="356"/>
      <c r="AQ22" s="356"/>
      <c r="AR22" s="356"/>
      <c r="AS22" s="356"/>
      <c r="AT22" s="356"/>
      <c r="AU22" s="356"/>
      <c r="AV22" s="356"/>
      <c r="AW22" s="356"/>
      <c r="AX22" s="356"/>
      <c r="AY22" s="356"/>
      <c r="AZ22" s="356"/>
      <c r="BA22" s="356"/>
      <c r="BB22" s="356"/>
      <c r="BC22" s="356"/>
      <c r="BD22" s="356"/>
      <c r="BE22" s="356"/>
      <c r="BF22" s="356"/>
      <c r="BG22" s="356"/>
      <c r="BH22" s="356"/>
      <c r="BI22" s="356"/>
      <c r="BJ22" s="356"/>
      <c r="BK22" s="356"/>
      <c r="BL22" s="356"/>
      <c r="BM22" s="356"/>
      <c r="BN22" s="356"/>
      <c r="BO22" s="356"/>
      <c r="BP22" s="356"/>
      <c r="CB22" s="356"/>
      <c r="CN22" s="356"/>
      <c r="CZ22" s="356"/>
      <c r="DL22" s="356"/>
    </row>
    <row r="23" spans="3:132" hidden="1" x14ac:dyDescent="0.3">
      <c r="D23" s="291" t="s">
        <v>147</v>
      </c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27"/>
      <c r="BF23" s="127"/>
      <c r="BG23" s="127"/>
      <c r="BH23" s="127"/>
      <c r="BI23" s="127"/>
      <c r="BJ23" s="127"/>
      <c r="BK23" s="127"/>
      <c r="BL23" s="127"/>
      <c r="BM23" s="127"/>
      <c r="BN23" s="127"/>
      <c r="BO23" s="127"/>
      <c r="BP23" s="127"/>
      <c r="CB23" s="127"/>
      <c r="CN23" s="127"/>
      <c r="CZ23" s="127"/>
      <c r="DL23" s="127"/>
    </row>
    <row r="24" spans="3:132" hidden="1" x14ac:dyDescent="0.3">
      <c r="D24" s="294" t="str">
        <f>'Data Master'!C49</f>
        <v>TL</v>
      </c>
      <c r="E24" s="295"/>
      <c r="F24" s="518"/>
      <c r="G24" s="1195">
        <f>HLOOKUP($D$4,'Data Master'!$D$48:$L$63,'Data Master'!$B49,0)</f>
        <v>18</v>
      </c>
      <c r="H24" s="295">
        <f>G24</f>
        <v>18</v>
      </c>
      <c r="I24" s="295">
        <f t="shared" ref="I24:BT27" si="199">H24</f>
        <v>18</v>
      </c>
      <c r="J24" s="295">
        <f t="shared" si="199"/>
        <v>18</v>
      </c>
      <c r="K24" s="295">
        <f t="shared" si="199"/>
        <v>18</v>
      </c>
      <c r="L24" s="295">
        <f t="shared" si="199"/>
        <v>18</v>
      </c>
      <c r="M24" s="295">
        <f t="shared" si="199"/>
        <v>18</v>
      </c>
      <c r="N24" s="1195">
        <f>HLOOKUP($D$4,'Data Master'!$N$48:$V$63,'Data Master'!$B49,0)</f>
        <v>18</v>
      </c>
      <c r="O24" s="295">
        <f t="shared" si="199"/>
        <v>18</v>
      </c>
      <c r="P24" s="295">
        <f t="shared" si="199"/>
        <v>18</v>
      </c>
      <c r="Q24" s="295">
        <f t="shared" si="199"/>
        <v>18</v>
      </c>
      <c r="R24" s="295">
        <f t="shared" si="199"/>
        <v>18</v>
      </c>
      <c r="S24" s="295">
        <f t="shared" si="199"/>
        <v>18</v>
      </c>
      <c r="T24" s="1195">
        <f>HLOOKUP($D$4,'Data Master'!$X$48:$AF$63,'Data Master'!$B49,0)</f>
        <v>18</v>
      </c>
      <c r="U24" s="295">
        <f t="shared" si="199"/>
        <v>18</v>
      </c>
      <c r="V24" s="295">
        <f t="shared" si="199"/>
        <v>18</v>
      </c>
      <c r="W24" s="295">
        <f t="shared" si="199"/>
        <v>18</v>
      </c>
      <c r="X24" s="295">
        <f t="shared" si="199"/>
        <v>18</v>
      </c>
      <c r="Y24" s="295">
        <f t="shared" si="199"/>
        <v>18</v>
      </c>
      <c r="Z24" s="295">
        <f t="shared" si="199"/>
        <v>18</v>
      </c>
      <c r="AA24" s="295">
        <f t="shared" si="199"/>
        <v>18</v>
      </c>
      <c r="AB24" s="295">
        <f t="shared" si="199"/>
        <v>18</v>
      </c>
      <c r="AC24" s="295">
        <f t="shared" si="199"/>
        <v>18</v>
      </c>
      <c r="AD24" s="295">
        <f t="shared" si="199"/>
        <v>18</v>
      </c>
      <c r="AE24" s="295">
        <f t="shared" si="199"/>
        <v>18</v>
      </c>
      <c r="AF24" s="1195">
        <f>HLOOKUP($D$4,'Data Master'!$AH$48:$AP$63,'Data Master'!$B49,0)</f>
        <v>18</v>
      </c>
      <c r="AG24" s="295">
        <f t="shared" si="199"/>
        <v>18</v>
      </c>
      <c r="AH24" s="295">
        <f t="shared" si="199"/>
        <v>18</v>
      </c>
      <c r="AI24" s="295">
        <f t="shared" si="199"/>
        <v>18</v>
      </c>
      <c r="AJ24" s="295">
        <f t="shared" si="199"/>
        <v>18</v>
      </c>
      <c r="AK24" s="295">
        <f t="shared" si="199"/>
        <v>18</v>
      </c>
      <c r="AL24" s="295">
        <f t="shared" si="199"/>
        <v>18</v>
      </c>
      <c r="AM24" s="295">
        <f t="shared" si="199"/>
        <v>18</v>
      </c>
      <c r="AN24" s="295">
        <f t="shared" si="199"/>
        <v>18</v>
      </c>
      <c r="AO24" s="295">
        <f t="shared" si="199"/>
        <v>18</v>
      </c>
      <c r="AP24" s="295">
        <f t="shared" si="199"/>
        <v>18</v>
      </c>
      <c r="AQ24" s="295">
        <f t="shared" si="199"/>
        <v>18</v>
      </c>
      <c r="AR24" s="1195">
        <f>HLOOKUP($D$4,'Data Master'!$AR$48:$AZ$63,'Data Master'!$B49,0)</f>
        <v>18</v>
      </c>
      <c r="AS24" s="295">
        <f t="shared" si="199"/>
        <v>18</v>
      </c>
      <c r="AT24" s="295">
        <f t="shared" si="199"/>
        <v>18</v>
      </c>
      <c r="AU24" s="295">
        <f t="shared" si="199"/>
        <v>18</v>
      </c>
      <c r="AV24" s="295">
        <f t="shared" si="199"/>
        <v>18</v>
      </c>
      <c r="AW24" s="295">
        <f t="shared" si="199"/>
        <v>18</v>
      </c>
      <c r="AX24" s="295">
        <f t="shared" si="199"/>
        <v>18</v>
      </c>
      <c r="AY24" s="295">
        <f t="shared" si="199"/>
        <v>18</v>
      </c>
      <c r="AZ24" s="295">
        <f t="shared" si="199"/>
        <v>18</v>
      </c>
      <c r="BA24" s="295">
        <f t="shared" si="199"/>
        <v>18</v>
      </c>
      <c r="BB24" s="295">
        <f t="shared" si="199"/>
        <v>18</v>
      </c>
      <c r="BC24" s="295">
        <f t="shared" si="199"/>
        <v>18</v>
      </c>
      <c r="BD24" s="296">
        <f t="shared" si="199"/>
        <v>18</v>
      </c>
      <c r="BE24" s="295">
        <f t="shared" si="199"/>
        <v>18</v>
      </c>
      <c r="BF24" s="295">
        <f t="shared" si="199"/>
        <v>18</v>
      </c>
      <c r="BG24" s="295">
        <f t="shared" si="199"/>
        <v>18</v>
      </c>
      <c r="BH24" s="295">
        <f t="shared" si="199"/>
        <v>18</v>
      </c>
      <c r="BI24" s="295">
        <f t="shared" si="199"/>
        <v>18</v>
      </c>
      <c r="BJ24" s="295">
        <f t="shared" si="199"/>
        <v>18</v>
      </c>
      <c r="BK24" s="295">
        <f t="shared" si="199"/>
        <v>18</v>
      </c>
      <c r="BL24" s="295">
        <f t="shared" si="199"/>
        <v>18</v>
      </c>
      <c r="BM24" s="295">
        <f t="shared" si="199"/>
        <v>18</v>
      </c>
      <c r="BN24" s="295">
        <f t="shared" si="199"/>
        <v>18</v>
      </c>
      <c r="BO24" s="295">
        <f t="shared" si="199"/>
        <v>18</v>
      </c>
      <c r="BP24" s="296">
        <f t="shared" si="199"/>
        <v>18</v>
      </c>
      <c r="BQ24" s="295">
        <f t="shared" si="199"/>
        <v>18</v>
      </c>
      <c r="BR24" s="295">
        <f t="shared" si="199"/>
        <v>18</v>
      </c>
      <c r="BS24" s="295">
        <f t="shared" si="199"/>
        <v>18</v>
      </c>
      <c r="BT24" s="295">
        <f t="shared" si="199"/>
        <v>18</v>
      </c>
      <c r="BU24" s="295">
        <f t="shared" ref="BU24:DW28" si="200">BT24</f>
        <v>18</v>
      </c>
      <c r="BV24" s="295">
        <f t="shared" si="200"/>
        <v>18</v>
      </c>
      <c r="BW24" s="295">
        <f t="shared" si="200"/>
        <v>18</v>
      </c>
      <c r="BX24" s="295">
        <f t="shared" si="200"/>
        <v>18</v>
      </c>
      <c r="BY24" s="295">
        <f t="shared" si="200"/>
        <v>18</v>
      </c>
      <c r="BZ24" s="295">
        <f t="shared" si="200"/>
        <v>18</v>
      </c>
      <c r="CA24" s="295">
        <f t="shared" si="200"/>
        <v>18</v>
      </c>
      <c r="CB24" s="296">
        <f t="shared" si="200"/>
        <v>18</v>
      </c>
      <c r="CC24" s="295">
        <f t="shared" si="200"/>
        <v>18</v>
      </c>
      <c r="CD24" s="295">
        <f t="shared" si="200"/>
        <v>18</v>
      </c>
      <c r="CE24" s="295">
        <f t="shared" si="200"/>
        <v>18</v>
      </c>
      <c r="CF24" s="295">
        <f t="shared" si="200"/>
        <v>18</v>
      </c>
      <c r="CG24" s="295">
        <f t="shared" si="200"/>
        <v>18</v>
      </c>
      <c r="CH24" s="295">
        <f t="shared" si="200"/>
        <v>18</v>
      </c>
      <c r="CI24" s="295">
        <f t="shared" si="200"/>
        <v>18</v>
      </c>
      <c r="CJ24" s="295">
        <f t="shared" si="200"/>
        <v>18</v>
      </c>
      <c r="CK24" s="295">
        <f t="shared" si="200"/>
        <v>18</v>
      </c>
      <c r="CL24" s="295">
        <f t="shared" si="200"/>
        <v>18</v>
      </c>
      <c r="CM24" s="295">
        <f t="shared" si="200"/>
        <v>18</v>
      </c>
      <c r="CN24" s="296">
        <f t="shared" si="200"/>
        <v>18</v>
      </c>
      <c r="CO24" s="295">
        <f t="shared" si="200"/>
        <v>18</v>
      </c>
      <c r="CP24" s="295">
        <f t="shared" si="200"/>
        <v>18</v>
      </c>
      <c r="CQ24" s="295">
        <f t="shared" si="200"/>
        <v>18</v>
      </c>
      <c r="CR24" s="295">
        <f t="shared" si="200"/>
        <v>18</v>
      </c>
      <c r="CS24" s="295">
        <f t="shared" si="200"/>
        <v>18</v>
      </c>
      <c r="CT24" s="295">
        <f t="shared" si="200"/>
        <v>18</v>
      </c>
      <c r="CU24" s="295">
        <f t="shared" si="200"/>
        <v>18</v>
      </c>
      <c r="CV24" s="295">
        <f t="shared" si="200"/>
        <v>18</v>
      </c>
      <c r="CW24" s="295">
        <f t="shared" si="200"/>
        <v>18</v>
      </c>
      <c r="CX24" s="295">
        <f t="shared" si="200"/>
        <v>18</v>
      </c>
      <c r="CY24" s="295">
        <f t="shared" si="200"/>
        <v>18</v>
      </c>
      <c r="CZ24" s="296">
        <f t="shared" si="200"/>
        <v>18</v>
      </c>
      <c r="DA24" s="295">
        <f t="shared" si="200"/>
        <v>18</v>
      </c>
      <c r="DB24" s="295">
        <f t="shared" si="200"/>
        <v>18</v>
      </c>
      <c r="DC24" s="295">
        <f t="shared" si="200"/>
        <v>18</v>
      </c>
      <c r="DD24" s="295">
        <f t="shared" si="200"/>
        <v>18</v>
      </c>
      <c r="DE24" s="295">
        <f t="shared" si="200"/>
        <v>18</v>
      </c>
      <c r="DF24" s="295">
        <f t="shared" si="200"/>
        <v>18</v>
      </c>
      <c r="DG24" s="295">
        <f t="shared" si="200"/>
        <v>18</v>
      </c>
      <c r="DH24" s="295">
        <f t="shared" si="200"/>
        <v>18</v>
      </c>
      <c r="DI24" s="295">
        <f t="shared" si="200"/>
        <v>18</v>
      </c>
      <c r="DJ24" s="295">
        <f t="shared" si="200"/>
        <v>18</v>
      </c>
      <c r="DK24" s="295">
        <f t="shared" si="200"/>
        <v>18</v>
      </c>
      <c r="DL24" s="296">
        <f t="shared" si="200"/>
        <v>18</v>
      </c>
      <c r="DM24" s="295">
        <f t="shared" si="200"/>
        <v>18</v>
      </c>
      <c r="DN24" s="295">
        <f t="shared" si="200"/>
        <v>18</v>
      </c>
      <c r="DO24" s="295">
        <f t="shared" si="200"/>
        <v>18</v>
      </c>
      <c r="DP24" s="295">
        <f t="shared" si="200"/>
        <v>18</v>
      </c>
      <c r="DQ24" s="295">
        <f t="shared" si="200"/>
        <v>18</v>
      </c>
      <c r="DR24" s="295">
        <f t="shared" si="200"/>
        <v>18</v>
      </c>
      <c r="DS24" s="295">
        <f t="shared" si="200"/>
        <v>18</v>
      </c>
      <c r="DT24" s="295">
        <f t="shared" si="200"/>
        <v>18</v>
      </c>
      <c r="DU24" s="295">
        <f t="shared" si="200"/>
        <v>18</v>
      </c>
      <c r="DV24" s="295">
        <f t="shared" si="200"/>
        <v>18</v>
      </c>
      <c r="DW24" s="295">
        <f t="shared" si="200"/>
        <v>18</v>
      </c>
    </row>
    <row r="25" spans="3:132" hidden="1" x14ac:dyDescent="0.3">
      <c r="D25" s="126" t="str">
        <f>'Data Master'!C50</f>
        <v>AM</v>
      </c>
      <c r="E25" s="292"/>
      <c r="F25" s="519"/>
      <c r="G25" s="1196">
        <f>HLOOKUP($D$4,'Data Master'!$D$48:$L$63,'Data Master'!$B50,0)</f>
        <v>10000000</v>
      </c>
      <c r="H25" s="292">
        <f t="shared" ref="H25" si="201">G25</f>
        <v>10000000</v>
      </c>
      <c r="I25" s="292">
        <f t="shared" si="199"/>
        <v>10000000</v>
      </c>
      <c r="J25" s="292">
        <f t="shared" si="199"/>
        <v>10000000</v>
      </c>
      <c r="K25" s="292">
        <f t="shared" si="199"/>
        <v>10000000</v>
      </c>
      <c r="L25" s="292">
        <f t="shared" si="199"/>
        <v>10000000</v>
      </c>
      <c r="M25" s="292">
        <f t="shared" si="199"/>
        <v>10000000</v>
      </c>
      <c r="N25" s="1196">
        <f>HLOOKUP($D$4,'Data Master'!$N$48:$V$63,'Data Master'!$B50,0)</f>
        <v>10000000</v>
      </c>
      <c r="O25" s="292">
        <f t="shared" si="199"/>
        <v>10000000</v>
      </c>
      <c r="P25" s="292">
        <f t="shared" si="199"/>
        <v>10000000</v>
      </c>
      <c r="Q25" s="292">
        <f t="shared" si="199"/>
        <v>10000000</v>
      </c>
      <c r="R25" s="292">
        <f t="shared" si="199"/>
        <v>10000000</v>
      </c>
      <c r="S25" s="292">
        <f t="shared" si="199"/>
        <v>10000000</v>
      </c>
      <c r="T25" s="1196">
        <f>HLOOKUP($D$4,'Data Master'!$X$48:$AF$63,'Data Master'!$B50,0)</f>
        <v>10000000</v>
      </c>
      <c r="U25" s="292">
        <f t="shared" si="199"/>
        <v>10000000</v>
      </c>
      <c r="V25" s="292">
        <f t="shared" si="199"/>
        <v>10000000</v>
      </c>
      <c r="W25" s="292">
        <f t="shared" si="199"/>
        <v>10000000</v>
      </c>
      <c r="X25" s="292">
        <f t="shared" si="199"/>
        <v>10000000</v>
      </c>
      <c r="Y25" s="292">
        <f t="shared" si="199"/>
        <v>10000000</v>
      </c>
      <c r="Z25" s="292">
        <f t="shared" si="199"/>
        <v>10000000</v>
      </c>
      <c r="AA25" s="292">
        <f t="shared" si="199"/>
        <v>10000000</v>
      </c>
      <c r="AB25" s="292">
        <f t="shared" si="199"/>
        <v>10000000</v>
      </c>
      <c r="AC25" s="292">
        <f t="shared" si="199"/>
        <v>10000000</v>
      </c>
      <c r="AD25" s="292">
        <f t="shared" si="199"/>
        <v>10000000</v>
      </c>
      <c r="AE25" s="292">
        <f t="shared" si="199"/>
        <v>10000000</v>
      </c>
      <c r="AF25" s="1196">
        <f>HLOOKUP($D$4,'Data Master'!$AH$48:$AP$63,'Data Master'!$B50,0)</f>
        <v>10000000</v>
      </c>
      <c r="AG25" s="292">
        <f t="shared" si="199"/>
        <v>10000000</v>
      </c>
      <c r="AH25" s="292">
        <f t="shared" si="199"/>
        <v>10000000</v>
      </c>
      <c r="AI25" s="292">
        <f t="shared" si="199"/>
        <v>10000000</v>
      </c>
      <c r="AJ25" s="292">
        <f t="shared" si="199"/>
        <v>10000000</v>
      </c>
      <c r="AK25" s="292">
        <f t="shared" si="199"/>
        <v>10000000</v>
      </c>
      <c r="AL25" s="292">
        <f t="shared" si="199"/>
        <v>10000000</v>
      </c>
      <c r="AM25" s="292">
        <f t="shared" si="199"/>
        <v>10000000</v>
      </c>
      <c r="AN25" s="292">
        <f t="shared" si="199"/>
        <v>10000000</v>
      </c>
      <c r="AO25" s="292">
        <f t="shared" si="199"/>
        <v>10000000</v>
      </c>
      <c r="AP25" s="292">
        <f t="shared" si="199"/>
        <v>10000000</v>
      </c>
      <c r="AQ25" s="292">
        <f t="shared" si="199"/>
        <v>10000000</v>
      </c>
      <c r="AR25" s="1196">
        <f>HLOOKUP($D$4,'Data Master'!$AR$48:$AZ$63,'Data Master'!$B50,0)</f>
        <v>10000000</v>
      </c>
      <c r="AS25" s="292">
        <f t="shared" si="199"/>
        <v>10000000</v>
      </c>
      <c r="AT25" s="292">
        <f t="shared" si="199"/>
        <v>10000000</v>
      </c>
      <c r="AU25" s="292">
        <f t="shared" si="199"/>
        <v>10000000</v>
      </c>
      <c r="AV25" s="292">
        <f t="shared" si="199"/>
        <v>10000000</v>
      </c>
      <c r="AW25" s="292">
        <f t="shared" si="199"/>
        <v>10000000</v>
      </c>
      <c r="AX25" s="292">
        <f t="shared" si="199"/>
        <v>10000000</v>
      </c>
      <c r="AY25" s="292">
        <f t="shared" si="199"/>
        <v>10000000</v>
      </c>
      <c r="AZ25" s="292">
        <f t="shared" si="199"/>
        <v>10000000</v>
      </c>
      <c r="BA25" s="292">
        <f t="shared" si="199"/>
        <v>10000000</v>
      </c>
      <c r="BB25" s="292">
        <f t="shared" si="199"/>
        <v>10000000</v>
      </c>
      <c r="BC25" s="292">
        <f t="shared" si="199"/>
        <v>10000000</v>
      </c>
      <c r="BD25" s="293">
        <f t="shared" si="199"/>
        <v>10000000</v>
      </c>
      <c r="BE25" s="292">
        <f t="shared" si="199"/>
        <v>10000000</v>
      </c>
      <c r="BF25" s="292">
        <f t="shared" si="199"/>
        <v>10000000</v>
      </c>
      <c r="BG25" s="292">
        <f t="shared" si="199"/>
        <v>10000000</v>
      </c>
      <c r="BH25" s="292">
        <f t="shared" si="199"/>
        <v>10000000</v>
      </c>
      <c r="BI25" s="292">
        <f t="shared" si="199"/>
        <v>10000000</v>
      </c>
      <c r="BJ25" s="292">
        <f t="shared" si="199"/>
        <v>10000000</v>
      </c>
      <c r="BK25" s="292">
        <f t="shared" si="199"/>
        <v>10000000</v>
      </c>
      <c r="BL25" s="292">
        <f t="shared" si="199"/>
        <v>10000000</v>
      </c>
      <c r="BM25" s="292">
        <f t="shared" si="199"/>
        <v>10000000</v>
      </c>
      <c r="BN25" s="292">
        <f t="shared" si="199"/>
        <v>10000000</v>
      </c>
      <c r="BO25" s="292">
        <f t="shared" si="199"/>
        <v>10000000</v>
      </c>
      <c r="BP25" s="293">
        <f t="shared" si="199"/>
        <v>10000000</v>
      </c>
      <c r="BQ25" s="292">
        <f t="shared" si="199"/>
        <v>10000000</v>
      </c>
      <c r="BR25" s="292">
        <f t="shared" si="199"/>
        <v>10000000</v>
      </c>
      <c r="BS25" s="292">
        <f t="shared" si="199"/>
        <v>10000000</v>
      </c>
      <c r="BT25" s="292">
        <f t="shared" si="199"/>
        <v>10000000</v>
      </c>
      <c r="BU25" s="292">
        <f t="shared" si="200"/>
        <v>10000000</v>
      </c>
      <c r="BV25" s="292">
        <f t="shared" si="200"/>
        <v>10000000</v>
      </c>
      <c r="BW25" s="292">
        <f t="shared" si="200"/>
        <v>10000000</v>
      </c>
      <c r="BX25" s="292">
        <f t="shared" si="200"/>
        <v>10000000</v>
      </c>
      <c r="BY25" s="292">
        <f t="shared" si="200"/>
        <v>10000000</v>
      </c>
      <c r="BZ25" s="292">
        <f t="shared" si="200"/>
        <v>10000000</v>
      </c>
      <c r="CA25" s="292">
        <f t="shared" si="200"/>
        <v>10000000</v>
      </c>
      <c r="CB25" s="293">
        <f t="shared" si="200"/>
        <v>10000000</v>
      </c>
      <c r="CC25" s="292">
        <f t="shared" si="200"/>
        <v>10000000</v>
      </c>
      <c r="CD25" s="292">
        <f t="shared" si="200"/>
        <v>10000000</v>
      </c>
      <c r="CE25" s="292">
        <f t="shared" si="200"/>
        <v>10000000</v>
      </c>
      <c r="CF25" s="292">
        <f t="shared" si="200"/>
        <v>10000000</v>
      </c>
      <c r="CG25" s="292">
        <f t="shared" si="200"/>
        <v>10000000</v>
      </c>
      <c r="CH25" s="292">
        <f t="shared" si="200"/>
        <v>10000000</v>
      </c>
      <c r="CI25" s="292">
        <f t="shared" si="200"/>
        <v>10000000</v>
      </c>
      <c r="CJ25" s="292">
        <f t="shared" si="200"/>
        <v>10000000</v>
      </c>
      <c r="CK25" s="292">
        <f t="shared" si="200"/>
        <v>10000000</v>
      </c>
      <c r="CL25" s="292">
        <f t="shared" si="200"/>
        <v>10000000</v>
      </c>
      <c r="CM25" s="292">
        <f t="shared" si="200"/>
        <v>10000000</v>
      </c>
      <c r="CN25" s="293">
        <f t="shared" si="200"/>
        <v>10000000</v>
      </c>
      <c r="CO25" s="292">
        <f t="shared" si="200"/>
        <v>10000000</v>
      </c>
      <c r="CP25" s="292">
        <f t="shared" si="200"/>
        <v>10000000</v>
      </c>
      <c r="CQ25" s="292">
        <f t="shared" si="200"/>
        <v>10000000</v>
      </c>
      <c r="CR25" s="292">
        <f t="shared" si="200"/>
        <v>10000000</v>
      </c>
      <c r="CS25" s="292">
        <f t="shared" si="200"/>
        <v>10000000</v>
      </c>
      <c r="CT25" s="292">
        <f t="shared" si="200"/>
        <v>10000000</v>
      </c>
      <c r="CU25" s="292">
        <f t="shared" si="200"/>
        <v>10000000</v>
      </c>
      <c r="CV25" s="292">
        <f t="shared" si="200"/>
        <v>10000000</v>
      </c>
      <c r="CW25" s="292">
        <f t="shared" si="200"/>
        <v>10000000</v>
      </c>
      <c r="CX25" s="292">
        <f t="shared" si="200"/>
        <v>10000000</v>
      </c>
      <c r="CY25" s="292">
        <f t="shared" si="200"/>
        <v>10000000</v>
      </c>
      <c r="CZ25" s="293">
        <f t="shared" si="200"/>
        <v>10000000</v>
      </c>
      <c r="DA25" s="292">
        <f t="shared" si="200"/>
        <v>10000000</v>
      </c>
      <c r="DB25" s="292">
        <f t="shared" si="200"/>
        <v>10000000</v>
      </c>
      <c r="DC25" s="292">
        <f t="shared" si="200"/>
        <v>10000000</v>
      </c>
      <c r="DD25" s="292">
        <f t="shared" si="200"/>
        <v>10000000</v>
      </c>
      <c r="DE25" s="292">
        <f t="shared" si="200"/>
        <v>10000000</v>
      </c>
      <c r="DF25" s="292">
        <f t="shared" si="200"/>
        <v>10000000</v>
      </c>
      <c r="DG25" s="292">
        <f t="shared" si="200"/>
        <v>10000000</v>
      </c>
      <c r="DH25" s="292">
        <f t="shared" si="200"/>
        <v>10000000</v>
      </c>
      <c r="DI25" s="292">
        <f t="shared" si="200"/>
        <v>10000000</v>
      </c>
      <c r="DJ25" s="292">
        <f t="shared" si="200"/>
        <v>10000000</v>
      </c>
      <c r="DK25" s="292">
        <f t="shared" si="200"/>
        <v>10000000</v>
      </c>
      <c r="DL25" s="293">
        <f t="shared" si="200"/>
        <v>10000000</v>
      </c>
      <c r="DM25" s="292">
        <f t="shared" si="200"/>
        <v>10000000</v>
      </c>
      <c r="DN25" s="292">
        <f t="shared" si="200"/>
        <v>10000000</v>
      </c>
      <c r="DO25" s="292">
        <f t="shared" si="200"/>
        <v>10000000</v>
      </c>
      <c r="DP25" s="292">
        <f t="shared" si="200"/>
        <v>10000000</v>
      </c>
      <c r="DQ25" s="292">
        <f t="shared" si="200"/>
        <v>10000000</v>
      </c>
      <c r="DR25" s="292">
        <f t="shared" si="200"/>
        <v>10000000</v>
      </c>
      <c r="DS25" s="292">
        <f t="shared" si="200"/>
        <v>10000000</v>
      </c>
      <c r="DT25" s="292">
        <f t="shared" si="200"/>
        <v>10000000</v>
      </c>
      <c r="DU25" s="292">
        <f t="shared" si="200"/>
        <v>10000000</v>
      </c>
      <c r="DV25" s="292">
        <f t="shared" si="200"/>
        <v>10000000</v>
      </c>
      <c r="DW25" s="292">
        <f t="shared" si="200"/>
        <v>10000000</v>
      </c>
    </row>
    <row r="26" spans="3:132" hidden="1" x14ac:dyDescent="0.3">
      <c r="D26" s="126" t="str">
        <f>'Data Master'!C51</f>
        <v>Ops Manager</v>
      </c>
      <c r="E26" s="292"/>
      <c r="F26" s="519"/>
      <c r="G26" s="1196">
        <f>HLOOKUP($D$4,'Data Master'!$D$48:$L$63,'Data Master'!$B51,0)</f>
        <v>120</v>
      </c>
      <c r="H26" s="292">
        <f t="shared" ref="H26" si="202">G26</f>
        <v>120</v>
      </c>
      <c r="I26" s="292">
        <f t="shared" si="199"/>
        <v>120</v>
      </c>
      <c r="J26" s="292">
        <f t="shared" si="199"/>
        <v>120</v>
      </c>
      <c r="K26" s="292">
        <f t="shared" si="199"/>
        <v>120</v>
      </c>
      <c r="L26" s="292">
        <f t="shared" si="199"/>
        <v>120</v>
      </c>
      <c r="M26" s="292">
        <f t="shared" si="199"/>
        <v>120</v>
      </c>
      <c r="N26" s="1196">
        <f>HLOOKUP($D$4,'Data Master'!$N$48:$V$63,'Data Master'!$B51,0)</f>
        <v>120</v>
      </c>
      <c r="O26" s="292">
        <f t="shared" si="199"/>
        <v>120</v>
      </c>
      <c r="P26" s="292">
        <f t="shared" si="199"/>
        <v>120</v>
      </c>
      <c r="Q26" s="292">
        <f t="shared" si="199"/>
        <v>120</v>
      </c>
      <c r="R26" s="292">
        <f t="shared" si="199"/>
        <v>120</v>
      </c>
      <c r="S26" s="292">
        <f t="shared" si="199"/>
        <v>120</v>
      </c>
      <c r="T26" s="1196">
        <f>HLOOKUP($D$4,'Data Master'!$X$48:$AF$63,'Data Master'!$B51,0)</f>
        <v>120</v>
      </c>
      <c r="U26" s="292">
        <f t="shared" si="199"/>
        <v>120</v>
      </c>
      <c r="V26" s="292">
        <f t="shared" si="199"/>
        <v>120</v>
      </c>
      <c r="W26" s="292">
        <f t="shared" si="199"/>
        <v>120</v>
      </c>
      <c r="X26" s="292">
        <f t="shared" si="199"/>
        <v>120</v>
      </c>
      <c r="Y26" s="292">
        <f t="shared" si="199"/>
        <v>120</v>
      </c>
      <c r="Z26" s="292">
        <f t="shared" si="199"/>
        <v>120</v>
      </c>
      <c r="AA26" s="292">
        <f t="shared" si="199"/>
        <v>120</v>
      </c>
      <c r="AB26" s="292">
        <f t="shared" si="199"/>
        <v>120</v>
      </c>
      <c r="AC26" s="292">
        <f t="shared" si="199"/>
        <v>120</v>
      </c>
      <c r="AD26" s="292">
        <f t="shared" si="199"/>
        <v>120</v>
      </c>
      <c r="AE26" s="292">
        <f t="shared" si="199"/>
        <v>120</v>
      </c>
      <c r="AF26" s="1196">
        <f>HLOOKUP($D$4,'Data Master'!$AH$48:$AP$63,'Data Master'!$B51,0)</f>
        <v>120</v>
      </c>
      <c r="AG26" s="292">
        <f t="shared" si="199"/>
        <v>120</v>
      </c>
      <c r="AH26" s="292">
        <f t="shared" si="199"/>
        <v>120</v>
      </c>
      <c r="AI26" s="292">
        <f t="shared" si="199"/>
        <v>120</v>
      </c>
      <c r="AJ26" s="292">
        <f t="shared" si="199"/>
        <v>120</v>
      </c>
      <c r="AK26" s="292">
        <f t="shared" si="199"/>
        <v>120</v>
      </c>
      <c r="AL26" s="292">
        <f t="shared" si="199"/>
        <v>120</v>
      </c>
      <c r="AM26" s="292">
        <f t="shared" si="199"/>
        <v>120</v>
      </c>
      <c r="AN26" s="292">
        <f t="shared" si="199"/>
        <v>120</v>
      </c>
      <c r="AO26" s="292">
        <f t="shared" si="199"/>
        <v>120</v>
      </c>
      <c r="AP26" s="292">
        <f t="shared" si="199"/>
        <v>120</v>
      </c>
      <c r="AQ26" s="292">
        <f t="shared" si="199"/>
        <v>120</v>
      </c>
      <c r="AR26" s="1196">
        <f>HLOOKUP($D$4,'Data Master'!$AR$48:$AZ$63,'Data Master'!$B51,0)</f>
        <v>120</v>
      </c>
      <c r="AS26" s="292">
        <f t="shared" si="199"/>
        <v>120</v>
      </c>
      <c r="AT26" s="292">
        <f t="shared" si="199"/>
        <v>120</v>
      </c>
      <c r="AU26" s="292">
        <f t="shared" si="199"/>
        <v>120</v>
      </c>
      <c r="AV26" s="292">
        <f t="shared" si="199"/>
        <v>120</v>
      </c>
      <c r="AW26" s="292">
        <f t="shared" si="199"/>
        <v>120</v>
      </c>
      <c r="AX26" s="292">
        <f t="shared" si="199"/>
        <v>120</v>
      </c>
      <c r="AY26" s="292">
        <f t="shared" si="199"/>
        <v>120</v>
      </c>
      <c r="AZ26" s="292">
        <f t="shared" si="199"/>
        <v>120</v>
      </c>
      <c r="BA26" s="292">
        <f t="shared" si="199"/>
        <v>120</v>
      </c>
      <c r="BB26" s="292">
        <f t="shared" si="199"/>
        <v>120</v>
      </c>
      <c r="BC26" s="292">
        <f t="shared" si="199"/>
        <v>120</v>
      </c>
      <c r="BD26" s="293">
        <f t="shared" si="199"/>
        <v>120</v>
      </c>
      <c r="BE26" s="292">
        <f t="shared" si="199"/>
        <v>120</v>
      </c>
      <c r="BF26" s="292">
        <f t="shared" si="199"/>
        <v>120</v>
      </c>
      <c r="BG26" s="292">
        <f t="shared" si="199"/>
        <v>120</v>
      </c>
      <c r="BH26" s="292">
        <f t="shared" si="199"/>
        <v>120</v>
      </c>
      <c r="BI26" s="292">
        <f t="shared" si="199"/>
        <v>120</v>
      </c>
      <c r="BJ26" s="292">
        <f t="shared" si="199"/>
        <v>120</v>
      </c>
      <c r="BK26" s="292">
        <f t="shared" si="199"/>
        <v>120</v>
      </c>
      <c r="BL26" s="292">
        <f t="shared" si="199"/>
        <v>120</v>
      </c>
      <c r="BM26" s="292">
        <f t="shared" si="199"/>
        <v>120</v>
      </c>
      <c r="BN26" s="292">
        <f t="shared" si="199"/>
        <v>120</v>
      </c>
      <c r="BO26" s="292">
        <f t="shared" si="199"/>
        <v>120</v>
      </c>
      <c r="BP26" s="293">
        <f t="shared" si="199"/>
        <v>120</v>
      </c>
      <c r="BQ26" s="292">
        <f t="shared" si="199"/>
        <v>120</v>
      </c>
      <c r="BR26" s="292">
        <f t="shared" si="199"/>
        <v>120</v>
      </c>
      <c r="BS26" s="292">
        <f t="shared" si="199"/>
        <v>120</v>
      </c>
      <c r="BT26" s="292">
        <f t="shared" si="199"/>
        <v>120</v>
      </c>
      <c r="BU26" s="292">
        <f t="shared" si="200"/>
        <v>120</v>
      </c>
      <c r="BV26" s="292">
        <f t="shared" si="200"/>
        <v>120</v>
      </c>
      <c r="BW26" s="292">
        <f t="shared" si="200"/>
        <v>120</v>
      </c>
      <c r="BX26" s="292">
        <f t="shared" si="200"/>
        <v>120</v>
      </c>
      <c r="BY26" s="292">
        <f t="shared" si="200"/>
        <v>120</v>
      </c>
      <c r="BZ26" s="292">
        <f t="shared" si="200"/>
        <v>120</v>
      </c>
      <c r="CA26" s="292">
        <f t="shared" si="200"/>
        <v>120</v>
      </c>
      <c r="CB26" s="293">
        <f t="shared" si="200"/>
        <v>120</v>
      </c>
      <c r="CC26" s="292">
        <f t="shared" si="200"/>
        <v>120</v>
      </c>
      <c r="CD26" s="292">
        <f t="shared" si="200"/>
        <v>120</v>
      </c>
      <c r="CE26" s="292">
        <f t="shared" si="200"/>
        <v>120</v>
      </c>
      <c r="CF26" s="292">
        <f t="shared" si="200"/>
        <v>120</v>
      </c>
      <c r="CG26" s="292">
        <f t="shared" si="200"/>
        <v>120</v>
      </c>
      <c r="CH26" s="292">
        <f t="shared" si="200"/>
        <v>120</v>
      </c>
      <c r="CI26" s="292">
        <f t="shared" si="200"/>
        <v>120</v>
      </c>
      <c r="CJ26" s="292">
        <f t="shared" si="200"/>
        <v>120</v>
      </c>
      <c r="CK26" s="292">
        <f t="shared" si="200"/>
        <v>120</v>
      </c>
      <c r="CL26" s="292">
        <f t="shared" si="200"/>
        <v>120</v>
      </c>
      <c r="CM26" s="292">
        <f t="shared" si="200"/>
        <v>120</v>
      </c>
      <c r="CN26" s="293">
        <f t="shared" si="200"/>
        <v>120</v>
      </c>
      <c r="CO26" s="292">
        <f t="shared" si="200"/>
        <v>120</v>
      </c>
      <c r="CP26" s="292">
        <f t="shared" si="200"/>
        <v>120</v>
      </c>
      <c r="CQ26" s="292">
        <f t="shared" si="200"/>
        <v>120</v>
      </c>
      <c r="CR26" s="292">
        <f t="shared" si="200"/>
        <v>120</v>
      </c>
      <c r="CS26" s="292">
        <f t="shared" si="200"/>
        <v>120</v>
      </c>
      <c r="CT26" s="292">
        <f t="shared" si="200"/>
        <v>120</v>
      </c>
      <c r="CU26" s="292">
        <f t="shared" si="200"/>
        <v>120</v>
      </c>
      <c r="CV26" s="292">
        <f t="shared" si="200"/>
        <v>120</v>
      </c>
      <c r="CW26" s="292">
        <f t="shared" si="200"/>
        <v>120</v>
      </c>
      <c r="CX26" s="292">
        <f t="shared" si="200"/>
        <v>120</v>
      </c>
      <c r="CY26" s="292">
        <f t="shared" si="200"/>
        <v>120</v>
      </c>
      <c r="CZ26" s="293">
        <f t="shared" si="200"/>
        <v>120</v>
      </c>
      <c r="DA26" s="292">
        <f t="shared" si="200"/>
        <v>120</v>
      </c>
      <c r="DB26" s="292">
        <f t="shared" si="200"/>
        <v>120</v>
      </c>
      <c r="DC26" s="292">
        <f t="shared" si="200"/>
        <v>120</v>
      </c>
      <c r="DD26" s="292">
        <f t="shared" si="200"/>
        <v>120</v>
      </c>
      <c r="DE26" s="292">
        <f t="shared" si="200"/>
        <v>120</v>
      </c>
      <c r="DF26" s="292">
        <f t="shared" si="200"/>
        <v>120</v>
      </c>
      <c r="DG26" s="292">
        <f t="shared" si="200"/>
        <v>120</v>
      </c>
      <c r="DH26" s="292">
        <f t="shared" si="200"/>
        <v>120</v>
      </c>
      <c r="DI26" s="292">
        <f t="shared" si="200"/>
        <v>120</v>
      </c>
      <c r="DJ26" s="292">
        <f t="shared" si="200"/>
        <v>120</v>
      </c>
      <c r="DK26" s="292">
        <f t="shared" si="200"/>
        <v>120</v>
      </c>
      <c r="DL26" s="293">
        <f t="shared" si="200"/>
        <v>120</v>
      </c>
      <c r="DM26" s="292">
        <f t="shared" si="200"/>
        <v>120</v>
      </c>
      <c r="DN26" s="292">
        <f t="shared" si="200"/>
        <v>120</v>
      </c>
      <c r="DO26" s="292">
        <f t="shared" si="200"/>
        <v>120</v>
      </c>
      <c r="DP26" s="292">
        <f t="shared" si="200"/>
        <v>120</v>
      </c>
      <c r="DQ26" s="292">
        <f t="shared" si="200"/>
        <v>120</v>
      </c>
      <c r="DR26" s="292">
        <f t="shared" si="200"/>
        <v>120</v>
      </c>
      <c r="DS26" s="292">
        <f t="shared" si="200"/>
        <v>120</v>
      </c>
      <c r="DT26" s="292">
        <f t="shared" si="200"/>
        <v>120</v>
      </c>
      <c r="DU26" s="292">
        <f t="shared" si="200"/>
        <v>120</v>
      </c>
      <c r="DV26" s="292">
        <f t="shared" si="200"/>
        <v>120</v>
      </c>
      <c r="DW26" s="292">
        <f t="shared" si="200"/>
        <v>120</v>
      </c>
    </row>
    <row r="27" spans="3:132" hidden="1" x14ac:dyDescent="0.3">
      <c r="D27" s="126" t="str">
        <f>'Data Master'!C52</f>
        <v>Sr Manager</v>
      </c>
      <c r="E27" s="292"/>
      <c r="F27" s="519"/>
      <c r="G27" s="1196">
        <f>HLOOKUP($D$4,'Data Master'!$D$48:$L$63,'Data Master'!$B52,0)</f>
        <v>10000000</v>
      </c>
      <c r="H27" s="292">
        <f t="shared" ref="H27" si="203">G27</f>
        <v>10000000</v>
      </c>
      <c r="I27" s="292">
        <f t="shared" si="199"/>
        <v>10000000</v>
      </c>
      <c r="J27" s="292">
        <f t="shared" si="199"/>
        <v>10000000</v>
      </c>
      <c r="K27" s="292">
        <f t="shared" si="199"/>
        <v>10000000</v>
      </c>
      <c r="L27" s="292">
        <f t="shared" si="199"/>
        <v>10000000</v>
      </c>
      <c r="M27" s="292">
        <f t="shared" si="199"/>
        <v>10000000</v>
      </c>
      <c r="N27" s="1196">
        <f>HLOOKUP($D$4,'Data Master'!$N$48:$V$63,'Data Master'!$B52,0)</f>
        <v>10000000</v>
      </c>
      <c r="O27" s="292">
        <f t="shared" si="199"/>
        <v>10000000</v>
      </c>
      <c r="P27" s="292">
        <f t="shared" si="199"/>
        <v>10000000</v>
      </c>
      <c r="Q27" s="292">
        <f t="shared" si="199"/>
        <v>10000000</v>
      </c>
      <c r="R27" s="292">
        <f t="shared" si="199"/>
        <v>10000000</v>
      </c>
      <c r="S27" s="292">
        <f t="shared" si="199"/>
        <v>10000000</v>
      </c>
      <c r="T27" s="1196">
        <f>HLOOKUP($D$4,'Data Master'!$X$48:$AF$63,'Data Master'!$B52,0)</f>
        <v>10000000</v>
      </c>
      <c r="U27" s="292">
        <f t="shared" si="199"/>
        <v>10000000</v>
      </c>
      <c r="V27" s="292">
        <f t="shared" si="199"/>
        <v>10000000</v>
      </c>
      <c r="W27" s="292">
        <f t="shared" si="199"/>
        <v>10000000</v>
      </c>
      <c r="X27" s="292">
        <f t="shared" si="199"/>
        <v>10000000</v>
      </c>
      <c r="Y27" s="292">
        <f t="shared" si="199"/>
        <v>10000000</v>
      </c>
      <c r="Z27" s="292">
        <f t="shared" si="199"/>
        <v>10000000</v>
      </c>
      <c r="AA27" s="292">
        <f t="shared" si="199"/>
        <v>10000000</v>
      </c>
      <c r="AB27" s="292">
        <f t="shared" si="199"/>
        <v>10000000</v>
      </c>
      <c r="AC27" s="292">
        <f t="shared" si="199"/>
        <v>10000000</v>
      </c>
      <c r="AD27" s="292">
        <f t="shared" si="199"/>
        <v>10000000</v>
      </c>
      <c r="AE27" s="292">
        <f t="shared" si="199"/>
        <v>10000000</v>
      </c>
      <c r="AF27" s="1196">
        <f>HLOOKUP($D$4,'Data Master'!$AH$48:$AP$63,'Data Master'!$B52,0)</f>
        <v>10000000</v>
      </c>
      <c r="AG27" s="292">
        <f t="shared" si="199"/>
        <v>10000000</v>
      </c>
      <c r="AH27" s="292">
        <f t="shared" si="199"/>
        <v>10000000</v>
      </c>
      <c r="AI27" s="292">
        <f t="shared" si="199"/>
        <v>10000000</v>
      </c>
      <c r="AJ27" s="292">
        <f t="shared" si="199"/>
        <v>10000000</v>
      </c>
      <c r="AK27" s="292">
        <f t="shared" si="199"/>
        <v>10000000</v>
      </c>
      <c r="AL27" s="292">
        <f t="shared" si="199"/>
        <v>10000000</v>
      </c>
      <c r="AM27" s="292">
        <f t="shared" si="199"/>
        <v>10000000</v>
      </c>
      <c r="AN27" s="292">
        <f t="shared" si="199"/>
        <v>10000000</v>
      </c>
      <c r="AO27" s="292">
        <f t="shared" si="199"/>
        <v>10000000</v>
      </c>
      <c r="AP27" s="292">
        <f t="shared" si="199"/>
        <v>10000000</v>
      </c>
      <c r="AQ27" s="292">
        <f t="shared" si="199"/>
        <v>10000000</v>
      </c>
      <c r="AR27" s="1196">
        <f>HLOOKUP($D$4,'Data Master'!$AR$48:$AZ$63,'Data Master'!$B52,0)</f>
        <v>10000000</v>
      </c>
      <c r="AS27" s="292">
        <f t="shared" si="199"/>
        <v>10000000</v>
      </c>
      <c r="AT27" s="292">
        <f t="shared" si="199"/>
        <v>10000000</v>
      </c>
      <c r="AU27" s="292">
        <f t="shared" si="199"/>
        <v>10000000</v>
      </c>
      <c r="AV27" s="292">
        <f t="shared" si="199"/>
        <v>10000000</v>
      </c>
      <c r="AW27" s="292">
        <f t="shared" si="199"/>
        <v>10000000</v>
      </c>
      <c r="AX27" s="292">
        <f t="shared" si="199"/>
        <v>10000000</v>
      </c>
      <c r="AY27" s="292">
        <f t="shared" si="199"/>
        <v>10000000</v>
      </c>
      <c r="AZ27" s="292">
        <f t="shared" si="199"/>
        <v>10000000</v>
      </c>
      <c r="BA27" s="292">
        <f t="shared" si="199"/>
        <v>10000000</v>
      </c>
      <c r="BB27" s="292">
        <f t="shared" si="199"/>
        <v>10000000</v>
      </c>
      <c r="BC27" s="292">
        <f t="shared" si="199"/>
        <v>10000000</v>
      </c>
      <c r="BD27" s="293">
        <f t="shared" si="199"/>
        <v>10000000</v>
      </c>
      <c r="BE27" s="292">
        <f t="shared" si="199"/>
        <v>10000000</v>
      </c>
      <c r="BF27" s="292">
        <f t="shared" si="199"/>
        <v>10000000</v>
      </c>
      <c r="BG27" s="292">
        <f t="shared" si="199"/>
        <v>10000000</v>
      </c>
      <c r="BH27" s="292">
        <f t="shared" si="199"/>
        <v>10000000</v>
      </c>
      <c r="BI27" s="292">
        <f t="shared" si="199"/>
        <v>10000000</v>
      </c>
      <c r="BJ27" s="292">
        <f t="shared" si="199"/>
        <v>10000000</v>
      </c>
      <c r="BK27" s="292">
        <f t="shared" si="199"/>
        <v>10000000</v>
      </c>
      <c r="BL27" s="292">
        <f t="shared" si="199"/>
        <v>10000000</v>
      </c>
      <c r="BM27" s="292">
        <f t="shared" si="199"/>
        <v>10000000</v>
      </c>
      <c r="BN27" s="292">
        <f t="shared" si="199"/>
        <v>10000000</v>
      </c>
      <c r="BO27" s="292">
        <f t="shared" si="199"/>
        <v>10000000</v>
      </c>
      <c r="BP27" s="293">
        <f t="shared" si="199"/>
        <v>10000000</v>
      </c>
      <c r="BQ27" s="292">
        <f t="shared" si="199"/>
        <v>10000000</v>
      </c>
      <c r="BR27" s="292">
        <f t="shared" si="199"/>
        <v>10000000</v>
      </c>
      <c r="BS27" s="292">
        <f t="shared" si="199"/>
        <v>10000000</v>
      </c>
      <c r="BT27" s="292">
        <f t="shared" ref="BT27:BT38" si="204">BS27</f>
        <v>10000000</v>
      </c>
      <c r="BU27" s="292">
        <f t="shared" si="200"/>
        <v>10000000</v>
      </c>
      <c r="BV27" s="292">
        <f t="shared" si="200"/>
        <v>10000000</v>
      </c>
      <c r="BW27" s="292">
        <f t="shared" si="200"/>
        <v>10000000</v>
      </c>
      <c r="BX27" s="292">
        <f t="shared" si="200"/>
        <v>10000000</v>
      </c>
      <c r="BY27" s="292">
        <f t="shared" si="200"/>
        <v>10000000</v>
      </c>
      <c r="BZ27" s="292">
        <f t="shared" si="200"/>
        <v>10000000</v>
      </c>
      <c r="CA27" s="292">
        <f t="shared" si="200"/>
        <v>10000000</v>
      </c>
      <c r="CB27" s="293">
        <f t="shared" si="200"/>
        <v>10000000</v>
      </c>
      <c r="CC27" s="292">
        <f t="shared" si="200"/>
        <v>10000000</v>
      </c>
      <c r="CD27" s="292">
        <f t="shared" si="200"/>
        <v>10000000</v>
      </c>
      <c r="CE27" s="292">
        <f t="shared" si="200"/>
        <v>10000000</v>
      </c>
      <c r="CF27" s="292">
        <f t="shared" si="200"/>
        <v>10000000</v>
      </c>
      <c r="CG27" s="292">
        <f t="shared" si="200"/>
        <v>10000000</v>
      </c>
      <c r="CH27" s="292">
        <f t="shared" si="200"/>
        <v>10000000</v>
      </c>
      <c r="CI27" s="292">
        <f t="shared" si="200"/>
        <v>10000000</v>
      </c>
      <c r="CJ27" s="292">
        <f t="shared" si="200"/>
        <v>10000000</v>
      </c>
      <c r="CK27" s="292">
        <f t="shared" si="200"/>
        <v>10000000</v>
      </c>
      <c r="CL27" s="292">
        <f t="shared" si="200"/>
        <v>10000000</v>
      </c>
      <c r="CM27" s="292">
        <f t="shared" si="200"/>
        <v>10000000</v>
      </c>
      <c r="CN27" s="293">
        <f t="shared" si="200"/>
        <v>10000000</v>
      </c>
      <c r="CO27" s="292">
        <f t="shared" si="200"/>
        <v>10000000</v>
      </c>
      <c r="CP27" s="292">
        <f t="shared" si="200"/>
        <v>10000000</v>
      </c>
      <c r="CQ27" s="292">
        <f t="shared" si="200"/>
        <v>10000000</v>
      </c>
      <c r="CR27" s="292">
        <f t="shared" si="200"/>
        <v>10000000</v>
      </c>
      <c r="CS27" s="292">
        <f t="shared" si="200"/>
        <v>10000000</v>
      </c>
      <c r="CT27" s="292">
        <f t="shared" si="200"/>
        <v>10000000</v>
      </c>
      <c r="CU27" s="292">
        <f t="shared" si="200"/>
        <v>10000000</v>
      </c>
      <c r="CV27" s="292">
        <f t="shared" si="200"/>
        <v>10000000</v>
      </c>
      <c r="CW27" s="292">
        <f t="shared" si="200"/>
        <v>10000000</v>
      </c>
      <c r="CX27" s="292">
        <f t="shared" si="200"/>
        <v>10000000</v>
      </c>
      <c r="CY27" s="292">
        <f t="shared" si="200"/>
        <v>10000000</v>
      </c>
      <c r="CZ27" s="293">
        <f t="shared" si="200"/>
        <v>10000000</v>
      </c>
      <c r="DA27" s="292">
        <f t="shared" si="200"/>
        <v>10000000</v>
      </c>
      <c r="DB27" s="292">
        <f t="shared" si="200"/>
        <v>10000000</v>
      </c>
      <c r="DC27" s="292">
        <f t="shared" si="200"/>
        <v>10000000</v>
      </c>
      <c r="DD27" s="292">
        <f t="shared" si="200"/>
        <v>10000000</v>
      </c>
      <c r="DE27" s="292">
        <f t="shared" si="200"/>
        <v>10000000</v>
      </c>
      <c r="DF27" s="292">
        <f t="shared" si="200"/>
        <v>10000000</v>
      </c>
      <c r="DG27" s="292">
        <f t="shared" si="200"/>
        <v>10000000</v>
      </c>
      <c r="DH27" s="292">
        <f t="shared" si="200"/>
        <v>10000000</v>
      </c>
      <c r="DI27" s="292">
        <f t="shared" si="200"/>
        <v>10000000</v>
      </c>
      <c r="DJ27" s="292">
        <f t="shared" si="200"/>
        <v>10000000</v>
      </c>
      <c r="DK27" s="292">
        <f t="shared" si="200"/>
        <v>10000000</v>
      </c>
      <c r="DL27" s="293">
        <f t="shared" si="200"/>
        <v>10000000</v>
      </c>
      <c r="DM27" s="292">
        <f t="shared" si="200"/>
        <v>10000000</v>
      </c>
      <c r="DN27" s="292">
        <f t="shared" si="200"/>
        <v>10000000</v>
      </c>
      <c r="DO27" s="292">
        <f t="shared" si="200"/>
        <v>10000000</v>
      </c>
      <c r="DP27" s="292">
        <f t="shared" si="200"/>
        <v>10000000</v>
      </c>
      <c r="DQ27" s="292">
        <f t="shared" si="200"/>
        <v>10000000</v>
      </c>
      <c r="DR27" s="292">
        <f t="shared" si="200"/>
        <v>10000000</v>
      </c>
      <c r="DS27" s="292">
        <f t="shared" si="200"/>
        <v>10000000</v>
      </c>
      <c r="DT27" s="292">
        <f t="shared" si="200"/>
        <v>10000000</v>
      </c>
      <c r="DU27" s="292">
        <f t="shared" si="200"/>
        <v>10000000</v>
      </c>
      <c r="DV27" s="292">
        <f t="shared" si="200"/>
        <v>10000000</v>
      </c>
      <c r="DW27" s="292">
        <f t="shared" si="200"/>
        <v>10000000</v>
      </c>
    </row>
    <row r="28" spans="3:132" hidden="1" x14ac:dyDescent="0.3">
      <c r="D28" s="126" t="str">
        <f>'Data Master'!C53</f>
        <v>DGM / AD</v>
      </c>
      <c r="E28" s="292"/>
      <c r="F28" s="519"/>
      <c r="G28" s="1196">
        <f>HLOOKUP($D$4,'Data Master'!$D$48:$L$63,'Data Master'!$B53,0)</f>
        <v>480</v>
      </c>
      <c r="H28" s="292">
        <f t="shared" ref="H28" si="205">G28</f>
        <v>480</v>
      </c>
      <c r="I28" s="292">
        <f t="shared" ref="I28:I38" si="206">H28</f>
        <v>480</v>
      </c>
      <c r="J28" s="292">
        <f t="shared" ref="J28:J38" si="207">I28</f>
        <v>480</v>
      </c>
      <c r="K28" s="292">
        <f t="shared" ref="K28:K38" si="208">J28</f>
        <v>480</v>
      </c>
      <c r="L28" s="292">
        <f t="shared" ref="L28:L38" si="209">K28</f>
        <v>480</v>
      </c>
      <c r="M28" s="292">
        <f t="shared" ref="M28:M38" si="210">L28</f>
        <v>480</v>
      </c>
      <c r="N28" s="1196">
        <f>HLOOKUP($D$4,'Data Master'!$N$48:$V$63,'Data Master'!$B53,0)</f>
        <v>480</v>
      </c>
      <c r="O28" s="292">
        <f t="shared" ref="O28:O38" si="211">N28</f>
        <v>480</v>
      </c>
      <c r="P28" s="292">
        <f t="shared" ref="P28:P38" si="212">O28</f>
        <v>480</v>
      </c>
      <c r="Q28" s="292">
        <f t="shared" ref="Q28:Q38" si="213">P28</f>
        <v>480</v>
      </c>
      <c r="R28" s="292">
        <f t="shared" ref="R28:R38" si="214">Q28</f>
        <v>480</v>
      </c>
      <c r="S28" s="292">
        <f t="shared" ref="S28:S38" si="215">R28</f>
        <v>480</v>
      </c>
      <c r="T28" s="1196">
        <f>HLOOKUP($D$4,'Data Master'!$X$48:$AF$63,'Data Master'!$B53,0)</f>
        <v>480</v>
      </c>
      <c r="U28" s="292">
        <f t="shared" ref="U28:U38" si="216">T28</f>
        <v>480</v>
      </c>
      <c r="V28" s="292">
        <f t="shared" ref="V28:V38" si="217">U28</f>
        <v>480</v>
      </c>
      <c r="W28" s="292">
        <f t="shared" ref="W28:W38" si="218">V28</f>
        <v>480</v>
      </c>
      <c r="X28" s="292">
        <f t="shared" ref="X28:X38" si="219">W28</f>
        <v>480</v>
      </c>
      <c r="Y28" s="292">
        <f t="shared" ref="Y28:Y38" si="220">X28</f>
        <v>480</v>
      </c>
      <c r="Z28" s="292">
        <f t="shared" ref="Z28:Z38" si="221">Y28</f>
        <v>480</v>
      </c>
      <c r="AA28" s="292">
        <f t="shared" ref="AA28:AA38" si="222">Z28</f>
        <v>480</v>
      </c>
      <c r="AB28" s="292">
        <f t="shared" ref="AB28:AB38" si="223">AA28</f>
        <v>480</v>
      </c>
      <c r="AC28" s="292">
        <f t="shared" ref="AC28:AC38" si="224">AB28</f>
        <v>480</v>
      </c>
      <c r="AD28" s="292">
        <f t="shared" ref="AD28:AD38" si="225">AC28</f>
        <v>480</v>
      </c>
      <c r="AE28" s="292">
        <f t="shared" ref="AE28:AE38" si="226">AD28</f>
        <v>480</v>
      </c>
      <c r="AF28" s="1196">
        <f>HLOOKUP($D$4,'Data Master'!$AH$48:$AP$63,'Data Master'!$B53,0)</f>
        <v>480</v>
      </c>
      <c r="AG28" s="292">
        <f t="shared" ref="AG28:AG38" si="227">AF28</f>
        <v>480</v>
      </c>
      <c r="AH28" s="292">
        <f t="shared" ref="AH28:AH38" si="228">AG28</f>
        <v>480</v>
      </c>
      <c r="AI28" s="292">
        <f t="shared" ref="AI28:AI38" si="229">AH28</f>
        <v>480</v>
      </c>
      <c r="AJ28" s="292">
        <f t="shared" ref="AJ28:AJ38" si="230">AI28</f>
        <v>480</v>
      </c>
      <c r="AK28" s="292">
        <f t="shared" ref="AK28:AK38" si="231">AJ28</f>
        <v>480</v>
      </c>
      <c r="AL28" s="292">
        <f t="shared" ref="AL28:AL38" si="232">AK28</f>
        <v>480</v>
      </c>
      <c r="AM28" s="292">
        <f t="shared" ref="AM28:AM38" si="233">AL28</f>
        <v>480</v>
      </c>
      <c r="AN28" s="292">
        <f t="shared" ref="AN28:AN38" si="234">AM28</f>
        <v>480</v>
      </c>
      <c r="AO28" s="292">
        <f t="shared" ref="AO28:AO38" si="235">AN28</f>
        <v>480</v>
      </c>
      <c r="AP28" s="292">
        <f t="shared" ref="AP28:AP38" si="236">AO28</f>
        <v>480</v>
      </c>
      <c r="AQ28" s="292">
        <f t="shared" ref="AQ28:AQ38" si="237">AP28</f>
        <v>480</v>
      </c>
      <c r="AR28" s="1196">
        <f>HLOOKUP($D$4,'Data Master'!$AR$48:$AZ$63,'Data Master'!$B53,0)</f>
        <v>480</v>
      </c>
      <c r="AS28" s="292">
        <f t="shared" ref="AS28:AS38" si="238">AR28</f>
        <v>480</v>
      </c>
      <c r="AT28" s="292">
        <f t="shared" ref="AT28:AT38" si="239">AS28</f>
        <v>480</v>
      </c>
      <c r="AU28" s="292">
        <f t="shared" ref="AU28:AU38" si="240">AT28</f>
        <v>480</v>
      </c>
      <c r="AV28" s="292">
        <f t="shared" ref="AV28:AV38" si="241">AU28</f>
        <v>480</v>
      </c>
      <c r="AW28" s="292">
        <f t="shared" ref="AW28:AW38" si="242">AV28</f>
        <v>480</v>
      </c>
      <c r="AX28" s="292">
        <f t="shared" ref="AX28:AX38" si="243">AW28</f>
        <v>480</v>
      </c>
      <c r="AY28" s="292">
        <f t="shared" ref="AY28:AY38" si="244">AX28</f>
        <v>480</v>
      </c>
      <c r="AZ28" s="292">
        <f t="shared" ref="AZ28:AZ38" si="245">AY28</f>
        <v>480</v>
      </c>
      <c r="BA28" s="292">
        <f t="shared" ref="BA28:BA38" si="246">AZ28</f>
        <v>480</v>
      </c>
      <c r="BB28" s="292">
        <f t="shared" ref="BB28:BB38" si="247">BA28</f>
        <v>480</v>
      </c>
      <c r="BC28" s="292">
        <f t="shared" ref="BC28:BC38" si="248">BB28</f>
        <v>480</v>
      </c>
      <c r="BD28" s="293">
        <f t="shared" ref="BD28:BD38" si="249">BC28</f>
        <v>480</v>
      </c>
      <c r="BE28" s="292">
        <f t="shared" ref="BE28:BE38" si="250">BD28</f>
        <v>480</v>
      </c>
      <c r="BF28" s="292">
        <f t="shared" ref="BF28:BF38" si="251">BE28</f>
        <v>480</v>
      </c>
      <c r="BG28" s="292">
        <f t="shared" ref="BG28:BG38" si="252">BF28</f>
        <v>480</v>
      </c>
      <c r="BH28" s="292">
        <f t="shared" ref="BH28:BH38" si="253">BG28</f>
        <v>480</v>
      </c>
      <c r="BI28" s="292">
        <f t="shared" ref="BI28:BI38" si="254">BH28</f>
        <v>480</v>
      </c>
      <c r="BJ28" s="292">
        <f t="shared" ref="BJ28:BJ38" si="255">BI28</f>
        <v>480</v>
      </c>
      <c r="BK28" s="292">
        <f t="shared" ref="BK28:BK38" si="256">BJ28</f>
        <v>480</v>
      </c>
      <c r="BL28" s="292">
        <f t="shared" ref="BL28:BL38" si="257">BK28</f>
        <v>480</v>
      </c>
      <c r="BM28" s="292">
        <f t="shared" ref="BM28:BM38" si="258">BL28</f>
        <v>480</v>
      </c>
      <c r="BN28" s="292">
        <f t="shared" ref="BN28:BN38" si="259">BM28</f>
        <v>480</v>
      </c>
      <c r="BO28" s="292">
        <f t="shared" ref="BO28:BO38" si="260">BN28</f>
        <v>480</v>
      </c>
      <c r="BP28" s="293">
        <f t="shared" ref="BP28:BP38" si="261">BO28</f>
        <v>480</v>
      </c>
      <c r="BQ28" s="292">
        <f t="shared" ref="BQ28:BQ38" si="262">BP28</f>
        <v>480</v>
      </c>
      <c r="BR28" s="292">
        <f t="shared" ref="BR28:BR38" si="263">BQ28</f>
        <v>480</v>
      </c>
      <c r="BS28" s="292">
        <f t="shared" ref="BS28:BS38" si="264">BR28</f>
        <v>480</v>
      </c>
      <c r="BT28" s="292">
        <f t="shared" si="204"/>
        <v>480</v>
      </c>
      <c r="BU28" s="292">
        <f t="shared" si="200"/>
        <v>480</v>
      </c>
      <c r="BV28" s="292">
        <f t="shared" si="200"/>
        <v>480</v>
      </c>
      <c r="BW28" s="292">
        <f t="shared" si="200"/>
        <v>480</v>
      </c>
      <c r="BX28" s="292">
        <f t="shared" si="200"/>
        <v>480</v>
      </c>
      <c r="BY28" s="292">
        <f t="shared" si="200"/>
        <v>480</v>
      </c>
      <c r="BZ28" s="292">
        <f t="shared" si="200"/>
        <v>480</v>
      </c>
      <c r="CA28" s="292">
        <f t="shared" si="200"/>
        <v>480</v>
      </c>
      <c r="CB28" s="293">
        <f t="shared" si="200"/>
        <v>480</v>
      </c>
      <c r="CC28" s="292">
        <f t="shared" si="200"/>
        <v>480</v>
      </c>
      <c r="CD28" s="292">
        <f t="shared" si="200"/>
        <v>480</v>
      </c>
      <c r="CE28" s="292">
        <f t="shared" si="200"/>
        <v>480</v>
      </c>
      <c r="CF28" s="292">
        <f t="shared" si="200"/>
        <v>480</v>
      </c>
      <c r="CG28" s="292">
        <f t="shared" si="200"/>
        <v>480</v>
      </c>
      <c r="CH28" s="292">
        <f t="shared" si="200"/>
        <v>480</v>
      </c>
      <c r="CI28" s="292">
        <f t="shared" si="200"/>
        <v>480</v>
      </c>
      <c r="CJ28" s="292">
        <f t="shared" si="200"/>
        <v>480</v>
      </c>
      <c r="CK28" s="292">
        <f t="shared" si="200"/>
        <v>480</v>
      </c>
      <c r="CL28" s="292">
        <f t="shared" si="200"/>
        <v>480</v>
      </c>
      <c r="CM28" s="292">
        <f t="shared" si="200"/>
        <v>480</v>
      </c>
      <c r="CN28" s="293">
        <f t="shared" si="200"/>
        <v>480</v>
      </c>
      <c r="CO28" s="292">
        <f t="shared" si="200"/>
        <v>480</v>
      </c>
      <c r="CP28" s="292">
        <f t="shared" si="200"/>
        <v>480</v>
      </c>
      <c r="CQ28" s="292">
        <f t="shared" si="200"/>
        <v>480</v>
      </c>
      <c r="CR28" s="292">
        <f t="shared" si="200"/>
        <v>480</v>
      </c>
      <c r="CS28" s="292">
        <f t="shared" si="200"/>
        <v>480</v>
      </c>
      <c r="CT28" s="292">
        <f t="shared" si="200"/>
        <v>480</v>
      </c>
      <c r="CU28" s="292">
        <f t="shared" si="200"/>
        <v>480</v>
      </c>
      <c r="CV28" s="292">
        <f t="shared" si="200"/>
        <v>480</v>
      </c>
      <c r="CW28" s="292">
        <f t="shared" si="200"/>
        <v>480</v>
      </c>
      <c r="CX28" s="292">
        <f t="shared" si="200"/>
        <v>480</v>
      </c>
      <c r="CY28" s="292">
        <f t="shared" si="200"/>
        <v>480</v>
      </c>
      <c r="CZ28" s="293">
        <f t="shared" si="200"/>
        <v>480</v>
      </c>
      <c r="DA28" s="292">
        <f t="shared" si="200"/>
        <v>480</v>
      </c>
      <c r="DB28" s="292">
        <f t="shared" si="200"/>
        <v>480</v>
      </c>
      <c r="DC28" s="292">
        <f t="shared" si="200"/>
        <v>480</v>
      </c>
      <c r="DD28" s="292">
        <f t="shared" ref="DD28:DD38" si="265">DC28</f>
        <v>480</v>
      </c>
      <c r="DE28" s="292">
        <f t="shared" ref="DE28:DE38" si="266">DD28</f>
        <v>480</v>
      </c>
      <c r="DF28" s="292">
        <f t="shared" ref="DF28:DF38" si="267">DE28</f>
        <v>480</v>
      </c>
      <c r="DG28" s="292">
        <f t="shared" ref="DG28:DG38" si="268">DF28</f>
        <v>480</v>
      </c>
      <c r="DH28" s="292">
        <f t="shared" ref="DH28:DH38" si="269">DG28</f>
        <v>480</v>
      </c>
      <c r="DI28" s="292">
        <f t="shared" ref="DI28:DI38" si="270">DH28</f>
        <v>480</v>
      </c>
      <c r="DJ28" s="292">
        <f t="shared" ref="DJ28:DJ38" si="271">DI28</f>
        <v>480</v>
      </c>
      <c r="DK28" s="292">
        <f t="shared" ref="DK28:DK38" si="272">DJ28</f>
        <v>480</v>
      </c>
      <c r="DL28" s="293">
        <f t="shared" ref="DL28:DL38" si="273">DK28</f>
        <v>480</v>
      </c>
      <c r="DM28" s="292">
        <f t="shared" ref="DM28:DM38" si="274">DL28</f>
        <v>480</v>
      </c>
      <c r="DN28" s="292">
        <f t="shared" ref="DN28:DN38" si="275">DM28</f>
        <v>480</v>
      </c>
      <c r="DO28" s="292">
        <f t="shared" ref="DO28:DO38" si="276">DN28</f>
        <v>480</v>
      </c>
      <c r="DP28" s="292">
        <f t="shared" ref="DP28:DP38" si="277">DO28</f>
        <v>480</v>
      </c>
      <c r="DQ28" s="292">
        <f t="shared" ref="DQ28:DQ38" si="278">DP28</f>
        <v>480</v>
      </c>
      <c r="DR28" s="292">
        <f t="shared" ref="DR28:DR38" si="279">DQ28</f>
        <v>480</v>
      </c>
      <c r="DS28" s="292">
        <f t="shared" ref="DS28:DS38" si="280">DR28</f>
        <v>480</v>
      </c>
      <c r="DT28" s="292">
        <f t="shared" ref="DT28:DT38" si="281">DS28</f>
        <v>480</v>
      </c>
      <c r="DU28" s="292">
        <f t="shared" ref="DU28:DU38" si="282">DT28</f>
        <v>480</v>
      </c>
      <c r="DV28" s="292">
        <f t="shared" ref="DV28:DV38" si="283">DU28</f>
        <v>480</v>
      </c>
      <c r="DW28" s="292">
        <f t="shared" ref="DW28:DW38" si="284">DV28</f>
        <v>480</v>
      </c>
    </row>
    <row r="29" spans="3:132" hidden="1" x14ac:dyDescent="0.3">
      <c r="D29" s="126" t="str">
        <f>'Data Master'!C54</f>
        <v>GM / Director</v>
      </c>
      <c r="E29" s="292"/>
      <c r="F29" s="519"/>
      <c r="G29" s="1196">
        <f>HLOOKUP($D$4,'Data Master'!$D$48:$L$63,'Data Master'!$B54,0)</f>
        <v>960</v>
      </c>
      <c r="H29" s="292">
        <f t="shared" ref="H29" si="285">G29</f>
        <v>960</v>
      </c>
      <c r="I29" s="292">
        <f t="shared" si="206"/>
        <v>960</v>
      </c>
      <c r="J29" s="292">
        <f t="shared" si="207"/>
        <v>960</v>
      </c>
      <c r="K29" s="292">
        <f t="shared" si="208"/>
        <v>960</v>
      </c>
      <c r="L29" s="292">
        <f t="shared" si="209"/>
        <v>960</v>
      </c>
      <c r="M29" s="292">
        <f t="shared" si="210"/>
        <v>960</v>
      </c>
      <c r="N29" s="1196">
        <f>HLOOKUP($D$4,'Data Master'!$N$48:$V$63,'Data Master'!$B54,0)</f>
        <v>960</v>
      </c>
      <c r="O29" s="292">
        <f t="shared" si="211"/>
        <v>960</v>
      </c>
      <c r="P29" s="292">
        <f t="shared" si="212"/>
        <v>960</v>
      </c>
      <c r="Q29" s="292">
        <f t="shared" si="213"/>
        <v>960</v>
      </c>
      <c r="R29" s="292">
        <f t="shared" si="214"/>
        <v>960</v>
      </c>
      <c r="S29" s="292">
        <f t="shared" si="215"/>
        <v>960</v>
      </c>
      <c r="T29" s="1196">
        <f>HLOOKUP($D$4,'Data Master'!$X$48:$AF$63,'Data Master'!$B54,0)</f>
        <v>960</v>
      </c>
      <c r="U29" s="292">
        <f t="shared" si="216"/>
        <v>960</v>
      </c>
      <c r="V29" s="292">
        <f t="shared" si="217"/>
        <v>960</v>
      </c>
      <c r="W29" s="292">
        <f t="shared" si="218"/>
        <v>960</v>
      </c>
      <c r="X29" s="292">
        <f t="shared" si="219"/>
        <v>960</v>
      </c>
      <c r="Y29" s="292">
        <f t="shared" si="220"/>
        <v>960</v>
      </c>
      <c r="Z29" s="292">
        <f t="shared" si="221"/>
        <v>960</v>
      </c>
      <c r="AA29" s="292">
        <f t="shared" si="222"/>
        <v>960</v>
      </c>
      <c r="AB29" s="292">
        <f t="shared" si="223"/>
        <v>960</v>
      </c>
      <c r="AC29" s="292">
        <f t="shared" si="224"/>
        <v>960</v>
      </c>
      <c r="AD29" s="292">
        <f t="shared" si="225"/>
        <v>960</v>
      </c>
      <c r="AE29" s="292">
        <f t="shared" si="226"/>
        <v>960</v>
      </c>
      <c r="AF29" s="1196">
        <f>HLOOKUP($D$4,'Data Master'!$AH$48:$AP$63,'Data Master'!$B54,0)</f>
        <v>960</v>
      </c>
      <c r="AG29" s="292">
        <f t="shared" si="227"/>
        <v>960</v>
      </c>
      <c r="AH29" s="292">
        <f t="shared" si="228"/>
        <v>960</v>
      </c>
      <c r="AI29" s="292">
        <f t="shared" si="229"/>
        <v>960</v>
      </c>
      <c r="AJ29" s="292">
        <f t="shared" si="230"/>
        <v>960</v>
      </c>
      <c r="AK29" s="292">
        <f t="shared" si="231"/>
        <v>960</v>
      </c>
      <c r="AL29" s="292">
        <f t="shared" si="232"/>
        <v>960</v>
      </c>
      <c r="AM29" s="292">
        <f t="shared" si="233"/>
        <v>960</v>
      </c>
      <c r="AN29" s="292">
        <f t="shared" si="234"/>
        <v>960</v>
      </c>
      <c r="AO29" s="292">
        <f t="shared" si="235"/>
        <v>960</v>
      </c>
      <c r="AP29" s="292">
        <f t="shared" si="236"/>
        <v>960</v>
      </c>
      <c r="AQ29" s="292">
        <f t="shared" si="237"/>
        <v>960</v>
      </c>
      <c r="AR29" s="1196">
        <f>HLOOKUP($D$4,'Data Master'!$AR$48:$AZ$63,'Data Master'!$B54,0)</f>
        <v>960</v>
      </c>
      <c r="AS29" s="292">
        <f t="shared" si="238"/>
        <v>960</v>
      </c>
      <c r="AT29" s="292">
        <f t="shared" si="239"/>
        <v>960</v>
      </c>
      <c r="AU29" s="292">
        <f t="shared" si="240"/>
        <v>960</v>
      </c>
      <c r="AV29" s="292">
        <f t="shared" si="241"/>
        <v>960</v>
      </c>
      <c r="AW29" s="292">
        <f t="shared" si="242"/>
        <v>960</v>
      </c>
      <c r="AX29" s="292">
        <f t="shared" si="243"/>
        <v>960</v>
      </c>
      <c r="AY29" s="292">
        <f t="shared" si="244"/>
        <v>960</v>
      </c>
      <c r="AZ29" s="292">
        <f t="shared" si="245"/>
        <v>960</v>
      </c>
      <c r="BA29" s="292">
        <f t="shared" si="246"/>
        <v>960</v>
      </c>
      <c r="BB29" s="292">
        <f t="shared" si="247"/>
        <v>960</v>
      </c>
      <c r="BC29" s="292">
        <f t="shared" si="248"/>
        <v>960</v>
      </c>
      <c r="BD29" s="293">
        <f t="shared" si="249"/>
        <v>960</v>
      </c>
      <c r="BE29" s="292">
        <f t="shared" si="250"/>
        <v>960</v>
      </c>
      <c r="BF29" s="292">
        <f t="shared" si="251"/>
        <v>960</v>
      </c>
      <c r="BG29" s="292">
        <f t="shared" si="252"/>
        <v>960</v>
      </c>
      <c r="BH29" s="292">
        <f t="shared" si="253"/>
        <v>960</v>
      </c>
      <c r="BI29" s="292">
        <f t="shared" si="254"/>
        <v>960</v>
      </c>
      <c r="BJ29" s="292">
        <f t="shared" si="255"/>
        <v>960</v>
      </c>
      <c r="BK29" s="292">
        <f t="shared" si="256"/>
        <v>960</v>
      </c>
      <c r="BL29" s="292">
        <f t="shared" si="257"/>
        <v>960</v>
      </c>
      <c r="BM29" s="292">
        <f t="shared" si="258"/>
        <v>960</v>
      </c>
      <c r="BN29" s="292">
        <f t="shared" si="259"/>
        <v>960</v>
      </c>
      <c r="BO29" s="292">
        <f t="shared" si="260"/>
        <v>960</v>
      </c>
      <c r="BP29" s="293">
        <f t="shared" si="261"/>
        <v>960</v>
      </c>
      <c r="BQ29" s="292">
        <f t="shared" si="262"/>
        <v>960</v>
      </c>
      <c r="BR29" s="292">
        <f t="shared" si="263"/>
        <v>960</v>
      </c>
      <c r="BS29" s="292">
        <f t="shared" si="264"/>
        <v>960</v>
      </c>
      <c r="BT29" s="292">
        <f t="shared" si="204"/>
        <v>960</v>
      </c>
      <c r="BU29" s="292">
        <f t="shared" ref="BU29:BU38" si="286">BT29</f>
        <v>960</v>
      </c>
      <c r="BV29" s="292">
        <f t="shared" ref="BV29:BV38" si="287">BU29</f>
        <v>960</v>
      </c>
      <c r="BW29" s="292">
        <f t="shared" ref="BW29:BW38" si="288">BV29</f>
        <v>960</v>
      </c>
      <c r="BX29" s="292">
        <f t="shared" ref="BX29:BX38" si="289">BW29</f>
        <v>960</v>
      </c>
      <c r="BY29" s="292">
        <f t="shared" ref="BY29:BY38" si="290">BX29</f>
        <v>960</v>
      </c>
      <c r="BZ29" s="292">
        <f t="shared" ref="BZ29:BZ38" si="291">BY29</f>
        <v>960</v>
      </c>
      <c r="CA29" s="292">
        <f t="shared" ref="CA29:CA38" si="292">BZ29</f>
        <v>960</v>
      </c>
      <c r="CB29" s="293">
        <f t="shared" ref="CB29:CB38" si="293">CA29</f>
        <v>960</v>
      </c>
      <c r="CC29" s="292">
        <f t="shared" ref="CC29:CC38" si="294">CB29</f>
        <v>960</v>
      </c>
      <c r="CD29" s="292">
        <f t="shared" ref="CD29:CD38" si="295">CC29</f>
        <v>960</v>
      </c>
      <c r="CE29" s="292">
        <f t="shared" ref="CE29:CE38" si="296">CD29</f>
        <v>960</v>
      </c>
      <c r="CF29" s="292">
        <f t="shared" ref="CF29:CF38" si="297">CE29</f>
        <v>960</v>
      </c>
      <c r="CG29" s="292">
        <f t="shared" ref="CG29:CG38" si="298">CF29</f>
        <v>960</v>
      </c>
      <c r="CH29" s="292">
        <f t="shared" ref="CH29:CH38" si="299">CG29</f>
        <v>960</v>
      </c>
      <c r="CI29" s="292">
        <f t="shared" ref="CI29:CI38" si="300">CH29</f>
        <v>960</v>
      </c>
      <c r="CJ29" s="292">
        <f t="shared" ref="CJ29:CJ38" si="301">CI29</f>
        <v>960</v>
      </c>
      <c r="CK29" s="292">
        <f t="shared" ref="CK29:CK38" si="302">CJ29</f>
        <v>960</v>
      </c>
      <c r="CL29" s="292">
        <f t="shared" ref="CL29:CL38" si="303">CK29</f>
        <v>960</v>
      </c>
      <c r="CM29" s="292">
        <f t="shared" ref="CM29:CM38" si="304">CL29</f>
        <v>960</v>
      </c>
      <c r="CN29" s="293">
        <f t="shared" ref="CN29:CN38" si="305">CM29</f>
        <v>960</v>
      </c>
      <c r="CO29" s="292">
        <f t="shared" ref="CO29:CO38" si="306">CN29</f>
        <v>960</v>
      </c>
      <c r="CP29" s="292">
        <f t="shared" ref="CP29:CP38" si="307">CO29</f>
        <v>960</v>
      </c>
      <c r="CQ29" s="292">
        <f t="shared" ref="CQ29:CQ38" si="308">CP29</f>
        <v>960</v>
      </c>
      <c r="CR29" s="292">
        <f t="shared" ref="CR29:CR38" si="309">CQ29</f>
        <v>960</v>
      </c>
      <c r="CS29" s="292">
        <f t="shared" ref="CS29:CS38" si="310">CR29</f>
        <v>960</v>
      </c>
      <c r="CT29" s="292">
        <f t="shared" ref="CT29:CT38" si="311">CS29</f>
        <v>960</v>
      </c>
      <c r="CU29" s="292">
        <f t="shared" ref="CU29:CU38" si="312">CT29</f>
        <v>960</v>
      </c>
      <c r="CV29" s="292">
        <f t="shared" ref="CV29:CV38" si="313">CU29</f>
        <v>960</v>
      </c>
      <c r="CW29" s="292">
        <f t="shared" ref="CW29:CW38" si="314">CV29</f>
        <v>960</v>
      </c>
      <c r="CX29" s="292">
        <f t="shared" ref="CX29:CX38" si="315">CW29</f>
        <v>960</v>
      </c>
      <c r="CY29" s="292">
        <f t="shared" ref="CY29:CY38" si="316">CX29</f>
        <v>960</v>
      </c>
      <c r="CZ29" s="293">
        <f t="shared" ref="CZ29:CZ38" si="317">CY29</f>
        <v>960</v>
      </c>
      <c r="DA29" s="292">
        <f t="shared" ref="DA29:DA38" si="318">CZ29</f>
        <v>960</v>
      </c>
      <c r="DB29" s="292">
        <f t="shared" ref="DB29:DB38" si="319">DA29</f>
        <v>960</v>
      </c>
      <c r="DC29" s="292">
        <f t="shared" ref="DC29:DC38" si="320">DB29</f>
        <v>960</v>
      </c>
      <c r="DD29" s="292">
        <f t="shared" si="265"/>
        <v>960</v>
      </c>
      <c r="DE29" s="292">
        <f t="shared" si="266"/>
        <v>960</v>
      </c>
      <c r="DF29" s="292">
        <f t="shared" si="267"/>
        <v>960</v>
      </c>
      <c r="DG29" s="292">
        <f t="shared" si="268"/>
        <v>960</v>
      </c>
      <c r="DH29" s="292">
        <f t="shared" si="269"/>
        <v>960</v>
      </c>
      <c r="DI29" s="292">
        <f t="shared" si="270"/>
        <v>960</v>
      </c>
      <c r="DJ29" s="292">
        <f t="shared" si="271"/>
        <v>960</v>
      </c>
      <c r="DK29" s="292">
        <f t="shared" si="272"/>
        <v>960</v>
      </c>
      <c r="DL29" s="293">
        <f t="shared" si="273"/>
        <v>960</v>
      </c>
      <c r="DM29" s="292">
        <f t="shared" si="274"/>
        <v>960</v>
      </c>
      <c r="DN29" s="292">
        <f t="shared" si="275"/>
        <v>960</v>
      </c>
      <c r="DO29" s="292">
        <f t="shared" si="276"/>
        <v>960</v>
      </c>
      <c r="DP29" s="292">
        <f t="shared" si="277"/>
        <v>960</v>
      </c>
      <c r="DQ29" s="292">
        <f t="shared" si="278"/>
        <v>960</v>
      </c>
      <c r="DR29" s="292">
        <f t="shared" si="279"/>
        <v>960</v>
      </c>
      <c r="DS29" s="292">
        <f t="shared" si="280"/>
        <v>960</v>
      </c>
      <c r="DT29" s="292">
        <f t="shared" si="281"/>
        <v>960</v>
      </c>
      <c r="DU29" s="292">
        <f t="shared" si="282"/>
        <v>960</v>
      </c>
      <c r="DV29" s="292">
        <f t="shared" si="283"/>
        <v>960</v>
      </c>
      <c r="DW29" s="292">
        <f t="shared" si="284"/>
        <v>960</v>
      </c>
    </row>
    <row r="30" spans="3:132" hidden="1" x14ac:dyDescent="0.3">
      <c r="D30" s="126" t="str">
        <f>'Data Master'!C55</f>
        <v>AVP / VP</v>
      </c>
      <c r="E30" s="292"/>
      <c r="F30" s="519"/>
      <c r="G30" s="1196">
        <f>HLOOKUP($D$4,'Data Master'!$D$48:$L$63,'Data Master'!$B55,0)</f>
        <v>10000000</v>
      </c>
      <c r="H30" s="292">
        <f t="shared" ref="H30" si="321">G30</f>
        <v>10000000</v>
      </c>
      <c r="I30" s="292">
        <f t="shared" si="206"/>
        <v>10000000</v>
      </c>
      <c r="J30" s="292">
        <f t="shared" si="207"/>
        <v>10000000</v>
      </c>
      <c r="K30" s="292">
        <f t="shared" si="208"/>
        <v>10000000</v>
      </c>
      <c r="L30" s="292">
        <f t="shared" si="209"/>
        <v>10000000</v>
      </c>
      <c r="M30" s="292">
        <f t="shared" si="210"/>
        <v>10000000</v>
      </c>
      <c r="N30" s="1196">
        <f>HLOOKUP($D$4,'Data Master'!$N$48:$V$63,'Data Master'!$B55,0)</f>
        <v>10000000</v>
      </c>
      <c r="O30" s="292">
        <f t="shared" si="211"/>
        <v>10000000</v>
      </c>
      <c r="P30" s="292">
        <f t="shared" si="212"/>
        <v>10000000</v>
      </c>
      <c r="Q30" s="292">
        <f t="shared" si="213"/>
        <v>10000000</v>
      </c>
      <c r="R30" s="292">
        <f t="shared" si="214"/>
        <v>10000000</v>
      </c>
      <c r="S30" s="292">
        <f t="shared" si="215"/>
        <v>10000000</v>
      </c>
      <c r="T30" s="1196">
        <f>HLOOKUP($D$4,'Data Master'!$X$48:$AF$63,'Data Master'!$B55,0)</f>
        <v>10000000</v>
      </c>
      <c r="U30" s="292">
        <f t="shared" si="216"/>
        <v>10000000</v>
      </c>
      <c r="V30" s="292">
        <f t="shared" si="217"/>
        <v>10000000</v>
      </c>
      <c r="W30" s="292">
        <f t="shared" si="218"/>
        <v>10000000</v>
      </c>
      <c r="X30" s="292">
        <f t="shared" si="219"/>
        <v>10000000</v>
      </c>
      <c r="Y30" s="292">
        <f t="shared" si="220"/>
        <v>10000000</v>
      </c>
      <c r="Z30" s="292">
        <f t="shared" si="221"/>
        <v>10000000</v>
      </c>
      <c r="AA30" s="292">
        <f t="shared" si="222"/>
        <v>10000000</v>
      </c>
      <c r="AB30" s="292">
        <f t="shared" si="223"/>
        <v>10000000</v>
      </c>
      <c r="AC30" s="292">
        <f t="shared" si="224"/>
        <v>10000000</v>
      </c>
      <c r="AD30" s="292">
        <f t="shared" si="225"/>
        <v>10000000</v>
      </c>
      <c r="AE30" s="292">
        <f t="shared" si="226"/>
        <v>10000000</v>
      </c>
      <c r="AF30" s="1196">
        <f>HLOOKUP($D$4,'Data Master'!$AH$48:$AP$63,'Data Master'!$B55,0)</f>
        <v>10000000</v>
      </c>
      <c r="AG30" s="292">
        <f t="shared" si="227"/>
        <v>10000000</v>
      </c>
      <c r="AH30" s="292">
        <f t="shared" si="228"/>
        <v>10000000</v>
      </c>
      <c r="AI30" s="292">
        <f t="shared" si="229"/>
        <v>10000000</v>
      </c>
      <c r="AJ30" s="292">
        <f t="shared" si="230"/>
        <v>10000000</v>
      </c>
      <c r="AK30" s="292">
        <f t="shared" si="231"/>
        <v>10000000</v>
      </c>
      <c r="AL30" s="292">
        <f t="shared" si="232"/>
        <v>10000000</v>
      </c>
      <c r="AM30" s="292">
        <f t="shared" si="233"/>
        <v>10000000</v>
      </c>
      <c r="AN30" s="292">
        <f t="shared" si="234"/>
        <v>10000000</v>
      </c>
      <c r="AO30" s="292">
        <f t="shared" si="235"/>
        <v>10000000</v>
      </c>
      <c r="AP30" s="292">
        <f t="shared" si="236"/>
        <v>10000000</v>
      </c>
      <c r="AQ30" s="292">
        <f t="shared" si="237"/>
        <v>10000000</v>
      </c>
      <c r="AR30" s="1196">
        <f>HLOOKUP($D$4,'Data Master'!$AR$48:$AZ$63,'Data Master'!$B55,0)</f>
        <v>10000000</v>
      </c>
      <c r="AS30" s="292">
        <f t="shared" si="238"/>
        <v>10000000</v>
      </c>
      <c r="AT30" s="292">
        <f t="shared" si="239"/>
        <v>10000000</v>
      </c>
      <c r="AU30" s="292">
        <f t="shared" si="240"/>
        <v>10000000</v>
      </c>
      <c r="AV30" s="292">
        <f t="shared" si="241"/>
        <v>10000000</v>
      </c>
      <c r="AW30" s="292">
        <f t="shared" si="242"/>
        <v>10000000</v>
      </c>
      <c r="AX30" s="292">
        <f t="shared" si="243"/>
        <v>10000000</v>
      </c>
      <c r="AY30" s="292">
        <f t="shared" si="244"/>
        <v>10000000</v>
      </c>
      <c r="AZ30" s="292">
        <f t="shared" si="245"/>
        <v>10000000</v>
      </c>
      <c r="BA30" s="292">
        <f t="shared" si="246"/>
        <v>10000000</v>
      </c>
      <c r="BB30" s="292">
        <f t="shared" si="247"/>
        <v>10000000</v>
      </c>
      <c r="BC30" s="292">
        <f t="shared" si="248"/>
        <v>10000000</v>
      </c>
      <c r="BD30" s="293">
        <f t="shared" si="249"/>
        <v>10000000</v>
      </c>
      <c r="BE30" s="292">
        <f t="shared" si="250"/>
        <v>10000000</v>
      </c>
      <c r="BF30" s="292">
        <f t="shared" si="251"/>
        <v>10000000</v>
      </c>
      <c r="BG30" s="292">
        <f t="shared" si="252"/>
        <v>10000000</v>
      </c>
      <c r="BH30" s="292">
        <f t="shared" si="253"/>
        <v>10000000</v>
      </c>
      <c r="BI30" s="292">
        <f t="shared" si="254"/>
        <v>10000000</v>
      </c>
      <c r="BJ30" s="292">
        <f t="shared" si="255"/>
        <v>10000000</v>
      </c>
      <c r="BK30" s="292">
        <f t="shared" si="256"/>
        <v>10000000</v>
      </c>
      <c r="BL30" s="292">
        <f t="shared" si="257"/>
        <v>10000000</v>
      </c>
      <c r="BM30" s="292">
        <f t="shared" si="258"/>
        <v>10000000</v>
      </c>
      <c r="BN30" s="292">
        <f t="shared" si="259"/>
        <v>10000000</v>
      </c>
      <c r="BO30" s="292">
        <f t="shared" si="260"/>
        <v>10000000</v>
      </c>
      <c r="BP30" s="293">
        <f t="shared" si="261"/>
        <v>10000000</v>
      </c>
      <c r="BQ30" s="292">
        <f t="shared" si="262"/>
        <v>10000000</v>
      </c>
      <c r="BR30" s="292">
        <f t="shared" si="263"/>
        <v>10000000</v>
      </c>
      <c r="BS30" s="292">
        <f t="shared" si="264"/>
        <v>10000000</v>
      </c>
      <c r="BT30" s="292">
        <f t="shared" si="204"/>
        <v>10000000</v>
      </c>
      <c r="BU30" s="292">
        <f t="shared" si="286"/>
        <v>10000000</v>
      </c>
      <c r="BV30" s="292">
        <f t="shared" si="287"/>
        <v>10000000</v>
      </c>
      <c r="BW30" s="292">
        <f t="shared" si="288"/>
        <v>10000000</v>
      </c>
      <c r="BX30" s="292">
        <f t="shared" si="289"/>
        <v>10000000</v>
      </c>
      <c r="BY30" s="292">
        <f t="shared" si="290"/>
        <v>10000000</v>
      </c>
      <c r="BZ30" s="292">
        <f t="shared" si="291"/>
        <v>10000000</v>
      </c>
      <c r="CA30" s="292">
        <f t="shared" si="292"/>
        <v>10000000</v>
      </c>
      <c r="CB30" s="293">
        <f t="shared" si="293"/>
        <v>10000000</v>
      </c>
      <c r="CC30" s="292">
        <f t="shared" si="294"/>
        <v>10000000</v>
      </c>
      <c r="CD30" s="292">
        <f t="shared" si="295"/>
        <v>10000000</v>
      </c>
      <c r="CE30" s="292">
        <f t="shared" si="296"/>
        <v>10000000</v>
      </c>
      <c r="CF30" s="292">
        <f t="shared" si="297"/>
        <v>10000000</v>
      </c>
      <c r="CG30" s="292">
        <f t="shared" si="298"/>
        <v>10000000</v>
      </c>
      <c r="CH30" s="292">
        <f t="shared" si="299"/>
        <v>10000000</v>
      </c>
      <c r="CI30" s="292">
        <f t="shared" si="300"/>
        <v>10000000</v>
      </c>
      <c r="CJ30" s="292">
        <f t="shared" si="301"/>
        <v>10000000</v>
      </c>
      <c r="CK30" s="292">
        <f t="shared" si="302"/>
        <v>10000000</v>
      </c>
      <c r="CL30" s="292">
        <f t="shared" si="303"/>
        <v>10000000</v>
      </c>
      <c r="CM30" s="292">
        <f t="shared" si="304"/>
        <v>10000000</v>
      </c>
      <c r="CN30" s="293">
        <f t="shared" si="305"/>
        <v>10000000</v>
      </c>
      <c r="CO30" s="292">
        <f t="shared" si="306"/>
        <v>10000000</v>
      </c>
      <c r="CP30" s="292">
        <f t="shared" si="307"/>
        <v>10000000</v>
      </c>
      <c r="CQ30" s="292">
        <f t="shared" si="308"/>
        <v>10000000</v>
      </c>
      <c r="CR30" s="292">
        <f t="shared" si="309"/>
        <v>10000000</v>
      </c>
      <c r="CS30" s="292">
        <f t="shared" si="310"/>
        <v>10000000</v>
      </c>
      <c r="CT30" s="292">
        <f t="shared" si="311"/>
        <v>10000000</v>
      </c>
      <c r="CU30" s="292">
        <f t="shared" si="312"/>
        <v>10000000</v>
      </c>
      <c r="CV30" s="292">
        <f t="shared" si="313"/>
        <v>10000000</v>
      </c>
      <c r="CW30" s="292">
        <f t="shared" si="314"/>
        <v>10000000</v>
      </c>
      <c r="CX30" s="292">
        <f t="shared" si="315"/>
        <v>10000000</v>
      </c>
      <c r="CY30" s="292">
        <f t="shared" si="316"/>
        <v>10000000</v>
      </c>
      <c r="CZ30" s="293">
        <f t="shared" si="317"/>
        <v>10000000</v>
      </c>
      <c r="DA30" s="292">
        <f t="shared" si="318"/>
        <v>10000000</v>
      </c>
      <c r="DB30" s="292">
        <f t="shared" si="319"/>
        <v>10000000</v>
      </c>
      <c r="DC30" s="292">
        <f t="shared" si="320"/>
        <v>10000000</v>
      </c>
      <c r="DD30" s="292">
        <f t="shared" si="265"/>
        <v>10000000</v>
      </c>
      <c r="DE30" s="292">
        <f t="shared" si="266"/>
        <v>10000000</v>
      </c>
      <c r="DF30" s="292">
        <f t="shared" si="267"/>
        <v>10000000</v>
      </c>
      <c r="DG30" s="292">
        <f t="shared" si="268"/>
        <v>10000000</v>
      </c>
      <c r="DH30" s="292">
        <f t="shared" si="269"/>
        <v>10000000</v>
      </c>
      <c r="DI30" s="292">
        <f t="shared" si="270"/>
        <v>10000000</v>
      </c>
      <c r="DJ30" s="292">
        <f t="shared" si="271"/>
        <v>10000000</v>
      </c>
      <c r="DK30" s="292">
        <f t="shared" si="272"/>
        <v>10000000</v>
      </c>
      <c r="DL30" s="293">
        <f t="shared" si="273"/>
        <v>10000000</v>
      </c>
      <c r="DM30" s="292">
        <f t="shared" si="274"/>
        <v>10000000</v>
      </c>
      <c r="DN30" s="292">
        <f t="shared" si="275"/>
        <v>10000000</v>
      </c>
      <c r="DO30" s="292">
        <f t="shared" si="276"/>
        <v>10000000</v>
      </c>
      <c r="DP30" s="292">
        <f t="shared" si="277"/>
        <v>10000000</v>
      </c>
      <c r="DQ30" s="292">
        <f t="shared" si="278"/>
        <v>10000000</v>
      </c>
      <c r="DR30" s="292">
        <f t="shared" si="279"/>
        <v>10000000</v>
      </c>
      <c r="DS30" s="292">
        <f t="shared" si="280"/>
        <v>10000000</v>
      </c>
      <c r="DT30" s="292">
        <f t="shared" si="281"/>
        <v>10000000</v>
      </c>
      <c r="DU30" s="292">
        <f t="shared" si="282"/>
        <v>10000000</v>
      </c>
      <c r="DV30" s="292">
        <f t="shared" si="283"/>
        <v>10000000</v>
      </c>
      <c r="DW30" s="292">
        <f t="shared" si="284"/>
        <v>10000000</v>
      </c>
    </row>
    <row r="31" spans="3:132" hidden="1" x14ac:dyDescent="0.3">
      <c r="D31" s="126" t="str">
        <f>'Data Master'!C56</f>
        <v>SME</v>
      </c>
      <c r="E31" s="292"/>
      <c r="F31" s="519"/>
      <c r="G31" s="1196">
        <f>HLOOKUP($D$4,'Data Master'!$D$48:$L$63,'Data Master'!$B56,0)</f>
        <v>10000000</v>
      </c>
      <c r="H31" s="292">
        <f>G31</f>
        <v>10000000</v>
      </c>
      <c r="I31" s="292">
        <f t="shared" si="206"/>
        <v>10000000</v>
      </c>
      <c r="J31" s="292">
        <f t="shared" si="207"/>
        <v>10000000</v>
      </c>
      <c r="K31" s="292">
        <f t="shared" si="208"/>
        <v>10000000</v>
      </c>
      <c r="L31" s="292">
        <f t="shared" si="209"/>
        <v>10000000</v>
      </c>
      <c r="M31" s="292">
        <f t="shared" si="210"/>
        <v>10000000</v>
      </c>
      <c r="N31" s="1196">
        <f>HLOOKUP($D$4,'Data Master'!$N$48:$V$63,'Data Master'!$B56,0)</f>
        <v>10000000</v>
      </c>
      <c r="O31" s="292">
        <f t="shared" si="211"/>
        <v>10000000</v>
      </c>
      <c r="P31" s="292">
        <f t="shared" si="212"/>
        <v>10000000</v>
      </c>
      <c r="Q31" s="292">
        <f t="shared" si="213"/>
        <v>10000000</v>
      </c>
      <c r="R31" s="292">
        <f t="shared" si="214"/>
        <v>10000000</v>
      </c>
      <c r="S31" s="292">
        <f t="shared" si="215"/>
        <v>10000000</v>
      </c>
      <c r="T31" s="1196">
        <f>HLOOKUP($D$4,'Data Master'!$X$48:$AF$63,'Data Master'!$B56,0)</f>
        <v>10000000</v>
      </c>
      <c r="U31" s="292">
        <f t="shared" si="216"/>
        <v>10000000</v>
      </c>
      <c r="V31" s="292">
        <f t="shared" si="217"/>
        <v>10000000</v>
      </c>
      <c r="W31" s="292">
        <f t="shared" si="218"/>
        <v>10000000</v>
      </c>
      <c r="X31" s="292">
        <f t="shared" si="219"/>
        <v>10000000</v>
      </c>
      <c r="Y31" s="292">
        <f t="shared" si="220"/>
        <v>10000000</v>
      </c>
      <c r="Z31" s="292">
        <f t="shared" si="221"/>
        <v>10000000</v>
      </c>
      <c r="AA31" s="292">
        <f t="shared" si="222"/>
        <v>10000000</v>
      </c>
      <c r="AB31" s="292">
        <f t="shared" si="223"/>
        <v>10000000</v>
      </c>
      <c r="AC31" s="292">
        <f t="shared" si="224"/>
        <v>10000000</v>
      </c>
      <c r="AD31" s="292">
        <f t="shared" si="225"/>
        <v>10000000</v>
      </c>
      <c r="AE31" s="292">
        <f t="shared" si="226"/>
        <v>10000000</v>
      </c>
      <c r="AF31" s="1196">
        <f>HLOOKUP($D$4,'Data Master'!$AH$48:$AP$63,'Data Master'!$B56,0)</f>
        <v>10000000</v>
      </c>
      <c r="AG31" s="292">
        <f t="shared" si="227"/>
        <v>10000000</v>
      </c>
      <c r="AH31" s="292">
        <f t="shared" si="228"/>
        <v>10000000</v>
      </c>
      <c r="AI31" s="292">
        <f t="shared" si="229"/>
        <v>10000000</v>
      </c>
      <c r="AJ31" s="292">
        <f t="shared" si="230"/>
        <v>10000000</v>
      </c>
      <c r="AK31" s="292">
        <f t="shared" si="231"/>
        <v>10000000</v>
      </c>
      <c r="AL31" s="292">
        <f t="shared" si="232"/>
        <v>10000000</v>
      </c>
      <c r="AM31" s="292">
        <f t="shared" si="233"/>
        <v>10000000</v>
      </c>
      <c r="AN31" s="292">
        <f t="shared" si="234"/>
        <v>10000000</v>
      </c>
      <c r="AO31" s="292">
        <f t="shared" si="235"/>
        <v>10000000</v>
      </c>
      <c r="AP31" s="292">
        <f t="shared" si="236"/>
        <v>10000000</v>
      </c>
      <c r="AQ31" s="292">
        <f t="shared" si="237"/>
        <v>10000000</v>
      </c>
      <c r="AR31" s="1196">
        <f>HLOOKUP($D$4,'Data Master'!$AR$48:$AZ$63,'Data Master'!$B56,0)</f>
        <v>10000000</v>
      </c>
      <c r="AS31" s="292">
        <f t="shared" si="238"/>
        <v>10000000</v>
      </c>
      <c r="AT31" s="292">
        <f t="shared" si="239"/>
        <v>10000000</v>
      </c>
      <c r="AU31" s="292">
        <f t="shared" si="240"/>
        <v>10000000</v>
      </c>
      <c r="AV31" s="292">
        <f t="shared" si="241"/>
        <v>10000000</v>
      </c>
      <c r="AW31" s="292">
        <f t="shared" si="242"/>
        <v>10000000</v>
      </c>
      <c r="AX31" s="292">
        <f t="shared" si="243"/>
        <v>10000000</v>
      </c>
      <c r="AY31" s="292">
        <f t="shared" si="244"/>
        <v>10000000</v>
      </c>
      <c r="AZ31" s="292">
        <f t="shared" si="245"/>
        <v>10000000</v>
      </c>
      <c r="BA31" s="292">
        <f t="shared" si="246"/>
        <v>10000000</v>
      </c>
      <c r="BB31" s="292">
        <f t="shared" si="247"/>
        <v>10000000</v>
      </c>
      <c r="BC31" s="292">
        <f t="shared" si="248"/>
        <v>10000000</v>
      </c>
      <c r="BD31" s="293">
        <f t="shared" si="249"/>
        <v>10000000</v>
      </c>
      <c r="BE31" s="292">
        <f t="shared" si="250"/>
        <v>10000000</v>
      </c>
      <c r="BF31" s="292">
        <f t="shared" si="251"/>
        <v>10000000</v>
      </c>
      <c r="BG31" s="292">
        <f t="shared" si="252"/>
        <v>10000000</v>
      </c>
      <c r="BH31" s="292">
        <f t="shared" si="253"/>
        <v>10000000</v>
      </c>
      <c r="BI31" s="292">
        <f t="shared" si="254"/>
        <v>10000000</v>
      </c>
      <c r="BJ31" s="292">
        <f t="shared" si="255"/>
        <v>10000000</v>
      </c>
      <c r="BK31" s="292">
        <f t="shared" si="256"/>
        <v>10000000</v>
      </c>
      <c r="BL31" s="292">
        <f t="shared" si="257"/>
        <v>10000000</v>
      </c>
      <c r="BM31" s="292">
        <f t="shared" si="258"/>
        <v>10000000</v>
      </c>
      <c r="BN31" s="292">
        <f t="shared" si="259"/>
        <v>10000000</v>
      </c>
      <c r="BO31" s="292">
        <f t="shared" si="260"/>
        <v>10000000</v>
      </c>
      <c r="BP31" s="293">
        <f t="shared" si="261"/>
        <v>10000000</v>
      </c>
      <c r="BQ31" s="292">
        <f t="shared" si="262"/>
        <v>10000000</v>
      </c>
      <c r="BR31" s="292">
        <f t="shared" si="263"/>
        <v>10000000</v>
      </c>
      <c r="BS31" s="292">
        <f t="shared" si="264"/>
        <v>10000000</v>
      </c>
      <c r="BT31" s="292">
        <f t="shared" si="204"/>
        <v>10000000</v>
      </c>
      <c r="BU31" s="292">
        <f t="shared" si="286"/>
        <v>10000000</v>
      </c>
      <c r="BV31" s="292">
        <f t="shared" si="287"/>
        <v>10000000</v>
      </c>
      <c r="BW31" s="292">
        <f t="shared" si="288"/>
        <v>10000000</v>
      </c>
      <c r="BX31" s="292">
        <f t="shared" si="289"/>
        <v>10000000</v>
      </c>
      <c r="BY31" s="292">
        <f t="shared" si="290"/>
        <v>10000000</v>
      </c>
      <c r="BZ31" s="292">
        <f t="shared" si="291"/>
        <v>10000000</v>
      </c>
      <c r="CA31" s="292">
        <f t="shared" si="292"/>
        <v>10000000</v>
      </c>
      <c r="CB31" s="293">
        <f t="shared" si="293"/>
        <v>10000000</v>
      </c>
      <c r="CC31" s="292">
        <f t="shared" si="294"/>
        <v>10000000</v>
      </c>
      <c r="CD31" s="292">
        <f t="shared" si="295"/>
        <v>10000000</v>
      </c>
      <c r="CE31" s="292">
        <f t="shared" si="296"/>
        <v>10000000</v>
      </c>
      <c r="CF31" s="292">
        <f t="shared" si="297"/>
        <v>10000000</v>
      </c>
      <c r="CG31" s="292">
        <f t="shared" si="298"/>
        <v>10000000</v>
      </c>
      <c r="CH31" s="292">
        <f t="shared" si="299"/>
        <v>10000000</v>
      </c>
      <c r="CI31" s="292">
        <f t="shared" si="300"/>
        <v>10000000</v>
      </c>
      <c r="CJ31" s="292">
        <f t="shared" si="301"/>
        <v>10000000</v>
      </c>
      <c r="CK31" s="292">
        <f t="shared" si="302"/>
        <v>10000000</v>
      </c>
      <c r="CL31" s="292">
        <f t="shared" si="303"/>
        <v>10000000</v>
      </c>
      <c r="CM31" s="292">
        <f t="shared" si="304"/>
        <v>10000000</v>
      </c>
      <c r="CN31" s="293">
        <f t="shared" si="305"/>
        <v>10000000</v>
      </c>
      <c r="CO31" s="292">
        <f t="shared" si="306"/>
        <v>10000000</v>
      </c>
      <c r="CP31" s="292">
        <f t="shared" si="307"/>
        <v>10000000</v>
      </c>
      <c r="CQ31" s="292">
        <f t="shared" si="308"/>
        <v>10000000</v>
      </c>
      <c r="CR31" s="292">
        <f t="shared" si="309"/>
        <v>10000000</v>
      </c>
      <c r="CS31" s="292">
        <f t="shared" si="310"/>
        <v>10000000</v>
      </c>
      <c r="CT31" s="292">
        <f t="shared" si="311"/>
        <v>10000000</v>
      </c>
      <c r="CU31" s="292">
        <f t="shared" si="312"/>
        <v>10000000</v>
      </c>
      <c r="CV31" s="292">
        <f t="shared" si="313"/>
        <v>10000000</v>
      </c>
      <c r="CW31" s="292">
        <f t="shared" si="314"/>
        <v>10000000</v>
      </c>
      <c r="CX31" s="292">
        <f t="shared" si="315"/>
        <v>10000000</v>
      </c>
      <c r="CY31" s="292">
        <f t="shared" si="316"/>
        <v>10000000</v>
      </c>
      <c r="CZ31" s="293">
        <f t="shared" si="317"/>
        <v>10000000</v>
      </c>
      <c r="DA31" s="292">
        <f t="shared" si="318"/>
        <v>10000000</v>
      </c>
      <c r="DB31" s="292">
        <f t="shared" si="319"/>
        <v>10000000</v>
      </c>
      <c r="DC31" s="292">
        <f t="shared" si="320"/>
        <v>10000000</v>
      </c>
      <c r="DD31" s="292">
        <f t="shared" si="265"/>
        <v>10000000</v>
      </c>
      <c r="DE31" s="292">
        <f t="shared" si="266"/>
        <v>10000000</v>
      </c>
      <c r="DF31" s="292">
        <f t="shared" si="267"/>
        <v>10000000</v>
      </c>
      <c r="DG31" s="292">
        <f t="shared" si="268"/>
        <v>10000000</v>
      </c>
      <c r="DH31" s="292">
        <f t="shared" si="269"/>
        <v>10000000</v>
      </c>
      <c r="DI31" s="292">
        <f t="shared" si="270"/>
        <v>10000000</v>
      </c>
      <c r="DJ31" s="292">
        <f t="shared" si="271"/>
        <v>10000000</v>
      </c>
      <c r="DK31" s="292">
        <f t="shared" si="272"/>
        <v>10000000</v>
      </c>
      <c r="DL31" s="293">
        <f t="shared" si="273"/>
        <v>10000000</v>
      </c>
      <c r="DM31" s="292">
        <f t="shared" si="274"/>
        <v>10000000</v>
      </c>
      <c r="DN31" s="292">
        <f t="shared" si="275"/>
        <v>10000000</v>
      </c>
      <c r="DO31" s="292">
        <f t="shared" si="276"/>
        <v>10000000</v>
      </c>
      <c r="DP31" s="292">
        <f t="shared" si="277"/>
        <v>10000000</v>
      </c>
      <c r="DQ31" s="292">
        <f t="shared" si="278"/>
        <v>10000000</v>
      </c>
      <c r="DR31" s="292">
        <f t="shared" si="279"/>
        <v>10000000</v>
      </c>
      <c r="DS31" s="292">
        <f t="shared" si="280"/>
        <v>10000000</v>
      </c>
      <c r="DT31" s="292">
        <f t="shared" si="281"/>
        <v>10000000</v>
      </c>
      <c r="DU31" s="292">
        <f t="shared" si="282"/>
        <v>10000000</v>
      </c>
      <c r="DV31" s="292">
        <f t="shared" si="283"/>
        <v>10000000</v>
      </c>
      <c r="DW31" s="292">
        <f t="shared" si="284"/>
        <v>10000000</v>
      </c>
    </row>
    <row r="32" spans="3:132" hidden="1" x14ac:dyDescent="0.3">
      <c r="C32" s="740">
        <f>Summary!$AO$9</f>
        <v>0.3</v>
      </c>
      <c r="D32" s="126" t="str">
        <f>'Data Master'!C57</f>
        <v>QA</v>
      </c>
      <c r="E32" s="292"/>
      <c r="F32" s="519"/>
      <c r="G32" s="1196">
        <f>HLOOKUP($D$4,'Data Master'!$D$48:$L$63,'Data Master'!$B57,0)</f>
        <v>40</v>
      </c>
      <c r="H32" s="292">
        <f t="shared" ref="H32" si="322">G32</f>
        <v>40</v>
      </c>
      <c r="I32" s="292">
        <f t="shared" si="206"/>
        <v>40</v>
      </c>
      <c r="J32" s="292">
        <f t="shared" si="207"/>
        <v>40</v>
      </c>
      <c r="K32" s="292">
        <f t="shared" si="208"/>
        <v>40</v>
      </c>
      <c r="L32" s="292">
        <f t="shared" si="209"/>
        <v>40</v>
      </c>
      <c r="M32" s="1409">
        <f>L32*(1+$C$32)</f>
        <v>52</v>
      </c>
      <c r="N32" s="1196">
        <f>M32</f>
        <v>52</v>
      </c>
      <c r="O32" s="292">
        <f t="shared" si="211"/>
        <v>52</v>
      </c>
      <c r="P32" s="292">
        <f t="shared" si="212"/>
        <v>52</v>
      </c>
      <c r="Q32" s="292">
        <f t="shared" si="213"/>
        <v>52</v>
      </c>
      <c r="R32" s="292">
        <f t="shared" si="214"/>
        <v>52</v>
      </c>
      <c r="S32" s="292">
        <f t="shared" si="215"/>
        <v>52</v>
      </c>
      <c r="T32" s="1196">
        <f>S32</f>
        <v>52</v>
      </c>
      <c r="U32" s="292">
        <f t="shared" si="216"/>
        <v>52</v>
      </c>
      <c r="V32" s="292">
        <f t="shared" si="217"/>
        <v>52</v>
      </c>
      <c r="W32" s="292">
        <f t="shared" si="218"/>
        <v>52</v>
      </c>
      <c r="X32" s="292">
        <f t="shared" si="219"/>
        <v>52</v>
      </c>
      <c r="Y32" s="292">
        <f t="shared" si="220"/>
        <v>52</v>
      </c>
      <c r="Z32" s="292">
        <f t="shared" si="221"/>
        <v>52</v>
      </c>
      <c r="AA32" s="292">
        <f t="shared" si="222"/>
        <v>52</v>
      </c>
      <c r="AB32" s="292">
        <f t="shared" si="223"/>
        <v>52</v>
      </c>
      <c r="AC32" s="292">
        <f t="shared" si="224"/>
        <v>52</v>
      </c>
      <c r="AD32" s="292">
        <f t="shared" si="225"/>
        <v>52</v>
      </c>
      <c r="AE32" s="292">
        <f t="shared" si="226"/>
        <v>52</v>
      </c>
      <c r="AF32" s="1196">
        <f>AE32</f>
        <v>52</v>
      </c>
      <c r="AG32" s="292">
        <f t="shared" si="227"/>
        <v>52</v>
      </c>
      <c r="AH32" s="292">
        <f t="shared" si="228"/>
        <v>52</v>
      </c>
      <c r="AI32" s="292">
        <f t="shared" si="229"/>
        <v>52</v>
      </c>
      <c r="AJ32" s="292">
        <f t="shared" si="230"/>
        <v>52</v>
      </c>
      <c r="AK32" s="292">
        <f t="shared" si="231"/>
        <v>52</v>
      </c>
      <c r="AL32" s="292">
        <f t="shared" si="232"/>
        <v>52</v>
      </c>
      <c r="AM32" s="292">
        <f t="shared" si="233"/>
        <v>52</v>
      </c>
      <c r="AN32" s="292">
        <f t="shared" si="234"/>
        <v>52</v>
      </c>
      <c r="AO32" s="292">
        <f t="shared" si="235"/>
        <v>52</v>
      </c>
      <c r="AP32" s="292">
        <f t="shared" si="236"/>
        <v>52</v>
      </c>
      <c r="AQ32" s="292">
        <f t="shared" si="237"/>
        <v>52</v>
      </c>
      <c r="AR32" s="1196">
        <f>AQ32</f>
        <v>52</v>
      </c>
      <c r="AS32" s="292">
        <f t="shared" si="238"/>
        <v>52</v>
      </c>
      <c r="AT32" s="292">
        <f t="shared" si="239"/>
        <v>52</v>
      </c>
      <c r="AU32" s="292">
        <f t="shared" si="240"/>
        <v>52</v>
      </c>
      <c r="AV32" s="292">
        <f t="shared" si="241"/>
        <v>52</v>
      </c>
      <c r="AW32" s="292">
        <f t="shared" si="242"/>
        <v>52</v>
      </c>
      <c r="AX32" s="292">
        <f t="shared" si="243"/>
        <v>52</v>
      </c>
      <c r="AY32" s="292">
        <f t="shared" si="244"/>
        <v>52</v>
      </c>
      <c r="AZ32" s="292">
        <f t="shared" si="245"/>
        <v>52</v>
      </c>
      <c r="BA32" s="292">
        <f t="shared" si="246"/>
        <v>52</v>
      </c>
      <c r="BB32" s="292">
        <f t="shared" si="247"/>
        <v>52</v>
      </c>
      <c r="BC32" s="292">
        <f t="shared" si="248"/>
        <v>52</v>
      </c>
      <c r="BD32" s="293">
        <f t="shared" si="249"/>
        <v>52</v>
      </c>
      <c r="BE32" s="292">
        <f t="shared" si="250"/>
        <v>52</v>
      </c>
      <c r="BF32" s="292">
        <f t="shared" si="251"/>
        <v>52</v>
      </c>
      <c r="BG32" s="292">
        <f t="shared" si="252"/>
        <v>52</v>
      </c>
      <c r="BH32" s="292">
        <f t="shared" si="253"/>
        <v>52</v>
      </c>
      <c r="BI32" s="292">
        <f t="shared" si="254"/>
        <v>52</v>
      </c>
      <c r="BJ32" s="292">
        <f t="shared" si="255"/>
        <v>52</v>
      </c>
      <c r="BK32" s="292">
        <f t="shared" si="256"/>
        <v>52</v>
      </c>
      <c r="BL32" s="292">
        <f t="shared" si="257"/>
        <v>52</v>
      </c>
      <c r="BM32" s="292">
        <f t="shared" si="258"/>
        <v>52</v>
      </c>
      <c r="BN32" s="292">
        <f t="shared" si="259"/>
        <v>52</v>
      </c>
      <c r="BO32" s="292">
        <f t="shared" si="260"/>
        <v>52</v>
      </c>
      <c r="BP32" s="293">
        <f t="shared" si="261"/>
        <v>52</v>
      </c>
      <c r="BQ32" s="292">
        <f t="shared" si="262"/>
        <v>52</v>
      </c>
      <c r="BR32" s="292">
        <f t="shared" si="263"/>
        <v>52</v>
      </c>
      <c r="BS32" s="292">
        <f t="shared" si="264"/>
        <v>52</v>
      </c>
      <c r="BT32" s="292">
        <f t="shared" si="204"/>
        <v>52</v>
      </c>
      <c r="BU32" s="292">
        <f t="shared" si="286"/>
        <v>52</v>
      </c>
      <c r="BV32" s="292">
        <f t="shared" si="287"/>
        <v>52</v>
      </c>
      <c r="BW32" s="292">
        <f t="shared" si="288"/>
        <v>52</v>
      </c>
      <c r="BX32" s="292">
        <f t="shared" si="289"/>
        <v>52</v>
      </c>
      <c r="BY32" s="292">
        <f t="shared" si="290"/>
        <v>52</v>
      </c>
      <c r="BZ32" s="292">
        <f t="shared" si="291"/>
        <v>52</v>
      </c>
      <c r="CA32" s="292">
        <f t="shared" si="292"/>
        <v>52</v>
      </c>
      <c r="CB32" s="293">
        <f t="shared" si="293"/>
        <v>52</v>
      </c>
      <c r="CC32" s="292">
        <f t="shared" si="294"/>
        <v>52</v>
      </c>
      <c r="CD32" s="292">
        <f t="shared" si="295"/>
        <v>52</v>
      </c>
      <c r="CE32" s="292">
        <f t="shared" si="296"/>
        <v>52</v>
      </c>
      <c r="CF32" s="292">
        <f t="shared" si="297"/>
        <v>52</v>
      </c>
      <c r="CG32" s="292">
        <f t="shared" si="298"/>
        <v>52</v>
      </c>
      <c r="CH32" s="292">
        <f t="shared" si="299"/>
        <v>52</v>
      </c>
      <c r="CI32" s="292">
        <f t="shared" si="300"/>
        <v>52</v>
      </c>
      <c r="CJ32" s="292">
        <f t="shared" si="301"/>
        <v>52</v>
      </c>
      <c r="CK32" s="292">
        <f t="shared" si="302"/>
        <v>52</v>
      </c>
      <c r="CL32" s="292">
        <f t="shared" si="303"/>
        <v>52</v>
      </c>
      <c r="CM32" s="292">
        <f t="shared" si="304"/>
        <v>52</v>
      </c>
      <c r="CN32" s="293">
        <f t="shared" si="305"/>
        <v>52</v>
      </c>
      <c r="CO32" s="292">
        <f t="shared" si="306"/>
        <v>52</v>
      </c>
      <c r="CP32" s="292">
        <f t="shared" si="307"/>
        <v>52</v>
      </c>
      <c r="CQ32" s="292">
        <f t="shared" si="308"/>
        <v>52</v>
      </c>
      <c r="CR32" s="292">
        <f t="shared" si="309"/>
        <v>52</v>
      </c>
      <c r="CS32" s="292">
        <f t="shared" si="310"/>
        <v>52</v>
      </c>
      <c r="CT32" s="292">
        <f t="shared" si="311"/>
        <v>52</v>
      </c>
      <c r="CU32" s="292">
        <f t="shared" si="312"/>
        <v>52</v>
      </c>
      <c r="CV32" s="292">
        <f t="shared" si="313"/>
        <v>52</v>
      </c>
      <c r="CW32" s="292">
        <f t="shared" si="314"/>
        <v>52</v>
      </c>
      <c r="CX32" s="292">
        <f t="shared" si="315"/>
        <v>52</v>
      </c>
      <c r="CY32" s="292">
        <f t="shared" si="316"/>
        <v>52</v>
      </c>
      <c r="CZ32" s="293">
        <f t="shared" si="317"/>
        <v>52</v>
      </c>
      <c r="DA32" s="292">
        <f t="shared" si="318"/>
        <v>52</v>
      </c>
      <c r="DB32" s="292">
        <f t="shared" si="319"/>
        <v>52</v>
      </c>
      <c r="DC32" s="292">
        <f t="shared" si="320"/>
        <v>52</v>
      </c>
      <c r="DD32" s="292">
        <f t="shared" si="265"/>
        <v>52</v>
      </c>
      <c r="DE32" s="292">
        <f t="shared" si="266"/>
        <v>52</v>
      </c>
      <c r="DF32" s="292">
        <f t="shared" si="267"/>
        <v>52</v>
      </c>
      <c r="DG32" s="292">
        <f t="shared" si="268"/>
        <v>52</v>
      </c>
      <c r="DH32" s="292">
        <f t="shared" si="269"/>
        <v>52</v>
      </c>
      <c r="DI32" s="292">
        <f t="shared" si="270"/>
        <v>52</v>
      </c>
      <c r="DJ32" s="292">
        <f t="shared" si="271"/>
        <v>52</v>
      </c>
      <c r="DK32" s="292">
        <f t="shared" si="272"/>
        <v>52</v>
      </c>
      <c r="DL32" s="293">
        <f t="shared" si="273"/>
        <v>52</v>
      </c>
      <c r="DM32" s="292">
        <f t="shared" si="274"/>
        <v>52</v>
      </c>
      <c r="DN32" s="292">
        <f t="shared" si="275"/>
        <v>52</v>
      </c>
      <c r="DO32" s="292">
        <f t="shared" si="276"/>
        <v>52</v>
      </c>
      <c r="DP32" s="292">
        <f t="shared" si="277"/>
        <v>52</v>
      </c>
      <c r="DQ32" s="292">
        <f t="shared" si="278"/>
        <v>52</v>
      </c>
      <c r="DR32" s="292">
        <f t="shared" si="279"/>
        <v>52</v>
      </c>
      <c r="DS32" s="292">
        <f t="shared" si="280"/>
        <v>52</v>
      </c>
      <c r="DT32" s="292">
        <f t="shared" si="281"/>
        <v>52</v>
      </c>
      <c r="DU32" s="292">
        <f t="shared" si="282"/>
        <v>52</v>
      </c>
      <c r="DV32" s="292">
        <f t="shared" si="283"/>
        <v>52</v>
      </c>
      <c r="DW32" s="292">
        <f t="shared" si="284"/>
        <v>52</v>
      </c>
    </row>
    <row r="33" spans="3:132" hidden="1" x14ac:dyDescent="0.3">
      <c r="D33" s="126" t="str">
        <f>'Data Master'!C58</f>
        <v>Trainer</v>
      </c>
      <c r="E33" s="292"/>
      <c r="F33" s="519"/>
      <c r="G33" s="1196">
        <f>HLOOKUP($D$4,'Data Master'!$D$48:$L$63,'Data Master'!$B58,0)</f>
        <v>75</v>
      </c>
      <c r="H33" s="292">
        <f t="shared" ref="H33" si="323">G33</f>
        <v>75</v>
      </c>
      <c r="I33" s="292">
        <f t="shared" si="206"/>
        <v>75</v>
      </c>
      <c r="J33" s="292">
        <f t="shared" si="207"/>
        <v>75</v>
      </c>
      <c r="K33" s="292">
        <f t="shared" si="208"/>
        <v>75</v>
      </c>
      <c r="L33" s="292">
        <f t="shared" si="209"/>
        <v>75</v>
      </c>
      <c r="M33" s="292">
        <f t="shared" si="210"/>
        <v>75</v>
      </c>
      <c r="N33" s="1196">
        <f>HLOOKUP($D$4,'Data Master'!$N$48:$V$63,'Data Master'!$B58,0)</f>
        <v>75</v>
      </c>
      <c r="O33" s="292">
        <f t="shared" si="211"/>
        <v>75</v>
      </c>
      <c r="P33" s="292">
        <f t="shared" si="212"/>
        <v>75</v>
      </c>
      <c r="Q33" s="292">
        <f t="shared" si="213"/>
        <v>75</v>
      </c>
      <c r="R33" s="292">
        <f t="shared" si="214"/>
        <v>75</v>
      </c>
      <c r="S33" s="292">
        <f t="shared" si="215"/>
        <v>75</v>
      </c>
      <c r="T33" s="1196">
        <f>HLOOKUP($D$4,'Data Master'!$X$48:$AF$63,'Data Master'!$B58,0)</f>
        <v>75</v>
      </c>
      <c r="U33" s="292">
        <f t="shared" si="216"/>
        <v>75</v>
      </c>
      <c r="V33" s="292">
        <f t="shared" si="217"/>
        <v>75</v>
      </c>
      <c r="W33" s="292">
        <f t="shared" si="218"/>
        <v>75</v>
      </c>
      <c r="X33" s="292">
        <f t="shared" si="219"/>
        <v>75</v>
      </c>
      <c r="Y33" s="292">
        <f t="shared" si="220"/>
        <v>75</v>
      </c>
      <c r="Z33" s="292">
        <f t="shared" si="221"/>
        <v>75</v>
      </c>
      <c r="AA33" s="292">
        <f t="shared" si="222"/>
        <v>75</v>
      </c>
      <c r="AB33" s="292">
        <f t="shared" si="223"/>
        <v>75</v>
      </c>
      <c r="AC33" s="292">
        <f t="shared" si="224"/>
        <v>75</v>
      </c>
      <c r="AD33" s="292">
        <f t="shared" si="225"/>
        <v>75</v>
      </c>
      <c r="AE33" s="292">
        <f t="shared" si="226"/>
        <v>75</v>
      </c>
      <c r="AF33" s="1196">
        <f>HLOOKUP($D$4,'Data Master'!$AH$48:$AP$63,'Data Master'!$B58,0)</f>
        <v>75</v>
      </c>
      <c r="AG33" s="292">
        <f t="shared" si="227"/>
        <v>75</v>
      </c>
      <c r="AH33" s="292">
        <f t="shared" si="228"/>
        <v>75</v>
      </c>
      <c r="AI33" s="292">
        <f t="shared" si="229"/>
        <v>75</v>
      </c>
      <c r="AJ33" s="292">
        <f t="shared" si="230"/>
        <v>75</v>
      </c>
      <c r="AK33" s="292">
        <f t="shared" si="231"/>
        <v>75</v>
      </c>
      <c r="AL33" s="292">
        <f t="shared" si="232"/>
        <v>75</v>
      </c>
      <c r="AM33" s="292">
        <f t="shared" si="233"/>
        <v>75</v>
      </c>
      <c r="AN33" s="292">
        <f t="shared" si="234"/>
        <v>75</v>
      </c>
      <c r="AO33" s="292">
        <f t="shared" si="235"/>
        <v>75</v>
      </c>
      <c r="AP33" s="292">
        <f t="shared" si="236"/>
        <v>75</v>
      </c>
      <c r="AQ33" s="292">
        <f t="shared" si="237"/>
        <v>75</v>
      </c>
      <c r="AR33" s="1196">
        <f>HLOOKUP($D$4,'Data Master'!$AR$48:$AZ$63,'Data Master'!$B58,0)</f>
        <v>75</v>
      </c>
      <c r="AS33" s="292">
        <f t="shared" si="238"/>
        <v>75</v>
      </c>
      <c r="AT33" s="292">
        <f t="shared" si="239"/>
        <v>75</v>
      </c>
      <c r="AU33" s="292">
        <f t="shared" si="240"/>
        <v>75</v>
      </c>
      <c r="AV33" s="292">
        <f t="shared" si="241"/>
        <v>75</v>
      </c>
      <c r="AW33" s="292">
        <f t="shared" si="242"/>
        <v>75</v>
      </c>
      <c r="AX33" s="292">
        <f t="shared" si="243"/>
        <v>75</v>
      </c>
      <c r="AY33" s="292">
        <f t="shared" si="244"/>
        <v>75</v>
      </c>
      <c r="AZ33" s="292">
        <f t="shared" si="245"/>
        <v>75</v>
      </c>
      <c r="BA33" s="292">
        <f t="shared" si="246"/>
        <v>75</v>
      </c>
      <c r="BB33" s="292">
        <f t="shared" si="247"/>
        <v>75</v>
      </c>
      <c r="BC33" s="292">
        <f t="shared" si="248"/>
        <v>75</v>
      </c>
      <c r="BD33" s="293">
        <f t="shared" si="249"/>
        <v>75</v>
      </c>
      <c r="BE33" s="292">
        <f t="shared" si="250"/>
        <v>75</v>
      </c>
      <c r="BF33" s="292">
        <f t="shared" si="251"/>
        <v>75</v>
      </c>
      <c r="BG33" s="292">
        <f t="shared" si="252"/>
        <v>75</v>
      </c>
      <c r="BH33" s="292">
        <f t="shared" si="253"/>
        <v>75</v>
      </c>
      <c r="BI33" s="292">
        <f t="shared" si="254"/>
        <v>75</v>
      </c>
      <c r="BJ33" s="292">
        <f t="shared" si="255"/>
        <v>75</v>
      </c>
      <c r="BK33" s="292">
        <f t="shared" si="256"/>
        <v>75</v>
      </c>
      <c r="BL33" s="292">
        <f t="shared" si="257"/>
        <v>75</v>
      </c>
      <c r="BM33" s="292">
        <f t="shared" si="258"/>
        <v>75</v>
      </c>
      <c r="BN33" s="292">
        <f t="shared" si="259"/>
        <v>75</v>
      </c>
      <c r="BO33" s="292">
        <f t="shared" si="260"/>
        <v>75</v>
      </c>
      <c r="BP33" s="293">
        <f t="shared" si="261"/>
        <v>75</v>
      </c>
      <c r="BQ33" s="292">
        <f t="shared" si="262"/>
        <v>75</v>
      </c>
      <c r="BR33" s="292">
        <f t="shared" si="263"/>
        <v>75</v>
      </c>
      <c r="BS33" s="292">
        <f t="shared" si="264"/>
        <v>75</v>
      </c>
      <c r="BT33" s="292">
        <f t="shared" si="204"/>
        <v>75</v>
      </c>
      <c r="BU33" s="292">
        <f t="shared" si="286"/>
        <v>75</v>
      </c>
      <c r="BV33" s="292">
        <f t="shared" si="287"/>
        <v>75</v>
      </c>
      <c r="BW33" s="292">
        <f t="shared" si="288"/>
        <v>75</v>
      </c>
      <c r="BX33" s="292">
        <f t="shared" si="289"/>
        <v>75</v>
      </c>
      <c r="BY33" s="292">
        <f t="shared" si="290"/>
        <v>75</v>
      </c>
      <c r="BZ33" s="292">
        <f t="shared" si="291"/>
        <v>75</v>
      </c>
      <c r="CA33" s="292">
        <f t="shared" si="292"/>
        <v>75</v>
      </c>
      <c r="CB33" s="293">
        <f t="shared" si="293"/>
        <v>75</v>
      </c>
      <c r="CC33" s="292">
        <f t="shared" si="294"/>
        <v>75</v>
      </c>
      <c r="CD33" s="292">
        <f t="shared" si="295"/>
        <v>75</v>
      </c>
      <c r="CE33" s="292">
        <f t="shared" si="296"/>
        <v>75</v>
      </c>
      <c r="CF33" s="292">
        <f t="shared" si="297"/>
        <v>75</v>
      </c>
      <c r="CG33" s="292">
        <f t="shared" si="298"/>
        <v>75</v>
      </c>
      <c r="CH33" s="292">
        <f t="shared" si="299"/>
        <v>75</v>
      </c>
      <c r="CI33" s="292">
        <f t="shared" si="300"/>
        <v>75</v>
      </c>
      <c r="CJ33" s="292">
        <f t="shared" si="301"/>
        <v>75</v>
      </c>
      <c r="CK33" s="292">
        <f t="shared" si="302"/>
        <v>75</v>
      </c>
      <c r="CL33" s="292">
        <f t="shared" si="303"/>
        <v>75</v>
      </c>
      <c r="CM33" s="292">
        <f t="shared" si="304"/>
        <v>75</v>
      </c>
      <c r="CN33" s="293">
        <f t="shared" si="305"/>
        <v>75</v>
      </c>
      <c r="CO33" s="292">
        <f t="shared" si="306"/>
        <v>75</v>
      </c>
      <c r="CP33" s="292">
        <f t="shared" si="307"/>
        <v>75</v>
      </c>
      <c r="CQ33" s="292">
        <f t="shared" si="308"/>
        <v>75</v>
      </c>
      <c r="CR33" s="292">
        <f t="shared" si="309"/>
        <v>75</v>
      </c>
      <c r="CS33" s="292">
        <f t="shared" si="310"/>
        <v>75</v>
      </c>
      <c r="CT33" s="292">
        <f t="shared" si="311"/>
        <v>75</v>
      </c>
      <c r="CU33" s="292">
        <f t="shared" si="312"/>
        <v>75</v>
      </c>
      <c r="CV33" s="292">
        <f t="shared" si="313"/>
        <v>75</v>
      </c>
      <c r="CW33" s="292">
        <f t="shared" si="314"/>
        <v>75</v>
      </c>
      <c r="CX33" s="292">
        <f t="shared" si="315"/>
        <v>75</v>
      </c>
      <c r="CY33" s="292">
        <f t="shared" si="316"/>
        <v>75</v>
      </c>
      <c r="CZ33" s="293">
        <f t="shared" si="317"/>
        <v>75</v>
      </c>
      <c r="DA33" s="292">
        <f t="shared" si="318"/>
        <v>75</v>
      </c>
      <c r="DB33" s="292">
        <f t="shared" si="319"/>
        <v>75</v>
      </c>
      <c r="DC33" s="292">
        <f t="shared" si="320"/>
        <v>75</v>
      </c>
      <c r="DD33" s="292">
        <f t="shared" si="265"/>
        <v>75</v>
      </c>
      <c r="DE33" s="292">
        <f t="shared" si="266"/>
        <v>75</v>
      </c>
      <c r="DF33" s="292">
        <f t="shared" si="267"/>
        <v>75</v>
      </c>
      <c r="DG33" s="292">
        <f t="shared" si="268"/>
        <v>75</v>
      </c>
      <c r="DH33" s="292">
        <f t="shared" si="269"/>
        <v>75</v>
      </c>
      <c r="DI33" s="292">
        <f t="shared" si="270"/>
        <v>75</v>
      </c>
      <c r="DJ33" s="292">
        <f t="shared" si="271"/>
        <v>75</v>
      </c>
      <c r="DK33" s="292">
        <f t="shared" si="272"/>
        <v>75</v>
      </c>
      <c r="DL33" s="293">
        <f t="shared" si="273"/>
        <v>75</v>
      </c>
      <c r="DM33" s="292">
        <f t="shared" si="274"/>
        <v>75</v>
      </c>
      <c r="DN33" s="292">
        <f t="shared" si="275"/>
        <v>75</v>
      </c>
      <c r="DO33" s="292">
        <f t="shared" si="276"/>
        <v>75</v>
      </c>
      <c r="DP33" s="292">
        <f t="shared" si="277"/>
        <v>75</v>
      </c>
      <c r="DQ33" s="292">
        <f t="shared" si="278"/>
        <v>75</v>
      </c>
      <c r="DR33" s="292">
        <f t="shared" si="279"/>
        <v>75</v>
      </c>
      <c r="DS33" s="292">
        <f t="shared" si="280"/>
        <v>75</v>
      </c>
      <c r="DT33" s="292">
        <f t="shared" si="281"/>
        <v>75</v>
      </c>
      <c r="DU33" s="292">
        <f t="shared" si="282"/>
        <v>75</v>
      </c>
      <c r="DV33" s="292">
        <f t="shared" si="283"/>
        <v>75</v>
      </c>
      <c r="DW33" s="292">
        <f t="shared" si="284"/>
        <v>75</v>
      </c>
    </row>
    <row r="34" spans="3:132" hidden="1" x14ac:dyDescent="0.3">
      <c r="D34" s="126" t="str">
        <f>'Data Master'!C59</f>
        <v>RTA/WFM</v>
      </c>
      <c r="E34" s="292"/>
      <c r="F34" s="519"/>
      <c r="G34" s="1196">
        <f>HLOOKUP($D$4,'Data Master'!$D$48:$L$63,'Data Master'!$B59,0)</f>
        <v>100</v>
      </c>
      <c r="H34" s="292">
        <f t="shared" ref="H34" si="324">G34</f>
        <v>100</v>
      </c>
      <c r="I34" s="292">
        <f t="shared" si="206"/>
        <v>100</v>
      </c>
      <c r="J34" s="292">
        <f t="shared" si="207"/>
        <v>100</v>
      </c>
      <c r="K34" s="292">
        <f t="shared" si="208"/>
        <v>100</v>
      </c>
      <c r="L34" s="292">
        <f t="shared" si="209"/>
        <v>100</v>
      </c>
      <c r="M34" s="292">
        <f t="shared" si="210"/>
        <v>100</v>
      </c>
      <c r="N34" s="1196">
        <f>HLOOKUP($D$4,'Data Master'!$N$48:$V$63,'Data Master'!$B59,0)</f>
        <v>100</v>
      </c>
      <c r="O34" s="292">
        <f t="shared" si="211"/>
        <v>100</v>
      </c>
      <c r="P34" s="292">
        <f t="shared" si="212"/>
        <v>100</v>
      </c>
      <c r="Q34" s="292">
        <f t="shared" si="213"/>
        <v>100</v>
      </c>
      <c r="R34" s="292">
        <f t="shared" si="214"/>
        <v>100</v>
      </c>
      <c r="S34" s="292">
        <f t="shared" si="215"/>
        <v>100</v>
      </c>
      <c r="T34" s="1196">
        <f>HLOOKUP($D$4,'Data Master'!$X$48:$AF$63,'Data Master'!$B59,0)</f>
        <v>100</v>
      </c>
      <c r="U34" s="292">
        <f t="shared" si="216"/>
        <v>100</v>
      </c>
      <c r="V34" s="292">
        <f t="shared" si="217"/>
        <v>100</v>
      </c>
      <c r="W34" s="292">
        <f t="shared" si="218"/>
        <v>100</v>
      </c>
      <c r="X34" s="292">
        <f t="shared" si="219"/>
        <v>100</v>
      </c>
      <c r="Y34" s="292">
        <f t="shared" si="220"/>
        <v>100</v>
      </c>
      <c r="Z34" s="292">
        <f t="shared" si="221"/>
        <v>100</v>
      </c>
      <c r="AA34" s="292">
        <f t="shared" si="222"/>
        <v>100</v>
      </c>
      <c r="AB34" s="292">
        <f t="shared" si="223"/>
        <v>100</v>
      </c>
      <c r="AC34" s="292">
        <f t="shared" si="224"/>
        <v>100</v>
      </c>
      <c r="AD34" s="292">
        <f t="shared" si="225"/>
        <v>100</v>
      </c>
      <c r="AE34" s="292">
        <f t="shared" si="226"/>
        <v>100</v>
      </c>
      <c r="AF34" s="1196">
        <f>HLOOKUP($D$4,'Data Master'!$AH$48:$AP$63,'Data Master'!$B59,0)</f>
        <v>100</v>
      </c>
      <c r="AG34" s="292">
        <f t="shared" si="227"/>
        <v>100</v>
      </c>
      <c r="AH34" s="292">
        <f t="shared" si="228"/>
        <v>100</v>
      </c>
      <c r="AI34" s="292">
        <f t="shared" si="229"/>
        <v>100</v>
      </c>
      <c r="AJ34" s="292">
        <f t="shared" si="230"/>
        <v>100</v>
      </c>
      <c r="AK34" s="292">
        <f t="shared" si="231"/>
        <v>100</v>
      </c>
      <c r="AL34" s="292">
        <f t="shared" si="232"/>
        <v>100</v>
      </c>
      <c r="AM34" s="292">
        <f t="shared" si="233"/>
        <v>100</v>
      </c>
      <c r="AN34" s="292">
        <f t="shared" si="234"/>
        <v>100</v>
      </c>
      <c r="AO34" s="292">
        <f t="shared" si="235"/>
        <v>100</v>
      </c>
      <c r="AP34" s="292">
        <f t="shared" si="236"/>
        <v>100</v>
      </c>
      <c r="AQ34" s="292">
        <f t="shared" si="237"/>
        <v>100</v>
      </c>
      <c r="AR34" s="1196">
        <f>HLOOKUP($D$4,'Data Master'!$AR$48:$AZ$63,'Data Master'!$B59,0)</f>
        <v>100</v>
      </c>
      <c r="AS34" s="292">
        <f t="shared" si="238"/>
        <v>100</v>
      </c>
      <c r="AT34" s="292">
        <f t="shared" si="239"/>
        <v>100</v>
      </c>
      <c r="AU34" s="292">
        <f t="shared" si="240"/>
        <v>100</v>
      </c>
      <c r="AV34" s="292">
        <f t="shared" si="241"/>
        <v>100</v>
      </c>
      <c r="AW34" s="292">
        <f t="shared" si="242"/>
        <v>100</v>
      </c>
      <c r="AX34" s="292">
        <f t="shared" si="243"/>
        <v>100</v>
      </c>
      <c r="AY34" s="292">
        <f t="shared" si="244"/>
        <v>100</v>
      </c>
      <c r="AZ34" s="292">
        <f t="shared" si="245"/>
        <v>100</v>
      </c>
      <c r="BA34" s="292">
        <f t="shared" si="246"/>
        <v>100</v>
      </c>
      <c r="BB34" s="292">
        <f t="shared" si="247"/>
        <v>100</v>
      </c>
      <c r="BC34" s="292">
        <f t="shared" si="248"/>
        <v>100</v>
      </c>
      <c r="BD34" s="293">
        <f t="shared" si="249"/>
        <v>100</v>
      </c>
      <c r="BE34" s="292">
        <f t="shared" si="250"/>
        <v>100</v>
      </c>
      <c r="BF34" s="292">
        <f t="shared" si="251"/>
        <v>100</v>
      </c>
      <c r="BG34" s="292">
        <f t="shared" si="252"/>
        <v>100</v>
      </c>
      <c r="BH34" s="292">
        <f t="shared" si="253"/>
        <v>100</v>
      </c>
      <c r="BI34" s="292">
        <f t="shared" si="254"/>
        <v>100</v>
      </c>
      <c r="BJ34" s="292">
        <f t="shared" si="255"/>
        <v>100</v>
      </c>
      <c r="BK34" s="292">
        <f t="shared" si="256"/>
        <v>100</v>
      </c>
      <c r="BL34" s="292">
        <f t="shared" si="257"/>
        <v>100</v>
      </c>
      <c r="BM34" s="292">
        <f t="shared" si="258"/>
        <v>100</v>
      </c>
      <c r="BN34" s="292">
        <f t="shared" si="259"/>
        <v>100</v>
      </c>
      <c r="BO34" s="292">
        <f t="shared" si="260"/>
        <v>100</v>
      </c>
      <c r="BP34" s="293">
        <f t="shared" si="261"/>
        <v>100</v>
      </c>
      <c r="BQ34" s="292">
        <f t="shared" si="262"/>
        <v>100</v>
      </c>
      <c r="BR34" s="292">
        <f t="shared" si="263"/>
        <v>100</v>
      </c>
      <c r="BS34" s="292">
        <f t="shared" si="264"/>
        <v>100</v>
      </c>
      <c r="BT34" s="292">
        <f t="shared" si="204"/>
        <v>100</v>
      </c>
      <c r="BU34" s="292">
        <f t="shared" si="286"/>
        <v>100</v>
      </c>
      <c r="BV34" s="292">
        <f t="shared" si="287"/>
        <v>100</v>
      </c>
      <c r="BW34" s="292">
        <f t="shared" si="288"/>
        <v>100</v>
      </c>
      <c r="BX34" s="292">
        <f t="shared" si="289"/>
        <v>100</v>
      </c>
      <c r="BY34" s="292">
        <f t="shared" si="290"/>
        <v>100</v>
      </c>
      <c r="BZ34" s="292">
        <f t="shared" si="291"/>
        <v>100</v>
      </c>
      <c r="CA34" s="292">
        <f t="shared" si="292"/>
        <v>100</v>
      </c>
      <c r="CB34" s="293">
        <f t="shared" si="293"/>
        <v>100</v>
      </c>
      <c r="CC34" s="292">
        <f t="shared" si="294"/>
        <v>100</v>
      </c>
      <c r="CD34" s="292">
        <f t="shared" si="295"/>
        <v>100</v>
      </c>
      <c r="CE34" s="292">
        <f t="shared" si="296"/>
        <v>100</v>
      </c>
      <c r="CF34" s="292">
        <f t="shared" si="297"/>
        <v>100</v>
      </c>
      <c r="CG34" s="292">
        <f t="shared" si="298"/>
        <v>100</v>
      </c>
      <c r="CH34" s="292">
        <f t="shared" si="299"/>
        <v>100</v>
      </c>
      <c r="CI34" s="292">
        <f t="shared" si="300"/>
        <v>100</v>
      </c>
      <c r="CJ34" s="292">
        <f t="shared" si="301"/>
        <v>100</v>
      </c>
      <c r="CK34" s="292">
        <f t="shared" si="302"/>
        <v>100</v>
      </c>
      <c r="CL34" s="292">
        <f t="shared" si="303"/>
        <v>100</v>
      </c>
      <c r="CM34" s="292">
        <f t="shared" si="304"/>
        <v>100</v>
      </c>
      <c r="CN34" s="293">
        <f t="shared" si="305"/>
        <v>100</v>
      </c>
      <c r="CO34" s="292">
        <f t="shared" si="306"/>
        <v>100</v>
      </c>
      <c r="CP34" s="292">
        <f t="shared" si="307"/>
        <v>100</v>
      </c>
      <c r="CQ34" s="292">
        <f t="shared" si="308"/>
        <v>100</v>
      </c>
      <c r="CR34" s="292">
        <f t="shared" si="309"/>
        <v>100</v>
      </c>
      <c r="CS34" s="292">
        <f t="shared" si="310"/>
        <v>100</v>
      </c>
      <c r="CT34" s="292">
        <f t="shared" si="311"/>
        <v>100</v>
      </c>
      <c r="CU34" s="292">
        <f t="shared" si="312"/>
        <v>100</v>
      </c>
      <c r="CV34" s="292">
        <f t="shared" si="313"/>
        <v>100</v>
      </c>
      <c r="CW34" s="292">
        <f t="shared" si="314"/>
        <v>100</v>
      </c>
      <c r="CX34" s="292">
        <f t="shared" si="315"/>
        <v>100</v>
      </c>
      <c r="CY34" s="292">
        <f t="shared" si="316"/>
        <v>100</v>
      </c>
      <c r="CZ34" s="293">
        <f t="shared" si="317"/>
        <v>100</v>
      </c>
      <c r="DA34" s="292">
        <f t="shared" si="318"/>
        <v>100</v>
      </c>
      <c r="DB34" s="292">
        <f t="shared" si="319"/>
        <v>100</v>
      </c>
      <c r="DC34" s="292">
        <f t="shared" si="320"/>
        <v>100</v>
      </c>
      <c r="DD34" s="292">
        <f t="shared" si="265"/>
        <v>100</v>
      </c>
      <c r="DE34" s="292">
        <f t="shared" si="266"/>
        <v>100</v>
      </c>
      <c r="DF34" s="292">
        <f t="shared" si="267"/>
        <v>100</v>
      </c>
      <c r="DG34" s="292">
        <f t="shared" si="268"/>
        <v>100</v>
      </c>
      <c r="DH34" s="292">
        <f t="shared" si="269"/>
        <v>100</v>
      </c>
      <c r="DI34" s="292">
        <f t="shared" si="270"/>
        <v>100</v>
      </c>
      <c r="DJ34" s="292">
        <f t="shared" si="271"/>
        <v>100</v>
      </c>
      <c r="DK34" s="292">
        <f t="shared" si="272"/>
        <v>100</v>
      </c>
      <c r="DL34" s="293">
        <f t="shared" si="273"/>
        <v>100</v>
      </c>
      <c r="DM34" s="292">
        <f t="shared" si="274"/>
        <v>100</v>
      </c>
      <c r="DN34" s="292">
        <f t="shared" si="275"/>
        <v>100</v>
      </c>
      <c r="DO34" s="292">
        <f t="shared" si="276"/>
        <v>100</v>
      </c>
      <c r="DP34" s="292">
        <f t="shared" si="277"/>
        <v>100</v>
      </c>
      <c r="DQ34" s="292">
        <f t="shared" si="278"/>
        <v>100</v>
      </c>
      <c r="DR34" s="292">
        <f t="shared" si="279"/>
        <v>100</v>
      </c>
      <c r="DS34" s="292">
        <f t="shared" si="280"/>
        <v>100</v>
      </c>
      <c r="DT34" s="292">
        <f t="shared" si="281"/>
        <v>100</v>
      </c>
      <c r="DU34" s="292">
        <f t="shared" si="282"/>
        <v>100</v>
      </c>
      <c r="DV34" s="292">
        <f t="shared" si="283"/>
        <v>100</v>
      </c>
      <c r="DW34" s="292">
        <f t="shared" si="284"/>
        <v>100</v>
      </c>
    </row>
    <row r="35" spans="3:132" hidden="1" x14ac:dyDescent="0.3">
      <c r="D35" s="126" t="str">
        <f>'Data Master'!C60</f>
        <v>Transition Resource</v>
      </c>
      <c r="E35" s="292"/>
      <c r="F35" s="519"/>
      <c r="G35" s="1196">
        <f>HLOOKUP($D$4,'Data Master'!$D$48:$L$63,'Data Master'!$B60,0)</f>
        <v>100</v>
      </c>
      <c r="H35" s="292">
        <f t="shared" ref="H35" si="325">G35</f>
        <v>100</v>
      </c>
      <c r="I35" s="292">
        <f t="shared" si="206"/>
        <v>100</v>
      </c>
      <c r="J35" s="292">
        <f t="shared" si="207"/>
        <v>100</v>
      </c>
      <c r="K35" s="292">
        <f t="shared" si="208"/>
        <v>100</v>
      </c>
      <c r="L35" s="292">
        <f t="shared" si="209"/>
        <v>100</v>
      </c>
      <c r="M35" s="1409">
        <v>10000000</v>
      </c>
      <c r="N35" s="1196">
        <f>M35</f>
        <v>10000000</v>
      </c>
      <c r="O35" s="292">
        <f t="shared" si="211"/>
        <v>10000000</v>
      </c>
      <c r="P35" s="292">
        <f t="shared" si="212"/>
        <v>10000000</v>
      </c>
      <c r="Q35" s="292">
        <f t="shared" si="213"/>
        <v>10000000</v>
      </c>
      <c r="R35" s="292">
        <f t="shared" si="214"/>
        <v>10000000</v>
      </c>
      <c r="S35" s="292">
        <f t="shared" si="215"/>
        <v>10000000</v>
      </c>
      <c r="T35" s="1196">
        <f>S35</f>
        <v>10000000</v>
      </c>
      <c r="U35" s="292">
        <f t="shared" si="216"/>
        <v>10000000</v>
      </c>
      <c r="V35" s="292">
        <f t="shared" si="217"/>
        <v>10000000</v>
      </c>
      <c r="W35" s="292">
        <f t="shared" si="218"/>
        <v>10000000</v>
      </c>
      <c r="X35" s="292">
        <f t="shared" si="219"/>
        <v>10000000</v>
      </c>
      <c r="Y35" s="292">
        <f t="shared" si="220"/>
        <v>10000000</v>
      </c>
      <c r="Z35" s="292">
        <f t="shared" si="221"/>
        <v>10000000</v>
      </c>
      <c r="AA35" s="292">
        <f t="shared" si="222"/>
        <v>10000000</v>
      </c>
      <c r="AB35" s="292">
        <f t="shared" si="223"/>
        <v>10000000</v>
      </c>
      <c r="AC35" s="292">
        <f t="shared" si="224"/>
        <v>10000000</v>
      </c>
      <c r="AD35" s="292">
        <f t="shared" si="225"/>
        <v>10000000</v>
      </c>
      <c r="AE35" s="292">
        <f t="shared" si="226"/>
        <v>10000000</v>
      </c>
      <c r="AF35" s="1196">
        <f>AE35</f>
        <v>10000000</v>
      </c>
      <c r="AG35" s="292">
        <f t="shared" si="227"/>
        <v>10000000</v>
      </c>
      <c r="AH35" s="292">
        <f t="shared" si="228"/>
        <v>10000000</v>
      </c>
      <c r="AI35" s="292">
        <f t="shared" si="229"/>
        <v>10000000</v>
      </c>
      <c r="AJ35" s="292">
        <f t="shared" si="230"/>
        <v>10000000</v>
      </c>
      <c r="AK35" s="292">
        <f t="shared" si="231"/>
        <v>10000000</v>
      </c>
      <c r="AL35" s="292">
        <f t="shared" si="232"/>
        <v>10000000</v>
      </c>
      <c r="AM35" s="292">
        <f t="shared" si="233"/>
        <v>10000000</v>
      </c>
      <c r="AN35" s="292">
        <f t="shared" si="234"/>
        <v>10000000</v>
      </c>
      <c r="AO35" s="292">
        <f t="shared" si="235"/>
        <v>10000000</v>
      </c>
      <c r="AP35" s="292">
        <f t="shared" si="236"/>
        <v>10000000</v>
      </c>
      <c r="AQ35" s="292">
        <f t="shared" si="237"/>
        <v>10000000</v>
      </c>
      <c r="AR35" s="1196">
        <f>AQ35</f>
        <v>10000000</v>
      </c>
      <c r="AS35" s="292">
        <f t="shared" si="238"/>
        <v>10000000</v>
      </c>
      <c r="AT35" s="292">
        <f t="shared" si="239"/>
        <v>10000000</v>
      </c>
      <c r="AU35" s="292">
        <f t="shared" si="240"/>
        <v>10000000</v>
      </c>
      <c r="AV35" s="292">
        <f t="shared" si="241"/>
        <v>10000000</v>
      </c>
      <c r="AW35" s="292">
        <f t="shared" si="242"/>
        <v>10000000</v>
      </c>
      <c r="AX35" s="292">
        <f t="shared" si="243"/>
        <v>10000000</v>
      </c>
      <c r="AY35" s="292">
        <f t="shared" si="244"/>
        <v>10000000</v>
      </c>
      <c r="AZ35" s="292">
        <f t="shared" si="245"/>
        <v>10000000</v>
      </c>
      <c r="BA35" s="292">
        <f t="shared" si="246"/>
        <v>10000000</v>
      </c>
      <c r="BB35" s="292">
        <f t="shared" si="247"/>
        <v>10000000</v>
      </c>
      <c r="BC35" s="292">
        <f t="shared" si="248"/>
        <v>10000000</v>
      </c>
      <c r="BD35" s="293">
        <f t="shared" si="249"/>
        <v>10000000</v>
      </c>
      <c r="BE35" s="292">
        <f t="shared" si="250"/>
        <v>10000000</v>
      </c>
      <c r="BF35" s="292">
        <f t="shared" si="251"/>
        <v>10000000</v>
      </c>
      <c r="BG35" s="292">
        <f t="shared" si="252"/>
        <v>10000000</v>
      </c>
      <c r="BH35" s="292">
        <f t="shared" si="253"/>
        <v>10000000</v>
      </c>
      <c r="BI35" s="292">
        <f t="shared" si="254"/>
        <v>10000000</v>
      </c>
      <c r="BJ35" s="292">
        <f t="shared" si="255"/>
        <v>10000000</v>
      </c>
      <c r="BK35" s="292">
        <f t="shared" si="256"/>
        <v>10000000</v>
      </c>
      <c r="BL35" s="292">
        <f t="shared" si="257"/>
        <v>10000000</v>
      </c>
      <c r="BM35" s="292">
        <f t="shared" si="258"/>
        <v>10000000</v>
      </c>
      <c r="BN35" s="292">
        <f t="shared" si="259"/>
        <v>10000000</v>
      </c>
      <c r="BO35" s="292">
        <f t="shared" si="260"/>
        <v>10000000</v>
      </c>
      <c r="BP35" s="293">
        <f t="shared" si="261"/>
        <v>10000000</v>
      </c>
      <c r="BQ35" s="292">
        <f t="shared" si="262"/>
        <v>10000000</v>
      </c>
      <c r="BR35" s="292">
        <f t="shared" si="263"/>
        <v>10000000</v>
      </c>
      <c r="BS35" s="292">
        <f t="shared" si="264"/>
        <v>10000000</v>
      </c>
      <c r="BT35" s="292">
        <f t="shared" si="204"/>
        <v>10000000</v>
      </c>
      <c r="BU35" s="292">
        <f t="shared" si="286"/>
        <v>10000000</v>
      </c>
      <c r="BV35" s="292">
        <f t="shared" si="287"/>
        <v>10000000</v>
      </c>
      <c r="BW35" s="292">
        <f t="shared" si="288"/>
        <v>10000000</v>
      </c>
      <c r="BX35" s="292">
        <f t="shared" si="289"/>
        <v>10000000</v>
      </c>
      <c r="BY35" s="292">
        <f t="shared" si="290"/>
        <v>10000000</v>
      </c>
      <c r="BZ35" s="292">
        <f t="shared" si="291"/>
        <v>10000000</v>
      </c>
      <c r="CA35" s="292">
        <f t="shared" si="292"/>
        <v>10000000</v>
      </c>
      <c r="CB35" s="293">
        <f t="shared" si="293"/>
        <v>10000000</v>
      </c>
      <c r="CC35" s="292">
        <f t="shared" si="294"/>
        <v>10000000</v>
      </c>
      <c r="CD35" s="292">
        <f t="shared" si="295"/>
        <v>10000000</v>
      </c>
      <c r="CE35" s="292">
        <f t="shared" si="296"/>
        <v>10000000</v>
      </c>
      <c r="CF35" s="292">
        <f t="shared" si="297"/>
        <v>10000000</v>
      </c>
      <c r="CG35" s="292">
        <f t="shared" si="298"/>
        <v>10000000</v>
      </c>
      <c r="CH35" s="292">
        <f t="shared" si="299"/>
        <v>10000000</v>
      </c>
      <c r="CI35" s="292">
        <f t="shared" si="300"/>
        <v>10000000</v>
      </c>
      <c r="CJ35" s="292">
        <f t="shared" si="301"/>
        <v>10000000</v>
      </c>
      <c r="CK35" s="292">
        <f t="shared" si="302"/>
        <v>10000000</v>
      </c>
      <c r="CL35" s="292">
        <f t="shared" si="303"/>
        <v>10000000</v>
      </c>
      <c r="CM35" s="292">
        <f t="shared" si="304"/>
        <v>10000000</v>
      </c>
      <c r="CN35" s="293">
        <f t="shared" si="305"/>
        <v>10000000</v>
      </c>
      <c r="CO35" s="292">
        <f t="shared" si="306"/>
        <v>10000000</v>
      </c>
      <c r="CP35" s="292">
        <f t="shared" si="307"/>
        <v>10000000</v>
      </c>
      <c r="CQ35" s="292">
        <f t="shared" si="308"/>
        <v>10000000</v>
      </c>
      <c r="CR35" s="292">
        <f t="shared" si="309"/>
        <v>10000000</v>
      </c>
      <c r="CS35" s="292">
        <f t="shared" si="310"/>
        <v>10000000</v>
      </c>
      <c r="CT35" s="292">
        <f t="shared" si="311"/>
        <v>10000000</v>
      </c>
      <c r="CU35" s="292">
        <f t="shared" si="312"/>
        <v>10000000</v>
      </c>
      <c r="CV35" s="292">
        <f t="shared" si="313"/>
        <v>10000000</v>
      </c>
      <c r="CW35" s="292">
        <f t="shared" si="314"/>
        <v>10000000</v>
      </c>
      <c r="CX35" s="292">
        <f t="shared" si="315"/>
        <v>10000000</v>
      </c>
      <c r="CY35" s="292">
        <f t="shared" si="316"/>
        <v>10000000</v>
      </c>
      <c r="CZ35" s="293">
        <f t="shared" si="317"/>
        <v>10000000</v>
      </c>
      <c r="DA35" s="292">
        <f t="shared" si="318"/>
        <v>10000000</v>
      </c>
      <c r="DB35" s="292">
        <f t="shared" si="319"/>
        <v>10000000</v>
      </c>
      <c r="DC35" s="292">
        <f t="shared" si="320"/>
        <v>10000000</v>
      </c>
      <c r="DD35" s="292">
        <f t="shared" si="265"/>
        <v>10000000</v>
      </c>
      <c r="DE35" s="292">
        <f t="shared" si="266"/>
        <v>10000000</v>
      </c>
      <c r="DF35" s="292">
        <f t="shared" si="267"/>
        <v>10000000</v>
      </c>
      <c r="DG35" s="292">
        <f t="shared" si="268"/>
        <v>10000000</v>
      </c>
      <c r="DH35" s="292">
        <f t="shared" si="269"/>
        <v>10000000</v>
      </c>
      <c r="DI35" s="292">
        <f t="shared" si="270"/>
        <v>10000000</v>
      </c>
      <c r="DJ35" s="292">
        <f t="shared" si="271"/>
        <v>10000000</v>
      </c>
      <c r="DK35" s="292">
        <f t="shared" si="272"/>
        <v>10000000</v>
      </c>
      <c r="DL35" s="293">
        <f t="shared" si="273"/>
        <v>10000000</v>
      </c>
      <c r="DM35" s="292">
        <f t="shared" si="274"/>
        <v>10000000</v>
      </c>
      <c r="DN35" s="292">
        <f t="shared" si="275"/>
        <v>10000000</v>
      </c>
      <c r="DO35" s="292">
        <f t="shared" si="276"/>
        <v>10000000</v>
      </c>
      <c r="DP35" s="292">
        <f t="shared" si="277"/>
        <v>10000000</v>
      </c>
      <c r="DQ35" s="292">
        <f t="shared" si="278"/>
        <v>10000000</v>
      </c>
      <c r="DR35" s="292">
        <f t="shared" si="279"/>
        <v>10000000</v>
      </c>
      <c r="DS35" s="292">
        <f t="shared" si="280"/>
        <v>10000000</v>
      </c>
      <c r="DT35" s="292">
        <f t="shared" si="281"/>
        <v>10000000</v>
      </c>
      <c r="DU35" s="292">
        <f t="shared" si="282"/>
        <v>10000000</v>
      </c>
      <c r="DV35" s="292">
        <f t="shared" si="283"/>
        <v>10000000</v>
      </c>
      <c r="DW35" s="292">
        <f t="shared" si="284"/>
        <v>10000000</v>
      </c>
    </row>
    <row r="36" spans="3:132" hidden="1" x14ac:dyDescent="0.3">
      <c r="D36" s="126" t="str">
        <f>'Data Master'!C61</f>
        <v>PEx Resource</v>
      </c>
      <c r="E36" s="292"/>
      <c r="F36" s="519"/>
      <c r="G36" s="1196">
        <f>HLOOKUP($D$4,'Data Master'!$D$48:$L$63,'Data Master'!$B61,0)</f>
        <v>400</v>
      </c>
      <c r="H36" s="292">
        <f t="shared" ref="H36" si="326">G36</f>
        <v>400</v>
      </c>
      <c r="I36" s="292">
        <f t="shared" si="206"/>
        <v>400</v>
      </c>
      <c r="J36" s="292">
        <f t="shared" si="207"/>
        <v>400</v>
      </c>
      <c r="K36" s="292">
        <f t="shared" si="208"/>
        <v>400</v>
      </c>
      <c r="L36" s="292">
        <f t="shared" si="209"/>
        <v>400</v>
      </c>
      <c r="M36" s="292">
        <f t="shared" si="210"/>
        <v>400</v>
      </c>
      <c r="N36" s="1196">
        <f>HLOOKUP($D$4,'Data Master'!$N$48:$V$63,'Data Master'!$B61,0)</f>
        <v>400</v>
      </c>
      <c r="O36" s="292">
        <f t="shared" si="211"/>
        <v>400</v>
      </c>
      <c r="P36" s="292">
        <f t="shared" si="212"/>
        <v>400</v>
      </c>
      <c r="Q36" s="292">
        <f t="shared" si="213"/>
        <v>400</v>
      </c>
      <c r="R36" s="292">
        <f t="shared" si="214"/>
        <v>400</v>
      </c>
      <c r="S36" s="292">
        <f t="shared" si="215"/>
        <v>400</v>
      </c>
      <c r="T36" s="1196">
        <f>HLOOKUP($D$4,'Data Master'!$X$48:$AF$63,'Data Master'!$B61,0)</f>
        <v>400</v>
      </c>
      <c r="U36" s="292">
        <f t="shared" si="216"/>
        <v>400</v>
      </c>
      <c r="V36" s="292">
        <f t="shared" si="217"/>
        <v>400</v>
      </c>
      <c r="W36" s="292">
        <f t="shared" si="218"/>
        <v>400</v>
      </c>
      <c r="X36" s="292">
        <f t="shared" si="219"/>
        <v>400</v>
      </c>
      <c r="Y36" s="292">
        <f t="shared" si="220"/>
        <v>400</v>
      </c>
      <c r="Z36" s="292">
        <f t="shared" si="221"/>
        <v>400</v>
      </c>
      <c r="AA36" s="292">
        <f t="shared" si="222"/>
        <v>400</v>
      </c>
      <c r="AB36" s="292">
        <f t="shared" si="223"/>
        <v>400</v>
      </c>
      <c r="AC36" s="292">
        <f t="shared" si="224"/>
        <v>400</v>
      </c>
      <c r="AD36" s="292">
        <f t="shared" si="225"/>
        <v>400</v>
      </c>
      <c r="AE36" s="292">
        <f t="shared" si="226"/>
        <v>400</v>
      </c>
      <c r="AF36" s="1196">
        <f>HLOOKUP($D$4,'Data Master'!$AH$48:$AP$63,'Data Master'!$B61,0)</f>
        <v>400</v>
      </c>
      <c r="AG36" s="292">
        <f t="shared" si="227"/>
        <v>400</v>
      </c>
      <c r="AH36" s="292">
        <f t="shared" si="228"/>
        <v>400</v>
      </c>
      <c r="AI36" s="292">
        <f t="shared" si="229"/>
        <v>400</v>
      </c>
      <c r="AJ36" s="292">
        <f t="shared" si="230"/>
        <v>400</v>
      </c>
      <c r="AK36" s="292">
        <f t="shared" si="231"/>
        <v>400</v>
      </c>
      <c r="AL36" s="292">
        <f t="shared" si="232"/>
        <v>400</v>
      </c>
      <c r="AM36" s="292">
        <f t="shared" si="233"/>
        <v>400</v>
      </c>
      <c r="AN36" s="292">
        <f t="shared" si="234"/>
        <v>400</v>
      </c>
      <c r="AO36" s="292">
        <f t="shared" si="235"/>
        <v>400</v>
      </c>
      <c r="AP36" s="292">
        <f t="shared" si="236"/>
        <v>400</v>
      </c>
      <c r="AQ36" s="292">
        <f t="shared" si="237"/>
        <v>400</v>
      </c>
      <c r="AR36" s="1196">
        <f>HLOOKUP($D$4,'Data Master'!$AR$48:$AZ$63,'Data Master'!$B61,0)</f>
        <v>400</v>
      </c>
      <c r="AS36" s="292">
        <f t="shared" si="238"/>
        <v>400</v>
      </c>
      <c r="AT36" s="292">
        <f t="shared" si="239"/>
        <v>400</v>
      </c>
      <c r="AU36" s="292">
        <f t="shared" si="240"/>
        <v>400</v>
      </c>
      <c r="AV36" s="292">
        <f t="shared" si="241"/>
        <v>400</v>
      </c>
      <c r="AW36" s="292">
        <f t="shared" si="242"/>
        <v>400</v>
      </c>
      <c r="AX36" s="292">
        <f t="shared" si="243"/>
        <v>400</v>
      </c>
      <c r="AY36" s="292">
        <f t="shared" si="244"/>
        <v>400</v>
      </c>
      <c r="AZ36" s="292">
        <f t="shared" si="245"/>
        <v>400</v>
      </c>
      <c r="BA36" s="292">
        <f t="shared" si="246"/>
        <v>400</v>
      </c>
      <c r="BB36" s="292">
        <f t="shared" si="247"/>
        <v>400</v>
      </c>
      <c r="BC36" s="292">
        <f t="shared" si="248"/>
        <v>400</v>
      </c>
      <c r="BD36" s="293">
        <f t="shared" si="249"/>
        <v>400</v>
      </c>
      <c r="BE36" s="292">
        <f t="shared" si="250"/>
        <v>400</v>
      </c>
      <c r="BF36" s="292">
        <f t="shared" si="251"/>
        <v>400</v>
      </c>
      <c r="BG36" s="292">
        <f t="shared" si="252"/>
        <v>400</v>
      </c>
      <c r="BH36" s="292">
        <f t="shared" si="253"/>
        <v>400</v>
      </c>
      <c r="BI36" s="292">
        <f t="shared" si="254"/>
        <v>400</v>
      </c>
      <c r="BJ36" s="292">
        <f t="shared" si="255"/>
        <v>400</v>
      </c>
      <c r="BK36" s="292">
        <f t="shared" si="256"/>
        <v>400</v>
      </c>
      <c r="BL36" s="292">
        <f t="shared" si="257"/>
        <v>400</v>
      </c>
      <c r="BM36" s="292">
        <f t="shared" si="258"/>
        <v>400</v>
      </c>
      <c r="BN36" s="292">
        <f t="shared" si="259"/>
        <v>400</v>
      </c>
      <c r="BO36" s="292">
        <f t="shared" si="260"/>
        <v>400</v>
      </c>
      <c r="BP36" s="293">
        <f t="shared" si="261"/>
        <v>400</v>
      </c>
      <c r="BQ36" s="292">
        <f t="shared" si="262"/>
        <v>400</v>
      </c>
      <c r="BR36" s="292">
        <f t="shared" si="263"/>
        <v>400</v>
      </c>
      <c r="BS36" s="292">
        <f t="shared" si="264"/>
        <v>400</v>
      </c>
      <c r="BT36" s="292">
        <f t="shared" si="204"/>
        <v>400</v>
      </c>
      <c r="BU36" s="292">
        <f t="shared" si="286"/>
        <v>400</v>
      </c>
      <c r="BV36" s="292">
        <f t="shared" si="287"/>
        <v>400</v>
      </c>
      <c r="BW36" s="292">
        <f t="shared" si="288"/>
        <v>400</v>
      </c>
      <c r="BX36" s="292">
        <f t="shared" si="289"/>
        <v>400</v>
      </c>
      <c r="BY36" s="292">
        <f t="shared" si="290"/>
        <v>400</v>
      </c>
      <c r="BZ36" s="292">
        <f t="shared" si="291"/>
        <v>400</v>
      </c>
      <c r="CA36" s="292">
        <f t="shared" si="292"/>
        <v>400</v>
      </c>
      <c r="CB36" s="293">
        <f t="shared" si="293"/>
        <v>400</v>
      </c>
      <c r="CC36" s="292">
        <f t="shared" si="294"/>
        <v>400</v>
      </c>
      <c r="CD36" s="292">
        <f t="shared" si="295"/>
        <v>400</v>
      </c>
      <c r="CE36" s="292">
        <f t="shared" si="296"/>
        <v>400</v>
      </c>
      <c r="CF36" s="292">
        <f t="shared" si="297"/>
        <v>400</v>
      </c>
      <c r="CG36" s="292">
        <f t="shared" si="298"/>
        <v>400</v>
      </c>
      <c r="CH36" s="292">
        <f t="shared" si="299"/>
        <v>400</v>
      </c>
      <c r="CI36" s="292">
        <f t="shared" si="300"/>
        <v>400</v>
      </c>
      <c r="CJ36" s="292">
        <f t="shared" si="301"/>
        <v>400</v>
      </c>
      <c r="CK36" s="292">
        <f t="shared" si="302"/>
        <v>400</v>
      </c>
      <c r="CL36" s="292">
        <f t="shared" si="303"/>
        <v>400</v>
      </c>
      <c r="CM36" s="292">
        <f t="shared" si="304"/>
        <v>400</v>
      </c>
      <c r="CN36" s="293">
        <f t="shared" si="305"/>
        <v>400</v>
      </c>
      <c r="CO36" s="292">
        <f t="shared" si="306"/>
        <v>400</v>
      </c>
      <c r="CP36" s="292">
        <f t="shared" si="307"/>
        <v>400</v>
      </c>
      <c r="CQ36" s="292">
        <f t="shared" si="308"/>
        <v>400</v>
      </c>
      <c r="CR36" s="292">
        <f t="shared" si="309"/>
        <v>400</v>
      </c>
      <c r="CS36" s="292">
        <f t="shared" si="310"/>
        <v>400</v>
      </c>
      <c r="CT36" s="292">
        <f t="shared" si="311"/>
        <v>400</v>
      </c>
      <c r="CU36" s="292">
        <f t="shared" si="312"/>
        <v>400</v>
      </c>
      <c r="CV36" s="292">
        <f t="shared" si="313"/>
        <v>400</v>
      </c>
      <c r="CW36" s="292">
        <f t="shared" si="314"/>
        <v>400</v>
      </c>
      <c r="CX36" s="292">
        <f t="shared" si="315"/>
        <v>400</v>
      </c>
      <c r="CY36" s="292">
        <f t="shared" si="316"/>
        <v>400</v>
      </c>
      <c r="CZ36" s="293">
        <f t="shared" si="317"/>
        <v>400</v>
      </c>
      <c r="DA36" s="292">
        <f t="shared" si="318"/>
        <v>400</v>
      </c>
      <c r="DB36" s="292">
        <f t="shared" si="319"/>
        <v>400</v>
      </c>
      <c r="DC36" s="292">
        <f t="shared" si="320"/>
        <v>400</v>
      </c>
      <c r="DD36" s="292">
        <f t="shared" si="265"/>
        <v>400</v>
      </c>
      <c r="DE36" s="292">
        <f t="shared" si="266"/>
        <v>400</v>
      </c>
      <c r="DF36" s="292">
        <f t="shared" si="267"/>
        <v>400</v>
      </c>
      <c r="DG36" s="292">
        <f t="shared" si="268"/>
        <v>400</v>
      </c>
      <c r="DH36" s="292">
        <f t="shared" si="269"/>
        <v>400</v>
      </c>
      <c r="DI36" s="292">
        <f t="shared" si="270"/>
        <v>400</v>
      </c>
      <c r="DJ36" s="292">
        <f t="shared" si="271"/>
        <v>400</v>
      </c>
      <c r="DK36" s="292">
        <f t="shared" si="272"/>
        <v>400</v>
      </c>
      <c r="DL36" s="293">
        <f t="shared" si="273"/>
        <v>400</v>
      </c>
      <c r="DM36" s="292">
        <f t="shared" si="274"/>
        <v>400</v>
      </c>
      <c r="DN36" s="292">
        <f t="shared" si="275"/>
        <v>400</v>
      </c>
      <c r="DO36" s="292">
        <f t="shared" si="276"/>
        <v>400</v>
      </c>
      <c r="DP36" s="292">
        <f t="shared" si="277"/>
        <v>400</v>
      </c>
      <c r="DQ36" s="292">
        <f t="shared" si="278"/>
        <v>400</v>
      </c>
      <c r="DR36" s="292">
        <f t="shared" si="279"/>
        <v>400</v>
      </c>
      <c r="DS36" s="292">
        <f t="shared" si="280"/>
        <v>400</v>
      </c>
      <c r="DT36" s="292">
        <f t="shared" si="281"/>
        <v>400</v>
      </c>
      <c r="DU36" s="292">
        <f t="shared" si="282"/>
        <v>400</v>
      </c>
      <c r="DV36" s="292">
        <f t="shared" si="283"/>
        <v>400</v>
      </c>
      <c r="DW36" s="292">
        <f t="shared" si="284"/>
        <v>400</v>
      </c>
    </row>
    <row r="37" spans="3:132" hidden="1" x14ac:dyDescent="0.3">
      <c r="D37" s="126" t="str">
        <f>'Data Master'!C62</f>
        <v>Resource3</v>
      </c>
      <c r="E37" s="292"/>
      <c r="F37" s="519"/>
      <c r="G37" s="1196">
        <f>HLOOKUP($D$4,'Data Master'!$D$48:$L$63,'Data Master'!$B62,0)</f>
        <v>10000000</v>
      </c>
      <c r="H37" s="292">
        <f t="shared" ref="H37" si="327">G37</f>
        <v>10000000</v>
      </c>
      <c r="I37" s="292">
        <f t="shared" si="206"/>
        <v>10000000</v>
      </c>
      <c r="J37" s="292">
        <f t="shared" si="207"/>
        <v>10000000</v>
      </c>
      <c r="K37" s="292">
        <f t="shared" si="208"/>
        <v>10000000</v>
      </c>
      <c r="L37" s="292">
        <f t="shared" si="209"/>
        <v>10000000</v>
      </c>
      <c r="M37" s="292">
        <f t="shared" si="210"/>
        <v>10000000</v>
      </c>
      <c r="N37" s="1196">
        <f>HLOOKUP($D$4,'Data Master'!$N$48:$V$63,'Data Master'!$B62,0)</f>
        <v>10000000</v>
      </c>
      <c r="O37" s="292">
        <f t="shared" si="211"/>
        <v>10000000</v>
      </c>
      <c r="P37" s="292">
        <f t="shared" si="212"/>
        <v>10000000</v>
      </c>
      <c r="Q37" s="292">
        <f t="shared" si="213"/>
        <v>10000000</v>
      </c>
      <c r="R37" s="292">
        <f t="shared" si="214"/>
        <v>10000000</v>
      </c>
      <c r="S37" s="292">
        <f t="shared" si="215"/>
        <v>10000000</v>
      </c>
      <c r="T37" s="1196">
        <f>HLOOKUP($D$4,'Data Master'!$X$48:$AF$63,'Data Master'!$B62,0)</f>
        <v>10000000</v>
      </c>
      <c r="U37" s="292">
        <f t="shared" si="216"/>
        <v>10000000</v>
      </c>
      <c r="V37" s="292">
        <f t="shared" si="217"/>
        <v>10000000</v>
      </c>
      <c r="W37" s="292">
        <f t="shared" si="218"/>
        <v>10000000</v>
      </c>
      <c r="X37" s="292">
        <f t="shared" si="219"/>
        <v>10000000</v>
      </c>
      <c r="Y37" s="292">
        <f t="shared" si="220"/>
        <v>10000000</v>
      </c>
      <c r="Z37" s="292">
        <f t="shared" si="221"/>
        <v>10000000</v>
      </c>
      <c r="AA37" s="292">
        <f t="shared" si="222"/>
        <v>10000000</v>
      </c>
      <c r="AB37" s="292">
        <f t="shared" si="223"/>
        <v>10000000</v>
      </c>
      <c r="AC37" s="292">
        <f t="shared" si="224"/>
        <v>10000000</v>
      </c>
      <c r="AD37" s="292">
        <f t="shared" si="225"/>
        <v>10000000</v>
      </c>
      <c r="AE37" s="292">
        <f t="shared" si="226"/>
        <v>10000000</v>
      </c>
      <c r="AF37" s="1196">
        <f>HLOOKUP($D$4,'Data Master'!$AH$48:$AP$63,'Data Master'!$B62,0)</f>
        <v>10000000</v>
      </c>
      <c r="AG37" s="292">
        <f t="shared" si="227"/>
        <v>10000000</v>
      </c>
      <c r="AH37" s="292">
        <f t="shared" si="228"/>
        <v>10000000</v>
      </c>
      <c r="AI37" s="292">
        <f t="shared" si="229"/>
        <v>10000000</v>
      </c>
      <c r="AJ37" s="292">
        <f t="shared" si="230"/>
        <v>10000000</v>
      </c>
      <c r="AK37" s="292">
        <f t="shared" si="231"/>
        <v>10000000</v>
      </c>
      <c r="AL37" s="292">
        <f t="shared" si="232"/>
        <v>10000000</v>
      </c>
      <c r="AM37" s="292">
        <f t="shared" si="233"/>
        <v>10000000</v>
      </c>
      <c r="AN37" s="292">
        <f t="shared" si="234"/>
        <v>10000000</v>
      </c>
      <c r="AO37" s="292">
        <f t="shared" si="235"/>
        <v>10000000</v>
      </c>
      <c r="AP37" s="292">
        <f t="shared" si="236"/>
        <v>10000000</v>
      </c>
      <c r="AQ37" s="292">
        <f t="shared" si="237"/>
        <v>10000000</v>
      </c>
      <c r="AR37" s="1196">
        <f>HLOOKUP($D$4,'Data Master'!$AR$48:$AZ$63,'Data Master'!$B62,0)</f>
        <v>10000000</v>
      </c>
      <c r="AS37" s="292">
        <f t="shared" si="238"/>
        <v>10000000</v>
      </c>
      <c r="AT37" s="292">
        <f t="shared" si="239"/>
        <v>10000000</v>
      </c>
      <c r="AU37" s="292">
        <f t="shared" si="240"/>
        <v>10000000</v>
      </c>
      <c r="AV37" s="292">
        <f t="shared" si="241"/>
        <v>10000000</v>
      </c>
      <c r="AW37" s="292">
        <f t="shared" si="242"/>
        <v>10000000</v>
      </c>
      <c r="AX37" s="292">
        <f t="shared" si="243"/>
        <v>10000000</v>
      </c>
      <c r="AY37" s="292">
        <f t="shared" si="244"/>
        <v>10000000</v>
      </c>
      <c r="AZ37" s="292">
        <f t="shared" si="245"/>
        <v>10000000</v>
      </c>
      <c r="BA37" s="292">
        <f t="shared" si="246"/>
        <v>10000000</v>
      </c>
      <c r="BB37" s="292">
        <f t="shared" si="247"/>
        <v>10000000</v>
      </c>
      <c r="BC37" s="292">
        <f t="shared" si="248"/>
        <v>10000000</v>
      </c>
      <c r="BD37" s="293">
        <f t="shared" si="249"/>
        <v>10000000</v>
      </c>
      <c r="BE37" s="292">
        <f t="shared" si="250"/>
        <v>10000000</v>
      </c>
      <c r="BF37" s="292">
        <f t="shared" si="251"/>
        <v>10000000</v>
      </c>
      <c r="BG37" s="292">
        <f t="shared" si="252"/>
        <v>10000000</v>
      </c>
      <c r="BH37" s="292">
        <f t="shared" si="253"/>
        <v>10000000</v>
      </c>
      <c r="BI37" s="292">
        <f t="shared" si="254"/>
        <v>10000000</v>
      </c>
      <c r="BJ37" s="292">
        <f t="shared" si="255"/>
        <v>10000000</v>
      </c>
      <c r="BK37" s="292">
        <f t="shared" si="256"/>
        <v>10000000</v>
      </c>
      <c r="BL37" s="292">
        <f t="shared" si="257"/>
        <v>10000000</v>
      </c>
      <c r="BM37" s="292">
        <f t="shared" si="258"/>
        <v>10000000</v>
      </c>
      <c r="BN37" s="292">
        <f t="shared" si="259"/>
        <v>10000000</v>
      </c>
      <c r="BO37" s="292">
        <f t="shared" si="260"/>
        <v>10000000</v>
      </c>
      <c r="BP37" s="293">
        <f t="shared" si="261"/>
        <v>10000000</v>
      </c>
      <c r="BQ37" s="292">
        <f t="shared" si="262"/>
        <v>10000000</v>
      </c>
      <c r="BR37" s="292">
        <f t="shared" si="263"/>
        <v>10000000</v>
      </c>
      <c r="BS37" s="292">
        <f t="shared" si="264"/>
        <v>10000000</v>
      </c>
      <c r="BT37" s="292">
        <f t="shared" si="204"/>
        <v>10000000</v>
      </c>
      <c r="BU37" s="292">
        <f t="shared" si="286"/>
        <v>10000000</v>
      </c>
      <c r="BV37" s="292">
        <f t="shared" si="287"/>
        <v>10000000</v>
      </c>
      <c r="BW37" s="292">
        <f t="shared" si="288"/>
        <v>10000000</v>
      </c>
      <c r="BX37" s="292">
        <f t="shared" si="289"/>
        <v>10000000</v>
      </c>
      <c r="BY37" s="292">
        <f t="shared" si="290"/>
        <v>10000000</v>
      </c>
      <c r="BZ37" s="292">
        <f t="shared" si="291"/>
        <v>10000000</v>
      </c>
      <c r="CA37" s="292">
        <f t="shared" si="292"/>
        <v>10000000</v>
      </c>
      <c r="CB37" s="293">
        <f t="shared" si="293"/>
        <v>10000000</v>
      </c>
      <c r="CC37" s="292">
        <f t="shared" si="294"/>
        <v>10000000</v>
      </c>
      <c r="CD37" s="292">
        <f t="shared" si="295"/>
        <v>10000000</v>
      </c>
      <c r="CE37" s="292">
        <f t="shared" si="296"/>
        <v>10000000</v>
      </c>
      <c r="CF37" s="292">
        <f t="shared" si="297"/>
        <v>10000000</v>
      </c>
      <c r="CG37" s="292">
        <f t="shared" si="298"/>
        <v>10000000</v>
      </c>
      <c r="CH37" s="292">
        <f t="shared" si="299"/>
        <v>10000000</v>
      </c>
      <c r="CI37" s="292">
        <f t="shared" si="300"/>
        <v>10000000</v>
      </c>
      <c r="CJ37" s="292">
        <f t="shared" si="301"/>
        <v>10000000</v>
      </c>
      <c r="CK37" s="292">
        <f t="shared" si="302"/>
        <v>10000000</v>
      </c>
      <c r="CL37" s="292">
        <f t="shared" si="303"/>
        <v>10000000</v>
      </c>
      <c r="CM37" s="292">
        <f t="shared" si="304"/>
        <v>10000000</v>
      </c>
      <c r="CN37" s="293">
        <f t="shared" si="305"/>
        <v>10000000</v>
      </c>
      <c r="CO37" s="292">
        <f t="shared" si="306"/>
        <v>10000000</v>
      </c>
      <c r="CP37" s="292">
        <f t="shared" si="307"/>
        <v>10000000</v>
      </c>
      <c r="CQ37" s="292">
        <f t="shared" si="308"/>
        <v>10000000</v>
      </c>
      <c r="CR37" s="292">
        <f t="shared" si="309"/>
        <v>10000000</v>
      </c>
      <c r="CS37" s="292">
        <f t="shared" si="310"/>
        <v>10000000</v>
      </c>
      <c r="CT37" s="292">
        <f t="shared" si="311"/>
        <v>10000000</v>
      </c>
      <c r="CU37" s="292">
        <f t="shared" si="312"/>
        <v>10000000</v>
      </c>
      <c r="CV37" s="292">
        <f t="shared" si="313"/>
        <v>10000000</v>
      </c>
      <c r="CW37" s="292">
        <f t="shared" si="314"/>
        <v>10000000</v>
      </c>
      <c r="CX37" s="292">
        <f t="shared" si="315"/>
        <v>10000000</v>
      </c>
      <c r="CY37" s="292">
        <f t="shared" si="316"/>
        <v>10000000</v>
      </c>
      <c r="CZ37" s="293">
        <f t="shared" si="317"/>
        <v>10000000</v>
      </c>
      <c r="DA37" s="292">
        <f t="shared" si="318"/>
        <v>10000000</v>
      </c>
      <c r="DB37" s="292">
        <f t="shared" si="319"/>
        <v>10000000</v>
      </c>
      <c r="DC37" s="292">
        <f t="shared" si="320"/>
        <v>10000000</v>
      </c>
      <c r="DD37" s="292">
        <f t="shared" si="265"/>
        <v>10000000</v>
      </c>
      <c r="DE37" s="292">
        <f t="shared" si="266"/>
        <v>10000000</v>
      </c>
      <c r="DF37" s="292">
        <f t="shared" si="267"/>
        <v>10000000</v>
      </c>
      <c r="DG37" s="292">
        <f t="shared" si="268"/>
        <v>10000000</v>
      </c>
      <c r="DH37" s="292">
        <f t="shared" si="269"/>
        <v>10000000</v>
      </c>
      <c r="DI37" s="292">
        <f t="shared" si="270"/>
        <v>10000000</v>
      </c>
      <c r="DJ37" s="292">
        <f t="shared" si="271"/>
        <v>10000000</v>
      </c>
      <c r="DK37" s="292">
        <f t="shared" si="272"/>
        <v>10000000</v>
      </c>
      <c r="DL37" s="293">
        <f t="shared" si="273"/>
        <v>10000000</v>
      </c>
      <c r="DM37" s="292">
        <f t="shared" si="274"/>
        <v>10000000</v>
      </c>
      <c r="DN37" s="292">
        <f t="shared" si="275"/>
        <v>10000000</v>
      </c>
      <c r="DO37" s="292">
        <f t="shared" si="276"/>
        <v>10000000</v>
      </c>
      <c r="DP37" s="292">
        <f t="shared" si="277"/>
        <v>10000000</v>
      </c>
      <c r="DQ37" s="292">
        <f t="shared" si="278"/>
        <v>10000000</v>
      </c>
      <c r="DR37" s="292">
        <f t="shared" si="279"/>
        <v>10000000</v>
      </c>
      <c r="DS37" s="292">
        <f t="shared" si="280"/>
        <v>10000000</v>
      </c>
      <c r="DT37" s="292">
        <f t="shared" si="281"/>
        <v>10000000</v>
      </c>
      <c r="DU37" s="292">
        <f t="shared" si="282"/>
        <v>10000000</v>
      </c>
      <c r="DV37" s="292">
        <f t="shared" si="283"/>
        <v>10000000</v>
      </c>
      <c r="DW37" s="292">
        <f t="shared" si="284"/>
        <v>10000000</v>
      </c>
    </row>
    <row r="38" spans="3:132" hidden="1" x14ac:dyDescent="0.3">
      <c r="D38" s="297" t="str">
        <f>'Data Master'!C63</f>
        <v>Resource4</v>
      </c>
      <c r="E38" s="298"/>
      <c r="F38" s="520"/>
      <c r="G38" s="1197">
        <f>HLOOKUP($D$4,'Data Master'!$D$48:$L$63,'Data Master'!$B63,0)</f>
        <v>10000000</v>
      </c>
      <c r="H38" s="298">
        <f t="shared" ref="H38" si="328">G38</f>
        <v>10000000</v>
      </c>
      <c r="I38" s="298">
        <f t="shared" si="206"/>
        <v>10000000</v>
      </c>
      <c r="J38" s="298">
        <f t="shared" si="207"/>
        <v>10000000</v>
      </c>
      <c r="K38" s="298">
        <f t="shared" si="208"/>
        <v>10000000</v>
      </c>
      <c r="L38" s="298">
        <f t="shared" si="209"/>
        <v>10000000</v>
      </c>
      <c r="M38" s="298">
        <f t="shared" si="210"/>
        <v>10000000</v>
      </c>
      <c r="N38" s="1197">
        <f>HLOOKUP($D$4,'Data Master'!$N$48:$V$63,'Data Master'!$B63,0)</f>
        <v>10000000</v>
      </c>
      <c r="O38" s="298">
        <f t="shared" si="211"/>
        <v>10000000</v>
      </c>
      <c r="P38" s="298">
        <f t="shared" si="212"/>
        <v>10000000</v>
      </c>
      <c r="Q38" s="298">
        <f t="shared" si="213"/>
        <v>10000000</v>
      </c>
      <c r="R38" s="298">
        <f t="shared" si="214"/>
        <v>10000000</v>
      </c>
      <c r="S38" s="298">
        <f t="shared" si="215"/>
        <v>10000000</v>
      </c>
      <c r="T38" s="1197">
        <f>HLOOKUP($D$4,'Data Master'!$X$48:$AF$63,'Data Master'!$B63,0)</f>
        <v>10000000</v>
      </c>
      <c r="U38" s="298">
        <f t="shared" si="216"/>
        <v>10000000</v>
      </c>
      <c r="V38" s="298">
        <f t="shared" si="217"/>
        <v>10000000</v>
      </c>
      <c r="W38" s="298">
        <f t="shared" si="218"/>
        <v>10000000</v>
      </c>
      <c r="X38" s="298">
        <f t="shared" si="219"/>
        <v>10000000</v>
      </c>
      <c r="Y38" s="298">
        <f t="shared" si="220"/>
        <v>10000000</v>
      </c>
      <c r="Z38" s="298">
        <f t="shared" si="221"/>
        <v>10000000</v>
      </c>
      <c r="AA38" s="298">
        <f t="shared" si="222"/>
        <v>10000000</v>
      </c>
      <c r="AB38" s="298">
        <f t="shared" si="223"/>
        <v>10000000</v>
      </c>
      <c r="AC38" s="298">
        <f t="shared" si="224"/>
        <v>10000000</v>
      </c>
      <c r="AD38" s="298">
        <f t="shared" si="225"/>
        <v>10000000</v>
      </c>
      <c r="AE38" s="298">
        <f t="shared" si="226"/>
        <v>10000000</v>
      </c>
      <c r="AF38" s="1197">
        <f>HLOOKUP($D$4,'Data Master'!$AH$48:$AP$63,'Data Master'!$B63,0)</f>
        <v>10000000</v>
      </c>
      <c r="AG38" s="298">
        <f t="shared" si="227"/>
        <v>10000000</v>
      </c>
      <c r="AH38" s="298">
        <f t="shared" si="228"/>
        <v>10000000</v>
      </c>
      <c r="AI38" s="298">
        <f t="shared" si="229"/>
        <v>10000000</v>
      </c>
      <c r="AJ38" s="298">
        <f t="shared" si="230"/>
        <v>10000000</v>
      </c>
      <c r="AK38" s="298">
        <f t="shared" si="231"/>
        <v>10000000</v>
      </c>
      <c r="AL38" s="298">
        <f t="shared" si="232"/>
        <v>10000000</v>
      </c>
      <c r="AM38" s="298">
        <f t="shared" si="233"/>
        <v>10000000</v>
      </c>
      <c r="AN38" s="298">
        <f t="shared" si="234"/>
        <v>10000000</v>
      </c>
      <c r="AO38" s="298">
        <f t="shared" si="235"/>
        <v>10000000</v>
      </c>
      <c r="AP38" s="298">
        <f t="shared" si="236"/>
        <v>10000000</v>
      </c>
      <c r="AQ38" s="298">
        <f t="shared" si="237"/>
        <v>10000000</v>
      </c>
      <c r="AR38" s="1197">
        <f>HLOOKUP($D$4,'Data Master'!$AR$48:$AZ$63,'Data Master'!$B63,0)</f>
        <v>10000000</v>
      </c>
      <c r="AS38" s="298">
        <f t="shared" si="238"/>
        <v>10000000</v>
      </c>
      <c r="AT38" s="298">
        <f t="shared" si="239"/>
        <v>10000000</v>
      </c>
      <c r="AU38" s="298">
        <f t="shared" si="240"/>
        <v>10000000</v>
      </c>
      <c r="AV38" s="298">
        <f t="shared" si="241"/>
        <v>10000000</v>
      </c>
      <c r="AW38" s="298">
        <f t="shared" si="242"/>
        <v>10000000</v>
      </c>
      <c r="AX38" s="298">
        <f t="shared" si="243"/>
        <v>10000000</v>
      </c>
      <c r="AY38" s="298">
        <f t="shared" si="244"/>
        <v>10000000</v>
      </c>
      <c r="AZ38" s="298">
        <f t="shared" si="245"/>
        <v>10000000</v>
      </c>
      <c r="BA38" s="298">
        <f t="shared" si="246"/>
        <v>10000000</v>
      </c>
      <c r="BB38" s="298">
        <f t="shared" si="247"/>
        <v>10000000</v>
      </c>
      <c r="BC38" s="298">
        <f t="shared" si="248"/>
        <v>10000000</v>
      </c>
      <c r="BD38" s="299">
        <f t="shared" si="249"/>
        <v>10000000</v>
      </c>
      <c r="BE38" s="298">
        <f t="shared" si="250"/>
        <v>10000000</v>
      </c>
      <c r="BF38" s="298">
        <f t="shared" si="251"/>
        <v>10000000</v>
      </c>
      <c r="BG38" s="298">
        <f t="shared" si="252"/>
        <v>10000000</v>
      </c>
      <c r="BH38" s="298">
        <f t="shared" si="253"/>
        <v>10000000</v>
      </c>
      <c r="BI38" s="298">
        <f t="shared" si="254"/>
        <v>10000000</v>
      </c>
      <c r="BJ38" s="298">
        <f t="shared" si="255"/>
        <v>10000000</v>
      </c>
      <c r="BK38" s="298">
        <f t="shared" si="256"/>
        <v>10000000</v>
      </c>
      <c r="BL38" s="298">
        <f t="shared" si="257"/>
        <v>10000000</v>
      </c>
      <c r="BM38" s="298">
        <f t="shared" si="258"/>
        <v>10000000</v>
      </c>
      <c r="BN38" s="298">
        <f t="shared" si="259"/>
        <v>10000000</v>
      </c>
      <c r="BO38" s="298">
        <f t="shared" si="260"/>
        <v>10000000</v>
      </c>
      <c r="BP38" s="299">
        <f t="shared" si="261"/>
        <v>10000000</v>
      </c>
      <c r="BQ38" s="298">
        <f t="shared" si="262"/>
        <v>10000000</v>
      </c>
      <c r="BR38" s="298">
        <f t="shared" si="263"/>
        <v>10000000</v>
      </c>
      <c r="BS38" s="298">
        <f t="shared" si="264"/>
        <v>10000000</v>
      </c>
      <c r="BT38" s="298">
        <f t="shared" si="204"/>
        <v>10000000</v>
      </c>
      <c r="BU38" s="298">
        <f t="shared" si="286"/>
        <v>10000000</v>
      </c>
      <c r="BV38" s="298">
        <f t="shared" si="287"/>
        <v>10000000</v>
      </c>
      <c r="BW38" s="298">
        <f t="shared" si="288"/>
        <v>10000000</v>
      </c>
      <c r="BX38" s="298">
        <f t="shared" si="289"/>
        <v>10000000</v>
      </c>
      <c r="BY38" s="298">
        <f t="shared" si="290"/>
        <v>10000000</v>
      </c>
      <c r="BZ38" s="298">
        <f t="shared" si="291"/>
        <v>10000000</v>
      </c>
      <c r="CA38" s="298">
        <f t="shared" si="292"/>
        <v>10000000</v>
      </c>
      <c r="CB38" s="299">
        <f t="shared" si="293"/>
        <v>10000000</v>
      </c>
      <c r="CC38" s="298">
        <f t="shared" si="294"/>
        <v>10000000</v>
      </c>
      <c r="CD38" s="298">
        <f t="shared" si="295"/>
        <v>10000000</v>
      </c>
      <c r="CE38" s="298">
        <f t="shared" si="296"/>
        <v>10000000</v>
      </c>
      <c r="CF38" s="298">
        <f t="shared" si="297"/>
        <v>10000000</v>
      </c>
      <c r="CG38" s="298">
        <f t="shared" si="298"/>
        <v>10000000</v>
      </c>
      <c r="CH38" s="298">
        <f t="shared" si="299"/>
        <v>10000000</v>
      </c>
      <c r="CI38" s="298">
        <f t="shared" si="300"/>
        <v>10000000</v>
      </c>
      <c r="CJ38" s="298">
        <f t="shared" si="301"/>
        <v>10000000</v>
      </c>
      <c r="CK38" s="298">
        <f t="shared" si="302"/>
        <v>10000000</v>
      </c>
      <c r="CL38" s="298">
        <f t="shared" si="303"/>
        <v>10000000</v>
      </c>
      <c r="CM38" s="298">
        <f t="shared" si="304"/>
        <v>10000000</v>
      </c>
      <c r="CN38" s="299">
        <f t="shared" si="305"/>
        <v>10000000</v>
      </c>
      <c r="CO38" s="298">
        <f t="shared" si="306"/>
        <v>10000000</v>
      </c>
      <c r="CP38" s="298">
        <f t="shared" si="307"/>
        <v>10000000</v>
      </c>
      <c r="CQ38" s="298">
        <f t="shared" si="308"/>
        <v>10000000</v>
      </c>
      <c r="CR38" s="298">
        <f t="shared" si="309"/>
        <v>10000000</v>
      </c>
      <c r="CS38" s="298">
        <f t="shared" si="310"/>
        <v>10000000</v>
      </c>
      <c r="CT38" s="298">
        <f t="shared" si="311"/>
        <v>10000000</v>
      </c>
      <c r="CU38" s="298">
        <f t="shared" si="312"/>
        <v>10000000</v>
      </c>
      <c r="CV38" s="298">
        <f t="shared" si="313"/>
        <v>10000000</v>
      </c>
      <c r="CW38" s="298">
        <f t="shared" si="314"/>
        <v>10000000</v>
      </c>
      <c r="CX38" s="298">
        <f t="shared" si="315"/>
        <v>10000000</v>
      </c>
      <c r="CY38" s="298">
        <f t="shared" si="316"/>
        <v>10000000</v>
      </c>
      <c r="CZ38" s="299">
        <f t="shared" si="317"/>
        <v>10000000</v>
      </c>
      <c r="DA38" s="298">
        <f t="shared" si="318"/>
        <v>10000000</v>
      </c>
      <c r="DB38" s="298">
        <f t="shared" si="319"/>
        <v>10000000</v>
      </c>
      <c r="DC38" s="298">
        <f t="shared" si="320"/>
        <v>10000000</v>
      </c>
      <c r="DD38" s="298">
        <f t="shared" si="265"/>
        <v>10000000</v>
      </c>
      <c r="DE38" s="298">
        <f t="shared" si="266"/>
        <v>10000000</v>
      </c>
      <c r="DF38" s="298">
        <f t="shared" si="267"/>
        <v>10000000</v>
      </c>
      <c r="DG38" s="298">
        <f t="shared" si="268"/>
        <v>10000000</v>
      </c>
      <c r="DH38" s="298">
        <f t="shared" si="269"/>
        <v>10000000</v>
      </c>
      <c r="DI38" s="298">
        <f t="shared" si="270"/>
        <v>10000000</v>
      </c>
      <c r="DJ38" s="298">
        <f t="shared" si="271"/>
        <v>10000000</v>
      </c>
      <c r="DK38" s="298">
        <f t="shared" si="272"/>
        <v>10000000</v>
      </c>
      <c r="DL38" s="299">
        <f t="shared" si="273"/>
        <v>10000000</v>
      </c>
      <c r="DM38" s="298">
        <f t="shared" si="274"/>
        <v>10000000</v>
      </c>
      <c r="DN38" s="298">
        <f t="shared" si="275"/>
        <v>10000000</v>
      </c>
      <c r="DO38" s="298">
        <f t="shared" si="276"/>
        <v>10000000</v>
      </c>
      <c r="DP38" s="298">
        <f t="shared" si="277"/>
        <v>10000000</v>
      </c>
      <c r="DQ38" s="298">
        <f t="shared" si="278"/>
        <v>10000000</v>
      </c>
      <c r="DR38" s="298">
        <f t="shared" si="279"/>
        <v>10000000</v>
      </c>
      <c r="DS38" s="298">
        <f t="shared" si="280"/>
        <v>10000000</v>
      </c>
      <c r="DT38" s="298">
        <f t="shared" si="281"/>
        <v>10000000</v>
      </c>
      <c r="DU38" s="298">
        <f t="shared" si="282"/>
        <v>10000000</v>
      </c>
      <c r="DV38" s="298">
        <f t="shared" si="283"/>
        <v>10000000</v>
      </c>
      <c r="DW38" s="298">
        <f t="shared" si="284"/>
        <v>10000000</v>
      </c>
    </row>
    <row r="39" spans="3:132" x14ac:dyDescent="0.3"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  <c r="AM39" s="127"/>
      <c r="AN39" s="127"/>
      <c r="AO39" s="127"/>
      <c r="AP39" s="127"/>
      <c r="AQ39" s="127"/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CB39" s="127"/>
      <c r="CN39" s="127"/>
      <c r="CZ39" s="127"/>
      <c r="DL39" s="127"/>
    </row>
    <row r="40" spans="3:132" x14ac:dyDescent="0.3">
      <c r="D40" s="1201" t="s">
        <v>226</v>
      </c>
      <c r="E40" s="67"/>
      <c r="F40" s="394"/>
      <c r="G40" s="1654">
        <v>0</v>
      </c>
      <c r="H40" s="1655">
        <f t="shared" ref="H40:J40" si="329">IF(G13&lt;=4.33,((G43*G17)+G40*(1-G21)),IF(G13&lt;=(4.33*2),((G42*G17)+G40*(1-G21)),IF(G13&gt;(4.33*2),((G41*G17)+G40*(1-G21)))))</f>
        <v>60.999999999999993</v>
      </c>
      <c r="I40" s="1655">
        <f t="shared" si="329"/>
        <v>61</v>
      </c>
      <c r="J40" s="1655">
        <f t="shared" si="329"/>
        <v>61</v>
      </c>
      <c r="K40" s="1655">
        <f>IF(J13&lt;=4.33,((J43*J17)+J40*(1-J21)),IF(J13&lt;=(4.33*2),((J42*J17)+J40*(1-J21)),IF(J13&gt;(4.33*2),((J41*J17)+J40*(1-J21)))))</f>
        <v>61</v>
      </c>
      <c r="L40" s="1655">
        <f t="shared" ref="L40:BW40" si="330">IF(K13&lt;=4.33,((K43*K17)+K40*(1-K21)),IF(K13&lt;=(4.33*2),((K42*K17)+K40*(1-K21)),IF(K13&gt;(4.33*2),((K41*K17)+K40*(1-K21)))))</f>
        <v>61</v>
      </c>
      <c r="M40" s="1655">
        <f t="shared" si="330"/>
        <v>61</v>
      </c>
      <c r="N40" s="1655">
        <f t="shared" si="330"/>
        <v>61</v>
      </c>
      <c r="O40" s="1655">
        <f t="shared" si="330"/>
        <v>61</v>
      </c>
      <c r="P40" s="1655">
        <f t="shared" si="330"/>
        <v>61</v>
      </c>
      <c r="Q40" s="1655">
        <f t="shared" si="330"/>
        <v>61</v>
      </c>
      <c r="R40" s="1655">
        <f t="shared" si="330"/>
        <v>61</v>
      </c>
      <c r="S40" s="1655">
        <f t="shared" si="330"/>
        <v>61</v>
      </c>
      <c r="T40" s="1655">
        <f t="shared" si="330"/>
        <v>61</v>
      </c>
      <c r="U40" s="1655">
        <f t="shared" si="330"/>
        <v>61</v>
      </c>
      <c r="V40" s="1655">
        <f t="shared" si="330"/>
        <v>61</v>
      </c>
      <c r="W40" s="1655">
        <f t="shared" si="330"/>
        <v>61</v>
      </c>
      <c r="X40" s="1655">
        <f t="shared" si="330"/>
        <v>61</v>
      </c>
      <c r="Y40" s="1655">
        <f t="shared" si="330"/>
        <v>61</v>
      </c>
      <c r="Z40" s="1655">
        <f t="shared" si="330"/>
        <v>61</v>
      </c>
      <c r="AA40" s="1655">
        <f t="shared" si="330"/>
        <v>61</v>
      </c>
      <c r="AB40" s="1655">
        <f t="shared" si="330"/>
        <v>61</v>
      </c>
      <c r="AC40" s="1655">
        <f t="shared" si="330"/>
        <v>61</v>
      </c>
      <c r="AD40" s="1655">
        <f t="shared" si="330"/>
        <v>61</v>
      </c>
      <c r="AE40" s="1655">
        <f t="shared" si="330"/>
        <v>61</v>
      </c>
      <c r="AF40" s="1655">
        <f t="shared" si="330"/>
        <v>61</v>
      </c>
      <c r="AG40" s="1655">
        <f t="shared" si="330"/>
        <v>61</v>
      </c>
      <c r="AH40" s="1655">
        <f t="shared" si="330"/>
        <v>61</v>
      </c>
      <c r="AI40" s="1655">
        <f t="shared" si="330"/>
        <v>61</v>
      </c>
      <c r="AJ40" s="1655">
        <f t="shared" si="330"/>
        <v>61</v>
      </c>
      <c r="AK40" s="1655">
        <f t="shared" si="330"/>
        <v>61</v>
      </c>
      <c r="AL40" s="1655">
        <f t="shared" si="330"/>
        <v>61</v>
      </c>
      <c r="AM40" s="1655">
        <f t="shared" si="330"/>
        <v>61</v>
      </c>
      <c r="AN40" s="1655">
        <f t="shared" si="330"/>
        <v>61</v>
      </c>
      <c r="AO40" s="1655">
        <f t="shared" si="330"/>
        <v>61</v>
      </c>
      <c r="AP40" s="1655">
        <f t="shared" si="330"/>
        <v>61</v>
      </c>
      <c r="AQ40" s="1655">
        <f t="shared" si="330"/>
        <v>61</v>
      </c>
      <c r="AR40" s="1655">
        <f t="shared" si="330"/>
        <v>61</v>
      </c>
      <c r="AS40" s="1655">
        <f t="shared" si="330"/>
        <v>61</v>
      </c>
      <c r="AT40" s="1655">
        <f t="shared" si="330"/>
        <v>61</v>
      </c>
      <c r="AU40" s="1655">
        <f t="shared" si="330"/>
        <v>61</v>
      </c>
      <c r="AV40" s="1655">
        <f t="shared" si="330"/>
        <v>61</v>
      </c>
      <c r="AW40" s="1655">
        <f t="shared" si="330"/>
        <v>61</v>
      </c>
      <c r="AX40" s="1655">
        <f t="shared" si="330"/>
        <v>61</v>
      </c>
      <c r="AY40" s="1655">
        <f t="shared" si="330"/>
        <v>61</v>
      </c>
      <c r="AZ40" s="1655">
        <f t="shared" si="330"/>
        <v>61</v>
      </c>
      <c r="BA40" s="1655">
        <f t="shared" si="330"/>
        <v>61</v>
      </c>
      <c r="BB40" s="1655">
        <f t="shared" si="330"/>
        <v>61</v>
      </c>
      <c r="BC40" s="1655">
        <f t="shared" si="330"/>
        <v>61</v>
      </c>
      <c r="BD40" s="1655">
        <f t="shared" si="330"/>
        <v>61</v>
      </c>
      <c r="BE40" s="1655">
        <f t="shared" si="330"/>
        <v>61</v>
      </c>
      <c r="BF40" s="1655">
        <f t="shared" si="330"/>
        <v>61</v>
      </c>
      <c r="BG40" s="1655">
        <f t="shared" si="330"/>
        <v>61</v>
      </c>
      <c r="BH40" s="1655">
        <f t="shared" si="330"/>
        <v>61</v>
      </c>
      <c r="BI40" s="1655">
        <f t="shared" si="330"/>
        <v>61</v>
      </c>
      <c r="BJ40" s="1655">
        <f t="shared" si="330"/>
        <v>61</v>
      </c>
      <c r="BK40" s="1655">
        <f t="shared" si="330"/>
        <v>61</v>
      </c>
      <c r="BL40" s="1655">
        <f t="shared" si="330"/>
        <v>61</v>
      </c>
      <c r="BM40" s="1655">
        <f t="shared" si="330"/>
        <v>61</v>
      </c>
      <c r="BN40" s="1655">
        <f t="shared" si="330"/>
        <v>61</v>
      </c>
      <c r="BO40" s="1655">
        <f t="shared" si="330"/>
        <v>61</v>
      </c>
      <c r="BP40" s="1655">
        <f t="shared" si="330"/>
        <v>61</v>
      </c>
      <c r="BQ40" s="1655">
        <f t="shared" si="330"/>
        <v>61</v>
      </c>
      <c r="BR40" s="1655">
        <f t="shared" si="330"/>
        <v>61</v>
      </c>
      <c r="BS40" s="1655">
        <f t="shared" si="330"/>
        <v>61</v>
      </c>
      <c r="BT40" s="1655">
        <f t="shared" si="330"/>
        <v>61</v>
      </c>
      <c r="BU40" s="1655">
        <f t="shared" si="330"/>
        <v>61</v>
      </c>
      <c r="BV40" s="1655">
        <f t="shared" si="330"/>
        <v>61</v>
      </c>
      <c r="BW40" s="1655">
        <f t="shared" si="330"/>
        <v>61</v>
      </c>
      <c r="BX40" s="1655">
        <f t="shared" ref="BX40:DW40" si="331">IF(BW13&lt;=4.33,((BW43*BW17)+BW40*(1-BW21)),IF(BW13&lt;=(4.33*2),((BW42*BW17)+BW40*(1-BW21)),IF(BW13&gt;(4.33*2),((BW41*BW17)+BW40*(1-BW21)))))</f>
        <v>61</v>
      </c>
      <c r="BY40" s="1655">
        <f t="shared" si="331"/>
        <v>61</v>
      </c>
      <c r="BZ40" s="1655">
        <f t="shared" si="331"/>
        <v>61</v>
      </c>
      <c r="CA40" s="1655">
        <f t="shared" si="331"/>
        <v>61</v>
      </c>
      <c r="CB40" s="1655">
        <f t="shared" si="331"/>
        <v>61</v>
      </c>
      <c r="CC40" s="1655">
        <f t="shared" si="331"/>
        <v>61</v>
      </c>
      <c r="CD40" s="1655">
        <f t="shared" si="331"/>
        <v>61</v>
      </c>
      <c r="CE40" s="1655">
        <f t="shared" si="331"/>
        <v>61</v>
      </c>
      <c r="CF40" s="1655">
        <f t="shared" si="331"/>
        <v>61</v>
      </c>
      <c r="CG40" s="1655">
        <f t="shared" si="331"/>
        <v>61</v>
      </c>
      <c r="CH40" s="1655">
        <f t="shared" si="331"/>
        <v>61</v>
      </c>
      <c r="CI40" s="1655">
        <f t="shared" si="331"/>
        <v>61</v>
      </c>
      <c r="CJ40" s="1655">
        <f t="shared" si="331"/>
        <v>61</v>
      </c>
      <c r="CK40" s="1655">
        <f t="shared" si="331"/>
        <v>61</v>
      </c>
      <c r="CL40" s="1655">
        <f t="shared" si="331"/>
        <v>61</v>
      </c>
      <c r="CM40" s="1655">
        <f t="shared" si="331"/>
        <v>61</v>
      </c>
      <c r="CN40" s="1655">
        <f t="shared" si="331"/>
        <v>61</v>
      </c>
      <c r="CO40" s="1655">
        <f t="shared" si="331"/>
        <v>61</v>
      </c>
      <c r="CP40" s="1655">
        <f t="shared" si="331"/>
        <v>61</v>
      </c>
      <c r="CQ40" s="1655">
        <f t="shared" si="331"/>
        <v>61</v>
      </c>
      <c r="CR40" s="1655">
        <f t="shared" si="331"/>
        <v>61</v>
      </c>
      <c r="CS40" s="1655">
        <f t="shared" si="331"/>
        <v>61</v>
      </c>
      <c r="CT40" s="1655">
        <f t="shared" si="331"/>
        <v>61</v>
      </c>
      <c r="CU40" s="1655">
        <f t="shared" si="331"/>
        <v>61</v>
      </c>
      <c r="CV40" s="1655">
        <f t="shared" si="331"/>
        <v>61</v>
      </c>
      <c r="CW40" s="1655">
        <f t="shared" si="331"/>
        <v>61</v>
      </c>
      <c r="CX40" s="1655">
        <f t="shared" si="331"/>
        <v>61</v>
      </c>
      <c r="CY40" s="1655">
        <f t="shared" si="331"/>
        <v>61</v>
      </c>
      <c r="CZ40" s="1655">
        <f t="shared" si="331"/>
        <v>61</v>
      </c>
      <c r="DA40" s="1655">
        <f t="shared" si="331"/>
        <v>61</v>
      </c>
      <c r="DB40" s="1655">
        <f t="shared" si="331"/>
        <v>61</v>
      </c>
      <c r="DC40" s="1655">
        <f t="shared" si="331"/>
        <v>61</v>
      </c>
      <c r="DD40" s="1655">
        <f t="shared" si="331"/>
        <v>61</v>
      </c>
      <c r="DE40" s="1655">
        <f t="shared" si="331"/>
        <v>61</v>
      </c>
      <c r="DF40" s="1655">
        <f t="shared" si="331"/>
        <v>61</v>
      </c>
      <c r="DG40" s="1655">
        <f t="shared" si="331"/>
        <v>61</v>
      </c>
      <c r="DH40" s="1655">
        <f t="shared" si="331"/>
        <v>61</v>
      </c>
      <c r="DI40" s="1655">
        <f t="shared" si="331"/>
        <v>61</v>
      </c>
      <c r="DJ40" s="1655">
        <f t="shared" si="331"/>
        <v>61</v>
      </c>
      <c r="DK40" s="1655">
        <f t="shared" si="331"/>
        <v>61</v>
      </c>
      <c r="DL40" s="1655">
        <f t="shared" si="331"/>
        <v>61</v>
      </c>
      <c r="DM40" s="1655">
        <f t="shared" si="331"/>
        <v>61</v>
      </c>
      <c r="DN40" s="1655">
        <f t="shared" si="331"/>
        <v>61</v>
      </c>
      <c r="DO40" s="1655">
        <f t="shared" si="331"/>
        <v>61</v>
      </c>
      <c r="DP40" s="1655">
        <f t="shared" si="331"/>
        <v>61</v>
      </c>
      <c r="DQ40" s="1655">
        <f t="shared" si="331"/>
        <v>61</v>
      </c>
      <c r="DR40" s="1655">
        <f t="shared" si="331"/>
        <v>61</v>
      </c>
      <c r="DS40" s="1655">
        <f t="shared" si="331"/>
        <v>61</v>
      </c>
      <c r="DT40" s="1655">
        <f t="shared" si="331"/>
        <v>61</v>
      </c>
      <c r="DU40" s="1655">
        <f t="shared" si="331"/>
        <v>61</v>
      </c>
      <c r="DV40" s="1655">
        <f t="shared" si="331"/>
        <v>61</v>
      </c>
      <c r="DW40" s="1655">
        <f t="shared" si="331"/>
        <v>61</v>
      </c>
      <c r="DX40" s="1413">
        <f>DW40</f>
        <v>61</v>
      </c>
      <c r="DY40" s="1413">
        <f t="shared" ref="DY40:EB40" si="332">DX40</f>
        <v>61</v>
      </c>
      <c r="DZ40" s="1413">
        <f t="shared" si="332"/>
        <v>61</v>
      </c>
      <c r="EA40" s="1413">
        <f t="shared" si="332"/>
        <v>61</v>
      </c>
      <c r="EB40" s="1413">
        <f t="shared" si="332"/>
        <v>61</v>
      </c>
    </row>
    <row r="41" spans="3:132" x14ac:dyDescent="0.3">
      <c r="D41" s="1202" t="s">
        <v>675</v>
      </c>
      <c r="E41" s="69"/>
      <c r="F41" s="395"/>
      <c r="G41" s="1656"/>
      <c r="H41" s="1657"/>
      <c r="I41" s="1657">
        <f>IF(I13&gt;(4.33*2),H42*I18,0)</f>
        <v>0</v>
      </c>
      <c r="J41" s="1657">
        <f t="shared" ref="J41:BU41" si="333">IF(J13&gt;(4.33*2),I42*J18,0)</f>
        <v>0</v>
      </c>
      <c r="K41" s="1657">
        <f t="shared" si="333"/>
        <v>0</v>
      </c>
      <c r="L41" s="1657">
        <f t="shared" si="333"/>
        <v>0</v>
      </c>
      <c r="M41" s="1657">
        <f t="shared" si="333"/>
        <v>0</v>
      </c>
      <c r="N41" s="1657">
        <f t="shared" si="333"/>
        <v>0</v>
      </c>
      <c r="O41" s="1657">
        <f t="shared" si="333"/>
        <v>0</v>
      </c>
      <c r="P41" s="1657">
        <f t="shared" si="333"/>
        <v>0</v>
      </c>
      <c r="Q41" s="1657">
        <f t="shared" si="333"/>
        <v>0</v>
      </c>
      <c r="R41" s="1657">
        <f t="shared" si="333"/>
        <v>0</v>
      </c>
      <c r="S41" s="1657">
        <f t="shared" si="333"/>
        <v>0</v>
      </c>
      <c r="T41" s="1657">
        <f t="shared" si="333"/>
        <v>0</v>
      </c>
      <c r="U41" s="1657">
        <f t="shared" si="333"/>
        <v>0</v>
      </c>
      <c r="V41" s="1657">
        <f t="shared" si="333"/>
        <v>0</v>
      </c>
      <c r="W41" s="1657">
        <f t="shared" si="333"/>
        <v>0</v>
      </c>
      <c r="X41" s="1657">
        <f t="shared" si="333"/>
        <v>0</v>
      </c>
      <c r="Y41" s="1657">
        <f t="shared" si="333"/>
        <v>0</v>
      </c>
      <c r="Z41" s="1657">
        <f t="shared" si="333"/>
        <v>0</v>
      </c>
      <c r="AA41" s="1657">
        <f t="shared" si="333"/>
        <v>0</v>
      </c>
      <c r="AB41" s="1657">
        <f t="shared" si="333"/>
        <v>0</v>
      </c>
      <c r="AC41" s="1657">
        <f t="shared" si="333"/>
        <v>0</v>
      </c>
      <c r="AD41" s="1657">
        <f t="shared" si="333"/>
        <v>0</v>
      </c>
      <c r="AE41" s="1657">
        <f t="shared" si="333"/>
        <v>0</v>
      </c>
      <c r="AF41" s="1657">
        <f t="shared" si="333"/>
        <v>0</v>
      </c>
      <c r="AG41" s="1657">
        <f t="shared" si="333"/>
        <v>0</v>
      </c>
      <c r="AH41" s="1657">
        <f t="shared" si="333"/>
        <v>0</v>
      </c>
      <c r="AI41" s="1657">
        <f t="shared" si="333"/>
        <v>0</v>
      </c>
      <c r="AJ41" s="1657">
        <f t="shared" si="333"/>
        <v>0</v>
      </c>
      <c r="AK41" s="1657">
        <f t="shared" si="333"/>
        <v>0</v>
      </c>
      <c r="AL41" s="1657">
        <f t="shared" si="333"/>
        <v>0</v>
      </c>
      <c r="AM41" s="1657">
        <f t="shared" si="333"/>
        <v>0</v>
      </c>
      <c r="AN41" s="1657">
        <f t="shared" si="333"/>
        <v>0</v>
      </c>
      <c r="AO41" s="1657">
        <f t="shared" si="333"/>
        <v>0</v>
      </c>
      <c r="AP41" s="1657">
        <f t="shared" si="333"/>
        <v>0</v>
      </c>
      <c r="AQ41" s="1657">
        <f t="shared" si="333"/>
        <v>0</v>
      </c>
      <c r="AR41" s="1657">
        <f t="shared" si="333"/>
        <v>0</v>
      </c>
      <c r="AS41" s="1657">
        <f t="shared" si="333"/>
        <v>0</v>
      </c>
      <c r="AT41" s="1657">
        <f t="shared" si="333"/>
        <v>0</v>
      </c>
      <c r="AU41" s="1657">
        <f t="shared" si="333"/>
        <v>0</v>
      </c>
      <c r="AV41" s="1657">
        <f t="shared" si="333"/>
        <v>0</v>
      </c>
      <c r="AW41" s="1657">
        <f t="shared" si="333"/>
        <v>0</v>
      </c>
      <c r="AX41" s="1657">
        <f t="shared" si="333"/>
        <v>0</v>
      </c>
      <c r="AY41" s="1657">
        <f t="shared" si="333"/>
        <v>0</v>
      </c>
      <c r="AZ41" s="1657">
        <f t="shared" si="333"/>
        <v>0</v>
      </c>
      <c r="BA41" s="1657">
        <f t="shared" si="333"/>
        <v>0</v>
      </c>
      <c r="BB41" s="1657">
        <f t="shared" si="333"/>
        <v>0</v>
      </c>
      <c r="BC41" s="1657">
        <f t="shared" si="333"/>
        <v>0</v>
      </c>
      <c r="BD41" s="1657">
        <f t="shared" si="333"/>
        <v>0</v>
      </c>
      <c r="BE41" s="1657">
        <f t="shared" si="333"/>
        <v>0</v>
      </c>
      <c r="BF41" s="1657">
        <f t="shared" si="333"/>
        <v>0</v>
      </c>
      <c r="BG41" s="1657">
        <f t="shared" si="333"/>
        <v>0</v>
      </c>
      <c r="BH41" s="1657">
        <f t="shared" si="333"/>
        <v>0</v>
      </c>
      <c r="BI41" s="1657">
        <f t="shared" si="333"/>
        <v>0</v>
      </c>
      <c r="BJ41" s="1657">
        <f t="shared" si="333"/>
        <v>0</v>
      </c>
      <c r="BK41" s="1657">
        <f t="shared" si="333"/>
        <v>0</v>
      </c>
      <c r="BL41" s="1657">
        <f t="shared" si="333"/>
        <v>0</v>
      </c>
      <c r="BM41" s="1657">
        <f t="shared" si="333"/>
        <v>0</v>
      </c>
      <c r="BN41" s="1657">
        <f t="shared" si="333"/>
        <v>0</v>
      </c>
      <c r="BO41" s="1657">
        <f t="shared" si="333"/>
        <v>0</v>
      </c>
      <c r="BP41" s="1657">
        <f t="shared" si="333"/>
        <v>0</v>
      </c>
      <c r="BQ41" s="1657">
        <f t="shared" si="333"/>
        <v>0</v>
      </c>
      <c r="BR41" s="1657">
        <f t="shared" si="333"/>
        <v>0</v>
      </c>
      <c r="BS41" s="1657">
        <f t="shared" si="333"/>
        <v>0</v>
      </c>
      <c r="BT41" s="1657">
        <f t="shared" si="333"/>
        <v>0</v>
      </c>
      <c r="BU41" s="1657">
        <f t="shared" si="333"/>
        <v>0</v>
      </c>
      <c r="BV41" s="1657">
        <f t="shared" ref="BV41:DW41" si="334">IF(BV13&gt;(4.33*2),BU42*BV18,0)</f>
        <v>0</v>
      </c>
      <c r="BW41" s="1657">
        <f t="shared" si="334"/>
        <v>0</v>
      </c>
      <c r="BX41" s="1657">
        <f t="shared" si="334"/>
        <v>0</v>
      </c>
      <c r="BY41" s="1657">
        <f t="shared" si="334"/>
        <v>0</v>
      </c>
      <c r="BZ41" s="1657">
        <f t="shared" si="334"/>
        <v>0</v>
      </c>
      <c r="CA41" s="1657">
        <f t="shared" si="334"/>
        <v>0</v>
      </c>
      <c r="CB41" s="1657">
        <f t="shared" si="334"/>
        <v>0</v>
      </c>
      <c r="CC41" s="1657">
        <f t="shared" si="334"/>
        <v>0</v>
      </c>
      <c r="CD41" s="1657">
        <f t="shared" si="334"/>
        <v>0</v>
      </c>
      <c r="CE41" s="1657">
        <f t="shared" si="334"/>
        <v>0</v>
      </c>
      <c r="CF41" s="1657">
        <f t="shared" si="334"/>
        <v>0</v>
      </c>
      <c r="CG41" s="1657">
        <f t="shared" si="334"/>
        <v>0</v>
      </c>
      <c r="CH41" s="1657">
        <f t="shared" si="334"/>
        <v>0</v>
      </c>
      <c r="CI41" s="1657">
        <f t="shared" si="334"/>
        <v>0</v>
      </c>
      <c r="CJ41" s="1657">
        <f t="shared" si="334"/>
        <v>0</v>
      </c>
      <c r="CK41" s="1657">
        <f t="shared" si="334"/>
        <v>0</v>
      </c>
      <c r="CL41" s="1657">
        <f t="shared" si="334"/>
        <v>0</v>
      </c>
      <c r="CM41" s="1657">
        <f t="shared" si="334"/>
        <v>0</v>
      </c>
      <c r="CN41" s="1657">
        <f t="shared" si="334"/>
        <v>0</v>
      </c>
      <c r="CO41" s="1657">
        <f t="shared" si="334"/>
        <v>0</v>
      </c>
      <c r="CP41" s="1657">
        <f t="shared" si="334"/>
        <v>0</v>
      </c>
      <c r="CQ41" s="1657">
        <f t="shared" si="334"/>
        <v>0</v>
      </c>
      <c r="CR41" s="1657">
        <f t="shared" si="334"/>
        <v>0</v>
      </c>
      <c r="CS41" s="1657">
        <f t="shared" si="334"/>
        <v>0</v>
      </c>
      <c r="CT41" s="1657">
        <f t="shared" si="334"/>
        <v>0</v>
      </c>
      <c r="CU41" s="1657">
        <f t="shared" si="334"/>
        <v>0</v>
      </c>
      <c r="CV41" s="1657">
        <f t="shared" si="334"/>
        <v>0</v>
      </c>
      <c r="CW41" s="1657">
        <f t="shared" si="334"/>
        <v>0</v>
      </c>
      <c r="CX41" s="1657">
        <f t="shared" si="334"/>
        <v>0</v>
      </c>
      <c r="CY41" s="1657">
        <f t="shared" si="334"/>
        <v>0</v>
      </c>
      <c r="CZ41" s="1657">
        <f t="shared" si="334"/>
        <v>0</v>
      </c>
      <c r="DA41" s="1657">
        <f t="shared" si="334"/>
        <v>0</v>
      </c>
      <c r="DB41" s="1657">
        <f t="shared" si="334"/>
        <v>0</v>
      </c>
      <c r="DC41" s="1657">
        <f t="shared" si="334"/>
        <v>0</v>
      </c>
      <c r="DD41" s="1657">
        <f t="shared" si="334"/>
        <v>0</v>
      </c>
      <c r="DE41" s="1657">
        <f t="shared" si="334"/>
        <v>0</v>
      </c>
      <c r="DF41" s="1657">
        <f t="shared" si="334"/>
        <v>0</v>
      </c>
      <c r="DG41" s="1657">
        <f t="shared" si="334"/>
        <v>0</v>
      </c>
      <c r="DH41" s="1657">
        <f t="shared" si="334"/>
        <v>0</v>
      </c>
      <c r="DI41" s="1657">
        <f t="shared" si="334"/>
        <v>0</v>
      </c>
      <c r="DJ41" s="1657">
        <f t="shared" si="334"/>
        <v>0</v>
      </c>
      <c r="DK41" s="1657">
        <f t="shared" si="334"/>
        <v>0</v>
      </c>
      <c r="DL41" s="1657">
        <f t="shared" si="334"/>
        <v>0</v>
      </c>
      <c r="DM41" s="1657">
        <f t="shared" si="334"/>
        <v>0</v>
      </c>
      <c r="DN41" s="1657">
        <f t="shared" si="334"/>
        <v>0</v>
      </c>
      <c r="DO41" s="1657">
        <f t="shared" si="334"/>
        <v>0</v>
      </c>
      <c r="DP41" s="1657">
        <f t="shared" si="334"/>
        <v>0</v>
      </c>
      <c r="DQ41" s="1657">
        <f t="shared" si="334"/>
        <v>0</v>
      </c>
      <c r="DR41" s="1657">
        <f t="shared" si="334"/>
        <v>0</v>
      </c>
      <c r="DS41" s="1657">
        <f t="shared" si="334"/>
        <v>0</v>
      </c>
      <c r="DT41" s="1657">
        <f t="shared" si="334"/>
        <v>0</v>
      </c>
      <c r="DU41" s="1657">
        <f t="shared" si="334"/>
        <v>0</v>
      </c>
      <c r="DV41" s="1657">
        <f t="shared" si="334"/>
        <v>0</v>
      </c>
      <c r="DW41" s="1657">
        <f t="shared" si="334"/>
        <v>0</v>
      </c>
    </row>
    <row r="42" spans="3:132" x14ac:dyDescent="0.3">
      <c r="D42" s="1202" t="s">
        <v>676</v>
      </c>
      <c r="E42" s="69"/>
      <c r="F42" s="395"/>
      <c r="G42" s="1656">
        <f t="shared" ref="G42:BS42" si="335">IF(G13&gt;4.33,F43*G18,0)</f>
        <v>0</v>
      </c>
      <c r="H42" s="1657">
        <f t="shared" si="335"/>
        <v>0</v>
      </c>
      <c r="I42" s="1657">
        <f t="shared" si="335"/>
        <v>0</v>
      </c>
      <c r="J42" s="1657">
        <f t="shared" si="335"/>
        <v>0</v>
      </c>
      <c r="K42" s="1657">
        <f t="shared" si="335"/>
        <v>0</v>
      </c>
      <c r="L42" s="1657">
        <f t="shared" si="335"/>
        <v>0</v>
      </c>
      <c r="M42" s="1657">
        <f t="shared" si="335"/>
        <v>0</v>
      </c>
      <c r="N42" s="1657">
        <f t="shared" si="335"/>
        <v>0</v>
      </c>
      <c r="O42" s="1657">
        <f t="shared" si="335"/>
        <v>0</v>
      </c>
      <c r="P42" s="1657">
        <f t="shared" si="335"/>
        <v>0</v>
      </c>
      <c r="Q42" s="1657">
        <f t="shared" si="335"/>
        <v>0</v>
      </c>
      <c r="R42" s="1657">
        <f t="shared" si="335"/>
        <v>0</v>
      </c>
      <c r="S42" s="1657">
        <f t="shared" si="335"/>
        <v>0</v>
      </c>
      <c r="T42" s="1657">
        <f t="shared" si="335"/>
        <v>0</v>
      </c>
      <c r="U42" s="1657">
        <f t="shared" si="335"/>
        <v>0</v>
      </c>
      <c r="V42" s="1657">
        <f t="shared" si="335"/>
        <v>0</v>
      </c>
      <c r="W42" s="1657">
        <f t="shared" si="335"/>
        <v>0</v>
      </c>
      <c r="X42" s="1657">
        <f t="shared" si="335"/>
        <v>0</v>
      </c>
      <c r="Y42" s="1657">
        <f t="shared" si="335"/>
        <v>0</v>
      </c>
      <c r="Z42" s="1657">
        <f t="shared" si="335"/>
        <v>0</v>
      </c>
      <c r="AA42" s="1657">
        <f t="shared" si="335"/>
        <v>0</v>
      </c>
      <c r="AB42" s="1657">
        <f t="shared" si="335"/>
        <v>0</v>
      </c>
      <c r="AC42" s="1657">
        <f t="shared" si="335"/>
        <v>0</v>
      </c>
      <c r="AD42" s="1657">
        <f t="shared" si="335"/>
        <v>0</v>
      </c>
      <c r="AE42" s="1657">
        <f t="shared" si="335"/>
        <v>0</v>
      </c>
      <c r="AF42" s="1657">
        <f t="shared" si="335"/>
        <v>0</v>
      </c>
      <c r="AG42" s="1657">
        <f t="shared" si="335"/>
        <v>0</v>
      </c>
      <c r="AH42" s="1657">
        <f t="shared" si="335"/>
        <v>0</v>
      </c>
      <c r="AI42" s="1657">
        <f t="shared" si="335"/>
        <v>0</v>
      </c>
      <c r="AJ42" s="1657">
        <f t="shared" si="335"/>
        <v>0</v>
      </c>
      <c r="AK42" s="1657">
        <f t="shared" si="335"/>
        <v>0</v>
      </c>
      <c r="AL42" s="1657">
        <f t="shared" si="335"/>
        <v>0</v>
      </c>
      <c r="AM42" s="1657">
        <f t="shared" si="335"/>
        <v>0</v>
      </c>
      <c r="AN42" s="1657">
        <f t="shared" si="335"/>
        <v>0</v>
      </c>
      <c r="AO42" s="1657">
        <f t="shared" si="335"/>
        <v>0</v>
      </c>
      <c r="AP42" s="1657">
        <f t="shared" si="335"/>
        <v>0</v>
      </c>
      <c r="AQ42" s="1657">
        <f t="shared" si="335"/>
        <v>0</v>
      </c>
      <c r="AR42" s="1657">
        <f t="shared" si="335"/>
        <v>0</v>
      </c>
      <c r="AS42" s="1657">
        <f t="shared" si="335"/>
        <v>0</v>
      </c>
      <c r="AT42" s="1657">
        <f t="shared" si="335"/>
        <v>0</v>
      </c>
      <c r="AU42" s="1657">
        <f t="shared" si="335"/>
        <v>0</v>
      </c>
      <c r="AV42" s="1657">
        <f t="shared" si="335"/>
        <v>0</v>
      </c>
      <c r="AW42" s="1657">
        <f t="shared" si="335"/>
        <v>0</v>
      </c>
      <c r="AX42" s="1657">
        <f t="shared" si="335"/>
        <v>0</v>
      </c>
      <c r="AY42" s="1657">
        <f t="shared" si="335"/>
        <v>0</v>
      </c>
      <c r="AZ42" s="1657">
        <f t="shared" si="335"/>
        <v>0</v>
      </c>
      <c r="BA42" s="1657">
        <f t="shared" si="335"/>
        <v>0</v>
      </c>
      <c r="BB42" s="1657">
        <f t="shared" si="335"/>
        <v>0</v>
      </c>
      <c r="BC42" s="1657">
        <f t="shared" si="335"/>
        <v>0</v>
      </c>
      <c r="BD42" s="1657">
        <f t="shared" si="335"/>
        <v>0</v>
      </c>
      <c r="BE42" s="1657">
        <f t="shared" si="335"/>
        <v>0</v>
      </c>
      <c r="BF42" s="1657">
        <f t="shared" si="335"/>
        <v>0</v>
      </c>
      <c r="BG42" s="1657">
        <f t="shared" si="335"/>
        <v>0</v>
      </c>
      <c r="BH42" s="1657">
        <f t="shared" si="335"/>
        <v>0</v>
      </c>
      <c r="BI42" s="1657">
        <f t="shared" si="335"/>
        <v>0</v>
      </c>
      <c r="BJ42" s="1657">
        <f t="shared" si="335"/>
        <v>0</v>
      </c>
      <c r="BK42" s="1657">
        <f t="shared" si="335"/>
        <v>0</v>
      </c>
      <c r="BL42" s="1657">
        <f t="shared" si="335"/>
        <v>0</v>
      </c>
      <c r="BM42" s="1657">
        <f t="shared" si="335"/>
        <v>0</v>
      </c>
      <c r="BN42" s="1657">
        <f t="shared" si="335"/>
        <v>0</v>
      </c>
      <c r="BO42" s="1657">
        <f t="shared" si="335"/>
        <v>0</v>
      </c>
      <c r="BP42" s="1657">
        <f t="shared" si="335"/>
        <v>0</v>
      </c>
      <c r="BQ42" s="1657">
        <f t="shared" si="335"/>
        <v>0</v>
      </c>
      <c r="BR42" s="1657">
        <f t="shared" si="335"/>
        <v>0</v>
      </c>
      <c r="BS42" s="1657">
        <f t="shared" si="335"/>
        <v>0</v>
      </c>
      <c r="BT42" s="1657">
        <f t="shared" ref="BT42:DW42" si="336">IF(BT13&gt;4.33,BS43*BT18,0)</f>
        <v>0</v>
      </c>
      <c r="BU42" s="1657">
        <f t="shared" si="336"/>
        <v>0</v>
      </c>
      <c r="BV42" s="1657">
        <f t="shared" si="336"/>
        <v>0</v>
      </c>
      <c r="BW42" s="1657">
        <f t="shared" si="336"/>
        <v>0</v>
      </c>
      <c r="BX42" s="1657">
        <f t="shared" si="336"/>
        <v>0</v>
      </c>
      <c r="BY42" s="1657">
        <f t="shared" si="336"/>
        <v>0</v>
      </c>
      <c r="BZ42" s="1657">
        <f t="shared" si="336"/>
        <v>0</v>
      </c>
      <c r="CA42" s="1657">
        <f t="shared" si="336"/>
        <v>0</v>
      </c>
      <c r="CB42" s="1657">
        <f t="shared" si="336"/>
        <v>0</v>
      </c>
      <c r="CC42" s="1657">
        <f t="shared" si="336"/>
        <v>0</v>
      </c>
      <c r="CD42" s="1657">
        <f t="shared" si="336"/>
        <v>0</v>
      </c>
      <c r="CE42" s="1657">
        <f t="shared" si="336"/>
        <v>0</v>
      </c>
      <c r="CF42" s="1657">
        <f t="shared" si="336"/>
        <v>0</v>
      </c>
      <c r="CG42" s="1657">
        <f t="shared" si="336"/>
        <v>0</v>
      </c>
      <c r="CH42" s="1657">
        <f t="shared" si="336"/>
        <v>0</v>
      </c>
      <c r="CI42" s="1657">
        <f t="shared" si="336"/>
        <v>0</v>
      </c>
      <c r="CJ42" s="1657">
        <f t="shared" si="336"/>
        <v>0</v>
      </c>
      <c r="CK42" s="1657">
        <f t="shared" si="336"/>
        <v>0</v>
      </c>
      <c r="CL42" s="1657">
        <f t="shared" si="336"/>
        <v>0</v>
      </c>
      <c r="CM42" s="1657">
        <f t="shared" si="336"/>
        <v>0</v>
      </c>
      <c r="CN42" s="1657">
        <f t="shared" si="336"/>
        <v>0</v>
      </c>
      <c r="CO42" s="1657">
        <f t="shared" si="336"/>
        <v>0</v>
      </c>
      <c r="CP42" s="1657">
        <f t="shared" si="336"/>
        <v>0</v>
      </c>
      <c r="CQ42" s="1657">
        <f t="shared" si="336"/>
        <v>0</v>
      </c>
      <c r="CR42" s="1657">
        <f t="shared" si="336"/>
        <v>0</v>
      </c>
      <c r="CS42" s="1657">
        <f t="shared" si="336"/>
        <v>0</v>
      </c>
      <c r="CT42" s="1657">
        <f t="shared" si="336"/>
        <v>0</v>
      </c>
      <c r="CU42" s="1657">
        <f t="shared" si="336"/>
        <v>0</v>
      </c>
      <c r="CV42" s="1657">
        <f t="shared" si="336"/>
        <v>0</v>
      </c>
      <c r="CW42" s="1657">
        <f t="shared" si="336"/>
        <v>0</v>
      </c>
      <c r="CX42" s="1657">
        <f t="shared" si="336"/>
        <v>0</v>
      </c>
      <c r="CY42" s="1657">
        <f t="shared" si="336"/>
        <v>0</v>
      </c>
      <c r="CZ42" s="1657">
        <f t="shared" si="336"/>
        <v>0</v>
      </c>
      <c r="DA42" s="1657">
        <f t="shared" si="336"/>
        <v>0</v>
      </c>
      <c r="DB42" s="1657">
        <f t="shared" si="336"/>
        <v>0</v>
      </c>
      <c r="DC42" s="1657">
        <f t="shared" si="336"/>
        <v>0</v>
      </c>
      <c r="DD42" s="1657">
        <f t="shared" si="336"/>
        <v>0</v>
      </c>
      <c r="DE42" s="1657">
        <f t="shared" si="336"/>
        <v>0</v>
      </c>
      <c r="DF42" s="1657">
        <f t="shared" si="336"/>
        <v>0</v>
      </c>
      <c r="DG42" s="1657">
        <f t="shared" si="336"/>
        <v>0</v>
      </c>
      <c r="DH42" s="1657">
        <f t="shared" si="336"/>
        <v>0</v>
      </c>
      <c r="DI42" s="1657">
        <f t="shared" si="336"/>
        <v>0</v>
      </c>
      <c r="DJ42" s="1657">
        <f t="shared" si="336"/>
        <v>0</v>
      </c>
      <c r="DK42" s="1657">
        <f t="shared" si="336"/>
        <v>0</v>
      </c>
      <c r="DL42" s="1657">
        <f t="shared" si="336"/>
        <v>0</v>
      </c>
      <c r="DM42" s="1657">
        <f t="shared" si="336"/>
        <v>0</v>
      </c>
      <c r="DN42" s="1657">
        <f t="shared" si="336"/>
        <v>0</v>
      </c>
      <c r="DO42" s="1657">
        <f t="shared" si="336"/>
        <v>0</v>
      </c>
      <c r="DP42" s="1657">
        <f t="shared" si="336"/>
        <v>0</v>
      </c>
      <c r="DQ42" s="1657">
        <f t="shared" si="336"/>
        <v>0</v>
      </c>
      <c r="DR42" s="1657">
        <f t="shared" si="336"/>
        <v>0</v>
      </c>
      <c r="DS42" s="1657">
        <f t="shared" si="336"/>
        <v>0</v>
      </c>
      <c r="DT42" s="1657">
        <f t="shared" si="336"/>
        <v>0</v>
      </c>
      <c r="DU42" s="1657">
        <f t="shared" si="336"/>
        <v>0</v>
      </c>
      <c r="DV42" s="1657">
        <f t="shared" si="336"/>
        <v>0</v>
      </c>
      <c r="DW42" s="1657">
        <f t="shared" si="336"/>
        <v>0</v>
      </c>
    </row>
    <row r="43" spans="3:132" x14ac:dyDescent="0.3">
      <c r="C43" s="128">
        <v>100</v>
      </c>
      <c r="D43" s="1202" t="s">
        <v>677</v>
      </c>
      <c r="E43" s="69"/>
      <c r="F43" s="395"/>
      <c r="G43" s="1656">
        <f>IF(G13&lt;=4.33,(IF(MIN($C$43,(H12-((G40*(1-G21))))/H17)&lt;0,0,MIN($C$43,(H12-((G40*(1-G21))))/H17))),IF(G13&lt;=(4.33*2),(IF(MIN($C$43,(I12-((H40*(1-H21))))/I17)&lt;0,0,MIN($C$43,(I12-((H40*(1-H21))))/I17))),(IF(MIN($C$43,(J12-((I40*(1-I21))))/J17)&lt;0,0,MIN($C$43,(J12-((I40*(1-I21))))/J17)))))</f>
        <v>67.777777777777771</v>
      </c>
      <c r="H43" s="1657">
        <f t="shared" ref="H43:BS43" si="337">IF(H13&lt;=4.33,(IF(MIN($C$43,(I12-((H40*(1-H21))))/I17)&lt;0,0,MIN($C$43,(I12-((H40*(1-H21))))/I17))),IF(H13&lt;=(4.33*2),(IF(MIN($C$43,(J12-((I40*(1-I21))))/J17)&lt;0,0,MIN($C$43,(J12-((I40*(1-I21))))/J17))),(IF(MIN($C$43,(K12-((J40*(1-J21))))/K17)&lt;0,0,MIN($C$43,(K12-((J40*(1-J21))))/K17)))))</f>
        <v>3.7277777777777898</v>
      </c>
      <c r="I43" s="1657">
        <f t="shared" si="337"/>
        <v>3.7277777777777823</v>
      </c>
      <c r="J43" s="1657">
        <f>IF(J13&lt;=4.33,(IF(MIN($C$43,(K12-((J40*(1-J21))))/K17)&lt;0,0,MIN($C$43,(K12-((J40*(1-J21))))/K17))),IF(AND(J13&lt;=(4.33*2),J13&gt;4.33),(IF(MIN($C$43,(L12-((K40*(1-K21))))/L17)&lt;0,0,MIN($C$43,(L12-((K40*(1-K21))))/L17))),0))</f>
        <v>3.7277777777777823</v>
      </c>
      <c r="K43" s="1657">
        <f t="shared" si="337"/>
        <v>3.7277777777777823</v>
      </c>
      <c r="L43" s="1657">
        <f t="shared" si="337"/>
        <v>3.0500000000000052</v>
      </c>
      <c r="M43" s="1657">
        <f t="shared" si="337"/>
        <v>3.0500000000000052</v>
      </c>
      <c r="N43" s="1657">
        <f t="shared" si="337"/>
        <v>3.0500000000000052</v>
      </c>
      <c r="O43" s="1657">
        <f t="shared" si="337"/>
        <v>3.0500000000000052</v>
      </c>
      <c r="P43" s="1657">
        <f t="shared" si="337"/>
        <v>3.0500000000000052</v>
      </c>
      <c r="Q43" s="1657">
        <f t="shared" si="337"/>
        <v>3.0500000000000052</v>
      </c>
      <c r="R43" s="1657">
        <f t="shared" si="337"/>
        <v>2.7111111111111166</v>
      </c>
      <c r="S43" s="1657">
        <f t="shared" si="337"/>
        <v>2.7111111111111166</v>
      </c>
      <c r="T43" s="1657">
        <f t="shared" si="337"/>
        <v>2.7111111111111166</v>
      </c>
      <c r="U43" s="1657">
        <f t="shared" si="337"/>
        <v>2.7111111111111166</v>
      </c>
      <c r="V43" s="1657">
        <f t="shared" si="337"/>
        <v>2.7111111111111166</v>
      </c>
      <c r="W43" s="1657">
        <f t="shared" si="337"/>
        <v>2.7111111111111166</v>
      </c>
      <c r="X43" s="1657">
        <f t="shared" si="337"/>
        <v>2.7111111111111166</v>
      </c>
      <c r="Y43" s="1657">
        <f t="shared" si="337"/>
        <v>2.7111111111111166</v>
      </c>
      <c r="Z43" s="1657">
        <f t="shared" si="337"/>
        <v>2.7111111111111166</v>
      </c>
      <c r="AA43" s="1657">
        <f t="shared" si="337"/>
        <v>2.7111111111111166</v>
      </c>
      <c r="AB43" s="1657">
        <f t="shared" si="337"/>
        <v>2.7111111111111166</v>
      </c>
      <c r="AC43" s="1657">
        <f t="shared" si="337"/>
        <v>2.7111111111111166</v>
      </c>
      <c r="AD43" s="1657">
        <f t="shared" si="337"/>
        <v>2.7111111111111166</v>
      </c>
      <c r="AE43" s="1657">
        <f t="shared" si="337"/>
        <v>2.7111111111111166</v>
      </c>
      <c r="AF43" s="1657">
        <f t="shared" si="337"/>
        <v>2.7111111111111166</v>
      </c>
      <c r="AG43" s="1657">
        <f t="shared" si="337"/>
        <v>2.7111111111111166</v>
      </c>
      <c r="AH43" s="1657">
        <f t="shared" si="337"/>
        <v>2.7111111111111166</v>
      </c>
      <c r="AI43" s="1657">
        <f t="shared" si="337"/>
        <v>2.7111111111111166</v>
      </c>
      <c r="AJ43" s="1657">
        <f t="shared" si="337"/>
        <v>2.7111111111111166</v>
      </c>
      <c r="AK43" s="1657">
        <f t="shared" si="337"/>
        <v>2.7111111111111166</v>
      </c>
      <c r="AL43" s="1657">
        <f t="shared" si="337"/>
        <v>2.7111111111111166</v>
      </c>
      <c r="AM43" s="1657">
        <f t="shared" si="337"/>
        <v>2.7111111111111166</v>
      </c>
      <c r="AN43" s="1657">
        <f t="shared" si="337"/>
        <v>2.7111111111111166</v>
      </c>
      <c r="AO43" s="1657">
        <f t="shared" si="337"/>
        <v>2.7111111111111166</v>
      </c>
      <c r="AP43" s="1657">
        <f t="shared" si="337"/>
        <v>2.7111111111111166</v>
      </c>
      <c r="AQ43" s="1657">
        <f t="shared" si="337"/>
        <v>2.7111111111111166</v>
      </c>
      <c r="AR43" s="1657">
        <f t="shared" si="337"/>
        <v>2.7111111111111166</v>
      </c>
      <c r="AS43" s="1657">
        <f t="shared" si="337"/>
        <v>2.7111111111111166</v>
      </c>
      <c r="AT43" s="1657">
        <f t="shared" si="337"/>
        <v>2.7111111111111166</v>
      </c>
      <c r="AU43" s="1657">
        <f t="shared" si="337"/>
        <v>2.7111111111111166</v>
      </c>
      <c r="AV43" s="1657">
        <f t="shared" si="337"/>
        <v>2.7111111111111166</v>
      </c>
      <c r="AW43" s="1657">
        <f t="shared" si="337"/>
        <v>2.7111111111111166</v>
      </c>
      <c r="AX43" s="1657">
        <f t="shared" si="337"/>
        <v>2.7111111111111166</v>
      </c>
      <c r="AY43" s="1657">
        <f t="shared" si="337"/>
        <v>2.7111111111111166</v>
      </c>
      <c r="AZ43" s="1657">
        <f t="shared" si="337"/>
        <v>2.7111111111111166</v>
      </c>
      <c r="BA43" s="1657">
        <f t="shared" si="337"/>
        <v>2.7111111111111166</v>
      </c>
      <c r="BB43" s="1657">
        <f t="shared" si="337"/>
        <v>2.7111111111111166</v>
      </c>
      <c r="BC43" s="1657">
        <f t="shared" si="337"/>
        <v>2.7111111111111166</v>
      </c>
      <c r="BD43" s="1657">
        <f t="shared" si="337"/>
        <v>2.7111111111111166</v>
      </c>
      <c r="BE43" s="1657">
        <f t="shared" si="337"/>
        <v>2.7111111111111166</v>
      </c>
      <c r="BF43" s="1657">
        <f t="shared" si="337"/>
        <v>2.7111111111111166</v>
      </c>
      <c r="BG43" s="1657">
        <f t="shared" si="337"/>
        <v>2.7111111111111166</v>
      </c>
      <c r="BH43" s="1657">
        <f t="shared" si="337"/>
        <v>2.7111111111111166</v>
      </c>
      <c r="BI43" s="1657">
        <f t="shared" si="337"/>
        <v>2.7111111111111166</v>
      </c>
      <c r="BJ43" s="1657">
        <f t="shared" si="337"/>
        <v>2.7111111111111166</v>
      </c>
      <c r="BK43" s="1657">
        <f t="shared" si="337"/>
        <v>2.7111111111111166</v>
      </c>
      <c r="BL43" s="1657">
        <f t="shared" si="337"/>
        <v>2.7111111111111166</v>
      </c>
      <c r="BM43" s="1657">
        <f t="shared" si="337"/>
        <v>2.7111111111111166</v>
      </c>
      <c r="BN43" s="1657">
        <f t="shared" si="337"/>
        <v>2.7111111111111166</v>
      </c>
      <c r="BO43" s="1657">
        <f t="shared" si="337"/>
        <v>2.7111111111111166</v>
      </c>
      <c r="BP43" s="1657">
        <f t="shared" si="337"/>
        <v>2.7111111111111166</v>
      </c>
      <c r="BQ43" s="1657">
        <f t="shared" si="337"/>
        <v>2.7111111111111166</v>
      </c>
      <c r="BR43" s="1657">
        <f t="shared" si="337"/>
        <v>2.7111111111111166</v>
      </c>
      <c r="BS43" s="1657">
        <f t="shared" si="337"/>
        <v>2.7111111111111166</v>
      </c>
      <c r="BT43" s="1657">
        <f t="shared" ref="BT43:DW43" si="338">IF(BT13&lt;=4.33,(IF(MIN($C$43,(BU12-((BT40*(1-BT21))))/BU17)&lt;0,0,MIN($C$43,(BU12-((BT40*(1-BT21))))/BU17))),IF(BT13&lt;=(4.33*2),(IF(MIN($C$43,(BV12-((BU40*(1-BU21))))/BV17)&lt;0,0,MIN($C$43,(BV12-((BU40*(1-BU21))))/BV17))),(IF(MIN($C$43,(BW12-((BV40*(1-BV21))))/BW17)&lt;0,0,MIN($C$43,(BW12-((BV40*(1-BV21))))/BW17)))))</f>
        <v>2.7111111111111166</v>
      </c>
      <c r="BU43" s="1657">
        <f t="shared" si="338"/>
        <v>2.7111111111111166</v>
      </c>
      <c r="BV43" s="1657">
        <f t="shared" si="338"/>
        <v>2.7111111111111166</v>
      </c>
      <c r="BW43" s="1657">
        <f t="shared" si="338"/>
        <v>2.7111111111111166</v>
      </c>
      <c r="BX43" s="1657">
        <f t="shared" si="338"/>
        <v>2.7111111111111166</v>
      </c>
      <c r="BY43" s="1657">
        <f t="shared" si="338"/>
        <v>2.7111111111111166</v>
      </c>
      <c r="BZ43" s="1657">
        <f t="shared" si="338"/>
        <v>2.7111111111111166</v>
      </c>
      <c r="CA43" s="1657">
        <f t="shared" si="338"/>
        <v>2.7111111111111166</v>
      </c>
      <c r="CB43" s="1657">
        <f t="shared" si="338"/>
        <v>2.7111111111111166</v>
      </c>
      <c r="CC43" s="1657">
        <f t="shared" si="338"/>
        <v>2.7111111111111166</v>
      </c>
      <c r="CD43" s="1657">
        <f t="shared" si="338"/>
        <v>2.7111111111111166</v>
      </c>
      <c r="CE43" s="1657">
        <f t="shared" si="338"/>
        <v>2.7111111111111166</v>
      </c>
      <c r="CF43" s="1657">
        <f t="shared" si="338"/>
        <v>2.7111111111111166</v>
      </c>
      <c r="CG43" s="1657">
        <f t="shared" si="338"/>
        <v>2.7111111111111166</v>
      </c>
      <c r="CH43" s="1657">
        <f t="shared" si="338"/>
        <v>2.7111111111111166</v>
      </c>
      <c r="CI43" s="1657">
        <f t="shared" si="338"/>
        <v>2.7111111111111166</v>
      </c>
      <c r="CJ43" s="1657">
        <f t="shared" si="338"/>
        <v>2.7111111111111166</v>
      </c>
      <c r="CK43" s="1657">
        <f t="shared" si="338"/>
        <v>2.7111111111111166</v>
      </c>
      <c r="CL43" s="1657">
        <f t="shared" si="338"/>
        <v>2.7111111111111166</v>
      </c>
      <c r="CM43" s="1657">
        <f t="shared" si="338"/>
        <v>2.7111111111111166</v>
      </c>
      <c r="CN43" s="1657">
        <f t="shared" si="338"/>
        <v>2.7111111111111166</v>
      </c>
      <c r="CO43" s="1657">
        <f t="shared" si="338"/>
        <v>2.7111111111111166</v>
      </c>
      <c r="CP43" s="1657">
        <f t="shared" si="338"/>
        <v>2.7111111111111166</v>
      </c>
      <c r="CQ43" s="1657">
        <f t="shared" si="338"/>
        <v>2.7111111111111166</v>
      </c>
      <c r="CR43" s="1657">
        <f t="shared" si="338"/>
        <v>2.7111111111111166</v>
      </c>
      <c r="CS43" s="1657">
        <f t="shared" si="338"/>
        <v>2.7111111111111166</v>
      </c>
      <c r="CT43" s="1657">
        <f t="shared" si="338"/>
        <v>2.7111111111111166</v>
      </c>
      <c r="CU43" s="1657">
        <f t="shared" si="338"/>
        <v>2.7111111111111166</v>
      </c>
      <c r="CV43" s="1657">
        <f t="shared" si="338"/>
        <v>2.7111111111111166</v>
      </c>
      <c r="CW43" s="1657">
        <f t="shared" si="338"/>
        <v>2.7111111111111166</v>
      </c>
      <c r="CX43" s="1657">
        <f t="shared" si="338"/>
        <v>2.7111111111111166</v>
      </c>
      <c r="CY43" s="1657">
        <f t="shared" si="338"/>
        <v>2.7111111111111166</v>
      </c>
      <c r="CZ43" s="1657">
        <f t="shared" si="338"/>
        <v>2.7111111111111166</v>
      </c>
      <c r="DA43" s="1657">
        <f t="shared" si="338"/>
        <v>2.7111111111111166</v>
      </c>
      <c r="DB43" s="1657">
        <f t="shared" si="338"/>
        <v>2.7111111111111166</v>
      </c>
      <c r="DC43" s="1657">
        <f t="shared" si="338"/>
        <v>2.7111111111111166</v>
      </c>
      <c r="DD43" s="1657">
        <f t="shared" si="338"/>
        <v>2.7111111111111166</v>
      </c>
      <c r="DE43" s="1657">
        <f t="shared" si="338"/>
        <v>2.7111111111111166</v>
      </c>
      <c r="DF43" s="1657">
        <f t="shared" si="338"/>
        <v>2.7111111111111166</v>
      </c>
      <c r="DG43" s="1657">
        <f t="shared" si="338"/>
        <v>2.7111111111111166</v>
      </c>
      <c r="DH43" s="1657">
        <f t="shared" si="338"/>
        <v>2.7111111111111166</v>
      </c>
      <c r="DI43" s="1657">
        <f t="shared" si="338"/>
        <v>2.7111111111111166</v>
      </c>
      <c r="DJ43" s="1657">
        <f t="shared" si="338"/>
        <v>2.7111111111111166</v>
      </c>
      <c r="DK43" s="1657">
        <f t="shared" si="338"/>
        <v>2.7111111111111166</v>
      </c>
      <c r="DL43" s="1657">
        <f t="shared" si="338"/>
        <v>2.7111111111111166</v>
      </c>
      <c r="DM43" s="1657">
        <f t="shared" si="338"/>
        <v>2.7111111111111166</v>
      </c>
      <c r="DN43" s="1657">
        <f t="shared" si="338"/>
        <v>2.7111111111111166</v>
      </c>
      <c r="DO43" s="1657">
        <f t="shared" si="338"/>
        <v>2.7111111111111166</v>
      </c>
      <c r="DP43" s="1657">
        <f t="shared" si="338"/>
        <v>2.7111111111111166</v>
      </c>
      <c r="DQ43" s="1657">
        <f t="shared" si="338"/>
        <v>2.7111111111111166</v>
      </c>
      <c r="DR43" s="1657">
        <f t="shared" si="338"/>
        <v>2.7111111111111166</v>
      </c>
      <c r="DS43" s="1657">
        <f t="shared" si="338"/>
        <v>2.7111111111111166</v>
      </c>
      <c r="DT43" s="1657">
        <f t="shared" si="338"/>
        <v>2.7111111111111166</v>
      </c>
      <c r="DU43" s="1657">
        <f t="shared" si="338"/>
        <v>2.7111111111111166</v>
      </c>
      <c r="DV43" s="1657">
        <f t="shared" si="338"/>
        <v>2.7111111111111166</v>
      </c>
      <c r="DW43" s="1657">
        <f t="shared" si="338"/>
        <v>2.7111111111111166</v>
      </c>
    </row>
    <row r="44" spans="3:132" x14ac:dyDescent="0.3">
      <c r="D44" s="1198" t="s">
        <v>227</v>
      </c>
      <c r="E44" s="1199"/>
      <c r="F44" s="1200"/>
      <c r="G44" s="1658">
        <f t="shared" ref="G44:BR44" si="339">SUM(G40:G43)</f>
        <v>67.777777777777771</v>
      </c>
      <c r="H44" s="1659">
        <f t="shared" si="339"/>
        <v>64.727777777777789</v>
      </c>
      <c r="I44" s="1659">
        <f t="shared" si="339"/>
        <v>64.727777777777789</v>
      </c>
      <c r="J44" s="1659">
        <f t="shared" si="339"/>
        <v>64.727777777777789</v>
      </c>
      <c r="K44" s="1659">
        <f t="shared" si="339"/>
        <v>64.727777777777789</v>
      </c>
      <c r="L44" s="1659">
        <f t="shared" si="339"/>
        <v>64.050000000000011</v>
      </c>
      <c r="M44" s="1659">
        <f t="shared" si="339"/>
        <v>64.050000000000011</v>
      </c>
      <c r="N44" s="1659">
        <f t="shared" si="339"/>
        <v>64.050000000000011</v>
      </c>
      <c r="O44" s="1659">
        <f t="shared" si="339"/>
        <v>64.050000000000011</v>
      </c>
      <c r="P44" s="1659">
        <f t="shared" si="339"/>
        <v>64.050000000000011</v>
      </c>
      <c r="Q44" s="1659">
        <f t="shared" si="339"/>
        <v>64.050000000000011</v>
      </c>
      <c r="R44" s="1659">
        <f t="shared" si="339"/>
        <v>63.711111111111116</v>
      </c>
      <c r="S44" s="1659">
        <f t="shared" si="339"/>
        <v>63.711111111111116</v>
      </c>
      <c r="T44" s="1659">
        <f t="shared" si="339"/>
        <v>63.711111111111116</v>
      </c>
      <c r="U44" s="1659">
        <f t="shared" si="339"/>
        <v>63.711111111111116</v>
      </c>
      <c r="V44" s="1659">
        <f t="shared" si="339"/>
        <v>63.711111111111116</v>
      </c>
      <c r="W44" s="1659">
        <f t="shared" si="339"/>
        <v>63.711111111111116</v>
      </c>
      <c r="X44" s="1659">
        <f t="shared" si="339"/>
        <v>63.711111111111116</v>
      </c>
      <c r="Y44" s="1659">
        <f t="shared" si="339"/>
        <v>63.711111111111116</v>
      </c>
      <c r="Z44" s="1659">
        <f t="shared" si="339"/>
        <v>63.711111111111116</v>
      </c>
      <c r="AA44" s="1659">
        <f t="shared" si="339"/>
        <v>63.711111111111116</v>
      </c>
      <c r="AB44" s="1659">
        <f t="shared" si="339"/>
        <v>63.711111111111116</v>
      </c>
      <c r="AC44" s="1659">
        <f t="shared" si="339"/>
        <v>63.711111111111116</v>
      </c>
      <c r="AD44" s="1659">
        <f t="shared" si="339"/>
        <v>63.711111111111116</v>
      </c>
      <c r="AE44" s="1659">
        <f t="shared" si="339"/>
        <v>63.711111111111116</v>
      </c>
      <c r="AF44" s="1659">
        <f t="shared" si="339"/>
        <v>63.711111111111116</v>
      </c>
      <c r="AG44" s="1659">
        <f t="shared" si="339"/>
        <v>63.711111111111116</v>
      </c>
      <c r="AH44" s="1659">
        <f t="shared" si="339"/>
        <v>63.711111111111116</v>
      </c>
      <c r="AI44" s="1659">
        <f t="shared" si="339"/>
        <v>63.711111111111116</v>
      </c>
      <c r="AJ44" s="1659">
        <f t="shared" si="339"/>
        <v>63.711111111111116</v>
      </c>
      <c r="AK44" s="1659">
        <f t="shared" si="339"/>
        <v>63.711111111111116</v>
      </c>
      <c r="AL44" s="1659">
        <f t="shared" si="339"/>
        <v>63.711111111111116</v>
      </c>
      <c r="AM44" s="1659">
        <f t="shared" si="339"/>
        <v>63.711111111111116</v>
      </c>
      <c r="AN44" s="1659">
        <f t="shared" si="339"/>
        <v>63.711111111111116</v>
      </c>
      <c r="AO44" s="1659">
        <f t="shared" si="339"/>
        <v>63.711111111111116</v>
      </c>
      <c r="AP44" s="1659">
        <f t="shared" si="339"/>
        <v>63.711111111111116</v>
      </c>
      <c r="AQ44" s="1659">
        <f t="shared" si="339"/>
        <v>63.711111111111116</v>
      </c>
      <c r="AR44" s="1659">
        <f t="shared" si="339"/>
        <v>63.711111111111116</v>
      </c>
      <c r="AS44" s="1659">
        <f t="shared" si="339"/>
        <v>63.711111111111116</v>
      </c>
      <c r="AT44" s="1659">
        <f t="shared" si="339"/>
        <v>63.711111111111116</v>
      </c>
      <c r="AU44" s="1659">
        <f t="shared" si="339"/>
        <v>63.711111111111116</v>
      </c>
      <c r="AV44" s="1659">
        <f t="shared" si="339"/>
        <v>63.711111111111116</v>
      </c>
      <c r="AW44" s="1659">
        <f t="shared" si="339"/>
        <v>63.711111111111116</v>
      </c>
      <c r="AX44" s="1659">
        <f t="shared" si="339"/>
        <v>63.711111111111116</v>
      </c>
      <c r="AY44" s="1659">
        <f t="shared" si="339"/>
        <v>63.711111111111116</v>
      </c>
      <c r="AZ44" s="1659">
        <f t="shared" si="339"/>
        <v>63.711111111111116</v>
      </c>
      <c r="BA44" s="1659">
        <f t="shared" si="339"/>
        <v>63.711111111111116</v>
      </c>
      <c r="BB44" s="1659">
        <f t="shared" si="339"/>
        <v>63.711111111111116</v>
      </c>
      <c r="BC44" s="1659">
        <f t="shared" si="339"/>
        <v>63.711111111111116</v>
      </c>
      <c r="BD44" s="1659">
        <f t="shared" si="339"/>
        <v>63.711111111111116</v>
      </c>
      <c r="BE44" s="1659">
        <f t="shared" si="339"/>
        <v>63.711111111111116</v>
      </c>
      <c r="BF44" s="1659">
        <f t="shared" si="339"/>
        <v>63.711111111111116</v>
      </c>
      <c r="BG44" s="1659">
        <f t="shared" si="339"/>
        <v>63.711111111111116</v>
      </c>
      <c r="BH44" s="1659">
        <f t="shared" si="339"/>
        <v>63.711111111111116</v>
      </c>
      <c r="BI44" s="1659">
        <f t="shared" si="339"/>
        <v>63.711111111111116</v>
      </c>
      <c r="BJ44" s="1659">
        <f t="shared" si="339"/>
        <v>63.711111111111116</v>
      </c>
      <c r="BK44" s="1659">
        <f t="shared" si="339"/>
        <v>63.711111111111116</v>
      </c>
      <c r="BL44" s="1659">
        <f t="shared" si="339"/>
        <v>63.711111111111116</v>
      </c>
      <c r="BM44" s="1659">
        <f t="shared" si="339"/>
        <v>63.711111111111116</v>
      </c>
      <c r="BN44" s="1659">
        <f t="shared" si="339"/>
        <v>63.711111111111116</v>
      </c>
      <c r="BO44" s="1659">
        <f t="shared" si="339"/>
        <v>63.711111111111116</v>
      </c>
      <c r="BP44" s="1659">
        <f t="shared" si="339"/>
        <v>63.711111111111116</v>
      </c>
      <c r="BQ44" s="1659">
        <f t="shared" si="339"/>
        <v>63.711111111111116</v>
      </c>
      <c r="BR44" s="1659">
        <f t="shared" si="339"/>
        <v>63.711111111111116</v>
      </c>
      <c r="BS44" s="1659">
        <f t="shared" ref="BS44:DW44" si="340">SUM(BS40:BS43)</f>
        <v>63.711111111111116</v>
      </c>
      <c r="BT44" s="1659">
        <f t="shared" si="340"/>
        <v>63.711111111111116</v>
      </c>
      <c r="BU44" s="1659">
        <f t="shared" si="340"/>
        <v>63.711111111111116</v>
      </c>
      <c r="BV44" s="1659">
        <f t="shared" si="340"/>
        <v>63.711111111111116</v>
      </c>
      <c r="BW44" s="1659">
        <f t="shared" si="340"/>
        <v>63.711111111111116</v>
      </c>
      <c r="BX44" s="1659">
        <f t="shared" si="340"/>
        <v>63.711111111111116</v>
      </c>
      <c r="BY44" s="1659">
        <f t="shared" si="340"/>
        <v>63.711111111111116</v>
      </c>
      <c r="BZ44" s="1659">
        <f t="shared" si="340"/>
        <v>63.711111111111116</v>
      </c>
      <c r="CA44" s="1659">
        <f t="shared" si="340"/>
        <v>63.711111111111116</v>
      </c>
      <c r="CB44" s="1659">
        <f t="shared" si="340"/>
        <v>63.711111111111116</v>
      </c>
      <c r="CC44" s="1659">
        <f t="shared" si="340"/>
        <v>63.711111111111116</v>
      </c>
      <c r="CD44" s="1659">
        <f t="shared" si="340"/>
        <v>63.711111111111116</v>
      </c>
      <c r="CE44" s="1659">
        <f t="shared" si="340"/>
        <v>63.711111111111116</v>
      </c>
      <c r="CF44" s="1659">
        <f t="shared" si="340"/>
        <v>63.711111111111116</v>
      </c>
      <c r="CG44" s="1659">
        <f t="shared" si="340"/>
        <v>63.711111111111116</v>
      </c>
      <c r="CH44" s="1659">
        <f t="shared" si="340"/>
        <v>63.711111111111116</v>
      </c>
      <c r="CI44" s="1659">
        <f t="shared" si="340"/>
        <v>63.711111111111116</v>
      </c>
      <c r="CJ44" s="1659">
        <f t="shared" si="340"/>
        <v>63.711111111111116</v>
      </c>
      <c r="CK44" s="1659">
        <f t="shared" si="340"/>
        <v>63.711111111111116</v>
      </c>
      <c r="CL44" s="1659">
        <f t="shared" si="340"/>
        <v>63.711111111111116</v>
      </c>
      <c r="CM44" s="1659">
        <f t="shared" si="340"/>
        <v>63.711111111111116</v>
      </c>
      <c r="CN44" s="1659">
        <f t="shared" si="340"/>
        <v>63.711111111111116</v>
      </c>
      <c r="CO44" s="1659">
        <f t="shared" si="340"/>
        <v>63.711111111111116</v>
      </c>
      <c r="CP44" s="1659">
        <f t="shared" si="340"/>
        <v>63.711111111111116</v>
      </c>
      <c r="CQ44" s="1659">
        <f t="shared" si="340"/>
        <v>63.711111111111116</v>
      </c>
      <c r="CR44" s="1659">
        <f t="shared" si="340"/>
        <v>63.711111111111116</v>
      </c>
      <c r="CS44" s="1659">
        <f t="shared" si="340"/>
        <v>63.711111111111116</v>
      </c>
      <c r="CT44" s="1659">
        <f t="shared" si="340"/>
        <v>63.711111111111116</v>
      </c>
      <c r="CU44" s="1659">
        <f t="shared" si="340"/>
        <v>63.711111111111116</v>
      </c>
      <c r="CV44" s="1659">
        <f t="shared" si="340"/>
        <v>63.711111111111116</v>
      </c>
      <c r="CW44" s="1659">
        <f t="shared" si="340"/>
        <v>63.711111111111116</v>
      </c>
      <c r="CX44" s="1659">
        <f t="shared" si="340"/>
        <v>63.711111111111116</v>
      </c>
      <c r="CY44" s="1659">
        <f t="shared" si="340"/>
        <v>63.711111111111116</v>
      </c>
      <c r="CZ44" s="1659">
        <f t="shared" si="340"/>
        <v>63.711111111111116</v>
      </c>
      <c r="DA44" s="1659">
        <f t="shared" si="340"/>
        <v>63.711111111111116</v>
      </c>
      <c r="DB44" s="1659">
        <f t="shared" si="340"/>
        <v>63.711111111111116</v>
      </c>
      <c r="DC44" s="1659">
        <f t="shared" si="340"/>
        <v>63.711111111111116</v>
      </c>
      <c r="DD44" s="1659">
        <f t="shared" si="340"/>
        <v>63.711111111111116</v>
      </c>
      <c r="DE44" s="1659">
        <f t="shared" si="340"/>
        <v>63.711111111111116</v>
      </c>
      <c r="DF44" s="1659">
        <f t="shared" si="340"/>
        <v>63.711111111111116</v>
      </c>
      <c r="DG44" s="1659">
        <f t="shared" si="340"/>
        <v>63.711111111111116</v>
      </c>
      <c r="DH44" s="1659">
        <f t="shared" si="340"/>
        <v>63.711111111111116</v>
      </c>
      <c r="DI44" s="1659">
        <f t="shared" si="340"/>
        <v>63.711111111111116</v>
      </c>
      <c r="DJ44" s="1659">
        <f t="shared" si="340"/>
        <v>63.711111111111116</v>
      </c>
      <c r="DK44" s="1659">
        <f t="shared" si="340"/>
        <v>63.711111111111116</v>
      </c>
      <c r="DL44" s="1659">
        <f t="shared" si="340"/>
        <v>63.711111111111116</v>
      </c>
      <c r="DM44" s="1659">
        <f t="shared" si="340"/>
        <v>63.711111111111116</v>
      </c>
      <c r="DN44" s="1659">
        <f t="shared" si="340"/>
        <v>63.711111111111116</v>
      </c>
      <c r="DO44" s="1659">
        <f t="shared" si="340"/>
        <v>63.711111111111116</v>
      </c>
      <c r="DP44" s="1659">
        <f t="shared" si="340"/>
        <v>63.711111111111116</v>
      </c>
      <c r="DQ44" s="1659">
        <f t="shared" si="340"/>
        <v>63.711111111111116</v>
      </c>
      <c r="DR44" s="1659">
        <f t="shared" si="340"/>
        <v>63.711111111111116</v>
      </c>
      <c r="DS44" s="1659">
        <f t="shared" si="340"/>
        <v>63.711111111111116</v>
      </c>
      <c r="DT44" s="1659">
        <f t="shared" si="340"/>
        <v>63.711111111111116</v>
      </c>
      <c r="DU44" s="1659">
        <f t="shared" si="340"/>
        <v>63.711111111111116</v>
      </c>
      <c r="DV44" s="1659">
        <f t="shared" si="340"/>
        <v>63.711111111111116</v>
      </c>
      <c r="DW44" s="1659">
        <f t="shared" si="340"/>
        <v>63.711111111111116</v>
      </c>
    </row>
    <row r="45" spans="3:132" x14ac:dyDescent="0.3">
      <c r="D45" s="126" t="str">
        <f t="shared" ref="D45:D59" si="341">D24</f>
        <v>TL</v>
      </c>
      <c r="E45" s="133"/>
      <c r="F45" s="378"/>
      <c r="G45" s="1203">
        <f t="shared" ref="G45:G59" si="342">H45</f>
        <v>3.3899999999999997</v>
      </c>
      <c r="H45" s="133">
        <f>ROUNDUP(H$40/H24,2)</f>
        <v>3.3899999999999997</v>
      </c>
      <c r="I45" s="133">
        <f t="shared" ref="I45:BT45" si="343">ROUNDUP(I$40/I24,2)</f>
        <v>3.3899999999999997</v>
      </c>
      <c r="J45" s="133">
        <f t="shared" si="343"/>
        <v>3.3899999999999997</v>
      </c>
      <c r="K45" s="133">
        <f t="shared" si="343"/>
        <v>3.3899999999999997</v>
      </c>
      <c r="L45" s="133">
        <f t="shared" si="343"/>
        <v>3.3899999999999997</v>
      </c>
      <c r="M45" s="133">
        <f t="shared" si="343"/>
        <v>3.3899999999999997</v>
      </c>
      <c r="N45" s="133">
        <f t="shared" si="343"/>
        <v>3.3899999999999997</v>
      </c>
      <c r="O45" s="133">
        <f t="shared" si="343"/>
        <v>3.3899999999999997</v>
      </c>
      <c r="P45" s="133">
        <f t="shared" si="343"/>
        <v>3.3899999999999997</v>
      </c>
      <c r="Q45" s="133">
        <f t="shared" si="343"/>
        <v>3.3899999999999997</v>
      </c>
      <c r="R45" s="133">
        <f t="shared" si="343"/>
        <v>3.3899999999999997</v>
      </c>
      <c r="S45" s="133">
        <f t="shared" si="343"/>
        <v>3.3899999999999997</v>
      </c>
      <c r="T45" s="278">
        <f t="shared" si="343"/>
        <v>3.3899999999999997</v>
      </c>
      <c r="U45" s="133">
        <f t="shared" si="343"/>
        <v>3.3899999999999997</v>
      </c>
      <c r="V45" s="133">
        <f t="shared" si="343"/>
        <v>3.3899999999999997</v>
      </c>
      <c r="W45" s="133">
        <f t="shared" si="343"/>
        <v>3.3899999999999997</v>
      </c>
      <c r="X45" s="133">
        <f t="shared" si="343"/>
        <v>3.3899999999999997</v>
      </c>
      <c r="Y45" s="133">
        <f t="shared" si="343"/>
        <v>3.3899999999999997</v>
      </c>
      <c r="Z45" s="133">
        <f t="shared" si="343"/>
        <v>3.3899999999999997</v>
      </c>
      <c r="AA45" s="133">
        <f t="shared" si="343"/>
        <v>3.3899999999999997</v>
      </c>
      <c r="AB45" s="133">
        <f t="shared" si="343"/>
        <v>3.3899999999999997</v>
      </c>
      <c r="AC45" s="133">
        <f t="shared" si="343"/>
        <v>3.3899999999999997</v>
      </c>
      <c r="AD45" s="133">
        <f t="shared" si="343"/>
        <v>3.3899999999999997</v>
      </c>
      <c r="AE45" s="133">
        <f t="shared" si="343"/>
        <v>3.3899999999999997</v>
      </c>
      <c r="AF45" s="278">
        <f t="shared" si="343"/>
        <v>3.3899999999999997</v>
      </c>
      <c r="AG45" s="133">
        <f t="shared" si="343"/>
        <v>3.3899999999999997</v>
      </c>
      <c r="AH45" s="133">
        <f t="shared" si="343"/>
        <v>3.3899999999999997</v>
      </c>
      <c r="AI45" s="133">
        <f t="shared" si="343"/>
        <v>3.3899999999999997</v>
      </c>
      <c r="AJ45" s="133">
        <f t="shared" si="343"/>
        <v>3.3899999999999997</v>
      </c>
      <c r="AK45" s="133">
        <f t="shared" si="343"/>
        <v>3.3899999999999997</v>
      </c>
      <c r="AL45" s="133">
        <f t="shared" si="343"/>
        <v>3.3899999999999997</v>
      </c>
      <c r="AM45" s="133">
        <f t="shared" si="343"/>
        <v>3.3899999999999997</v>
      </c>
      <c r="AN45" s="133">
        <f t="shared" si="343"/>
        <v>3.3899999999999997</v>
      </c>
      <c r="AO45" s="133">
        <f t="shared" si="343"/>
        <v>3.3899999999999997</v>
      </c>
      <c r="AP45" s="133">
        <f t="shared" si="343"/>
        <v>3.3899999999999997</v>
      </c>
      <c r="AQ45" s="133">
        <f t="shared" si="343"/>
        <v>3.3899999999999997</v>
      </c>
      <c r="AR45" s="278">
        <f t="shared" si="343"/>
        <v>3.3899999999999997</v>
      </c>
      <c r="AS45" s="133">
        <f t="shared" si="343"/>
        <v>3.3899999999999997</v>
      </c>
      <c r="AT45" s="133">
        <f t="shared" si="343"/>
        <v>3.3899999999999997</v>
      </c>
      <c r="AU45" s="133">
        <f t="shared" si="343"/>
        <v>3.3899999999999997</v>
      </c>
      <c r="AV45" s="133">
        <f t="shared" si="343"/>
        <v>3.3899999999999997</v>
      </c>
      <c r="AW45" s="133">
        <f t="shared" si="343"/>
        <v>3.3899999999999997</v>
      </c>
      <c r="AX45" s="133">
        <f t="shared" si="343"/>
        <v>3.3899999999999997</v>
      </c>
      <c r="AY45" s="133">
        <f t="shared" si="343"/>
        <v>3.3899999999999997</v>
      </c>
      <c r="AZ45" s="133">
        <f t="shared" si="343"/>
        <v>3.3899999999999997</v>
      </c>
      <c r="BA45" s="133">
        <f t="shared" si="343"/>
        <v>3.3899999999999997</v>
      </c>
      <c r="BB45" s="133">
        <f t="shared" si="343"/>
        <v>3.3899999999999997</v>
      </c>
      <c r="BC45" s="133">
        <f t="shared" si="343"/>
        <v>3.3899999999999997</v>
      </c>
      <c r="BD45" s="278">
        <f t="shared" si="343"/>
        <v>3.3899999999999997</v>
      </c>
      <c r="BE45" s="133">
        <f t="shared" si="343"/>
        <v>3.3899999999999997</v>
      </c>
      <c r="BF45" s="133">
        <f t="shared" si="343"/>
        <v>3.3899999999999997</v>
      </c>
      <c r="BG45" s="133">
        <f t="shared" si="343"/>
        <v>3.3899999999999997</v>
      </c>
      <c r="BH45" s="133">
        <f t="shared" si="343"/>
        <v>3.3899999999999997</v>
      </c>
      <c r="BI45" s="133">
        <f t="shared" si="343"/>
        <v>3.3899999999999997</v>
      </c>
      <c r="BJ45" s="133">
        <f t="shared" si="343"/>
        <v>3.3899999999999997</v>
      </c>
      <c r="BK45" s="133">
        <f t="shared" si="343"/>
        <v>3.3899999999999997</v>
      </c>
      <c r="BL45" s="133">
        <f t="shared" si="343"/>
        <v>3.3899999999999997</v>
      </c>
      <c r="BM45" s="133">
        <f t="shared" si="343"/>
        <v>3.3899999999999997</v>
      </c>
      <c r="BN45" s="133">
        <f t="shared" si="343"/>
        <v>3.3899999999999997</v>
      </c>
      <c r="BO45" s="129">
        <f t="shared" si="343"/>
        <v>3.3899999999999997</v>
      </c>
      <c r="BP45" s="278">
        <f t="shared" si="343"/>
        <v>3.3899999999999997</v>
      </c>
      <c r="BQ45" s="133">
        <f t="shared" si="343"/>
        <v>3.3899999999999997</v>
      </c>
      <c r="BR45" s="133">
        <f t="shared" si="343"/>
        <v>3.3899999999999997</v>
      </c>
      <c r="BS45" s="133">
        <f t="shared" si="343"/>
        <v>3.3899999999999997</v>
      </c>
      <c r="BT45" s="133">
        <f t="shared" si="343"/>
        <v>3.3899999999999997</v>
      </c>
      <c r="BU45" s="133">
        <f t="shared" ref="BU45:DW45" si="344">ROUNDUP(BU$40/BU24,2)</f>
        <v>3.3899999999999997</v>
      </c>
      <c r="BV45" s="133">
        <f t="shared" si="344"/>
        <v>3.3899999999999997</v>
      </c>
      <c r="BW45" s="133">
        <f t="shared" si="344"/>
        <v>3.3899999999999997</v>
      </c>
      <c r="BX45" s="133">
        <f t="shared" si="344"/>
        <v>3.3899999999999997</v>
      </c>
      <c r="BY45" s="133">
        <f t="shared" si="344"/>
        <v>3.3899999999999997</v>
      </c>
      <c r="BZ45" s="133">
        <f t="shared" si="344"/>
        <v>3.3899999999999997</v>
      </c>
      <c r="CA45" s="133">
        <f t="shared" si="344"/>
        <v>3.3899999999999997</v>
      </c>
      <c r="CB45" s="278">
        <f t="shared" si="344"/>
        <v>3.3899999999999997</v>
      </c>
      <c r="CC45" s="133">
        <f t="shared" si="344"/>
        <v>3.3899999999999997</v>
      </c>
      <c r="CD45" s="133">
        <f t="shared" si="344"/>
        <v>3.3899999999999997</v>
      </c>
      <c r="CE45" s="133">
        <f t="shared" si="344"/>
        <v>3.3899999999999997</v>
      </c>
      <c r="CF45" s="133">
        <f t="shared" si="344"/>
        <v>3.3899999999999997</v>
      </c>
      <c r="CG45" s="133">
        <f t="shared" si="344"/>
        <v>3.3899999999999997</v>
      </c>
      <c r="CH45" s="133">
        <f t="shared" si="344"/>
        <v>3.3899999999999997</v>
      </c>
      <c r="CI45" s="133">
        <f t="shared" si="344"/>
        <v>3.3899999999999997</v>
      </c>
      <c r="CJ45" s="133">
        <f t="shared" si="344"/>
        <v>3.3899999999999997</v>
      </c>
      <c r="CK45" s="133">
        <f t="shared" si="344"/>
        <v>3.3899999999999997</v>
      </c>
      <c r="CL45" s="133">
        <f t="shared" si="344"/>
        <v>3.3899999999999997</v>
      </c>
      <c r="CM45" s="129">
        <f t="shared" si="344"/>
        <v>3.3899999999999997</v>
      </c>
      <c r="CN45" s="278">
        <f t="shared" si="344"/>
        <v>3.3899999999999997</v>
      </c>
      <c r="CO45" s="133">
        <f t="shared" si="344"/>
        <v>3.3899999999999997</v>
      </c>
      <c r="CP45" s="133">
        <f t="shared" si="344"/>
        <v>3.3899999999999997</v>
      </c>
      <c r="CQ45" s="133">
        <f t="shared" si="344"/>
        <v>3.3899999999999997</v>
      </c>
      <c r="CR45" s="133">
        <f t="shared" si="344"/>
        <v>3.3899999999999997</v>
      </c>
      <c r="CS45" s="133">
        <f t="shared" si="344"/>
        <v>3.3899999999999997</v>
      </c>
      <c r="CT45" s="133">
        <f t="shared" si="344"/>
        <v>3.3899999999999997</v>
      </c>
      <c r="CU45" s="133">
        <f t="shared" si="344"/>
        <v>3.3899999999999997</v>
      </c>
      <c r="CV45" s="133">
        <f t="shared" si="344"/>
        <v>3.3899999999999997</v>
      </c>
      <c r="CW45" s="133">
        <f t="shared" si="344"/>
        <v>3.3899999999999997</v>
      </c>
      <c r="CX45" s="133">
        <f t="shared" si="344"/>
        <v>3.3899999999999997</v>
      </c>
      <c r="CY45" s="129">
        <f t="shared" si="344"/>
        <v>3.3899999999999997</v>
      </c>
      <c r="CZ45" s="278">
        <f t="shared" si="344"/>
        <v>3.3899999999999997</v>
      </c>
      <c r="DA45" s="133">
        <f t="shared" si="344"/>
        <v>3.3899999999999997</v>
      </c>
      <c r="DB45" s="133">
        <f t="shared" si="344"/>
        <v>3.3899999999999997</v>
      </c>
      <c r="DC45" s="133">
        <f t="shared" si="344"/>
        <v>3.3899999999999997</v>
      </c>
      <c r="DD45" s="133">
        <f t="shared" si="344"/>
        <v>3.3899999999999997</v>
      </c>
      <c r="DE45" s="133">
        <f t="shared" si="344"/>
        <v>3.3899999999999997</v>
      </c>
      <c r="DF45" s="133">
        <f t="shared" si="344"/>
        <v>3.3899999999999997</v>
      </c>
      <c r="DG45" s="133">
        <f t="shared" si="344"/>
        <v>3.3899999999999997</v>
      </c>
      <c r="DH45" s="133">
        <f t="shared" si="344"/>
        <v>3.3899999999999997</v>
      </c>
      <c r="DI45" s="133">
        <f t="shared" si="344"/>
        <v>3.3899999999999997</v>
      </c>
      <c r="DJ45" s="133">
        <f t="shared" si="344"/>
        <v>3.3899999999999997</v>
      </c>
      <c r="DK45" s="133">
        <f t="shared" si="344"/>
        <v>3.3899999999999997</v>
      </c>
      <c r="DL45" s="278">
        <f t="shared" si="344"/>
        <v>3.3899999999999997</v>
      </c>
      <c r="DM45" s="133">
        <f t="shared" si="344"/>
        <v>3.3899999999999997</v>
      </c>
      <c r="DN45" s="133">
        <f t="shared" si="344"/>
        <v>3.3899999999999997</v>
      </c>
      <c r="DO45" s="133">
        <f t="shared" si="344"/>
        <v>3.3899999999999997</v>
      </c>
      <c r="DP45" s="133">
        <f t="shared" si="344"/>
        <v>3.3899999999999997</v>
      </c>
      <c r="DQ45" s="133">
        <f t="shared" si="344"/>
        <v>3.3899999999999997</v>
      </c>
      <c r="DR45" s="133">
        <f t="shared" si="344"/>
        <v>3.3899999999999997</v>
      </c>
      <c r="DS45" s="133">
        <f t="shared" si="344"/>
        <v>3.3899999999999997</v>
      </c>
      <c r="DT45" s="133">
        <f t="shared" si="344"/>
        <v>3.3899999999999997</v>
      </c>
      <c r="DU45" s="133">
        <f t="shared" si="344"/>
        <v>3.3899999999999997</v>
      </c>
      <c r="DV45" s="133">
        <f t="shared" si="344"/>
        <v>3.3899999999999997</v>
      </c>
      <c r="DW45" s="133">
        <f t="shared" si="344"/>
        <v>3.3899999999999997</v>
      </c>
    </row>
    <row r="46" spans="3:132" x14ac:dyDescent="0.3">
      <c r="D46" s="126" t="str">
        <f t="shared" si="341"/>
        <v>AM</v>
      </c>
      <c r="E46" s="133"/>
      <c r="F46" s="378"/>
      <c r="G46" s="1203">
        <f t="shared" si="342"/>
        <v>6.0999999999999992E-6</v>
      </c>
      <c r="H46" s="133">
        <f t="shared" ref="H46:AM46" si="345">H$40/H25</f>
        <v>6.0999999999999992E-6</v>
      </c>
      <c r="I46" s="133">
        <f t="shared" si="345"/>
        <v>6.1E-6</v>
      </c>
      <c r="J46" s="133">
        <f t="shared" si="345"/>
        <v>6.1E-6</v>
      </c>
      <c r="K46" s="133">
        <f t="shared" si="345"/>
        <v>6.1E-6</v>
      </c>
      <c r="L46" s="133">
        <f t="shared" si="345"/>
        <v>6.1E-6</v>
      </c>
      <c r="M46" s="133">
        <f t="shared" si="345"/>
        <v>6.1E-6</v>
      </c>
      <c r="N46" s="133">
        <f t="shared" si="345"/>
        <v>6.1E-6</v>
      </c>
      <c r="O46" s="133">
        <f t="shared" si="345"/>
        <v>6.1E-6</v>
      </c>
      <c r="P46" s="133">
        <f t="shared" si="345"/>
        <v>6.1E-6</v>
      </c>
      <c r="Q46" s="133">
        <f t="shared" si="345"/>
        <v>6.1E-6</v>
      </c>
      <c r="R46" s="133">
        <f t="shared" si="345"/>
        <v>6.1E-6</v>
      </c>
      <c r="S46" s="133">
        <f t="shared" si="345"/>
        <v>6.1E-6</v>
      </c>
      <c r="T46" s="278">
        <f t="shared" si="345"/>
        <v>6.1E-6</v>
      </c>
      <c r="U46" s="133">
        <f t="shared" si="345"/>
        <v>6.1E-6</v>
      </c>
      <c r="V46" s="133">
        <f t="shared" si="345"/>
        <v>6.1E-6</v>
      </c>
      <c r="W46" s="133">
        <f t="shared" si="345"/>
        <v>6.1E-6</v>
      </c>
      <c r="X46" s="133">
        <f t="shared" si="345"/>
        <v>6.1E-6</v>
      </c>
      <c r="Y46" s="133">
        <f t="shared" si="345"/>
        <v>6.1E-6</v>
      </c>
      <c r="Z46" s="133">
        <f t="shared" si="345"/>
        <v>6.1E-6</v>
      </c>
      <c r="AA46" s="133">
        <f t="shared" si="345"/>
        <v>6.1E-6</v>
      </c>
      <c r="AB46" s="133">
        <f t="shared" si="345"/>
        <v>6.1E-6</v>
      </c>
      <c r="AC46" s="133">
        <f t="shared" si="345"/>
        <v>6.1E-6</v>
      </c>
      <c r="AD46" s="133">
        <f t="shared" si="345"/>
        <v>6.1E-6</v>
      </c>
      <c r="AE46" s="133">
        <f t="shared" si="345"/>
        <v>6.1E-6</v>
      </c>
      <c r="AF46" s="278">
        <f t="shared" si="345"/>
        <v>6.1E-6</v>
      </c>
      <c r="AG46" s="133">
        <f t="shared" si="345"/>
        <v>6.1E-6</v>
      </c>
      <c r="AH46" s="133">
        <f t="shared" si="345"/>
        <v>6.1E-6</v>
      </c>
      <c r="AI46" s="133">
        <f t="shared" si="345"/>
        <v>6.1E-6</v>
      </c>
      <c r="AJ46" s="133">
        <f t="shared" si="345"/>
        <v>6.1E-6</v>
      </c>
      <c r="AK46" s="133">
        <f t="shared" si="345"/>
        <v>6.1E-6</v>
      </c>
      <c r="AL46" s="133">
        <f t="shared" si="345"/>
        <v>6.1E-6</v>
      </c>
      <c r="AM46" s="133">
        <f t="shared" si="345"/>
        <v>6.1E-6</v>
      </c>
      <c r="AN46" s="133">
        <f t="shared" ref="AN46:BO46" si="346">AN$40/AN25</f>
        <v>6.1E-6</v>
      </c>
      <c r="AO46" s="133">
        <f t="shared" si="346"/>
        <v>6.1E-6</v>
      </c>
      <c r="AP46" s="133">
        <f t="shared" si="346"/>
        <v>6.1E-6</v>
      </c>
      <c r="AQ46" s="133">
        <f t="shared" si="346"/>
        <v>6.1E-6</v>
      </c>
      <c r="AR46" s="278">
        <f t="shared" si="346"/>
        <v>6.1E-6</v>
      </c>
      <c r="AS46" s="133">
        <f t="shared" si="346"/>
        <v>6.1E-6</v>
      </c>
      <c r="AT46" s="133">
        <f t="shared" si="346"/>
        <v>6.1E-6</v>
      </c>
      <c r="AU46" s="133">
        <f t="shared" si="346"/>
        <v>6.1E-6</v>
      </c>
      <c r="AV46" s="133">
        <f t="shared" si="346"/>
        <v>6.1E-6</v>
      </c>
      <c r="AW46" s="133">
        <f t="shared" si="346"/>
        <v>6.1E-6</v>
      </c>
      <c r="AX46" s="133">
        <f t="shared" si="346"/>
        <v>6.1E-6</v>
      </c>
      <c r="AY46" s="133">
        <f t="shared" si="346"/>
        <v>6.1E-6</v>
      </c>
      <c r="AZ46" s="133">
        <f t="shared" si="346"/>
        <v>6.1E-6</v>
      </c>
      <c r="BA46" s="133">
        <f t="shared" si="346"/>
        <v>6.1E-6</v>
      </c>
      <c r="BB46" s="133">
        <f t="shared" si="346"/>
        <v>6.1E-6</v>
      </c>
      <c r="BC46" s="133">
        <f t="shared" si="346"/>
        <v>6.1E-6</v>
      </c>
      <c r="BD46" s="278">
        <f t="shared" si="346"/>
        <v>6.1E-6</v>
      </c>
      <c r="BE46" s="133">
        <f t="shared" si="346"/>
        <v>6.1E-6</v>
      </c>
      <c r="BF46" s="133">
        <f t="shared" si="346"/>
        <v>6.1E-6</v>
      </c>
      <c r="BG46" s="133">
        <f t="shared" si="346"/>
        <v>6.1E-6</v>
      </c>
      <c r="BH46" s="133">
        <f t="shared" si="346"/>
        <v>6.1E-6</v>
      </c>
      <c r="BI46" s="133">
        <f t="shared" si="346"/>
        <v>6.1E-6</v>
      </c>
      <c r="BJ46" s="133">
        <f t="shared" si="346"/>
        <v>6.1E-6</v>
      </c>
      <c r="BK46" s="133">
        <f t="shared" si="346"/>
        <v>6.1E-6</v>
      </c>
      <c r="BL46" s="133">
        <f t="shared" si="346"/>
        <v>6.1E-6</v>
      </c>
      <c r="BM46" s="133">
        <f t="shared" si="346"/>
        <v>6.1E-6</v>
      </c>
      <c r="BN46" s="133">
        <f t="shared" si="346"/>
        <v>6.1E-6</v>
      </c>
      <c r="BO46" s="129">
        <f t="shared" si="346"/>
        <v>6.1E-6</v>
      </c>
      <c r="BP46" s="278">
        <f t="shared" ref="BP46:DW46" si="347">BP$40/BP25</f>
        <v>6.1E-6</v>
      </c>
      <c r="BQ46" s="133">
        <f t="shared" si="347"/>
        <v>6.1E-6</v>
      </c>
      <c r="BR46" s="133">
        <f t="shared" si="347"/>
        <v>6.1E-6</v>
      </c>
      <c r="BS46" s="133">
        <f t="shared" si="347"/>
        <v>6.1E-6</v>
      </c>
      <c r="BT46" s="133">
        <f t="shared" si="347"/>
        <v>6.1E-6</v>
      </c>
      <c r="BU46" s="133">
        <f t="shared" si="347"/>
        <v>6.1E-6</v>
      </c>
      <c r="BV46" s="133">
        <f t="shared" si="347"/>
        <v>6.1E-6</v>
      </c>
      <c r="BW46" s="133">
        <f t="shared" si="347"/>
        <v>6.1E-6</v>
      </c>
      <c r="BX46" s="133">
        <f t="shared" si="347"/>
        <v>6.1E-6</v>
      </c>
      <c r="BY46" s="133">
        <f t="shared" si="347"/>
        <v>6.1E-6</v>
      </c>
      <c r="BZ46" s="133">
        <f t="shared" si="347"/>
        <v>6.1E-6</v>
      </c>
      <c r="CA46" s="133">
        <f t="shared" si="347"/>
        <v>6.1E-6</v>
      </c>
      <c r="CB46" s="278">
        <f t="shared" si="347"/>
        <v>6.1E-6</v>
      </c>
      <c r="CC46" s="133">
        <f t="shared" si="347"/>
        <v>6.1E-6</v>
      </c>
      <c r="CD46" s="133">
        <f t="shared" si="347"/>
        <v>6.1E-6</v>
      </c>
      <c r="CE46" s="133">
        <f t="shared" si="347"/>
        <v>6.1E-6</v>
      </c>
      <c r="CF46" s="133">
        <f t="shared" si="347"/>
        <v>6.1E-6</v>
      </c>
      <c r="CG46" s="133">
        <f t="shared" si="347"/>
        <v>6.1E-6</v>
      </c>
      <c r="CH46" s="133">
        <f t="shared" si="347"/>
        <v>6.1E-6</v>
      </c>
      <c r="CI46" s="133">
        <f t="shared" si="347"/>
        <v>6.1E-6</v>
      </c>
      <c r="CJ46" s="133">
        <f t="shared" si="347"/>
        <v>6.1E-6</v>
      </c>
      <c r="CK46" s="133">
        <f t="shared" si="347"/>
        <v>6.1E-6</v>
      </c>
      <c r="CL46" s="133">
        <f t="shared" si="347"/>
        <v>6.1E-6</v>
      </c>
      <c r="CM46" s="129">
        <f t="shared" si="347"/>
        <v>6.1E-6</v>
      </c>
      <c r="CN46" s="278">
        <f t="shared" si="347"/>
        <v>6.1E-6</v>
      </c>
      <c r="CO46" s="133">
        <f t="shared" si="347"/>
        <v>6.1E-6</v>
      </c>
      <c r="CP46" s="133">
        <f t="shared" si="347"/>
        <v>6.1E-6</v>
      </c>
      <c r="CQ46" s="133">
        <f t="shared" si="347"/>
        <v>6.1E-6</v>
      </c>
      <c r="CR46" s="133">
        <f t="shared" si="347"/>
        <v>6.1E-6</v>
      </c>
      <c r="CS46" s="133">
        <f t="shared" si="347"/>
        <v>6.1E-6</v>
      </c>
      <c r="CT46" s="133">
        <f t="shared" si="347"/>
        <v>6.1E-6</v>
      </c>
      <c r="CU46" s="133">
        <f t="shared" si="347"/>
        <v>6.1E-6</v>
      </c>
      <c r="CV46" s="133">
        <f t="shared" si="347"/>
        <v>6.1E-6</v>
      </c>
      <c r="CW46" s="133">
        <f t="shared" si="347"/>
        <v>6.1E-6</v>
      </c>
      <c r="CX46" s="133">
        <f t="shared" si="347"/>
        <v>6.1E-6</v>
      </c>
      <c r="CY46" s="129">
        <f t="shared" si="347"/>
        <v>6.1E-6</v>
      </c>
      <c r="CZ46" s="278">
        <f t="shared" si="347"/>
        <v>6.1E-6</v>
      </c>
      <c r="DA46" s="133">
        <f t="shared" si="347"/>
        <v>6.1E-6</v>
      </c>
      <c r="DB46" s="133">
        <f t="shared" si="347"/>
        <v>6.1E-6</v>
      </c>
      <c r="DC46" s="133">
        <f t="shared" si="347"/>
        <v>6.1E-6</v>
      </c>
      <c r="DD46" s="133">
        <f t="shared" si="347"/>
        <v>6.1E-6</v>
      </c>
      <c r="DE46" s="133">
        <f t="shared" si="347"/>
        <v>6.1E-6</v>
      </c>
      <c r="DF46" s="133">
        <f t="shared" si="347"/>
        <v>6.1E-6</v>
      </c>
      <c r="DG46" s="133">
        <f t="shared" si="347"/>
        <v>6.1E-6</v>
      </c>
      <c r="DH46" s="133">
        <f t="shared" si="347"/>
        <v>6.1E-6</v>
      </c>
      <c r="DI46" s="133">
        <f t="shared" si="347"/>
        <v>6.1E-6</v>
      </c>
      <c r="DJ46" s="133">
        <f t="shared" si="347"/>
        <v>6.1E-6</v>
      </c>
      <c r="DK46" s="133">
        <f t="shared" si="347"/>
        <v>6.1E-6</v>
      </c>
      <c r="DL46" s="278">
        <f t="shared" si="347"/>
        <v>6.1E-6</v>
      </c>
      <c r="DM46" s="133">
        <f t="shared" si="347"/>
        <v>6.1E-6</v>
      </c>
      <c r="DN46" s="133">
        <f t="shared" si="347"/>
        <v>6.1E-6</v>
      </c>
      <c r="DO46" s="133">
        <f t="shared" si="347"/>
        <v>6.1E-6</v>
      </c>
      <c r="DP46" s="133">
        <f t="shared" si="347"/>
        <v>6.1E-6</v>
      </c>
      <c r="DQ46" s="133">
        <f t="shared" si="347"/>
        <v>6.1E-6</v>
      </c>
      <c r="DR46" s="133">
        <f t="shared" si="347"/>
        <v>6.1E-6</v>
      </c>
      <c r="DS46" s="133">
        <f t="shared" si="347"/>
        <v>6.1E-6</v>
      </c>
      <c r="DT46" s="133">
        <f t="shared" si="347"/>
        <v>6.1E-6</v>
      </c>
      <c r="DU46" s="133">
        <f t="shared" si="347"/>
        <v>6.1E-6</v>
      </c>
      <c r="DV46" s="133">
        <f t="shared" si="347"/>
        <v>6.1E-6</v>
      </c>
      <c r="DW46" s="133">
        <f t="shared" si="347"/>
        <v>6.1E-6</v>
      </c>
    </row>
    <row r="47" spans="3:132" x14ac:dyDescent="0.3">
      <c r="D47" s="126" t="str">
        <f t="shared" si="341"/>
        <v>Ops Manager</v>
      </c>
      <c r="E47" s="133"/>
      <c r="F47" s="378"/>
      <c r="G47" s="1203">
        <f t="shared" si="342"/>
        <v>0.5083333333333333</v>
      </c>
      <c r="H47" s="133">
        <f t="shared" ref="H47:AM47" si="348">H$40/H26</f>
        <v>0.5083333333333333</v>
      </c>
      <c r="I47" s="133">
        <f t="shared" si="348"/>
        <v>0.5083333333333333</v>
      </c>
      <c r="J47" s="133">
        <f t="shared" si="348"/>
        <v>0.5083333333333333</v>
      </c>
      <c r="K47" s="133">
        <f t="shared" si="348"/>
        <v>0.5083333333333333</v>
      </c>
      <c r="L47" s="133">
        <f t="shared" si="348"/>
        <v>0.5083333333333333</v>
      </c>
      <c r="M47" s="133">
        <f t="shared" si="348"/>
        <v>0.5083333333333333</v>
      </c>
      <c r="N47" s="133">
        <f t="shared" si="348"/>
        <v>0.5083333333333333</v>
      </c>
      <c r="O47" s="133">
        <f t="shared" si="348"/>
        <v>0.5083333333333333</v>
      </c>
      <c r="P47" s="133">
        <f t="shared" si="348"/>
        <v>0.5083333333333333</v>
      </c>
      <c r="Q47" s="133">
        <f t="shared" si="348"/>
        <v>0.5083333333333333</v>
      </c>
      <c r="R47" s="133">
        <f t="shared" si="348"/>
        <v>0.5083333333333333</v>
      </c>
      <c r="S47" s="133">
        <f t="shared" si="348"/>
        <v>0.5083333333333333</v>
      </c>
      <c r="T47" s="278">
        <f t="shared" si="348"/>
        <v>0.5083333333333333</v>
      </c>
      <c r="U47" s="133">
        <f t="shared" si="348"/>
        <v>0.5083333333333333</v>
      </c>
      <c r="V47" s="133">
        <f t="shared" si="348"/>
        <v>0.5083333333333333</v>
      </c>
      <c r="W47" s="133">
        <f t="shared" si="348"/>
        <v>0.5083333333333333</v>
      </c>
      <c r="X47" s="133">
        <f t="shared" si="348"/>
        <v>0.5083333333333333</v>
      </c>
      <c r="Y47" s="133">
        <f t="shared" si="348"/>
        <v>0.5083333333333333</v>
      </c>
      <c r="Z47" s="133">
        <f t="shared" si="348"/>
        <v>0.5083333333333333</v>
      </c>
      <c r="AA47" s="133">
        <f t="shared" si="348"/>
        <v>0.5083333333333333</v>
      </c>
      <c r="AB47" s="133">
        <f t="shared" si="348"/>
        <v>0.5083333333333333</v>
      </c>
      <c r="AC47" s="133">
        <f t="shared" si="348"/>
        <v>0.5083333333333333</v>
      </c>
      <c r="AD47" s="133">
        <f t="shared" si="348"/>
        <v>0.5083333333333333</v>
      </c>
      <c r="AE47" s="133">
        <f t="shared" si="348"/>
        <v>0.5083333333333333</v>
      </c>
      <c r="AF47" s="278">
        <f t="shared" si="348"/>
        <v>0.5083333333333333</v>
      </c>
      <c r="AG47" s="133">
        <f t="shared" si="348"/>
        <v>0.5083333333333333</v>
      </c>
      <c r="AH47" s="133">
        <f t="shared" si="348"/>
        <v>0.5083333333333333</v>
      </c>
      <c r="AI47" s="133">
        <f t="shared" si="348"/>
        <v>0.5083333333333333</v>
      </c>
      <c r="AJ47" s="133">
        <f t="shared" si="348"/>
        <v>0.5083333333333333</v>
      </c>
      <c r="AK47" s="133">
        <f t="shared" si="348"/>
        <v>0.5083333333333333</v>
      </c>
      <c r="AL47" s="133">
        <f t="shared" si="348"/>
        <v>0.5083333333333333</v>
      </c>
      <c r="AM47" s="133">
        <f t="shared" si="348"/>
        <v>0.5083333333333333</v>
      </c>
      <c r="AN47" s="133">
        <f t="shared" ref="AN47:BO47" si="349">AN$40/AN26</f>
        <v>0.5083333333333333</v>
      </c>
      <c r="AO47" s="133">
        <f t="shared" si="349"/>
        <v>0.5083333333333333</v>
      </c>
      <c r="AP47" s="133">
        <f t="shared" si="349"/>
        <v>0.5083333333333333</v>
      </c>
      <c r="AQ47" s="133">
        <f t="shared" si="349"/>
        <v>0.5083333333333333</v>
      </c>
      <c r="AR47" s="278">
        <f t="shared" si="349"/>
        <v>0.5083333333333333</v>
      </c>
      <c r="AS47" s="133">
        <f t="shared" si="349"/>
        <v>0.5083333333333333</v>
      </c>
      <c r="AT47" s="133">
        <f t="shared" si="349"/>
        <v>0.5083333333333333</v>
      </c>
      <c r="AU47" s="133">
        <f t="shared" si="349"/>
        <v>0.5083333333333333</v>
      </c>
      <c r="AV47" s="133">
        <f t="shared" si="349"/>
        <v>0.5083333333333333</v>
      </c>
      <c r="AW47" s="133">
        <f t="shared" si="349"/>
        <v>0.5083333333333333</v>
      </c>
      <c r="AX47" s="133">
        <f t="shared" si="349"/>
        <v>0.5083333333333333</v>
      </c>
      <c r="AY47" s="133">
        <f t="shared" si="349"/>
        <v>0.5083333333333333</v>
      </c>
      <c r="AZ47" s="133">
        <f t="shared" si="349"/>
        <v>0.5083333333333333</v>
      </c>
      <c r="BA47" s="133">
        <f t="shared" si="349"/>
        <v>0.5083333333333333</v>
      </c>
      <c r="BB47" s="133">
        <f t="shared" si="349"/>
        <v>0.5083333333333333</v>
      </c>
      <c r="BC47" s="133">
        <f t="shared" si="349"/>
        <v>0.5083333333333333</v>
      </c>
      <c r="BD47" s="278">
        <f t="shared" si="349"/>
        <v>0.5083333333333333</v>
      </c>
      <c r="BE47" s="133">
        <f t="shared" si="349"/>
        <v>0.5083333333333333</v>
      </c>
      <c r="BF47" s="133">
        <f t="shared" si="349"/>
        <v>0.5083333333333333</v>
      </c>
      <c r="BG47" s="133">
        <f t="shared" si="349"/>
        <v>0.5083333333333333</v>
      </c>
      <c r="BH47" s="133">
        <f t="shared" si="349"/>
        <v>0.5083333333333333</v>
      </c>
      <c r="BI47" s="133">
        <f t="shared" si="349"/>
        <v>0.5083333333333333</v>
      </c>
      <c r="BJ47" s="133">
        <f t="shared" si="349"/>
        <v>0.5083333333333333</v>
      </c>
      <c r="BK47" s="133">
        <f t="shared" si="349"/>
        <v>0.5083333333333333</v>
      </c>
      <c r="BL47" s="133">
        <f t="shared" si="349"/>
        <v>0.5083333333333333</v>
      </c>
      <c r="BM47" s="133">
        <f t="shared" si="349"/>
        <v>0.5083333333333333</v>
      </c>
      <c r="BN47" s="133">
        <f t="shared" si="349"/>
        <v>0.5083333333333333</v>
      </c>
      <c r="BO47" s="129">
        <f t="shared" si="349"/>
        <v>0.5083333333333333</v>
      </c>
      <c r="BP47" s="278">
        <f t="shared" ref="BP47:DW47" si="350">BP$40/BP26</f>
        <v>0.5083333333333333</v>
      </c>
      <c r="BQ47" s="133">
        <f t="shared" si="350"/>
        <v>0.5083333333333333</v>
      </c>
      <c r="BR47" s="133">
        <f t="shared" si="350"/>
        <v>0.5083333333333333</v>
      </c>
      <c r="BS47" s="133">
        <f t="shared" si="350"/>
        <v>0.5083333333333333</v>
      </c>
      <c r="BT47" s="133">
        <f t="shared" si="350"/>
        <v>0.5083333333333333</v>
      </c>
      <c r="BU47" s="133">
        <f t="shared" si="350"/>
        <v>0.5083333333333333</v>
      </c>
      <c r="BV47" s="133">
        <f t="shared" si="350"/>
        <v>0.5083333333333333</v>
      </c>
      <c r="BW47" s="133">
        <f t="shared" si="350"/>
        <v>0.5083333333333333</v>
      </c>
      <c r="BX47" s="133">
        <f t="shared" si="350"/>
        <v>0.5083333333333333</v>
      </c>
      <c r="BY47" s="133">
        <f t="shared" si="350"/>
        <v>0.5083333333333333</v>
      </c>
      <c r="BZ47" s="133">
        <f t="shared" si="350"/>
        <v>0.5083333333333333</v>
      </c>
      <c r="CA47" s="133">
        <f t="shared" si="350"/>
        <v>0.5083333333333333</v>
      </c>
      <c r="CB47" s="278">
        <f t="shared" si="350"/>
        <v>0.5083333333333333</v>
      </c>
      <c r="CC47" s="133">
        <f t="shared" si="350"/>
        <v>0.5083333333333333</v>
      </c>
      <c r="CD47" s="133">
        <f t="shared" si="350"/>
        <v>0.5083333333333333</v>
      </c>
      <c r="CE47" s="133">
        <f t="shared" si="350"/>
        <v>0.5083333333333333</v>
      </c>
      <c r="CF47" s="133">
        <f t="shared" si="350"/>
        <v>0.5083333333333333</v>
      </c>
      <c r="CG47" s="133">
        <f t="shared" si="350"/>
        <v>0.5083333333333333</v>
      </c>
      <c r="CH47" s="133">
        <f t="shared" si="350"/>
        <v>0.5083333333333333</v>
      </c>
      <c r="CI47" s="133">
        <f t="shared" si="350"/>
        <v>0.5083333333333333</v>
      </c>
      <c r="CJ47" s="133">
        <f t="shared" si="350"/>
        <v>0.5083333333333333</v>
      </c>
      <c r="CK47" s="133">
        <f t="shared" si="350"/>
        <v>0.5083333333333333</v>
      </c>
      <c r="CL47" s="133">
        <f t="shared" si="350"/>
        <v>0.5083333333333333</v>
      </c>
      <c r="CM47" s="129">
        <f t="shared" si="350"/>
        <v>0.5083333333333333</v>
      </c>
      <c r="CN47" s="278">
        <f t="shared" si="350"/>
        <v>0.5083333333333333</v>
      </c>
      <c r="CO47" s="133">
        <f t="shared" si="350"/>
        <v>0.5083333333333333</v>
      </c>
      <c r="CP47" s="133">
        <f t="shared" si="350"/>
        <v>0.5083333333333333</v>
      </c>
      <c r="CQ47" s="133">
        <f t="shared" si="350"/>
        <v>0.5083333333333333</v>
      </c>
      <c r="CR47" s="133">
        <f t="shared" si="350"/>
        <v>0.5083333333333333</v>
      </c>
      <c r="CS47" s="133">
        <f t="shared" si="350"/>
        <v>0.5083333333333333</v>
      </c>
      <c r="CT47" s="133">
        <f t="shared" si="350"/>
        <v>0.5083333333333333</v>
      </c>
      <c r="CU47" s="133">
        <f t="shared" si="350"/>
        <v>0.5083333333333333</v>
      </c>
      <c r="CV47" s="133">
        <f t="shared" si="350"/>
        <v>0.5083333333333333</v>
      </c>
      <c r="CW47" s="133">
        <f t="shared" si="350"/>
        <v>0.5083333333333333</v>
      </c>
      <c r="CX47" s="133">
        <f t="shared" si="350"/>
        <v>0.5083333333333333</v>
      </c>
      <c r="CY47" s="129">
        <f t="shared" si="350"/>
        <v>0.5083333333333333</v>
      </c>
      <c r="CZ47" s="278">
        <f t="shared" si="350"/>
        <v>0.5083333333333333</v>
      </c>
      <c r="DA47" s="133">
        <f t="shared" si="350"/>
        <v>0.5083333333333333</v>
      </c>
      <c r="DB47" s="133">
        <f t="shared" si="350"/>
        <v>0.5083333333333333</v>
      </c>
      <c r="DC47" s="133">
        <f t="shared" si="350"/>
        <v>0.5083333333333333</v>
      </c>
      <c r="DD47" s="133">
        <f t="shared" si="350"/>
        <v>0.5083333333333333</v>
      </c>
      <c r="DE47" s="133">
        <f t="shared" si="350"/>
        <v>0.5083333333333333</v>
      </c>
      <c r="DF47" s="133">
        <f t="shared" si="350"/>
        <v>0.5083333333333333</v>
      </c>
      <c r="DG47" s="133">
        <f t="shared" si="350"/>
        <v>0.5083333333333333</v>
      </c>
      <c r="DH47" s="133">
        <f t="shared" si="350"/>
        <v>0.5083333333333333</v>
      </c>
      <c r="DI47" s="133">
        <f t="shared" si="350"/>
        <v>0.5083333333333333</v>
      </c>
      <c r="DJ47" s="133">
        <f t="shared" si="350"/>
        <v>0.5083333333333333</v>
      </c>
      <c r="DK47" s="133">
        <f t="shared" si="350"/>
        <v>0.5083333333333333</v>
      </c>
      <c r="DL47" s="278">
        <f t="shared" si="350"/>
        <v>0.5083333333333333</v>
      </c>
      <c r="DM47" s="133">
        <f t="shared" si="350"/>
        <v>0.5083333333333333</v>
      </c>
      <c r="DN47" s="133">
        <f t="shared" si="350"/>
        <v>0.5083333333333333</v>
      </c>
      <c r="DO47" s="133">
        <f t="shared" si="350"/>
        <v>0.5083333333333333</v>
      </c>
      <c r="DP47" s="133">
        <f t="shared" si="350"/>
        <v>0.5083333333333333</v>
      </c>
      <c r="DQ47" s="133">
        <f t="shared" si="350"/>
        <v>0.5083333333333333</v>
      </c>
      <c r="DR47" s="133">
        <f t="shared" si="350"/>
        <v>0.5083333333333333</v>
      </c>
      <c r="DS47" s="133">
        <f t="shared" si="350"/>
        <v>0.5083333333333333</v>
      </c>
      <c r="DT47" s="133">
        <f t="shared" si="350"/>
        <v>0.5083333333333333</v>
      </c>
      <c r="DU47" s="133">
        <f t="shared" si="350"/>
        <v>0.5083333333333333</v>
      </c>
      <c r="DV47" s="133">
        <f t="shared" si="350"/>
        <v>0.5083333333333333</v>
      </c>
      <c r="DW47" s="133">
        <f t="shared" si="350"/>
        <v>0.5083333333333333</v>
      </c>
    </row>
    <row r="48" spans="3:132" x14ac:dyDescent="0.3">
      <c r="D48" s="126" t="str">
        <f t="shared" si="341"/>
        <v>Sr Manager</v>
      </c>
      <c r="E48" s="133"/>
      <c r="F48" s="378"/>
      <c r="G48" s="1203">
        <f t="shared" si="342"/>
        <v>6.0999999999999992E-6</v>
      </c>
      <c r="H48" s="133">
        <f t="shared" ref="H48:AM48" si="351">H$40/H27</f>
        <v>6.0999999999999992E-6</v>
      </c>
      <c r="I48" s="133">
        <f t="shared" si="351"/>
        <v>6.1E-6</v>
      </c>
      <c r="J48" s="133">
        <f t="shared" si="351"/>
        <v>6.1E-6</v>
      </c>
      <c r="K48" s="133">
        <f t="shared" si="351"/>
        <v>6.1E-6</v>
      </c>
      <c r="L48" s="133">
        <f t="shared" si="351"/>
        <v>6.1E-6</v>
      </c>
      <c r="M48" s="133">
        <f t="shared" si="351"/>
        <v>6.1E-6</v>
      </c>
      <c r="N48" s="133">
        <f t="shared" si="351"/>
        <v>6.1E-6</v>
      </c>
      <c r="O48" s="133">
        <f t="shared" si="351"/>
        <v>6.1E-6</v>
      </c>
      <c r="P48" s="133">
        <f t="shared" si="351"/>
        <v>6.1E-6</v>
      </c>
      <c r="Q48" s="133">
        <f t="shared" si="351"/>
        <v>6.1E-6</v>
      </c>
      <c r="R48" s="133">
        <f t="shared" si="351"/>
        <v>6.1E-6</v>
      </c>
      <c r="S48" s="133">
        <f t="shared" si="351"/>
        <v>6.1E-6</v>
      </c>
      <c r="T48" s="278">
        <f t="shared" si="351"/>
        <v>6.1E-6</v>
      </c>
      <c r="U48" s="133">
        <f t="shared" si="351"/>
        <v>6.1E-6</v>
      </c>
      <c r="V48" s="133">
        <f t="shared" si="351"/>
        <v>6.1E-6</v>
      </c>
      <c r="W48" s="133">
        <f t="shared" si="351"/>
        <v>6.1E-6</v>
      </c>
      <c r="X48" s="133">
        <f t="shared" si="351"/>
        <v>6.1E-6</v>
      </c>
      <c r="Y48" s="133">
        <f t="shared" si="351"/>
        <v>6.1E-6</v>
      </c>
      <c r="Z48" s="133">
        <f t="shared" si="351"/>
        <v>6.1E-6</v>
      </c>
      <c r="AA48" s="133">
        <f t="shared" si="351"/>
        <v>6.1E-6</v>
      </c>
      <c r="AB48" s="133">
        <f t="shared" si="351"/>
        <v>6.1E-6</v>
      </c>
      <c r="AC48" s="133">
        <f t="shared" si="351"/>
        <v>6.1E-6</v>
      </c>
      <c r="AD48" s="133">
        <f t="shared" si="351"/>
        <v>6.1E-6</v>
      </c>
      <c r="AE48" s="133">
        <f t="shared" si="351"/>
        <v>6.1E-6</v>
      </c>
      <c r="AF48" s="278">
        <f t="shared" si="351"/>
        <v>6.1E-6</v>
      </c>
      <c r="AG48" s="133">
        <f t="shared" si="351"/>
        <v>6.1E-6</v>
      </c>
      <c r="AH48" s="133">
        <f t="shared" si="351"/>
        <v>6.1E-6</v>
      </c>
      <c r="AI48" s="133">
        <f t="shared" si="351"/>
        <v>6.1E-6</v>
      </c>
      <c r="AJ48" s="133">
        <f t="shared" si="351"/>
        <v>6.1E-6</v>
      </c>
      <c r="AK48" s="133">
        <f t="shared" si="351"/>
        <v>6.1E-6</v>
      </c>
      <c r="AL48" s="133">
        <f t="shared" si="351"/>
        <v>6.1E-6</v>
      </c>
      <c r="AM48" s="133">
        <f t="shared" si="351"/>
        <v>6.1E-6</v>
      </c>
      <c r="AN48" s="133">
        <f t="shared" ref="AN48:BO48" si="352">AN$40/AN27</f>
        <v>6.1E-6</v>
      </c>
      <c r="AO48" s="133">
        <f t="shared" si="352"/>
        <v>6.1E-6</v>
      </c>
      <c r="AP48" s="133">
        <f t="shared" si="352"/>
        <v>6.1E-6</v>
      </c>
      <c r="AQ48" s="133">
        <f t="shared" si="352"/>
        <v>6.1E-6</v>
      </c>
      <c r="AR48" s="278">
        <f t="shared" si="352"/>
        <v>6.1E-6</v>
      </c>
      <c r="AS48" s="133">
        <f t="shared" si="352"/>
        <v>6.1E-6</v>
      </c>
      <c r="AT48" s="133">
        <f t="shared" si="352"/>
        <v>6.1E-6</v>
      </c>
      <c r="AU48" s="133">
        <f t="shared" si="352"/>
        <v>6.1E-6</v>
      </c>
      <c r="AV48" s="133">
        <f t="shared" si="352"/>
        <v>6.1E-6</v>
      </c>
      <c r="AW48" s="133">
        <f t="shared" si="352"/>
        <v>6.1E-6</v>
      </c>
      <c r="AX48" s="133">
        <f t="shared" si="352"/>
        <v>6.1E-6</v>
      </c>
      <c r="AY48" s="133">
        <f t="shared" si="352"/>
        <v>6.1E-6</v>
      </c>
      <c r="AZ48" s="133">
        <f t="shared" si="352"/>
        <v>6.1E-6</v>
      </c>
      <c r="BA48" s="133">
        <f t="shared" si="352"/>
        <v>6.1E-6</v>
      </c>
      <c r="BB48" s="133">
        <f t="shared" si="352"/>
        <v>6.1E-6</v>
      </c>
      <c r="BC48" s="133">
        <f t="shared" si="352"/>
        <v>6.1E-6</v>
      </c>
      <c r="BD48" s="278">
        <f t="shared" si="352"/>
        <v>6.1E-6</v>
      </c>
      <c r="BE48" s="133">
        <f t="shared" si="352"/>
        <v>6.1E-6</v>
      </c>
      <c r="BF48" s="133">
        <f t="shared" si="352"/>
        <v>6.1E-6</v>
      </c>
      <c r="BG48" s="133">
        <f t="shared" si="352"/>
        <v>6.1E-6</v>
      </c>
      <c r="BH48" s="133">
        <f t="shared" si="352"/>
        <v>6.1E-6</v>
      </c>
      <c r="BI48" s="133">
        <f t="shared" si="352"/>
        <v>6.1E-6</v>
      </c>
      <c r="BJ48" s="133">
        <f t="shared" si="352"/>
        <v>6.1E-6</v>
      </c>
      <c r="BK48" s="133">
        <f t="shared" si="352"/>
        <v>6.1E-6</v>
      </c>
      <c r="BL48" s="133">
        <f t="shared" si="352"/>
        <v>6.1E-6</v>
      </c>
      <c r="BM48" s="133">
        <f t="shared" si="352"/>
        <v>6.1E-6</v>
      </c>
      <c r="BN48" s="133">
        <f t="shared" si="352"/>
        <v>6.1E-6</v>
      </c>
      <c r="BO48" s="129">
        <f t="shared" si="352"/>
        <v>6.1E-6</v>
      </c>
      <c r="BP48" s="278">
        <f t="shared" ref="BP48:DW48" si="353">BP$40/BP27</f>
        <v>6.1E-6</v>
      </c>
      <c r="BQ48" s="133">
        <f t="shared" si="353"/>
        <v>6.1E-6</v>
      </c>
      <c r="BR48" s="133">
        <f t="shared" si="353"/>
        <v>6.1E-6</v>
      </c>
      <c r="BS48" s="133">
        <f t="shared" si="353"/>
        <v>6.1E-6</v>
      </c>
      <c r="BT48" s="133">
        <f t="shared" si="353"/>
        <v>6.1E-6</v>
      </c>
      <c r="BU48" s="133">
        <f t="shared" si="353"/>
        <v>6.1E-6</v>
      </c>
      <c r="BV48" s="133">
        <f t="shared" si="353"/>
        <v>6.1E-6</v>
      </c>
      <c r="BW48" s="133">
        <f t="shared" si="353"/>
        <v>6.1E-6</v>
      </c>
      <c r="BX48" s="133">
        <f t="shared" si="353"/>
        <v>6.1E-6</v>
      </c>
      <c r="BY48" s="133">
        <f t="shared" si="353"/>
        <v>6.1E-6</v>
      </c>
      <c r="BZ48" s="133">
        <f t="shared" si="353"/>
        <v>6.1E-6</v>
      </c>
      <c r="CA48" s="133">
        <f t="shared" si="353"/>
        <v>6.1E-6</v>
      </c>
      <c r="CB48" s="278">
        <f t="shared" si="353"/>
        <v>6.1E-6</v>
      </c>
      <c r="CC48" s="133">
        <f t="shared" si="353"/>
        <v>6.1E-6</v>
      </c>
      <c r="CD48" s="133">
        <f t="shared" si="353"/>
        <v>6.1E-6</v>
      </c>
      <c r="CE48" s="133">
        <f t="shared" si="353"/>
        <v>6.1E-6</v>
      </c>
      <c r="CF48" s="133">
        <f t="shared" si="353"/>
        <v>6.1E-6</v>
      </c>
      <c r="CG48" s="133">
        <f t="shared" si="353"/>
        <v>6.1E-6</v>
      </c>
      <c r="CH48" s="133">
        <f t="shared" si="353"/>
        <v>6.1E-6</v>
      </c>
      <c r="CI48" s="133">
        <f t="shared" si="353"/>
        <v>6.1E-6</v>
      </c>
      <c r="CJ48" s="133">
        <f t="shared" si="353"/>
        <v>6.1E-6</v>
      </c>
      <c r="CK48" s="133">
        <f t="shared" si="353"/>
        <v>6.1E-6</v>
      </c>
      <c r="CL48" s="133">
        <f t="shared" si="353"/>
        <v>6.1E-6</v>
      </c>
      <c r="CM48" s="129">
        <f t="shared" si="353"/>
        <v>6.1E-6</v>
      </c>
      <c r="CN48" s="278">
        <f t="shared" si="353"/>
        <v>6.1E-6</v>
      </c>
      <c r="CO48" s="133">
        <f t="shared" si="353"/>
        <v>6.1E-6</v>
      </c>
      <c r="CP48" s="133">
        <f t="shared" si="353"/>
        <v>6.1E-6</v>
      </c>
      <c r="CQ48" s="133">
        <f t="shared" si="353"/>
        <v>6.1E-6</v>
      </c>
      <c r="CR48" s="133">
        <f t="shared" si="353"/>
        <v>6.1E-6</v>
      </c>
      <c r="CS48" s="133">
        <f t="shared" si="353"/>
        <v>6.1E-6</v>
      </c>
      <c r="CT48" s="133">
        <f t="shared" si="353"/>
        <v>6.1E-6</v>
      </c>
      <c r="CU48" s="133">
        <f t="shared" si="353"/>
        <v>6.1E-6</v>
      </c>
      <c r="CV48" s="133">
        <f t="shared" si="353"/>
        <v>6.1E-6</v>
      </c>
      <c r="CW48" s="133">
        <f t="shared" si="353"/>
        <v>6.1E-6</v>
      </c>
      <c r="CX48" s="133">
        <f t="shared" si="353"/>
        <v>6.1E-6</v>
      </c>
      <c r="CY48" s="129">
        <f t="shared" si="353"/>
        <v>6.1E-6</v>
      </c>
      <c r="CZ48" s="278">
        <f t="shared" si="353"/>
        <v>6.1E-6</v>
      </c>
      <c r="DA48" s="133">
        <f t="shared" si="353"/>
        <v>6.1E-6</v>
      </c>
      <c r="DB48" s="133">
        <f t="shared" si="353"/>
        <v>6.1E-6</v>
      </c>
      <c r="DC48" s="133">
        <f t="shared" si="353"/>
        <v>6.1E-6</v>
      </c>
      <c r="DD48" s="133">
        <f t="shared" si="353"/>
        <v>6.1E-6</v>
      </c>
      <c r="DE48" s="133">
        <f t="shared" si="353"/>
        <v>6.1E-6</v>
      </c>
      <c r="DF48" s="133">
        <f t="shared" si="353"/>
        <v>6.1E-6</v>
      </c>
      <c r="DG48" s="133">
        <f t="shared" si="353"/>
        <v>6.1E-6</v>
      </c>
      <c r="DH48" s="133">
        <f t="shared" si="353"/>
        <v>6.1E-6</v>
      </c>
      <c r="DI48" s="133">
        <f t="shared" si="353"/>
        <v>6.1E-6</v>
      </c>
      <c r="DJ48" s="133">
        <f t="shared" si="353"/>
        <v>6.1E-6</v>
      </c>
      <c r="DK48" s="133">
        <f t="shared" si="353"/>
        <v>6.1E-6</v>
      </c>
      <c r="DL48" s="278">
        <f t="shared" si="353"/>
        <v>6.1E-6</v>
      </c>
      <c r="DM48" s="133">
        <f t="shared" si="353"/>
        <v>6.1E-6</v>
      </c>
      <c r="DN48" s="133">
        <f t="shared" si="353"/>
        <v>6.1E-6</v>
      </c>
      <c r="DO48" s="133">
        <f t="shared" si="353"/>
        <v>6.1E-6</v>
      </c>
      <c r="DP48" s="133">
        <f t="shared" si="353"/>
        <v>6.1E-6</v>
      </c>
      <c r="DQ48" s="133">
        <f t="shared" si="353"/>
        <v>6.1E-6</v>
      </c>
      <c r="DR48" s="133">
        <f t="shared" si="353"/>
        <v>6.1E-6</v>
      </c>
      <c r="DS48" s="133">
        <f t="shared" si="353"/>
        <v>6.1E-6</v>
      </c>
      <c r="DT48" s="133">
        <f t="shared" si="353"/>
        <v>6.1E-6</v>
      </c>
      <c r="DU48" s="133">
        <f t="shared" si="353"/>
        <v>6.1E-6</v>
      </c>
      <c r="DV48" s="133">
        <f t="shared" si="353"/>
        <v>6.1E-6</v>
      </c>
      <c r="DW48" s="133">
        <f t="shared" si="353"/>
        <v>6.1E-6</v>
      </c>
    </row>
    <row r="49" spans="2:127" x14ac:dyDescent="0.3">
      <c r="D49" s="126" t="str">
        <f t="shared" si="341"/>
        <v>DGM / AD</v>
      </c>
      <c r="E49" s="133"/>
      <c r="F49" s="378"/>
      <c r="G49" s="1203">
        <f t="shared" si="342"/>
        <v>0.12708333333333333</v>
      </c>
      <c r="H49" s="133">
        <f t="shared" ref="H49:AM49" si="354">H$40/H28</f>
        <v>0.12708333333333333</v>
      </c>
      <c r="I49" s="133">
        <f t="shared" si="354"/>
        <v>0.12708333333333333</v>
      </c>
      <c r="J49" s="133">
        <f t="shared" si="354"/>
        <v>0.12708333333333333</v>
      </c>
      <c r="K49" s="133">
        <f t="shared" si="354"/>
        <v>0.12708333333333333</v>
      </c>
      <c r="L49" s="133">
        <f t="shared" si="354"/>
        <v>0.12708333333333333</v>
      </c>
      <c r="M49" s="133">
        <f t="shared" si="354"/>
        <v>0.12708333333333333</v>
      </c>
      <c r="N49" s="133">
        <f t="shared" si="354"/>
        <v>0.12708333333333333</v>
      </c>
      <c r="O49" s="133">
        <f t="shared" si="354"/>
        <v>0.12708333333333333</v>
      </c>
      <c r="P49" s="133">
        <f t="shared" si="354"/>
        <v>0.12708333333333333</v>
      </c>
      <c r="Q49" s="133">
        <f t="shared" si="354"/>
        <v>0.12708333333333333</v>
      </c>
      <c r="R49" s="133">
        <f t="shared" si="354"/>
        <v>0.12708333333333333</v>
      </c>
      <c r="S49" s="133">
        <f t="shared" si="354"/>
        <v>0.12708333333333333</v>
      </c>
      <c r="T49" s="278">
        <f t="shared" si="354"/>
        <v>0.12708333333333333</v>
      </c>
      <c r="U49" s="133">
        <f t="shared" si="354"/>
        <v>0.12708333333333333</v>
      </c>
      <c r="V49" s="133">
        <f t="shared" si="354"/>
        <v>0.12708333333333333</v>
      </c>
      <c r="W49" s="133">
        <f t="shared" si="354"/>
        <v>0.12708333333333333</v>
      </c>
      <c r="X49" s="133">
        <f t="shared" si="354"/>
        <v>0.12708333333333333</v>
      </c>
      <c r="Y49" s="133">
        <f t="shared" si="354"/>
        <v>0.12708333333333333</v>
      </c>
      <c r="Z49" s="133">
        <f t="shared" si="354"/>
        <v>0.12708333333333333</v>
      </c>
      <c r="AA49" s="133">
        <f t="shared" si="354"/>
        <v>0.12708333333333333</v>
      </c>
      <c r="AB49" s="133">
        <f t="shared" si="354"/>
        <v>0.12708333333333333</v>
      </c>
      <c r="AC49" s="133">
        <f t="shared" si="354"/>
        <v>0.12708333333333333</v>
      </c>
      <c r="AD49" s="133">
        <f t="shared" si="354"/>
        <v>0.12708333333333333</v>
      </c>
      <c r="AE49" s="133">
        <f t="shared" si="354"/>
        <v>0.12708333333333333</v>
      </c>
      <c r="AF49" s="278">
        <f t="shared" si="354"/>
        <v>0.12708333333333333</v>
      </c>
      <c r="AG49" s="133">
        <f t="shared" si="354"/>
        <v>0.12708333333333333</v>
      </c>
      <c r="AH49" s="133">
        <f t="shared" si="354"/>
        <v>0.12708333333333333</v>
      </c>
      <c r="AI49" s="133">
        <f t="shared" si="354"/>
        <v>0.12708333333333333</v>
      </c>
      <c r="AJ49" s="133">
        <f t="shared" si="354"/>
        <v>0.12708333333333333</v>
      </c>
      <c r="AK49" s="133">
        <f t="shared" si="354"/>
        <v>0.12708333333333333</v>
      </c>
      <c r="AL49" s="133">
        <f t="shared" si="354"/>
        <v>0.12708333333333333</v>
      </c>
      <c r="AM49" s="133">
        <f t="shared" si="354"/>
        <v>0.12708333333333333</v>
      </c>
      <c r="AN49" s="133">
        <f t="shared" ref="AN49:BO49" si="355">AN$40/AN28</f>
        <v>0.12708333333333333</v>
      </c>
      <c r="AO49" s="133">
        <f t="shared" si="355"/>
        <v>0.12708333333333333</v>
      </c>
      <c r="AP49" s="133">
        <f t="shared" si="355"/>
        <v>0.12708333333333333</v>
      </c>
      <c r="AQ49" s="133">
        <f t="shared" si="355"/>
        <v>0.12708333333333333</v>
      </c>
      <c r="AR49" s="278">
        <f t="shared" si="355"/>
        <v>0.12708333333333333</v>
      </c>
      <c r="AS49" s="133">
        <f t="shared" si="355"/>
        <v>0.12708333333333333</v>
      </c>
      <c r="AT49" s="133">
        <f t="shared" si="355"/>
        <v>0.12708333333333333</v>
      </c>
      <c r="AU49" s="133">
        <f t="shared" si="355"/>
        <v>0.12708333333333333</v>
      </c>
      <c r="AV49" s="133">
        <f t="shared" si="355"/>
        <v>0.12708333333333333</v>
      </c>
      <c r="AW49" s="133">
        <f t="shared" si="355"/>
        <v>0.12708333333333333</v>
      </c>
      <c r="AX49" s="133">
        <f t="shared" si="355"/>
        <v>0.12708333333333333</v>
      </c>
      <c r="AY49" s="133">
        <f t="shared" si="355"/>
        <v>0.12708333333333333</v>
      </c>
      <c r="AZ49" s="133">
        <f t="shared" si="355"/>
        <v>0.12708333333333333</v>
      </c>
      <c r="BA49" s="133">
        <f t="shared" si="355"/>
        <v>0.12708333333333333</v>
      </c>
      <c r="BB49" s="133">
        <f t="shared" si="355"/>
        <v>0.12708333333333333</v>
      </c>
      <c r="BC49" s="133">
        <f t="shared" si="355"/>
        <v>0.12708333333333333</v>
      </c>
      <c r="BD49" s="278">
        <f t="shared" si="355"/>
        <v>0.12708333333333333</v>
      </c>
      <c r="BE49" s="133">
        <f t="shared" si="355"/>
        <v>0.12708333333333333</v>
      </c>
      <c r="BF49" s="133">
        <f t="shared" si="355"/>
        <v>0.12708333333333333</v>
      </c>
      <c r="BG49" s="133">
        <f t="shared" si="355"/>
        <v>0.12708333333333333</v>
      </c>
      <c r="BH49" s="133">
        <f t="shared" si="355"/>
        <v>0.12708333333333333</v>
      </c>
      <c r="BI49" s="133">
        <f t="shared" si="355"/>
        <v>0.12708333333333333</v>
      </c>
      <c r="BJ49" s="133">
        <f t="shared" si="355"/>
        <v>0.12708333333333333</v>
      </c>
      <c r="BK49" s="133">
        <f t="shared" si="355"/>
        <v>0.12708333333333333</v>
      </c>
      <c r="BL49" s="133">
        <f t="shared" si="355"/>
        <v>0.12708333333333333</v>
      </c>
      <c r="BM49" s="133">
        <f t="shared" si="355"/>
        <v>0.12708333333333333</v>
      </c>
      <c r="BN49" s="133">
        <f t="shared" si="355"/>
        <v>0.12708333333333333</v>
      </c>
      <c r="BO49" s="129">
        <f t="shared" si="355"/>
        <v>0.12708333333333333</v>
      </c>
      <c r="BP49" s="278">
        <f t="shared" ref="BP49:DW49" si="356">BP$40/BP28</f>
        <v>0.12708333333333333</v>
      </c>
      <c r="BQ49" s="133">
        <f t="shared" si="356"/>
        <v>0.12708333333333333</v>
      </c>
      <c r="BR49" s="133">
        <f t="shared" si="356"/>
        <v>0.12708333333333333</v>
      </c>
      <c r="BS49" s="133">
        <f t="shared" si="356"/>
        <v>0.12708333333333333</v>
      </c>
      <c r="BT49" s="133">
        <f t="shared" si="356"/>
        <v>0.12708333333333333</v>
      </c>
      <c r="BU49" s="133">
        <f t="shared" si="356"/>
        <v>0.12708333333333333</v>
      </c>
      <c r="BV49" s="133">
        <f t="shared" si="356"/>
        <v>0.12708333333333333</v>
      </c>
      <c r="BW49" s="133">
        <f t="shared" si="356"/>
        <v>0.12708333333333333</v>
      </c>
      <c r="BX49" s="133">
        <f t="shared" si="356"/>
        <v>0.12708333333333333</v>
      </c>
      <c r="BY49" s="133">
        <f t="shared" si="356"/>
        <v>0.12708333333333333</v>
      </c>
      <c r="BZ49" s="133">
        <f t="shared" si="356"/>
        <v>0.12708333333333333</v>
      </c>
      <c r="CA49" s="133">
        <f t="shared" si="356"/>
        <v>0.12708333333333333</v>
      </c>
      <c r="CB49" s="278">
        <f t="shared" si="356"/>
        <v>0.12708333333333333</v>
      </c>
      <c r="CC49" s="133">
        <f t="shared" si="356"/>
        <v>0.12708333333333333</v>
      </c>
      <c r="CD49" s="133">
        <f t="shared" si="356"/>
        <v>0.12708333333333333</v>
      </c>
      <c r="CE49" s="133">
        <f t="shared" si="356"/>
        <v>0.12708333333333333</v>
      </c>
      <c r="CF49" s="133">
        <f t="shared" si="356"/>
        <v>0.12708333333333333</v>
      </c>
      <c r="CG49" s="133">
        <f t="shared" si="356"/>
        <v>0.12708333333333333</v>
      </c>
      <c r="CH49" s="133">
        <f t="shared" si="356"/>
        <v>0.12708333333333333</v>
      </c>
      <c r="CI49" s="133">
        <f t="shared" si="356"/>
        <v>0.12708333333333333</v>
      </c>
      <c r="CJ49" s="133">
        <f t="shared" si="356"/>
        <v>0.12708333333333333</v>
      </c>
      <c r="CK49" s="133">
        <f t="shared" si="356"/>
        <v>0.12708333333333333</v>
      </c>
      <c r="CL49" s="133">
        <f t="shared" si="356"/>
        <v>0.12708333333333333</v>
      </c>
      <c r="CM49" s="129">
        <f t="shared" si="356"/>
        <v>0.12708333333333333</v>
      </c>
      <c r="CN49" s="278">
        <f t="shared" si="356"/>
        <v>0.12708333333333333</v>
      </c>
      <c r="CO49" s="133">
        <f t="shared" si="356"/>
        <v>0.12708333333333333</v>
      </c>
      <c r="CP49" s="133">
        <f t="shared" si="356"/>
        <v>0.12708333333333333</v>
      </c>
      <c r="CQ49" s="133">
        <f t="shared" si="356"/>
        <v>0.12708333333333333</v>
      </c>
      <c r="CR49" s="133">
        <f t="shared" si="356"/>
        <v>0.12708333333333333</v>
      </c>
      <c r="CS49" s="133">
        <f t="shared" si="356"/>
        <v>0.12708333333333333</v>
      </c>
      <c r="CT49" s="133">
        <f t="shared" si="356"/>
        <v>0.12708333333333333</v>
      </c>
      <c r="CU49" s="133">
        <f t="shared" si="356"/>
        <v>0.12708333333333333</v>
      </c>
      <c r="CV49" s="133">
        <f t="shared" si="356"/>
        <v>0.12708333333333333</v>
      </c>
      <c r="CW49" s="133">
        <f t="shared" si="356"/>
        <v>0.12708333333333333</v>
      </c>
      <c r="CX49" s="133">
        <f t="shared" si="356"/>
        <v>0.12708333333333333</v>
      </c>
      <c r="CY49" s="129">
        <f t="shared" si="356"/>
        <v>0.12708333333333333</v>
      </c>
      <c r="CZ49" s="278">
        <f t="shared" si="356"/>
        <v>0.12708333333333333</v>
      </c>
      <c r="DA49" s="133">
        <f t="shared" si="356"/>
        <v>0.12708333333333333</v>
      </c>
      <c r="DB49" s="133">
        <f t="shared" si="356"/>
        <v>0.12708333333333333</v>
      </c>
      <c r="DC49" s="133">
        <f t="shared" si="356"/>
        <v>0.12708333333333333</v>
      </c>
      <c r="DD49" s="133">
        <f t="shared" si="356"/>
        <v>0.12708333333333333</v>
      </c>
      <c r="DE49" s="133">
        <f t="shared" si="356"/>
        <v>0.12708333333333333</v>
      </c>
      <c r="DF49" s="133">
        <f t="shared" si="356"/>
        <v>0.12708333333333333</v>
      </c>
      <c r="DG49" s="133">
        <f t="shared" si="356"/>
        <v>0.12708333333333333</v>
      </c>
      <c r="DH49" s="133">
        <f t="shared" si="356"/>
        <v>0.12708333333333333</v>
      </c>
      <c r="DI49" s="133">
        <f t="shared" si="356"/>
        <v>0.12708333333333333</v>
      </c>
      <c r="DJ49" s="133">
        <f t="shared" si="356"/>
        <v>0.12708333333333333</v>
      </c>
      <c r="DK49" s="133">
        <f t="shared" si="356"/>
        <v>0.12708333333333333</v>
      </c>
      <c r="DL49" s="278">
        <f t="shared" si="356"/>
        <v>0.12708333333333333</v>
      </c>
      <c r="DM49" s="133">
        <f t="shared" si="356"/>
        <v>0.12708333333333333</v>
      </c>
      <c r="DN49" s="133">
        <f t="shared" si="356"/>
        <v>0.12708333333333333</v>
      </c>
      <c r="DO49" s="133">
        <f t="shared" si="356"/>
        <v>0.12708333333333333</v>
      </c>
      <c r="DP49" s="133">
        <f t="shared" si="356"/>
        <v>0.12708333333333333</v>
      </c>
      <c r="DQ49" s="133">
        <f t="shared" si="356"/>
        <v>0.12708333333333333</v>
      </c>
      <c r="DR49" s="133">
        <f t="shared" si="356"/>
        <v>0.12708333333333333</v>
      </c>
      <c r="DS49" s="133">
        <f t="shared" si="356"/>
        <v>0.12708333333333333</v>
      </c>
      <c r="DT49" s="133">
        <f t="shared" si="356"/>
        <v>0.12708333333333333</v>
      </c>
      <c r="DU49" s="133">
        <f t="shared" si="356"/>
        <v>0.12708333333333333</v>
      </c>
      <c r="DV49" s="133">
        <f t="shared" si="356"/>
        <v>0.12708333333333333</v>
      </c>
      <c r="DW49" s="133">
        <f t="shared" si="356"/>
        <v>0.12708333333333333</v>
      </c>
    </row>
    <row r="50" spans="2:127" x14ac:dyDescent="0.3">
      <c r="D50" s="126" t="str">
        <f t="shared" si="341"/>
        <v>GM / Director</v>
      </c>
      <c r="E50" s="133"/>
      <c r="F50" s="378"/>
      <c r="G50" s="1203">
        <f t="shared" si="342"/>
        <v>6.3541666666666663E-2</v>
      </c>
      <c r="H50" s="133">
        <f t="shared" ref="H50:AM50" si="357">H$40/H29</f>
        <v>6.3541666666666663E-2</v>
      </c>
      <c r="I50" s="133">
        <f t="shared" si="357"/>
        <v>6.3541666666666663E-2</v>
      </c>
      <c r="J50" s="133">
        <f t="shared" si="357"/>
        <v>6.3541666666666663E-2</v>
      </c>
      <c r="K50" s="133">
        <f t="shared" si="357"/>
        <v>6.3541666666666663E-2</v>
      </c>
      <c r="L50" s="133">
        <f t="shared" si="357"/>
        <v>6.3541666666666663E-2</v>
      </c>
      <c r="M50" s="133">
        <f t="shared" si="357"/>
        <v>6.3541666666666663E-2</v>
      </c>
      <c r="N50" s="133">
        <f t="shared" si="357"/>
        <v>6.3541666666666663E-2</v>
      </c>
      <c r="O50" s="133">
        <f t="shared" si="357"/>
        <v>6.3541666666666663E-2</v>
      </c>
      <c r="P50" s="133">
        <f t="shared" si="357"/>
        <v>6.3541666666666663E-2</v>
      </c>
      <c r="Q50" s="133">
        <f t="shared" si="357"/>
        <v>6.3541666666666663E-2</v>
      </c>
      <c r="R50" s="133">
        <f t="shared" si="357"/>
        <v>6.3541666666666663E-2</v>
      </c>
      <c r="S50" s="133">
        <f t="shared" si="357"/>
        <v>6.3541666666666663E-2</v>
      </c>
      <c r="T50" s="278">
        <f t="shared" si="357"/>
        <v>6.3541666666666663E-2</v>
      </c>
      <c r="U50" s="133">
        <f t="shared" si="357"/>
        <v>6.3541666666666663E-2</v>
      </c>
      <c r="V50" s="133">
        <f t="shared" si="357"/>
        <v>6.3541666666666663E-2</v>
      </c>
      <c r="W50" s="133">
        <f t="shared" si="357"/>
        <v>6.3541666666666663E-2</v>
      </c>
      <c r="X50" s="133">
        <f t="shared" si="357"/>
        <v>6.3541666666666663E-2</v>
      </c>
      <c r="Y50" s="133">
        <f t="shared" si="357"/>
        <v>6.3541666666666663E-2</v>
      </c>
      <c r="Z50" s="133">
        <f t="shared" si="357"/>
        <v>6.3541666666666663E-2</v>
      </c>
      <c r="AA50" s="133">
        <f t="shared" si="357"/>
        <v>6.3541666666666663E-2</v>
      </c>
      <c r="AB50" s="133">
        <f t="shared" si="357"/>
        <v>6.3541666666666663E-2</v>
      </c>
      <c r="AC50" s="133">
        <f t="shared" si="357"/>
        <v>6.3541666666666663E-2</v>
      </c>
      <c r="AD50" s="133">
        <f t="shared" si="357"/>
        <v>6.3541666666666663E-2</v>
      </c>
      <c r="AE50" s="133">
        <f t="shared" si="357"/>
        <v>6.3541666666666663E-2</v>
      </c>
      <c r="AF50" s="278">
        <f t="shared" si="357"/>
        <v>6.3541666666666663E-2</v>
      </c>
      <c r="AG50" s="133">
        <f t="shared" si="357"/>
        <v>6.3541666666666663E-2</v>
      </c>
      <c r="AH50" s="133">
        <f t="shared" si="357"/>
        <v>6.3541666666666663E-2</v>
      </c>
      <c r="AI50" s="133">
        <f t="shared" si="357"/>
        <v>6.3541666666666663E-2</v>
      </c>
      <c r="AJ50" s="133">
        <f t="shared" si="357"/>
        <v>6.3541666666666663E-2</v>
      </c>
      <c r="AK50" s="133">
        <f t="shared" si="357"/>
        <v>6.3541666666666663E-2</v>
      </c>
      <c r="AL50" s="133">
        <f t="shared" si="357"/>
        <v>6.3541666666666663E-2</v>
      </c>
      <c r="AM50" s="133">
        <f t="shared" si="357"/>
        <v>6.3541666666666663E-2</v>
      </c>
      <c r="AN50" s="133">
        <f t="shared" ref="AN50:BO50" si="358">AN$40/AN29</f>
        <v>6.3541666666666663E-2</v>
      </c>
      <c r="AO50" s="133">
        <f t="shared" si="358"/>
        <v>6.3541666666666663E-2</v>
      </c>
      <c r="AP50" s="133">
        <f t="shared" si="358"/>
        <v>6.3541666666666663E-2</v>
      </c>
      <c r="AQ50" s="133">
        <f t="shared" si="358"/>
        <v>6.3541666666666663E-2</v>
      </c>
      <c r="AR50" s="278">
        <f t="shared" si="358"/>
        <v>6.3541666666666663E-2</v>
      </c>
      <c r="AS50" s="133">
        <f t="shared" si="358"/>
        <v>6.3541666666666663E-2</v>
      </c>
      <c r="AT50" s="133">
        <f t="shared" si="358"/>
        <v>6.3541666666666663E-2</v>
      </c>
      <c r="AU50" s="133">
        <f t="shared" si="358"/>
        <v>6.3541666666666663E-2</v>
      </c>
      <c r="AV50" s="133">
        <f t="shared" si="358"/>
        <v>6.3541666666666663E-2</v>
      </c>
      <c r="AW50" s="133">
        <f t="shared" si="358"/>
        <v>6.3541666666666663E-2</v>
      </c>
      <c r="AX50" s="133">
        <f t="shared" si="358"/>
        <v>6.3541666666666663E-2</v>
      </c>
      <c r="AY50" s="133">
        <f t="shared" si="358"/>
        <v>6.3541666666666663E-2</v>
      </c>
      <c r="AZ50" s="133">
        <f t="shared" si="358"/>
        <v>6.3541666666666663E-2</v>
      </c>
      <c r="BA50" s="133">
        <f t="shared" si="358"/>
        <v>6.3541666666666663E-2</v>
      </c>
      <c r="BB50" s="133">
        <f t="shared" si="358"/>
        <v>6.3541666666666663E-2</v>
      </c>
      <c r="BC50" s="133">
        <f t="shared" si="358"/>
        <v>6.3541666666666663E-2</v>
      </c>
      <c r="BD50" s="278">
        <f t="shared" si="358"/>
        <v>6.3541666666666663E-2</v>
      </c>
      <c r="BE50" s="133">
        <f t="shared" si="358"/>
        <v>6.3541666666666663E-2</v>
      </c>
      <c r="BF50" s="133">
        <f t="shared" si="358"/>
        <v>6.3541666666666663E-2</v>
      </c>
      <c r="BG50" s="133">
        <f t="shared" si="358"/>
        <v>6.3541666666666663E-2</v>
      </c>
      <c r="BH50" s="133">
        <f t="shared" si="358"/>
        <v>6.3541666666666663E-2</v>
      </c>
      <c r="BI50" s="133">
        <f t="shared" si="358"/>
        <v>6.3541666666666663E-2</v>
      </c>
      <c r="BJ50" s="133">
        <f t="shared" si="358"/>
        <v>6.3541666666666663E-2</v>
      </c>
      <c r="BK50" s="133">
        <f t="shared" si="358"/>
        <v>6.3541666666666663E-2</v>
      </c>
      <c r="BL50" s="133">
        <f t="shared" si="358"/>
        <v>6.3541666666666663E-2</v>
      </c>
      <c r="BM50" s="133">
        <f t="shared" si="358"/>
        <v>6.3541666666666663E-2</v>
      </c>
      <c r="BN50" s="133">
        <f t="shared" si="358"/>
        <v>6.3541666666666663E-2</v>
      </c>
      <c r="BO50" s="129">
        <f t="shared" si="358"/>
        <v>6.3541666666666663E-2</v>
      </c>
      <c r="BP50" s="278">
        <f t="shared" ref="BP50:DW50" si="359">BP$40/BP29</f>
        <v>6.3541666666666663E-2</v>
      </c>
      <c r="BQ50" s="133">
        <f t="shared" si="359"/>
        <v>6.3541666666666663E-2</v>
      </c>
      <c r="BR50" s="133">
        <f t="shared" si="359"/>
        <v>6.3541666666666663E-2</v>
      </c>
      <c r="BS50" s="133">
        <f t="shared" si="359"/>
        <v>6.3541666666666663E-2</v>
      </c>
      <c r="BT50" s="133">
        <f t="shared" si="359"/>
        <v>6.3541666666666663E-2</v>
      </c>
      <c r="BU50" s="133">
        <f t="shared" si="359"/>
        <v>6.3541666666666663E-2</v>
      </c>
      <c r="BV50" s="133">
        <f t="shared" si="359"/>
        <v>6.3541666666666663E-2</v>
      </c>
      <c r="BW50" s="133">
        <f t="shared" si="359"/>
        <v>6.3541666666666663E-2</v>
      </c>
      <c r="BX50" s="133">
        <f t="shared" si="359"/>
        <v>6.3541666666666663E-2</v>
      </c>
      <c r="BY50" s="133">
        <f t="shared" si="359"/>
        <v>6.3541666666666663E-2</v>
      </c>
      <c r="BZ50" s="133">
        <f t="shared" si="359"/>
        <v>6.3541666666666663E-2</v>
      </c>
      <c r="CA50" s="133">
        <f t="shared" si="359"/>
        <v>6.3541666666666663E-2</v>
      </c>
      <c r="CB50" s="278">
        <f t="shared" si="359"/>
        <v>6.3541666666666663E-2</v>
      </c>
      <c r="CC50" s="133">
        <f t="shared" si="359"/>
        <v>6.3541666666666663E-2</v>
      </c>
      <c r="CD50" s="133">
        <f t="shared" si="359"/>
        <v>6.3541666666666663E-2</v>
      </c>
      <c r="CE50" s="133">
        <f t="shared" si="359"/>
        <v>6.3541666666666663E-2</v>
      </c>
      <c r="CF50" s="133">
        <f t="shared" si="359"/>
        <v>6.3541666666666663E-2</v>
      </c>
      <c r="CG50" s="133">
        <f t="shared" si="359"/>
        <v>6.3541666666666663E-2</v>
      </c>
      <c r="CH50" s="133">
        <f t="shared" si="359"/>
        <v>6.3541666666666663E-2</v>
      </c>
      <c r="CI50" s="133">
        <f t="shared" si="359"/>
        <v>6.3541666666666663E-2</v>
      </c>
      <c r="CJ50" s="133">
        <f t="shared" si="359"/>
        <v>6.3541666666666663E-2</v>
      </c>
      <c r="CK50" s="133">
        <f t="shared" si="359"/>
        <v>6.3541666666666663E-2</v>
      </c>
      <c r="CL50" s="133">
        <f t="shared" si="359"/>
        <v>6.3541666666666663E-2</v>
      </c>
      <c r="CM50" s="129">
        <f t="shared" si="359"/>
        <v>6.3541666666666663E-2</v>
      </c>
      <c r="CN50" s="278">
        <f t="shared" si="359"/>
        <v>6.3541666666666663E-2</v>
      </c>
      <c r="CO50" s="133">
        <f t="shared" si="359"/>
        <v>6.3541666666666663E-2</v>
      </c>
      <c r="CP50" s="133">
        <f t="shared" si="359"/>
        <v>6.3541666666666663E-2</v>
      </c>
      <c r="CQ50" s="133">
        <f t="shared" si="359"/>
        <v>6.3541666666666663E-2</v>
      </c>
      <c r="CR50" s="133">
        <f t="shared" si="359"/>
        <v>6.3541666666666663E-2</v>
      </c>
      <c r="CS50" s="133">
        <f t="shared" si="359"/>
        <v>6.3541666666666663E-2</v>
      </c>
      <c r="CT50" s="133">
        <f t="shared" si="359"/>
        <v>6.3541666666666663E-2</v>
      </c>
      <c r="CU50" s="133">
        <f t="shared" si="359"/>
        <v>6.3541666666666663E-2</v>
      </c>
      <c r="CV50" s="133">
        <f t="shared" si="359"/>
        <v>6.3541666666666663E-2</v>
      </c>
      <c r="CW50" s="133">
        <f t="shared" si="359"/>
        <v>6.3541666666666663E-2</v>
      </c>
      <c r="CX50" s="133">
        <f t="shared" si="359"/>
        <v>6.3541666666666663E-2</v>
      </c>
      <c r="CY50" s="129">
        <f t="shared" si="359"/>
        <v>6.3541666666666663E-2</v>
      </c>
      <c r="CZ50" s="278">
        <f t="shared" si="359"/>
        <v>6.3541666666666663E-2</v>
      </c>
      <c r="DA50" s="133">
        <f t="shared" si="359"/>
        <v>6.3541666666666663E-2</v>
      </c>
      <c r="DB50" s="133">
        <f t="shared" si="359"/>
        <v>6.3541666666666663E-2</v>
      </c>
      <c r="DC50" s="133">
        <f t="shared" si="359"/>
        <v>6.3541666666666663E-2</v>
      </c>
      <c r="DD50" s="133">
        <f t="shared" si="359"/>
        <v>6.3541666666666663E-2</v>
      </c>
      <c r="DE50" s="133">
        <f t="shared" si="359"/>
        <v>6.3541666666666663E-2</v>
      </c>
      <c r="DF50" s="133">
        <f t="shared" si="359"/>
        <v>6.3541666666666663E-2</v>
      </c>
      <c r="DG50" s="133">
        <f t="shared" si="359"/>
        <v>6.3541666666666663E-2</v>
      </c>
      <c r="DH50" s="133">
        <f t="shared" si="359"/>
        <v>6.3541666666666663E-2</v>
      </c>
      <c r="DI50" s="133">
        <f t="shared" si="359"/>
        <v>6.3541666666666663E-2</v>
      </c>
      <c r="DJ50" s="133">
        <f t="shared" si="359"/>
        <v>6.3541666666666663E-2</v>
      </c>
      <c r="DK50" s="133">
        <f t="shared" si="359"/>
        <v>6.3541666666666663E-2</v>
      </c>
      <c r="DL50" s="278">
        <f t="shared" si="359"/>
        <v>6.3541666666666663E-2</v>
      </c>
      <c r="DM50" s="133">
        <f t="shared" si="359"/>
        <v>6.3541666666666663E-2</v>
      </c>
      <c r="DN50" s="133">
        <f t="shared" si="359"/>
        <v>6.3541666666666663E-2</v>
      </c>
      <c r="DO50" s="133">
        <f t="shared" si="359"/>
        <v>6.3541666666666663E-2</v>
      </c>
      <c r="DP50" s="133">
        <f t="shared" si="359"/>
        <v>6.3541666666666663E-2</v>
      </c>
      <c r="DQ50" s="133">
        <f t="shared" si="359"/>
        <v>6.3541666666666663E-2</v>
      </c>
      <c r="DR50" s="133">
        <f t="shared" si="359"/>
        <v>6.3541666666666663E-2</v>
      </c>
      <c r="DS50" s="133">
        <f t="shared" si="359"/>
        <v>6.3541666666666663E-2</v>
      </c>
      <c r="DT50" s="133">
        <f t="shared" si="359"/>
        <v>6.3541666666666663E-2</v>
      </c>
      <c r="DU50" s="133">
        <f t="shared" si="359"/>
        <v>6.3541666666666663E-2</v>
      </c>
      <c r="DV50" s="133">
        <f t="shared" si="359"/>
        <v>6.3541666666666663E-2</v>
      </c>
      <c r="DW50" s="133">
        <f t="shared" si="359"/>
        <v>6.3541666666666663E-2</v>
      </c>
    </row>
    <row r="51" spans="2:127" x14ac:dyDescent="0.3">
      <c r="D51" s="126" t="str">
        <f t="shared" si="341"/>
        <v>AVP / VP</v>
      </c>
      <c r="E51" s="133"/>
      <c r="F51" s="378"/>
      <c r="G51" s="1203">
        <f t="shared" si="342"/>
        <v>6.0999999999999992E-6</v>
      </c>
      <c r="H51" s="133">
        <f t="shared" ref="H51:AM51" si="360">H$40/H30</f>
        <v>6.0999999999999992E-6</v>
      </c>
      <c r="I51" s="133">
        <f t="shared" si="360"/>
        <v>6.1E-6</v>
      </c>
      <c r="J51" s="133">
        <f t="shared" si="360"/>
        <v>6.1E-6</v>
      </c>
      <c r="K51" s="133">
        <f t="shared" si="360"/>
        <v>6.1E-6</v>
      </c>
      <c r="L51" s="133">
        <f t="shared" si="360"/>
        <v>6.1E-6</v>
      </c>
      <c r="M51" s="133">
        <f t="shared" si="360"/>
        <v>6.1E-6</v>
      </c>
      <c r="N51" s="133">
        <f t="shared" si="360"/>
        <v>6.1E-6</v>
      </c>
      <c r="O51" s="133">
        <f t="shared" si="360"/>
        <v>6.1E-6</v>
      </c>
      <c r="P51" s="133">
        <f t="shared" si="360"/>
        <v>6.1E-6</v>
      </c>
      <c r="Q51" s="133">
        <f t="shared" si="360"/>
        <v>6.1E-6</v>
      </c>
      <c r="R51" s="133">
        <f t="shared" si="360"/>
        <v>6.1E-6</v>
      </c>
      <c r="S51" s="133">
        <f t="shared" si="360"/>
        <v>6.1E-6</v>
      </c>
      <c r="T51" s="278">
        <f t="shared" si="360"/>
        <v>6.1E-6</v>
      </c>
      <c r="U51" s="133">
        <f t="shared" si="360"/>
        <v>6.1E-6</v>
      </c>
      <c r="V51" s="133">
        <f t="shared" si="360"/>
        <v>6.1E-6</v>
      </c>
      <c r="W51" s="133">
        <f t="shared" si="360"/>
        <v>6.1E-6</v>
      </c>
      <c r="X51" s="133">
        <f t="shared" si="360"/>
        <v>6.1E-6</v>
      </c>
      <c r="Y51" s="133">
        <f t="shared" si="360"/>
        <v>6.1E-6</v>
      </c>
      <c r="Z51" s="133">
        <f t="shared" si="360"/>
        <v>6.1E-6</v>
      </c>
      <c r="AA51" s="133">
        <f t="shared" si="360"/>
        <v>6.1E-6</v>
      </c>
      <c r="AB51" s="133">
        <f t="shared" si="360"/>
        <v>6.1E-6</v>
      </c>
      <c r="AC51" s="133">
        <f t="shared" si="360"/>
        <v>6.1E-6</v>
      </c>
      <c r="AD51" s="133">
        <f t="shared" si="360"/>
        <v>6.1E-6</v>
      </c>
      <c r="AE51" s="133">
        <f t="shared" si="360"/>
        <v>6.1E-6</v>
      </c>
      <c r="AF51" s="278">
        <f t="shared" si="360"/>
        <v>6.1E-6</v>
      </c>
      <c r="AG51" s="133">
        <f t="shared" si="360"/>
        <v>6.1E-6</v>
      </c>
      <c r="AH51" s="133">
        <f t="shared" si="360"/>
        <v>6.1E-6</v>
      </c>
      <c r="AI51" s="133">
        <f t="shared" si="360"/>
        <v>6.1E-6</v>
      </c>
      <c r="AJ51" s="133">
        <f t="shared" si="360"/>
        <v>6.1E-6</v>
      </c>
      <c r="AK51" s="133">
        <f t="shared" si="360"/>
        <v>6.1E-6</v>
      </c>
      <c r="AL51" s="133">
        <f t="shared" si="360"/>
        <v>6.1E-6</v>
      </c>
      <c r="AM51" s="133">
        <f t="shared" si="360"/>
        <v>6.1E-6</v>
      </c>
      <c r="AN51" s="133">
        <f t="shared" ref="AN51:BS51" si="361">AN$40/AN30</f>
        <v>6.1E-6</v>
      </c>
      <c r="AO51" s="133">
        <f t="shared" si="361"/>
        <v>6.1E-6</v>
      </c>
      <c r="AP51" s="133">
        <f t="shared" si="361"/>
        <v>6.1E-6</v>
      </c>
      <c r="AQ51" s="133">
        <f t="shared" si="361"/>
        <v>6.1E-6</v>
      </c>
      <c r="AR51" s="278">
        <f t="shared" si="361"/>
        <v>6.1E-6</v>
      </c>
      <c r="AS51" s="133">
        <f t="shared" si="361"/>
        <v>6.1E-6</v>
      </c>
      <c r="AT51" s="133">
        <f t="shared" si="361"/>
        <v>6.1E-6</v>
      </c>
      <c r="AU51" s="133">
        <f t="shared" si="361"/>
        <v>6.1E-6</v>
      </c>
      <c r="AV51" s="133">
        <f t="shared" si="361"/>
        <v>6.1E-6</v>
      </c>
      <c r="AW51" s="133">
        <f t="shared" si="361"/>
        <v>6.1E-6</v>
      </c>
      <c r="AX51" s="133">
        <f t="shared" si="361"/>
        <v>6.1E-6</v>
      </c>
      <c r="AY51" s="133">
        <f t="shared" si="361"/>
        <v>6.1E-6</v>
      </c>
      <c r="AZ51" s="133">
        <f t="shared" si="361"/>
        <v>6.1E-6</v>
      </c>
      <c r="BA51" s="133">
        <f t="shared" si="361"/>
        <v>6.1E-6</v>
      </c>
      <c r="BB51" s="133">
        <f t="shared" si="361"/>
        <v>6.1E-6</v>
      </c>
      <c r="BC51" s="133">
        <f t="shared" si="361"/>
        <v>6.1E-6</v>
      </c>
      <c r="BD51" s="278">
        <f t="shared" si="361"/>
        <v>6.1E-6</v>
      </c>
      <c r="BE51" s="133">
        <f t="shared" si="361"/>
        <v>6.1E-6</v>
      </c>
      <c r="BF51" s="133">
        <f t="shared" si="361"/>
        <v>6.1E-6</v>
      </c>
      <c r="BG51" s="133">
        <f t="shared" si="361"/>
        <v>6.1E-6</v>
      </c>
      <c r="BH51" s="133">
        <f t="shared" si="361"/>
        <v>6.1E-6</v>
      </c>
      <c r="BI51" s="133">
        <f t="shared" si="361"/>
        <v>6.1E-6</v>
      </c>
      <c r="BJ51" s="133">
        <f t="shared" si="361"/>
        <v>6.1E-6</v>
      </c>
      <c r="BK51" s="133">
        <f t="shared" si="361"/>
        <v>6.1E-6</v>
      </c>
      <c r="BL51" s="133">
        <f t="shared" si="361"/>
        <v>6.1E-6</v>
      </c>
      <c r="BM51" s="133">
        <f t="shared" si="361"/>
        <v>6.1E-6</v>
      </c>
      <c r="BN51" s="133">
        <f t="shared" si="361"/>
        <v>6.1E-6</v>
      </c>
      <c r="BO51" s="129">
        <f t="shared" si="361"/>
        <v>6.1E-6</v>
      </c>
      <c r="BP51" s="278">
        <f t="shared" si="361"/>
        <v>6.1E-6</v>
      </c>
      <c r="BQ51" s="133">
        <f t="shared" si="361"/>
        <v>6.1E-6</v>
      </c>
      <c r="BR51" s="133">
        <f t="shared" si="361"/>
        <v>6.1E-6</v>
      </c>
      <c r="BS51" s="133">
        <f t="shared" si="361"/>
        <v>6.1E-6</v>
      </c>
      <c r="BT51" s="133">
        <f t="shared" ref="BT51:CY51" si="362">BT$40/BT30</f>
        <v>6.1E-6</v>
      </c>
      <c r="BU51" s="133">
        <f t="shared" si="362"/>
        <v>6.1E-6</v>
      </c>
      <c r="BV51" s="133">
        <f t="shared" si="362"/>
        <v>6.1E-6</v>
      </c>
      <c r="BW51" s="133">
        <f t="shared" si="362"/>
        <v>6.1E-6</v>
      </c>
      <c r="BX51" s="133">
        <f t="shared" si="362"/>
        <v>6.1E-6</v>
      </c>
      <c r="BY51" s="133">
        <f t="shared" si="362"/>
        <v>6.1E-6</v>
      </c>
      <c r="BZ51" s="133">
        <f t="shared" si="362"/>
        <v>6.1E-6</v>
      </c>
      <c r="CA51" s="133">
        <f t="shared" si="362"/>
        <v>6.1E-6</v>
      </c>
      <c r="CB51" s="278">
        <f t="shared" si="362"/>
        <v>6.1E-6</v>
      </c>
      <c r="CC51" s="133">
        <f t="shared" si="362"/>
        <v>6.1E-6</v>
      </c>
      <c r="CD51" s="133">
        <f t="shared" si="362"/>
        <v>6.1E-6</v>
      </c>
      <c r="CE51" s="133">
        <f t="shared" si="362"/>
        <v>6.1E-6</v>
      </c>
      <c r="CF51" s="133">
        <f t="shared" si="362"/>
        <v>6.1E-6</v>
      </c>
      <c r="CG51" s="133">
        <f t="shared" si="362"/>
        <v>6.1E-6</v>
      </c>
      <c r="CH51" s="133">
        <f t="shared" si="362"/>
        <v>6.1E-6</v>
      </c>
      <c r="CI51" s="133">
        <f t="shared" si="362"/>
        <v>6.1E-6</v>
      </c>
      <c r="CJ51" s="133">
        <f t="shared" si="362"/>
        <v>6.1E-6</v>
      </c>
      <c r="CK51" s="133">
        <f t="shared" si="362"/>
        <v>6.1E-6</v>
      </c>
      <c r="CL51" s="133">
        <f t="shared" si="362"/>
        <v>6.1E-6</v>
      </c>
      <c r="CM51" s="129">
        <f t="shared" si="362"/>
        <v>6.1E-6</v>
      </c>
      <c r="CN51" s="278">
        <f t="shared" si="362"/>
        <v>6.1E-6</v>
      </c>
      <c r="CO51" s="133">
        <f t="shared" si="362"/>
        <v>6.1E-6</v>
      </c>
      <c r="CP51" s="133">
        <f t="shared" si="362"/>
        <v>6.1E-6</v>
      </c>
      <c r="CQ51" s="133">
        <f t="shared" si="362"/>
        <v>6.1E-6</v>
      </c>
      <c r="CR51" s="133">
        <f t="shared" si="362"/>
        <v>6.1E-6</v>
      </c>
      <c r="CS51" s="133">
        <f t="shared" si="362"/>
        <v>6.1E-6</v>
      </c>
      <c r="CT51" s="133">
        <f t="shared" si="362"/>
        <v>6.1E-6</v>
      </c>
      <c r="CU51" s="133">
        <f t="shared" si="362"/>
        <v>6.1E-6</v>
      </c>
      <c r="CV51" s="133">
        <f t="shared" si="362"/>
        <v>6.1E-6</v>
      </c>
      <c r="CW51" s="133">
        <f t="shared" si="362"/>
        <v>6.1E-6</v>
      </c>
      <c r="CX51" s="133">
        <f t="shared" si="362"/>
        <v>6.1E-6</v>
      </c>
      <c r="CY51" s="129">
        <f t="shared" si="362"/>
        <v>6.1E-6</v>
      </c>
      <c r="CZ51" s="278">
        <f t="shared" ref="CZ51:DW51" si="363">CZ$40/CZ30</f>
        <v>6.1E-6</v>
      </c>
      <c r="DA51" s="133">
        <f t="shared" si="363"/>
        <v>6.1E-6</v>
      </c>
      <c r="DB51" s="133">
        <f t="shared" si="363"/>
        <v>6.1E-6</v>
      </c>
      <c r="DC51" s="133">
        <f t="shared" si="363"/>
        <v>6.1E-6</v>
      </c>
      <c r="DD51" s="133">
        <f t="shared" si="363"/>
        <v>6.1E-6</v>
      </c>
      <c r="DE51" s="133">
        <f t="shared" si="363"/>
        <v>6.1E-6</v>
      </c>
      <c r="DF51" s="133">
        <f t="shared" si="363"/>
        <v>6.1E-6</v>
      </c>
      <c r="DG51" s="133">
        <f t="shared" si="363"/>
        <v>6.1E-6</v>
      </c>
      <c r="DH51" s="133">
        <f t="shared" si="363"/>
        <v>6.1E-6</v>
      </c>
      <c r="DI51" s="133">
        <f t="shared" si="363"/>
        <v>6.1E-6</v>
      </c>
      <c r="DJ51" s="133">
        <f t="shared" si="363"/>
        <v>6.1E-6</v>
      </c>
      <c r="DK51" s="133">
        <f t="shared" si="363"/>
        <v>6.1E-6</v>
      </c>
      <c r="DL51" s="278">
        <f t="shared" si="363"/>
        <v>6.1E-6</v>
      </c>
      <c r="DM51" s="133">
        <f t="shared" si="363"/>
        <v>6.1E-6</v>
      </c>
      <c r="DN51" s="133">
        <f t="shared" si="363"/>
        <v>6.1E-6</v>
      </c>
      <c r="DO51" s="133">
        <f t="shared" si="363"/>
        <v>6.1E-6</v>
      </c>
      <c r="DP51" s="133">
        <f t="shared" si="363"/>
        <v>6.1E-6</v>
      </c>
      <c r="DQ51" s="133">
        <f t="shared" si="363"/>
        <v>6.1E-6</v>
      </c>
      <c r="DR51" s="133">
        <f t="shared" si="363"/>
        <v>6.1E-6</v>
      </c>
      <c r="DS51" s="133">
        <f t="shared" si="363"/>
        <v>6.1E-6</v>
      </c>
      <c r="DT51" s="133">
        <f t="shared" si="363"/>
        <v>6.1E-6</v>
      </c>
      <c r="DU51" s="133">
        <f t="shared" si="363"/>
        <v>6.1E-6</v>
      </c>
      <c r="DV51" s="133">
        <f t="shared" si="363"/>
        <v>6.1E-6</v>
      </c>
      <c r="DW51" s="133">
        <f t="shared" si="363"/>
        <v>6.1E-6</v>
      </c>
    </row>
    <row r="52" spans="2:127" x14ac:dyDescent="0.3">
      <c r="D52" s="126" t="str">
        <f t="shared" si="341"/>
        <v>SME</v>
      </c>
      <c r="E52" s="133"/>
      <c r="F52" s="378"/>
      <c r="G52" s="1203">
        <f t="shared" ref="G52" si="364">H52</f>
        <v>6.0999999999999992E-6</v>
      </c>
      <c r="H52" s="133">
        <f t="shared" ref="H52:AM52" si="365">H$40/H31</f>
        <v>6.0999999999999992E-6</v>
      </c>
      <c r="I52" s="133">
        <f t="shared" si="365"/>
        <v>6.1E-6</v>
      </c>
      <c r="J52" s="133">
        <f t="shared" si="365"/>
        <v>6.1E-6</v>
      </c>
      <c r="K52" s="133">
        <f t="shared" si="365"/>
        <v>6.1E-6</v>
      </c>
      <c r="L52" s="133">
        <f t="shared" si="365"/>
        <v>6.1E-6</v>
      </c>
      <c r="M52" s="133">
        <f t="shared" si="365"/>
        <v>6.1E-6</v>
      </c>
      <c r="N52" s="133">
        <f t="shared" si="365"/>
        <v>6.1E-6</v>
      </c>
      <c r="O52" s="133">
        <f t="shared" si="365"/>
        <v>6.1E-6</v>
      </c>
      <c r="P52" s="133">
        <f t="shared" si="365"/>
        <v>6.1E-6</v>
      </c>
      <c r="Q52" s="133">
        <f t="shared" si="365"/>
        <v>6.1E-6</v>
      </c>
      <c r="R52" s="133">
        <f t="shared" si="365"/>
        <v>6.1E-6</v>
      </c>
      <c r="S52" s="133">
        <f t="shared" si="365"/>
        <v>6.1E-6</v>
      </c>
      <c r="T52" s="278">
        <f t="shared" si="365"/>
        <v>6.1E-6</v>
      </c>
      <c r="U52" s="133">
        <f t="shared" si="365"/>
        <v>6.1E-6</v>
      </c>
      <c r="V52" s="133">
        <f t="shared" si="365"/>
        <v>6.1E-6</v>
      </c>
      <c r="W52" s="133">
        <f t="shared" si="365"/>
        <v>6.1E-6</v>
      </c>
      <c r="X52" s="133">
        <f t="shared" si="365"/>
        <v>6.1E-6</v>
      </c>
      <c r="Y52" s="133">
        <f t="shared" si="365"/>
        <v>6.1E-6</v>
      </c>
      <c r="Z52" s="133">
        <f t="shared" si="365"/>
        <v>6.1E-6</v>
      </c>
      <c r="AA52" s="133">
        <f t="shared" si="365"/>
        <v>6.1E-6</v>
      </c>
      <c r="AB52" s="133">
        <f t="shared" si="365"/>
        <v>6.1E-6</v>
      </c>
      <c r="AC52" s="133">
        <f t="shared" si="365"/>
        <v>6.1E-6</v>
      </c>
      <c r="AD52" s="133">
        <f t="shared" si="365"/>
        <v>6.1E-6</v>
      </c>
      <c r="AE52" s="133">
        <f t="shared" si="365"/>
        <v>6.1E-6</v>
      </c>
      <c r="AF52" s="278">
        <f t="shared" si="365"/>
        <v>6.1E-6</v>
      </c>
      <c r="AG52" s="133">
        <f t="shared" si="365"/>
        <v>6.1E-6</v>
      </c>
      <c r="AH52" s="133">
        <f t="shared" si="365"/>
        <v>6.1E-6</v>
      </c>
      <c r="AI52" s="133">
        <f t="shared" si="365"/>
        <v>6.1E-6</v>
      </c>
      <c r="AJ52" s="133">
        <f t="shared" si="365"/>
        <v>6.1E-6</v>
      </c>
      <c r="AK52" s="133">
        <f t="shared" si="365"/>
        <v>6.1E-6</v>
      </c>
      <c r="AL52" s="133">
        <f t="shared" si="365"/>
        <v>6.1E-6</v>
      </c>
      <c r="AM52" s="133">
        <f t="shared" si="365"/>
        <v>6.1E-6</v>
      </c>
      <c r="AN52" s="133">
        <f t="shared" ref="AN52:BS52" si="366">AN$40/AN31</f>
        <v>6.1E-6</v>
      </c>
      <c r="AO52" s="133">
        <f t="shared" si="366"/>
        <v>6.1E-6</v>
      </c>
      <c r="AP52" s="133">
        <f t="shared" si="366"/>
        <v>6.1E-6</v>
      </c>
      <c r="AQ52" s="133">
        <f t="shared" si="366"/>
        <v>6.1E-6</v>
      </c>
      <c r="AR52" s="278">
        <f t="shared" si="366"/>
        <v>6.1E-6</v>
      </c>
      <c r="AS52" s="133">
        <f t="shared" si="366"/>
        <v>6.1E-6</v>
      </c>
      <c r="AT52" s="133">
        <f t="shared" si="366"/>
        <v>6.1E-6</v>
      </c>
      <c r="AU52" s="133">
        <f t="shared" si="366"/>
        <v>6.1E-6</v>
      </c>
      <c r="AV52" s="133">
        <f t="shared" si="366"/>
        <v>6.1E-6</v>
      </c>
      <c r="AW52" s="133">
        <f t="shared" si="366"/>
        <v>6.1E-6</v>
      </c>
      <c r="AX52" s="133">
        <f t="shared" si="366"/>
        <v>6.1E-6</v>
      </c>
      <c r="AY52" s="133">
        <f t="shared" si="366"/>
        <v>6.1E-6</v>
      </c>
      <c r="AZ52" s="133">
        <f t="shared" si="366"/>
        <v>6.1E-6</v>
      </c>
      <c r="BA52" s="133">
        <f t="shared" si="366"/>
        <v>6.1E-6</v>
      </c>
      <c r="BB52" s="133">
        <f t="shared" si="366"/>
        <v>6.1E-6</v>
      </c>
      <c r="BC52" s="133">
        <f t="shared" si="366"/>
        <v>6.1E-6</v>
      </c>
      <c r="BD52" s="278">
        <f t="shared" si="366"/>
        <v>6.1E-6</v>
      </c>
      <c r="BE52" s="133">
        <f t="shared" si="366"/>
        <v>6.1E-6</v>
      </c>
      <c r="BF52" s="133">
        <f t="shared" si="366"/>
        <v>6.1E-6</v>
      </c>
      <c r="BG52" s="133">
        <f t="shared" si="366"/>
        <v>6.1E-6</v>
      </c>
      <c r="BH52" s="133">
        <f t="shared" si="366"/>
        <v>6.1E-6</v>
      </c>
      <c r="BI52" s="133">
        <f t="shared" si="366"/>
        <v>6.1E-6</v>
      </c>
      <c r="BJ52" s="133">
        <f t="shared" si="366"/>
        <v>6.1E-6</v>
      </c>
      <c r="BK52" s="133">
        <f t="shared" si="366"/>
        <v>6.1E-6</v>
      </c>
      <c r="BL52" s="133">
        <f t="shared" si="366"/>
        <v>6.1E-6</v>
      </c>
      <c r="BM52" s="133">
        <f t="shared" si="366"/>
        <v>6.1E-6</v>
      </c>
      <c r="BN52" s="133">
        <f t="shared" si="366"/>
        <v>6.1E-6</v>
      </c>
      <c r="BO52" s="129">
        <f t="shared" si="366"/>
        <v>6.1E-6</v>
      </c>
      <c r="BP52" s="278">
        <f t="shared" si="366"/>
        <v>6.1E-6</v>
      </c>
      <c r="BQ52" s="133">
        <f t="shared" si="366"/>
        <v>6.1E-6</v>
      </c>
      <c r="BR52" s="133">
        <f t="shared" si="366"/>
        <v>6.1E-6</v>
      </c>
      <c r="BS52" s="133">
        <f t="shared" si="366"/>
        <v>6.1E-6</v>
      </c>
      <c r="BT52" s="133">
        <f t="shared" ref="BT52:CY52" si="367">BT$40/BT31</f>
        <v>6.1E-6</v>
      </c>
      <c r="BU52" s="133">
        <f t="shared" si="367"/>
        <v>6.1E-6</v>
      </c>
      <c r="BV52" s="133">
        <f t="shared" si="367"/>
        <v>6.1E-6</v>
      </c>
      <c r="BW52" s="133">
        <f t="shared" si="367"/>
        <v>6.1E-6</v>
      </c>
      <c r="BX52" s="133">
        <f t="shared" si="367"/>
        <v>6.1E-6</v>
      </c>
      <c r="BY52" s="133">
        <f t="shared" si="367"/>
        <v>6.1E-6</v>
      </c>
      <c r="BZ52" s="133">
        <f t="shared" si="367"/>
        <v>6.1E-6</v>
      </c>
      <c r="CA52" s="133">
        <f t="shared" si="367"/>
        <v>6.1E-6</v>
      </c>
      <c r="CB52" s="278">
        <f t="shared" si="367"/>
        <v>6.1E-6</v>
      </c>
      <c r="CC52" s="133">
        <f t="shared" si="367"/>
        <v>6.1E-6</v>
      </c>
      <c r="CD52" s="133">
        <f t="shared" si="367"/>
        <v>6.1E-6</v>
      </c>
      <c r="CE52" s="133">
        <f t="shared" si="367"/>
        <v>6.1E-6</v>
      </c>
      <c r="CF52" s="133">
        <f t="shared" si="367"/>
        <v>6.1E-6</v>
      </c>
      <c r="CG52" s="133">
        <f t="shared" si="367"/>
        <v>6.1E-6</v>
      </c>
      <c r="CH52" s="133">
        <f t="shared" si="367"/>
        <v>6.1E-6</v>
      </c>
      <c r="CI52" s="133">
        <f t="shared" si="367"/>
        <v>6.1E-6</v>
      </c>
      <c r="CJ52" s="133">
        <f t="shared" si="367"/>
        <v>6.1E-6</v>
      </c>
      <c r="CK52" s="133">
        <f t="shared" si="367"/>
        <v>6.1E-6</v>
      </c>
      <c r="CL52" s="133">
        <f t="shared" si="367"/>
        <v>6.1E-6</v>
      </c>
      <c r="CM52" s="129">
        <f t="shared" si="367"/>
        <v>6.1E-6</v>
      </c>
      <c r="CN52" s="278">
        <f t="shared" si="367"/>
        <v>6.1E-6</v>
      </c>
      <c r="CO52" s="133">
        <f t="shared" si="367"/>
        <v>6.1E-6</v>
      </c>
      <c r="CP52" s="133">
        <f t="shared" si="367"/>
        <v>6.1E-6</v>
      </c>
      <c r="CQ52" s="133">
        <f t="shared" si="367"/>
        <v>6.1E-6</v>
      </c>
      <c r="CR52" s="133">
        <f t="shared" si="367"/>
        <v>6.1E-6</v>
      </c>
      <c r="CS52" s="133">
        <f t="shared" si="367"/>
        <v>6.1E-6</v>
      </c>
      <c r="CT52" s="133">
        <f t="shared" si="367"/>
        <v>6.1E-6</v>
      </c>
      <c r="CU52" s="133">
        <f t="shared" si="367"/>
        <v>6.1E-6</v>
      </c>
      <c r="CV52" s="133">
        <f t="shared" si="367"/>
        <v>6.1E-6</v>
      </c>
      <c r="CW52" s="133">
        <f t="shared" si="367"/>
        <v>6.1E-6</v>
      </c>
      <c r="CX52" s="133">
        <f t="shared" si="367"/>
        <v>6.1E-6</v>
      </c>
      <c r="CY52" s="129">
        <f t="shared" si="367"/>
        <v>6.1E-6</v>
      </c>
      <c r="CZ52" s="278">
        <f t="shared" ref="CZ52:DW52" si="368">CZ$40/CZ31</f>
        <v>6.1E-6</v>
      </c>
      <c r="DA52" s="133">
        <f t="shared" si="368"/>
        <v>6.1E-6</v>
      </c>
      <c r="DB52" s="133">
        <f t="shared" si="368"/>
        <v>6.1E-6</v>
      </c>
      <c r="DC52" s="133">
        <f t="shared" si="368"/>
        <v>6.1E-6</v>
      </c>
      <c r="DD52" s="133">
        <f t="shared" si="368"/>
        <v>6.1E-6</v>
      </c>
      <c r="DE52" s="133">
        <f t="shared" si="368"/>
        <v>6.1E-6</v>
      </c>
      <c r="DF52" s="133">
        <f t="shared" si="368"/>
        <v>6.1E-6</v>
      </c>
      <c r="DG52" s="133">
        <f t="shared" si="368"/>
        <v>6.1E-6</v>
      </c>
      <c r="DH52" s="133">
        <f t="shared" si="368"/>
        <v>6.1E-6</v>
      </c>
      <c r="DI52" s="133">
        <f t="shared" si="368"/>
        <v>6.1E-6</v>
      </c>
      <c r="DJ52" s="133">
        <f t="shared" si="368"/>
        <v>6.1E-6</v>
      </c>
      <c r="DK52" s="133">
        <f t="shared" si="368"/>
        <v>6.1E-6</v>
      </c>
      <c r="DL52" s="278">
        <f t="shared" si="368"/>
        <v>6.1E-6</v>
      </c>
      <c r="DM52" s="133">
        <f t="shared" si="368"/>
        <v>6.1E-6</v>
      </c>
      <c r="DN52" s="133">
        <f t="shared" si="368"/>
        <v>6.1E-6</v>
      </c>
      <c r="DO52" s="133">
        <f t="shared" si="368"/>
        <v>6.1E-6</v>
      </c>
      <c r="DP52" s="133">
        <f t="shared" si="368"/>
        <v>6.1E-6</v>
      </c>
      <c r="DQ52" s="133">
        <f t="shared" si="368"/>
        <v>6.1E-6</v>
      </c>
      <c r="DR52" s="133">
        <f t="shared" si="368"/>
        <v>6.1E-6</v>
      </c>
      <c r="DS52" s="133">
        <f t="shared" si="368"/>
        <v>6.1E-6</v>
      </c>
      <c r="DT52" s="133">
        <f t="shared" si="368"/>
        <v>6.1E-6</v>
      </c>
      <c r="DU52" s="133">
        <f t="shared" si="368"/>
        <v>6.1E-6</v>
      </c>
      <c r="DV52" s="133">
        <f t="shared" si="368"/>
        <v>6.1E-6</v>
      </c>
      <c r="DW52" s="133">
        <f t="shared" si="368"/>
        <v>6.1E-6</v>
      </c>
    </row>
    <row r="53" spans="2:127" x14ac:dyDescent="0.3">
      <c r="D53" s="126" t="str">
        <f t="shared" si="341"/>
        <v>QA</v>
      </c>
      <c r="E53" s="133"/>
      <c r="F53" s="378"/>
      <c r="G53" s="1203">
        <f t="shared" si="342"/>
        <v>1.5249999999999999</v>
      </c>
      <c r="H53" s="133">
        <f t="shared" ref="H53:AM53" si="369">H$40/H32</f>
        <v>1.5249999999999999</v>
      </c>
      <c r="I53" s="133">
        <f t="shared" si="369"/>
        <v>1.5249999999999999</v>
      </c>
      <c r="J53" s="133">
        <f t="shared" si="369"/>
        <v>1.5249999999999999</v>
      </c>
      <c r="K53" s="133">
        <f t="shared" si="369"/>
        <v>1.5249999999999999</v>
      </c>
      <c r="L53" s="133">
        <f t="shared" si="369"/>
        <v>1.5249999999999999</v>
      </c>
      <c r="M53" s="133">
        <f t="shared" si="369"/>
        <v>1.1730769230769231</v>
      </c>
      <c r="N53" s="133">
        <f t="shared" si="369"/>
        <v>1.1730769230769231</v>
      </c>
      <c r="O53" s="133">
        <f t="shared" si="369"/>
        <v>1.1730769230769231</v>
      </c>
      <c r="P53" s="133">
        <f t="shared" si="369"/>
        <v>1.1730769230769231</v>
      </c>
      <c r="Q53" s="133">
        <f t="shared" si="369"/>
        <v>1.1730769230769231</v>
      </c>
      <c r="R53" s="133">
        <f t="shared" si="369"/>
        <v>1.1730769230769231</v>
      </c>
      <c r="S53" s="133">
        <f t="shared" si="369"/>
        <v>1.1730769230769231</v>
      </c>
      <c r="T53" s="278">
        <f t="shared" si="369"/>
        <v>1.1730769230769231</v>
      </c>
      <c r="U53" s="133">
        <f t="shared" si="369"/>
        <v>1.1730769230769231</v>
      </c>
      <c r="V53" s="133">
        <f t="shared" si="369"/>
        <v>1.1730769230769231</v>
      </c>
      <c r="W53" s="133">
        <f t="shared" si="369"/>
        <v>1.1730769230769231</v>
      </c>
      <c r="X53" s="133">
        <f t="shared" si="369"/>
        <v>1.1730769230769231</v>
      </c>
      <c r="Y53" s="133">
        <f t="shared" si="369"/>
        <v>1.1730769230769231</v>
      </c>
      <c r="Z53" s="133">
        <f t="shared" si="369"/>
        <v>1.1730769230769231</v>
      </c>
      <c r="AA53" s="133">
        <f t="shared" si="369"/>
        <v>1.1730769230769231</v>
      </c>
      <c r="AB53" s="133">
        <f t="shared" si="369"/>
        <v>1.1730769230769231</v>
      </c>
      <c r="AC53" s="133">
        <f t="shared" si="369"/>
        <v>1.1730769230769231</v>
      </c>
      <c r="AD53" s="133">
        <f t="shared" si="369"/>
        <v>1.1730769230769231</v>
      </c>
      <c r="AE53" s="133">
        <f t="shared" si="369"/>
        <v>1.1730769230769231</v>
      </c>
      <c r="AF53" s="278">
        <f t="shared" si="369"/>
        <v>1.1730769230769231</v>
      </c>
      <c r="AG53" s="133">
        <f t="shared" si="369"/>
        <v>1.1730769230769231</v>
      </c>
      <c r="AH53" s="133">
        <f t="shared" si="369"/>
        <v>1.1730769230769231</v>
      </c>
      <c r="AI53" s="133">
        <f t="shared" si="369"/>
        <v>1.1730769230769231</v>
      </c>
      <c r="AJ53" s="133">
        <f t="shared" si="369"/>
        <v>1.1730769230769231</v>
      </c>
      <c r="AK53" s="133">
        <f t="shared" si="369"/>
        <v>1.1730769230769231</v>
      </c>
      <c r="AL53" s="133">
        <f t="shared" si="369"/>
        <v>1.1730769230769231</v>
      </c>
      <c r="AM53" s="133">
        <f t="shared" si="369"/>
        <v>1.1730769230769231</v>
      </c>
      <c r="AN53" s="133">
        <f t="shared" ref="AN53:BO53" si="370">AN$40/AN32</f>
        <v>1.1730769230769231</v>
      </c>
      <c r="AO53" s="133">
        <f t="shared" si="370"/>
        <v>1.1730769230769231</v>
      </c>
      <c r="AP53" s="133">
        <f t="shared" si="370"/>
        <v>1.1730769230769231</v>
      </c>
      <c r="AQ53" s="133">
        <f t="shared" si="370"/>
        <v>1.1730769230769231</v>
      </c>
      <c r="AR53" s="278">
        <f t="shared" si="370"/>
        <v>1.1730769230769231</v>
      </c>
      <c r="AS53" s="133">
        <f t="shared" si="370"/>
        <v>1.1730769230769231</v>
      </c>
      <c r="AT53" s="133">
        <f t="shared" si="370"/>
        <v>1.1730769230769231</v>
      </c>
      <c r="AU53" s="133">
        <f t="shared" si="370"/>
        <v>1.1730769230769231</v>
      </c>
      <c r="AV53" s="133">
        <f t="shared" si="370"/>
        <v>1.1730769230769231</v>
      </c>
      <c r="AW53" s="133">
        <f t="shared" si="370"/>
        <v>1.1730769230769231</v>
      </c>
      <c r="AX53" s="133">
        <f t="shared" si="370"/>
        <v>1.1730769230769231</v>
      </c>
      <c r="AY53" s="133">
        <f t="shared" si="370"/>
        <v>1.1730769230769231</v>
      </c>
      <c r="AZ53" s="133">
        <f t="shared" si="370"/>
        <v>1.1730769230769231</v>
      </c>
      <c r="BA53" s="133">
        <f t="shared" si="370"/>
        <v>1.1730769230769231</v>
      </c>
      <c r="BB53" s="133">
        <f t="shared" si="370"/>
        <v>1.1730769230769231</v>
      </c>
      <c r="BC53" s="133">
        <f t="shared" si="370"/>
        <v>1.1730769230769231</v>
      </c>
      <c r="BD53" s="278">
        <f t="shared" si="370"/>
        <v>1.1730769230769231</v>
      </c>
      <c r="BE53" s="133">
        <f t="shared" si="370"/>
        <v>1.1730769230769231</v>
      </c>
      <c r="BF53" s="133">
        <f t="shared" si="370"/>
        <v>1.1730769230769231</v>
      </c>
      <c r="BG53" s="133">
        <f t="shared" si="370"/>
        <v>1.1730769230769231</v>
      </c>
      <c r="BH53" s="133">
        <f t="shared" si="370"/>
        <v>1.1730769230769231</v>
      </c>
      <c r="BI53" s="133">
        <f t="shared" si="370"/>
        <v>1.1730769230769231</v>
      </c>
      <c r="BJ53" s="133">
        <f t="shared" si="370"/>
        <v>1.1730769230769231</v>
      </c>
      <c r="BK53" s="133">
        <f t="shared" si="370"/>
        <v>1.1730769230769231</v>
      </c>
      <c r="BL53" s="133">
        <f t="shared" si="370"/>
        <v>1.1730769230769231</v>
      </c>
      <c r="BM53" s="133">
        <f t="shared" si="370"/>
        <v>1.1730769230769231</v>
      </c>
      <c r="BN53" s="133">
        <f t="shared" si="370"/>
        <v>1.1730769230769231</v>
      </c>
      <c r="BO53" s="129">
        <f t="shared" si="370"/>
        <v>1.1730769230769231</v>
      </c>
      <c r="BP53" s="278">
        <f t="shared" ref="BP53:DW53" si="371">BP$40/BP32</f>
        <v>1.1730769230769231</v>
      </c>
      <c r="BQ53" s="133">
        <f t="shared" si="371"/>
        <v>1.1730769230769231</v>
      </c>
      <c r="BR53" s="133">
        <f t="shared" si="371"/>
        <v>1.1730769230769231</v>
      </c>
      <c r="BS53" s="133">
        <f t="shared" si="371"/>
        <v>1.1730769230769231</v>
      </c>
      <c r="BT53" s="133">
        <f t="shared" si="371"/>
        <v>1.1730769230769231</v>
      </c>
      <c r="BU53" s="133">
        <f t="shared" si="371"/>
        <v>1.1730769230769231</v>
      </c>
      <c r="BV53" s="133">
        <f t="shared" si="371"/>
        <v>1.1730769230769231</v>
      </c>
      <c r="BW53" s="133">
        <f t="shared" si="371"/>
        <v>1.1730769230769231</v>
      </c>
      <c r="BX53" s="133">
        <f t="shared" si="371"/>
        <v>1.1730769230769231</v>
      </c>
      <c r="BY53" s="133">
        <f t="shared" si="371"/>
        <v>1.1730769230769231</v>
      </c>
      <c r="BZ53" s="133">
        <f t="shared" si="371"/>
        <v>1.1730769230769231</v>
      </c>
      <c r="CA53" s="133">
        <f t="shared" si="371"/>
        <v>1.1730769230769231</v>
      </c>
      <c r="CB53" s="278">
        <f t="shared" si="371"/>
        <v>1.1730769230769231</v>
      </c>
      <c r="CC53" s="133">
        <f t="shared" si="371"/>
        <v>1.1730769230769231</v>
      </c>
      <c r="CD53" s="133">
        <f t="shared" si="371"/>
        <v>1.1730769230769231</v>
      </c>
      <c r="CE53" s="133">
        <f t="shared" si="371"/>
        <v>1.1730769230769231</v>
      </c>
      <c r="CF53" s="133">
        <f t="shared" si="371"/>
        <v>1.1730769230769231</v>
      </c>
      <c r="CG53" s="133">
        <f t="shared" si="371"/>
        <v>1.1730769230769231</v>
      </c>
      <c r="CH53" s="133">
        <f t="shared" si="371"/>
        <v>1.1730769230769231</v>
      </c>
      <c r="CI53" s="133">
        <f t="shared" si="371"/>
        <v>1.1730769230769231</v>
      </c>
      <c r="CJ53" s="133">
        <f t="shared" si="371"/>
        <v>1.1730769230769231</v>
      </c>
      <c r="CK53" s="133">
        <f t="shared" si="371"/>
        <v>1.1730769230769231</v>
      </c>
      <c r="CL53" s="133">
        <f t="shared" si="371"/>
        <v>1.1730769230769231</v>
      </c>
      <c r="CM53" s="129">
        <f t="shared" si="371"/>
        <v>1.1730769230769231</v>
      </c>
      <c r="CN53" s="278">
        <f t="shared" si="371"/>
        <v>1.1730769230769231</v>
      </c>
      <c r="CO53" s="133">
        <f t="shared" si="371"/>
        <v>1.1730769230769231</v>
      </c>
      <c r="CP53" s="133">
        <f t="shared" si="371"/>
        <v>1.1730769230769231</v>
      </c>
      <c r="CQ53" s="133">
        <f t="shared" si="371"/>
        <v>1.1730769230769231</v>
      </c>
      <c r="CR53" s="133">
        <f t="shared" si="371"/>
        <v>1.1730769230769231</v>
      </c>
      <c r="CS53" s="133">
        <f t="shared" si="371"/>
        <v>1.1730769230769231</v>
      </c>
      <c r="CT53" s="133">
        <f t="shared" si="371"/>
        <v>1.1730769230769231</v>
      </c>
      <c r="CU53" s="133">
        <f t="shared" si="371"/>
        <v>1.1730769230769231</v>
      </c>
      <c r="CV53" s="133">
        <f t="shared" si="371"/>
        <v>1.1730769230769231</v>
      </c>
      <c r="CW53" s="133">
        <f t="shared" si="371"/>
        <v>1.1730769230769231</v>
      </c>
      <c r="CX53" s="133">
        <f t="shared" si="371"/>
        <v>1.1730769230769231</v>
      </c>
      <c r="CY53" s="129">
        <f t="shared" si="371"/>
        <v>1.1730769230769231</v>
      </c>
      <c r="CZ53" s="278">
        <f t="shared" si="371"/>
        <v>1.1730769230769231</v>
      </c>
      <c r="DA53" s="133">
        <f t="shared" si="371"/>
        <v>1.1730769230769231</v>
      </c>
      <c r="DB53" s="133">
        <f t="shared" si="371"/>
        <v>1.1730769230769231</v>
      </c>
      <c r="DC53" s="133">
        <f t="shared" si="371"/>
        <v>1.1730769230769231</v>
      </c>
      <c r="DD53" s="133">
        <f t="shared" si="371"/>
        <v>1.1730769230769231</v>
      </c>
      <c r="DE53" s="133">
        <f t="shared" si="371"/>
        <v>1.1730769230769231</v>
      </c>
      <c r="DF53" s="133">
        <f t="shared" si="371"/>
        <v>1.1730769230769231</v>
      </c>
      <c r="DG53" s="133">
        <f t="shared" si="371"/>
        <v>1.1730769230769231</v>
      </c>
      <c r="DH53" s="133">
        <f t="shared" si="371"/>
        <v>1.1730769230769231</v>
      </c>
      <c r="DI53" s="133">
        <f t="shared" si="371"/>
        <v>1.1730769230769231</v>
      </c>
      <c r="DJ53" s="133">
        <f t="shared" si="371"/>
        <v>1.1730769230769231</v>
      </c>
      <c r="DK53" s="133">
        <f t="shared" si="371"/>
        <v>1.1730769230769231</v>
      </c>
      <c r="DL53" s="278">
        <f t="shared" si="371"/>
        <v>1.1730769230769231</v>
      </c>
      <c r="DM53" s="133">
        <f t="shared" si="371"/>
        <v>1.1730769230769231</v>
      </c>
      <c r="DN53" s="133">
        <f t="shared" si="371"/>
        <v>1.1730769230769231</v>
      </c>
      <c r="DO53" s="133">
        <f t="shared" si="371"/>
        <v>1.1730769230769231</v>
      </c>
      <c r="DP53" s="133">
        <f t="shared" si="371"/>
        <v>1.1730769230769231</v>
      </c>
      <c r="DQ53" s="133">
        <f t="shared" si="371"/>
        <v>1.1730769230769231</v>
      </c>
      <c r="DR53" s="133">
        <f t="shared" si="371"/>
        <v>1.1730769230769231</v>
      </c>
      <c r="DS53" s="133">
        <f t="shared" si="371"/>
        <v>1.1730769230769231</v>
      </c>
      <c r="DT53" s="133">
        <f t="shared" si="371"/>
        <v>1.1730769230769231</v>
      </c>
      <c r="DU53" s="133">
        <f t="shared" si="371"/>
        <v>1.1730769230769231</v>
      </c>
      <c r="DV53" s="133">
        <f t="shared" si="371"/>
        <v>1.1730769230769231</v>
      </c>
      <c r="DW53" s="133">
        <f t="shared" si="371"/>
        <v>1.1730769230769231</v>
      </c>
    </row>
    <row r="54" spans="2:127" x14ac:dyDescent="0.3">
      <c r="C54" s="560">
        <v>20</v>
      </c>
      <c r="D54" s="126" t="str">
        <f t="shared" si="341"/>
        <v>Trainer</v>
      </c>
      <c r="E54" s="133"/>
      <c r="F54" s="378"/>
      <c r="G54" s="1203">
        <f>IF(J40-G40&gt;0,G$43/$C$54,G$40/G33)</f>
        <v>3.3888888888888884</v>
      </c>
      <c r="H54" s="133">
        <f t="shared" ref="H54:BS54" si="372">IF(K40-H40&gt;0,H$43/$C$54,H$40/H33)</f>
        <v>0.18638888888888949</v>
      </c>
      <c r="I54" s="133">
        <f t="shared" si="372"/>
        <v>0.81333333333333335</v>
      </c>
      <c r="J54" s="133">
        <f t="shared" si="372"/>
        <v>0.81333333333333335</v>
      </c>
      <c r="K54" s="133">
        <f t="shared" si="372"/>
        <v>0.81333333333333335</v>
      </c>
      <c r="L54" s="133">
        <f t="shared" si="372"/>
        <v>0.81333333333333335</v>
      </c>
      <c r="M54" s="133">
        <f t="shared" si="372"/>
        <v>0.81333333333333335</v>
      </c>
      <c r="N54" s="133">
        <f t="shared" si="372"/>
        <v>0.81333333333333335</v>
      </c>
      <c r="O54" s="133">
        <f t="shared" si="372"/>
        <v>0.81333333333333335</v>
      </c>
      <c r="P54" s="133">
        <f t="shared" si="372"/>
        <v>0.81333333333333335</v>
      </c>
      <c r="Q54" s="133">
        <f t="shared" si="372"/>
        <v>0.81333333333333335</v>
      </c>
      <c r="R54" s="133">
        <f t="shared" si="372"/>
        <v>0.81333333333333335</v>
      </c>
      <c r="S54" s="133">
        <f t="shared" si="372"/>
        <v>0.81333333333333335</v>
      </c>
      <c r="T54" s="278">
        <f t="shared" si="372"/>
        <v>0.81333333333333335</v>
      </c>
      <c r="U54" s="133">
        <f t="shared" si="372"/>
        <v>0.81333333333333335</v>
      </c>
      <c r="V54" s="133">
        <f t="shared" si="372"/>
        <v>0.81333333333333335</v>
      </c>
      <c r="W54" s="133">
        <f t="shared" si="372"/>
        <v>0.81333333333333335</v>
      </c>
      <c r="X54" s="133">
        <f t="shared" si="372"/>
        <v>0.81333333333333335</v>
      </c>
      <c r="Y54" s="133">
        <f t="shared" si="372"/>
        <v>0.81333333333333335</v>
      </c>
      <c r="Z54" s="133">
        <f t="shared" si="372"/>
        <v>0.81333333333333335</v>
      </c>
      <c r="AA54" s="133">
        <f t="shared" si="372"/>
        <v>0.81333333333333335</v>
      </c>
      <c r="AB54" s="133">
        <f t="shared" si="372"/>
        <v>0.81333333333333335</v>
      </c>
      <c r="AC54" s="133">
        <f t="shared" si="372"/>
        <v>0.81333333333333335</v>
      </c>
      <c r="AD54" s="133">
        <f t="shared" si="372"/>
        <v>0.81333333333333335</v>
      </c>
      <c r="AE54" s="133">
        <f t="shared" si="372"/>
        <v>0.81333333333333335</v>
      </c>
      <c r="AF54" s="278">
        <f t="shared" si="372"/>
        <v>0.81333333333333335</v>
      </c>
      <c r="AG54" s="133">
        <f t="shared" si="372"/>
        <v>0.81333333333333335</v>
      </c>
      <c r="AH54" s="133">
        <f t="shared" si="372"/>
        <v>0.81333333333333335</v>
      </c>
      <c r="AI54" s="133">
        <f t="shared" si="372"/>
        <v>0.81333333333333335</v>
      </c>
      <c r="AJ54" s="133">
        <f t="shared" si="372"/>
        <v>0.81333333333333335</v>
      </c>
      <c r="AK54" s="133">
        <f t="shared" si="372"/>
        <v>0.81333333333333335</v>
      </c>
      <c r="AL54" s="133">
        <f t="shared" si="372"/>
        <v>0.81333333333333335</v>
      </c>
      <c r="AM54" s="133">
        <f t="shared" si="372"/>
        <v>0.81333333333333335</v>
      </c>
      <c r="AN54" s="133">
        <f t="shared" si="372"/>
        <v>0.81333333333333335</v>
      </c>
      <c r="AO54" s="133">
        <f t="shared" si="372"/>
        <v>0.81333333333333335</v>
      </c>
      <c r="AP54" s="133">
        <f t="shared" si="372"/>
        <v>0.81333333333333335</v>
      </c>
      <c r="AQ54" s="133">
        <f t="shared" si="372"/>
        <v>0.81333333333333335</v>
      </c>
      <c r="AR54" s="278">
        <f t="shared" si="372"/>
        <v>0.81333333333333335</v>
      </c>
      <c r="AS54" s="133">
        <f t="shared" si="372"/>
        <v>0.81333333333333335</v>
      </c>
      <c r="AT54" s="133">
        <f t="shared" si="372"/>
        <v>0.81333333333333335</v>
      </c>
      <c r="AU54" s="133">
        <f t="shared" si="372"/>
        <v>0.81333333333333335</v>
      </c>
      <c r="AV54" s="133">
        <f t="shared" si="372"/>
        <v>0.81333333333333335</v>
      </c>
      <c r="AW54" s="133">
        <f t="shared" si="372"/>
        <v>0.81333333333333335</v>
      </c>
      <c r="AX54" s="133">
        <f t="shared" si="372"/>
        <v>0.81333333333333335</v>
      </c>
      <c r="AY54" s="133">
        <f t="shared" si="372"/>
        <v>0.81333333333333335</v>
      </c>
      <c r="AZ54" s="133">
        <f t="shared" si="372"/>
        <v>0.81333333333333335</v>
      </c>
      <c r="BA54" s="133">
        <f t="shared" si="372"/>
        <v>0.81333333333333335</v>
      </c>
      <c r="BB54" s="133">
        <f t="shared" si="372"/>
        <v>0.81333333333333335</v>
      </c>
      <c r="BC54" s="133">
        <f t="shared" si="372"/>
        <v>0.81333333333333335</v>
      </c>
      <c r="BD54" s="278">
        <f t="shared" si="372"/>
        <v>0.81333333333333335</v>
      </c>
      <c r="BE54" s="133">
        <f t="shared" si="372"/>
        <v>0.81333333333333335</v>
      </c>
      <c r="BF54" s="133">
        <f t="shared" si="372"/>
        <v>0.81333333333333335</v>
      </c>
      <c r="BG54" s="133">
        <f t="shared" si="372"/>
        <v>0.81333333333333335</v>
      </c>
      <c r="BH54" s="133">
        <f t="shared" si="372"/>
        <v>0.81333333333333335</v>
      </c>
      <c r="BI54" s="133">
        <f t="shared" si="372"/>
        <v>0.81333333333333335</v>
      </c>
      <c r="BJ54" s="133">
        <f t="shared" si="372"/>
        <v>0.81333333333333335</v>
      </c>
      <c r="BK54" s="133">
        <f t="shared" si="372"/>
        <v>0.81333333333333335</v>
      </c>
      <c r="BL54" s="133">
        <f t="shared" si="372"/>
        <v>0.81333333333333335</v>
      </c>
      <c r="BM54" s="133">
        <f t="shared" si="372"/>
        <v>0.81333333333333335</v>
      </c>
      <c r="BN54" s="133">
        <f t="shared" si="372"/>
        <v>0.81333333333333335</v>
      </c>
      <c r="BO54" s="129">
        <f t="shared" si="372"/>
        <v>0.81333333333333335</v>
      </c>
      <c r="BP54" s="278">
        <f t="shared" si="372"/>
        <v>0.81333333333333335</v>
      </c>
      <c r="BQ54" s="133">
        <f t="shared" si="372"/>
        <v>0.81333333333333335</v>
      </c>
      <c r="BR54" s="133">
        <f t="shared" si="372"/>
        <v>0.81333333333333335</v>
      </c>
      <c r="BS54" s="133">
        <f t="shared" si="372"/>
        <v>0.81333333333333335</v>
      </c>
      <c r="BT54" s="133">
        <f t="shared" ref="BT54:DW54" si="373">IF(BW40-BT40&gt;0,BT$43/$C$54,BT$40/BT33)</f>
        <v>0.81333333333333335</v>
      </c>
      <c r="BU54" s="133">
        <f t="shared" si="373"/>
        <v>0.81333333333333335</v>
      </c>
      <c r="BV54" s="133">
        <f t="shared" si="373"/>
        <v>0.81333333333333335</v>
      </c>
      <c r="BW54" s="133">
        <f t="shared" si="373"/>
        <v>0.81333333333333335</v>
      </c>
      <c r="BX54" s="133">
        <f t="shared" si="373"/>
        <v>0.81333333333333335</v>
      </c>
      <c r="BY54" s="133">
        <f t="shared" si="373"/>
        <v>0.81333333333333335</v>
      </c>
      <c r="BZ54" s="133">
        <f t="shared" si="373"/>
        <v>0.81333333333333335</v>
      </c>
      <c r="CA54" s="133">
        <f t="shared" si="373"/>
        <v>0.81333333333333335</v>
      </c>
      <c r="CB54" s="278">
        <f t="shared" si="373"/>
        <v>0.81333333333333335</v>
      </c>
      <c r="CC54" s="133">
        <f t="shared" si="373"/>
        <v>0.81333333333333335</v>
      </c>
      <c r="CD54" s="133">
        <f t="shared" si="373"/>
        <v>0.81333333333333335</v>
      </c>
      <c r="CE54" s="133">
        <f t="shared" si="373"/>
        <v>0.81333333333333335</v>
      </c>
      <c r="CF54" s="133">
        <f t="shared" si="373"/>
        <v>0.81333333333333335</v>
      </c>
      <c r="CG54" s="133">
        <f t="shared" si="373"/>
        <v>0.81333333333333335</v>
      </c>
      <c r="CH54" s="133">
        <f t="shared" si="373"/>
        <v>0.81333333333333335</v>
      </c>
      <c r="CI54" s="133">
        <f t="shared" si="373"/>
        <v>0.81333333333333335</v>
      </c>
      <c r="CJ54" s="133">
        <f t="shared" si="373"/>
        <v>0.81333333333333335</v>
      </c>
      <c r="CK54" s="133">
        <f t="shared" si="373"/>
        <v>0.81333333333333335</v>
      </c>
      <c r="CL54" s="133">
        <f t="shared" si="373"/>
        <v>0.81333333333333335</v>
      </c>
      <c r="CM54" s="129">
        <f t="shared" si="373"/>
        <v>0.81333333333333335</v>
      </c>
      <c r="CN54" s="278">
        <f t="shared" si="373"/>
        <v>0.81333333333333335</v>
      </c>
      <c r="CO54" s="133">
        <f t="shared" si="373"/>
        <v>0.81333333333333335</v>
      </c>
      <c r="CP54" s="133">
        <f t="shared" si="373"/>
        <v>0.81333333333333335</v>
      </c>
      <c r="CQ54" s="133">
        <f t="shared" si="373"/>
        <v>0.81333333333333335</v>
      </c>
      <c r="CR54" s="133">
        <f t="shared" si="373"/>
        <v>0.81333333333333335</v>
      </c>
      <c r="CS54" s="133">
        <f t="shared" si="373"/>
        <v>0.81333333333333335</v>
      </c>
      <c r="CT54" s="133">
        <f t="shared" si="373"/>
        <v>0.81333333333333335</v>
      </c>
      <c r="CU54" s="133">
        <f t="shared" si="373"/>
        <v>0.81333333333333335</v>
      </c>
      <c r="CV54" s="133">
        <f t="shared" si="373"/>
        <v>0.81333333333333335</v>
      </c>
      <c r="CW54" s="133">
        <f t="shared" si="373"/>
        <v>0.81333333333333335</v>
      </c>
      <c r="CX54" s="133">
        <f t="shared" si="373"/>
        <v>0.81333333333333335</v>
      </c>
      <c r="CY54" s="129">
        <f t="shared" si="373"/>
        <v>0.81333333333333335</v>
      </c>
      <c r="CZ54" s="278">
        <f t="shared" si="373"/>
        <v>0.81333333333333335</v>
      </c>
      <c r="DA54" s="133">
        <f t="shared" si="373"/>
        <v>0.81333333333333335</v>
      </c>
      <c r="DB54" s="133">
        <f t="shared" si="373"/>
        <v>0.81333333333333335</v>
      </c>
      <c r="DC54" s="133">
        <f t="shared" si="373"/>
        <v>0.81333333333333335</v>
      </c>
      <c r="DD54" s="133">
        <f t="shared" si="373"/>
        <v>0.81333333333333335</v>
      </c>
      <c r="DE54" s="133">
        <f t="shared" si="373"/>
        <v>0.81333333333333335</v>
      </c>
      <c r="DF54" s="133">
        <f t="shared" si="373"/>
        <v>0.81333333333333335</v>
      </c>
      <c r="DG54" s="133">
        <f t="shared" si="373"/>
        <v>0.81333333333333335</v>
      </c>
      <c r="DH54" s="133">
        <f t="shared" si="373"/>
        <v>0.81333333333333335</v>
      </c>
      <c r="DI54" s="133">
        <f t="shared" si="373"/>
        <v>0.81333333333333335</v>
      </c>
      <c r="DJ54" s="133">
        <f t="shared" si="373"/>
        <v>0.81333333333333335</v>
      </c>
      <c r="DK54" s="133">
        <f t="shared" si="373"/>
        <v>0.81333333333333335</v>
      </c>
      <c r="DL54" s="278">
        <f t="shared" si="373"/>
        <v>0.81333333333333335</v>
      </c>
      <c r="DM54" s="133">
        <f t="shared" si="373"/>
        <v>0.81333333333333335</v>
      </c>
      <c r="DN54" s="133">
        <f t="shared" si="373"/>
        <v>0.81333333333333335</v>
      </c>
      <c r="DO54" s="133">
        <f t="shared" si="373"/>
        <v>0.81333333333333335</v>
      </c>
      <c r="DP54" s="133">
        <f t="shared" si="373"/>
        <v>0.81333333333333335</v>
      </c>
      <c r="DQ54" s="133">
        <f t="shared" si="373"/>
        <v>0.81333333333333335</v>
      </c>
      <c r="DR54" s="133">
        <f t="shared" si="373"/>
        <v>0.81333333333333335</v>
      </c>
      <c r="DS54" s="133">
        <f t="shared" si="373"/>
        <v>0.81333333333333335</v>
      </c>
      <c r="DT54" s="133">
        <f t="shared" si="373"/>
        <v>0.81333333333333335</v>
      </c>
      <c r="DU54" s="133">
        <f t="shared" si="373"/>
        <v>0.81333333333333335</v>
      </c>
      <c r="DV54" s="133">
        <f t="shared" si="373"/>
        <v>0.81333333333333335</v>
      </c>
      <c r="DW54" s="133">
        <f t="shared" si="373"/>
        <v>0.81333333333333335</v>
      </c>
    </row>
    <row r="55" spans="2:127" x14ac:dyDescent="0.3">
      <c r="D55" s="126" t="str">
        <f t="shared" si="341"/>
        <v>RTA/WFM</v>
      </c>
      <c r="E55" s="133"/>
      <c r="F55" s="378"/>
      <c r="G55" s="1203">
        <f t="shared" si="342"/>
        <v>0.60999999999999988</v>
      </c>
      <c r="H55" s="133">
        <f t="shared" ref="H55:AM55" si="374">H$40/H34</f>
        <v>0.60999999999999988</v>
      </c>
      <c r="I55" s="133">
        <f t="shared" si="374"/>
        <v>0.61</v>
      </c>
      <c r="J55" s="133">
        <f t="shared" si="374"/>
        <v>0.61</v>
      </c>
      <c r="K55" s="133">
        <f t="shared" si="374"/>
        <v>0.61</v>
      </c>
      <c r="L55" s="133">
        <f t="shared" si="374"/>
        <v>0.61</v>
      </c>
      <c r="M55" s="133">
        <f t="shared" si="374"/>
        <v>0.61</v>
      </c>
      <c r="N55" s="133">
        <f t="shared" si="374"/>
        <v>0.61</v>
      </c>
      <c r="O55" s="133">
        <f t="shared" si="374"/>
        <v>0.61</v>
      </c>
      <c r="P55" s="133">
        <f t="shared" si="374"/>
        <v>0.61</v>
      </c>
      <c r="Q55" s="133">
        <f t="shared" si="374"/>
        <v>0.61</v>
      </c>
      <c r="R55" s="133">
        <f t="shared" si="374"/>
        <v>0.61</v>
      </c>
      <c r="S55" s="133">
        <f t="shared" si="374"/>
        <v>0.61</v>
      </c>
      <c r="T55" s="278">
        <f t="shared" si="374"/>
        <v>0.61</v>
      </c>
      <c r="U55" s="133">
        <f t="shared" si="374"/>
        <v>0.61</v>
      </c>
      <c r="V55" s="133">
        <f t="shared" si="374"/>
        <v>0.61</v>
      </c>
      <c r="W55" s="133">
        <f t="shared" si="374"/>
        <v>0.61</v>
      </c>
      <c r="X55" s="133">
        <f t="shared" si="374"/>
        <v>0.61</v>
      </c>
      <c r="Y55" s="133">
        <f t="shared" si="374"/>
        <v>0.61</v>
      </c>
      <c r="Z55" s="133">
        <f t="shared" si="374"/>
        <v>0.61</v>
      </c>
      <c r="AA55" s="133">
        <f t="shared" si="374"/>
        <v>0.61</v>
      </c>
      <c r="AB55" s="133">
        <f t="shared" si="374"/>
        <v>0.61</v>
      </c>
      <c r="AC55" s="133">
        <f t="shared" si="374"/>
        <v>0.61</v>
      </c>
      <c r="AD55" s="133">
        <f t="shared" si="374"/>
        <v>0.61</v>
      </c>
      <c r="AE55" s="133">
        <f t="shared" si="374"/>
        <v>0.61</v>
      </c>
      <c r="AF55" s="278">
        <f t="shared" si="374"/>
        <v>0.61</v>
      </c>
      <c r="AG55" s="133">
        <f t="shared" si="374"/>
        <v>0.61</v>
      </c>
      <c r="AH55" s="133">
        <f t="shared" si="374"/>
        <v>0.61</v>
      </c>
      <c r="AI55" s="133">
        <f t="shared" si="374"/>
        <v>0.61</v>
      </c>
      <c r="AJ55" s="133">
        <f t="shared" si="374"/>
        <v>0.61</v>
      </c>
      <c r="AK55" s="133">
        <f t="shared" si="374"/>
        <v>0.61</v>
      </c>
      <c r="AL55" s="133">
        <f t="shared" si="374"/>
        <v>0.61</v>
      </c>
      <c r="AM55" s="133">
        <f t="shared" si="374"/>
        <v>0.61</v>
      </c>
      <c r="AN55" s="133">
        <f t="shared" ref="AN55:BO55" si="375">AN$40/AN34</f>
        <v>0.61</v>
      </c>
      <c r="AO55" s="133">
        <f t="shared" si="375"/>
        <v>0.61</v>
      </c>
      <c r="AP55" s="133">
        <f t="shared" si="375"/>
        <v>0.61</v>
      </c>
      <c r="AQ55" s="133">
        <f t="shared" si="375"/>
        <v>0.61</v>
      </c>
      <c r="AR55" s="278">
        <f t="shared" si="375"/>
        <v>0.61</v>
      </c>
      <c r="AS55" s="133">
        <f t="shared" si="375"/>
        <v>0.61</v>
      </c>
      <c r="AT55" s="133">
        <f t="shared" si="375"/>
        <v>0.61</v>
      </c>
      <c r="AU55" s="133">
        <f t="shared" si="375"/>
        <v>0.61</v>
      </c>
      <c r="AV55" s="133">
        <f t="shared" si="375"/>
        <v>0.61</v>
      </c>
      <c r="AW55" s="133">
        <f t="shared" si="375"/>
        <v>0.61</v>
      </c>
      <c r="AX55" s="133">
        <f t="shared" si="375"/>
        <v>0.61</v>
      </c>
      <c r="AY55" s="133">
        <f t="shared" si="375"/>
        <v>0.61</v>
      </c>
      <c r="AZ55" s="133">
        <f t="shared" si="375"/>
        <v>0.61</v>
      </c>
      <c r="BA55" s="133">
        <f t="shared" si="375"/>
        <v>0.61</v>
      </c>
      <c r="BB55" s="133">
        <f t="shared" si="375"/>
        <v>0.61</v>
      </c>
      <c r="BC55" s="133">
        <f t="shared" si="375"/>
        <v>0.61</v>
      </c>
      <c r="BD55" s="278">
        <f t="shared" si="375"/>
        <v>0.61</v>
      </c>
      <c r="BE55" s="133">
        <f t="shared" si="375"/>
        <v>0.61</v>
      </c>
      <c r="BF55" s="133">
        <f t="shared" si="375"/>
        <v>0.61</v>
      </c>
      <c r="BG55" s="133">
        <f t="shared" si="375"/>
        <v>0.61</v>
      </c>
      <c r="BH55" s="133">
        <f t="shared" si="375"/>
        <v>0.61</v>
      </c>
      <c r="BI55" s="133">
        <f t="shared" si="375"/>
        <v>0.61</v>
      </c>
      <c r="BJ55" s="133">
        <f t="shared" si="375"/>
        <v>0.61</v>
      </c>
      <c r="BK55" s="133">
        <f t="shared" si="375"/>
        <v>0.61</v>
      </c>
      <c r="BL55" s="133">
        <f t="shared" si="375"/>
        <v>0.61</v>
      </c>
      <c r="BM55" s="133">
        <f t="shared" si="375"/>
        <v>0.61</v>
      </c>
      <c r="BN55" s="133">
        <f t="shared" si="375"/>
        <v>0.61</v>
      </c>
      <c r="BO55" s="129">
        <f t="shared" si="375"/>
        <v>0.61</v>
      </c>
      <c r="BP55" s="278">
        <f t="shared" ref="BP55:DW55" si="376">BP$40/BP34</f>
        <v>0.61</v>
      </c>
      <c r="BQ55" s="133">
        <f t="shared" si="376"/>
        <v>0.61</v>
      </c>
      <c r="BR55" s="133">
        <f t="shared" si="376"/>
        <v>0.61</v>
      </c>
      <c r="BS55" s="133">
        <f t="shared" si="376"/>
        <v>0.61</v>
      </c>
      <c r="BT55" s="133">
        <f t="shared" si="376"/>
        <v>0.61</v>
      </c>
      <c r="BU55" s="133">
        <f t="shared" si="376"/>
        <v>0.61</v>
      </c>
      <c r="BV55" s="133">
        <f t="shared" si="376"/>
        <v>0.61</v>
      </c>
      <c r="BW55" s="133">
        <f t="shared" si="376"/>
        <v>0.61</v>
      </c>
      <c r="BX55" s="133">
        <f t="shared" si="376"/>
        <v>0.61</v>
      </c>
      <c r="BY55" s="133">
        <f t="shared" si="376"/>
        <v>0.61</v>
      </c>
      <c r="BZ55" s="133">
        <f t="shared" si="376"/>
        <v>0.61</v>
      </c>
      <c r="CA55" s="133">
        <f t="shared" si="376"/>
        <v>0.61</v>
      </c>
      <c r="CB55" s="278">
        <f t="shared" si="376"/>
        <v>0.61</v>
      </c>
      <c r="CC55" s="133">
        <f t="shared" si="376"/>
        <v>0.61</v>
      </c>
      <c r="CD55" s="133">
        <f t="shared" si="376"/>
        <v>0.61</v>
      </c>
      <c r="CE55" s="133">
        <f t="shared" si="376"/>
        <v>0.61</v>
      </c>
      <c r="CF55" s="133">
        <f t="shared" si="376"/>
        <v>0.61</v>
      </c>
      <c r="CG55" s="133">
        <f t="shared" si="376"/>
        <v>0.61</v>
      </c>
      <c r="CH55" s="133">
        <f t="shared" si="376"/>
        <v>0.61</v>
      </c>
      <c r="CI55" s="133">
        <f t="shared" si="376"/>
        <v>0.61</v>
      </c>
      <c r="CJ55" s="133">
        <f t="shared" si="376"/>
        <v>0.61</v>
      </c>
      <c r="CK55" s="133">
        <f t="shared" si="376"/>
        <v>0.61</v>
      </c>
      <c r="CL55" s="133">
        <f t="shared" si="376"/>
        <v>0.61</v>
      </c>
      <c r="CM55" s="129">
        <f t="shared" si="376"/>
        <v>0.61</v>
      </c>
      <c r="CN55" s="278">
        <f t="shared" si="376"/>
        <v>0.61</v>
      </c>
      <c r="CO55" s="133">
        <f t="shared" si="376"/>
        <v>0.61</v>
      </c>
      <c r="CP55" s="133">
        <f t="shared" si="376"/>
        <v>0.61</v>
      </c>
      <c r="CQ55" s="133">
        <f t="shared" si="376"/>
        <v>0.61</v>
      </c>
      <c r="CR55" s="133">
        <f t="shared" si="376"/>
        <v>0.61</v>
      </c>
      <c r="CS55" s="133">
        <f t="shared" si="376"/>
        <v>0.61</v>
      </c>
      <c r="CT55" s="133">
        <f t="shared" si="376"/>
        <v>0.61</v>
      </c>
      <c r="CU55" s="133">
        <f t="shared" si="376"/>
        <v>0.61</v>
      </c>
      <c r="CV55" s="133">
        <f t="shared" si="376"/>
        <v>0.61</v>
      </c>
      <c r="CW55" s="133">
        <f t="shared" si="376"/>
        <v>0.61</v>
      </c>
      <c r="CX55" s="133">
        <f t="shared" si="376"/>
        <v>0.61</v>
      </c>
      <c r="CY55" s="129">
        <f t="shared" si="376"/>
        <v>0.61</v>
      </c>
      <c r="CZ55" s="278">
        <f t="shared" si="376"/>
        <v>0.61</v>
      </c>
      <c r="DA55" s="133">
        <f t="shared" si="376"/>
        <v>0.61</v>
      </c>
      <c r="DB55" s="133">
        <f t="shared" si="376"/>
        <v>0.61</v>
      </c>
      <c r="DC55" s="133">
        <f t="shared" si="376"/>
        <v>0.61</v>
      </c>
      <c r="DD55" s="133">
        <f t="shared" si="376"/>
        <v>0.61</v>
      </c>
      <c r="DE55" s="133">
        <f t="shared" si="376"/>
        <v>0.61</v>
      </c>
      <c r="DF55" s="133">
        <f t="shared" si="376"/>
        <v>0.61</v>
      </c>
      <c r="DG55" s="133">
        <f t="shared" si="376"/>
        <v>0.61</v>
      </c>
      <c r="DH55" s="133">
        <f t="shared" si="376"/>
        <v>0.61</v>
      </c>
      <c r="DI55" s="133">
        <f t="shared" si="376"/>
        <v>0.61</v>
      </c>
      <c r="DJ55" s="133">
        <f t="shared" si="376"/>
        <v>0.61</v>
      </c>
      <c r="DK55" s="133">
        <f t="shared" si="376"/>
        <v>0.61</v>
      </c>
      <c r="DL55" s="278">
        <f t="shared" si="376"/>
        <v>0.61</v>
      </c>
      <c r="DM55" s="133">
        <f t="shared" si="376"/>
        <v>0.61</v>
      </c>
      <c r="DN55" s="133">
        <f t="shared" si="376"/>
        <v>0.61</v>
      </c>
      <c r="DO55" s="133">
        <f t="shared" si="376"/>
        <v>0.61</v>
      </c>
      <c r="DP55" s="133">
        <f t="shared" si="376"/>
        <v>0.61</v>
      </c>
      <c r="DQ55" s="133">
        <f t="shared" si="376"/>
        <v>0.61</v>
      </c>
      <c r="DR55" s="133">
        <f t="shared" si="376"/>
        <v>0.61</v>
      </c>
      <c r="DS55" s="133">
        <f t="shared" si="376"/>
        <v>0.61</v>
      </c>
      <c r="DT55" s="133">
        <f t="shared" si="376"/>
        <v>0.61</v>
      </c>
      <c r="DU55" s="133">
        <f t="shared" si="376"/>
        <v>0.61</v>
      </c>
      <c r="DV55" s="133">
        <f t="shared" si="376"/>
        <v>0.61</v>
      </c>
      <c r="DW55" s="133">
        <f t="shared" si="376"/>
        <v>0.61</v>
      </c>
    </row>
    <row r="56" spans="2:127" x14ac:dyDescent="0.3">
      <c r="D56" s="126" t="str">
        <f t="shared" si="341"/>
        <v>Transition Resource</v>
      </c>
      <c r="E56" s="133"/>
      <c r="F56" s="378"/>
      <c r="G56" s="1203">
        <f t="shared" ref="G56" si="377">H56</f>
        <v>0.60999999999999988</v>
      </c>
      <c r="H56" s="133">
        <f t="shared" ref="H56:BS56" si="378">H$40/H35</f>
        <v>0.60999999999999988</v>
      </c>
      <c r="I56" s="133">
        <f t="shared" si="378"/>
        <v>0.61</v>
      </c>
      <c r="J56" s="133">
        <f t="shared" si="378"/>
        <v>0.61</v>
      </c>
      <c r="K56" s="133">
        <f t="shared" si="378"/>
        <v>0.61</v>
      </c>
      <c r="L56" s="133">
        <f t="shared" si="378"/>
        <v>0.61</v>
      </c>
      <c r="M56" s="133">
        <f t="shared" si="378"/>
        <v>6.1E-6</v>
      </c>
      <c r="N56" s="133">
        <f t="shared" si="378"/>
        <v>6.1E-6</v>
      </c>
      <c r="O56" s="133">
        <f t="shared" si="378"/>
        <v>6.1E-6</v>
      </c>
      <c r="P56" s="133">
        <f t="shared" si="378"/>
        <v>6.1E-6</v>
      </c>
      <c r="Q56" s="133">
        <f t="shared" si="378"/>
        <v>6.1E-6</v>
      </c>
      <c r="R56" s="133">
        <f t="shared" si="378"/>
        <v>6.1E-6</v>
      </c>
      <c r="S56" s="133">
        <f t="shared" si="378"/>
        <v>6.1E-6</v>
      </c>
      <c r="T56" s="278">
        <f t="shared" si="378"/>
        <v>6.1E-6</v>
      </c>
      <c r="U56" s="133">
        <f t="shared" si="378"/>
        <v>6.1E-6</v>
      </c>
      <c r="V56" s="133">
        <f t="shared" si="378"/>
        <v>6.1E-6</v>
      </c>
      <c r="W56" s="133">
        <f t="shared" si="378"/>
        <v>6.1E-6</v>
      </c>
      <c r="X56" s="133">
        <f t="shared" si="378"/>
        <v>6.1E-6</v>
      </c>
      <c r="Y56" s="133">
        <f t="shared" si="378"/>
        <v>6.1E-6</v>
      </c>
      <c r="Z56" s="133">
        <f t="shared" si="378"/>
        <v>6.1E-6</v>
      </c>
      <c r="AA56" s="133">
        <f t="shared" si="378"/>
        <v>6.1E-6</v>
      </c>
      <c r="AB56" s="133">
        <f t="shared" si="378"/>
        <v>6.1E-6</v>
      </c>
      <c r="AC56" s="133">
        <f t="shared" si="378"/>
        <v>6.1E-6</v>
      </c>
      <c r="AD56" s="133">
        <f t="shared" si="378"/>
        <v>6.1E-6</v>
      </c>
      <c r="AE56" s="133">
        <f t="shared" si="378"/>
        <v>6.1E-6</v>
      </c>
      <c r="AF56" s="278">
        <f t="shared" si="378"/>
        <v>6.1E-6</v>
      </c>
      <c r="AG56" s="133">
        <f t="shared" si="378"/>
        <v>6.1E-6</v>
      </c>
      <c r="AH56" s="133">
        <f t="shared" si="378"/>
        <v>6.1E-6</v>
      </c>
      <c r="AI56" s="133">
        <f t="shared" si="378"/>
        <v>6.1E-6</v>
      </c>
      <c r="AJ56" s="133">
        <f t="shared" si="378"/>
        <v>6.1E-6</v>
      </c>
      <c r="AK56" s="133">
        <f t="shared" si="378"/>
        <v>6.1E-6</v>
      </c>
      <c r="AL56" s="133">
        <f t="shared" si="378"/>
        <v>6.1E-6</v>
      </c>
      <c r="AM56" s="133">
        <f t="shared" si="378"/>
        <v>6.1E-6</v>
      </c>
      <c r="AN56" s="133">
        <f t="shared" si="378"/>
        <v>6.1E-6</v>
      </c>
      <c r="AO56" s="133">
        <f t="shared" si="378"/>
        <v>6.1E-6</v>
      </c>
      <c r="AP56" s="133">
        <f t="shared" si="378"/>
        <v>6.1E-6</v>
      </c>
      <c r="AQ56" s="133">
        <f t="shared" si="378"/>
        <v>6.1E-6</v>
      </c>
      <c r="AR56" s="278">
        <f t="shared" si="378"/>
        <v>6.1E-6</v>
      </c>
      <c r="AS56" s="133">
        <f t="shared" si="378"/>
        <v>6.1E-6</v>
      </c>
      <c r="AT56" s="133">
        <f t="shared" si="378"/>
        <v>6.1E-6</v>
      </c>
      <c r="AU56" s="133">
        <f t="shared" si="378"/>
        <v>6.1E-6</v>
      </c>
      <c r="AV56" s="133">
        <f t="shared" si="378"/>
        <v>6.1E-6</v>
      </c>
      <c r="AW56" s="133">
        <f t="shared" si="378"/>
        <v>6.1E-6</v>
      </c>
      <c r="AX56" s="133">
        <f t="shared" si="378"/>
        <v>6.1E-6</v>
      </c>
      <c r="AY56" s="133">
        <f t="shared" si="378"/>
        <v>6.1E-6</v>
      </c>
      <c r="AZ56" s="133">
        <f t="shared" si="378"/>
        <v>6.1E-6</v>
      </c>
      <c r="BA56" s="133">
        <f t="shared" si="378"/>
        <v>6.1E-6</v>
      </c>
      <c r="BB56" s="133">
        <f t="shared" si="378"/>
        <v>6.1E-6</v>
      </c>
      <c r="BC56" s="133">
        <f t="shared" si="378"/>
        <v>6.1E-6</v>
      </c>
      <c r="BD56" s="278">
        <f t="shared" si="378"/>
        <v>6.1E-6</v>
      </c>
      <c r="BE56" s="133">
        <f t="shared" si="378"/>
        <v>6.1E-6</v>
      </c>
      <c r="BF56" s="133">
        <f t="shared" si="378"/>
        <v>6.1E-6</v>
      </c>
      <c r="BG56" s="133">
        <f t="shared" si="378"/>
        <v>6.1E-6</v>
      </c>
      <c r="BH56" s="133">
        <f t="shared" si="378"/>
        <v>6.1E-6</v>
      </c>
      <c r="BI56" s="133">
        <f t="shared" si="378"/>
        <v>6.1E-6</v>
      </c>
      <c r="BJ56" s="133">
        <f t="shared" si="378"/>
        <v>6.1E-6</v>
      </c>
      <c r="BK56" s="133">
        <f t="shared" si="378"/>
        <v>6.1E-6</v>
      </c>
      <c r="BL56" s="133">
        <f t="shared" si="378"/>
        <v>6.1E-6</v>
      </c>
      <c r="BM56" s="133">
        <f t="shared" si="378"/>
        <v>6.1E-6</v>
      </c>
      <c r="BN56" s="133">
        <f t="shared" si="378"/>
        <v>6.1E-6</v>
      </c>
      <c r="BO56" s="129">
        <f t="shared" si="378"/>
        <v>6.1E-6</v>
      </c>
      <c r="BP56" s="278">
        <f t="shared" si="378"/>
        <v>6.1E-6</v>
      </c>
      <c r="BQ56" s="133">
        <f t="shared" si="378"/>
        <v>6.1E-6</v>
      </c>
      <c r="BR56" s="133">
        <f t="shared" si="378"/>
        <v>6.1E-6</v>
      </c>
      <c r="BS56" s="133">
        <f t="shared" si="378"/>
        <v>6.1E-6</v>
      </c>
      <c r="BT56" s="133">
        <f t="shared" ref="BT56:DW56" si="379">BT$40/BT35</f>
        <v>6.1E-6</v>
      </c>
      <c r="BU56" s="133">
        <f t="shared" si="379"/>
        <v>6.1E-6</v>
      </c>
      <c r="BV56" s="133">
        <f t="shared" si="379"/>
        <v>6.1E-6</v>
      </c>
      <c r="BW56" s="133">
        <f t="shared" si="379"/>
        <v>6.1E-6</v>
      </c>
      <c r="BX56" s="133">
        <f t="shared" si="379"/>
        <v>6.1E-6</v>
      </c>
      <c r="BY56" s="133">
        <f t="shared" si="379"/>
        <v>6.1E-6</v>
      </c>
      <c r="BZ56" s="133">
        <f t="shared" si="379"/>
        <v>6.1E-6</v>
      </c>
      <c r="CA56" s="133">
        <f t="shared" si="379"/>
        <v>6.1E-6</v>
      </c>
      <c r="CB56" s="278">
        <f t="shared" si="379"/>
        <v>6.1E-6</v>
      </c>
      <c r="CC56" s="133">
        <f t="shared" si="379"/>
        <v>6.1E-6</v>
      </c>
      <c r="CD56" s="133">
        <f t="shared" si="379"/>
        <v>6.1E-6</v>
      </c>
      <c r="CE56" s="133">
        <f t="shared" si="379"/>
        <v>6.1E-6</v>
      </c>
      <c r="CF56" s="133">
        <f t="shared" si="379"/>
        <v>6.1E-6</v>
      </c>
      <c r="CG56" s="133">
        <f t="shared" si="379"/>
        <v>6.1E-6</v>
      </c>
      <c r="CH56" s="133">
        <f t="shared" si="379"/>
        <v>6.1E-6</v>
      </c>
      <c r="CI56" s="133">
        <f t="shared" si="379"/>
        <v>6.1E-6</v>
      </c>
      <c r="CJ56" s="133">
        <f t="shared" si="379"/>
        <v>6.1E-6</v>
      </c>
      <c r="CK56" s="133">
        <f t="shared" si="379"/>
        <v>6.1E-6</v>
      </c>
      <c r="CL56" s="133">
        <f t="shared" si="379"/>
        <v>6.1E-6</v>
      </c>
      <c r="CM56" s="129">
        <f t="shared" si="379"/>
        <v>6.1E-6</v>
      </c>
      <c r="CN56" s="278">
        <f t="shared" si="379"/>
        <v>6.1E-6</v>
      </c>
      <c r="CO56" s="133">
        <f t="shared" si="379"/>
        <v>6.1E-6</v>
      </c>
      <c r="CP56" s="133">
        <f t="shared" si="379"/>
        <v>6.1E-6</v>
      </c>
      <c r="CQ56" s="133">
        <f t="shared" si="379"/>
        <v>6.1E-6</v>
      </c>
      <c r="CR56" s="133">
        <f t="shared" si="379"/>
        <v>6.1E-6</v>
      </c>
      <c r="CS56" s="133">
        <f t="shared" si="379"/>
        <v>6.1E-6</v>
      </c>
      <c r="CT56" s="133">
        <f t="shared" si="379"/>
        <v>6.1E-6</v>
      </c>
      <c r="CU56" s="133">
        <f t="shared" si="379"/>
        <v>6.1E-6</v>
      </c>
      <c r="CV56" s="133">
        <f t="shared" si="379"/>
        <v>6.1E-6</v>
      </c>
      <c r="CW56" s="133">
        <f t="shared" si="379"/>
        <v>6.1E-6</v>
      </c>
      <c r="CX56" s="133">
        <f t="shared" si="379"/>
        <v>6.1E-6</v>
      </c>
      <c r="CY56" s="129">
        <f t="shared" si="379"/>
        <v>6.1E-6</v>
      </c>
      <c r="CZ56" s="278">
        <f t="shared" si="379"/>
        <v>6.1E-6</v>
      </c>
      <c r="DA56" s="133">
        <f t="shared" si="379"/>
        <v>6.1E-6</v>
      </c>
      <c r="DB56" s="133">
        <f t="shared" si="379"/>
        <v>6.1E-6</v>
      </c>
      <c r="DC56" s="133">
        <f t="shared" si="379"/>
        <v>6.1E-6</v>
      </c>
      <c r="DD56" s="133">
        <f t="shared" si="379"/>
        <v>6.1E-6</v>
      </c>
      <c r="DE56" s="133">
        <f t="shared" si="379"/>
        <v>6.1E-6</v>
      </c>
      <c r="DF56" s="133">
        <f t="shared" si="379"/>
        <v>6.1E-6</v>
      </c>
      <c r="DG56" s="133">
        <f t="shared" si="379"/>
        <v>6.1E-6</v>
      </c>
      <c r="DH56" s="133">
        <f t="shared" si="379"/>
        <v>6.1E-6</v>
      </c>
      <c r="DI56" s="133">
        <f t="shared" si="379"/>
        <v>6.1E-6</v>
      </c>
      <c r="DJ56" s="133">
        <f t="shared" si="379"/>
        <v>6.1E-6</v>
      </c>
      <c r="DK56" s="133">
        <f t="shared" si="379"/>
        <v>6.1E-6</v>
      </c>
      <c r="DL56" s="278">
        <f t="shared" si="379"/>
        <v>6.1E-6</v>
      </c>
      <c r="DM56" s="133">
        <f t="shared" si="379"/>
        <v>6.1E-6</v>
      </c>
      <c r="DN56" s="133">
        <f t="shared" si="379"/>
        <v>6.1E-6</v>
      </c>
      <c r="DO56" s="133">
        <f t="shared" si="379"/>
        <v>6.1E-6</v>
      </c>
      <c r="DP56" s="133">
        <f t="shared" si="379"/>
        <v>6.1E-6</v>
      </c>
      <c r="DQ56" s="133">
        <f t="shared" si="379"/>
        <v>6.1E-6</v>
      </c>
      <c r="DR56" s="133">
        <f t="shared" si="379"/>
        <v>6.1E-6</v>
      </c>
      <c r="DS56" s="133">
        <f t="shared" si="379"/>
        <v>6.1E-6</v>
      </c>
      <c r="DT56" s="133">
        <f t="shared" si="379"/>
        <v>6.1E-6</v>
      </c>
      <c r="DU56" s="133">
        <f t="shared" si="379"/>
        <v>6.1E-6</v>
      </c>
      <c r="DV56" s="133">
        <f t="shared" si="379"/>
        <v>6.1E-6</v>
      </c>
      <c r="DW56" s="133">
        <f t="shared" si="379"/>
        <v>6.1E-6</v>
      </c>
    </row>
    <row r="57" spans="2:127" x14ac:dyDescent="0.3">
      <c r="D57" s="126" t="str">
        <f t="shared" si="341"/>
        <v>PEx Resource</v>
      </c>
      <c r="E57" s="133"/>
      <c r="F57" s="378"/>
      <c r="G57" s="1203">
        <f t="shared" si="342"/>
        <v>0.15249999999999997</v>
      </c>
      <c r="H57" s="133">
        <f t="shared" ref="H57:AM57" si="380">H$40/H36</f>
        <v>0.15249999999999997</v>
      </c>
      <c r="I57" s="133">
        <f t="shared" si="380"/>
        <v>0.1525</v>
      </c>
      <c r="J57" s="133">
        <f t="shared" si="380"/>
        <v>0.1525</v>
      </c>
      <c r="K57" s="133">
        <f t="shared" si="380"/>
        <v>0.1525</v>
      </c>
      <c r="L57" s="133">
        <f t="shared" si="380"/>
        <v>0.1525</v>
      </c>
      <c r="M57" s="133">
        <f t="shared" si="380"/>
        <v>0.1525</v>
      </c>
      <c r="N57" s="133">
        <f t="shared" si="380"/>
        <v>0.1525</v>
      </c>
      <c r="O57" s="133">
        <f t="shared" si="380"/>
        <v>0.1525</v>
      </c>
      <c r="P57" s="133">
        <f t="shared" si="380"/>
        <v>0.1525</v>
      </c>
      <c r="Q57" s="133">
        <f t="shared" si="380"/>
        <v>0.1525</v>
      </c>
      <c r="R57" s="133">
        <f t="shared" si="380"/>
        <v>0.1525</v>
      </c>
      <c r="S57" s="133">
        <f t="shared" si="380"/>
        <v>0.1525</v>
      </c>
      <c r="T57" s="278">
        <f t="shared" si="380"/>
        <v>0.1525</v>
      </c>
      <c r="U57" s="133">
        <f t="shared" si="380"/>
        <v>0.1525</v>
      </c>
      <c r="V57" s="133">
        <f t="shared" si="380"/>
        <v>0.1525</v>
      </c>
      <c r="W57" s="133">
        <f t="shared" si="380"/>
        <v>0.1525</v>
      </c>
      <c r="X57" s="133">
        <f t="shared" si="380"/>
        <v>0.1525</v>
      </c>
      <c r="Y57" s="133">
        <f t="shared" si="380"/>
        <v>0.1525</v>
      </c>
      <c r="Z57" s="133">
        <f t="shared" si="380"/>
        <v>0.1525</v>
      </c>
      <c r="AA57" s="133">
        <f t="shared" si="380"/>
        <v>0.1525</v>
      </c>
      <c r="AB57" s="133">
        <f t="shared" si="380"/>
        <v>0.1525</v>
      </c>
      <c r="AC57" s="133">
        <f t="shared" si="380"/>
        <v>0.1525</v>
      </c>
      <c r="AD57" s="133">
        <f t="shared" si="380"/>
        <v>0.1525</v>
      </c>
      <c r="AE57" s="133">
        <f t="shared" si="380"/>
        <v>0.1525</v>
      </c>
      <c r="AF57" s="278">
        <f t="shared" si="380"/>
        <v>0.1525</v>
      </c>
      <c r="AG57" s="133">
        <f t="shared" si="380"/>
        <v>0.1525</v>
      </c>
      <c r="AH57" s="133">
        <f t="shared" si="380"/>
        <v>0.1525</v>
      </c>
      <c r="AI57" s="133">
        <f t="shared" si="380"/>
        <v>0.1525</v>
      </c>
      <c r="AJ57" s="133">
        <f t="shared" si="380"/>
        <v>0.1525</v>
      </c>
      <c r="AK57" s="133">
        <f t="shared" si="380"/>
        <v>0.1525</v>
      </c>
      <c r="AL57" s="133">
        <f t="shared" si="380"/>
        <v>0.1525</v>
      </c>
      <c r="AM57" s="133">
        <f t="shared" si="380"/>
        <v>0.1525</v>
      </c>
      <c r="AN57" s="133">
        <f t="shared" ref="AN57:BO57" si="381">AN$40/AN36</f>
        <v>0.1525</v>
      </c>
      <c r="AO57" s="133">
        <f t="shared" si="381"/>
        <v>0.1525</v>
      </c>
      <c r="AP57" s="133">
        <f t="shared" si="381"/>
        <v>0.1525</v>
      </c>
      <c r="AQ57" s="133">
        <f t="shared" si="381"/>
        <v>0.1525</v>
      </c>
      <c r="AR57" s="278">
        <f t="shared" si="381"/>
        <v>0.1525</v>
      </c>
      <c r="AS57" s="133">
        <f t="shared" si="381"/>
        <v>0.1525</v>
      </c>
      <c r="AT57" s="133">
        <f t="shared" si="381"/>
        <v>0.1525</v>
      </c>
      <c r="AU57" s="133">
        <f t="shared" si="381"/>
        <v>0.1525</v>
      </c>
      <c r="AV57" s="133">
        <f t="shared" si="381"/>
        <v>0.1525</v>
      </c>
      <c r="AW57" s="133">
        <f t="shared" si="381"/>
        <v>0.1525</v>
      </c>
      <c r="AX57" s="133">
        <f t="shared" si="381"/>
        <v>0.1525</v>
      </c>
      <c r="AY57" s="133">
        <f t="shared" si="381"/>
        <v>0.1525</v>
      </c>
      <c r="AZ57" s="133">
        <f t="shared" si="381"/>
        <v>0.1525</v>
      </c>
      <c r="BA57" s="133">
        <f t="shared" si="381"/>
        <v>0.1525</v>
      </c>
      <c r="BB57" s="133">
        <f t="shared" si="381"/>
        <v>0.1525</v>
      </c>
      <c r="BC57" s="133">
        <f t="shared" si="381"/>
        <v>0.1525</v>
      </c>
      <c r="BD57" s="278">
        <f t="shared" si="381"/>
        <v>0.1525</v>
      </c>
      <c r="BE57" s="133">
        <f t="shared" si="381"/>
        <v>0.1525</v>
      </c>
      <c r="BF57" s="133">
        <f t="shared" si="381"/>
        <v>0.1525</v>
      </c>
      <c r="BG57" s="133">
        <f t="shared" si="381"/>
        <v>0.1525</v>
      </c>
      <c r="BH57" s="133">
        <f t="shared" si="381"/>
        <v>0.1525</v>
      </c>
      <c r="BI57" s="133">
        <f t="shared" si="381"/>
        <v>0.1525</v>
      </c>
      <c r="BJ57" s="133">
        <f t="shared" si="381"/>
        <v>0.1525</v>
      </c>
      <c r="BK57" s="133">
        <f t="shared" si="381"/>
        <v>0.1525</v>
      </c>
      <c r="BL57" s="133">
        <f t="shared" si="381"/>
        <v>0.1525</v>
      </c>
      <c r="BM57" s="133">
        <f t="shared" si="381"/>
        <v>0.1525</v>
      </c>
      <c r="BN57" s="133">
        <f t="shared" si="381"/>
        <v>0.1525</v>
      </c>
      <c r="BO57" s="129">
        <f t="shared" si="381"/>
        <v>0.1525</v>
      </c>
      <c r="BP57" s="278">
        <f t="shared" ref="BP57:DW57" si="382">BP$40/BP36</f>
        <v>0.1525</v>
      </c>
      <c r="BQ57" s="133">
        <f t="shared" si="382"/>
        <v>0.1525</v>
      </c>
      <c r="BR57" s="133">
        <f t="shared" si="382"/>
        <v>0.1525</v>
      </c>
      <c r="BS57" s="133">
        <f t="shared" si="382"/>
        <v>0.1525</v>
      </c>
      <c r="BT57" s="133">
        <f t="shared" si="382"/>
        <v>0.1525</v>
      </c>
      <c r="BU57" s="133">
        <f t="shared" si="382"/>
        <v>0.1525</v>
      </c>
      <c r="BV57" s="133">
        <f t="shared" si="382"/>
        <v>0.1525</v>
      </c>
      <c r="BW57" s="133">
        <f t="shared" si="382"/>
        <v>0.1525</v>
      </c>
      <c r="BX57" s="133">
        <f t="shared" si="382"/>
        <v>0.1525</v>
      </c>
      <c r="BY57" s="133">
        <f t="shared" si="382"/>
        <v>0.1525</v>
      </c>
      <c r="BZ57" s="133">
        <f t="shared" si="382"/>
        <v>0.1525</v>
      </c>
      <c r="CA57" s="133">
        <f t="shared" si="382"/>
        <v>0.1525</v>
      </c>
      <c r="CB57" s="278">
        <f t="shared" si="382"/>
        <v>0.1525</v>
      </c>
      <c r="CC57" s="133">
        <f t="shared" si="382"/>
        <v>0.1525</v>
      </c>
      <c r="CD57" s="133">
        <f t="shared" si="382"/>
        <v>0.1525</v>
      </c>
      <c r="CE57" s="133">
        <f t="shared" si="382"/>
        <v>0.1525</v>
      </c>
      <c r="CF57" s="133">
        <f t="shared" si="382"/>
        <v>0.1525</v>
      </c>
      <c r="CG57" s="133">
        <f t="shared" si="382"/>
        <v>0.1525</v>
      </c>
      <c r="CH57" s="133">
        <f t="shared" si="382"/>
        <v>0.1525</v>
      </c>
      <c r="CI57" s="133">
        <f t="shared" si="382"/>
        <v>0.1525</v>
      </c>
      <c r="CJ57" s="133">
        <f t="shared" si="382"/>
        <v>0.1525</v>
      </c>
      <c r="CK57" s="133">
        <f t="shared" si="382"/>
        <v>0.1525</v>
      </c>
      <c r="CL57" s="133">
        <f t="shared" si="382"/>
        <v>0.1525</v>
      </c>
      <c r="CM57" s="129">
        <f t="shared" si="382"/>
        <v>0.1525</v>
      </c>
      <c r="CN57" s="278">
        <f t="shared" si="382"/>
        <v>0.1525</v>
      </c>
      <c r="CO57" s="133">
        <f t="shared" si="382"/>
        <v>0.1525</v>
      </c>
      <c r="CP57" s="133">
        <f t="shared" si="382"/>
        <v>0.1525</v>
      </c>
      <c r="CQ57" s="133">
        <f t="shared" si="382"/>
        <v>0.1525</v>
      </c>
      <c r="CR57" s="133">
        <f t="shared" si="382"/>
        <v>0.1525</v>
      </c>
      <c r="CS57" s="133">
        <f t="shared" si="382"/>
        <v>0.1525</v>
      </c>
      <c r="CT57" s="133">
        <f t="shared" si="382"/>
        <v>0.1525</v>
      </c>
      <c r="CU57" s="133">
        <f t="shared" si="382"/>
        <v>0.1525</v>
      </c>
      <c r="CV57" s="133">
        <f t="shared" si="382"/>
        <v>0.1525</v>
      </c>
      <c r="CW57" s="133">
        <f t="shared" si="382"/>
        <v>0.1525</v>
      </c>
      <c r="CX57" s="133">
        <f t="shared" si="382"/>
        <v>0.1525</v>
      </c>
      <c r="CY57" s="129">
        <f t="shared" si="382"/>
        <v>0.1525</v>
      </c>
      <c r="CZ57" s="278">
        <f t="shared" si="382"/>
        <v>0.1525</v>
      </c>
      <c r="DA57" s="133">
        <f t="shared" si="382"/>
        <v>0.1525</v>
      </c>
      <c r="DB57" s="133">
        <f t="shared" si="382"/>
        <v>0.1525</v>
      </c>
      <c r="DC57" s="133">
        <f t="shared" si="382"/>
        <v>0.1525</v>
      </c>
      <c r="DD57" s="133">
        <f t="shared" si="382"/>
        <v>0.1525</v>
      </c>
      <c r="DE57" s="133">
        <f t="shared" si="382"/>
        <v>0.1525</v>
      </c>
      <c r="DF57" s="133">
        <f t="shared" si="382"/>
        <v>0.1525</v>
      </c>
      <c r="DG57" s="133">
        <f t="shared" si="382"/>
        <v>0.1525</v>
      </c>
      <c r="DH57" s="133">
        <f t="shared" si="382"/>
        <v>0.1525</v>
      </c>
      <c r="DI57" s="133">
        <f t="shared" si="382"/>
        <v>0.1525</v>
      </c>
      <c r="DJ57" s="133">
        <f t="shared" si="382"/>
        <v>0.1525</v>
      </c>
      <c r="DK57" s="133">
        <f t="shared" si="382"/>
        <v>0.1525</v>
      </c>
      <c r="DL57" s="278">
        <f t="shared" si="382"/>
        <v>0.1525</v>
      </c>
      <c r="DM57" s="133">
        <f t="shared" si="382"/>
        <v>0.1525</v>
      </c>
      <c r="DN57" s="133">
        <f t="shared" si="382"/>
        <v>0.1525</v>
      </c>
      <c r="DO57" s="133">
        <f t="shared" si="382"/>
        <v>0.1525</v>
      </c>
      <c r="DP57" s="133">
        <f t="shared" si="382"/>
        <v>0.1525</v>
      </c>
      <c r="DQ57" s="133">
        <f t="shared" si="382"/>
        <v>0.1525</v>
      </c>
      <c r="DR57" s="133">
        <f t="shared" si="382"/>
        <v>0.1525</v>
      </c>
      <c r="DS57" s="133">
        <f t="shared" si="382"/>
        <v>0.1525</v>
      </c>
      <c r="DT57" s="133">
        <f t="shared" si="382"/>
        <v>0.1525</v>
      </c>
      <c r="DU57" s="133">
        <f t="shared" si="382"/>
        <v>0.1525</v>
      </c>
      <c r="DV57" s="133">
        <f t="shared" si="382"/>
        <v>0.1525</v>
      </c>
      <c r="DW57" s="133">
        <f t="shared" si="382"/>
        <v>0.1525</v>
      </c>
    </row>
    <row r="58" spans="2:127" x14ac:dyDescent="0.3">
      <c r="D58" s="126" t="str">
        <f t="shared" si="341"/>
        <v>Resource3</v>
      </c>
      <c r="E58" s="133"/>
      <c r="F58" s="378"/>
      <c r="G58" s="1203">
        <f t="shared" si="342"/>
        <v>6.0999999999999992E-6</v>
      </c>
      <c r="H58" s="133">
        <f t="shared" ref="H58:AM58" si="383">H$40/H37</f>
        <v>6.0999999999999992E-6</v>
      </c>
      <c r="I58" s="133">
        <f t="shared" si="383"/>
        <v>6.1E-6</v>
      </c>
      <c r="J58" s="133">
        <f t="shared" si="383"/>
        <v>6.1E-6</v>
      </c>
      <c r="K58" s="133">
        <f t="shared" si="383"/>
        <v>6.1E-6</v>
      </c>
      <c r="L58" s="133">
        <f t="shared" si="383"/>
        <v>6.1E-6</v>
      </c>
      <c r="M58" s="133">
        <f t="shared" si="383"/>
        <v>6.1E-6</v>
      </c>
      <c r="N58" s="133">
        <f t="shared" si="383"/>
        <v>6.1E-6</v>
      </c>
      <c r="O58" s="133">
        <f t="shared" si="383"/>
        <v>6.1E-6</v>
      </c>
      <c r="P58" s="133">
        <f t="shared" si="383"/>
        <v>6.1E-6</v>
      </c>
      <c r="Q58" s="133">
        <f t="shared" si="383"/>
        <v>6.1E-6</v>
      </c>
      <c r="R58" s="133">
        <f t="shared" si="383"/>
        <v>6.1E-6</v>
      </c>
      <c r="S58" s="133">
        <f t="shared" si="383"/>
        <v>6.1E-6</v>
      </c>
      <c r="T58" s="278">
        <f t="shared" si="383"/>
        <v>6.1E-6</v>
      </c>
      <c r="U58" s="133">
        <f t="shared" si="383"/>
        <v>6.1E-6</v>
      </c>
      <c r="V58" s="133">
        <f t="shared" si="383"/>
        <v>6.1E-6</v>
      </c>
      <c r="W58" s="133">
        <f t="shared" si="383"/>
        <v>6.1E-6</v>
      </c>
      <c r="X58" s="133">
        <f t="shared" si="383"/>
        <v>6.1E-6</v>
      </c>
      <c r="Y58" s="133">
        <f t="shared" si="383"/>
        <v>6.1E-6</v>
      </c>
      <c r="Z58" s="133">
        <f t="shared" si="383"/>
        <v>6.1E-6</v>
      </c>
      <c r="AA58" s="133">
        <f t="shared" si="383"/>
        <v>6.1E-6</v>
      </c>
      <c r="AB58" s="133">
        <f t="shared" si="383"/>
        <v>6.1E-6</v>
      </c>
      <c r="AC58" s="133">
        <f t="shared" si="383"/>
        <v>6.1E-6</v>
      </c>
      <c r="AD58" s="133">
        <f t="shared" si="383"/>
        <v>6.1E-6</v>
      </c>
      <c r="AE58" s="133">
        <f t="shared" si="383"/>
        <v>6.1E-6</v>
      </c>
      <c r="AF58" s="278">
        <f t="shared" si="383"/>
        <v>6.1E-6</v>
      </c>
      <c r="AG58" s="133">
        <f t="shared" si="383"/>
        <v>6.1E-6</v>
      </c>
      <c r="AH58" s="133">
        <f t="shared" si="383"/>
        <v>6.1E-6</v>
      </c>
      <c r="AI58" s="133">
        <f t="shared" si="383"/>
        <v>6.1E-6</v>
      </c>
      <c r="AJ58" s="133">
        <f t="shared" si="383"/>
        <v>6.1E-6</v>
      </c>
      <c r="AK58" s="133">
        <f t="shared" si="383"/>
        <v>6.1E-6</v>
      </c>
      <c r="AL58" s="133">
        <f t="shared" si="383"/>
        <v>6.1E-6</v>
      </c>
      <c r="AM58" s="133">
        <f t="shared" si="383"/>
        <v>6.1E-6</v>
      </c>
      <c r="AN58" s="133">
        <f t="shared" ref="AN58:BO58" si="384">AN$40/AN37</f>
        <v>6.1E-6</v>
      </c>
      <c r="AO58" s="133">
        <f t="shared" si="384"/>
        <v>6.1E-6</v>
      </c>
      <c r="AP58" s="133">
        <f t="shared" si="384"/>
        <v>6.1E-6</v>
      </c>
      <c r="AQ58" s="133">
        <f t="shared" si="384"/>
        <v>6.1E-6</v>
      </c>
      <c r="AR58" s="278">
        <f t="shared" si="384"/>
        <v>6.1E-6</v>
      </c>
      <c r="AS58" s="133">
        <f t="shared" si="384"/>
        <v>6.1E-6</v>
      </c>
      <c r="AT58" s="133">
        <f t="shared" si="384"/>
        <v>6.1E-6</v>
      </c>
      <c r="AU58" s="133">
        <f t="shared" si="384"/>
        <v>6.1E-6</v>
      </c>
      <c r="AV58" s="133">
        <f t="shared" si="384"/>
        <v>6.1E-6</v>
      </c>
      <c r="AW58" s="133">
        <f t="shared" si="384"/>
        <v>6.1E-6</v>
      </c>
      <c r="AX58" s="133">
        <f t="shared" si="384"/>
        <v>6.1E-6</v>
      </c>
      <c r="AY58" s="133">
        <f t="shared" si="384"/>
        <v>6.1E-6</v>
      </c>
      <c r="AZ58" s="133">
        <f t="shared" si="384"/>
        <v>6.1E-6</v>
      </c>
      <c r="BA58" s="133">
        <f t="shared" si="384"/>
        <v>6.1E-6</v>
      </c>
      <c r="BB58" s="133">
        <f t="shared" si="384"/>
        <v>6.1E-6</v>
      </c>
      <c r="BC58" s="133">
        <f t="shared" si="384"/>
        <v>6.1E-6</v>
      </c>
      <c r="BD58" s="278">
        <f t="shared" si="384"/>
        <v>6.1E-6</v>
      </c>
      <c r="BE58" s="133">
        <f t="shared" si="384"/>
        <v>6.1E-6</v>
      </c>
      <c r="BF58" s="133">
        <f t="shared" si="384"/>
        <v>6.1E-6</v>
      </c>
      <c r="BG58" s="133">
        <f t="shared" si="384"/>
        <v>6.1E-6</v>
      </c>
      <c r="BH58" s="133">
        <f t="shared" si="384"/>
        <v>6.1E-6</v>
      </c>
      <c r="BI58" s="133">
        <f t="shared" si="384"/>
        <v>6.1E-6</v>
      </c>
      <c r="BJ58" s="133">
        <f t="shared" si="384"/>
        <v>6.1E-6</v>
      </c>
      <c r="BK58" s="133">
        <f t="shared" si="384"/>
        <v>6.1E-6</v>
      </c>
      <c r="BL58" s="133">
        <f t="shared" si="384"/>
        <v>6.1E-6</v>
      </c>
      <c r="BM58" s="133">
        <f t="shared" si="384"/>
        <v>6.1E-6</v>
      </c>
      <c r="BN58" s="133">
        <f t="shared" si="384"/>
        <v>6.1E-6</v>
      </c>
      <c r="BO58" s="129">
        <f t="shared" si="384"/>
        <v>6.1E-6</v>
      </c>
      <c r="BP58" s="278">
        <f t="shared" ref="BP58:DW58" si="385">BP$40/BP37</f>
        <v>6.1E-6</v>
      </c>
      <c r="BQ58" s="133">
        <f t="shared" si="385"/>
        <v>6.1E-6</v>
      </c>
      <c r="BR58" s="133">
        <f t="shared" si="385"/>
        <v>6.1E-6</v>
      </c>
      <c r="BS58" s="133">
        <f t="shared" si="385"/>
        <v>6.1E-6</v>
      </c>
      <c r="BT58" s="133">
        <f t="shared" si="385"/>
        <v>6.1E-6</v>
      </c>
      <c r="BU58" s="133">
        <f t="shared" si="385"/>
        <v>6.1E-6</v>
      </c>
      <c r="BV58" s="133">
        <f t="shared" si="385"/>
        <v>6.1E-6</v>
      </c>
      <c r="BW58" s="133">
        <f t="shared" si="385"/>
        <v>6.1E-6</v>
      </c>
      <c r="BX58" s="133">
        <f t="shared" si="385"/>
        <v>6.1E-6</v>
      </c>
      <c r="BY58" s="133">
        <f t="shared" si="385"/>
        <v>6.1E-6</v>
      </c>
      <c r="BZ58" s="133">
        <f t="shared" si="385"/>
        <v>6.1E-6</v>
      </c>
      <c r="CA58" s="133">
        <f t="shared" si="385"/>
        <v>6.1E-6</v>
      </c>
      <c r="CB58" s="278">
        <f t="shared" si="385"/>
        <v>6.1E-6</v>
      </c>
      <c r="CC58" s="133">
        <f t="shared" si="385"/>
        <v>6.1E-6</v>
      </c>
      <c r="CD58" s="133">
        <f t="shared" si="385"/>
        <v>6.1E-6</v>
      </c>
      <c r="CE58" s="133">
        <f t="shared" si="385"/>
        <v>6.1E-6</v>
      </c>
      <c r="CF58" s="133">
        <f t="shared" si="385"/>
        <v>6.1E-6</v>
      </c>
      <c r="CG58" s="133">
        <f t="shared" si="385"/>
        <v>6.1E-6</v>
      </c>
      <c r="CH58" s="133">
        <f t="shared" si="385"/>
        <v>6.1E-6</v>
      </c>
      <c r="CI58" s="133">
        <f t="shared" si="385"/>
        <v>6.1E-6</v>
      </c>
      <c r="CJ58" s="133">
        <f t="shared" si="385"/>
        <v>6.1E-6</v>
      </c>
      <c r="CK58" s="133">
        <f t="shared" si="385"/>
        <v>6.1E-6</v>
      </c>
      <c r="CL58" s="133">
        <f t="shared" si="385"/>
        <v>6.1E-6</v>
      </c>
      <c r="CM58" s="129">
        <f t="shared" si="385"/>
        <v>6.1E-6</v>
      </c>
      <c r="CN58" s="278">
        <f t="shared" si="385"/>
        <v>6.1E-6</v>
      </c>
      <c r="CO58" s="133">
        <f t="shared" si="385"/>
        <v>6.1E-6</v>
      </c>
      <c r="CP58" s="133">
        <f t="shared" si="385"/>
        <v>6.1E-6</v>
      </c>
      <c r="CQ58" s="133">
        <f t="shared" si="385"/>
        <v>6.1E-6</v>
      </c>
      <c r="CR58" s="133">
        <f t="shared" si="385"/>
        <v>6.1E-6</v>
      </c>
      <c r="CS58" s="133">
        <f t="shared" si="385"/>
        <v>6.1E-6</v>
      </c>
      <c r="CT58" s="133">
        <f t="shared" si="385"/>
        <v>6.1E-6</v>
      </c>
      <c r="CU58" s="133">
        <f t="shared" si="385"/>
        <v>6.1E-6</v>
      </c>
      <c r="CV58" s="133">
        <f t="shared" si="385"/>
        <v>6.1E-6</v>
      </c>
      <c r="CW58" s="133">
        <f t="shared" si="385"/>
        <v>6.1E-6</v>
      </c>
      <c r="CX58" s="133">
        <f t="shared" si="385"/>
        <v>6.1E-6</v>
      </c>
      <c r="CY58" s="129">
        <f t="shared" si="385"/>
        <v>6.1E-6</v>
      </c>
      <c r="CZ58" s="278">
        <f t="shared" si="385"/>
        <v>6.1E-6</v>
      </c>
      <c r="DA58" s="133">
        <f t="shared" si="385"/>
        <v>6.1E-6</v>
      </c>
      <c r="DB58" s="133">
        <f t="shared" si="385"/>
        <v>6.1E-6</v>
      </c>
      <c r="DC58" s="133">
        <f t="shared" si="385"/>
        <v>6.1E-6</v>
      </c>
      <c r="DD58" s="133">
        <f t="shared" si="385"/>
        <v>6.1E-6</v>
      </c>
      <c r="DE58" s="133">
        <f t="shared" si="385"/>
        <v>6.1E-6</v>
      </c>
      <c r="DF58" s="133">
        <f t="shared" si="385"/>
        <v>6.1E-6</v>
      </c>
      <c r="DG58" s="133">
        <f t="shared" si="385"/>
        <v>6.1E-6</v>
      </c>
      <c r="DH58" s="133">
        <f t="shared" si="385"/>
        <v>6.1E-6</v>
      </c>
      <c r="DI58" s="133">
        <f t="shared" si="385"/>
        <v>6.1E-6</v>
      </c>
      <c r="DJ58" s="133">
        <f t="shared" si="385"/>
        <v>6.1E-6</v>
      </c>
      <c r="DK58" s="133">
        <f t="shared" si="385"/>
        <v>6.1E-6</v>
      </c>
      <c r="DL58" s="278">
        <f t="shared" si="385"/>
        <v>6.1E-6</v>
      </c>
      <c r="DM58" s="133">
        <f t="shared" si="385"/>
        <v>6.1E-6</v>
      </c>
      <c r="DN58" s="133">
        <f t="shared" si="385"/>
        <v>6.1E-6</v>
      </c>
      <c r="DO58" s="133">
        <f t="shared" si="385"/>
        <v>6.1E-6</v>
      </c>
      <c r="DP58" s="133">
        <f t="shared" si="385"/>
        <v>6.1E-6</v>
      </c>
      <c r="DQ58" s="133">
        <f t="shared" si="385"/>
        <v>6.1E-6</v>
      </c>
      <c r="DR58" s="133">
        <f t="shared" si="385"/>
        <v>6.1E-6</v>
      </c>
      <c r="DS58" s="133">
        <f t="shared" si="385"/>
        <v>6.1E-6</v>
      </c>
      <c r="DT58" s="133">
        <f t="shared" si="385"/>
        <v>6.1E-6</v>
      </c>
      <c r="DU58" s="133">
        <f t="shared" si="385"/>
        <v>6.1E-6</v>
      </c>
      <c r="DV58" s="133">
        <f t="shared" si="385"/>
        <v>6.1E-6</v>
      </c>
      <c r="DW58" s="133">
        <f t="shared" si="385"/>
        <v>6.1E-6</v>
      </c>
    </row>
    <row r="59" spans="2:127" x14ac:dyDescent="0.3">
      <c r="D59" s="126" t="str">
        <f t="shared" si="341"/>
        <v>Resource4</v>
      </c>
      <c r="E59" s="133"/>
      <c r="F59" s="378"/>
      <c r="G59" s="1203">
        <f t="shared" si="342"/>
        <v>6.0999999999999992E-6</v>
      </c>
      <c r="H59" s="133">
        <f t="shared" ref="H59:AM59" si="386">H$40/H38</f>
        <v>6.0999999999999992E-6</v>
      </c>
      <c r="I59" s="133">
        <f t="shared" si="386"/>
        <v>6.1E-6</v>
      </c>
      <c r="J59" s="133">
        <f t="shared" si="386"/>
        <v>6.1E-6</v>
      </c>
      <c r="K59" s="133">
        <f t="shared" si="386"/>
        <v>6.1E-6</v>
      </c>
      <c r="L59" s="133">
        <f t="shared" si="386"/>
        <v>6.1E-6</v>
      </c>
      <c r="M59" s="133">
        <f t="shared" si="386"/>
        <v>6.1E-6</v>
      </c>
      <c r="N59" s="133">
        <f t="shared" si="386"/>
        <v>6.1E-6</v>
      </c>
      <c r="O59" s="133">
        <f t="shared" si="386"/>
        <v>6.1E-6</v>
      </c>
      <c r="P59" s="133">
        <f t="shared" si="386"/>
        <v>6.1E-6</v>
      </c>
      <c r="Q59" s="133">
        <f t="shared" si="386"/>
        <v>6.1E-6</v>
      </c>
      <c r="R59" s="133">
        <f t="shared" si="386"/>
        <v>6.1E-6</v>
      </c>
      <c r="S59" s="133">
        <f t="shared" si="386"/>
        <v>6.1E-6</v>
      </c>
      <c r="T59" s="278">
        <f t="shared" si="386"/>
        <v>6.1E-6</v>
      </c>
      <c r="U59" s="133">
        <f t="shared" si="386"/>
        <v>6.1E-6</v>
      </c>
      <c r="V59" s="133">
        <f t="shared" si="386"/>
        <v>6.1E-6</v>
      </c>
      <c r="W59" s="133">
        <f t="shared" si="386"/>
        <v>6.1E-6</v>
      </c>
      <c r="X59" s="133">
        <f t="shared" si="386"/>
        <v>6.1E-6</v>
      </c>
      <c r="Y59" s="133">
        <f t="shared" si="386"/>
        <v>6.1E-6</v>
      </c>
      <c r="Z59" s="133">
        <f t="shared" si="386"/>
        <v>6.1E-6</v>
      </c>
      <c r="AA59" s="133">
        <f t="shared" si="386"/>
        <v>6.1E-6</v>
      </c>
      <c r="AB59" s="133">
        <f t="shared" si="386"/>
        <v>6.1E-6</v>
      </c>
      <c r="AC59" s="133">
        <f t="shared" si="386"/>
        <v>6.1E-6</v>
      </c>
      <c r="AD59" s="133">
        <f t="shared" si="386"/>
        <v>6.1E-6</v>
      </c>
      <c r="AE59" s="133">
        <f t="shared" si="386"/>
        <v>6.1E-6</v>
      </c>
      <c r="AF59" s="278">
        <f t="shared" si="386"/>
        <v>6.1E-6</v>
      </c>
      <c r="AG59" s="133">
        <f t="shared" si="386"/>
        <v>6.1E-6</v>
      </c>
      <c r="AH59" s="133">
        <f t="shared" si="386"/>
        <v>6.1E-6</v>
      </c>
      <c r="AI59" s="133">
        <f t="shared" si="386"/>
        <v>6.1E-6</v>
      </c>
      <c r="AJ59" s="133">
        <f t="shared" si="386"/>
        <v>6.1E-6</v>
      </c>
      <c r="AK59" s="133">
        <f t="shared" si="386"/>
        <v>6.1E-6</v>
      </c>
      <c r="AL59" s="133">
        <f t="shared" si="386"/>
        <v>6.1E-6</v>
      </c>
      <c r="AM59" s="133">
        <f t="shared" si="386"/>
        <v>6.1E-6</v>
      </c>
      <c r="AN59" s="133">
        <f t="shared" ref="AN59:BO59" si="387">AN$40/AN38</f>
        <v>6.1E-6</v>
      </c>
      <c r="AO59" s="133">
        <f t="shared" si="387"/>
        <v>6.1E-6</v>
      </c>
      <c r="AP59" s="133">
        <f t="shared" si="387"/>
        <v>6.1E-6</v>
      </c>
      <c r="AQ59" s="133">
        <f t="shared" si="387"/>
        <v>6.1E-6</v>
      </c>
      <c r="AR59" s="278">
        <f t="shared" si="387"/>
        <v>6.1E-6</v>
      </c>
      <c r="AS59" s="133">
        <f t="shared" si="387"/>
        <v>6.1E-6</v>
      </c>
      <c r="AT59" s="133">
        <f t="shared" si="387"/>
        <v>6.1E-6</v>
      </c>
      <c r="AU59" s="133">
        <f t="shared" si="387"/>
        <v>6.1E-6</v>
      </c>
      <c r="AV59" s="133">
        <f t="shared" si="387"/>
        <v>6.1E-6</v>
      </c>
      <c r="AW59" s="133">
        <f t="shared" si="387"/>
        <v>6.1E-6</v>
      </c>
      <c r="AX59" s="133">
        <f t="shared" si="387"/>
        <v>6.1E-6</v>
      </c>
      <c r="AY59" s="133">
        <f t="shared" si="387"/>
        <v>6.1E-6</v>
      </c>
      <c r="AZ59" s="133">
        <f t="shared" si="387"/>
        <v>6.1E-6</v>
      </c>
      <c r="BA59" s="133">
        <f t="shared" si="387"/>
        <v>6.1E-6</v>
      </c>
      <c r="BB59" s="133">
        <f t="shared" si="387"/>
        <v>6.1E-6</v>
      </c>
      <c r="BC59" s="133">
        <f t="shared" si="387"/>
        <v>6.1E-6</v>
      </c>
      <c r="BD59" s="278">
        <f t="shared" si="387"/>
        <v>6.1E-6</v>
      </c>
      <c r="BE59" s="133">
        <f t="shared" si="387"/>
        <v>6.1E-6</v>
      </c>
      <c r="BF59" s="133">
        <f t="shared" si="387"/>
        <v>6.1E-6</v>
      </c>
      <c r="BG59" s="133">
        <f t="shared" si="387"/>
        <v>6.1E-6</v>
      </c>
      <c r="BH59" s="133">
        <f t="shared" si="387"/>
        <v>6.1E-6</v>
      </c>
      <c r="BI59" s="133">
        <f t="shared" si="387"/>
        <v>6.1E-6</v>
      </c>
      <c r="BJ59" s="133">
        <f t="shared" si="387"/>
        <v>6.1E-6</v>
      </c>
      <c r="BK59" s="133">
        <f t="shared" si="387"/>
        <v>6.1E-6</v>
      </c>
      <c r="BL59" s="133">
        <f t="shared" si="387"/>
        <v>6.1E-6</v>
      </c>
      <c r="BM59" s="133">
        <f t="shared" si="387"/>
        <v>6.1E-6</v>
      </c>
      <c r="BN59" s="133">
        <f t="shared" si="387"/>
        <v>6.1E-6</v>
      </c>
      <c r="BO59" s="129">
        <f t="shared" si="387"/>
        <v>6.1E-6</v>
      </c>
      <c r="BP59" s="278">
        <f t="shared" ref="BP59:DW59" si="388">BP$40/BP38</f>
        <v>6.1E-6</v>
      </c>
      <c r="BQ59" s="133">
        <f t="shared" si="388"/>
        <v>6.1E-6</v>
      </c>
      <c r="BR59" s="133">
        <f t="shared" si="388"/>
        <v>6.1E-6</v>
      </c>
      <c r="BS59" s="133">
        <f t="shared" si="388"/>
        <v>6.1E-6</v>
      </c>
      <c r="BT59" s="133">
        <f t="shared" si="388"/>
        <v>6.1E-6</v>
      </c>
      <c r="BU59" s="133">
        <f t="shared" si="388"/>
        <v>6.1E-6</v>
      </c>
      <c r="BV59" s="133">
        <f t="shared" si="388"/>
        <v>6.1E-6</v>
      </c>
      <c r="BW59" s="133">
        <f t="shared" si="388"/>
        <v>6.1E-6</v>
      </c>
      <c r="BX59" s="133">
        <f t="shared" si="388"/>
        <v>6.1E-6</v>
      </c>
      <c r="BY59" s="133">
        <f t="shared" si="388"/>
        <v>6.1E-6</v>
      </c>
      <c r="BZ59" s="133">
        <f t="shared" si="388"/>
        <v>6.1E-6</v>
      </c>
      <c r="CA59" s="133">
        <f t="shared" si="388"/>
        <v>6.1E-6</v>
      </c>
      <c r="CB59" s="278">
        <f t="shared" si="388"/>
        <v>6.1E-6</v>
      </c>
      <c r="CC59" s="133">
        <f t="shared" si="388"/>
        <v>6.1E-6</v>
      </c>
      <c r="CD59" s="133">
        <f t="shared" si="388"/>
        <v>6.1E-6</v>
      </c>
      <c r="CE59" s="133">
        <f t="shared" si="388"/>
        <v>6.1E-6</v>
      </c>
      <c r="CF59" s="133">
        <f t="shared" si="388"/>
        <v>6.1E-6</v>
      </c>
      <c r="CG59" s="133">
        <f t="shared" si="388"/>
        <v>6.1E-6</v>
      </c>
      <c r="CH59" s="133">
        <f t="shared" si="388"/>
        <v>6.1E-6</v>
      </c>
      <c r="CI59" s="133">
        <f t="shared" si="388"/>
        <v>6.1E-6</v>
      </c>
      <c r="CJ59" s="133">
        <f t="shared" si="388"/>
        <v>6.1E-6</v>
      </c>
      <c r="CK59" s="133">
        <f t="shared" si="388"/>
        <v>6.1E-6</v>
      </c>
      <c r="CL59" s="133">
        <f t="shared" si="388"/>
        <v>6.1E-6</v>
      </c>
      <c r="CM59" s="129">
        <f t="shared" si="388"/>
        <v>6.1E-6</v>
      </c>
      <c r="CN59" s="278">
        <f t="shared" si="388"/>
        <v>6.1E-6</v>
      </c>
      <c r="CO59" s="133">
        <f t="shared" si="388"/>
        <v>6.1E-6</v>
      </c>
      <c r="CP59" s="133">
        <f t="shared" si="388"/>
        <v>6.1E-6</v>
      </c>
      <c r="CQ59" s="133">
        <f t="shared" si="388"/>
        <v>6.1E-6</v>
      </c>
      <c r="CR59" s="133">
        <f t="shared" si="388"/>
        <v>6.1E-6</v>
      </c>
      <c r="CS59" s="133">
        <f t="shared" si="388"/>
        <v>6.1E-6</v>
      </c>
      <c r="CT59" s="133">
        <f t="shared" si="388"/>
        <v>6.1E-6</v>
      </c>
      <c r="CU59" s="133">
        <f t="shared" si="388"/>
        <v>6.1E-6</v>
      </c>
      <c r="CV59" s="133">
        <f t="shared" si="388"/>
        <v>6.1E-6</v>
      </c>
      <c r="CW59" s="133">
        <f t="shared" si="388"/>
        <v>6.1E-6</v>
      </c>
      <c r="CX59" s="133">
        <f t="shared" si="388"/>
        <v>6.1E-6</v>
      </c>
      <c r="CY59" s="129">
        <f t="shared" si="388"/>
        <v>6.1E-6</v>
      </c>
      <c r="CZ59" s="278">
        <f t="shared" si="388"/>
        <v>6.1E-6</v>
      </c>
      <c r="DA59" s="133">
        <f t="shared" si="388"/>
        <v>6.1E-6</v>
      </c>
      <c r="DB59" s="133">
        <f t="shared" si="388"/>
        <v>6.1E-6</v>
      </c>
      <c r="DC59" s="133">
        <f t="shared" si="388"/>
        <v>6.1E-6</v>
      </c>
      <c r="DD59" s="133">
        <f t="shared" si="388"/>
        <v>6.1E-6</v>
      </c>
      <c r="DE59" s="133">
        <f t="shared" si="388"/>
        <v>6.1E-6</v>
      </c>
      <c r="DF59" s="133">
        <f t="shared" si="388"/>
        <v>6.1E-6</v>
      </c>
      <c r="DG59" s="133">
        <f t="shared" si="388"/>
        <v>6.1E-6</v>
      </c>
      <c r="DH59" s="133">
        <f t="shared" si="388"/>
        <v>6.1E-6</v>
      </c>
      <c r="DI59" s="133">
        <f t="shared" si="388"/>
        <v>6.1E-6</v>
      </c>
      <c r="DJ59" s="133">
        <f t="shared" si="388"/>
        <v>6.1E-6</v>
      </c>
      <c r="DK59" s="133">
        <f t="shared" si="388"/>
        <v>6.1E-6</v>
      </c>
      <c r="DL59" s="278">
        <f t="shared" si="388"/>
        <v>6.1E-6</v>
      </c>
      <c r="DM59" s="133">
        <f t="shared" si="388"/>
        <v>6.1E-6</v>
      </c>
      <c r="DN59" s="133">
        <f t="shared" si="388"/>
        <v>6.1E-6</v>
      </c>
      <c r="DO59" s="133">
        <f t="shared" si="388"/>
        <v>6.1E-6</v>
      </c>
      <c r="DP59" s="133">
        <f t="shared" si="388"/>
        <v>6.1E-6</v>
      </c>
      <c r="DQ59" s="133">
        <f t="shared" si="388"/>
        <v>6.1E-6</v>
      </c>
      <c r="DR59" s="133">
        <f t="shared" si="388"/>
        <v>6.1E-6</v>
      </c>
      <c r="DS59" s="133">
        <f t="shared" si="388"/>
        <v>6.1E-6</v>
      </c>
      <c r="DT59" s="133">
        <f t="shared" si="388"/>
        <v>6.1E-6</v>
      </c>
      <c r="DU59" s="133">
        <f t="shared" si="388"/>
        <v>6.1E-6</v>
      </c>
      <c r="DV59" s="133">
        <f t="shared" si="388"/>
        <v>6.1E-6</v>
      </c>
      <c r="DW59" s="133">
        <f t="shared" si="388"/>
        <v>6.1E-6</v>
      </c>
    </row>
    <row r="60" spans="2:127" x14ac:dyDescent="0.3">
      <c r="D60" s="379" t="s">
        <v>228</v>
      </c>
      <c r="E60" s="546"/>
      <c r="F60" s="547"/>
      <c r="G60" s="548">
        <f>SUM(G44:G59)</f>
        <v>78.153161599999962</v>
      </c>
      <c r="H60" s="1060">
        <f t="shared" ref="H60:BO60" si="389">SUM(H44:H59)</f>
        <v>71.900661599999978</v>
      </c>
      <c r="I60" s="1060">
        <f t="shared" si="389"/>
        <v>72.527606044444425</v>
      </c>
      <c r="J60" s="1060">
        <f t="shared" si="389"/>
        <v>72.527606044444425</v>
      </c>
      <c r="K60" s="1060">
        <f t="shared" si="389"/>
        <v>72.527606044444425</v>
      </c>
      <c r="L60" s="1060">
        <f t="shared" si="389"/>
        <v>71.849828266666648</v>
      </c>
      <c r="M60" s="1060">
        <f t="shared" si="389"/>
        <v>70.887911289743556</v>
      </c>
      <c r="N60" s="546">
        <f t="shared" si="389"/>
        <v>70.887911289743556</v>
      </c>
      <c r="O60" s="546">
        <f t="shared" si="389"/>
        <v>70.887911289743556</v>
      </c>
      <c r="P60" s="546">
        <f t="shared" si="389"/>
        <v>70.887911289743556</v>
      </c>
      <c r="Q60" s="546">
        <f t="shared" si="389"/>
        <v>70.887911289743556</v>
      </c>
      <c r="R60" s="546">
        <f t="shared" si="389"/>
        <v>70.549022400854653</v>
      </c>
      <c r="S60" s="546">
        <f t="shared" si="389"/>
        <v>70.549022400854653</v>
      </c>
      <c r="T60" s="549">
        <f t="shared" si="389"/>
        <v>70.549022400854653</v>
      </c>
      <c r="U60" s="546">
        <f t="shared" si="389"/>
        <v>70.549022400854653</v>
      </c>
      <c r="V60" s="546">
        <f t="shared" si="389"/>
        <v>70.549022400854653</v>
      </c>
      <c r="W60" s="546">
        <f t="shared" si="389"/>
        <v>70.549022400854653</v>
      </c>
      <c r="X60" s="546">
        <f t="shared" si="389"/>
        <v>70.549022400854653</v>
      </c>
      <c r="Y60" s="546">
        <f t="shared" si="389"/>
        <v>70.549022400854653</v>
      </c>
      <c r="Z60" s="546">
        <f t="shared" si="389"/>
        <v>70.549022400854653</v>
      </c>
      <c r="AA60" s="546">
        <f t="shared" si="389"/>
        <v>70.549022400854653</v>
      </c>
      <c r="AB60" s="546">
        <f t="shared" si="389"/>
        <v>70.549022400854653</v>
      </c>
      <c r="AC60" s="546">
        <f t="shared" si="389"/>
        <v>70.549022400854653</v>
      </c>
      <c r="AD60" s="546">
        <f t="shared" si="389"/>
        <v>70.549022400854653</v>
      </c>
      <c r="AE60" s="546">
        <f t="shared" si="389"/>
        <v>70.549022400854653</v>
      </c>
      <c r="AF60" s="549">
        <f t="shared" si="389"/>
        <v>70.549022400854653</v>
      </c>
      <c r="AG60" s="546">
        <f t="shared" si="389"/>
        <v>70.549022400854653</v>
      </c>
      <c r="AH60" s="546">
        <f t="shared" si="389"/>
        <v>70.549022400854653</v>
      </c>
      <c r="AI60" s="546">
        <f t="shared" si="389"/>
        <v>70.549022400854653</v>
      </c>
      <c r="AJ60" s="546">
        <f t="shared" si="389"/>
        <v>70.549022400854653</v>
      </c>
      <c r="AK60" s="546">
        <f t="shared" si="389"/>
        <v>70.549022400854653</v>
      </c>
      <c r="AL60" s="546">
        <f t="shared" si="389"/>
        <v>70.549022400854653</v>
      </c>
      <c r="AM60" s="546">
        <f t="shared" si="389"/>
        <v>70.549022400854653</v>
      </c>
      <c r="AN60" s="546">
        <f t="shared" si="389"/>
        <v>70.549022400854653</v>
      </c>
      <c r="AO60" s="546">
        <f t="shared" si="389"/>
        <v>70.549022400854653</v>
      </c>
      <c r="AP60" s="546">
        <f t="shared" si="389"/>
        <v>70.549022400854653</v>
      </c>
      <c r="AQ60" s="546">
        <f t="shared" si="389"/>
        <v>70.549022400854653</v>
      </c>
      <c r="AR60" s="549">
        <f t="shared" si="389"/>
        <v>70.549022400854653</v>
      </c>
      <c r="AS60" s="546">
        <f t="shared" si="389"/>
        <v>70.549022400854653</v>
      </c>
      <c r="AT60" s="546">
        <f t="shared" si="389"/>
        <v>70.549022400854653</v>
      </c>
      <c r="AU60" s="546">
        <f t="shared" si="389"/>
        <v>70.549022400854653</v>
      </c>
      <c r="AV60" s="546">
        <f t="shared" si="389"/>
        <v>70.549022400854653</v>
      </c>
      <c r="AW60" s="546">
        <f t="shared" si="389"/>
        <v>70.549022400854653</v>
      </c>
      <c r="AX60" s="546">
        <f t="shared" si="389"/>
        <v>70.549022400854653</v>
      </c>
      <c r="AY60" s="546">
        <f t="shared" si="389"/>
        <v>70.549022400854653</v>
      </c>
      <c r="AZ60" s="546">
        <f t="shared" si="389"/>
        <v>70.549022400854653</v>
      </c>
      <c r="BA60" s="546">
        <f t="shared" si="389"/>
        <v>70.549022400854653</v>
      </c>
      <c r="BB60" s="546">
        <f t="shared" si="389"/>
        <v>70.549022400854653</v>
      </c>
      <c r="BC60" s="546">
        <f t="shared" si="389"/>
        <v>70.549022400854653</v>
      </c>
      <c r="BD60" s="549">
        <f t="shared" si="389"/>
        <v>70.549022400854653</v>
      </c>
      <c r="BE60" s="546">
        <f t="shared" si="389"/>
        <v>70.549022400854653</v>
      </c>
      <c r="BF60" s="546">
        <f t="shared" si="389"/>
        <v>70.549022400854653</v>
      </c>
      <c r="BG60" s="546">
        <f t="shared" si="389"/>
        <v>70.549022400854653</v>
      </c>
      <c r="BH60" s="546">
        <f t="shared" si="389"/>
        <v>70.549022400854653</v>
      </c>
      <c r="BI60" s="546">
        <f t="shared" si="389"/>
        <v>70.549022400854653</v>
      </c>
      <c r="BJ60" s="546">
        <f t="shared" si="389"/>
        <v>70.549022400854653</v>
      </c>
      <c r="BK60" s="546">
        <f t="shared" si="389"/>
        <v>70.549022400854653</v>
      </c>
      <c r="BL60" s="546">
        <f t="shared" si="389"/>
        <v>70.549022400854653</v>
      </c>
      <c r="BM60" s="546">
        <f t="shared" si="389"/>
        <v>70.549022400854653</v>
      </c>
      <c r="BN60" s="546">
        <f t="shared" si="389"/>
        <v>70.549022400854653</v>
      </c>
      <c r="BO60" s="546">
        <f t="shared" si="389"/>
        <v>70.549022400854653</v>
      </c>
      <c r="BP60" s="549">
        <f t="shared" ref="BP60:DW60" si="390">SUM(BP44:BP59)</f>
        <v>70.549022400854653</v>
      </c>
      <c r="BQ60" s="546">
        <f t="shared" si="390"/>
        <v>70.549022400854653</v>
      </c>
      <c r="BR60" s="546">
        <f t="shared" si="390"/>
        <v>70.549022400854653</v>
      </c>
      <c r="BS60" s="546">
        <f t="shared" si="390"/>
        <v>70.549022400854653</v>
      </c>
      <c r="BT60" s="546">
        <f t="shared" si="390"/>
        <v>70.549022400854653</v>
      </c>
      <c r="BU60" s="546">
        <f t="shared" si="390"/>
        <v>70.549022400854653</v>
      </c>
      <c r="BV60" s="546">
        <f t="shared" si="390"/>
        <v>70.549022400854653</v>
      </c>
      <c r="BW60" s="546">
        <f t="shared" si="390"/>
        <v>70.549022400854653</v>
      </c>
      <c r="BX60" s="546">
        <f t="shared" si="390"/>
        <v>70.549022400854653</v>
      </c>
      <c r="BY60" s="546">
        <f t="shared" si="390"/>
        <v>70.549022400854653</v>
      </c>
      <c r="BZ60" s="546">
        <f t="shared" si="390"/>
        <v>70.549022400854653</v>
      </c>
      <c r="CA60" s="546">
        <f t="shared" si="390"/>
        <v>70.549022400854653</v>
      </c>
      <c r="CB60" s="549">
        <f t="shared" si="390"/>
        <v>70.549022400854653</v>
      </c>
      <c r="CC60" s="546">
        <f t="shared" si="390"/>
        <v>70.549022400854653</v>
      </c>
      <c r="CD60" s="546">
        <f t="shared" si="390"/>
        <v>70.549022400854653</v>
      </c>
      <c r="CE60" s="546">
        <f t="shared" si="390"/>
        <v>70.549022400854653</v>
      </c>
      <c r="CF60" s="546">
        <f t="shared" si="390"/>
        <v>70.549022400854653</v>
      </c>
      <c r="CG60" s="546">
        <f t="shared" si="390"/>
        <v>70.549022400854653</v>
      </c>
      <c r="CH60" s="546">
        <f t="shared" si="390"/>
        <v>70.549022400854653</v>
      </c>
      <c r="CI60" s="546">
        <f t="shared" si="390"/>
        <v>70.549022400854653</v>
      </c>
      <c r="CJ60" s="546">
        <f t="shared" si="390"/>
        <v>70.549022400854653</v>
      </c>
      <c r="CK60" s="546">
        <f t="shared" si="390"/>
        <v>70.549022400854653</v>
      </c>
      <c r="CL60" s="546">
        <f t="shared" si="390"/>
        <v>70.549022400854653</v>
      </c>
      <c r="CM60" s="546">
        <f t="shared" si="390"/>
        <v>70.549022400854653</v>
      </c>
      <c r="CN60" s="549">
        <f t="shared" si="390"/>
        <v>70.549022400854653</v>
      </c>
      <c r="CO60" s="546">
        <f t="shared" si="390"/>
        <v>70.549022400854653</v>
      </c>
      <c r="CP60" s="546">
        <f t="shared" si="390"/>
        <v>70.549022400854653</v>
      </c>
      <c r="CQ60" s="546">
        <f t="shared" si="390"/>
        <v>70.549022400854653</v>
      </c>
      <c r="CR60" s="546">
        <f t="shared" si="390"/>
        <v>70.549022400854653</v>
      </c>
      <c r="CS60" s="546">
        <f t="shared" si="390"/>
        <v>70.549022400854653</v>
      </c>
      <c r="CT60" s="546">
        <f t="shared" si="390"/>
        <v>70.549022400854653</v>
      </c>
      <c r="CU60" s="546">
        <f t="shared" si="390"/>
        <v>70.549022400854653</v>
      </c>
      <c r="CV60" s="546">
        <f t="shared" si="390"/>
        <v>70.549022400854653</v>
      </c>
      <c r="CW60" s="546">
        <f t="shared" si="390"/>
        <v>70.549022400854653</v>
      </c>
      <c r="CX60" s="546">
        <f t="shared" si="390"/>
        <v>70.549022400854653</v>
      </c>
      <c r="CY60" s="546">
        <f t="shared" si="390"/>
        <v>70.549022400854653</v>
      </c>
      <c r="CZ60" s="549">
        <f t="shared" si="390"/>
        <v>70.549022400854653</v>
      </c>
      <c r="DA60" s="546">
        <f t="shared" si="390"/>
        <v>70.549022400854653</v>
      </c>
      <c r="DB60" s="546">
        <f t="shared" si="390"/>
        <v>70.549022400854653</v>
      </c>
      <c r="DC60" s="546">
        <f t="shared" si="390"/>
        <v>70.549022400854653</v>
      </c>
      <c r="DD60" s="546">
        <f t="shared" si="390"/>
        <v>70.549022400854653</v>
      </c>
      <c r="DE60" s="546">
        <f t="shared" si="390"/>
        <v>70.549022400854653</v>
      </c>
      <c r="DF60" s="546">
        <f t="shared" si="390"/>
        <v>70.549022400854653</v>
      </c>
      <c r="DG60" s="546">
        <f t="shared" si="390"/>
        <v>70.549022400854653</v>
      </c>
      <c r="DH60" s="546">
        <f t="shared" si="390"/>
        <v>70.549022400854653</v>
      </c>
      <c r="DI60" s="546">
        <f t="shared" si="390"/>
        <v>70.549022400854653</v>
      </c>
      <c r="DJ60" s="546">
        <f t="shared" si="390"/>
        <v>70.549022400854653</v>
      </c>
      <c r="DK60" s="546">
        <f t="shared" si="390"/>
        <v>70.549022400854653</v>
      </c>
      <c r="DL60" s="549">
        <f t="shared" si="390"/>
        <v>70.549022400854653</v>
      </c>
      <c r="DM60" s="546">
        <f t="shared" si="390"/>
        <v>70.549022400854653</v>
      </c>
      <c r="DN60" s="546">
        <f t="shared" si="390"/>
        <v>70.549022400854653</v>
      </c>
      <c r="DO60" s="546">
        <f t="shared" si="390"/>
        <v>70.549022400854653</v>
      </c>
      <c r="DP60" s="546">
        <f t="shared" si="390"/>
        <v>70.549022400854653</v>
      </c>
      <c r="DQ60" s="546">
        <f t="shared" si="390"/>
        <v>70.549022400854653</v>
      </c>
      <c r="DR60" s="546">
        <f t="shared" si="390"/>
        <v>70.549022400854653</v>
      </c>
      <c r="DS60" s="546">
        <f t="shared" si="390"/>
        <v>70.549022400854653</v>
      </c>
      <c r="DT60" s="546">
        <f t="shared" si="390"/>
        <v>70.549022400854653</v>
      </c>
      <c r="DU60" s="546">
        <f t="shared" si="390"/>
        <v>70.549022400854653</v>
      </c>
      <c r="DV60" s="546">
        <f t="shared" si="390"/>
        <v>70.549022400854653</v>
      </c>
      <c r="DW60" s="546">
        <f t="shared" si="390"/>
        <v>70.549022400854653</v>
      </c>
    </row>
    <row r="61" spans="2:127" s="13" customFormat="1" x14ac:dyDescent="0.3">
      <c r="C61" s="93"/>
      <c r="D61" s="375" t="s">
        <v>229</v>
      </c>
      <c r="E61" s="376"/>
      <c r="F61" s="377"/>
      <c r="G61" s="1204">
        <f t="shared" ref="G61:G64" si="391">H61</f>
        <v>50.763218390804596</v>
      </c>
      <c r="H61" s="1057">
        <f t="shared" ref="H61:AL61" si="392">H141</f>
        <v>50.763218390804596</v>
      </c>
      <c r="I61" s="1057">
        <f t="shared" si="392"/>
        <v>50.763218390804596</v>
      </c>
      <c r="J61" s="1057">
        <f t="shared" si="392"/>
        <v>50.763218390804596</v>
      </c>
      <c r="K61" s="1057">
        <f t="shared" si="392"/>
        <v>50.763218390804596</v>
      </c>
      <c r="L61" s="1057">
        <f t="shared" si="392"/>
        <v>50.763218390804596</v>
      </c>
      <c r="M61" s="1057">
        <f t="shared" si="392"/>
        <v>50.763218390804596</v>
      </c>
      <c r="N61" s="1057">
        <f t="shared" si="392"/>
        <v>50.763218390804596</v>
      </c>
      <c r="O61" s="1057">
        <f t="shared" si="392"/>
        <v>50.763218390804596</v>
      </c>
      <c r="P61" s="1057">
        <f t="shared" si="392"/>
        <v>50.763218390804596</v>
      </c>
      <c r="Q61" s="1057">
        <f t="shared" si="392"/>
        <v>50.763218390804596</v>
      </c>
      <c r="R61" s="1057">
        <f t="shared" si="392"/>
        <v>50.763218390804596</v>
      </c>
      <c r="S61" s="1057">
        <f t="shared" si="392"/>
        <v>50.763218390804596</v>
      </c>
      <c r="T61" s="1058">
        <f t="shared" si="392"/>
        <v>50.763218390804596</v>
      </c>
      <c r="U61" s="1057">
        <f t="shared" si="392"/>
        <v>50.763218390804596</v>
      </c>
      <c r="V61" s="1057">
        <f t="shared" si="392"/>
        <v>50.763218390804596</v>
      </c>
      <c r="W61" s="1057">
        <f t="shared" si="392"/>
        <v>50.763218390804596</v>
      </c>
      <c r="X61" s="1057">
        <f t="shared" si="392"/>
        <v>50.763218390804596</v>
      </c>
      <c r="Y61" s="1057">
        <f t="shared" si="392"/>
        <v>50.763218390804596</v>
      </c>
      <c r="Z61" s="1057">
        <f t="shared" si="392"/>
        <v>50.763218390804596</v>
      </c>
      <c r="AA61" s="1057">
        <f t="shared" si="392"/>
        <v>50.763218390804596</v>
      </c>
      <c r="AB61" s="1057">
        <f t="shared" si="392"/>
        <v>50.763218390804596</v>
      </c>
      <c r="AC61" s="1057">
        <f t="shared" si="392"/>
        <v>50.763218390804596</v>
      </c>
      <c r="AD61" s="1057">
        <f t="shared" si="392"/>
        <v>50.763218390804596</v>
      </c>
      <c r="AE61" s="1057">
        <f t="shared" si="392"/>
        <v>50.763218390804596</v>
      </c>
      <c r="AF61" s="1058">
        <f t="shared" si="392"/>
        <v>50.763218390804596</v>
      </c>
      <c r="AG61" s="1057">
        <f t="shared" si="392"/>
        <v>50.763218390804596</v>
      </c>
      <c r="AH61" s="1057">
        <f t="shared" si="392"/>
        <v>50.763218390804596</v>
      </c>
      <c r="AI61" s="1057">
        <f t="shared" si="392"/>
        <v>50.763218390804596</v>
      </c>
      <c r="AJ61" s="1057">
        <f t="shared" si="392"/>
        <v>50.763218390804596</v>
      </c>
      <c r="AK61" s="1057">
        <f t="shared" si="392"/>
        <v>50.763218390804596</v>
      </c>
      <c r="AL61" s="1057">
        <f t="shared" si="392"/>
        <v>50.763218390804596</v>
      </c>
      <c r="AM61" s="1057">
        <f t="shared" ref="AM61:BO61" si="393">AM141</f>
        <v>50.763218390804596</v>
      </c>
      <c r="AN61" s="1057">
        <f t="shared" si="393"/>
        <v>50.763218390804596</v>
      </c>
      <c r="AO61" s="1057">
        <f t="shared" si="393"/>
        <v>50.763218390804596</v>
      </c>
      <c r="AP61" s="1057">
        <f t="shared" si="393"/>
        <v>50.763218390804596</v>
      </c>
      <c r="AQ61" s="1057">
        <f t="shared" si="393"/>
        <v>50.763218390804596</v>
      </c>
      <c r="AR61" s="1058">
        <f t="shared" si="393"/>
        <v>50.763218390804596</v>
      </c>
      <c r="AS61" s="1057">
        <f t="shared" si="393"/>
        <v>50.763218390804596</v>
      </c>
      <c r="AT61" s="1057">
        <f t="shared" si="393"/>
        <v>50.763218390804596</v>
      </c>
      <c r="AU61" s="1057">
        <f t="shared" si="393"/>
        <v>50.763218390804596</v>
      </c>
      <c r="AV61" s="1057">
        <f t="shared" si="393"/>
        <v>50.763218390804596</v>
      </c>
      <c r="AW61" s="1057">
        <f t="shared" si="393"/>
        <v>50.763218390804596</v>
      </c>
      <c r="AX61" s="1057">
        <f t="shared" si="393"/>
        <v>50.763218390804596</v>
      </c>
      <c r="AY61" s="1057">
        <f t="shared" si="393"/>
        <v>50.763218390804596</v>
      </c>
      <c r="AZ61" s="1057">
        <f t="shared" si="393"/>
        <v>50.763218390804596</v>
      </c>
      <c r="BA61" s="1057">
        <f t="shared" si="393"/>
        <v>50.763218390804596</v>
      </c>
      <c r="BB61" s="1057">
        <f t="shared" si="393"/>
        <v>50.763218390804596</v>
      </c>
      <c r="BC61" s="1057">
        <f t="shared" si="393"/>
        <v>50.763218390804596</v>
      </c>
      <c r="BD61" s="1058">
        <f t="shared" si="393"/>
        <v>50.763218390804596</v>
      </c>
      <c r="BE61" s="1057">
        <f t="shared" si="393"/>
        <v>50.763218390804596</v>
      </c>
      <c r="BF61" s="1057">
        <f t="shared" si="393"/>
        <v>50.763218390804596</v>
      </c>
      <c r="BG61" s="1057">
        <f t="shared" si="393"/>
        <v>50.763218390804596</v>
      </c>
      <c r="BH61" s="1057">
        <f t="shared" si="393"/>
        <v>50.763218390804596</v>
      </c>
      <c r="BI61" s="1057">
        <f t="shared" si="393"/>
        <v>50.763218390804596</v>
      </c>
      <c r="BJ61" s="1057">
        <f t="shared" si="393"/>
        <v>50.763218390804596</v>
      </c>
      <c r="BK61" s="1057">
        <f t="shared" si="393"/>
        <v>50.763218390804596</v>
      </c>
      <c r="BL61" s="1057">
        <f t="shared" si="393"/>
        <v>50.763218390804596</v>
      </c>
      <c r="BM61" s="1057">
        <f t="shared" si="393"/>
        <v>50.763218390804596</v>
      </c>
      <c r="BN61" s="1057">
        <f t="shared" si="393"/>
        <v>50.763218390804596</v>
      </c>
      <c r="BO61" s="1059">
        <f t="shared" si="393"/>
        <v>50.763218390804596</v>
      </c>
      <c r="BP61" s="1058">
        <f t="shared" ref="BP61:DW61" si="394">BP141</f>
        <v>50.763218390804596</v>
      </c>
      <c r="BQ61" s="1057">
        <f t="shared" si="394"/>
        <v>50.763218390804596</v>
      </c>
      <c r="BR61" s="1057">
        <f t="shared" si="394"/>
        <v>50.763218390804596</v>
      </c>
      <c r="BS61" s="1057">
        <f t="shared" si="394"/>
        <v>50.763218390804596</v>
      </c>
      <c r="BT61" s="1057">
        <f t="shared" si="394"/>
        <v>50.763218390804596</v>
      </c>
      <c r="BU61" s="1057">
        <f t="shared" si="394"/>
        <v>50.763218390804596</v>
      </c>
      <c r="BV61" s="1057">
        <f t="shared" si="394"/>
        <v>50.763218390804596</v>
      </c>
      <c r="BW61" s="1057">
        <f t="shared" si="394"/>
        <v>50.763218390804596</v>
      </c>
      <c r="BX61" s="1057">
        <f t="shared" si="394"/>
        <v>50.763218390804596</v>
      </c>
      <c r="BY61" s="1057">
        <f t="shared" si="394"/>
        <v>50.763218390804596</v>
      </c>
      <c r="BZ61" s="1057">
        <f t="shared" si="394"/>
        <v>50.763218390804596</v>
      </c>
      <c r="CA61" s="1057">
        <f t="shared" si="394"/>
        <v>50.763218390804596</v>
      </c>
      <c r="CB61" s="1058">
        <f t="shared" si="394"/>
        <v>50.763218390804596</v>
      </c>
      <c r="CC61" s="1057">
        <f t="shared" si="394"/>
        <v>50.763218390804596</v>
      </c>
      <c r="CD61" s="1057">
        <f t="shared" si="394"/>
        <v>50.763218390804596</v>
      </c>
      <c r="CE61" s="1057">
        <f t="shared" si="394"/>
        <v>50.763218390804596</v>
      </c>
      <c r="CF61" s="1057">
        <f t="shared" si="394"/>
        <v>50.763218390804596</v>
      </c>
      <c r="CG61" s="1057">
        <f t="shared" si="394"/>
        <v>50.763218390804596</v>
      </c>
      <c r="CH61" s="1057">
        <f t="shared" si="394"/>
        <v>50.763218390804596</v>
      </c>
      <c r="CI61" s="1057">
        <f t="shared" si="394"/>
        <v>50.763218390804596</v>
      </c>
      <c r="CJ61" s="1057">
        <f t="shared" si="394"/>
        <v>50.763218390804596</v>
      </c>
      <c r="CK61" s="1057">
        <f t="shared" si="394"/>
        <v>50.763218390804596</v>
      </c>
      <c r="CL61" s="1057">
        <f t="shared" si="394"/>
        <v>50.763218390804596</v>
      </c>
      <c r="CM61" s="1059">
        <f t="shared" si="394"/>
        <v>50.763218390804596</v>
      </c>
      <c r="CN61" s="1058">
        <f t="shared" si="394"/>
        <v>50.763218390804596</v>
      </c>
      <c r="CO61" s="1057">
        <f t="shared" si="394"/>
        <v>50.763218390804596</v>
      </c>
      <c r="CP61" s="1057">
        <f t="shared" si="394"/>
        <v>50.763218390804596</v>
      </c>
      <c r="CQ61" s="1057">
        <f t="shared" si="394"/>
        <v>50.763218390804596</v>
      </c>
      <c r="CR61" s="1057">
        <f t="shared" si="394"/>
        <v>50.763218390804596</v>
      </c>
      <c r="CS61" s="1057">
        <f t="shared" si="394"/>
        <v>50.763218390804596</v>
      </c>
      <c r="CT61" s="1057">
        <f t="shared" si="394"/>
        <v>50.763218390804596</v>
      </c>
      <c r="CU61" s="1057">
        <f t="shared" si="394"/>
        <v>50.763218390804596</v>
      </c>
      <c r="CV61" s="1057">
        <f t="shared" si="394"/>
        <v>50.763218390804596</v>
      </c>
      <c r="CW61" s="1057">
        <f t="shared" si="394"/>
        <v>50.763218390804596</v>
      </c>
      <c r="CX61" s="1057">
        <f t="shared" si="394"/>
        <v>50.763218390804596</v>
      </c>
      <c r="CY61" s="1059">
        <f t="shared" si="394"/>
        <v>50.763218390804596</v>
      </c>
      <c r="CZ61" s="1058">
        <f t="shared" si="394"/>
        <v>50.763218390804596</v>
      </c>
      <c r="DA61" s="1057">
        <f t="shared" si="394"/>
        <v>50.763218390804596</v>
      </c>
      <c r="DB61" s="1057">
        <f t="shared" si="394"/>
        <v>50.763218390804596</v>
      </c>
      <c r="DC61" s="1057">
        <f t="shared" si="394"/>
        <v>50.763218390804596</v>
      </c>
      <c r="DD61" s="1057">
        <f t="shared" si="394"/>
        <v>50.763218390804596</v>
      </c>
      <c r="DE61" s="1057">
        <f t="shared" si="394"/>
        <v>50.763218390804596</v>
      </c>
      <c r="DF61" s="1057">
        <f t="shared" si="394"/>
        <v>50.763218390804596</v>
      </c>
      <c r="DG61" s="1057">
        <f t="shared" si="394"/>
        <v>50.763218390804596</v>
      </c>
      <c r="DH61" s="1057">
        <f t="shared" si="394"/>
        <v>50.763218390804596</v>
      </c>
      <c r="DI61" s="1057">
        <f t="shared" si="394"/>
        <v>50.763218390804596</v>
      </c>
      <c r="DJ61" s="1057">
        <f t="shared" si="394"/>
        <v>50.763218390804596</v>
      </c>
      <c r="DK61" s="1057">
        <f t="shared" si="394"/>
        <v>50.763218390804596</v>
      </c>
      <c r="DL61" s="1058">
        <f t="shared" si="394"/>
        <v>50.763218390804596</v>
      </c>
      <c r="DM61" s="1057">
        <f t="shared" si="394"/>
        <v>50.763218390804596</v>
      </c>
      <c r="DN61" s="1057">
        <f t="shared" si="394"/>
        <v>50.763218390804596</v>
      </c>
      <c r="DO61" s="1057">
        <f t="shared" si="394"/>
        <v>50.763218390804596</v>
      </c>
      <c r="DP61" s="1057">
        <f t="shared" si="394"/>
        <v>50.763218390804596</v>
      </c>
      <c r="DQ61" s="1057">
        <f t="shared" si="394"/>
        <v>50.763218390804596</v>
      </c>
      <c r="DR61" s="1057">
        <f t="shared" si="394"/>
        <v>50.763218390804596</v>
      </c>
      <c r="DS61" s="1057">
        <f t="shared" si="394"/>
        <v>50.763218390804596</v>
      </c>
      <c r="DT61" s="1057">
        <f t="shared" si="394"/>
        <v>50.763218390804596</v>
      </c>
      <c r="DU61" s="1057">
        <f t="shared" si="394"/>
        <v>50.763218390804596</v>
      </c>
      <c r="DV61" s="1057">
        <f t="shared" si="394"/>
        <v>50.763218390804596</v>
      </c>
      <c r="DW61" s="1057">
        <f t="shared" si="394"/>
        <v>50.763218390804596</v>
      </c>
    </row>
    <row r="62" spans="2:127" s="13" customFormat="1" x14ac:dyDescent="0.3">
      <c r="C62" s="117"/>
      <c r="D62" s="70" t="s">
        <v>230</v>
      </c>
      <c r="E62" s="133"/>
      <c r="F62" s="378"/>
      <c r="G62" s="1559">
        <f>H62</f>
        <v>6.61</v>
      </c>
      <c r="H62" s="1560">
        <f>I62</f>
        <v>6.61</v>
      </c>
      <c r="I62" s="1560">
        <f>J62</f>
        <v>6.61</v>
      </c>
      <c r="J62" s="1057">
        <f t="shared" ref="J62:BT62" si="395">((ROUND(SUM(J45,J51:J59)/J138,2)+ROUND(SUM(J46:J50),2))*J132)</f>
        <v>6.61</v>
      </c>
      <c r="K62" s="1057">
        <f t="shared" si="395"/>
        <v>6.61</v>
      </c>
      <c r="L62" s="1057">
        <f t="shared" si="395"/>
        <v>6.61</v>
      </c>
      <c r="M62" s="1057">
        <f t="shared" si="395"/>
        <v>5.8100000000000005</v>
      </c>
      <c r="N62" s="1057">
        <f t="shared" si="395"/>
        <v>5.8100000000000005</v>
      </c>
      <c r="O62" s="1057">
        <f t="shared" si="395"/>
        <v>5.8100000000000005</v>
      </c>
      <c r="P62" s="1057">
        <f t="shared" si="395"/>
        <v>5.8100000000000005</v>
      </c>
      <c r="Q62" s="1057">
        <f t="shared" si="395"/>
        <v>5.8100000000000005</v>
      </c>
      <c r="R62" s="1057">
        <f t="shared" si="395"/>
        <v>5.8100000000000005</v>
      </c>
      <c r="S62" s="1057">
        <f t="shared" si="395"/>
        <v>5.8100000000000005</v>
      </c>
      <c r="T62" s="1058">
        <f t="shared" si="395"/>
        <v>5.8100000000000005</v>
      </c>
      <c r="U62" s="1057">
        <f t="shared" si="395"/>
        <v>5.8100000000000005</v>
      </c>
      <c r="V62" s="1057">
        <f t="shared" si="395"/>
        <v>5.8100000000000005</v>
      </c>
      <c r="W62" s="1057">
        <f t="shared" si="395"/>
        <v>5.8100000000000005</v>
      </c>
      <c r="X62" s="1057">
        <f t="shared" si="395"/>
        <v>5.8100000000000005</v>
      </c>
      <c r="Y62" s="1057">
        <f t="shared" si="395"/>
        <v>5.8100000000000005</v>
      </c>
      <c r="Z62" s="1057">
        <f t="shared" si="395"/>
        <v>5.8100000000000005</v>
      </c>
      <c r="AA62" s="1057">
        <f t="shared" si="395"/>
        <v>5.8100000000000005</v>
      </c>
      <c r="AB62" s="1057">
        <f t="shared" si="395"/>
        <v>5.8100000000000005</v>
      </c>
      <c r="AC62" s="1057">
        <f t="shared" si="395"/>
        <v>5.8100000000000005</v>
      </c>
      <c r="AD62" s="1057">
        <f t="shared" si="395"/>
        <v>5.8100000000000005</v>
      </c>
      <c r="AE62" s="1057">
        <f t="shared" si="395"/>
        <v>5.8100000000000005</v>
      </c>
      <c r="AF62" s="1058">
        <f t="shared" si="395"/>
        <v>5.8100000000000005</v>
      </c>
      <c r="AG62" s="1057">
        <f t="shared" si="395"/>
        <v>5.8100000000000005</v>
      </c>
      <c r="AH62" s="1057">
        <f t="shared" si="395"/>
        <v>5.8100000000000005</v>
      </c>
      <c r="AI62" s="1057">
        <f t="shared" si="395"/>
        <v>5.8100000000000005</v>
      </c>
      <c r="AJ62" s="1057">
        <f t="shared" si="395"/>
        <v>5.8100000000000005</v>
      </c>
      <c r="AK62" s="1057">
        <f t="shared" si="395"/>
        <v>5.8100000000000005</v>
      </c>
      <c r="AL62" s="1057">
        <f t="shared" si="395"/>
        <v>5.8100000000000005</v>
      </c>
      <c r="AM62" s="1057">
        <f t="shared" si="395"/>
        <v>5.8100000000000005</v>
      </c>
      <c r="AN62" s="1057">
        <f t="shared" si="395"/>
        <v>5.8100000000000005</v>
      </c>
      <c r="AO62" s="1057">
        <f t="shared" si="395"/>
        <v>5.8100000000000005</v>
      </c>
      <c r="AP62" s="1057">
        <f t="shared" si="395"/>
        <v>5.8100000000000005</v>
      </c>
      <c r="AQ62" s="1057">
        <f t="shared" si="395"/>
        <v>5.8100000000000005</v>
      </c>
      <c r="AR62" s="1058">
        <f t="shared" si="395"/>
        <v>5.8100000000000005</v>
      </c>
      <c r="AS62" s="1057">
        <f t="shared" si="395"/>
        <v>5.8100000000000005</v>
      </c>
      <c r="AT62" s="1057">
        <f t="shared" si="395"/>
        <v>5.8100000000000005</v>
      </c>
      <c r="AU62" s="1057">
        <f t="shared" si="395"/>
        <v>5.8100000000000005</v>
      </c>
      <c r="AV62" s="1057">
        <f t="shared" si="395"/>
        <v>5.8100000000000005</v>
      </c>
      <c r="AW62" s="1057">
        <f t="shared" si="395"/>
        <v>5.8100000000000005</v>
      </c>
      <c r="AX62" s="1057">
        <f t="shared" si="395"/>
        <v>5.8100000000000005</v>
      </c>
      <c r="AY62" s="1057">
        <f t="shared" si="395"/>
        <v>5.8100000000000005</v>
      </c>
      <c r="AZ62" s="1057">
        <f t="shared" si="395"/>
        <v>5.8100000000000005</v>
      </c>
      <c r="BA62" s="1057">
        <f t="shared" si="395"/>
        <v>5.8100000000000005</v>
      </c>
      <c r="BB62" s="1057">
        <f t="shared" si="395"/>
        <v>5.8100000000000005</v>
      </c>
      <c r="BC62" s="1057">
        <f t="shared" si="395"/>
        <v>5.8100000000000005</v>
      </c>
      <c r="BD62" s="1058">
        <f t="shared" si="395"/>
        <v>5.8100000000000005</v>
      </c>
      <c r="BE62" s="1057">
        <f t="shared" si="395"/>
        <v>5.8100000000000005</v>
      </c>
      <c r="BF62" s="1057">
        <f t="shared" si="395"/>
        <v>5.8100000000000005</v>
      </c>
      <c r="BG62" s="1057">
        <f t="shared" si="395"/>
        <v>5.8100000000000005</v>
      </c>
      <c r="BH62" s="1057">
        <f t="shared" si="395"/>
        <v>5.8100000000000005</v>
      </c>
      <c r="BI62" s="1057">
        <f t="shared" si="395"/>
        <v>5.8100000000000005</v>
      </c>
      <c r="BJ62" s="1057">
        <f t="shared" si="395"/>
        <v>5.8100000000000005</v>
      </c>
      <c r="BK62" s="1057">
        <f t="shared" si="395"/>
        <v>5.8100000000000005</v>
      </c>
      <c r="BL62" s="1057">
        <f t="shared" si="395"/>
        <v>5.8100000000000005</v>
      </c>
      <c r="BM62" s="1057">
        <f t="shared" si="395"/>
        <v>5.8100000000000005</v>
      </c>
      <c r="BN62" s="1057">
        <f t="shared" si="395"/>
        <v>5.8100000000000005</v>
      </c>
      <c r="BO62" s="1059">
        <f t="shared" si="395"/>
        <v>5.8100000000000005</v>
      </c>
      <c r="BP62" s="1058">
        <f t="shared" si="395"/>
        <v>5.8100000000000005</v>
      </c>
      <c r="BQ62" s="1057">
        <f t="shared" si="395"/>
        <v>5.8100000000000005</v>
      </c>
      <c r="BR62" s="1057">
        <f t="shared" si="395"/>
        <v>5.8100000000000005</v>
      </c>
      <c r="BS62" s="1057">
        <f t="shared" si="395"/>
        <v>5.8100000000000005</v>
      </c>
      <c r="BT62" s="1057">
        <f t="shared" si="395"/>
        <v>5.8100000000000005</v>
      </c>
      <c r="BU62" s="1057">
        <f t="shared" ref="BU62:DW62" si="396">((ROUND(SUM(BU45,BU51:BU59)/BU138,2)+ROUND(SUM(BU46:BU50),2))*BU132)</f>
        <v>5.8100000000000005</v>
      </c>
      <c r="BV62" s="1057">
        <f t="shared" si="396"/>
        <v>5.8100000000000005</v>
      </c>
      <c r="BW62" s="1057">
        <f t="shared" si="396"/>
        <v>5.8100000000000005</v>
      </c>
      <c r="BX62" s="1057">
        <f t="shared" si="396"/>
        <v>5.8100000000000005</v>
      </c>
      <c r="BY62" s="1057">
        <f t="shared" si="396"/>
        <v>5.8100000000000005</v>
      </c>
      <c r="BZ62" s="1057">
        <f t="shared" si="396"/>
        <v>5.8100000000000005</v>
      </c>
      <c r="CA62" s="1057">
        <f t="shared" si="396"/>
        <v>5.8100000000000005</v>
      </c>
      <c r="CB62" s="1058">
        <f t="shared" si="396"/>
        <v>5.8100000000000005</v>
      </c>
      <c r="CC62" s="1057">
        <f t="shared" si="396"/>
        <v>5.8100000000000005</v>
      </c>
      <c r="CD62" s="1057">
        <f t="shared" si="396"/>
        <v>5.8100000000000005</v>
      </c>
      <c r="CE62" s="1057">
        <f t="shared" si="396"/>
        <v>5.8100000000000005</v>
      </c>
      <c r="CF62" s="1057">
        <f t="shared" si="396"/>
        <v>5.8100000000000005</v>
      </c>
      <c r="CG62" s="1057">
        <f t="shared" si="396"/>
        <v>5.8100000000000005</v>
      </c>
      <c r="CH62" s="1057">
        <f t="shared" si="396"/>
        <v>5.8100000000000005</v>
      </c>
      <c r="CI62" s="1057">
        <f t="shared" si="396"/>
        <v>5.8100000000000005</v>
      </c>
      <c r="CJ62" s="1057">
        <f t="shared" si="396"/>
        <v>5.8100000000000005</v>
      </c>
      <c r="CK62" s="1057">
        <f t="shared" si="396"/>
        <v>5.8100000000000005</v>
      </c>
      <c r="CL62" s="1057">
        <f t="shared" si="396"/>
        <v>5.8100000000000005</v>
      </c>
      <c r="CM62" s="1059">
        <f t="shared" si="396"/>
        <v>5.8100000000000005</v>
      </c>
      <c r="CN62" s="1058">
        <f t="shared" si="396"/>
        <v>5.8100000000000005</v>
      </c>
      <c r="CO62" s="1057">
        <f t="shared" si="396"/>
        <v>5.8100000000000005</v>
      </c>
      <c r="CP62" s="1057">
        <f t="shared" si="396"/>
        <v>5.8100000000000005</v>
      </c>
      <c r="CQ62" s="1057">
        <f t="shared" si="396"/>
        <v>5.8100000000000005</v>
      </c>
      <c r="CR62" s="1057">
        <f t="shared" si="396"/>
        <v>5.8100000000000005</v>
      </c>
      <c r="CS62" s="1057">
        <f t="shared" si="396"/>
        <v>5.8100000000000005</v>
      </c>
      <c r="CT62" s="1057">
        <f t="shared" si="396"/>
        <v>5.8100000000000005</v>
      </c>
      <c r="CU62" s="1057">
        <f t="shared" si="396"/>
        <v>5.8100000000000005</v>
      </c>
      <c r="CV62" s="1057">
        <f t="shared" si="396"/>
        <v>5.8100000000000005</v>
      </c>
      <c r="CW62" s="1057">
        <f t="shared" si="396"/>
        <v>5.8100000000000005</v>
      </c>
      <c r="CX62" s="1057">
        <f t="shared" si="396"/>
        <v>5.8100000000000005</v>
      </c>
      <c r="CY62" s="1059">
        <f t="shared" si="396"/>
        <v>5.8100000000000005</v>
      </c>
      <c r="CZ62" s="1058">
        <f t="shared" si="396"/>
        <v>5.8100000000000005</v>
      </c>
      <c r="DA62" s="1057">
        <f t="shared" si="396"/>
        <v>5.8100000000000005</v>
      </c>
      <c r="DB62" s="1057">
        <f t="shared" si="396"/>
        <v>5.8100000000000005</v>
      </c>
      <c r="DC62" s="1057">
        <f t="shared" si="396"/>
        <v>5.8100000000000005</v>
      </c>
      <c r="DD62" s="1057">
        <f t="shared" si="396"/>
        <v>5.8100000000000005</v>
      </c>
      <c r="DE62" s="1057">
        <f t="shared" si="396"/>
        <v>5.8100000000000005</v>
      </c>
      <c r="DF62" s="1057">
        <f t="shared" si="396"/>
        <v>5.8100000000000005</v>
      </c>
      <c r="DG62" s="1057">
        <f t="shared" si="396"/>
        <v>5.8100000000000005</v>
      </c>
      <c r="DH62" s="1057">
        <f t="shared" si="396"/>
        <v>5.8100000000000005</v>
      </c>
      <c r="DI62" s="1057">
        <f t="shared" si="396"/>
        <v>5.8100000000000005</v>
      </c>
      <c r="DJ62" s="1057">
        <f t="shared" si="396"/>
        <v>5.8100000000000005</v>
      </c>
      <c r="DK62" s="1057">
        <f t="shared" si="396"/>
        <v>5.8100000000000005</v>
      </c>
      <c r="DL62" s="1058">
        <f t="shared" si="396"/>
        <v>5.8100000000000005</v>
      </c>
      <c r="DM62" s="1057">
        <f t="shared" si="396"/>
        <v>5.8100000000000005</v>
      </c>
      <c r="DN62" s="1057">
        <f t="shared" si="396"/>
        <v>5.8100000000000005</v>
      </c>
      <c r="DO62" s="1057">
        <f t="shared" si="396"/>
        <v>5.8100000000000005</v>
      </c>
      <c r="DP62" s="1057">
        <f t="shared" si="396"/>
        <v>5.8100000000000005</v>
      </c>
      <c r="DQ62" s="1057">
        <f t="shared" si="396"/>
        <v>5.8100000000000005</v>
      </c>
      <c r="DR62" s="1057">
        <f t="shared" si="396"/>
        <v>5.8100000000000005</v>
      </c>
      <c r="DS62" s="1057">
        <f t="shared" si="396"/>
        <v>5.8100000000000005</v>
      </c>
      <c r="DT62" s="1057">
        <f t="shared" si="396"/>
        <v>5.8100000000000005</v>
      </c>
      <c r="DU62" s="1057">
        <f t="shared" si="396"/>
        <v>5.8100000000000005</v>
      </c>
      <c r="DV62" s="1057">
        <f t="shared" si="396"/>
        <v>5.8100000000000005</v>
      </c>
      <c r="DW62" s="1057">
        <f t="shared" si="396"/>
        <v>5.8100000000000005</v>
      </c>
    </row>
    <row r="63" spans="2:127" s="13" customFormat="1" x14ac:dyDescent="0.35">
      <c r="C63" s="64"/>
      <c r="D63" s="550" t="s">
        <v>231</v>
      </c>
      <c r="E63" s="546"/>
      <c r="F63" s="380"/>
      <c r="G63" s="1205">
        <f t="shared" ref="G63:AL63" si="397">SUM(G61:G62)</f>
        <v>57.373218390804595</v>
      </c>
      <c r="H63" s="1060">
        <f t="shared" si="397"/>
        <v>57.373218390804595</v>
      </c>
      <c r="I63" s="1060">
        <f t="shared" si="397"/>
        <v>57.373218390804595</v>
      </c>
      <c r="J63" s="1060">
        <f t="shared" si="397"/>
        <v>57.373218390804595</v>
      </c>
      <c r="K63" s="1060">
        <f t="shared" si="397"/>
        <v>57.373218390804595</v>
      </c>
      <c r="L63" s="1060">
        <f t="shared" si="397"/>
        <v>57.373218390804595</v>
      </c>
      <c r="M63" s="1060">
        <f t="shared" si="397"/>
        <v>56.573218390804598</v>
      </c>
      <c r="N63" s="1060">
        <f t="shared" si="397"/>
        <v>56.573218390804598</v>
      </c>
      <c r="O63" s="1060">
        <f t="shared" si="397"/>
        <v>56.573218390804598</v>
      </c>
      <c r="P63" s="1060">
        <f t="shared" si="397"/>
        <v>56.573218390804598</v>
      </c>
      <c r="Q63" s="1060">
        <f t="shared" si="397"/>
        <v>56.573218390804598</v>
      </c>
      <c r="R63" s="1060">
        <f t="shared" si="397"/>
        <v>56.573218390804598</v>
      </c>
      <c r="S63" s="1060">
        <f t="shared" si="397"/>
        <v>56.573218390804598</v>
      </c>
      <c r="T63" s="1061">
        <f t="shared" si="397"/>
        <v>56.573218390804598</v>
      </c>
      <c r="U63" s="1060">
        <f t="shared" si="397"/>
        <v>56.573218390804598</v>
      </c>
      <c r="V63" s="1060">
        <f t="shared" si="397"/>
        <v>56.573218390804598</v>
      </c>
      <c r="W63" s="1060">
        <f t="shared" si="397"/>
        <v>56.573218390804598</v>
      </c>
      <c r="X63" s="1060">
        <f t="shared" si="397"/>
        <v>56.573218390804598</v>
      </c>
      <c r="Y63" s="1060">
        <f t="shared" si="397"/>
        <v>56.573218390804598</v>
      </c>
      <c r="Z63" s="1060">
        <f t="shared" si="397"/>
        <v>56.573218390804598</v>
      </c>
      <c r="AA63" s="1060">
        <f t="shared" si="397"/>
        <v>56.573218390804598</v>
      </c>
      <c r="AB63" s="1060">
        <f t="shared" si="397"/>
        <v>56.573218390804598</v>
      </c>
      <c r="AC63" s="1060">
        <f t="shared" si="397"/>
        <v>56.573218390804598</v>
      </c>
      <c r="AD63" s="1060">
        <f t="shared" si="397"/>
        <v>56.573218390804598</v>
      </c>
      <c r="AE63" s="1060">
        <f t="shared" si="397"/>
        <v>56.573218390804598</v>
      </c>
      <c r="AF63" s="1061">
        <f t="shared" si="397"/>
        <v>56.573218390804598</v>
      </c>
      <c r="AG63" s="1060">
        <f t="shared" si="397"/>
        <v>56.573218390804598</v>
      </c>
      <c r="AH63" s="1060">
        <f t="shared" si="397"/>
        <v>56.573218390804598</v>
      </c>
      <c r="AI63" s="1060">
        <f t="shared" si="397"/>
        <v>56.573218390804598</v>
      </c>
      <c r="AJ63" s="1060">
        <f t="shared" si="397"/>
        <v>56.573218390804598</v>
      </c>
      <c r="AK63" s="1060">
        <f t="shared" si="397"/>
        <v>56.573218390804598</v>
      </c>
      <c r="AL63" s="1060">
        <f t="shared" si="397"/>
        <v>56.573218390804598</v>
      </c>
      <c r="AM63" s="1060">
        <f t="shared" ref="AM63:BN63" si="398">SUM(AM61:AM62)</f>
        <v>56.573218390804598</v>
      </c>
      <c r="AN63" s="1060">
        <f t="shared" si="398"/>
        <v>56.573218390804598</v>
      </c>
      <c r="AO63" s="1060">
        <f t="shared" si="398"/>
        <v>56.573218390804598</v>
      </c>
      <c r="AP63" s="1060">
        <f t="shared" si="398"/>
        <v>56.573218390804598</v>
      </c>
      <c r="AQ63" s="1060">
        <f t="shared" si="398"/>
        <v>56.573218390804598</v>
      </c>
      <c r="AR63" s="1061">
        <f t="shared" si="398"/>
        <v>56.573218390804598</v>
      </c>
      <c r="AS63" s="1060">
        <f t="shared" si="398"/>
        <v>56.573218390804598</v>
      </c>
      <c r="AT63" s="1060">
        <f t="shared" si="398"/>
        <v>56.573218390804598</v>
      </c>
      <c r="AU63" s="1060">
        <f t="shared" si="398"/>
        <v>56.573218390804598</v>
      </c>
      <c r="AV63" s="1060">
        <f t="shared" si="398"/>
        <v>56.573218390804598</v>
      </c>
      <c r="AW63" s="1060">
        <f t="shared" si="398"/>
        <v>56.573218390804598</v>
      </c>
      <c r="AX63" s="1060">
        <f t="shared" si="398"/>
        <v>56.573218390804598</v>
      </c>
      <c r="AY63" s="1060">
        <f t="shared" si="398"/>
        <v>56.573218390804598</v>
      </c>
      <c r="AZ63" s="1060">
        <f t="shared" si="398"/>
        <v>56.573218390804598</v>
      </c>
      <c r="BA63" s="1060">
        <f t="shared" si="398"/>
        <v>56.573218390804598</v>
      </c>
      <c r="BB63" s="1060">
        <f t="shared" si="398"/>
        <v>56.573218390804598</v>
      </c>
      <c r="BC63" s="1060">
        <f t="shared" si="398"/>
        <v>56.573218390804598</v>
      </c>
      <c r="BD63" s="1061">
        <f t="shared" si="398"/>
        <v>56.573218390804598</v>
      </c>
      <c r="BE63" s="1060">
        <f t="shared" si="398"/>
        <v>56.573218390804598</v>
      </c>
      <c r="BF63" s="1060">
        <f t="shared" si="398"/>
        <v>56.573218390804598</v>
      </c>
      <c r="BG63" s="1060">
        <f t="shared" si="398"/>
        <v>56.573218390804598</v>
      </c>
      <c r="BH63" s="1060">
        <f t="shared" si="398"/>
        <v>56.573218390804598</v>
      </c>
      <c r="BI63" s="1060">
        <f t="shared" si="398"/>
        <v>56.573218390804598</v>
      </c>
      <c r="BJ63" s="1060">
        <f t="shared" si="398"/>
        <v>56.573218390804598</v>
      </c>
      <c r="BK63" s="1060">
        <f t="shared" si="398"/>
        <v>56.573218390804598</v>
      </c>
      <c r="BL63" s="1060">
        <f t="shared" si="398"/>
        <v>56.573218390804598</v>
      </c>
      <c r="BM63" s="1060">
        <f t="shared" si="398"/>
        <v>56.573218390804598</v>
      </c>
      <c r="BN63" s="1060">
        <f t="shared" si="398"/>
        <v>56.573218390804598</v>
      </c>
      <c r="BO63" s="1060">
        <f>SUM(BO61:BO62)</f>
        <v>56.573218390804598</v>
      </c>
      <c r="BP63" s="1061">
        <f t="shared" ref="BP63:DW63" si="399">SUM(BP61:BP62)</f>
        <v>56.573218390804598</v>
      </c>
      <c r="BQ63" s="1060">
        <f t="shared" si="399"/>
        <v>56.573218390804598</v>
      </c>
      <c r="BR63" s="1060">
        <f t="shared" si="399"/>
        <v>56.573218390804598</v>
      </c>
      <c r="BS63" s="1060">
        <f t="shared" si="399"/>
        <v>56.573218390804598</v>
      </c>
      <c r="BT63" s="1060">
        <f t="shared" si="399"/>
        <v>56.573218390804598</v>
      </c>
      <c r="BU63" s="1060">
        <f t="shared" si="399"/>
        <v>56.573218390804598</v>
      </c>
      <c r="BV63" s="1060">
        <f t="shared" si="399"/>
        <v>56.573218390804598</v>
      </c>
      <c r="BW63" s="1060">
        <f t="shared" si="399"/>
        <v>56.573218390804598</v>
      </c>
      <c r="BX63" s="1060">
        <f t="shared" si="399"/>
        <v>56.573218390804598</v>
      </c>
      <c r="BY63" s="1060">
        <f t="shared" si="399"/>
        <v>56.573218390804598</v>
      </c>
      <c r="BZ63" s="1060">
        <f t="shared" si="399"/>
        <v>56.573218390804598</v>
      </c>
      <c r="CA63" s="1060">
        <f t="shared" si="399"/>
        <v>56.573218390804598</v>
      </c>
      <c r="CB63" s="1061">
        <f t="shared" si="399"/>
        <v>56.573218390804598</v>
      </c>
      <c r="CC63" s="1060">
        <f t="shared" si="399"/>
        <v>56.573218390804598</v>
      </c>
      <c r="CD63" s="1060">
        <f t="shared" si="399"/>
        <v>56.573218390804598</v>
      </c>
      <c r="CE63" s="1060">
        <f t="shared" si="399"/>
        <v>56.573218390804598</v>
      </c>
      <c r="CF63" s="1060">
        <f t="shared" si="399"/>
        <v>56.573218390804598</v>
      </c>
      <c r="CG63" s="1060">
        <f t="shared" si="399"/>
        <v>56.573218390804598</v>
      </c>
      <c r="CH63" s="1060">
        <f t="shared" si="399"/>
        <v>56.573218390804598</v>
      </c>
      <c r="CI63" s="1060">
        <f t="shared" si="399"/>
        <v>56.573218390804598</v>
      </c>
      <c r="CJ63" s="1060">
        <f t="shared" si="399"/>
        <v>56.573218390804598</v>
      </c>
      <c r="CK63" s="1060">
        <f t="shared" si="399"/>
        <v>56.573218390804598</v>
      </c>
      <c r="CL63" s="1060">
        <f t="shared" si="399"/>
        <v>56.573218390804598</v>
      </c>
      <c r="CM63" s="1060">
        <f t="shared" si="399"/>
        <v>56.573218390804598</v>
      </c>
      <c r="CN63" s="1061">
        <f t="shared" si="399"/>
        <v>56.573218390804598</v>
      </c>
      <c r="CO63" s="1060">
        <f t="shared" si="399"/>
        <v>56.573218390804598</v>
      </c>
      <c r="CP63" s="1060">
        <f t="shared" si="399"/>
        <v>56.573218390804598</v>
      </c>
      <c r="CQ63" s="1060">
        <f t="shared" si="399"/>
        <v>56.573218390804598</v>
      </c>
      <c r="CR63" s="1060">
        <f t="shared" si="399"/>
        <v>56.573218390804598</v>
      </c>
      <c r="CS63" s="1060">
        <f t="shared" si="399"/>
        <v>56.573218390804598</v>
      </c>
      <c r="CT63" s="1060">
        <f t="shared" si="399"/>
        <v>56.573218390804598</v>
      </c>
      <c r="CU63" s="1060">
        <f t="shared" si="399"/>
        <v>56.573218390804598</v>
      </c>
      <c r="CV63" s="1060">
        <f t="shared" si="399"/>
        <v>56.573218390804598</v>
      </c>
      <c r="CW63" s="1060">
        <f t="shared" si="399"/>
        <v>56.573218390804598</v>
      </c>
      <c r="CX63" s="1060">
        <f t="shared" si="399"/>
        <v>56.573218390804598</v>
      </c>
      <c r="CY63" s="1060">
        <f t="shared" si="399"/>
        <v>56.573218390804598</v>
      </c>
      <c r="CZ63" s="1061">
        <f t="shared" si="399"/>
        <v>56.573218390804598</v>
      </c>
      <c r="DA63" s="1060">
        <f t="shared" si="399"/>
        <v>56.573218390804598</v>
      </c>
      <c r="DB63" s="1060">
        <f t="shared" si="399"/>
        <v>56.573218390804598</v>
      </c>
      <c r="DC63" s="1060">
        <f t="shared" si="399"/>
        <v>56.573218390804598</v>
      </c>
      <c r="DD63" s="1060">
        <f t="shared" si="399"/>
        <v>56.573218390804598</v>
      </c>
      <c r="DE63" s="1060">
        <f t="shared" si="399"/>
        <v>56.573218390804598</v>
      </c>
      <c r="DF63" s="1060">
        <f t="shared" si="399"/>
        <v>56.573218390804598</v>
      </c>
      <c r="DG63" s="1060">
        <f t="shared" si="399"/>
        <v>56.573218390804598</v>
      </c>
      <c r="DH63" s="1060">
        <f t="shared" si="399"/>
        <v>56.573218390804598</v>
      </c>
      <c r="DI63" s="1060">
        <f t="shared" si="399"/>
        <v>56.573218390804598</v>
      </c>
      <c r="DJ63" s="1060">
        <f t="shared" si="399"/>
        <v>56.573218390804598</v>
      </c>
      <c r="DK63" s="1060">
        <f t="shared" si="399"/>
        <v>56.573218390804598</v>
      </c>
      <c r="DL63" s="1061">
        <f t="shared" si="399"/>
        <v>56.573218390804598</v>
      </c>
      <c r="DM63" s="1060">
        <f t="shared" si="399"/>
        <v>56.573218390804598</v>
      </c>
      <c r="DN63" s="1060">
        <f t="shared" si="399"/>
        <v>56.573218390804598</v>
      </c>
      <c r="DO63" s="1060">
        <f t="shared" si="399"/>
        <v>56.573218390804598</v>
      </c>
      <c r="DP63" s="1060">
        <f t="shared" si="399"/>
        <v>56.573218390804598</v>
      </c>
      <c r="DQ63" s="1060">
        <f t="shared" si="399"/>
        <v>56.573218390804598</v>
      </c>
      <c r="DR63" s="1060">
        <f t="shared" si="399"/>
        <v>56.573218390804598</v>
      </c>
      <c r="DS63" s="1060">
        <f t="shared" si="399"/>
        <v>56.573218390804598</v>
      </c>
      <c r="DT63" s="1060">
        <f t="shared" si="399"/>
        <v>56.573218390804598</v>
      </c>
      <c r="DU63" s="1060">
        <f t="shared" si="399"/>
        <v>56.573218390804598</v>
      </c>
      <c r="DV63" s="1060">
        <f t="shared" si="399"/>
        <v>56.573218390804598</v>
      </c>
      <c r="DW63" s="1060">
        <f t="shared" si="399"/>
        <v>56.573218390804598</v>
      </c>
    </row>
    <row r="64" spans="2:127" x14ac:dyDescent="0.3">
      <c r="B64" s="1386"/>
      <c r="C64" s="1408"/>
      <c r="D64" s="550" t="s">
        <v>232</v>
      </c>
      <c r="E64" s="78"/>
      <c r="F64" s="374"/>
      <c r="G64" s="1205">
        <f t="shared" si="391"/>
        <v>56.849675385236267</v>
      </c>
      <c r="H64" s="1060">
        <f>H142+(((SUM(H45,H51:H59)/H138)+(SUM(H46:H50)))*H132)+(SUM(H45:H59)*H133)</f>
        <v>56.849675385236267</v>
      </c>
      <c r="I64" s="1060">
        <f t="shared" ref="I64:BT64" si="400">I142+(((SUM(I45,I51:I59)/I138)+(SUM(I46:I50)))*I132)+(SUM(I45:I59)*I133)</f>
        <v>57.371408463141762</v>
      </c>
      <c r="J64" s="1060">
        <f t="shared" si="400"/>
        <v>57.371408463141762</v>
      </c>
      <c r="K64" s="1060">
        <f t="shared" si="400"/>
        <v>57.371408463141762</v>
      </c>
      <c r="L64" s="1060">
        <f t="shared" si="400"/>
        <v>57.371408463141762</v>
      </c>
      <c r="M64" s="1060">
        <f t="shared" si="400"/>
        <v>56.570916634070144</v>
      </c>
      <c r="N64" s="1060">
        <f t="shared" si="400"/>
        <v>56.570916634070144</v>
      </c>
      <c r="O64" s="1060">
        <f t="shared" si="400"/>
        <v>56.570916634070144</v>
      </c>
      <c r="P64" s="1060">
        <f t="shared" si="400"/>
        <v>56.570916634070144</v>
      </c>
      <c r="Q64" s="1060">
        <f t="shared" si="400"/>
        <v>56.570916634070144</v>
      </c>
      <c r="R64" s="1060">
        <f t="shared" si="400"/>
        <v>56.570916634070144</v>
      </c>
      <c r="S64" s="1060">
        <f t="shared" si="400"/>
        <v>56.570916634070144</v>
      </c>
      <c r="T64" s="1061">
        <f t="shared" si="400"/>
        <v>56.570916634070144</v>
      </c>
      <c r="U64" s="1060">
        <f t="shared" si="400"/>
        <v>56.570916634070144</v>
      </c>
      <c r="V64" s="1060">
        <f t="shared" si="400"/>
        <v>56.570916634070144</v>
      </c>
      <c r="W64" s="1060">
        <f t="shared" si="400"/>
        <v>56.570916634070144</v>
      </c>
      <c r="X64" s="1060">
        <f t="shared" si="400"/>
        <v>56.570916634070144</v>
      </c>
      <c r="Y64" s="1060">
        <f t="shared" si="400"/>
        <v>56.570916634070144</v>
      </c>
      <c r="Z64" s="1060">
        <f t="shared" si="400"/>
        <v>56.570916634070144</v>
      </c>
      <c r="AA64" s="1060">
        <f t="shared" si="400"/>
        <v>56.570916634070144</v>
      </c>
      <c r="AB64" s="1060">
        <f t="shared" si="400"/>
        <v>56.570916634070144</v>
      </c>
      <c r="AC64" s="1060">
        <f t="shared" si="400"/>
        <v>56.570916634070144</v>
      </c>
      <c r="AD64" s="1060">
        <f t="shared" si="400"/>
        <v>56.570916634070144</v>
      </c>
      <c r="AE64" s="1060">
        <f t="shared" si="400"/>
        <v>56.570916634070144</v>
      </c>
      <c r="AF64" s="1061">
        <f t="shared" si="400"/>
        <v>56.570916634070144</v>
      </c>
      <c r="AG64" s="1060">
        <f t="shared" si="400"/>
        <v>56.570916634070144</v>
      </c>
      <c r="AH64" s="1060">
        <f t="shared" si="400"/>
        <v>56.570916634070144</v>
      </c>
      <c r="AI64" s="1060">
        <f t="shared" si="400"/>
        <v>56.570916634070144</v>
      </c>
      <c r="AJ64" s="1060">
        <f t="shared" si="400"/>
        <v>56.570916634070144</v>
      </c>
      <c r="AK64" s="1060">
        <f t="shared" si="400"/>
        <v>56.570916634070144</v>
      </c>
      <c r="AL64" s="1060">
        <f t="shared" si="400"/>
        <v>56.570916634070144</v>
      </c>
      <c r="AM64" s="1060">
        <f t="shared" si="400"/>
        <v>56.570916634070144</v>
      </c>
      <c r="AN64" s="1060">
        <f t="shared" si="400"/>
        <v>56.570916634070144</v>
      </c>
      <c r="AO64" s="1060">
        <f t="shared" si="400"/>
        <v>56.570916634070144</v>
      </c>
      <c r="AP64" s="1060">
        <f t="shared" si="400"/>
        <v>56.570916634070144</v>
      </c>
      <c r="AQ64" s="1060">
        <f t="shared" si="400"/>
        <v>56.570916634070144</v>
      </c>
      <c r="AR64" s="1061">
        <f t="shared" si="400"/>
        <v>56.570916634070144</v>
      </c>
      <c r="AS64" s="1060">
        <f t="shared" si="400"/>
        <v>56.570916634070144</v>
      </c>
      <c r="AT64" s="1060">
        <f t="shared" si="400"/>
        <v>56.570916634070144</v>
      </c>
      <c r="AU64" s="1060">
        <f t="shared" si="400"/>
        <v>56.570916634070144</v>
      </c>
      <c r="AV64" s="1060">
        <f t="shared" si="400"/>
        <v>56.570916634070144</v>
      </c>
      <c r="AW64" s="1060">
        <f t="shared" si="400"/>
        <v>56.570916634070144</v>
      </c>
      <c r="AX64" s="1060">
        <f t="shared" si="400"/>
        <v>56.570916634070144</v>
      </c>
      <c r="AY64" s="1060">
        <f t="shared" si="400"/>
        <v>56.570916634070144</v>
      </c>
      <c r="AZ64" s="1060">
        <f t="shared" si="400"/>
        <v>56.570916634070144</v>
      </c>
      <c r="BA64" s="1060">
        <f t="shared" si="400"/>
        <v>56.570916634070144</v>
      </c>
      <c r="BB64" s="1060">
        <f t="shared" si="400"/>
        <v>56.570916634070144</v>
      </c>
      <c r="BC64" s="1060">
        <f t="shared" si="400"/>
        <v>56.570916634070144</v>
      </c>
      <c r="BD64" s="1061">
        <f t="shared" si="400"/>
        <v>56.570916634070144</v>
      </c>
      <c r="BE64" s="1060">
        <f t="shared" si="400"/>
        <v>56.570916634070144</v>
      </c>
      <c r="BF64" s="1060">
        <f t="shared" si="400"/>
        <v>56.570916634070144</v>
      </c>
      <c r="BG64" s="1060">
        <f t="shared" si="400"/>
        <v>56.570916634070144</v>
      </c>
      <c r="BH64" s="1060">
        <f t="shared" si="400"/>
        <v>56.570916634070144</v>
      </c>
      <c r="BI64" s="1060">
        <f t="shared" si="400"/>
        <v>56.570916634070144</v>
      </c>
      <c r="BJ64" s="1060">
        <f t="shared" si="400"/>
        <v>56.570916634070144</v>
      </c>
      <c r="BK64" s="1060">
        <f t="shared" si="400"/>
        <v>56.570916634070144</v>
      </c>
      <c r="BL64" s="1060">
        <f t="shared" si="400"/>
        <v>56.570916634070144</v>
      </c>
      <c r="BM64" s="1060">
        <f t="shared" si="400"/>
        <v>56.570916634070144</v>
      </c>
      <c r="BN64" s="1060">
        <f t="shared" si="400"/>
        <v>56.570916634070144</v>
      </c>
      <c r="BO64" s="1060">
        <f t="shared" si="400"/>
        <v>56.570916634070144</v>
      </c>
      <c r="BP64" s="1061">
        <f t="shared" si="400"/>
        <v>56.570916634070144</v>
      </c>
      <c r="BQ64" s="1060">
        <f t="shared" si="400"/>
        <v>56.570916634070144</v>
      </c>
      <c r="BR64" s="1060">
        <f t="shared" si="400"/>
        <v>56.570916634070144</v>
      </c>
      <c r="BS64" s="1060">
        <f t="shared" si="400"/>
        <v>56.570916634070144</v>
      </c>
      <c r="BT64" s="1060">
        <f t="shared" si="400"/>
        <v>56.570916634070144</v>
      </c>
      <c r="BU64" s="1060">
        <f t="shared" ref="BU64:DW64" si="401">BU142+(((SUM(BU45,BU51:BU59)/BU138)+(SUM(BU46:BU50)))*BU132)+(SUM(BU45:BU59)*BU133)</f>
        <v>56.570916634070144</v>
      </c>
      <c r="BV64" s="1060">
        <f t="shared" si="401"/>
        <v>56.570916634070144</v>
      </c>
      <c r="BW64" s="1060">
        <f t="shared" si="401"/>
        <v>56.570916634070144</v>
      </c>
      <c r="BX64" s="1060">
        <f t="shared" si="401"/>
        <v>56.570916634070144</v>
      </c>
      <c r="BY64" s="1060">
        <f t="shared" si="401"/>
        <v>56.570916634070144</v>
      </c>
      <c r="BZ64" s="1060">
        <f t="shared" si="401"/>
        <v>56.570916634070144</v>
      </c>
      <c r="CA64" s="1060">
        <f t="shared" si="401"/>
        <v>56.570916634070144</v>
      </c>
      <c r="CB64" s="1061">
        <f t="shared" si="401"/>
        <v>56.570916634070144</v>
      </c>
      <c r="CC64" s="1060">
        <f t="shared" si="401"/>
        <v>56.570916634070144</v>
      </c>
      <c r="CD64" s="1060">
        <f t="shared" si="401"/>
        <v>56.570916634070144</v>
      </c>
      <c r="CE64" s="1060">
        <f t="shared" si="401"/>
        <v>56.570916634070144</v>
      </c>
      <c r="CF64" s="1060">
        <f t="shared" si="401"/>
        <v>56.570916634070144</v>
      </c>
      <c r="CG64" s="1060">
        <f t="shared" si="401"/>
        <v>56.570916634070144</v>
      </c>
      <c r="CH64" s="1060">
        <f t="shared" si="401"/>
        <v>56.570916634070144</v>
      </c>
      <c r="CI64" s="1060">
        <f t="shared" si="401"/>
        <v>56.570916634070144</v>
      </c>
      <c r="CJ64" s="1060">
        <f t="shared" si="401"/>
        <v>56.570916634070144</v>
      </c>
      <c r="CK64" s="1060">
        <f t="shared" si="401"/>
        <v>56.570916634070144</v>
      </c>
      <c r="CL64" s="1060">
        <f t="shared" si="401"/>
        <v>56.570916634070144</v>
      </c>
      <c r="CM64" s="1060">
        <f t="shared" si="401"/>
        <v>56.570916634070144</v>
      </c>
      <c r="CN64" s="1061">
        <f t="shared" si="401"/>
        <v>56.570916634070144</v>
      </c>
      <c r="CO64" s="1060">
        <f t="shared" si="401"/>
        <v>56.570916634070144</v>
      </c>
      <c r="CP64" s="1060">
        <f t="shared" si="401"/>
        <v>56.570916634070144</v>
      </c>
      <c r="CQ64" s="1060">
        <f t="shared" si="401"/>
        <v>56.570916634070144</v>
      </c>
      <c r="CR64" s="1060">
        <f t="shared" si="401"/>
        <v>56.570916634070144</v>
      </c>
      <c r="CS64" s="1060">
        <f t="shared" si="401"/>
        <v>56.570916634070144</v>
      </c>
      <c r="CT64" s="1060">
        <f t="shared" si="401"/>
        <v>56.570916634070144</v>
      </c>
      <c r="CU64" s="1060">
        <f t="shared" si="401"/>
        <v>56.570916634070144</v>
      </c>
      <c r="CV64" s="1060">
        <f t="shared" si="401"/>
        <v>56.570916634070144</v>
      </c>
      <c r="CW64" s="1060">
        <f t="shared" si="401"/>
        <v>56.570916634070144</v>
      </c>
      <c r="CX64" s="1060">
        <f t="shared" si="401"/>
        <v>56.570916634070144</v>
      </c>
      <c r="CY64" s="1060">
        <f t="shared" si="401"/>
        <v>56.570916634070144</v>
      </c>
      <c r="CZ64" s="1061">
        <f t="shared" si="401"/>
        <v>56.570916634070144</v>
      </c>
      <c r="DA64" s="1060">
        <f t="shared" si="401"/>
        <v>56.570916634070144</v>
      </c>
      <c r="DB64" s="1060">
        <f t="shared" si="401"/>
        <v>56.570916634070144</v>
      </c>
      <c r="DC64" s="1060">
        <f t="shared" si="401"/>
        <v>56.570916634070144</v>
      </c>
      <c r="DD64" s="1060">
        <f t="shared" si="401"/>
        <v>56.570916634070144</v>
      </c>
      <c r="DE64" s="1060">
        <f t="shared" si="401"/>
        <v>56.570916634070144</v>
      </c>
      <c r="DF64" s="1060">
        <f t="shared" si="401"/>
        <v>56.570916634070144</v>
      </c>
      <c r="DG64" s="1060">
        <f t="shared" si="401"/>
        <v>56.570916634070144</v>
      </c>
      <c r="DH64" s="1060">
        <f t="shared" si="401"/>
        <v>56.570916634070144</v>
      </c>
      <c r="DI64" s="1060">
        <f t="shared" si="401"/>
        <v>56.570916634070144</v>
      </c>
      <c r="DJ64" s="1060">
        <f t="shared" si="401"/>
        <v>56.570916634070144</v>
      </c>
      <c r="DK64" s="1060">
        <f t="shared" si="401"/>
        <v>56.570916634070144</v>
      </c>
      <c r="DL64" s="1061">
        <f t="shared" si="401"/>
        <v>56.570916634070144</v>
      </c>
      <c r="DM64" s="1060">
        <f t="shared" si="401"/>
        <v>56.570916634070144</v>
      </c>
      <c r="DN64" s="1060">
        <f t="shared" si="401"/>
        <v>56.570916634070144</v>
      </c>
      <c r="DO64" s="1060">
        <f t="shared" si="401"/>
        <v>56.570916634070144</v>
      </c>
      <c r="DP64" s="1060">
        <f t="shared" si="401"/>
        <v>56.570916634070144</v>
      </c>
      <c r="DQ64" s="1060">
        <f t="shared" si="401"/>
        <v>56.570916634070144</v>
      </c>
      <c r="DR64" s="1060">
        <f t="shared" si="401"/>
        <v>56.570916634070144</v>
      </c>
      <c r="DS64" s="1060">
        <f t="shared" si="401"/>
        <v>56.570916634070144</v>
      </c>
      <c r="DT64" s="1060">
        <f t="shared" si="401"/>
        <v>56.570916634070144</v>
      </c>
      <c r="DU64" s="1060">
        <f t="shared" si="401"/>
        <v>56.570916634070144</v>
      </c>
      <c r="DV64" s="1060">
        <f t="shared" si="401"/>
        <v>56.570916634070144</v>
      </c>
      <c r="DW64" s="1060">
        <f t="shared" si="401"/>
        <v>56.570916634070144</v>
      </c>
    </row>
    <row r="66" spans="2:127" x14ac:dyDescent="0.3">
      <c r="D66" s="535" t="s">
        <v>148</v>
      </c>
    </row>
    <row r="67" spans="2:127" x14ac:dyDescent="0.3">
      <c r="B67" s="260">
        <f>G67/173.33</f>
        <v>148.80093847958614</v>
      </c>
      <c r="C67" s="1480">
        <f>Summary!R13</f>
        <v>0</v>
      </c>
      <c r="D67" s="536" t="s">
        <v>577</v>
      </c>
      <c r="E67" s="184"/>
      <c r="F67" s="184"/>
      <c r="G67" s="1206">
        <f>VLOOKUP($B$4,'Data Master'!$B$68:$D$76,('Data Master'!D$3+2),0)*(1+C67)</f>
        <v>25791.666666666668</v>
      </c>
      <c r="H67" s="184">
        <f t="shared" ref="H67:AM67" si="402">G67*(1+H$128)</f>
        <v>25791.666666666668</v>
      </c>
      <c r="I67" s="184">
        <f t="shared" si="402"/>
        <v>25791.666666666668</v>
      </c>
      <c r="J67" s="184">
        <f t="shared" si="402"/>
        <v>25791.666666666668</v>
      </c>
      <c r="K67" s="184">
        <f t="shared" si="402"/>
        <v>25791.666666666668</v>
      </c>
      <c r="L67" s="184">
        <f t="shared" si="402"/>
        <v>25791.666666666668</v>
      </c>
      <c r="M67" s="184">
        <f t="shared" si="402"/>
        <v>25791.666666666668</v>
      </c>
      <c r="N67" s="184">
        <f t="shared" si="402"/>
        <v>25791.666666666668</v>
      </c>
      <c r="O67" s="184">
        <f t="shared" si="402"/>
        <v>25791.666666666668</v>
      </c>
      <c r="P67" s="184">
        <f t="shared" si="402"/>
        <v>25791.666666666668</v>
      </c>
      <c r="Q67" s="184">
        <f t="shared" si="402"/>
        <v>25791.666666666668</v>
      </c>
      <c r="R67" s="184">
        <f t="shared" si="402"/>
        <v>25791.666666666668</v>
      </c>
      <c r="S67" s="184">
        <f t="shared" si="402"/>
        <v>25791.666666666668</v>
      </c>
      <c r="T67" s="279">
        <f t="shared" si="402"/>
        <v>27081.250000000004</v>
      </c>
      <c r="U67" s="184">
        <f t="shared" si="402"/>
        <v>27081.250000000004</v>
      </c>
      <c r="V67" s="184">
        <f t="shared" si="402"/>
        <v>27081.250000000004</v>
      </c>
      <c r="W67" s="184">
        <f t="shared" si="402"/>
        <v>27081.250000000004</v>
      </c>
      <c r="X67" s="184">
        <f t="shared" si="402"/>
        <v>27081.250000000004</v>
      </c>
      <c r="Y67" s="184">
        <f t="shared" si="402"/>
        <v>27081.250000000004</v>
      </c>
      <c r="Z67" s="184">
        <f t="shared" si="402"/>
        <v>27081.250000000004</v>
      </c>
      <c r="AA67" s="184">
        <f t="shared" si="402"/>
        <v>27081.250000000004</v>
      </c>
      <c r="AB67" s="184">
        <f t="shared" si="402"/>
        <v>27081.250000000004</v>
      </c>
      <c r="AC67" s="184">
        <f t="shared" si="402"/>
        <v>27081.250000000004</v>
      </c>
      <c r="AD67" s="184">
        <f t="shared" si="402"/>
        <v>27081.250000000004</v>
      </c>
      <c r="AE67" s="184">
        <f t="shared" si="402"/>
        <v>27081.250000000004</v>
      </c>
      <c r="AF67" s="279">
        <f t="shared" si="402"/>
        <v>28435.312500000004</v>
      </c>
      <c r="AG67" s="184">
        <f t="shared" si="402"/>
        <v>28435.312500000004</v>
      </c>
      <c r="AH67" s="184">
        <f t="shared" si="402"/>
        <v>28435.312500000004</v>
      </c>
      <c r="AI67" s="184">
        <f t="shared" si="402"/>
        <v>28435.312500000004</v>
      </c>
      <c r="AJ67" s="184">
        <f t="shared" si="402"/>
        <v>28435.312500000004</v>
      </c>
      <c r="AK67" s="184">
        <f t="shared" si="402"/>
        <v>28435.312500000004</v>
      </c>
      <c r="AL67" s="184">
        <f t="shared" si="402"/>
        <v>28435.312500000004</v>
      </c>
      <c r="AM67" s="184">
        <f t="shared" si="402"/>
        <v>28435.312500000004</v>
      </c>
      <c r="AN67" s="184">
        <f t="shared" ref="AN67:BN67" si="403">AM67*(1+AN$128)</f>
        <v>28435.312500000004</v>
      </c>
      <c r="AO67" s="184">
        <f t="shared" si="403"/>
        <v>28435.312500000004</v>
      </c>
      <c r="AP67" s="184">
        <f t="shared" si="403"/>
        <v>28435.312500000004</v>
      </c>
      <c r="AQ67" s="184">
        <f t="shared" si="403"/>
        <v>28435.312500000004</v>
      </c>
      <c r="AR67" s="279">
        <f t="shared" si="403"/>
        <v>29857.078125000004</v>
      </c>
      <c r="AS67" s="184">
        <f t="shared" si="403"/>
        <v>29857.078125000004</v>
      </c>
      <c r="AT67" s="184">
        <f t="shared" si="403"/>
        <v>29857.078125000004</v>
      </c>
      <c r="AU67" s="184">
        <f t="shared" si="403"/>
        <v>29857.078125000004</v>
      </c>
      <c r="AV67" s="184">
        <f t="shared" si="403"/>
        <v>29857.078125000004</v>
      </c>
      <c r="AW67" s="184">
        <f t="shared" si="403"/>
        <v>29857.078125000004</v>
      </c>
      <c r="AX67" s="184">
        <f t="shared" si="403"/>
        <v>29857.078125000004</v>
      </c>
      <c r="AY67" s="184">
        <f t="shared" si="403"/>
        <v>29857.078125000004</v>
      </c>
      <c r="AZ67" s="184">
        <f t="shared" si="403"/>
        <v>29857.078125000004</v>
      </c>
      <c r="BA67" s="184">
        <f t="shared" si="403"/>
        <v>29857.078125000004</v>
      </c>
      <c r="BB67" s="184">
        <f t="shared" si="403"/>
        <v>29857.078125000004</v>
      </c>
      <c r="BC67" s="184">
        <f t="shared" si="403"/>
        <v>29857.078125000004</v>
      </c>
      <c r="BD67" s="279">
        <f t="shared" si="403"/>
        <v>31349.932031250006</v>
      </c>
      <c r="BE67" s="184">
        <f t="shared" si="403"/>
        <v>31349.932031250006</v>
      </c>
      <c r="BF67" s="184">
        <f t="shared" si="403"/>
        <v>31349.932031250006</v>
      </c>
      <c r="BG67" s="184">
        <f t="shared" si="403"/>
        <v>31349.932031250006</v>
      </c>
      <c r="BH67" s="184">
        <f t="shared" si="403"/>
        <v>31349.932031250006</v>
      </c>
      <c r="BI67" s="184">
        <f t="shared" si="403"/>
        <v>31349.932031250006</v>
      </c>
      <c r="BJ67" s="184">
        <f t="shared" si="403"/>
        <v>31349.932031250006</v>
      </c>
      <c r="BK67" s="184">
        <f t="shared" si="403"/>
        <v>31349.932031250006</v>
      </c>
      <c r="BL67" s="184">
        <f t="shared" si="403"/>
        <v>31349.932031250006</v>
      </c>
      <c r="BM67" s="184">
        <f t="shared" si="403"/>
        <v>31349.932031250006</v>
      </c>
      <c r="BN67" s="184">
        <f t="shared" si="403"/>
        <v>31349.932031250006</v>
      </c>
      <c r="BO67" s="184">
        <f t="shared" ref="BO67" si="404">BN67*(1+BO$128)</f>
        <v>31349.932031250006</v>
      </c>
      <c r="BP67" s="279">
        <f t="shared" ref="BP67" si="405">BO67*(1+BP$128)</f>
        <v>32917.428632812509</v>
      </c>
      <c r="BQ67" s="184">
        <f t="shared" ref="BQ67" si="406">BP67*(1+BQ$128)</f>
        <v>32917.428632812509</v>
      </c>
      <c r="BR67" s="184">
        <f t="shared" ref="BR67" si="407">BQ67*(1+BR$128)</f>
        <v>32917.428632812509</v>
      </c>
      <c r="BS67" s="184">
        <f t="shared" ref="BS67" si="408">BR67*(1+BS$128)</f>
        <v>32917.428632812509</v>
      </c>
      <c r="BT67" s="184">
        <f t="shared" ref="BT67" si="409">BS67*(1+BT$128)</f>
        <v>32917.428632812509</v>
      </c>
      <c r="BU67" s="184">
        <f t="shared" ref="BU67" si="410">BT67*(1+BU$128)</f>
        <v>32917.428632812509</v>
      </c>
      <c r="BV67" s="184">
        <f t="shared" ref="BV67" si="411">BU67*(1+BV$128)</f>
        <v>32917.428632812509</v>
      </c>
      <c r="BW67" s="184">
        <f t="shared" ref="BW67" si="412">BV67*(1+BW$128)</f>
        <v>32917.428632812509</v>
      </c>
      <c r="BX67" s="184">
        <f t="shared" ref="BX67" si="413">BW67*(1+BX$128)</f>
        <v>32917.428632812509</v>
      </c>
      <c r="BY67" s="184">
        <f t="shared" ref="BY67" si="414">BX67*(1+BY$128)</f>
        <v>32917.428632812509</v>
      </c>
      <c r="BZ67" s="184">
        <f t="shared" ref="BZ67" si="415">BY67*(1+BZ$128)</f>
        <v>32917.428632812509</v>
      </c>
      <c r="CA67" s="184">
        <f t="shared" ref="CA67" si="416">BZ67*(1+CA$128)</f>
        <v>32917.428632812509</v>
      </c>
      <c r="CB67" s="279">
        <f t="shared" ref="CB67" si="417">CA67*(1+CB$128)</f>
        <v>34563.300064453135</v>
      </c>
      <c r="CC67" s="184">
        <f t="shared" ref="CC67" si="418">CB67*(1+CC$128)</f>
        <v>34563.300064453135</v>
      </c>
      <c r="CD67" s="184">
        <f t="shared" ref="CD67" si="419">CC67*(1+CD$128)</f>
        <v>34563.300064453135</v>
      </c>
      <c r="CE67" s="184">
        <f t="shared" ref="CE67" si="420">CD67*(1+CE$128)</f>
        <v>34563.300064453135</v>
      </c>
      <c r="CF67" s="184">
        <f t="shared" ref="CF67" si="421">CE67*(1+CF$128)</f>
        <v>34563.300064453135</v>
      </c>
      <c r="CG67" s="184">
        <f t="shared" ref="CG67" si="422">CF67*(1+CG$128)</f>
        <v>34563.300064453135</v>
      </c>
      <c r="CH67" s="184">
        <f t="shared" ref="CH67" si="423">CG67*(1+CH$128)</f>
        <v>34563.300064453135</v>
      </c>
      <c r="CI67" s="184">
        <f t="shared" ref="CI67" si="424">CH67*(1+CI$128)</f>
        <v>34563.300064453135</v>
      </c>
      <c r="CJ67" s="184">
        <f t="shared" ref="CJ67" si="425">CI67*(1+CJ$128)</f>
        <v>34563.300064453135</v>
      </c>
      <c r="CK67" s="184">
        <f t="shared" ref="CK67" si="426">CJ67*(1+CK$128)</f>
        <v>34563.300064453135</v>
      </c>
      <c r="CL67" s="184">
        <f t="shared" ref="CL67" si="427">CK67*(1+CL$128)</f>
        <v>34563.300064453135</v>
      </c>
      <c r="CM67" s="184">
        <f t="shared" ref="CM67" si="428">CL67*(1+CM$128)</f>
        <v>34563.300064453135</v>
      </c>
      <c r="CN67" s="279">
        <f t="shared" ref="CN67" si="429">CM67*(1+CN$128)</f>
        <v>36291.465067675796</v>
      </c>
      <c r="CO67" s="184">
        <f t="shared" ref="CO67" si="430">CN67*(1+CO$128)</f>
        <v>36291.465067675796</v>
      </c>
      <c r="CP67" s="184">
        <f t="shared" ref="CP67" si="431">CO67*(1+CP$128)</f>
        <v>36291.465067675796</v>
      </c>
      <c r="CQ67" s="184">
        <f t="shared" ref="CQ67" si="432">CP67*(1+CQ$128)</f>
        <v>36291.465067675796</v>
      </c>
      <c r="CR67" s="184">
        <f t="shared" ref="CR67" si="433">CQ67*(1+CR$128)</f>
        <v>36291.465067675796</v>
      </c>
      <c r="CS67" s="184">
        <f t="shared" ref="CS67" si="434">CR67*(1+CS$128)</f>
        <v>36291.465067675796</v>
      </c>
      <c r="CT67" s="184">
        <f t="shared" ref="CT67" si="435">CS67*(1+CT$128)</f>
        <v>36291.465067675796</v>
      </c>
      <c r="CU67" s="184">
        <f t="shared" ref="CU67" si="436">CT67*(1+CU$128)</f>
        <v>36291.465067675796</v>
      </c>
      <c r="CV67" s="184">
        <f t="shared" ref="CV67" si="437">CU67*(1+CV$128)</f>
        <v>36291.465067675796</v>
      </c>
      <c r="CW67" s="184">
        <f t="shared" ref="CW67" si="438">CV67*(1+CW$128)</f>
        <v>36291.465067675796</v>
      </c>
      <c r="CX67" s="184">
        <f t="shared" ref="CX67" si="439">CW67*(1+CX$128)</f>
        <v>36291.465067675796</v>
      </c>
      <c r="CY67" s="184">
        <f t="shared" ref="CY67" si="440">CX67*(1+CY$128)</f>
        <v>36291.465067675796</v>
      </c>
      <c r="CZ67" s="279">
        <f t="shared" ref="CZ67" si="441">CY67*(1+CZ$128)</f>
        <v>38106.03832105959</v>
      </c>
      <c r="DA67" s="184">
        <f t="shared" ref="DA67" si="442">CZ67*(1+DA$128)</f>
        <v>38106.03832105959</v>
      </c>
      <c r="DB67" s="184">
        <f t="shared" ref="DB67" si="443">DA67*(1+DB$128)</f>
        <v>38106.03832105959</v>
      </c>
      <c r="DC67" s="184">
        <f t="shared" ref="DC67" si="444">DB67*(1+DC$128)</f>
        <v>38106.03832105959</v>
      </c>
      <c r="DD67" s="184">
        <f t="shared" ref="DD67" si="445">DC67*(1+DD$128)</f>
        <v>38106.03832105959</v>
      </c>
      <c r="DE67" s="184">
        <f t="shared" ref="DE67" si="446">DD67*(1+DE$128)</f>
        <v>38106.03832105959</v>
      </c>
      <c r="DF67" s="184">
        <f t="shared" ref="DF67" si="447">DE67*(1+DF$128)</f>
        <v>38106.03832105959</v>
      </c>
      <c r="DG67" s="184">
        <f t="shared" ref="DG67" si="448">DF67*(1+DG$128)</f>
        <v>38106.03832105959</v>
      </c>
      <c r="DH67" s="184">
        <f t="shared" ref="DH67" si="449">DG67*(1+DH$128)</f>
        <v>38106.03832105959</v>
      </c>
      <c r="DI67" s="184">
        <f t="shared" ref="DI67" si="450">DH67*(1+DI$128)</f>
        <v>38106.03832105959</v>
      </c>
      <c r="DJ67" s="184">
        <f t="shared" ref="DJ67" si="451">DI67*(1+DJ$128)</f>
        <v>38106.03832105959</v>
      </c>
      <c r="DK67" s="184">
        <f t="shared" ref="DK67" si="452">DJ67*(1+DK$128)</f>
        <v>38106.03832105959</v>
      </c>
      <c r="DL67" s="279">
        <f t="shared" ref="DL67" si="453">DK67*(1+DL$128)</f>
        <v>40011.34023711257</v>
      </c>
      <c r="DM67" s="184">
        <f t="shared" ref="DM67" si="454">DL67*(1+DM$128)</f>
        <v>40011.34023711257</v>
      </c>
      <c r="DN67" s="184">
        <f t="shared" ref="DN67" si="455">DM67*(1+DN$128)</f>
        <v>40011.34023711257</v>
      </c>
      <c r="DO67" s="184">
        <f t="shared" ref="DO67" si="456">DN67*(1+DO$128)</f>
        <v>40011.34023711257</v>
      </c>
      <c r="DP67" s="184">
        <f t="shared" ref="DP67" si="457">DO67*(1+DP$128)</f>
        <v>40011.34023711257</v>
      </c>
      <c r="DQ67" s="184">
        <f t="shared" ref="DQ67" si="458">DP67*(1+DQ$128)</f>
        <v>40011.34023711257</v>
      </c>
      <c r="DR67" s="184">
        <f t="shared" ref="DR67" si="459">DQ67*(1+DR$128)</f>
        <v>40011.34023711257</v>
      </c>
      <c r="DS67" s="184">
        <f t="shared" ref="DS67" si="460">DR67*(1+DS$128)</f>
        <v>40011.34023711257</v>
      </c>
      <c r="DT67" s="184">
        <f t="shared" ref="DT67" si="461">DS67*(1+DT$128)</f>
        <v>40011.34023711257</v>
      </c>
      <c r="DU67" s="184">
        <f t="shared" ref="DU67" si="462">DT67*(1+DU$128)</f>
        <v>40011.34023711257</v>
      </c>
      <c r="DV67" s="184">
        <f t="shared" ref="DV67" si="463">DU67*(1+DV$128)</f>
        <v>40011.34023711257</v>
      </c>
      <c r="DW67" s="185">
        <f t="shared" ref="DW67" si="464">DV67*(1+DW$128)</f>
        <v>40011.34023711257</v>
      </c>
    </row>
    <row r="68" spans="2:127" x14ac:dyDescent="0.3">
      <c r="C68" s="725"/>
      <c r="D68" s="119" t="str">
        <f t="shared" ref="D68:D82" si="465">D45</f>
        <v>TL</v>
      </c>
      <c r="E68" s="183"/>
      <c r="F68" s="183"/>
      <c r="G68" s="1207">
        <f>IF($B$1&lt;&gt;"Australia",IF($F$4="L4",VLOOKUP($B$4,'Data Master'!$S$68:$AF$76,MATCH($D68,'Data Master'!$S$67:$AF$67,0),0),IF(OR($F$4="L5",$F$4="L6"),VLOOKUP($B$4,'Data Master'!$AG$68:$AT$76,MATCH($D68,'Data Master'!$AG$67:$AT$67,0),0),VLOOKUP($B$4,'Data Master'!$B$68:$R$76,MATCH($D68,'Data Master'!$B$67:$R$67,0),0))),IF(OR($F$4="L4",$F$4="L3"),VLOOKUP($B$4,'Data Master'!$S$68:$AF$76,MATCH($D68,'Data Master'!$S$67:$AF$67,0),0),IF(OR($F$4="L5",$F$4="L6"),VLOOKUP($B$4,'Data Master'!$AG$68:$AT$76,MATCH($D68,'Data Master'!$AG$67:$AT$67,0),0),VLOOKUP($B$4,'Data Master'!$B$68:$R$76,MATCH($D68,'Data Master'!$B$67:$R$67,0),0))))</f>
        <v>62500</v>
      </c>
      <c r="H68" s="183">
        <f t="shared" ref="H68:AM68" si="466">G68*(1+H$129)</f>
        <v>62500</v>
      </c>
      <c r="I68" s="183">
        <f t="shared" si="466"/>
        <v>62500</v>
      </c>
      <c r="J68" s="183">
        <f t="shared" si="466"/>
        <v>62500</v>
      </c>
      <c r="K68" s="183">
        <f t="shared" si="466"/>
        <v>62500</v>
      </c>
      <c r="L68" s="183">
        <f t="shared" si="466"/>
        <v>62500</v>
      </c>
      <c r="M68" s="183">
        <f t="shared" si="466"/>
        <v>62500</v>
      </c>
      <c r="N68" s="183">
        <f t="shared" si="466"/>
        <v>62500</v>
      </c>
      <c r="O68" s="183">
        <f t="shared" si="466"/>
        <v>62500</v>
      </c>
      <c r="P68" s="183">
        <f t="shared" si="466"/>
        <v>62500</v>
      </c>
      <c r="Q68" s="183">
        <f t="shared" si="466"/>
        <v>62500</v>
      </c>
      <c r="R68" s="183">
        <f t="shared" si="466"/>
        <v>62500</v>
      </c>
      <c r="S68" s="183">
        <f t="shared" si="466"/>
        <v>62500</v>
      </c>
      <c r="T68" s="280">
        <f t="shared" si="466"/>
        <v>65625</v>
      </c>
      <c r="U68" s="183">
        <f t="shared" si="466"/>
        <v>65625</v>
      </c>
      <c r="V68" s="183">
        <f t="shared" si="466"/>
        <v>65625</v>
      </c>
      <c r="W68" s="183">
        <f t="shared" si="466"/>
        <v>65625</v>
      </c>
      <c r="X68" s="183">
        <f t="shared" si="466"/>
        <v>65625</v>
      </c>
      <c r="Y68" s="183">
        <f t="shared" si="466"/>
        <v>65625</v>
      </c>
      <c r="Z68" s="183">
        <f t="shared" si="466"/>
        <v>65625</v>
      </c>
      <c r="AA68" s="183">
        <f t="shared" si="466"/>
        <v>65625</v>
      </c>
      <c r="AB68" s="183">
        <f t="shared" si="466"/>
        <v>65625</v>
      </c>
      <c r="AC68" s="183">
        <f t="shared" si="466"/>
        <v>65625</v>
      </c>
      <c r="AD68" s="183">
        <f t="shared" si="466"/>
        <v>65625</v>
      </c>
      <c r="AE68" s="183">
        <f t="shared" si="466"/>
        <v>65625</v>
      </c>
      <c r="AF68" s="280">
        <f t="shared" si="466"/>
        <v>68906.25</v>
      </c>
      <c r="AG68" s="183">
        <f t="shared" si="466"/>
        <v>68906.25</v>
      </c>
      <c r="AH68" s="183">
        <f t="shared" si="466"/>
        <v>68906.25</v>
      </c>
      <c r="AI68" s="183">
        <f t="shared" si="466"/>
        <v>68906.25</v>
      </c>
      <c r="AJ68" s="183">
        <f t="shared" si="466"/>
        <v>68906.25</v>
      </c>
      <c r="AK68" s="183">
        <f t="shared" si="466"/>
        <v>68906.25</v>
      </c>
      <c r="AL68" s="183">
        <f t="shared" si="466"/>
        <v>68906.25</v>
      </c>
      <c r="AM68" s="183">
        <f t="shared" si="466"/>
        <v>68906.25</v>
      </c>
      <c r="AN68" s="183">
        <f t="shared" ref="AN68:BN68" si="467">AM68*(1+AN$129)</f>
        <v>68906.25</v>
      </c>
      <c r="AO68" s="183">
        <f t="shared" si="467"/>
        <v>68906.25</v>
      </c>
      <c r="AP68" s="183">
        <f t="shared" si="467"/>
        <v>68906.25</v>
      </c>
      <c r="AQ68" s="183">
        <f t="shared" si="467"/>
        <v>68906.25</v>
      </c>
      <c r="AR68" s="280">
        <f t="shared" si="467"/>
        <v>72351.5625</v>
      </c>
      <c r="AS68" s="183">
        <f t="shared" si="467"/>
        <v>72351.5625</v>
      </c>
      <c r="AT68" s="183">
        <f t="shared" si="467"/>
        <v>72351.5625</v>
      </c>
      <c r="AU68" s="183">
        <f t="shared" si="467"/>
        <v>72351.5625</v>
      </c>
      <c r="AV68" s="183">
        <f t="shared" si="467"/>
        <v>72351.5625</v>
      </c>
      <c r="AW68" s="183">
        <f t="shared" si="467"/>
        <v>72351.5625</v>
      </c>
      <c r="AX68" s="183">
        <f t="shared" si="467"/>
        <v>72351.5625</v>
      </c>
      <c r="AY68" s="183">
        <f t="shared" si="467"/>
        <v>72351.5625</v>
      </c>
      <c r="AZ68" s="183">
        <f t="shared" si="467"/>
        <v>72351.5625</v>
      </c>
      <c r="BA68" s="183">
        <f t="shared" si="467"/>
        <v>72351.5625</v>
      </c>
      <c r="BB68" s="183">
        <f t="shared" si="467"/>
        <v>72351.5625</v>
      </c>
      <c r="BC68" s="183">
        <f t="shared" si="467"/>
        <v>72351.5625</v>
      </c>
      <c r="BD68" s="280">
        <f t="shared" si="467"/>
        <v>75969.140625</v>
      </c>
      <c r="BE68" s="183">
        <f t="shared" si="467"/>
        <v>75969.140625</v>
      </c>
      <c r="BF68" s="183">
        <f t="shared" si="467"/>
        <v>75969.140625</v>
      </c>
      <c r="BG68" s="183">
        <f t="shared" si="467"/>
        <v>75969.140625</v>
      </c>
      <c r="BH68" s="183">
        <f t="shared" si="467"/>
        <v>75969.140625</v>
      </c>
      <c r="BI68" s="183">
        <f t="shared" si="467"/>
        <v>75969.140625</v>
      </c>
      <c r="BJ68" s="183">
        <f t="shared" si="467"/>
        <v>75969.140625</v>
      </c>
      <c r="BK68" s="183">
        <f t="shared" si="467"/>
        <v>75969.140625</v>
      </c>
      <c r="BL68" s="183">
        <f t="shared" si="467"/>
        <v>75969.140625</v>
      </c>
      <c r="BM68" s="183">
        <f t="shared" si="467"/>
        <v>75969.140625</v>
      </c>
      <c r="BN68" s="183">
        <f t="shared" si="467"/>
        <v>75969.140625</v>
      </c>
      <c r="BO68" s="183">
        <f t="shared" ref="BO68:BO82" si="468">BN68*(1+BO$129)</f>
        <v>75969.140625</v>
      </c>
      <c r="BP68" s="280">
        <f t="shared" ref="BP68:BP82" si="469">BO68*(1+BP$129)</f>
        <v>79767.59765625</v>
      </c>
      <c r="BQ68" s="183">
        <f t="shared" ref="BQ68:BQ82" si="470">BP68*(1+BQ$129)</f>
        <v>79767.59765625</v>
      </c>
      <c r="BR68" s="183">
        <f t="shared" ref="BR68:BR82" si="471">BQ68*(1+BR$129)</f>
        <v>79767.59765625</v>
      </c>
      <c r="BS68" s="183">
        <f t="shared" ref="BS68:BS82" si="472">BR68*(1+BS$129)</f>
        <v>79767.59765625</v>
      </c>
      <c r="BT68" s="183">
        <f t="shared" ref="BT68:BT82" si="473">BS68*(1+BT$129)</f>
        <v>79767.59765625</v>
      </c>
      <c r="BU68" s="183">
        <f t="shared" ref="BU68:BU82" si="474">BT68*(1+BU$129)</f>
        <v>79767.59765625</v>
      </c>
      <c r="BV68" s="183">
        <f t="shared" ref="BV68:BV82" si="475">BU68*(1+BV$129)</f>
        <v>79767.59765625</v>
      </c>
      <c r="BW68" s="183">
        <f t="shared" ref="BW68:BW82" si="476">BV68*(1+BW$129)</f>
        <v>79767.59765625</v>
      </c>
      <c r="BX68" s="183">
        <f t="shared" ref="BX68:BX82" si="477">BW68*(1+BX$129)</f>
        <v>79767.59765625</v>
      </c>
      <c r="BY68" s="183">
        <f t="shared" ref="BY68:BY82" si="478">BX68*(1+BY$129)</f>
        <v>79767.59765625</v>
      </c>
      <c r="BZ68" s="183">
        <f t="shared" ref="BZ68:BZ82" si="479">BY68*(1+BZ$129)</f>
        <v>79767.59765625</v>
      </c>
      <c r="CA68" s="183">
        <f t="shared" ref="CA68:CA82" si="480">BZ68*(1+CA$129)</f>
        <v>79767.59765625</v>
      </c>
      <c r="CB68" s="280">
        <f t="shared" ref="CB68:CB82" si="481">CA68*(1+CB$129)</f>
        <v>83755.9775390625</v>
      </c>
      <c r="CC68" s="183">
        <f t="shared" ref="CC68:CC82" si="482">CB68*(1+CC$129)</f>
        <v>83755.9775390625</v>
      </c>
      <c r="CD68" s="183">
        <f t="shared" ref="CD68:CD82" si="483">CC68*(1+CD$129)</f>
        <v>83755.9775390625</v>
      </c>
      <c r="CE68" s="183">
        <f t="shared" ref="CE68:CE82" si="484">CD68*(1+CE$129)</f>
        <v>83755.9775390625</v>
      </c>
      <c r="CF68" s="183">
        <f t="shared" ref="CF68:CF82" si="485">CE68*(1+CF$129)</f>
        <v>83755.9775390625</v>
      </c>
      <c r="CG68" s="183">
        <f t="shared" ref="CG68:CG82" si="486">CF68*(1+CG$129)</f>
        <v>83755.9775390625</v>
      </c>
      <c r="CH68" s="183">
        <f t="shared" ref="CH68:CH82" si="487">CG68*(1+CH$129)</f>
        <v>83755.9775390625</v>
      </c>
      <c r="CI68" s="183">
        <f t="shared" ref="CI68:CI82" si="488">CH68*(1+CI$129)</f>
        <v>83755.9775390625</v>
      </c>
      <c r="CJ68" s="183">
        <f t="shared" ref="CJ68:CJ82" si="489">CI68*(1+CJ$129)</f>
        <v>83755.9775390625</v>
      </c>
      <c r="CK68" s="183">
        <f t="shared" ref="CK68:CK82" si="490">CJ68*(1+CK$129)</f>
        <v>83755.9775390625</v>
      </c>
      <c r="CL68" s="183">
        <f t="shared" ref="CL68:CL82" si="491">CK68*(1+CL$129)</f>
        <v>83755.9775390625</v>
      </c>
      <c r="CM68" s="183">
        <f t="shared" ref="CM68:CM82" si="492">CL68*(1+CM$129)</f>
        <v>83755.9775390625</v>
      </c>
      <c r="CN68" s="280">
        <f t="shared" ref="CN68:CN82" si="493">CM68*(1+CN$129)</f>
        <v>87943.776416015622</v>
      </c>
      <c r="CO68" s="183">
        <f t="shared" ref="CO68:CO82" si="494">CN68*(1+CO$129)</f>
        <v>87943.776416015622</v>
      </c>
      <c r="CP68" s="183">
        <f t="shared" ref="CP68:CP82" si="495">CO68*(1+CP$129)</f>
        <v>87943.776416015622</v>
      </c>
      <c r="CQ68" s="183">
        <f t="shared" ref="CQ68:CQ82" si="496">CP68*(1+CQ$129)</f>
        <v>87943.776416015622</v>
      </c>
      <c r="CR68" s="183">
        <f t="shared" ref="CR68:CR82" si="497">CQ68*(1+CR$129)</f>
        <v>87943.776416015622</v>
      </c>
      <c r="CS68" s="183">
        <f t="shared" ref="CS68:CS82" si="498">CR68*(1+CS$129)</f>
        <v>87943.776416015622</v>
      </c>
      <c r="CT68" s="183">
        <f t="shared" ref="CT68:CT82" si="499">CS68*(1+CT$129)</f>
        <v>87943.776416015622</v>
      </c>
      <c r="CU68" s="183">
        <f t="shared" ref="CU68:CU82" si="500">CT68*(1+CU$129)</f>
        <v>87943.776416015622</v>
      </c>
      <c r="CV68" s="183">
        <f t="shared" ref="CV68:CV82" si="501">CU68*(1+CV$129)</f>
        <v>87943.776416015622</v>
      </c>
      <c r="CW68" s="183">
        <f t="shared" ref="CW68:CW82" si="502">CV68*(1+CW$129)</f>
        <v>87943.776416015622</v>
      </c>
      <c r="CX68" s="183">
        <f t="shared" ref="CX68:CX82" si="503">CW68*(1+CX$129)</f>
        <v>87943.776416015622</v>
      </c>
      <c r="CY68" s="183">
        <f t="shared" ref="CY68:CY82" si="504">CX68*(1+CY$129)</f>
        <v>87943.776416015622</v>
      </c>
      <c r="CZ68" s="280">
        <f t="shared" ref="CZ68:CZ82" si="505">CY68*(1+CZ$129)</f>
        <v>92340.96523681641</v>
      </c>
      <c r="DA68" s="183">
        <f t="shared" ref="DA68:DA82" si="506">CZ68*(1+DA$129)</f>
        <v>92340.96523681641</v>
      </c>
      <c r="DB68" s="183">
        <f t="shared" ref="DB68:DB82" si="507">DA68*(1+DB$129)</f>
        <v>92340.96523681641</v>
      </c>
      <c r="DC68" s="183">
        <f t="shared" ref="DC68:DC82" si="508">DB68*(1+DC$129)</f>
        <v>92340.96523681641</v>
      </c>
      <c r="DD68" s="183">
        <f t="shared" ref="DD68:DD82" si="509">DC68*(1+DD$129)</f>
        <v>92340.96523681641</v>
      </c>
      <c r="DE68" s="183">
        <f t="shared" ref="DE68:DE82" si="510">DD68*(1+DE$129)</f>
        <v>92340.96523681641</v>
      </c>
      <c r="DF68" s="183">
        <f t="shared" ref="DF68:DF82" si="511">DE68*(1+DF$129)</f>
        <v>92340.96523681641</v>
      </c>
      <c r="DG68" s="183">
        <f t="shared" ref="DG68:DG82" si="512">DF68*(1+DG$129)</f>
        <v>92340.96523681641</v>
      </c>
      <c r="DH68" s="183">
        <f t="shared" ref="DH68:DH82" si="513">DG68*(1+DH$129)</f>
        <v>92340.96523681641</v>
      </c>
      <c r="DI68" s="183">
        <f t="shared" ref="DI68:DI82" si="514">DH68*(1+DI$129)</f>
        <v>92340.96523681641</v>
      </c>
      <c r="DJ68" s="183">
        <f t="shared" ref="DJ68:DJ82" si="515">DI68*(1+DJ$129)</f>
        <v>92340.96523681641</v>
      </c>
      <c r="DK68" s="183">
        <f t="shared" ref="DK68:DK82" si="516">DJ68*(1+DK$129)</f>
        <v>92340.96523681641</v>
      </c>
      <c r="DL68" s="280">
        <f t="shared" ref="DL68:DL82" si="517">DK68*(1+DL$129)</f>
        <v>96958.013498657238</v>
      </c>
      <c r="DM68" s="183">
        <f t="shared" ref="DM68:DM82" si="518">DL68*(1+DM$129)</f>
        <v>96958.013498657238</v>
      </c>
      <c r="DN68" s="183">
        <f t="shared" ref="DN68:DN82" si="519">DM68*(1+DN$129)</f>
        <v>96958.013498657238</v>
      </c>
      <c r="DO68" s="183">
        <f t="shared" ref="DO68:DO82" si="520">DN68*(1+DO$129)</f>
        <v>96958.013498657238</v>
      </c>
      <c r="DP68" s="183">
        <f t="shared" ref="DP68:DP82" si="521">DO68*(1+DP$129)</f>
        <v>96958.013498657238</v>
      </c>
      <c r="DQ68" s="183">
        <f t="shared" ref="DQ68:DQ82" si="522">DP68*(1+DQ$129)</f>
        <v>96958.013498657238</v>
      </c>
      <c r="DR68" s="183">
        <f t="shared" ref="DR68:DR82" si="523">DQ68*(1+DR$129)</f>
        <v>96958.013498657238</v>
      </c>
      <c r="DS68" s="183">
        <f t="shared" ref="DS68:DS82" si="524">DR68*(1+DS$129)</f>
        <v>96958.013498657238</v>
      </c>
      <c r="DT68" s="183">
        <f t="shared" ref="DT68:DT82" si="525">DS68*(1+DT$129)</f>
        <v>96958.013498657238</v>
      </c>
      <c r="DU68" s="183">
        <f t="shared" ref="DU68:DU82" si="526">DT68*(1+DU$129)</f>
        <v>96958.013498657238</v>
      </c>
      <c r="DV68" s="183">
        <f t="shared" ref="DV68:DV82" si="527">DU68*(1+DV$129)</f>
        <v>96958.013498657238</v>
      </c>
      <c r="DW68" s="186">
        <f t="shared" ref="DW68:DW82" si="528">DV68*(1+DW$129)</f>
        <v>96958.013498657238</v>
      </c>
    </row>
    <row r="69" spans="2:127" x14ac:dyDescent="0.3">
      <c r="C69" s="725"/>
      <c r="D69" s="119" t="str">
        <f t="shared" si="465"/>
        <v>AM</v>
      </c>
      <c r="E69" s="183"/>
      <c r="F69" s="183"/>
      <c r="G69" s="1207">
        <f>IF($B$1&lt;&gt;"Australia",IF($F$4="L4",VLOOKUP($B$4,'Data Master'!$S$68:$AF$76,MATCH($D69,'Data Master'!$S$67:$AF$67,0),0),IF(OR($F$4="L5",$F$4="L6"),VLOOKUP($B$4,'Data Master'!$AG$68:$AT$76,MATCH($D69,'Data Master'!$AG$67:$AT$67,0),0),VLOOKUP($B$4,'Data Master'!$B$68:$R$76,MATCH($D69,'Data Master'!$B$67:$R$67,0),0))),IF(OR($F$4="L4",$F$4="L3"),VLOOKUP($B$4,'Data Master'!$S$68:$AF$76,MATCH($D69,'Data Master'!$S$67:$AF$67,0),0),IF(OR($F$4="L5",$F$4="L6"),VLOOKUP($B$4,'Data Master'!$AG$68:$AT$76,MATCH($D69,'Data Master'!$AG$67:$AT$67,0),0),VLOOKUP($B$4,'Data Master'!$B$68:$R$76,MATCH($D69,'Data Master'!$B$67:$R$67,0),0))))</f>
        <v>93333.333333333328</v>
      </c>
      <c r="H69" s="183">
        <f t="shared" ref="H69:AM69" si="529">G69*(1+H$129)</f>
        <v>93333.333333333328</v>
      </c>
      <c r="I69" s="183">
        <f t="shared" si="529"/>
        <v>93333.333333333328</v>
      </c>
      <c r="J69" s="183">
        <f t="shared" si="529"/>
        <v>93333.333333333328</v>
      </c>
      <c r="K69" s="183">
        <f t="shared" si="529"/>
        <v>93333.333333333328</v>
      </c>
      <c r="L69" s="183">
        <f t="shared" si="529"/>
        <v>93333.333333333328</v>
      </c>
      <c r="M69" s="183">
        <f t="shared" si="529"/>
        <v>93333.333333333328</v>
      </c>
      <c r="N69" s="183">
        <f t="shared" si="529"/>
        <v>93333.333333333328</v>
      </c>
      <c r="O69" s="183">
        <f t="shared" si="529"/>
        <v>93333.333333333328</v>
      </c>
      <c r="P69" s="183">
        <f t="shared" si="529"/>
        <v>93333.333333333328</v>
      </c>
      <c r="Q69" s="183">
        <f t="shared" si="529"/>
        <v>93333.333333333328</v>
      </c>
      <c r="R69" s="183">
        <f t="shared" si="529"/>
        <v>93333.333333333328</v>
      </c>
      <c r="S69" s="183">
        <f t="shared" si="529"/>
        <v>93333.333333333328</v>
      </c>
      <c r="T69" s="280">
        <f t="shared" si="529"/>
        <v>98000</v>
      </c>
      <c r="U69" s="183">
        <f t="shared" si="529"/>
        <v>98000</v>
      </c>
      <c r="V69" s="183">
        <f t="shared" si="529"/>
        <v>98000</v>
      </c>
      <c r="W69" s="183">
        <f t="shared" si="529"/>
        <v>98000</v>
      </c>
      <c r="X69" s="183">
        <f t="shared" si="529"/>
        <v>98000</v>
      </c>
      <c r="Y69" s="183">
        <f t="shared" si="529"/>
        <v>98000</v>
      </c>
      <c r="Z69" s="183">
        <f t="shared" si="529"/>
        <v>98000</v>
      </c>
      <c r="AA69" s="183">
        <f t="shared" si="529"/>
        <v>98000</v>
      </c>
      <c r="AB69" s="183">
        <f t="shared" si="529"/>
        <v>98000</v>
      </c>
      <c r="AC69" s="183">
        <f t="shared" si="529"/>
        <v>98000</v>
      </c>
      <c r="AD69" s="183">
        <f t="shared" si="529"/>
        <v>98000</v>
      </c>
      <c r="AE69" s="183">
        <f t="shared" si="529"/>
        <v>98000</v>
      </c>
      <c r="AF69" s="280">
        <f t="shared" si="529"/>
        <v>102900</v>
      </c>
      <c r="AG69" s="183">
        <f t="shared" si="529"/>
        <v>102900</v>
      </c>
      <c r="AH69" s="183">
        <f t="shared" si="529"/>
        <v>102900</v>
      </c>
      <c r="AI69" s="183">
        <f t="shared" si="529"/>
        <v>102900</v>
      </c>
      <c r="AJ69" s="183">
        <f t="shared" si="529"/>
        <v>102900</v>
      </c>
      <c r="AK69" s="183">
        <f t="shared" si="529"/>
        <v>102900</v>
      </c>
      <c r="AL69" s="183">
        <f t="shared" si="529"/>
        <v>102900</v>
      </c>
      <c r="AM69" s="183">
        <f t="shared" si="529"/>
        <v>102900</v>
      </c>
      <c r="AN69" s="183">
        <f t="shared" ref="AN69:BN69" si="530">AM69*(1+AN$129)</f>
        <v>102900</v>
      </c>
      <c r="AO69" s="183">
        <f t="shared" si="530"/>
        <v>102900</v>
      </c>
      <c r="AP69" s="183">
        <f t="shared" si="530"/>
        <v>102900</v>
      </c>
      <c r="AQ69" s="183">
        <f t="shared" si="530"/>
        <v>102900</v>
      </c>
      <c r="AR69" s="280">
        <f t="shared" si="530"/>
        <v>108045</v>
      </c>
      <c r="AS69" s="183">
        <f t="shared" si="530"/>
        <v>108045</v>
      </c>
      <c r="AT69" s="183">
        <f t="shared" si="530"/>
        <v>108045</v>
      </c>
      <c r="AU69" s="183">
        <f t="shared" si="530"/>
        <v>108045</v>
      </c>
      <c r="AV69" s="183">
        <f t="shared" si="530"/>
        <v>108045</v>
      </c>
      <c r="AW69" s="183">
        <f t="shared" si="530"/>
        <v>108045</v>
      </c>
      <c r="AX69" s="183">
        <f t="shared" si="530"/>
        <v>108045</v>
      </c>
      <c r="AY69" s="183">
        <f t="shared" si="530"/>
        <v>108045</v>
      </c>
      <c r="AZ69" s="183">
        <f t="shared" si="530"/>
        <v>108045</v>
      </c>
      <c r="BA69" s="183">
        <f t="shared" si="530"/>
        <v>108045</v>
      </c>
      <c r="BB69" s="183">
        <f t="shared" si="530"/>
        <v>108045</v>
      </c>
      <c r="BC69" s="183">
        <f t="shared" si="530"/>
        <v>108045</v>
      </c>
      <c r="BD69" s="280">
        <f t="shared" si="530"/>
        <v>113447.25</v>
      </c>
      <c r="BE69" s="183">
        <f t="shared" si="530"/>
        <v>113447.25</v>
      </c>
      <c r="BF69" s="183">
        <f t="shared" si="530"/>
        <v>113447.25</v>
      </c>
      <c r="BG69" s="183">
        <f t="shared" si="530"/>
        <v>113447.25</v>
      </c>
      <c r="BH69" s="183">
        <f t="shared" si="530"/>
        <v>113447.25</v>
      </c>
      <c r="BI69" s="183">
        <f t="shared" si="530"/>
        <v>113447.25</v>
      </c>
      <c r="BJ69" s="183">
        <f t="shared" si="530"/>
        <v>113447.25</v>
      </c>
      <c r="BK69" s="183">
        <f t="shared" si="530"/>
        <v>113447.25</v>
      </c>
      <c r="BL69" s="183">
        <f t="shared" si="530"/>
        <v>113447.25</v>
      </c>
      <c r="BM69" s="183">
        <f t="shared" si="530"/>
        <v>113447.25</v>
      </c>
      <c r="BN69" s="183">
        <f t="shared" si="530"/>
        <v>113447.25</v>
      </c>
      <c r="BO69" s="183">
        <f t="shared" si="468"/>
        <v>113447.25</v>
      </c>
      <c r="BP69" s="280">
        <f t="shared" si="469"/>
        <v>119119.6125</v>
      </c>
      <c r="BQ69" s="183">
        <f t="shared" si="470"/>
        <v>119119.6125</v>
      </c>
      <c r="BR69" s="183">
        <f t="shared" si="471"/>
        <v>119119.6125</v>
      </c>
      <c r="BS69" s="183">
        <f t="shared" si="472"/>
        <v>119119.6125</v>
      </c>
      <c r="BT69" s="183">
        <f t="shared" si="473"/>
        <v>119119.6125</v>
      </c>
      <c r="BU69" s="183">
        <f t="shared" si="474"/>
        <v>119119.6125</v>
      </c>
      <c r="BV69" s="183">
        <f t="shared" si="475"/>
        <v>119119.6125</v>
      </c>
      <c r="BW69" s="183">
        <f t="shared" si="476"/>
        <v>119119.6125</v>
      </c>
      <c r="BX69" s="183">
        <f t="shared" si="477"/>
        <v>119119.6125</v>
      </c>
      <c r="BY69" s="183">
        <f t="shared" si="478"/>
        <v>119119.6125</v>
      </c>
      <c r="BZ69" s="183">
        <f t="shared" si="479"/>
        <v>119119.6125</v>
      </c>
      <c r="CA69" s="183">
        <f t="shared" si="480"/>
        <v>119119.6125</v>
      </c>
      <c r="CB69" s="280">
        <f t="shared" si="481"/>
        <v>125075.59312500001</v>
      </c>
      <c r="CC69" s="183">
        <f t="shared" si="482"/>
        <v>125075.59312500001</v>
      </c>
      <c r="CD69" s="183">
        <f t="shared" si="483"/>
        <v>125075.59312500001</v>
      </c>
      <c r="CE69" s="183">
        <f t="shared" si="484"/>
        <v>125075.59312500001</v>
      </c>
      <c r="CF69" s="183">
        <f t="shared" si="485"/>
        <v>125075.59312500001</v>
      </c>
      <c r="CG69" s="183">
        <f t="shared" si="486"/>
        <v>125075.59312500001</v>
      </c>
      <c r="CH69" s="183">
        <f t="shared" si="487"/>
        <v>125075.59312500001</v>
      </c>
      <c r="CI69" s="183">
        <f t="shared" si="488"/>
        <v>125075.59312500001</v>
      </c>
      <c r="CJ69" s="183">
        <f t="shared" si="489"/>
        <v>125075.59312500001</v>
      </c>
      <c r="CK69" s="183">
        <f t="shared" si="490"/>
        <v>125075.59312500001</v>
      </c>
      <c r="CL69" s="183">
        <f t="shared" si="491"/>
        <v>125075.59312500001</v>
      </c>
      <c r="CM69" s="183">
        <f t="shared" si="492"/>
        <v>125075.59312500001</v>
      </c>
      <c r="CN69" s="280">
        <f t="shared" si="493"/>
        <v>131329.37278125001</v>
      </c>
      <c r="CO69" s="183">
        <f t="shared" si="494"/>
        <v>131329.37278125001</v>
      </c>
      <c r="CP69" s="183">
        <f t="shared" si="495"/>
        <v>131329.37278125001</v>
      </c>
      <c r="CQ69" s="183">
        <f t="shared" si="496"/>
        <v>131329.37278125001</v>
      </c>
      <c r="CR69" s="183">
        <f t="shared" si="497"/>
        <v>131329.37278125001</v>
      </c>
      <c r="CS69" s="183">
        <f t="shared" si="498"/>
        <v>131329.37278125001</v>
      </c>
      <c r="CT69" s="183">
        <f t="shared" si="499"/>
        <v>131329.37278125001</v>
      </c>
      <c r="CU69" s="183">
        <f t="shared" si="500"/>
        <v>131329.37278125001</v>
      </c>
      <c r="CV69" s="183">
        <f t="shared" si="501"/>
        <v>131329.37278125001</v>
      </c>
      <c r="CW69" s="183">
        <f t="shared" si="502"/>
        <v>131329.37278125001</v>
      </c>
      <c r="CX69" s="183">
        <f t="shared" si="503"/>
        <v>131329.37278125001</v>
      </c>
      <c r="CY69" s="183">
        <f t="shared" si="504"/>
        <v>131329.37278125001</v>
      </c>
      <c r="CZ69" s="280">
        <f t="shared" si="505"/>
        <v>137895.84142031253</v>
      </c>
      <c r="DA69" s="183">
        <f t="shared" si="506"/>
        <v>137895.84142031253</v>
      </c>
      <c r="DB69" s="183">
        <f t="shared" si="507"/>
        <v>137895.84142031253</v>
      </c>
      <c r="DC69" s="183">
        <f t="shared" si="508"/>
        <v>137895.84142031253</v>
      </c>
      <c r="DD69" s="183">
        <f t="shared" si="509"/>
        <v>137895.84142031253</v>
      </c>
      <c r="DE69" s="183">
        <f t="shared" si="510"/>
        <v>137895.84142031253</v>
      </c>
      <c r="DF69" s="183">
        <f t="shared" si="511"/>
        <v>137895.84142031253</v>
      </c>
      <c r="DG69" s="183">
        <f t="shared" si="512"/>
        <v>137895.84142031253</v>
      </c>
      <c r="DH69" s="183">
        <f t="shared" si="513"/>
        <v>137895.84142031253</v>
      </c>
      <c r="DI69" s="183">
        <f t="shared" si="514"/>
        <v>137895.84142031253</v>
      </c>
      <c r="DJ69" s="183">
        <f t="shared" si="515"/>
        <v>137895.84142031253</v>
      </c>
      <c r="DK69" s="183">
        <f t="shared" si="516"/>
        <v>137895.84142031253</v>
      </c>
      <c r="DL69" s="280">
        <f t="shared" si="517"/>
        <v>144790.63349132816</v>
      </c>
      <c r="DM69" s="183">
        <f t="shared" si="518"/>
        <v>144790.63349132816</v>
      </c>
      <c r="DN69" s="183">
        <f t="shared" si="519"/>
        <v>144790.63349132816</v>
      </c>
      <c r="DO69" s="183">
        <f t="shared" si="520"/>
        <v>144790.63349132816</v>
      </c>
      <c r="DP69" s="183">
        <f t="shared" si="521"/>
        <v>144790.63349132816</v>
      </c>
      <c r="DQ69" s="183">
        <f t="shared" si="522"/>
        <v>144790.63349132816</v>
      </c>
      <c r="DR69" s="183">
        <f t="shared" si="523"/>
        <v>144790.63349132816</v>
      </c>
      <c r="DS69" s="183">
        <f t="shared" si="524"/>
        <v>144790.63349132816</v>
      </c>
      <c r="DT69" s="183">
        <f t="shared" si="525"/>
        <v>144790.63349132816</v>
      </c>
      <c r="DU69" s="183">
        <f t="shared" si="526"/>
        <v>144790.63349132816</v>
      </c>
      <c r="DV69" s="183">
        <f t="shared" si="527"/>
        <v>144790.63349132816</v>
      </c>
      <c r="DW69" s="186">
        <f t="shared" si="528"/>
        <v>144790.63349132816</v>
      </c>
    </row>
    <row r="70" spans="2:127" x14ac:dyDescent="0.3">
      <c r="C70" s="725"/>
      <c r="D70" s="119" t="str">
        <f t="shared" si="465"/>
        <v>Ops Manager</v>
      </c>
      <c r="E70" s="183"/>
      <c r="F70" s="183"/>
      <c r="G70" s="1207">
        <f>IF($B$1&lt;&gt;"Australia",IF($F$4="L4",VLOOKUP($B$4,'Data Master'!$S$68:$AF$76,MATCH($D70,'Data Master'!$S$67:$AF$67,0),0),IF(OR($F$4="L5",$F$4="L6"),VLOOKUP($B$4,'Data Master'!$AG$68:$AT$76,MATCH($D70,'Data Master'!$AG$67:$AT$67,0),0),VLOOKUP($B$4,'Data Master'!$B$68:$R$76,MATCH($D70,'Data Master'!$B$67:$R$67,0),0))),IF(OR($F$4="L4",$F$4="L3"),VLOOKUP($B$4,'Data Master'!$S$68:$AF$76,MATCH($D70,'Data Master'!$S$67:$AF$67,0),0),IF(OR($F$4="L5",$F$4="L6"),VLOOKUP($B$4,'Data Master'!$AG$68:$AT$76,MATCH($D70,'Data Master'!$AG$67:$AT$67,0),0),VLOOKUP($B$4,'Data Master'!$B$68:$R$76,MATCH($D70,'Data Master'!$B$67:$R$67,0),0))))</f>
        <v>150000</v>
      </c>
      <c r="H70" s="183">
        <f t="shared" ref="H70:AM70" si="531">G70*(1+H$129)</f>
        <v>150000</v>
      </c>
      <c r="I70" s="183">
        <f t="shared" si="531"/>
        <v>150000</v>
      </c>
      <c r="J70" s="183">
        <f t="shared" si="531"/>
        <v>150000</v>
      </c>
      <c r="K70" s="183">
        <f t="shared" si="531"/>
        <v>150000</v>
      </c>
      <c r="L70" s="183">
        <f t="shared" si="531"/>
        <v>150000</v>
      </c>
      <c r="M70" s="183">
        <f t="shared" si="531"/>
        <v>150000</v>
      </c>
      <c r="N70" s="183">
        <f t="shared" si="531"/>
        <v>150000</v>
      </c>
      <c r="O70" s="183">
        <f t="shared" si="531"/>
        <v>150000</v>
      </c>
      <c r="P70" s="183">
        <f t="shared" si="531"/>
        <v>150000</v>
      </c>
      <c r="Q70" s="183">
        <f t="shared" si="531"/>
        <v>150000</v>
      </c>
      <c r="R70" s="183">
        <f t="shared" si="531"/>
        <v>150000</v>
      </c>
      <c r="S70" s="183">
        <f t="shared" si="531"/>
        <v>150000</v>
      </c>
      <c r="T70" s="280">
        <f t="shared" si="531"/>
        <v>157500</v>
      </c>
      <c r="U70" s="183">
        <f t="shared" si="531"/>
        <v>157500</v>
      </c>
      <c r="V70" s="183">
        <f t="shared" si="531"/>
        <v>157500</v>
      </c>
      <c r="W70" s="183">
        <f t="shared" si="531"/>
        <v>157500</v>
      </c>
      <c r="X70" s="183">
        <f t="shared" si="531"/>
        <v>157500</v>
      </c>
      <c r="Y70" s="183">
        <f t="shared" si="531"/>
        <v>157500</v>
      </c>
      <c r="Z70" s="183">
        <f t="shared" si="531"/>
        <v>157500</v>
      </c>
      <c r="AA70" s="183">
        <f t="shared" si="531"/>
        <v>157500</v>
      </c>
      <c r="AB70" s="183">
        <f t="shared" si="531"/>
        <v>157500</v>
      </c>
      <c r="AC70" s="183">
        <f t="shared" si="531"/>
        <v>157500</v>
      </c>
      <c r="AD70" s="183">
        <f t="shared" si="531"/>
        <v>157500</v>
      </c>
      <c r="AE70" s="183">
        <f t="shared" si="531"/>
        <v>157500</v>
      </c>
      <c r="AF70" s="280">
        <f t="shared" si="531"/>
        <v>165375</v>
      </c>
      <c r="AG70" s="183">
        <f t="shared" si="531"/>
        <v>165375</v>
      </c>
      <c r="AH70" s="183">
        <f t="shared" si="531"/>
        <v>165375</v>
      </c>
      <c r="AI70" s="183">
        <f t="shared" si="531"/>
        <v>165375</v>
      </c>
      <c r="AJ70" s="183">
        <f t="shared" si="531"/>
        <v>165375</v>
      </c>
      <c r="AK70" s="183">
        <f t="shared" si="531"/>
        <v>165375</v>
      </c>
      <c r="AL70" s="183">
        <f t="shared" si="531"/>
        <v>165375</v>
      </c>
      <c r="AM70" s="183">
        <f t="shared" si="531"/>
        <v>165375</v>
      </c>
      <c r="AN70" s="183">
        <f t="shared" ref="AN70:BN70" si="532">AM70*(1+AN$129)</f>
        <v>165375</v>
      </c>
      <c r="AO70" s="183">
        <f t="shared" si="532"/>
        <v>165375</v>
      </c>
      <c r="AP70" s="183">
        <f t="shared" si="532"/>
        <v>165375</v>
      </c>
      <c r="AQ70" s="183">
        <f t="shared" si="532"/>
        <v>165375</v>
      </c>
      <c r="AR70" s="280">
        <f t="shared" si="532"/>
        <v>173643.75</v>
      </c>
      <c r="AS70" s="183">
        <f t="shared" si="532"/>
        <v>173643.75</v>
      </c>
      <c r="AT70" s="183">
        <f t="shared" si="532"/>
        <v>173643.75</v>
      </c>
      <c r="AU70" s="183">
        <f t="shared" si="532"/>
        <v>173643.75</v>
      </c>
      <c r="AV70" s="183">
        <f t="shared" si="532"/>
        <v>173643.75</v>
      </c>
      <c r="AW70" s="183">
        <f t="shared" si="532"/>
        <v>173643.75</v>
      </c>
      <c r="AX70" s="183">
        <f t="shared" si="532"/>
        <v>173643.75</v>
      </c>
      <c r="AY70" s="183">
        <f t="shared" si="532"/>
        <v>173643.75</v>
      </c>
      <c r="AZ70" s="183">
        <f t="shared" si="532"/>
        <v>173643.75</v>
      </c>
      <c r="BA70" s="183">
        <f t="shared" si="532"/>
        <v>173643.75</v>
      </c>
      <c r="BB70" s="183">
        <f t="shared" si="532"/>
        <v>173643.75</v>
      </c>
      <c r="BC70" s="183">
        <f t="shared" si="532"/>
        <v>173643.75</v>
      </c>
      <c r="BD70" s="280">
        <f t="shared" si="532"/>
        <v>182325.9375</v>
      </c>
      <c r="BE70" s="183">
        <f t="shared" si="532"/>
        <v>182325.9375</v>
      </c>
      <c r="BF70" s="183">
        <f t="shared" si="532"/>
        <v>182325.9375</v>
      </c>
      <c r="BG70" s="183">
        <f t="shared" si="532"/>
        <v>182325.9375</v>
      </c>
      <c r="BH70" s="183">
        <f t="shared" si="532"/>
        <v>182325.9375</v>
      </c>
      <c r="BI70" s="183">
        <f t="shared" si="532"/>
        <v>182325.9375</v>
      </c>
      <c r="BJ70" s="183">
        <f t="shared" si="532"/>
        <v>182325.9375</v>
      </c>
      <c r="BK70" s="183">
        <f t="shared" si="532"/>
        <v>182325.9375</v>
      </c>
      <c r="BL70" s="183">
        <f t="shared" si="532"/>
        <v>182325.9375</v>
      </c>
      <c r="BM70" s="183">
        <f t="shared" si="532"/>
        <v>182325.9375</v>
      </c>
      <c r="BN70" s="183">
        <f t="shared" si="532"/>
        <v>182325.9375</v>
      </c>
      <c r="BO70" s="183">
        <f t="shared" si="468"/>
        <v>182325.9375</v>
      </c>
      <c r="BP70" s="280">
        <f t="shared" si="469"/>
        <v>191442.234375</v>
      </c>
      <c r="BQ70" s="183">
        <f t="shared" si="470"/>
        <v>191442.234375</v>
      </c>
      <c r="BR70" s="183">
        <f t="shared" si="471"/>
        <v>191442.234375</v>
      </c>
      <c r="BS70" s="183">
        <f t="shared" si="472"/>
        <v>191442.234375</v>
      </c>
      <c r="BT70" s="183">
        <f t="shared" si="473"/>
        <v>191442.234375</v>
      </c>
      <c r="BU70" s="183">
        <f t="shared" si="474"/>
        <v>191442.234375</v>
      </c>
      <c r="BV70" s="183">
        <f t="shared" si="475"/>
        <v>191442.234375</v>
      </c>
      <c r="BW70" s="183">
        <f t="shared" si="476"/>
        <v>191442.234375</v>
      </c>
      <c r="BX70" s="183">
        <f t="shared" si="477"/>
        <v>191442.234375</v>
      </c>
      <c r="BY70" s="183">
        <f t="shared" si="478"/>
        <v>191442.234375</v>
      </c>
      <c r="BZ70" s="183">
        <f t="shared" si="479"/>
        <v>191442.234375</v>
      </c>
      <c r="CA70" s="183">
        <f t="shared" si="480"/>
        <v>191442.234375</v>
      </c>
      <c r="CB70" s="280">
        <f t="shared" si="481"/>
        <v>201014.34609375001</v>
      </c>
      <c r="CC70" s="183">
        <f t="shared" si="482"/>
        <v>201014.34609375001</v>
      </c>
      <c r="CD70" s="183">
        <f t="shared" si="483"/>
        <v>201014.34609375001</v>
      </c>
      <c r="CE70" s="183">
        <f t="shared" si="484"/>
        <v>201014.34609375001</v>
      </c>
      <c r="CF70" s="183">
        <f t="shared" si="485"/>
        <v>201014.34609375001</v>
      </c>
      <c r="CG70" s="183">
        <f t="shared" si="486"/>
        <v>201014.34609375001</v>
      </c>
      <c r="CH70" s="183">
        <f t="shared" si="487"/>
        <v>201014.34609375001</v>
      </c>
      <c r="CI70" s="183">
        <f t="shared" si="488"/>
        <v>201014.34609375001</v>
      </c>
      <c r="CJ70" s="183">
        <f t="shared" si="489"/>
        <v>201014.34609375001</v>
      </c>
      <c r="CK70" s="183">
        <f t="shared" si="490"/>
        <v>201014.34609375001</v>
      </c>
      <c r="CL70" s="183">
        <f t="shared" si="491"/>
        <v>201014.34609375001</v>
      </c>
      <c r="CM70" s="183">
        <f t="shared" si="492"/>
        <v>201014.34609375001</v>
      </c>
      <c r="CN70" s="280">
        <f t="shared" si="493"/>
        <v>211065.06339843752</v>
      </c>
      <c r="CO70" s="183">
        <f t="shared" si="494"/>
        <v>211065.06339843752</v>
      </c>
      <c r="CP70" s="183">
        <f t="shared" si="495"/>
        <v>211065.06339843752</v>
      </c>
      <c r="CQ70" s="183">
        <f t="shared" si="496"/>
        <v>211065.06339843752</v>
      </c>
      <c r="CR70" s="183">
        <f t="shared" si="497"/>
        <v>211065.06339843752</v>
      </c>
      <c r="CS70" s="183">
        <f t="shared" si="498"/>
        <v>211065.06339843752</v>
      </c>
      <c r="CT70" s="183">
        <f t="shared" si="499"/>
        <v>211065.06339843752</v>
      </c>
      <c r="CU70" s="183">
        <f t="shared" si="500"/>
        <v>211065.06339843752</v>
      </c>
      <c r="CV70" s="183">
        <f t="shared" si="501"/>
        <v>211065.06339843752</v>
      </c>
      <c r="CW70" s="183">
        <f t="shared" si="502"/>
        <v>211065.06339843752</v>
      </c>
      <c r="CX70" s="183">
        <f t="shared" si="503"/>
        <v>211065.06339843752</v>
      </c>
      <c r="CY70" s="183">
        <f t="shared" si="504"/>
        <v>211065.06339843752</v>
      </c>
      <c r="CZ70" s="280">
        <f t="shared" si="505"/>
        <v>221618.31656835941</v>
      </c>
      <c r="DA70" s="183">
        <f t="shared" si="506"/>
        <v>221618.31656835941</v>
      </c>
      <c r="DB70" s="183">
        <f t="shared" si="507"/>
        <v>221618.31656835941</v>
      </c>
      <c r="DC70" s="183">
        <f t="shared" si="508"/>
        <v>221618.31656835941</v>
      </c>
      <c r="DD70" s="183">
        <f t="shared" si="509"/>
        <v>221618.31656835941</v>
      </c>
      <c r="DE70" s="183">
        <f t="shared" si="510"/>
        <v>221618.31656835941</v>
      </c>
      <c r="DF70" s="183">
        <f t="shared" si="511"/>
        <v>221618.31656835941</v>
      </c>
      <c r="DG70" s="183">
        <f t="shared" si="512"/>
        <v>221618.31656835941</v>
      </c>
      <c r="DH70" s="183">
        <f t="shared" si="513"/>
        <v>221618.31656835941</v>
      </c>
      <c r="DI70" s="183">
        <f t="shared" si="514"/>
        <v>221618.31656835941</v>
      </c>
      <c r="DJ70" s="183">
        <f t="shared" si="515"/>
        <v>221618.31656835941</v>
      </c>
      <c r="DK70" s="183">
        <f t="shared" si="516"/>
        <v>221618.31656835941</v>
      </c>
      <c r="DL70" s="280">
        <f t="shared" si="517"/>
        <v>232699.2323967774</v>
      </c>
      <c r="DM70" s="183">
        <f t="shared" si="518"/>
        <v>232699.2323967774</v>
      </c>
      <c r="DN70" s="183">
        <f t="shared" si="519"/>
        <v>232699.2323967774</v>
      </c>
      <c r="DO70" s="183">
        <f t="shared" si="520"/>
        <v>232699.2323967774</v>
      </c>
      <c r="DP70" s="183">
        <f t="shared" si="521"/>
        <v>232699.2323967774</v>
      </c>
      <c r="DQ70" s="183">
        <f t="shared" si="522"/>
        <v>232699.2323967774</v>
      </c>
      <c r="DR70" s="183">
        <f t="shared" si="523"/>
        <v>232699.2323967774</v>
      </c>
      <c r="DS70" s="183">
        <f t="shared" si="524"/>
        <v>232699.2323967774</v>
      </c>
      <c r="DT70" s="183">
        <f t="shared" si="525"/>
        <v>232699.2323967774</v>
      </c>
      <c r="DU70" s="183">
        <f t="shared" si="526"/>
        <v>232699.2323967774</v>
      </c>
      <c r="DV70" s="183">
        <f t="shared" si="527"/>
        <v>232699.2323967774</v>
      </c>
      <c r="DW70" s="186">
        <f t="shared" si="528"/>
        <v>232699.2323967774</v>
      </c>
    </row>
    <row r="71" spans="2:127" x14ac:dyDescent="0.3">
      <c r="C71" s="725"/>
      <c r="D71" s="119" t="str">
        <f t="shared" si="465"/>
        <v>Sr Manager</v>
      </c>
      <c r="E71" s="183"/>
      <c r="F71" s="183"/>
      <c r="G71" s="1207">
        <f>IF($B$1&lt;&gt;"Australia",IF($F$4="L4",VLOOKUP($B$4,'Data Master'!$S$68:$AF$76,MATCH($D71,'Data Master'!$S$67:$AF$67,0),0),IF(OR($F$4="L5",$F$4="L6"),VLOOKUP($B$4,'Data Master'!$AG$68:$AT$76,MATCH($D71,'Data Master'!$AG$67:$AT$67,0),0),VLOOKUP($B$4,'Data Master'!$B$68:$R$76,MATCH($D71,'Data Master'!$B$67:$R$67,0),0))),IF(OR($F$4="L4",$F$4="L3"),VLOOKUP($B$4,'Data Master'!$S$68:$AF$76,MATCH($D71,'Data Master'!$S$67:$AF$67,0),0),IF(OR($F$4="L5",$F$4="L6"),VLOOKUP($B$4,'Data Master'!$AG$68:$AT$76,MATCH($D71,'Data Master'!$AG$67:$AT$67,0),0),VLOOKUP($B$4,'Data Master'!$B$68:$R$76,MATCH($D71,'Data Master'!$B$67:$R$67,0),0))))</f>
        <v>250000</v>
      </c>
      <c r="H71" s="183">
        <f t="shared" ref="H71:AM71" si="533">G71*(1+H$129)</f>
        <v>250000</v>
      </c>
      <c r="I71" s="183">
        <f t="shared" si="533"/>
        <v>250000</v>
      </c>
      <c r="J71" s="183">
        <f t="shared" si="533"/>
        <v>250000</v>
      </c>
      <c r="K71" s="183">
        <f t="shared" si="533"/>
        <v>250000</v>
      </c>
      <c r="L71" s="183">
        <f t="shared" si="533"/>
        <v>250000</v>
      </c>
      <c r="M71" s="183">
        <f t="shared" si="533"/>
        <v>250000</v>
      </c>
      <c r="N71" s="183">
        <f t="shared" si="533"/>
        <v>250000</v>
      </c>
      <c r="O71" s="183">
        <f t="shared" si="533"/>
        <v>250000</v>
      </c>
      <c r="P71" s="183">
        <f t="shared" si="533"/>
        <v>250000</v>
      </c>
      <c r="Q71" s="183">
        <f t="shared" si="533"/>
        <v>250000</v>
      </c>
      <c r="R71" s="183">
        <f t="shared" si="533"/>
        <v>250000</v>
      </c>
      <c r="S71" s="183">
        <f t="shared" si="533"/>
        <v>250000</v>
      </c>
      <c r="T71" s="280">
        <f t="shared" si="533"/>
        <v>262500</v>
      </c>
      <c r="U71" s="183">
        <f t="shared" si="533"/>
        <v>262500</v>
      </c>
      <c r="V71" s="183">
        <f t="shared" si="533"/>
        <v>262500</v>
      </c>
      <c r="W71" s="183">
        <f t="shared" si="533"/>
        <v>262500</v>
      </c>
      <c r="X71" s="183">
        <f t="shared" si="533"/>
        <v>262500</v>
      </c>
      <c r="Y71" s="183">
        <f t="shared" si="533"/>
        <v>262500</v>
      </c>
      <c r="Z71" s="183">
        <f t="shared" si="533"/>
        <v>262500</v>
      </c>
      <c r="AA71" s="183">
        <f t="shared" si="533"/>
        <v>262500</v>
      </c>
      <c r="AB71" s="183">
        <f t="shared" si="533"/>
        <v>262500</v>
      </c>
      <c r="AC71" s="183">
        <f t="shared" si="533"/>
        <v>262500</v>
      </c>
      <c r="AD71" s="183">
        <f t="shared" si="533"/>
        <v>262500</v>
      </c>
      <c r="AE71" s="183">
        <f t="shared" si="533"/>
        <v>262500</v>
      </c>
      <c r="AF71" s="280">
        <f t="shared" si="533"/>
        <v>275625</v>
      </c>
      <c r="AG71" s="183">
        <f t="shared" si="533"/>
        <v>275625</v>
      </c>
      <c r="AH71" s="183">
        <f t="shared" si="533"/>
        <v>275625</v>
      </c>
      <c r="AI71" s="183">
        <f t="shared" si="533"/>
        <v>275625</v>
      </c>
      <c r="AJ71" s="183">
        <f t="shared" si="533"/>
        <v>275625</v>
      </c>
      <c r="AK71" s="183">
        <f t="shared" si="533"/>
        <v>275625</v>
      </c>
      <c r="AL71" s="183">
        <f t="shared" si="533"/>
        <v>275625</v>
      </c>
      <c r="AM71" s="183">
        <f t="shared" si="533"/>
        <v>275625</v>
      </c>
      <c r="AN71" s="183">
        <f t="shared" ref="AN71:BN71" si="534">AM71*(1+AN$129)</f>
        <v>275625</v>
      </c>
      <c r="AO71" s="183">
        <f t="shared" si="534"/>
        <v>275625</v>
      </c>
      <c r="AP71" s="183">
        <f t="shared" si="534"/>
        <v>275625</v>
      </c>
      <c r="AQ71" s="183">
        <f t="shared" si="534"/>
        <v>275625</v>
      </c>
      <c r="AR71" s="280">
        <f t="shared" si="534"/>
        <v>289406.25</v>
      </c>
      <c r="AS71" s="183">
        <f t="shared" si="534"/>
        <v>289406.25</v>
      </c>
      <c r="AT71" s="183">
        <f t="shared" si="534"/>
        <v>289406.25</v>
      </c>
      <c r="AU71" s="183">
        <f t="shared" si="534"/>
        <v>289406.25</v>
      </c>
      <c r="AV71" s="183">
        <f t="shared" si="534"/>
        <v>289406.25</v>
      </c>
      <c r="AW71" s="183">
        <f t="shared" si="534"/>
        <v>289406.25</v>
      </c>
      <c r="AX71" s="183">
        <f t="shared" si="534"/>
        <v>289406.25</v>
      </c>
      <c r="AY71" s="183">
        <f t="shared" si="534"/>
        <v>289406.25</v>
      </c>
      <c r="AZ71" s="183">
        <f t="shared" si="534"/>
        <v>289406.25</v>
      </c>
      <c r="BA71" s="183">
        <f t="shared" si="534"/>
        <v>289406.25</v>
      </c>
      <c r="BB71" s="183">
        <f t="shared" si="534"/>
        <v>289406.25</v>
      </c>
      <c r="BC71" s="183">
        <f t="shared" si="534"/>
        <v>289406.25</v>
      </c>
      <c r="BD71" s="280">
        <f t="shared" si="534"/>
        <v>303876.5625</v>
      </c>
      <c r="BE71" s="183">
        <f t="shared" si="534"/>
        <v>303876.5625</v>
      </c>
      <c r="BF71" s="183">
        <f t="shared" si="534"/>
        <v>303876.5625</v>
      </c>
      <c r="BG71" s="183">
        <f t="shared" si="534"/>
        <v>303876.5625</v>
      </c>
      <c r="BH71" s="183">
        <f t="shared" si="534"/>
        <v>303876.5625</v>
      </c>
      <c r="BI71" s="183">
        <f t="shared" si="534"/>
        <v>303876.5625</v>
      </c>
      <c r="BJ71" s="183">
        <f t="shared" si="534"/>
        <v>303876.5625</v>
      </c>
      <c r="BK71" s="183">
        <f t="shared" si="534"/>
        <v>303876.5625</v>
      </c>
      <c r="BL71" s="183">
        <f t="shared" si="534"/>
        <v>303876.5625</v>
      </c>
      <c r="BM71" s="183">
        <f t="shared" si="534"/>
        <v>303876.5625</v>
      </c>
      <c r="BN71" s="183">
        <f t="shared" si="534"/>
        <v>303876.5625</v>
      </c>
      <c r="BO71" s="183">
        <f t="shared" si="468"/>
        <v>303876.5625</v>
      </c>
      <c r="BP71" s="280">
        <f t="shared" si="469"/>
        <v>319070.390625</v>
      </c>
      <c r="BQ71" s="183">
        <f t="shared" si="470"/>
        <v>319070.390625</v>
      </c>
      <c r="BR71" s="183">
        <f t="shared" si="471"/>
        <v>319070.390625</v>
      </c>
      <c r="BS71" s="183">
        <f t="shared" si="472"/>
        <v>319070.390625</v>
      </c>
      <c r="BT71" s="183">
        <f t="shared" si="473"/>
        <v>319070.390625</v>
      </c>
      <c r="BU71" s="183">
        <f t="shared" si="474"/>
        <v>319070.390625</v>
      </c>
      <c r="BV71" s="183">
        <f t="shared" si="475"/>
        <v>319070.390625</v>
      </c>
      <c r="BW71" s="183">
        <f t="shared" si="476"/>
        <v>319070.390625</v>
      </c>
      <c r="BX71" s="183">
        <f t="shared" si="477"/>
        <v>319070.390625</v>
      </c>
      <c r="BY71" s="183">
        <f t="shared" si="478"/>
        <v>319070.390625</v>
      </c>
      <c r="BZ71" s="183">
        <f t="shared" si="479"/>
        <v>319070.390625</v>
      </c>
      <c r="CA71" s="183">
        <f t="shared" si="480"/>
        <v>319070.390625</v>
      </c>
      <c r="CB71" s="280">
        <f t="shared" si="481"/>
        <v>335023.91015625</v>
      </c>
      <c r="CC71" s="183">
        <f t="shared" si="482"/>
        <v>335023.91015625</v>
      </c>
      <c r="CD71" s="183">
        <f t="shared" si="483"/>
        <v>335023.91015625</v>
      </c>
      <c r="CE71" s="183">
        <f t="shared" si="484"/>
        <v>335023.91015625</v>
      </c>
      <c r="CF71" s="183">
        <f t="shared" si="485"/>
        <v>335023.91015625</v>
      </c>
      <c r="CG71" s="183">
        <f t="shared" si="486"/>
        <v>335023.91015625</v>
      </c>
      <c r="CH71" s="183">
        <f t="shared" si="487"/>
        <v>335023.91015625</v>
      </c>
      <c r="CI71" s="183">
        <f t="shared" si="488"/>
        <v>335023.91015625</v>
      </c>
      <c r="CJ71" s="183">
        <f t="shared" si="489"/>
        <v>335023.91015625</v>
      </c>
      <c r="CK71" s="183">
        <f t="shared" si="490"/>
        <v>335023.91015625</v>
      </c>
      <c r="CL71" s="183">
        <f t="shared" si="491"/>
        <v>335023.91015625</v>
      </c>
      <c r="CM71" s="183">
        <f t="shared" si="492"/>
        <v>335023.91015625</v>
      </c>
      <c r="CN71" s="280">
        <f t="shared" si="493"/>
        <v>351775.10566406249</v>
      </c>
      <c r="CO71" s="183">
        <f t="shared" si="494"/>
        <v>351775.10566406249</v>
      </c>
      <c r="CP71" s="183">
        <f t="shared" si="495"/>
        <v>351775.10566406249</v>
      </c>
      <c r="CQ71" s="183">
        <f t="shared" si="496"/>
        <v>351775.10566406249</v>
      </c>
      <c r="CR71" s="183">
        <f t="shared" si="497"/>
        <v>351775.10566406249</v>
      </c>
      <c r="CS71" s="183">
        <f t="shared" si="498"/>
        <v>351775.10566406249</v>
      </c>
      <c r="CT71" s="183">
        <f t="shared" si="499"/>
        <v>351775.10566406249</v>
      </c>
      <c r="CU71" s="183">
        <f t="shared" si="500"/>
        <v>351775.10566406249</v>
      </c>
      <c r="CV71" s="183">
        <f t="shared" si="501"/>
        <v>351775.10566406249</v>
      </c>
      <c r="CW71" s="183">
        <f t="shared" si="502"/>
        <v>351775.10566406249</v>
      </c>
      <c r="CX71" s="183">
        <f t="shared" si="503"/>
        <v>351775.10566406249</v>
      </c>
      <c r="CY71" s="183">
        <f t="shared" si="504"/>
        <v>351775.10566406249</v>
      </c>
      <c r="CZ71" s="280">
        <f t="shared" si="505"/>
        <v>369363.86094726564</v>
      </c>
      <c r="DA71" s="183">
        <f t="shared" si="506"/>
        <v>369363.86094726564</v>
      </c>
      <c r="DB71" s="183">
        <f t="shared" si="507"/>
        <v>369363.86094726564</v>
      </c>
      <c r="DC71" s="183">
        <f t="shared" si="508"/>
        <v>369363.86094726564</v>
      </c>
      <c r="DD71" s="183">
        <f t="shared" si="509"/>
        <v>369363.86094726564</v>
      </c>
      <c r="DE71" s="183">
        <f t="shared" si="510"/>
        <v>369363.86094726564</v>
      </c>
      <c r="DF71" s="183">
        <f t="shared" si="511"/>
        <v>369363.86094726564</v>
      </c>
      <c r="DG71" s="183">
        <f t="shared" si="512"/>
        <v>369363.86094726564</v>
      </c>
      <c r="DH71" s="183">
        <f t="shared" si="513"/>
        <v>369363.86094726564</v>
      </c>
      <c r="DI71" s="183">
        <f t="shared" si="514"/>
        <v>369363.86094726564</v>
      </c>
      <c r="DJ71" s="183">
        <f t="shared" si="515"/>
        <v>369363.86094726564</v>
      </c>
      <c r="DK71" s="183">
        <f t="shared" si="516"/>
        <v>369363.86094726564</v>
      </c>
      <c r="DL71" s="280">
        <f t="shared" si="517"/>
        <v>387832.05399462895</v>
      </c>
      <c r="DM71" s="183">
        <f t="shared" si="518"/>
        <v>387832.05399462895</v>
      </c>
      <c r="DN71" s="183">
        <f t="shared" si="519"/>
        <v>387832.05399462895</v>
      </c>
      <c r="DO71" s="183">
        <f t="shared" si="520"/>
        <v>387832.05399462895</v>
      </c>
      <c r="DP71" s="183">
        <f t="shared" si="521"/>
        <v>387832.05399462895</v>
      </c>
      <c r="DQ71" s="183">
        <f t="shared" si="522"/>
        <v>387832.05399462895</v>
      </c>
      <c r="DR71" s="183">
        <f t="shared" si="523"/>
        <v>387832.05399462895</v>
      </c>
      <c r="DS71" s="183">
        <f t="shared" si="524"/>
        <v>387832.05399462895</v>
      </c>
      <c r="DT71" s="183">
        <f t="shared" si="525"/>
        <v>387832.05399462895</v>
      </c>
      <c r="DU71" s="183">
        <f t="shared" si="526"/>
        <v>387832.05399462895</v>
      </c>
      <c r="DV71" s="183">
        <f t="shared" si="527"/>
        <v>387832.05399462895</v>
      </c>
      <c r="DW71" s="186">
        <f t="shared" si="528"/>
        <v>387832.05399462895</v>
      </c>
    </row>
    <row r="72" spans="2:127" x14ac:dyDescent="0.3">
      <c r="C72" s="725"/>
      <c r="D72" s="119" t="str">
        <f t="shared" si="465"/>
        <v>DGM / AD</v>
      </c>
      <c r="E72" s="183"/>
      <c r="F72" s="183"/>
      <c r="G72" s="1207">
        <f>IF($B$1&lt;&gt;"Australia",IF($F$4="L4",VLOOKUP($B$4,'Data Master'!$S$68:$AF$76,MATCH($D72,'Data Master'!$S$67:$AF$67,0),0),IF(OR($F$4="L5",$F$4="L6"),VLOOKUP($B$4,'Data Master'!$AG$68:$AT$76,MATCH($D72,'Data Master'!$AG$67:$AT$67,0),0),VLOOKUP($B$4,'Data Master'!$B$68:$R$76,MATCH($D72,'Data Master'!$B$67:$R$67,0),0))),IF(OR($F$4="L4",$F$4="L3"),VLOOKUP($B$4,'Data Master'!$S$68:$AF$76,MATCH($D72,'Data Master'!$S$67:$AF$67,0),0),IF(OR($F$4="L5",$F$4="L6"),VLOOKUP($B$4,'Data Master'!$AG$68:$AT$76,MATCH($D72,'Data Master'!$AG$67:$AT$67,0),0),VLOOKUP($B$4,'Data Master'!$B$68:$R$76,MATCH($D72,'Data Master'!$B$67:$R$67,0),0))))</f>
        <v>282916.66666666669</v>
      </c>
      <c r="H72" s="183">
        <f t="shared" ref="H72:AM72" si="535">G72*(1+H$129)</f>
        <v>282916.66666666669</v>
      </c>
      <c r="I72" s="183">
        <f t="shared" si="535"/>
        <v>282916.66666666669</v>
      </c>
      <c r="J72" s="183">
        <f t="shared" si="535"/>
        <v>282916.66666666669</v>
      </c>
      <c r="K72" s="183">
        <f t="shared" si="535"/>
        <v>282916.66666666669</v>
      </c>
      <c r="L72" s="183">
        <f t="shared" si="535"/>
        <v>282916.66666666669</v>
      </c>
      <c r="M72" s="183">
        <f t="shared" si="535"/>
        <v>282916.66666666669</v>
      </c>
      <c r="N72" s="183">
        <f t="shared" si="535"/>
        <v>282916.66666666669</v>
      </c>
      <c r="O72" s="183">
        <f t="shared" si="535"/>
        <v>282916.66666666669</v>
      </c>
      <c r="P72" s="183">
        <f t="shared" si="535"/>
        <v>282916.66666666669</v>
      </c>
      <c r="Q72" s="183">
        <f t="shared" si="535"/>
        <v>282916.66666666669</v>
      </c>
      <c r="R72" s="183">
        <f t="shared" si="535"/>
        <v>282916.66666666669</v>
      </c>
      <c r="S72" s="183">
        <f t="shared" si="535"/>
        <v>282916.66666666669</v>
      </c>
      <c r="T72" s="280">
        <f t="shared" si="535"/>
        <v>297062.50000000006</v>
      </c>
      <c r="U72" s="183">
        <f t="shared" si="535"/>
        <v>297062.50000000006</v>
      </c>
      <c r="V72" s="183">
        <f t="shared" si="535"/>
        <v>297062.50000000006</v>
      </c>
      <c r="W72" s="183">
        <f t="shared" si="535"/>
        <v>297062.50000000006</v>
      </c>
      <c r="X72" s="183">
        <f t="shared" si="535"/>
        <v>297062.50000000006</v>
      </c>
      <c r="Y72" s="183">
        <f t="shared" si="535"/>
        <v>297062.50000000006</v>
      </c>
      <c r="Z72" s="183">
        <f t="shared" si="535"/>
        <v>297062.50000000006</v>
      </c>
      <c r="AA72" s="183">
        <f t="shared" si="535"/>
        <v>297062.50000000006</v>
      </c>
      <c r="AB72" s="183">
        <f t="shared" si="535"/>
        <v>297062.50000000006</v>
      </c>
      <c r="AC72" s="183">
        <f t="shared" si="535"/>
        <v>297062.50000000006</v>
      </c>
      <c r="AD72" s="183">
        <f t="shared" si="535"/>
        <v>297062.50000000006</v>
      </c>
      <c r="AE72" s="183">
        <f t="shared" si="535"/>
        <v>297062.50000000006</v>
      </c>
      <c r="AF72" s="280">
        <f t="shared" si="535"/>
        <v>311915.62500000006</v>
      </c>
      <c r="AG72" s="183">
        <f t="shared" si="535"/>
        <v>311915.62500000006</v>
      </c>
      <c r="AH72" s="183">
        <f t="shared" si="535"/>
        <v>311915.62500000006</v>
      </c>
      <c r="AI72" s="183">
        <f t="shared" si="535"/>
        <v>311915.62500000006</v>
      </c>
      <c r="AJ72" s="183">
        <f t="shared" si="535"/>
        <v>311915.62500000006</v>
      </c>
      <c r="AK72" s="183">
        <f t="shared" si="535"/>
        <v>311915.62500000006</v>
      </c>
      <c r="AL72" s="183">
        <f t="shared" si="535"/>
        <v>311915.62500000006</v>
      </c>
      <c r="AM72" s="183">
        <f t="shared" si="535"/>
        <v>311915.62500000006</v>
      </c>
      <c r="AN72" s="183">
        <f t="shared" ref="AN72:BN72" si="536">AM72*(1+AN$129)</f>
        <v>311915.62500000006</v>
      </c>
      <c r="AO72" s="183">
        <f t="shared" si="536"/>
        <v>311915.62500000006</v>
      </c>
      <c r="AP72" s="183">
        <f t="shared" si="536"/>
        <v>311915.62500000006</v>
      </c>
      <c r="AQ72" s="183">
        <f t="shared" si="536"/>
        <v>311915.62500000006</v>
      </c>
      <c r="AR72" s="280">
        <f t="shared" si="536"/>
        <v>327511.40625000006</v>
      </c>
      <c r="AS72" s="183">
        <f t="shared" si="536"/>
        <v>327511.40625000006</v>
      </c>
      <c r="AT72" s="183">
        <f t="shared" si="536"/>
        <v>327511.40625000006</v>
      </c>
      <c r="AU72" s="183">
        <f t="shared" si="536"/>
        <v>327511.40625000006</v>
      </c>
      <c r="AV72" s="183">
        <f t="shared" si="536"/>
        <v>327511.40625000006</v>
      </c>
      <c r="AW72" s="183">
        <f t="shared" si="536"/>
        <v>327511.40625000006</v>
      </c>
      <c r="AX72" s="183">
        <f t="shared" si="536"/>
        <v>327511.40625000006</v>
      </c>
      <c r="AY72" s="183">
        <f t="shared" si="536"/>
        <v>327511.40625000006</v>
      </c>
      <c r="AZ72" s="183">
        <f t="shared" si="536"/>
        <v>327511.40625000006</v>
      </c>
      <c r="BA72" s="183">
        <f t="shared" si="536"/>
        <v>327511.40625000006</v>
      </c>
      <c r="BB72" s="183">
        <f t="shared" si="536"/>
        <v>327511.40625000006</v>
      </c>
      <c r="BC72" s="183">
        <f t="shared" si="536"/>
        <v>327511.40625000006</v>
      </c>
      <c r="BD72" s="280">
        <f t="shared" si="536"/>
        <v>343886.97656250006</v>
      </c>
      <c r="BE72" s="183">
        <f t="shared" si="536"/>
        <v>343886.97656250006</v>
      </c>
      <c r="BF72" s="183">
        <f t="shared" si="536"/>
        <v>343886.97656250006</v>
      </c>
      <c r="BG72" s="183">
        <f t="shared" si="536"/>
        <v>343886.97656250006</v>
      </c>
      <c r="BH72" s="183">
        <f t="shared" si="536"/>
        <v>343886.97656250006</v>
      </c>
      <c r="BI72" s="183">
        <f t="shared" si="536"/>
        <v>343886.97656250006</v>
      </c>
      <c r="BJ72" s="183">
        <f t="shared" si="536"/>
        <v>343886.97656250006</v>
      </c>
      <c r="BK72" s="183">
        <f t="shared" si="536"/>
        <v>343886.97656250006</v>
      </c>
      <c r="BL72" s="183">
        <f t="shared" si="536"/>
        <v>343886.97656250006</v>
      </c>
      <c r="BM72" s="183">
        <f t="shared" si="536"/>
        <v>343886.97656250006</v>
      </c>
      <c r="BN72" s="183">
        <f t="shared" si="536"/>
        <v>343886.97656250006</v>
      </c>
      <c r="BO72" s="183">
        <f t="shared" si="468"/>
        <v>343886.97656250006</v>
      </c>
      <c r="BP72" s="280">
        <f t="shared" si="469"/>
        <v>361081.3253906251</v>
      </c>
      <c r="BQ72" s="183">
        <f t="shared" si="470"/>
        <v>361081.3253906251</v>
      </c>
      <c r="BR72" s="183">
        <f t="shared" si="471"/>
        <v>361081.3253906251</v>
      </c>
      <c r="BS72" s="183">
        <f t="shared" si="472"/>
        <v>361081.3253906251</v>
      </c>
      <c r="BT72" s="183">
        <f t="shared" si="473"/>
        <v>361081.3253906251</v>
      </c>
      <c r="BU72" s="183">
        <f t="shared" si="474"/>
        <v>361081.3253906251</v>
      </c>
      <c r="BV72" s="183">
        <f t="shared" si="475"/>
        <v>361081.3253906251</v>
      </c>
      <c r="BW72" s="183">
        <f t="shared" si="476"/>
        <v>361081.3253906251</v>
      </c>
      <c r="BX72" s="183">
        <f t="shared" si="477"/>
        <v>361081.3253906251</v>
      </c>
      <c r="BY72" s="183">
        <f t="shared" si="478"/>
        <v>361081.3253906251</v>
      </c>
      <c r="BZ72" s="183">
        <f t="shared" si="479"/>
        <v>361081.3253906251</v>
      </c>
      <c r="CA72" s="183">
        <f t="shared" si="480"/>
        <v>361081.3253906251</v>
      </c>
      <c r="CB72" s="280">
        <f t="shared" si="481"/>
        <v>379135.39166015637</v>
      </c>
      <c r="CC72" s="183">
        <f t="shared" si="482"/>
        <v>379135.39166015637</v>
      </c>
      <c r="CD72" s="183">
        <f t="shared" si="483"/>
        <v>379135.39166015637</v>
      </c>
      <c r="CE72" s="183">
        <f t="shared" si="484"/>
        <v>379135.39166015637</v>
      </c>
      <c r="CF72" s="183">
        <f t="shared" si="485"/>
        <v>379135.39166015637</v>
      </c>
      <c r="CG72" s="183">
        <f t="shared" si="486"/>
        <v>379135.39166015637</v>
      </c>
      <c r="CH72" s="183">
        <f t="shared" si="487"/>
        <v>379135.39166015637</v>
      </c>
      <c r="CI72" s="183">
        <f t="shared" si="488"/>
        <v>379135.39166015637</v>
      </c>
      <c r="CJ72" s="183">
        <f t="shared" si="489"/>
        <v>379135.39166015637</v>
      </c>
      <c r="CK72" s="183">
        <f t="shared" si="490"/>
        <v>379135.39166015637</v>
      </c>
      <c r="CL72" s="183">
        <f t="shared" si="491"/>
        <v>379135.39166015637</v>
      </c>
      <c r="CM72" s="183">
        <f t="shared" si="492"/>
        <v>379135.39166015637</v>
      </c>
      <c r="CN72" s="280">
        <f t="shared" si="493"/>
        <v>398092.16124316421</v>
      </c>
      <c r="CO72" s="183">
        <f t="shared" si="494"/>
        <v>398092.16124316421</v>
      </c>
      <c r="CP72" s="183">
        <f t="shared" si="495"/>
        <v>398092.16124316421</v>
      </c>
      <c r="CQ72" s="183">
        <f t="shared" si="496"/>
        <v>398092.16124316421</v>
      </c>
      <c r="CR72" s="183">
        <f t="shared" si="497"/>
        <v>398092.16124316421</v>
      </c>
      <c r="CS72" s="183">
        <f t="shared" si="498"/>
        <v>398092.16124316421</v>
      </c>
      <c r="CT72" s="183">
        <f t="shared" si="499"/>
        <v>398092.16124316421</v>
      </c>
      <c r="CU72" s="183">
        <f t="shared" si="500"/>
        <v>398092.16124316421</v>
      </c>
      <c r="CV72" s="183">
        <f t="shared" si="501"/>
        <v>398092.16124316421</v>
      </c>
      <c r="CW72" s="183">
        <f t="shared" si="502"/>
        <v>398092.16124316421</v>
      </c>
      <c r="CX72" s="183">
        <f t="shared" si="503"/>
        <v>398092.16124316421</v>
      </c>
      <c r="CY72" s="183">
        <f t="shared" si="504"/>
        <v>398092.16124316421</v>
      </c>
      <c r="CZ72" s="280">
        <f t="shared" si="505"/>
        <v>417996.76930532244</v>
      </c>
      <c r="DA72" s="183">
        <f t="shared" si="506"/>
        <v>417996.76930532244</v>
      </c>
      <c r="DB72" s="183">
        <f t="shared" si="507"/>
        <v>417996.76930532244</v>
      </c>
      <c r="DC72" s="183">
        <f t="shared" si="508"/>
        <v>417996.76930532244</v>
      </c>
      <c r="DD72" s="183">
        <f t="shared" si="509"/>
        <v>417996.76930532244</v>
      </c>
      <c r="DE72" s="183">
        <f t="shared" si="510"/>
        <v>417996.76930532244</v>
      </c>
      <c r="DF72" s="183">
        <f t="shared" si="511"/>
        <v>417996.76930532244</v>
      </c>
      <c r="DG72" s="183">
        <f t="shared" si="512"/>
        <v>417996.76930532244</v>
      </c>
      <c r="DH72" s="183">
        <f t="shared" si="513"/>
        <v>417996.76930532244</v>
      </c>
      <c r="DI72" s="183">
        <f t="shared" si="514"/>
        <v>417996.76930532244</v>
      </c>
      <c r="DJ72" s="183">
        <f t="shared" si="515"/>
        <v>417996.76930532244</v>
      </c>
      <c r="DK72" s="183">
        <f t="shared" si="516"/>
        <v>417996.76930532244</v>
      </c>
      <c r="DL72" s="280">
        <f t="shared" si="517"/>
        <v>438896.6077705886</v>
      </c>
      <c r="DM72" s="183">
        <f t="shared" si="518"/>
        <v>438896.6077705886</v>
      </c>
      <c r="DN72" s="183">
        <f t="shared" si="519"/>
        <v>438896.6077705886</v>
      </c>
      <c r="DO72" s="183">
        <f t="shared" si="520"/>
        <v>438896.6077705886</v>
      </c>
      <c r="DP72" s="183">
        <f t="shared" si="521"/>
        <v>438896.6077705886</v>
      </c>
      <c r="DQ72" s="183">
        <f t="shared" si="522"/>
        <v>438896.6077705886</v>
      </c>
      <c r="DR72" s="183">
        <f t="shared" si="523"/>
        <v>438896.6077705886</v>
      </c>
      <c r="DS72" s="183">
        <f t="shared" si="524"/>
        <v>438896.6077705886</v>
      </c>
      <c r="DT72" s="183">
        <f t="shared" si="525"/>
        <v>438896.6077705886</v>
      </c>
      <c r="DU72" s="183">
        <f t="shared" si="526"/>
        <v>438896.6077705886</v>
      </c>
      <c r="DV72" s="183">
        <f t="shared" si="527"/>
        <v>438896.6077705886</v>
      </c>
      <c r="DW72" s="186">
        <f t="shared" si="528"/>
        <v>438896.6077705886</v>
      </c>
    </row>
    <row r="73" spans="2:127" x14ac:dyDescent="0.3">
      <c r="C73" s="725"/>
      <c r="D73" s="119" t="str">
        <f t="shared" si="465"/>
        <v>GM / Director</v>
      </c>
      <c r="E73" s="183"/>
      <c r="F73" s="183"/>
      <c r="G73" s="1207">
        <f>IF($B$1&lt;&gt;"Australia",IF($F$4="L4",VLOOKUP($B$4,'Data Master'!$S$68:$AF$76,MATCH($D73,'Data Master'!$S$67:$AF$67,0),0),IF(OR($F$4="L5",$F$4="L6"),VLOOKUP($B$4,'Data Master'!$AG$68:$AT$76,MATCH($D73,'Data Master'!$AG$67:$AT$67,0),0),VLOOKUP($B$4,'Data Master'!$B$68:$R$76,MATCH($D73,'Data Master'!$B$67:$R$67,0),0))),IF(OR($F$4="L4",$F$4="L3"),VLOOKUP($B$4,'Data Master'!$S$68:$AF$76,MATCH($D73,'Data Master'!$S$67:$AF$67,0),0),IF(OR($F$4="L5",$F$4="L6"),VLOOKUP($B$4,'Data Master'!$AG$68:$AT$76,MATCH($D73,'Data Master'!$AG$67:$AT$67,0),0),VLOOKUP($B$4,'Data Master'!$B$68:$R$76,MATCH($D73,'Data Master'!$B$67:$R$67,0),0))))</f>
        <v>326250</v>
      </c>
      <c r="H73" s="183">
        <f t="shared" ref="H73:AM73" si="537">G73*(1+H$129)</f>
        <v>326250</v>
      </c>
      <c r="I73" s="183">
        <f t="shared" si="537"/>
        <v>326250</v>
      </c>
      <c r="J73" s="183">
        <f t="shared" si="537"/>
        <v>326250</v>
      </c>
      <c r="K73" s="183">
        <f t="shared" si="537"/>
        <v>326250</v>
      </c>
      <c r="L73" s="183">
        <f t="shared" si="537"/>
        <v>326250</v>
      </c>
      <c r="M73" s="183">
        <f t="shared" si="537"/>
        <v>326250</v>
      </c>
      <c r="N73" s="183">
        <f t="shared" si="537"/>
        <v>326250</v>
      </c>
      <c r="O73" s="183">
        <f t="shared" si="537"/>
        <v>326250</v>
      </c>
      <c r="P73" s="183">
        <f t="shared" si="537"/>
        <v>326250</v>
      </c>
      <c r="Q73" s="183">
        <f t="shared" si="537"/>
        <v>326250</v>
      </c>
      <c r="R73" s="183">
        <f t="shared" si="537"/>
        <v>326250</v>
      </c>
      <c r="S73" s="183">
        <f t="shared" si="537"/>
        <v>326250</v>
      </c>
      <c r="T73" s="280">
        <f t="shared" si="537"/>
        <v>342562.5</v>
      </c>
      <c r="U73" s="183">
        <f t="shared" si="537"/>
        <v>342562.5</v>
      </c>
      <c r="V73" s="183">
        <f t="shared" si="537"/>
        <v>342562.5</v>
      </c>
      <c r="W73" s="183">
        <f t="shared" si="537"/>
        <v>342562.5</v>
      </c>
      <c r="X73" s="183">
        <f t="shared" si="537"/>
        <v>342562.5</v>
      </c>
      <c r="Y73" s="183">
        <f t="shared" si="537"/>
        <v>342562.5</v>
      </c>
      <c r="Z73" s="183">
        <f t="shared" si="537"/>
        <v>342562.5</v>
      </c>
      <c r="AA73" s="183">
        <f t="shared" si="537"/>
        <v>342562.5</v>
      </c>
      <c r="AB73" s="183">
        <f t="shared" si="537"/>
        <v>342562.5</v>
      </c>
      <c r="AC73" s="183">
        <f t="shared" si="537"/>
        <v>342562.5</v>
      </c>
      <c r="AD73" s="183">
        <f t="shared" si="537"/>
        <v>342562.5</v>
      </c>
      <c r="AE73" s="183">
        <f t="shared" si="537"/>
        <v>342562.5</v>
      </c>
      <c r="AF73" s="280">
        <f t="shared" si="537"/>
        <v>359690.625</v>
      </c>
      <c r="AG73" s="183">
        <f t="shared" si="537"/>
        <v>359690.625</v>
      </c>
      <c r="AH73" s="183">
        <f t="shared" si="537"/>
        <v>359690.625</v>
      </c>
      <c r="AI73" s="183">
        <f t="shared" si="537"/>
        <v>359690.625</v>
      </c>
      <c r="AJ73" s="183">
        <f t="shared" si="537"/>
        <v>359690.625</v>
      </c>
      <c r="AK73" s="183">
        <f t="shared" si="537"/>
        <v>359690.625</v>
      </c>
      <c r="AL73" s="183">
        <f t="shared" si="537"/>
        <v>359690.625</v>
      </c>
      <c r="AM73" s="183">
        <f t="shared" si="537"/>
        <v>359690.625</v>
      </c>
      <c r="AN73" s="183">
        <f t="shared" ref="AN73:BN73" si="538">AM73*(1+AN$129)</f>
        <v>359690.625</v>
      </c>
      <c r="AO73" s="183">
        <f t="shared" si="538"/>
        <v>359690.625</v>
      </c>
      <c r="AP73" s="183">
        <f t="shared" si="538"/>
        <v>359690.625</v>
      </c>
      <c r="AQ73" s="183">
        <f t="shared" si="538"/>
        <v>359690.625</v>
      </c>
      <c r="AR73" s="280">
        <f t="shared" si="538"/>
        <v>377675.15625</v>
      </c>
      <c r="AS73" s="183">
        <f t="shared" si="538"/>
        <v>377675.15625</v>
      </c>
      <c r="AT73" s="183">
        <f t="shared" si="538"/>
        <v>377675.15625</v>
      </c>
      <c r="AU73" s="183">
        <f t="shared" si="538"/>
        <v>377675.15625</v>
      </c>
      <c r="AV73" s="183">
        <f t="shared" si="538"/>
        <v>377675.15625</v>
      </c>
      <c r="AW73" s="183">
        <f t="shared" si="538"/>
        <v>377675.15625</v>
      </c>
      <c r="AX73" s="183">
        <f t="shared" si="538"/>
        <v>377675.15625</v>
      </c>
      <c r="AY73" s="183">
        <f t="shared" si="538"/>
        <v>377675.15625</v>
      </c>
      <c r="AZ73" s="183">
        <f t="shared" si="538"/>
        <v>377675.15625</v>
      </c>
      <c r="BA73" s="183">
        <f t="shared" si="538"/>
        <v>377675.15625</v>
      </c>
      <c r="BB73" s="183">
        <f t="shared" si="538"/>
        <v>377675.15625</v>
      </c>
      <c r="BC73" s="183">
        <f t="shared" si="538"/>
        <v>377675.15625</v>
      </c>
      <c r="BD73" s="280">
        <f t="shared" si="538"/>
        <v>396558.9140625</v>
      </c>
      <c r="BE73" s="183">
        <f t="shared" si="538"/>
        <v>396558.9140625</v>
      </c>
      <c r="BF73" s="183">
        <f t="shared" si="538"/>
        <v>396558.9140625</v>
      </c>
      <c r="BG73" s="183">
        <f t="shared" si="538"/>
        <v>396558.9140625</v>
      </c>
      <c r="BH73" s="183">
        <f t="shared" si="538"/>
        <v>396558.9140625</v>
      </c>
      <c r="BI73" s="183">
        <f t="shared" si="538"/>
        <v>396558.9140625</v>
      </c>
      <c r="BJ73" s="183">
        <f t="shared" si="538"/>
        <v>396558.9140625</v>
      </c>
      <c r="BK73" s="183">
        <f t="shared" si="538"/>
        <v>396558.9140625</v>
      </c>
      <c r="BL73" s="183">
        <f t="shared" si="538"/>
        <v>396558.9140625</v>
      </c>
      <c r="BM73" s="183">
        <f t="shared" si="538"/>
        <v>396558.9140625</v>
      </c>
      <c r="BN73" s="183">
        <f t="shared" si="538"/>
        <v>396558.9140625</v>
      </c>
      <c r="BO73" s="183">
        <f t="shared" si="468"/>
        <v>396558.9140625</v>
      </c>
      <c r="BP73" s="280">
        <f t="shared" si="469"/>
        <v>416386.85976562503</v>
      </c>
      <c r="BQ73" s="183">
        <f t="shared" si="470"/>
        <v>416386.85976562503</v>
      </c>
      <c r="BR73" s="183">
        <f t="shared" si="471"/>
        <v>416386.85976562503</v>
      </c>
      <c r="BS73" s="183">
        <f t="shared" si="472"/>
        <v>416386.85976562503</v>
      </c>
      <c r="BT73" s="183">
        <f t="shared" si="473"/>
        <v>416386.85976562503</v>
      </c>
      <c r="BU73" s="183">
        <f t="shared" si="474"/>
        <v>416386.85976562503</v>
      </c>
      <c r="BV73" s="183">
        <f t="shared" si="475"/>
        <v>416386.85976562503</v>
      </c>
      <c r="BW73" s="183">
        <f t="shared" si="476"/>
        <v>416386.85976562503</v>
      </c>
      <c r="BX73" s="183">
        <f t="shared" si="477"/>
        <v>416386.85976562503</v>
      </c>
      <c r="BY73" s="183">
        <f t="shared" si="478"/>
        <v>416386.85976562503</v>
      </c>
      <c r="BZ73" s="183">
        <f t="shared" si="479"/>
        <v>416386.85976562503</v>
      </c>
      <c r="CA73" s="183">
        <f t="shared" si="480"/>
        <v>416386.85976562503</v>
      </c>
      <c r="CB73" s="280">
        <f t="shared" si="481"/>
        <v>437206.20275390631</v>
      </c>
      <c r="CC73" s="183">
        <f t="shared" si="482"/>
        <v>437206.20275390631</v>
      </c>
      <c r="CD73" s="183">
        <f t="shared" si="483"/>
        <v>437206.20275390631</v>
      </c>
      <c r="CE73" s="183">
        <f t="shared" si="484"/>
        <v>437206.20275390631</v>
      </c>
      <c r="CF73" s="183">
        <f t="shared" si="485"/>
        <v>437206.20275390631</v>
      </c>
      <c r="CG73" s="183">
        <f t="shared" si="486"/>
        <v>437206.20275390631</v>
      </c>
      <c r="CH73" s="183">
        <f t="shared" si="487"/>
        <v>437206.20275390631</v>
      </c>
      <c r="CI73" s="183">
        <f t="shared" si="488"/>
        <v>437206.20275390631</v>
      </c>
      <c r="CJ73" s="183">
        <f t="shared" si="489"/>
        <v>437206.20275390631</v>
      </c>
      <c r="CK73" s="183">
        <f t="shared" si="490"/>
        <v>437206.20275390631</v>
      </c>
      <c r="CL73" s="183">
        <f t="shared" si="491"/>
        <v>437206.20275390631</v>
      </c>
      <c r="CM73" s="183">
        <f t="shared" si="492"/>
        <v>437206.20275390631</v>
      </c>
      <c r="CN73" s="280">
        <f t="shared" si="493"/>
        <v>459066.51289160165</v>
      </c>
      <c r="CO73" s="183">
        <f t="shared" si="494"/>
        <v>459066.51289160165</v>
      </c>
      <c r="CP73" s="183">
        <f t="shared" si="495"/>
        <v>459066.51289160165</v>
      </c>
      <c r="CQ73" s="183">
        <f t="shared" si="496"/>
        <v>459066.51289160165</v>
      </c>
      <c r="CR73" s="183">
        <f t="shared" si="497"/>
        <v>459066.51289160165</v>
      </c>
      <c r="CS73" s="183">
        <f t="shared" si="498"/>
        <v>459066.51289160165</v>
      </c>
      <c r="CT73" s="183">
        <f t="shared" si="499"/>
        <v>459066.51289160165</v>
      </c>
      <c r="CU73" s="183">
        <f t="shared" si="500"/>
        <v>459066.51289160165</v>
      </c>
      <c r="CV73" s="183">
        <f t="shared" si="501"/>
        <v>459066.51289160165</v>
      </c>
      <c r="CW73" s="183">
        <f t="shared" si="502"/>
        <v>459066.51289160165</v>
      </c>
      <c r="CX73" s="183">
        <f t="shared" si="503"/>
        <v>459066.51289160165</v>
      </c>
      <c r="CY73" s="183">
        <f t="shared" si="504"/>
        <v>459066.51289160165</v>
      </c>
      <c r="CZ73" s="280">
        <f t="shared" si="505"/>
        <v>482019.83853618178</v>
      </c>
      <c r="DA73" s="183">
        <f t="shared" si="506"/>
        <v>482019.83853618178</v>
      </c>
      <c r="DB73" s="183">
        <f t="shared" si="507"/>
        <v>482019.83853618178</v>
      </c>
      <c r="DC73" s="183">
        <f t="shared" si="508"/>
        <v>482019.83853618178</v>
      </c>
      <c r="DD73" s="183">
        <f t="shared" si="509"/>
        <v>482019.83853618178</v>
      </c>
      <c r="DE73" s="183">
        <f t="shared" si="510"/>
        <v>482019.83853618178</v>
      </c>
      <c r="DF73" s="183">
        <f t="shared" si="511"/>
        <v>482019.83853618178</v>
      </c>
      <c r="DG73" s="183">
        <f t="shared" si="512"/>
        <v>482019.83853618178</v>
      </c>
      <c r="DH73" s="183">
        <f t="shared" si="513"/>
        <v>482019.83853618178</v>
      </c>
      <c r="DI73" s="183">
        <f t="shared" si="514"/>
        <v>482019.83853618178</v>
      </c>
      <c r="DJ73" s="183">
        <f t="shared" si="515"/>
        <v>482019.83853618178</v>
      </c>
      <c r="DK73" s="183">
        <f t="shared" si="516"/>
        <v>482019.83853618178</v>
      </c>
      <c r="DL73" s="280">
        <f t="shared" si="517"/>
        <v>506120.83046299091</v>
      </c>
      <c r="DM73" s="183">
        <f t="shared" si="518"/>
        <v>506120.83046299091</v>
      </c>
      <c r="DN73" s="183">
        <f t="shared" si="519"/>
        <v>506120.83046299091</v>
      </c>
      <c r="DO73" s="183">
        <f t="shared" si="520"/>
        <v>506120.83046299091</v>
      </c>
      <c r="DP73" s="183">
        <f t="shared" si="521"/>
        <v>506120.83046299091</v>
      </c>
      <c r="DQ73" s="183">
        <f t="shared" si="522"/>
        <v>506120.83046299091</v>
      </c>
      <c r="DR73" s="183">
        <f t="shared" si="523"/>
        <v>506120.83046299091</v>
      </c>
      <c r="DS73" s="183">
        <f t="shared" si="524"/>
        <v>506120.83046299091</v>
      </c>
      <c r="DT73" s="183">
        <f t="shared" si="525"/>
        <v>506120.83046299091</v>
      </c>
      <c r="DU73" s="183">
        <f t="shared" si="526"/>
        <v>506120.83046299091</v>
      </c>
      <c r="DV73" s="183">
        <f t="shared" si="527"/>
        <v>506120.83046299091</v>
      </c>
      <c r="DW73" s="186">
        <f t="shared" si="528"/>
        <v>506120.83046299091</v>
      </c>
    </row>
    <row r="74" spans="2:127" x14ac:dyDescent="0.3">
      <c r="C74" s="725"/>
      <c r="D74" s="119" t="str">
        <f t="shared" si="465"/>
        <v>AVP / VP</v>
      </c>
      <c r="E74" s="183"/>
      <c r="F74" s="183"/>
      <c r="G74" s="1207">
        <f>IF($B$1&lt;&gt;"Australia",IF($F$4="L4",VLOOKUP($B$4,'Data Master'!$S$68:$AF$76,MATCH($D74,'Data Master'!$S$67:$AF$67,0),0),IF(OR($F$4="L5",$F$4="L6"),VLOOKUP($B$4,'Data Master'!$AG$68:$AT$76,MATCH($D74,'Data Master'!$AG$67:$AT$67,0),0),VLOOKUP($B$4,'Data Master'!$B$68:$R$76,MATCH($D74,'Data Master'!$B$67:$R$67,0),0))),IF(OR($F$4="L4",$F$4="L3"),VLOOKUP($B$4,'Data Master'!$S$68:$AF$76,MATCH($D74,'Data Master'!$S$67:$AF$67,0),0),IF(OR($F$4="L5",$F$4="L6"),VLOOKUP($B$4,'Data Master'!$AG$68:$AT$76,MATCH($D74,'Data Master'!$AG$67:$AT$67,0),0),VLOOKUP($B$4,'Data Master'!$B$68:$R$76,MATCH($D74,'Data Master'!$B$67:$R$67,0),0))))</f>
        <v>378450</v>
      </c>
      <c r="H74" s="183">
        <f t="shared" ref="H74:AM74" si="539">G74*(1+H$129)</f>
        <v>378450</v>
      </c>
      <c r="I74" s="183">
        <f t="shared" si="539"/>
        <v>378450</v>
      </c>
      <c r="J74" s="183">
        <f t="shared" si="539"/>
        <v>378450</v>
      </c>
      <c r="K74" s="183">
        <f t="shared" si="539"/>
        <v>378450</v>
      </c>
      <c r="L74" s="183">
        <f t="shared" si="539"/>
        <v>378450</v>
      </c>
      <c r="M74" s="183">
        <f t="shared" si="539"/>
        <v>378450</v>
      </c>
      <c r="N74" s="183">
        <f t="shared" si="539"/>
        <v>378450</v>
      </c>
      <c r="O74" s="183">
        <f t="shared" si="539"/>
        <v>378450</v>
      </c>
      <c r="P74" s="183">
        <f t="shared" si="539"/>
        <v>378450</v>
      </c>
      <c r="Q74" s="183">
        <f t="shared" si="539"/>
        <v>378450</v>
      </c>
      <c r="R74" s="183">
        <f t="shared" si="539"/>
        <v>378450</v>
      </c>
      <c r="S74" s="183">
        <f t="shared" si="539"/>
        <v>378450</v>
      </c>
      <c r="T74" s="280">
        <f t="shared" si="539"/>
        <v>397372.5</v>
      </c>
      <c r="U74" s="183">
        <f t="shared" si="539"/>
        <v>397372.5</v>
      </c>
      <c r="V74" s="183">
        <f t="shared" si="539"/>
        <v>397372.5</v>
      </c>
      <c r="W74" s="183">
        <f t="shared" si="539"/>
        <v>397372.5</v>
      </c>
      <c r="X74" s="183">
        <f t="shared" si="539"/>
        <v>397372.5</v>
      </c>
      <c r="Y74" s="183">
        <f t="shared" si="539"/>
        <v>397372.5</v>
      </c>
      <c r="Z74" s="183">
        <f t="shared" si="539"/>
        <v>397372.5</v>
      </c>
      <c r="AA74" s="183">
        <f t="shared" si="539"/>
        <v>397372.5</v>
      </c>
      <c r="AB74" s="183">
        <f t="shared" si="539"/>
        <v>397372.5</v>
      </c>
      <c r="AC74" s="183">
        <f t="shared" si="539"/>
        <v>397372.5</v>
      </c>
      <c r="AD74" s="183">
        <f t="shared" si="539"/>
        <v>397372.5</v>
      </c>
      <c r="AE74" s="183">
        <f t="shared" si="539"/>
        <v>397372.5</v>
      </c>
      <c r="AF74" s="280">
        <f t="shared" si="539"/>
        <v>417241.125</v>
      </c>
      <c r="AG74" s="183">
        <f t="shared" si="539"/>
        <v>417241.125</v>
      </c>
      <c r="AH74" s="183">
        <f t="shared" si="539"/>
        <v>417241.125</v>
      </c>
      <c r="AI74" s="183">
        <f t="shared" si="539"/>
        <v>417241.125</v>
      </c>
      <c r="AJ74" s="183">
        <f t="shared" si="539"/>
        <v>417241.125</v>
      </c>
      <c r="AK74" s="183">
        <f t="shared" si="539"/>
        <v>417241.125</v>
      </c>
      <c r="AL74" s="183">
        <f t="shared" si="539"/>
        <v>417241.125</v>
      </c>
      <c r="AM74" s="183">
        <f t="shared" si="539"/>
        <v>417241.125</v>
      </c>
      <c r="AN74" s="183">
        <f t="shared" ref="AN74:BN74" si="540">AM74*(1+AN$129)</f>
        <v>417241.125</v>
      </c>
      <c r="AO74" s="183">
        <f t="shared" si="540"/>
        <v>417241.125</v>
      </c>
      <c r="AP74" s="183">
        <f t="shared" si="540"/>
        <v>417241.125</v>
      </c>
      <c r="AQ74" s="183">
        <f t="shared" si="540"/>
        <v>417241.125</v>
      </c>
      <c r="AR74" s="280">
        <f t="shared" si="540"/>
        <v>438103.18125000002</v>
      </c>
      <c r="AS74" s="183">
        <f t="shared" si="540"/>
        <v>438103.18125000002</v>
      </c>
      <c r="AT74" s="183">
        <f t="shared" si="540"/>
        <v>438103.18125000002</v>
      </c>
      <c r="AU74" s="183">
        <f t="shared" si="540"/>
        <v>438103.18125000002</v>
      </c>
      <c r="AV74" s="183">
        <f t="shared" si="540"/>
        <v>438103.18125000002</v>
      </c>
      <c r="AW74" s="183">
        <f t="shared" si="540"/>
        <v>438103.18125000002</v>
      </c>
      <c r="AX74" s="183">
        <f t="shared" si="540"/>
        <v>438103.18125000002</v>
      </c>
      <c r="AY74" s="183">
        <f t="shared" si="540"/>
        <v>438103.18125000002</v>
      </c>
      <c r="AZ74" s="183">
        <f t="shared" si="540"/>
        <v>438103.18125000002</v>
      </c>
      <c r="BA74" s="183">
        <f t="shared" si="540"/>
        <v>438103.18125000002</v>
      </c>
      <c r="BB74" s="183">
        <f t="shared" si="540"/>
        <v>438103.18125000002</v>
      </c>
      <c r="BC74" s="183">
        <f t="shared" si="540"/>
        <v>438103.18125000002</v>
      </c>
      <c r="BD74" s="280">
        <f t="shared" si="540"/>
        <v>460008.34031250002</v>
      </c>
      <c r="BE74" s="183">
        <f t="shared" si="540"/>
        <v>460008.34031250002</v>
      </c>
      <c r="BF74" s="183">
        <f t="shared" si="540"/>
        <v>460008.34031250002</v>
      </c>
      <c r="BG74" s="183">
        <f t="shared" si="540"/>
        <v>460008.34031250002</v>
      </c>
      <c r="BH74" s="183">
        <f t="shared" si="540"/>
        <v>460008.34031250002</v>
      </c>
      <c r="BI74" s="183">
        <f t="shared" si="540"/>
        <v>460008.34031250002</v>
      </c>
      <c r="BJ74" s="183">
        <f t="shared" si="540"/>
        <v>460008.34031250002</v>
      </c>
      <c r="BK74" s="183">
        <f t="shared" si="540"/>
        <v>460008.34031250002</v>
      </c>
      <c r="BL74" s="183">
        <f t="shared" si="540"/>
        <v>460008.34031250002</v>
      </c>
      <c r="BM74" s="183">
        <f t="shared" si="540"/>
        <v>460008.34031250002</v>
      </c>
      <c r="BN74" s="183">
        <f t="shared" si="540"/>
        <v>460008.34031250002</v>
      </c>
      <c r="BO74" s="183">
        <f t="shared" si="468"/>
        <v>460008.34031250002</v>
      </c>
      <c r="BP74" s="280">
        <f t="shared" si="469"/>
        <v>483008.75732812507</v>
      </c>
      <c r="BQ74" s="183">
        <f t="shared" si="470"/>
        <v>483008.75732812507</v>
      </c>
      <c r="BR74" s="183">
        <f t="shared" si="471"/>
        <v>483008.75732812507</v>
      </c>
      <c r="BS74" s="183">
        <f t="shared" si="472"/>
        <v>483008.75732812507</v>
      </c>
      <c r="BT74" s="183">
        <f t="shared" si="473"/>
        <v>483008.75732812507</v>
      </c>
      <c r="BU74" s="183">
        <f t="shared" si="474"/>
        <v>483008.75732812507</v>
      </c>
      <c r="BV74" s="183">
        <f t="shared" si="475"/>
        <v>483008.75732812507</v>
      </c>
      <c r="BW74" s="183">
        <f t="shared" si="476"/>
        <v>483008.75732812507</v>
      </c>
      <c r="BX74" s="183">
        <f t="shared" si="477"/>
        <v>483008.75732812507</v>
      </c>
      <c r="BY74" s="183">
        <f t="shared" si="478"/>
        <v>483008.75732812507</v>
      </c>
      <c r="BZ74" s="183">
        <f t="shared" si="479"/>
        <v>483008.75732812507</v>
      </c>
      <c r="CA74" s="183">
        <f t="shared" si="480"/>
        <v>483008.75732812507</v>
      </c>
      <c r="CB74" s="280">
        <f t="shared" si="481"/>
        <v>507159.19519453135</v>
      </c>
      <c r="CC74" s="183">
        <f t="shared" si="482"/>
        <v>507159.19519453135</v>
      </c>
      <c r="CD74" s="183">
        <f t="shared" si="483"/>
        <v>507159.19519453135</v>
      </c>
      <c r="CE74" s="183">
        <f t="shared" si="484"/>
        <v>507159.19519453135</v>
      </c>
      <c r="CF74" s="183">
        <f t="shared" si="485"/>
        <v>507159.19519453135</v>
      </c>
      <c r="CG74" s="183">
        <f t="shared" si="486"/>
        <v>507159.19519453135</v>
      </c>
      <c r="CH74" s="183">
        <f t="shared" si="487"/>
        <v>507159.19519453135</v>
      </c>
      <c r="CI74" s="183">
        <f t="shared" si="488"/>
        <v>507159.19519453135</v>
      </c>
      <c r="CJ74" s="183">
        <f t="shared" si="489"/>
        <v>507159.19519453135</v>
      </c>
      <c r="CK74" s="183">
        <f t="shared" si="490"/>
        <v>507159.19519453135</v>
      </c>
      <c r="CL74" s="183">
        <f t="shared" si="491"/>
        <v>507159.19519453135</v>
      </c>
      <c r="CM74" s="183">
        <f t="shared" si="492"/>
        <v>507159.19519453135</v>
      </c>
      <c r="CN74" s="280">
        <f t="shared" si="493"/>
        <v>532517.15495425789</v>
      </c>
      <c r="CO74" s="183">
        <f t="shared" si="494"/>
        <v>532517.15495425789</v>
      </c>
      <c r="CP74" s="183">
        <f t="shared" si="495"/>
        <v>532517.15495425789</v>
      </c>
      <c r="CQ74" s="183">
        <f t="shared" si="496"/>
        <v>532517.15495425789</v>
      </c>
      <c r="CR74" s="183">
        <f t="shared" si="497"/>
        <v>532517.15495425789</v>
      </c>
      <c r="CS74" s="183">
        <f t="shared" si="498"/>
        <v>532517.15495425789</v>
      </c>
      <c r="CT74" s="183">
        <f t="shared" si="499"/>
        <v>532517.15495425789</v>
      </c>
      <c r="CU74" s="183">
        <f t="shared" si="500"/>
        <v>532517.15495425789</v>
      </c>
      <c r="CV74" s="183">
        <f t="shared" si="501"/>
        <v>532517.15495425789</v>
      </c>
      <c r="CW74" s="183">
        <f t="shared" si="502"/>
        <v>532517.15495425789</v>
      </c>
      <c r="CX74" s="183">
        <f t="shared" si="503"/>
        <v>532517.15495425789</v>
      </c>
      <c r="CY74" s="183">
        <f t="shared" si="504"/>
        <v>532517.15495425789</v>
      </c>
      <c r="CZ74" s="280">
        <f t="shared" si="505"/>
        <v>559143.01270197076</v>
      </c>
      <c r="DA74" s="183">
        <f t="shared" si="506"/>
        <v>559143.01270197076</v>
      </c>
      <c r="DB74" s="183">
        <f t="shared" si="507"/>
        <v>559143.01270197076</v>
      </c>
      <c r="DC74" s="183">
        <f t="shared" si="508"/>
        <v>559143.01270197076</v>
      </c>
      <c r="DD74" s="183">
        <f t="shared" si="509"/>
        <v>559143.01270197076</v>
      </c>
      <c r="DE74" s="183">
        <f t="shared" si="510"/>
        <v>559143.01270197076</v>
      </c>
      <c r="DF74" s="183">
        <f t="shared" si="511"/>
        <v>559143.01270197076</v>
      </c>
      <c r="DG74" s="183">
        <f t="shared" si="512"/>
        <v>559143.01270197076</v>
      </c>
      <c r="DH74" s="183">
        <f t="shared" si="513"/>
        <v>559143.01270197076</v>
      </c>
      <c r="DI74" s="183">
        <f t="shared" si="514"/>
        <v>559143.01270197076</v>
      </c>
      <c r="DJ74" s="183">
        <f t="shared" si="515"/>
        <v>559143.01270197076</v>
      </c>
      <c r="DK74" s="183">
        <f t="shared" si="516"/>
        <v>559143.01270197076</v>
      </c>
      <c r="DL74" s="280">
        <f t="shared" si="517"/>
        <v>587100.16333706933</v>
      </c>
      <c r="DM74" s="183">
        <f t="shared" si="518"/>
        <v>587100.16333706933</v>
      </c>
      <c r="DN74" s="183">
        <f t="shared" si="519"/>
        <v>587100.16333706933</v>
      </c>
      <c r="DO74" s="183">
        <f t="shared" si="520"/>
        <v>587100.16333706933</v>
      </c>
      <c r="DP74" s="183">
        <f t="shared" si="521"/>
        <v>587100.16333706933</v>
      </c>
      <c r="DQ74" s="183">
        <f t="shared" si="522"/>
        <v>587100.16333706933</v>
      </c>
      <c r="DR74" s="183">
        <f t="shared" si="523"/>
        <v>587100.16333706933</v>
      </c>
      <c r="DS74" s="183">
        <f t="shared" si="524"/>
        <v>587100.16333706933</v>
      </c>
      <c r="DT74" s="183">
        <f t="shared" si="525"/>
        <v>587100.16333706933</v>
      </c>
      <c r="DU74" s="183">
        <f t="shared" si="526"/>
        <v>587100.16333706933</v>
      </c>
      <c r="DV74" s="183">
        <f t="shared" si="527"/>
        <v>587100.16333706933</v>
      </c>
      <c r="DW74" s="186">
        <f t="shared" si="528"/>
        <v>587100.16333706933</v>
      </c>
    </row>
    <row r="75" spans="2:127" x14ac:dyDescent="0.3">
      <c r="C75" s="725"/>
      <c r="D75" s="119" t="str">
        <f>D52</f>
        <v>SME</v>
      </c>
      <c r="E75" s="183"/>
      <c r="F75" s="183"/>
      <c r="G75" s="1207">
        <f>IF($B$1&lt;&gt;"Australia",IF($F$4="L4",VLOOKUP($B$4,'Data Master'!$S$68:$AF$76,MATCH($D75,'Data Master'!$S$67:$AF$67,0),0),IF(OR($F$4="L5",$F$4="L6"),VLOOKUP($B$4,'Data Master'!$AG$68:$AT$76,MATCH($D75,'Data Master'!$AG$67:$AT$67,0),0),VLOOKUP($B$4,'Data Master'!$B$68:$R$76,MATCH($D75,'Data Master'!$B$67:$R$67,0),0))),IF(OR($F$4="L4",$F$4="L3"),VLOOKUP($B$4,'Data Master'!$S$68:$AF$76,MATCH($D75,'Data Master'!$S$67:$AF$67,0),0),IF(OR($F$4="L5",$F$4="L6"),VLOOKUP($B$4,'Data Master'!$AG$68:$AT$76,MATCH($D75,'Data Master'!$AG$67:$AT$67,0),0),VLOOKUP($B$4,'Data Master'!$B$68:$R$76,MATCH($D75,'Data Master'!$B$67:$R$67,0),0))))</f>
        <v>62500</v>
      </c>
      <c r="H75" s="183">
        <f t="shared" ref="H75:AM75" si="541">G75*(1+H$129)</f>
        <v>62500</v>
      </c>
      <c r="I75" s="183">
        <f t="shared" si="541"/>
        <v>62500</v>
      </c>
      <c r="J75" s="183">
        <f t="shared" si="541"/>
        <v>62500</v>
      </c>
      <c r="K75" s="183">
        <f t="shared" si="541"/>
        <v>62500</v>
      </c>
      <c r="L75" s="183">
        <f t="shared" si="541"/>
        <v>62500</v>
      </c>
      <c r="M75" s="183">
        <f t="shared" si="541"/>
        <v>62500</v>
      </c>
      <c r="N75" s="183">
        <f t="shared" si="541"/>
        <v>62500</v>
      </c>
      <c r="O75" s="183">
        <f t="shared" si="541"/>
        <v>62500</v>
      </c>
      <c r="P75" s="183">
        <f t="shared" si="541"/>
        <v>62500</v>
      </c>
      <c r="Q75" s="183">
        <f t="shared" si="541"/>
        <v>62500</v>
      </c>
      <c r="R75" s="183">
        <f t="shared" si="541"/>
        <v>62500</v>
      </c>
      <c r="S75" s="183">
        <f t="shared" si="541"/>
        <v>62500</v>
      </c>
      <c r="T75" s="280">
        <f t="shared" si="541"/>
        <v>65625</v>
      </c>
      <c r="U75" s="183">
        <f t="shared" si="541"/>
        <v>65625</v>
      </c>
      <c r="V75" s="183">
        <f t="shared" si="541"/>
        <v>65625</v>
      </c>
      <c r="W75" s="183">
        <f t="shared" si="541"/>
        <v>65625</v>
      </c>
      <c r="X75" s="183">
        <f t="shared" si="541"/>
        <v>65625</v>
      </c>
      <c r="Y75" s="183">
        <f t="shared" si="541"/>
        <v>65625</v>
      </c>
      <c r="Z75" s="183">
        <f t="shared" si="541"/>
        <v>65625</v>
      </c>
      <c r="AA75" s="183">
        <f t="shared" si="541"/>
        <v>65625</v>
      </c>
      <c r="AB75" s="183">
        <f t="shared" si="541"/>
        <v>65625</v>
      </c>
      <c r="AC75" s="183">
        <f t="shared" si="541"/>
        <v>65625</v>
      </c>
      <c r="AD75" s="183">
        <f t="shared" si="541"/>
        <v>65625</v>
      </c>
      <c r="AE75" s="183">
        <f t="shared" si="541"/>
        <v>65625</v>
      </c>
      <c r="AF75" s="280">
        <f t="shared" si="541"/>
        <v>68906.25</v>
      </c>
      <c r="AG75" s="183">
        <f t="shared" si="541"/>
        <v>68906.25</v>
      </c>
      <c r="AH75" s="183">
        <f t="shared" si="541"/>
        <v>68906.25</v>
      </c>
      <c r="AI75" s="183">
        <f t="shared" si="541"/>
        <v>68906.25</v>
      </c>
      <c r="AJ75" s="183">
        <f t="shared" si="541"/>
        <v>68906.25</v>
      </c>
      <c r="AK75" s="183">
        <f t="shared" si="541"/>
        <v>68906.25</v>
      </c>
      <c r="AL75" s="183">
        <f t="shared" si="541"/>
        <v>68906.25</v>
      </c>
      <c r="AM75" s="183">
        <f t="shared" si="541"/>
        <v>68906.25</v>
      </c>
      <c r="AN75" s="183">
        <f t="shared" ref="AN75:BN75" si="542">AM75*(1+AN$129)</f>
        <v>68906.25</v>
      </c>
      <c r="AO75" s="183">
        <f t="shared" si="542"/>
        <v>68906.25</v>
      </c>
      <c r="AP75" s="183">
        <f t="shared" si="542"/>
        <v>68906.25</v>
      </c>
      <c r="AQ75" s="183">
        <f t="shared" si="542"/>
        <v>68906.25</v>
      </c>
      <c r="AR75" s="280">
        <f t="shared" si="542"/>
        <v>72351.5625</v>
      </c>
      <c r="AS75" s="183">
        <f t="shared" si="542"/>
        <v>72351.5625</v>
      </c>
      <c r="AT75" s="183">
        <f t="shared" si="542"/>
        <v>72351.5625</v>
      </c>
      <c r="AU75" s="183">
        <f t="shared" si="542"/>
        <v>72351.5625</v>
      </c>
      <c r="AV75" s="183">
        <f t="shared" si="542"/>
        <v>72351.5625</v>
      </c>
      <c r="AW75" s="183">
        <f t="shared" si="542"/>
        <v>72351.5625</v>
      </c>
      <c r="AX75" s="183">
        <f t="shared" si="542"/>
        <v>72351.5625</v>
      </c>
      <c r="AY75" s="183">
        <f t="shared" si="542"/>
        <v>72351.5625</v>
      </c>
      <c r="AZ75" s="183">
        <f t="shared" si="542"/>
        <v>72351.5625</v>
      </c>
      <c r="BA75" s="183">
        <f t="shared" si="542"/>
        <v>72351.5625</v>
      </c>
      <c r="BB75" s="183">
        <f t="shared" si="542"/>
        <v>72351.5625</v>
      </c>
      <c r="BC75" s="183">
        <f t="shared" si="542"/>
        <v>72351.5625</v>
      </c>
      <c r="BD75" s="280">
        <f t="shared" si="542"/>
        <v>75969.140625</v>
      </c>
      <c r="BE75" s="183">
        <f t="shared" si="542"/>
        <v>75969.140625</v>
      </c>
      <c r="BF75" s="183">
        <f t="shared" si="542"/>
        <v>75969.140625</v>
      </c>
      <c r="BG75" s="183">
        <f t="shared" si="542"/>
        <v>75969.140625</v>
      </c>
      <c r="BH75" s="183">
        <f t="shared" si="542"/>
        <v>75969.140625</v>
      </c>
      <c r="BI75" s="183">
        <f t="shared" si="542"/>
        <v>75969.140625</v>
      </c>
      <c r="BJ75" s="183">
        <f t="shared" si="542"/>
        <v>75969.140625</v>
      </c>
      <c r="BK75" s="183">
        <f t="shared" si="542"/>
        <v>75969.140625</v>
      </c>
      <c r="BL75" s="183">
        <f t="shared" si="542"/>
        <v>75969.140625</v>
      </c>
      <c r="BM75" s="183">
        <f t="shared" si="542"/>
        <v>75969.140625</v>
      </c>
      <c r="BN75" s="183">
        <f t="shared" si="542"/>
        <v>75969.140625</v>
      </c>
      <c r="BO75" s="183">
        <f t="shared" si="468"/>
        <v>75969.140625</v>
      </c>
      <c r="BP75" s="280">
        <f t="shared" si="469"/>
        <v>79767.59765625</v>
      </c>
      <c r="BQ75" s="183">
        <f t="shared" si="470"/>
        <v>79767.59765625</v>
      </c>
      <c r="BR75" s="183">
        <f t="shared" si="471"/>
        <v>79767.59765625</v>
      </c>
      <c r="BS75" s="183">
        <f t="shared" si="472"/>
        <v>79767.59765625</v>
      </c>
      <c r="BT75" s="183">
        <f t="shared" si="473"/>
        <v>79767.59765625</v>
      </c>
      <c r="BU75" s="183">
        <f t="shared" si="474"/>
        <v>79767.59765625</v>
      </c>
      <c r="BV75" s="183">
        <f t="shared" si="475"/>
        <v>79767.59765625</v>
      </c>
      <c r="BW75" s="183">
        <f t="shared" si="476"/>
        <v>79767.59765625</v>
      </c>
      <c r="BX75" s="183">
        <f t="shared" si="477"/>
        <v>79767.59765625</v>
      </c>
      <c r="BY75" s="183">
        <f t="shared" si="478"/>
        <v>79767.59765625</v>
      </c>
      <c r="BZ75" s="183">
        <f t="shared" si="479"/>
        <v>79767.59765625</v>
      </c>
      <c r="CA75" s="183">
        <f t="shared" si="480"/>
        <v>79767.59765625</v>
      </c>
      <c r="CB75" s="280">
        <f t="shared" si="481"/>
        <v>83755.9775390625</v>
      </c>
      <c r="CC75" s="183">
        <f t="shared" si="482"/>
        <v>83755.9775390625</v>
      </c>
      <c r="CD75" s="183">
        <f t="shared" si="483"/>
        <v>83755.9775390625</v>
      </c>
      <c r="CE75" s="183">
        <f t="shared" si="484"/>
        <v>83755.9775390625</v>
      </c>
      <c r="CF75" s="183">
        <f t="shared" si="485"/>
        <v>83755.9775390625</v>
      </c>
      <c r="CG75" s="183">
        <f t="shared" si="486"/>
        <v>83755.9775390625</v>
      </c>
      <c r="CH75" s="183">
        <f t="shared" si="487"/>
        <v>83755.9775390625</v>
      </c>
      <c r="CI75" s="183">
        <f t="shared" si="488"/>
        <v>83755.9775390625</v>
      </c>
      <c r="CJ75" s="183">
        <f t="shared" si="489"/>
        <v>83755.9775390625</v>
      </c>
      <c r="CK75" s="183">
        <f t="shared" si="490"/>
        <v>83755.9775390625</v>
      </c>
      <c r="CL75" s="183">
        <f t="shared" si="491"/>
        <v>83755.9775390625</v>
      </c>
      <c r="CM75" s="183">
        <f t="shared" si="492"/>
        <v>83755.9775390625</v>
      </c>
      <c r="CN75" s="280">
        <f t="shared" si="493"/>
        <v>87943.776416015622</v>
      </c>
      <c r="CO75" s="183">
        <f t="shared" si="494"/>
        <v>87943.776416015622</v>
      </c>
      <c r="CP75" s="183">
        <f t="shared" si="495"/>
        <v>87943.776416015622</v>
      </c>
      <c r="CQ75" s="183">
        <f t="shared" si="496"/>
        <v>87943.776416015622</v>
      </c>
      <c r="CR75" s="183">
        <f t="shared" si="497"/>
        <v>87943.776416015622</v>
      </c>
      <c r="CS75" s="183">
        <f t="shared" si="498"/>
        <v>87943.776416015622</v>
      </c>
      <c r="CT75" s="183">
        <f t="shared" si="499"/>
        <v>87943.776416015622</v>
      </c>
      <c r="CU75" s="183">
        <f t="shared" si="500"/>
        <v>87943.776416015622</v>
      </c>
      <c r="CV75" s="183">
        <f t="shared" si="501"/>
        <v>87943.776416015622</v>
      </c>
      <c r="CW75" s="183">
        <f t="shared" si="502"/>
        <v>87943.776416015622</v>
      </c>
      <c r="CX75" s="183">
        <f t="shared" si="503"/>
        <v>87943.776416015622</v>
      </c>
      <c r="CY75" s="183">
        <f t="shared" si="504"/>
        <v>87943.776416015622</v>
      </c>
      <c r="CZ75" s="280">
        <f t="shared" si="505"/>
        <v>92340.96523681641</v>
      </c>
      <c r="DA75" s="183">
        <f t="shared" si="506"/>
        <v>92340.96523681641</v>
      </c>
      <c r="DB75" s="183">
        <f t="shared" si="507"/>
        <v>92340.96523681641</v>
      </c>
      <c r="DC75" s="183">
        <f t="shared" si="508"/>
        <v>92340.96523681641</v>
      </c>
      <c r="DD75" s="183">
        <f t="shared" si="509"/>
        <v>92340.96523681641</v>
      </c>
      <c r="DE75" s="183">
        <f t="shared" si="510"/>
        <v>92340.96523681641</v>
      </c>
      <c r="DF75" s="183">
        <f t="shared" si="511"/>
        <v>92340.96523681641</v>
      </c>
      <c r="DG75" s="183">
        <f t="shared" si="512"/>
        <v>92340.96523681641</v>
      </c>
      <c r="DH75" s="183">
        <f t="shared" si="513"/>
        <v>92340.96523681641</v>
      </c>
      <c r="DI75" s="183">
        <f t="shared" si="514"/>
        <v>92340.96523681641</v>
      </c>
      <c r="DJ75" s="183">
        <f t="shared" si="515"/>
        <v>92340.96523681641</v>
      </c>
      <c r="DK75" s="183">
        <f t="shared" si="516"/>
        <v>92340.96523681641</v>
      </c>
      <c r="DL75" s="280">
        <f t="shared" si="517"/>
        <v>96958.013498657238</v>
      </c>
      <c r="DM75" s="183">
        <f t="shared" si="518"/>
        <v>96958.013498657238</v>
      </c>
      <c r="DN75" s="183">
        <f t="shared" si="519"/>
        <v>96958.013498657238</v>
      </c>
      <c r="DO75" s="183">
        <f t="shared" si="520"/>
        <v>96958.013498657238</v>
      </c>
      <c r="DP75" s="183">
        <f t="shared" si="521"/>
        <v>96958.013498657238</v>
      </c>
      <c r="DQ75" s="183">
        <f t="shared" si="522"/>
        <v>96958.013498657238</v>
      </c>
      <c r="DR75" s="183">
        <f t="shared" si="523"/>
        <v>96958.013498657238</v>
      </c>
      <c r="DS75" s="183">
        <f t="shared" si="524"/>
        <v>96958.013498657238</v>
      </c>
      <c r="DT75" s="183">
        <f t="shared" si="525"/>
        <v>96958.013498657238</v>
      </c>
      <c r="DU75" s="183">
        <f t="shared" si="526"/>
        <v>96958.013498657238</v>
      </c>
      <c r="DV75" s="183">
        <f t="shared" si="527"/>
        <v>96958.013498657238</v>
      </c>
      <c r="DW75" s="186">
        <f t="shared" si="528"/>
        <v>96958.013498657238</v>
      </c>
    </row>
    <row r="76" spans="2:127" x14ac:dyDescent="0.3">
      <c r="C76" s="725"/>
      <c r="D76" s="119" t="str">
        <f t="shared" si="465"/>
        <v>QA</v>
      </c>
      <c r="E76" s="183"/>
      <c r="F76" s="183"/>
      <c r="G76" s="1207">
        <f>IF($B$1&lt;&gt;"Australia",IF($F$4="L4",VLOOKUP($B$4,'Data Master'!$S$68:$AF$76,MATCH($D76,'Data Master'!$S$67:$AF$67,0),0),IF(OR($F$4="L5",$F$4="L6"),VLOOKUP($B$4,'Data Master'!$AG$68:$AT$76,MATCH($D76,'Data Master'!$AG$67:$AT$67,0),0),VLOOKUP($B$4,'Data Master'!$B$68:$R$76,MATCH($D76,'Data Master'!$B$67:$R$67,0),0))),IF(OR($F$4="L4",$F$4="L3"),VLOOKUP($B$4,'Data Master'!$S$68:$AF$76,MATCH($D76,'Data Master'!$S$67:$AF$67,0),0),IF(OR($F$4="L5",$F$4="L6"),VLOOKUP($B$4,'Data Master'!$AG$68:$AT$76,MATCH($D76,'Data Master'!$AG$67:$AT$67,0),0),VLOOKUP($B$4,'Data Master'!$B$68:$R$76,MATCH($D76,'Data Master'!$B$67:$R$67,0),0))))</f>
        <v>62500</v>
      </c>
      <c r="H76" s="183">
        <f t="shared" ref="H76:AM76" si="543">G76*(1+H$129)</f>
        <v>62500</v>
      </c>
      <c r="I76" s="183">
        <f t="shared" si="543"/>
        <v>62500</v>
      </c>
      <c r="J76" s="183">
        <f t="shared" si="543"/>
        <v>62500</v>
      </c>
      <c r="K76" s="183">
        <f t="shared" si="543"/>
        <v>62500</v>
      </c>
      <c r="L76" s="183">
        <f t="shared" si="543"/>
        <v>62500</v>
      </c>
      <c r="M76" s="183">
        <f t="shared" si="543"/>
        <v>62500</v>
      </c>
      <c r="N76" s="183">
        <f t="shared" si="543"/>
        <v>62500</v>
      </c>
      <c r="O76" s="183">
        <f t="shared" si="543"/>
        <v>62500</v>
      </c>
      <c r="P76" s="183">
        <f t="shared" si="543"/>
        <v>62500</v>
      </c>
      <c r="Q76" s="183">
        <f t="shared" si="543"/>
        <v>62500</v>
      </c>
      <c r="R76" s="183">
        <f t="shared" si="543"/>
        <v>62500</v>
      </c>
      <c r="S76" s="183">
        <f t="shared" si="543"/>
        <v>62500</v>
      </c>
      <c r="T76" s="280">
        <f t="shared" si="543"/>
        <v>65625</v>
      </c>
      <c r="U76" s="183">
        <f t="shared" si="543"/>
        <v>65625</v>
      </c>
      <c r="V76" s="183">
        <f t="shared" si="543"/>
        <v>65625</v>
      </c>
      <c r="W76" s="183">
        <f t="shared" si="543"/>
        <v>65625</v>
      </c>
      <c r="X76" s="183">
        <f t="shared" si="543"/>
        <v>65625</v>
      </c>
      <c r="Y76" s="183">
        <f t="shared" si="543"/>
        <v>65625</v>
      </c>
      <c r="Z76" s="183">
        <f t="shared" si="543"/>
        <v>65625</v>
      </c>
      <c r="AA76" s="183">
        <f t="shared" si="543"/>
        <v>65625</v>
      </c>
      <c r="AB76" s="183">
        <f t="shared" si="543"/>
        <v>65625</v>
      </c>
      <c r="AC76" s="183">
        <f t="shared" si="543"/>
        <v>65625</v>
      </c>
      <c r="AD76" s="183">
        <f t="shared" si="543"/>
        <v>65625</v>
      </c>
      <c r="AE76" s="183">
        <f t="shared" si="543"/>
        <v>65625</v>
      </c>
      <c r="AF76" s="280">
        <f t="shared" si="543"/>
        <v>68906.25</v>
      </c>
      <c r="AG76" s="183">
        <f t="shared" si="543"/>
        <v>68906.25</v>
      </c>
      <c r="AH76" s="183">
        <f t="shared" si="543"/>
        <v>68906.25</v>
      </c>
      <c r="AI76" s="183">
        <f t="shared" si="543"/>
        <v>68906.25</v>
      </c>
      <c r="AJ76" s="183">
        <f t="shared" si="543"/>
        <v>68906.25</v>
      </c>
      <c r="AK76" s="183">
        <f t="shared" si="543"/>
        <v>68906.25</v>
      </c>
      <c r="AL76" s="183">
        <f t="shared" si="543"/>
        <v>68906.25</v>
      </c>
      <c r="AM76" s="183">
        <f t="shared" si="543"/>
        <v>68906.25</v>
      </c>
      <c r="AN76" s="183">
        <f t="shared" ref="AN76:BN76" si="544">AM76*(1+AN$129)</f>
        <v>68906.25</v>
      </c>
      <c r="AO76" s="183">
        <f t="shared" si="544"/>
        <v>68906.25</v>
      </c>
      <c r="AP76" s="183">
        <f t="shared" si="544"/>
        <v>68906.25</v>
      </c>
      <c r="AQ76" s="183">
        <f t="shared" si="544"/>
        <v>68906.25</v>
      </c>
      <c r="AR76" s="280">
        <f t="shared" si="544"/>
        <v>72351.5625</v>
      </c>
      <c r="AS76" s="183">
        <f t="shared" si="544"/>
        <v>72351.5625</v>
      </c>
      <c r="AT76" s="183">
        <f t="shared" si="544"/>
        <v>72351.5625</v>
      </c>
      <c r="AU76" s="183">
        <f t="shared" si="544"/>
        <v>72351.5625</v>
      </c>
      <c r="AV76" s="183">
        <f t="shared" si="544"/>
        <v>72351.5625</v>
      </c>
      <c r="AW76" s="183">
        <f t="shared" si="544"/>
        <v>72351.5625</v>
      </c>
      <c r="AX76" s="183">
        <f t="shared" si="544"/>
        <v>72351.5625</v>
      </c>
      <c r="AY76" s="183">
        <f t="shared" si="544"/>
        <v>72351.5625</v>
      </c>
      <c r="AZ76" s="183">
        <f t="shared" si="544"/>
        <v>72351.5625</v>
      </c>
      <c r="BA76" s="183">
        <f t="shared" si="544"/>
        <v>72351.5625</v>
      </c>
      <c r="BB76" s="183">
        <f t="shared" si="544"/>
        <v>72351.5625</v>
      </c>
      <c r="BC76" s="183">
        <f t="shared" si="544"/>
        <v>72351.5625</v>
      </c>
      <c r="BD76" s="280">
        <f t="shared" si="544"/>
        <v>75969.140625</v>
      </c>
      <c r="BE76" s="183">
        <f t="shared" si="544"/>
        <v>75969.140625</v>
      </c>
      <c r="BF76" s="183">
        <f t="shared" si="544"/>
        <v>75969.140625</v>
      </c>
      <c r="BG76" s="183">
        <f t="shared" si="544"/>
        <v>75969.140625</v>
      </c>
      <c r="BH76" s="183">
        <f t="shared" si="544"/>
        <v>75969.140625</v>
      </c>
      <c r="BI76" s="183">
        <f t="shared" si="544"/>
        <v>75969.140625</v>
      </c>
      <c r="BJ76" s="183">
        <f t="shared" si="544"/>
        <v>75969.140625</v>
      </c>
      <c r="BK76" s="183">
        <f t="shared" si="544"/>
        <v>75969.140625</v>
      </c>
      <c r="BL76" s="183">
        <f t="shared" si="544"/>
        <v>75969.140625</v>
      </c>
      <c r="BM76" s="183">
        <f t="shared" si="544"/>
        <v>75969.140625</v>
      </c>
      <c r="BN76" s="183">
        <f t="shared" si="544"/>
        <v>75969.140625</v>
      </c>
      <c r="BO76" s="183">
        <f t="shared" si="468"/>
        <v>75969.140625</v>
      </c>
      <c r="BP76" s="280">
        <f t="shared" si="469"/>
        <v>79767.59765625</v>
      </c>
      <c r="BQ76" s="183">
        <f t="shared" si="470"/>
        <v>79767.59765625</v>
      </c>
      <c r="BR76" s="183">
        <f t="shared" si="471"/>
        <v>79767.59765625</v>
      </c>
      <c r="BS76" s="183">
        <f t="shared" si="472"/>
        <v>79767.59765625</v>
      </c>
      <c r="BT76" s="183">
        <f t="shared" si="473"/>
        <v>79767.59765625</v>
      </c>
      <c r="BU76" s="183">
        <f t="shared" si="474"/>
        <v>79767.59765625</v>
      </c>
      <c r="BV76" s="183">
        <f t="shared" si="475"/>
        <v>79767.59765625</v>
      </c>
      <c r="BW76" s="183">
        <f t="shared" si="476"/>
        <v>79767.59765625</v>
      </c>
      <c r="BX76" s="183">
        <f t="shared" si="477"/>
        <v>79767.59765625</v>
      </c>
      <c r="BY76" s="183">
        <f t="shared" si="478"/>
        <v>79767.59765625</v>
      </c>
      <c r="BZ76" s="183">
        <f t="shared" si="479"/>
        <v>79767.59765625</v>
      </c>
      <c r="CA76" s="183">
        <f t="shared" si="480"/>
        <v>79767.59765625</v>
      </c>
      <c r="CB76" s="280">
        <f t="shared" si="481"/>
        <v>83755.9775390625</v>
      </c>
      <c r="CC76" s="183">
        <f t="shared" si="482"/>
        <v>83755.9775390625</v>
      </c>
      <c r="CD76" s="183">
        <f t="shared" si="483"/>
        <v>83755.9775390625</v>
      </c>
      <c r="CE76" s="183">
        <f t="shared" si="484"/>
        <v>83755.9775390625</v>
      </c>
      <c r="CF76" s="183">
        <f t="shared" si="485"/>
        <v>83755.9775390625</v>
      </c>
      <c r="CG76" s="183">
        <f t="shared" si="486"/>
        <v>83755.9775390625</v>
      </c>
      <c r="CH76" s="183">
        <f t="shared" si="487"/>
        <v>83755.9775390625</v>
      </c>
      <c r="CI76" s="183">
        <f t="shared" si="488"/>
        <v>83755.9775390625</v>
      </c>
      <c r="CJ76" s="183">
        <f t="shared" si="489"/>
        <v>83755.9775390625</v>
      </c>
      <c r="CK76" s="183">
        <f t="shared" si="490"/>
        <v>83755.9775390625</v>
      </c>
      <c r="CL76" s="183">
        <f t="shared" si="491"/>
        <v>83755.9775390625</v>
      </c>
      <c r="CM76" s="183">
        <f t="shared" si="492"/>
        <v>83755.9775390625</v>
      </c>
      <c r="CN76" s="280">
        <f t="shared" si="493"/>
        <v>87943.776416015622</v>
      </c>
      <c r="CO76" s="183">
        <f t="shared" si="494"/>
        <v>87943.776416015622</v>
      </c>
      <c r="CP76" s="183">
        <f t="shared" si="495"/>
        <v>87943.776416015622</v>
      </c>
      <c r="CQ76" s="183">
        <f t="shared" si="496"/>
        <v>87943.776416015622</v>
      </c>
      <c r="CR76" s="183">
        <f t="shared" si="497"/>
        <v>87943.776416015622</v>
      </c>
      <c r="CS76" s="183">
        <f t="shared" si="498"/>
        <v>87943.776416015622</v>
      </c>
      <c r="CT76" s="183">
        <f t="shared" si="499"/>
        <v>87943.776416015622</v>
      </c>
      <c r="CU76" s="183">
        <f t="shared" si="500"/>
        <v>87943.776416015622</v>
      </c>
      <c r="CV76" s="183">
        <f t="shared" si="501"/>
        <v>87943.776416015622</v>
      </c>
      <c r="CW76" s="183">
        <f t="shared" si="502"/>
        <v>87943.776416015622</v>
      </c>
      <c r="CX76" s="183">
        <f t="shared" si="503"/>
        <v>87943.776416015622</v>
      </c>
      <c r="CY76" s="183">
        <f t="shared" si="504"/>
        <v>87943.776416015622</v>
      </c>
      <c r="CZ76" s="280">
        <f t="shared" si="505"/>
        <v>92340.96523681641</v>
      </c>
      <c r="DA76" s="183">
        <f t="shared" si="506"/>
        <v>92340.96523681641</v>
      </c>
      <c r="DB76" s="183">
        <f t="shared" si="507"/>
        <v>92340.96523681641</v>
      </c>
      <c r="DC76" s="183">
        <f t="shared" si="508"/>
        <v>92340.96523681641</v>
      </c>
      <c r="DD76" s="183">
        <f t="shared" si="509"/>
        <v>92340.96523681641</v>
      </c>
      <c r="DE76" s="183">
        <f t="shared" si="510"/>
        <v>92340.96523681641</v>
      </c>
      <c r="DF76" s="183">
        <f t="shared" si="511"/>
        <v>92340.96523681641</v>
      </c>
      <c r="DG76" s="183">
        <f t="shared" si="512"/>
        <v>92340.96523681641</v>
      </c>
      <c r="DH76" s="183">
        <f t="shared" si="513"/>
        <v>92340.96523681641</v>
      </c>
      <c r="DI76" s="183">
        <f t="shared" si="514"/>
        <v>92340.96523681641</v>
      </c>
      <c r="DJ76" s="183">
        <f t="shared" si="515"/>
        <v>92340.96523681641</v>
      </c>
      <c r="DK76" s="183">
        <f t="shared" si="516"/>
        <v>92340.96523681641</v>
      </c>
      <c r="DL76" s="280">
        <f t="shared" si="517"/>
        <v>96958.013498657238</v>
      </c>
      <c r="DM76" s="183">
        <f t="shared" si="518"/>
        <v>96958.013498657238</v>
      </c>
      <c r="DN76" s="183">
        <f t="shared" si="519"/>
        <v>96958.013498657238</v>
      </c>
      <c r="DO76" s="183">
        <f t="shared" si="520"/>
        <v>96958.013498657238</v>
      </c>
      <c r="DP76" s="183">
        <f t="shared" si="521"/>
        <v>96958.013498657238</v>
      </c>
      <c r="DQ76" s="183">
        <f t="shared" si="522"/>
        <v>96958.013498657238</v>
      </c>
      <c r="DR76" s="183">
        <f t="shared" si="523"/>
        <v>96958.013498657238</v>
      </c>
      <c r="DS76" s="183">
        <f t="shared" si="524"/>
        <v>96958.013498657238</v>
      </c>
      <c r="DT76" s="183">
        <f t="shared" si="525"/>
        <v>96958.013498657238</v>
      </c>
      <c r="DU76" s="183">
        <f t="shared" si="526"/>
        <v>96958.013498657238</v>
      </c>
      <c r="DV76" s="183">
        <f t="shared" si="527"/>
        <v>96958.013498657238</v>
      </c>
      <c r="DW76" s="186">
        <f t="shared" si="528"/>
        <v>96958.013498657238</v>
      </c>
    </row>
    <row r="77" spans="2:127" x14ac:dyDescent="0.3">
      <c r="C77" s="725"/>
      <c r="D77" s="119" t="str">
        <f t="shared" si="465"/>
        <v>Trainer</v>
      </c>
      <c r="E77" s="183"/>
      <c r="F77" s="183"/>
      <c r="G77" s="1207">
        <f>IF($B$1&lt;&gt;"Australia",IF($F$4="L4",VLOOKUP($B$4,'Data Master'!$S$68:$AF$76,MATCH($D77,'Data Master'!$S$67:$AF$67,0),0),IF(OR($F$4="L5",$F$4="L6"),VLOOKUP($B$4,'Data Master'!$AG$68:$AT$76,MATCH($D77,'Data Master'!$AG$67:$AT$67,0),0),VLOOKUP($B$4,'Data Master'!$B$68:$R$76,MATCH($D77,'Data Master'!$B$67:$R$67,0),0))),IF(OR($F$4="L4",$F$4="L3"),VLOOKUP($B$4,'Data Master'!$S$68:$AF$76,MATCH($D77,'Data Master'!$S$67:$AF$67,0),0),IF(OR($F$4="L5",$F$4="L6"),VLOOKUP($B$4,'Data Master'!$AG$68:$AT$76,MATCH($D77,'Data Master'!$AG$67:$AT$67,0),0),VLOOKUP($B$4,'Data Master'!$B$68:$R$76,MATCH($D77,'Data Master'!$B$67:$R$67,0),0))))</f>
        <v>75000</v>
      </c>
      <c r="H77" s="183">
        <f t="shared" ref="H77:AM77" si="545">G77*(1+H$129)</f>
        <v>75000</v>
      </c>
      <c r="I77" s="183">
        <f t="shared" si="545"/>
        <v>75000</v>
      </c>
      <c r="J77" s="183">
        <f t="shared" si="545"/>
        <v>75000</v>
      </c>
      <c r="K77" s="183">
        <f t="shared" si="545"/>
        <v>75000</v>
      </c>
      <c r="L77" s="183">
        <f t="shared" si="545"/>
        <v>75000</v>
      </c>
      <c r="M77" s="183">
        <f t="shared" si="545"/>
        <v>75000</v>
      </c>
      <c r="N77" s="183">
        <f t="shared" si="545"/>
        <v>75000</v>
      </c>
      <c r="O77" s="183">
        <f t="shared" si="545"/>
        <v>75000</v>
      </c>
      <c r="P77" s="183">
        <f t="shared" si="545"/>
        <v>75000</v>
      </c>
      <c r="Q77" s="183">
        <f t="shared" si="545"/>
        <v>75000</v>
      </c>
      <c r="R77" s="183">
        <f t="shared" si="545"/>
        <v>75000</v>
      </c>
      <c r="S77" s="183">
        <f t="shared" si="545"/>
        <v>75000</v>
      </c>
      <c r="T77" s="280">
        <f t="shared" si="545"/>
        <v>78750</v>
      </c>
      <c r="U77" s="183">
        <f t="shared" si="545"/>
        <v>78750</v>
      </c>
      <c r="V77" s="183">
        <f t="shared" si="545"/>
        <v>78750</v>
      </c>
      <c r="W77" s="183">
        <f t="shared" si="545"/>
        <v>78750</v>
      </c>
      <c r="X77" s="183">
        <f t="shared" si="545"/>
        <v>78750</v>
      </c>
      <c r="Y77" s="183">
        <f t="shared" si="545"/>
        <v>78750</v>
      </c>
      <c r="Z77" s="183">
        <f t="shared" si="545"/>
        <v>78750</v>
      </c>
      <c r="AA77" s="183">
        <f t="shared" si="545"/>
        <v>78750</v>
      </c>
      <c r="AB77" s="183">
        <f t="shared" si="545"/>
        <v>78750</v>
      </c>
      <c r="AC77" s="183">
        <f t="shared" si="545"/>
        <v>78750</v>
      </c>
      <c r="AD77" s="183">
        <f t="shared" si="545"/>
        <v>78750</v>
      </c>
      <c r="AE77" s="183">
        <f t="shared" si="545"/>
        <v>78750</v>
      </c>
      <c r="AF77" s="280">
        <f t="shared" si="545"/>
        <v>82687.5</v>
      </c>
      <c r="AG77" s="183">
        <f t="shared" si="545"/>
        <v>82687.5</v>
      </c>
      <c r="AH77" s="183">
        <f t="shared" si="545"/>
        <v>82687.5</v>
      </c>
      <c r="AI77" s="183">
        <f t="shared" si="545"/>
        <v>82687.5</v>
      </c>
      <c r="AJ77" s="183">
        <f t="shared" si="545"/>
        <v>82687.5</v>
      </c>
      <c r="AK77" s="183">
        <f t="shared" si="545"/>
        <v>82687.5</v>
      </c>
      <c r="AL77" s="183">
        <f t="shared" si="545"/>
        <v>82687.5</v>
      </c>
      <c r="AM77" s="183">
        <f t="shared" si="545"/>
        <v>82687.5</v>
      </c>
      <c r="AN77" s="183">
        <f t="shared" ref="AN77:BN77" si="546">AM77*(1+AN$129)</f>
        <v>82687.5</v>
      </c>
      <c r="AO77" s="183">
        <f t="shared" si="546"/>
        <v>82687.5</v>
      </c>
      <c r="AP77" s="183">
        <f t="shared" si="546"/>
        <v>82687.5</v>
      </c>
      <c r="AQ77" s="183">
        <f t="shared" si="546"/>
        <v>82687.5</v>
      </c>
      <c r="AR77" s="280">
        <f t="shared" si="546"/>
        <v>86821.875</v>
      </c>
      <c r="AS77" s="183">
        <f t="shared" si="546"/>
        <v>86821.875</v>
      </c>
      <c r="AT77" s="183">
        <f t="shared" si="546"/>
        <v>86821.875</v>
      </c>
      <c r="AU77" s="183">
        <f t="shared" si="546"/>
        <v>86821.875</v>
      </c>
      <c r="AV77" s="183">
        <f t="shared" si="546"/>
        <v>86821.875</v>
      </c>
      <c r="AW77" s="183">
        <f t="shared" si="546"/>
        <v>86821.875</v>
      </c>
      <c r="AX77" s="183">
        <f t="shared" si="546"/>
        <v>86821.875</v>
      </c>
      <c r="AY77" s="183">
        <f t="shared" si="546"/>
        <v>86821.875</v>
      </c>
      <c r="AZ77" s="183">
        <f t="shared" si="546"/>
        <v>86821.875</v>
      </c>
      <c r="BA77" s="183">
        <f t="shared" si="546"/>
        <v>86821.875</v>
      </c>
      <c r="BB77" s="183">
        <f t="shared" si="546"/>
        <v>86821.875</v>
      </c>
      <c r="BC77" s="183">
        <f t="shared" si="546"/>
        <v>86821.875</v>
      </c>
      <c r="BD77" s="280">
        <f t="shared" si="546"/>
        <v>91162.96875</v>
      </c>
      <c r="BE77" s="183">
        <f t="shared" si="546"/>
        <v>91162.96875</v>
      </c>
      <c r="BF77" s="183">
        <f t="shared" si="546"/>
        <v>91162.96875</v>
      </c>
      <c r="BG77" s="183">
        <f t="shared" si="546"/>
        <v>91162.96875</v>
      </c>
      <c r="BH77" s="183">
        <f t="shared" si="546"/>
        <v>91162.96875</v>
      </c>
      <c r="BI77" s="183">
        <f t="shared" si="546"/>
        <v>91162.96875</v>
      </c>
      <c r="BJ77" s="183">
        <f t="shared" si="546"/>
        <v>91162.96875</v>
      </c>
      <c r="BK77" s="183">
        <f t="shared" si="546"/>
        <v>91162.96875</v>
      </c>
      <c r="BL77" s="183">
        <f t="shared" si="546"/>
        <v>91162.96875</v>
      </c>
      <c r="BM77" s="183">
        <f t="shared" si="546"/>
        <v>91162.96875</v>
      </c>
      <c r="BN77" s="183">
        <f t="shared" si="546"/>
        <v>91162.96875</v>
      </c>
      <c r="BO77" s="183">
        <f t="shared" si="468"/>
        <v>91162.96875</v>
      </c>
      <c r="BP77" s="280">
        <f t="shared" si="469"/>
        <v>95721.1171875</v>
      </c>
      <c r="BQ77" s="183">
        <f t="shared" si="470"/>
        <v>95721.1171875</v>
      </c>
      <c r="BR77" s="183">
        <f t="shared" si="471"/>
        <v>95721.1171875</v>
      </c>
      <c r="BS77" s="183">
        <f t="shared" si="472"/>
        <v>95721.1171875</v>
      </c>
      <c r="BT77" s="183">
        <f t="shared" si="473"/>
        <v>95721.1171875</v>
      </c>
      <c r="BU77" s="183">
        <f t="shared" si="474"/>
        <v>95721.1171875</v>
      </c>
      <c r="BV77" s="183">
        <f t="shared" si="475"/>
        <v>95721.1171875</v>
      </c>
      <c r="BW77" s="183">
        <f t="shared" si="476"/>
        <v>95721.1171875</v>
      </c>
      <c r="BX77" s="183">
        <f t="shared" si="477"/>
        <v>95721.1171875</v>
      </c>
      <c r="BY77" s="183">
        <f t="shared" si="478"/>
        <v>95721.1171875</v>
      </c>
      <c r="BZ77" s="183">
        <f t="shared" si="479"/>
        <v>95721.1171875</v>
      </c>
      <c r="CA77" s="183">
        <f t="shared" si="480"/>
        <v>95721.1171875</v>
      </c>
      <c r="CB77" s="280">
        <f t="shared" si="481"/>
        <v>100507.173046875</v>
      </c>
      <c r="CC77" s="183">
        <f t="shared" si="482"/>
        <v>100507.173046875</v>
      </c>
      <c r="CD77" s="183">
        <f t="shared" si="483"/>
        <v>100507.173046875</v>
      </c>
      <c r="CE77" s="183">
        <f t="shared" si="484"/>
        <v>100507.173046875</v>
      </c>
      <c r="CF77" s="183">
        <f t="shared" si="485"/>
        <v>100507.173046875</v>
      </c>
      <c r="CG77" s="183">
        <f t="shared" si="486"/>
        <v>100507.173046875</v>
      </c>
      <c r="CH77" s="183">
        <f t="shared" si="487"/>
        <v>100507.173046875</v>
      </c>
      <c r="CI77" s="183">
        <f t="shared" si="488"/>
        <v>100507.173046875</v>
      </c>
      <c r="CJ77" s="183">
        <f t="shared" si="489"/>
        <v>100507.173046875</v>
      </c>
      <c r="CK77" s="183">
        <f t="shared" si="490"/>
        <v>100507.173046875</v>
      </c>
      <c r="CL77" s="183">
        <f t="shared" si="491"/>
        <v>100507.173046875</v>
      </c>
      <c r="CM77" s="183">
        <f t="shared" si="492"/>
        <v>100507.173046875</v>
      </c>
      <c r="CN77" s="280">
        <f t="shared" si="493"/>
        <v>105532.53169921876</v>
      </c>
      <c r="CO77" s="183">
        <f t="shared" si="494"/>
        <v>105532.53169921876</v>
      </c>
      <c r="CP77" s="183">
        <f t="shared" si="495"/>
        <v>105532.53169921876</v>
      </c>
      <c r="CQ77" s="183">
        <f t="shared" si="496"/>
        <v>105532.53169921876</v>
      </c>
      <c r="CR77" s="183">
        <f t="shared" si="497"/>
        <v>105532.53169921876</v>
      </c>
      <c r="CS77" s="183">
        <f t="shared" si="498"/>
        <v>105532.53169921876</v>
      </c>
      <c r="CT77" s="183">
        <f t="shared" si="499"/>
        <v>105532.53169921876</v>
      </c>
      <c r="CU77" s="183">
        <f t="shared" si="500"/>
        <v>105532.53169921876</v>
      </c>
      <c r="CV77" s="183">
        <f t="shared" si="501"/>
        <v>105532.53169921876</v>
      </c>
      <c r="CW77" s="183">
        <f t="shared" si="502"/>
        <v>105532.53169921876</v>
      </c>
      <c r="CX77" s="183">
        <f t="shared" si="503"/>
        <v>105532.53169921876</v>
      </c>
      <c r="CY77" s="183">
        <f t="shared" si="504"/>
        <v>105532.53169921876</v>
      </c>
      <c r="CZ77" s="280">
        <f t="shared" si="505"/>
        <v>110809.15828417971</v>
      </c>
      <c r="DA77" s="183">
        <f t="shared" si="506"/>
        <v>110809.15828417971</v>
      </c>
      <c r="DB77" s="183">
        <f t="shared" si="507"/>
        <v>110809.15828417971</v>
      </c>
      <c r="DC77" s="183">
        <f t="shared" si="508"/>
        <v>110809.15828417971</v>
      </c>
      <c r="DD77" s="183">
        <f t="shared" si="509"/>
        <v>110809.15828417971</v>
      </c>
      <c r="DE77" s="183">
        <f t="shared" si="510"/>
        <v>110809.15828417971</v>
      </c>
      <c r="DF77" s="183">
        <f t="shared" si="511"/>
        <v>110809.15828417971</v>
      </c>
      <c r="DG77" s="183">
        <f t="shared" si="512"/>
        <v>110809.15828417971</v>
      </c>
      <c r="DH77" s="183">
        <f t="shared" si="513"/>
        <v>110809.15828417971</v>
      </c>
      <c r="DI77" s="183">
        <f t="shared" si="514"/>
        <v>110809.15828417971</v>
      </c>
      <c r="DJ77" s="183">
        <f t="shared" si="515"/>
        <v>110809.15828417971</v>
      </c>
      <c r="DK77" s="183">
        <f t="shared" si="516"/>
        <v>110809.15828417971</v>
      </c>
      <c r="DL77" s="280">
        <f t="shared" si="517"/>
        <v>116349.6161983887</v>
      </c>
      <c r="DM77" s="183">
        <f t="shared" si="518"/>
        <v>116349.6161983887</v>
      </c>
      <c r="DN77" s="183">
        <f t="shared" si="519"/>
        <v>116349.6161983887</v>
      </c>
      <c r="DO77" s="183">
        <f t="shared" si="520"/>
        <v>116349.6161983887</v>
      </c>
      <c r="DP77" s="183">
        <f t="shared" si="521"/>
        <v>116349.6161983887</v>
      </c>
      <c r="DQ77" s="183">
        <f t="shared" si="522"/>
        <v>116349.6161983887</v>
      </c>
      <c r="DR77" s="183">
        <f t="shared" si="523"/>
        <v>116349.6161983887</v>
      </c>
      <c r="DS77" s="183">
        <f t="shared" si="524"/>
        <v>116349.6161983887</v>
      </c>
      <c r="DT77" s="183">
        <f t="shared" si="525"/>
        <v>116349.6161983887</v>
      </c>
      <c r="DU77" s="183">
        <f t="shared" si="526"/>
        <v>116349.6161983887</v>
      </c>
      <c r="DV77" s="183">
        <f t="shared" si="527"/>
        <v>116349.6161983887</v>
      </c>
      <c r="DW77" s="186">
        <f t="shared" si="528"/>
        <v>116349.6161983887</v>
      </c>
    </row>
    <row r="78" spans="2:127" x14ac:dyDescent="0.3">
      <c r="C78" s="725"/>
      <c r="D78" s="119" t="str">
        <f t="shared" si="465"/>
        <v>RTA/WFM</v>
      </c>
      <c r="E78" s="183"/>
      <c r="F78" s="183"/>
      <c r="G78" s="1207">
        <f>IF($B$1&lt;&gt;"Australia",IF($F$4="L4",VLOOKUP($B$4,'Data Master'!$S$68:$AF$76,MATCH($D78,'Data Master'!$S$67:$AF$67,0),0),IF(OR($F$4="L5",$F$4="L6"),VLOOKUP($B$4,'Data Master'!$AG$68:$AT$76,MATCH($D78,'Data Master'!$AG$67:$AT$67,0),0),VLOOKUP($B$4,'Data Master'!$B$68:$R$76,MATCH($D78,'Data Master'!$B$67:$R$67,0),0))),IF(OR($F$4="L4",$F$4="L3"),VLOOKUP($B$4,'Data Master'!$S$68:$AF$76,MATCH($D78,'Data Master'!$S$67:$AF$67,0),0),IF(OR($F$4="L5",$F$4="L6"),VLOOKUP($B$4,'Data Master'!$AG$68:$AT$76,MATCH($D78,'Data Master'!$AG$67:$AT$67,0),0),VLOOKUP($B$4,'Data Master'!$B$68:$R$76,MATCH($D78,'Data Master'!$B$67:$R$67,0),0))))</f>
        <v>62500</v>
      </c>
      <c r="H78" s="183">
        <f t="shared" ref="H78:AM78" si="547">G78*(1+H$129)</f>
        <v>62500</v>
      </c>
      <c r="I78" s="183">
        <f t="shared" si="547"/>
        <v>62500</v>
      </c>
      <c r="J78" s="183">
        <f t="shared" si="547"/>
        <v>62500</v>
      </c>
      <c r="K78" s="183">
        <f t="shared" si="547"/>
        <v>62500</v>
      </c>
      <c r="L78" s="183">
        <f t="shared" si="547"/>
        <v>62500</v>
      </c>
      <c r="M78" s="183">
        <f t="shared" si="547"/>
        <v>62500</v>
      </c>
      <c r="N78" s="183">
        <f t="shared" si="547"/>
        <v>62500</v>
      </c>
      <c r="O78" s="183">
        <f t="shared" si="547"/>
        <v>62500</v>
      </c>
      <c r="P78" s="183">
        <f t="shared" si="547"/>
        <v>62500</v>
      </c>
      <c r="Q78" s="183">
        <f t="shared" si="547"/>
        <v>62500</v>
      </c>
      <c r="R78" s="183">
        <f t="shared" si="547"/>
        <v>62500</v>
      </c>
      <c r="S78" s="183">
        <f t="shared" si="547"/>
        <v>62500</v>
      </c>
      <c r="T78" s="280">
        <f t="shared" si="547"/>
        <v>65625</v>
      </c>
      <c r="U78" s="183">
        <f t="shared" si="547"/>
        <v>65625</v>
      </c>
      <c r="V78" s="183">
        <f t="shared" si="547"/>
        <v>65625</v>
      </c>
      <c r="W78" s="183">
        <f t="shared" si="547"/>
        <v>65625</v>
      </c>
      <c r="X78" s="183">
        <f t="shared" si="547"/>
        <v>65625</v>
      </c>
      <c r="Y78" s="183">
        <f t="shared" si="547"/>
        <v>65625</v>
      </c>
      <c r="Z78" s="183">
        <f t="shared" si="547"/>
        <v>65625</v>
      </c>
      <c r="AA78" s="183">
        <f t="shared" si="547"/>
        <v>65625</v>
      </c>
      <c r="AB78" s="183">
        <f t="shared" si="547"/>
        <v>65625</v>
      </c>
      <c r="AC78" s="183">
        <f t="shared" si="547"/>
        <v>65625</v>
      </c>
      <c r="AD78" s="183">
        <f t="shared" si="547"/>
        <v>65625</v>
      </c>
      <c r="AE78" s="183">
        <f t="shared" si="547"/>
        <v>65625</v>
      </c>
      <c r="AF78" s="280">
        <f t="shared" si="547"/>
        <v>68906.25</v>
      </c>
      <c r="AG78" s="183">
        <f t="shared" si="547"/>
        <v>68906.25</v>
      </c>
      <c r="AH78" s="183">
        <f t="shared" si="547"/>
        <v>68906.25</v>
      </c>
      <c r="AI78" s="183">
        <f t="shared" si="547"/>
        <v>68906.25</v>
      </c>
      <c r="AJ78" s="183">
        <f t="shared" si="547"/>
        <v>68906.25</v>
      </c>
      <c r="AK78" s="183">
        <f t="shared" si="547"/>
        <v>68906.25</v>
      </c>
      <c r="AL78" s="183">
        <f t="shared" si="547"/>
        <v>68906.25</v>
      </c>
      <c r="AM78" s="183">
        <f t="shared" si="547"/>
        <v>68906.25</v>
      </c>
      <c r="AN78" s="183">
        <f t="shared" ref="AN78:BN78" si="548">AM78*(1+AN$129)</f>
        <v>68906.25</v>
      </c>
      <c r="AO78" s="183">
        <f t="shared" si="548"/>
        <v>68906.25</v>
      </c>
      <c r="AP78" s="183">
        <f t="shared" si="548"/>
        <v>68906.25</v>
      </c>
      <c r="AQ78" s="183">
        <f t="shared" si="548"/>
        <v>68906.25</v>
      </c>
      <c r="AR78" s="280">
        <f t="shared" si="548"/>
        <v>72351.5625</v>
      </c>
      <c r="AS78" s="183">
        <f t="shared" si="548"/>
        <v>72351.5625</v>
      </c>
      <c r="AT78" s="183">
        <f t="shared" si="548"/>
        <v>72351.5625</v>
      </c>
      <c r="AU78" s="183">
        <f t="shared" si="548"/>
        <v>72351.5625</v>
      </c>
      <c r="AV78" s="183">
        <f t="shared" si="548"/>
        <v>72351.5625</v>
      </c>
      <c r="AW78" s="183">
        <f t="shared" si="548"/>
        <v>72351.5625</v>
      </c>
      <c r="AX78" s="183">
        <f t="shared" si="548"/>
        <v>72351.5625</v>
      </c>
      <c r="AY78" s="183">
        <f t="shared" si="548"/>
        <v>72351.5625</v>
      </c>
      <c r="AZ78" s="183">
        <f t="shared" si="548"/>
        <v>72351.5625</v>
      </c>
      <c r="BA78" s="183">
        <f t="shared" si="548"/>
        <v>72351.5625</v>
      </c>
      <c r="BB78" s="183">
        <f t="shared" si="548"/>
        <v>72351.5625</v>
      </c>
      <c r="BC78" s="183">
        <f t="shared" si="548"/>
        <v>72351.5625</v>
      </c>
      <c r="BD78" s="280">
        <f t="shared" si="548"/>
        <v>75969.140625</v>
      </c>
      <c r="BE78" s="183">
        <f t="shared" si="548"/>
        <v>75969.140625</v>
      </c>
      <c r="BF78" s="183">
        <f t="shared" si="548"/>
        <v>75969.140625</v>
      </c>
      <c r="BG78" s="183">
        <f t="shared" si="548"/>
        <v>75969.140625</v>
      </c>
      <c r="BH78" s="183">
        <f t="shared" si="548"/>
        <v>75969.140625</v>
      </c>
      <c r="BI78" s="183">
        <f t="shared" si="548"/>
        <v>75969.140625</v>
      </c>
      <c r="BJ78" s="183">
        <f t="shared" si="548"/>
        <v>75969.140625</v>
      </c>
      <c r="BK78" s="183">
        <f t="shared" si="548"/>
        <v>75969.140625</v>
      </c>
      <c r="BL78" s="183">
        <f t="shared" si="548"/>
        <v>75969.140625</v>
      </c>
      <c r="BM78" s="183">
        <f t="shared" si="548"/>
        <v>75969.140625</v>
      </c>
      <c r="BN78" s="183">
        <f t="shared" si="548"/>
        <v>75969.140625</v>
      </c>
      <c r="BO78" s="183">
        <f t="shared" si="468"/>
        <v>75969.140625</v>
      </c>
      <c r="BP78" s="280">
        <f t="shared" si="469"/>
        <v>79767.59765625</v>
      </c>
      <c r="BQ78" s="183">
        <f t="shared" si="470"/>
        <v>79767.59765625</v>
      </c>
      <c r="BR78" s="183">
        <f t="shared" si="471"/>
        <v>79767.59765625</v>
      </c>
      <c r="BS78" s="183">
        <f t="shared" si="472"/>
        <v>79767.59765625</v>
      </c>
      <c r="BT78" s="183">
        <f t="shared" si="473"/>
        <v>79767.59765625</v>
      </c>
      <c r="BU78" s="183">
        <f t="shared" si="474"/>
        <v>79767.59765625</v>
      </c>
      <c r="BV78" s="183">
        <f t="shared" si="475"/>
        <v>79767.59765625</v>
      </c>
      <c r="BW78" s="183">
        <f t="shared" si="476"/>
        <v>79767.59765625</v>
      </c>
      <c r="BX78" s="183">
        <f t="shared" si="477"/>
        <v>79767.59765625</v>
      </c>
      <c r="BY78" s="183">
        <f t="shared" si="478"/>
        <v>79767.59765625</v>
      </c>
      <c r="BZ78" s="183">
        <f t="shared" si="479"/>
        <v>79767.59765625</v>
      </c>
      <c r="CA78" s="183">
        <f t="shared" si="480"/>
        <v>79767.59765625</v>
      </c>
      <c r="CB78" s="280">
        <f t="shared" si="481"/>
        <v>83755.9775390625</v>
      </c>
      <c r="CC78" s="183">
        <f t="shared" si="482"/>
        <v>83755.9775390625</v>
      </c>
      <c r="CD78" s="183">
        <f t="shared" si="483"/>
        <v>83755.9775390625</v>
      </c>
      <c r="CE78" s="183">
        <f t="shared" si="484"/>
        <v>83755.9775390625</v>
      </c>
      <c r="CF78" s="183">
        <f t="shared" si="485"/>
        <v>83755.9775390625</v>
      </c>
      <c r="CG78" s="183">
        <f t="shared" si="486"/>
        <v>83755.9775390625</v>
      </c>
      <c r="CH78" s="183">
        <f t="shared" si="487"/>
        <v>83755.9775390625</v>
      </c>
      <c r="CI78" s="183">
        <f t="shared" si="488"/>
        <v>83755.9775390625</v>
      </c>
      <c r="CJ78" s="183">
        <f t="shared" si="489"/>
        <v>83755.9775390625</v>
      </c>
      <c r="CK78" s="183">
        <f t="shared" si="490"/>
        <v>83755.9775390625</v>
      </c>
      <c r="CL78" s="183">
        <f t="shared" si="491"/>
        <v>83755.9775390625</v>
      </c>
      <c r="CM78" s="183">
        <f t="shared" si="492"/>
        <v>83755.9775390625</v>
      </c>
      <c r="CN78" s="280">
        <f t="shared" si="493"/>
        <v>87943.776416015622</v>
      </c>
      <c r="CO78" s="183">
        <f t="shared" si="494"/>
        <v>87943.776416015622</v>
      </c>
      <c r="CP78" s="183">
        <f t="shared" si="495"/>
        <v>87943.776416015622</v>
      </c>
      <c r="CQ78" s="183">
        <f t="shared" si="496"/>
        <v>87943.776416015622</v>
      </c>
      <c r="CR78" s="183">
        <f t="shared" si="497"/>
        <v>87943.776416015622</v>
      </c>
      <c r="CS78" s="183">
        <f t="shared" si="498"/>
        <v>87943.776416015622</v>
      </c>
      <c r="CT78" s="183">
        <f t="shared" si="499"/>
        <v>87943.776416015622</v>
      </c>
      <c r="CU78" s="183">
        <f t="shared" si="500"/>
        <v>87943.776416015622</v>
      </c>
      <c r="CV78" s="183">
        <f t="shared" si="501"/>
        <v>87943.776416015622</v>
      </c>
      <c r="CW78" s="183">
        <f t="shared" si="502"/>
        <v>87943.776416015622</v>
      </c>
      <c r="CX78" s="183">
        <f t="shared" si="503"/>
        <v>87943.776416015622</v>
      </c>
      <c r="CY78" s="183">
        <f t="shared" si="504"/>
        <v>87943.776416015622</v>
      </c>
      <c r="CZ78" s="280">
        <f t="shared" si="505"/>
        <v>92340.96523681641</v>
      </c>
      <c r="DA78" s="183">
        <f t="shared" si="506"/>
        <v>92340.96523681641</v>
      </c>
      <c r="DB78" s="183">
        <f t="shared" si="507"/>
        <v>92340.96523681641</v>
      </c>
      <c r="DC78" s="183">
        <f t="shared" si="508"/>
        <v>92340.96523681641</v>
      </c>
      <c r="DD78" s="183">
        <f t="shared" si="509"/>
        <v>92340.96523681641</v>
      </c>
      <c r="DE78" s="183">
        <f t="shared" si="510"/>
        <v>92340.96523681641</v>
      </c>
      <c r="DF78" s="183">
        <f t="shared" si="511"/>
        <v>92340.96523681641</v>
      </c>
      <c r="DG78" s="183">
        <f t="shared" si="512"/>
        <v>92340.96523681641</v>
      </c>
      <c r="DH78" s="183">
        <f t="shared" si="513"/>
        <v>92340.96523681641</v>
      </c>
      <c r="DI78" s="183">
        <f t="shared" si="514"/>
        <v>92340.96523681641</v>
      </c>
      <c r="DJ78" s="183">
        <f t="shared" si="515"/>
        <v>92340.96523681641</v>
      </c>
      <c r="DK78" s="183">
        <f t="shared" si="516"/>
        <v>92340.96523681641</v>
      </c>
      <c r="DL78" s="280">
        <f t="shared" si="517"/>
        <v>96958.013498657238</v>
      </c>
      <c r="DM78" s="183">
        <f t="shared" si="518"/>
        <v>96958.013498657238</v>
      </c>
      <c r="DN78" s="183">
        <f t="shared" si="519"/>
        <v>96958.013498657238</v>
      </c>
      <c r="DO78" s="183">
        <f t="shared" si="520"/>
        <v>96958.013498657238</v>
      </c>
      <c r="DP78" s="183">
        <f t="shared" si="521"/>
        <v>96958.013498657238</v>
      </c>
      <c r="DQ78" s="183">
        <f t="shared" si="522"/>
        <v>96958.013498657238</v>
      </c>
      <c r="DR78" s="183">
        <f t="shared" si="523"/>
        <v>96958.013498657238</v>
      </c>
      <c r="DS78" s="183">
        <f t="shared" si="524"/>
        <v>96958.013498657238</v>
      </c>
      <c r="DT78" s="183">
        <f t="shared" si="525"/>
        <v>96958.013498657238</v>
      </c>
      <c r="DU78" s="183">
        <f t="shared" si="526"/>
        <v>96958.013498657238</v>
      </c>
      <c r="DV78" s="183">
        <f t="shared" si="527"/>
        <v>96958.013498657238</v>
      </c>
      <c r="DW78" s="186">
        <f t="shared" si="528"/>
        <v>96958.013498657238</v>
      </c>
    </row>
    <row r="79" spans="2:127" x14ac:dyDescent="0.3">
      <c r="C79" s="725"/>
      <c r="D79" s="119" t="str">
        <f t="shared" si="465"/>
        <v>Transition Resource</v>
      </c>
      <c r="E79" s="183"/>
      <c r="F79" s="183"/>
      <c r="G79" s="1207">
        <f>IF($B$1&lt;&gt;"Australia",IF($F$4="L4",VLOOKUP($B$4,'Data Master'!$S$68:$AF$76,MATCH($D79,'Data Master'!$S$67:$AF$67,0),0),IF(OR($F$4="L5",$F$4="L6"),VLOOKUP($B$4,'Data Master'!$AG$68:$AT$76,MATCH($D79,'Data Master'!$AG$67:$AT$67,0),0),VLOOKUP($B$4,'Data Master'!$B$68:$R$76,MATCH($D79,'Data Master'!$B$67:$R$67,0),0))),IF(OR($F$4="L4",$F$4="L3"),VLOOKUP($B$4,'Data Master'!$S$68:$AF$76,MATCH($D79,'Data Master'!$S$67:$AF$67,0),0),IF(OR($F$4="L5",$F$4="L6"),VLOOKUP($B$4,'Data Master'!$AG$68:$AT$76,MATCH($D79,'Data Master'!$AG$67:$AT$67,0),0),VLOOKUP($B$4,'Data Master'!$B$68:$R$76,MATCH($D79,'Data Master'!$B$67:$R$67,0),0))))</f>
        <v>239583.33333333334</v>
      </c>
      <c r="H79" s="183">
        <f t="shared" ref="H79:AM79" si="549">G79*(1+H$129)</f>
        <v>239583.33333333334</v>
      </c>
      <c r="I79" s="183">
        <f t="shared" si="549"/>
        <v>239583.33333333334</v>
      </c>
      <c r="J79" s="183">
        <f t="shared" si="549"/>
        <v>239583.33333333334</v>
      </c>
      <c r="K79" s="183">
        <f t="shared" si="549"/>
        <v>239583.33333333334</v>
      </c>
      <c r="L79" s="183">
        <f t="shared" si="549"/>
        <v>239583.33333333334</v>
      </c>
      <c r="M79" s="183">
        <f t="shared" si="549"/>
        <v>239583.33333333334</v>
      </c>
      <c r="N79" s="183">
        <f t="shared" si="549"/>
        <v>239583.33333333334</v>
      </c>
      <c r="O79" s="183">
        <f t="shared" si="549"/>
        <v>239583.33333333334</v>
      </c>
      <c r="P79" s="183">
        <f t="shared" si="549"/>
        <v>239583.33333333334</v>
      </c>
      <c r="Q79" s="183">
        <f t="shared" si="549"/>
        <v>239583.33333333334</v>
      </c>
      <c r="R79" s="183">
        <f t="shared" si="549"/>
        <v>239583.33333333334</v>
      </c>
      <c r="S79" s="183">
        <f t="shared" si="549"/>
        <v>239583.33333333334</v>
      </c>
      <c r="T79" s="280">
        <f t="shared" si="549"/>
        <v>251562.50000000003</v>
      </c>
      <c r="U79" s="183">
        <f t="shared" si="549"/>
        <v>251562.50000000003</v>
      </c>
      <c r="V79" s="183">
        <f t="shared" si="549"/>
        <v>251562.50000000003</v>
      </c>
      <c r="W79" s="183">
        <f t="shared" si="549"/>
        <v>251562.50000000003</v>
      </c>
      <c r="X79" s="183">
        <f t="shared" si="549"/>
        <v>251562.50000000003</v>
      </c>
      <c r="Y79" s="183">
        <f t="shared" si="549"/>
        <v>251562.50000000003</v>
      </c>
      <c r="Z79" s="183">
        <f t="shared" si="549"/>
        <v>251562.50000000003</v>
      </c>
      <c r="AA79" s="183">
        <f t="shared" si="549"/>
        <v>251562.50000000003</v>
      </c>
      <c r="AB79" s="183">
        <f t="shared" si="549"/>
        <v>251562.50000000003</v>
      </c>
      <c r="AC79" s="183">
        <f t="shared" si="549"/>
        <v>251562.50000000003</v>
      </c>
      <c r="AD79" s="183">
        <f t="shared" si="549"/>
        <v>251562.50000000003</v>
      </c>
      <c r="AE79" s="183">
        <f t="shared" si="549"/>
        <v>251562.50000000003</v>
      </c>
      <c r="AF79" s="280">
        <f t="shared" si="549"/>
        <v>264140.62500000006</v>
      </c>
      <c r="AG79" s="183">
        <f t="shared" si="549"/>
        <v>264140.62500000006</v>
      </c>
      <c r="AH79" s="183">
        <f t="shared" si="549"/>
        <v>264140.62500000006</v>
      </c>
      <c r="AI79" s="183">
        <f t="shared" si="549"/>
        <v>264140.62500000006</v>
      </c>
      <c r="AJ79" s="183">
        <f t="shared" si="549"/>
        <v>264140.62500000006</v>
      </c>
      <c r="AK79" s="183">
        <f t="shared" si="549"/>
        <v>264140.62500000006</v>
      </c>
      <c r="AL79" s="183">
        <f t="shared" si="549"/>
        <v>264140.62500000006</v>
      </c>
      <c r="AM79" s="183">
        <f t="shared" si="549"/>
        <v>264140.62500000006</v>
      </c>
      <c r="AN79" s="183">
        <f t="shared" ref="AN79:BN79" si="550">AM79*(1+AN$129)</f>
        <v>264140.62500000006</v>
      </c>
      <c r="AO79" s="183">
        <f t="shared" si="550"/>
        <v>264140.62500000006</v>
      </c>
      <c r="AP79" s="183">
        <f t="shared" si="550"/>
        <v>264140.62500000006</v>
      </c>
      <c r="AQ79" s="183">
        <f t="shared" si="550"/>
        <v>264140.62500000006</v>
      </c>
      <c r="AR79" s="280">
        <f t="shared" si="550"/>
        <v>277347.65625000006</v>
      </c>
      <c r="AS79" s="183">
        <f t="shared" si="550"/>
        <v>277347.65625000006</v>
      </c>
      <c r="AT79" s="183">
        <f t="shared" si="550"/>
        <v>277347.65625000006</v>
      </c>
      <c r="AU79" s="183">
        <f t="shared" si="550"/>
        <v>277347.65625000006</v>
      </c>
      <c r="AV79" s="183">
        <f t="shared" si="550"/>
        <v>277347.65625000006</v>
      </c>
      <c r="AW79" s="183">
        <f t="shared" si="550"/>
        <v>277347.65625000006</v>
      </c>
      <c r="AX79" s="183">
        <f t="shared" si="550"/>
        <v>277347.65625000006</v>
      </c>
      <c r="AY79" s="183">
        <f t="shared" si="550"/>
        <v>277347.65625000006</v>
      </c>
      <c r="AZ79" s="183">
        <f t="shared" si="550"/>
        <v>277347.65625000006</v>
      </c>
      <c r="BA79" s="183">
        <f t="shared" si="550"/>
        <v>277347.65625000006</v>
      </c>
      <c r="BB79" s="183">
        <f t="shared" si="550"/>
        <v>277347.65625000006</v>
      </c>
      <c r="BC79" s="183">
        <f t="shared" si="550"/>
        <v>277347.65625000006</v>
      </c>
      <c r="BD79" s="280">
        <f t="shared" si="550"/>
        <v>291215.03906250006</v>
      </c>
      <c r="BE79" s="183">
        <f t="shared" si="550"/>
        <v>291215.03906250006</v>
      </c>
      <c r="BF79" s="183">
        <f t="shared" si="550"/>
        <v>291215.03906250006</v>
      </c>
      <c r="BG79" s="183">
        <f t="shared" si="550"/>
        <v>291215.03906250006</v>
      </c>
      <c r="BH79" s="183">
        <f t="shared" si="550"/>
        <v>291215.03906250006</v>
      </c>
      <c r="BI79" s="183">
        <f t="shared" si="550"/>
        <v>291215.03906250006</v>
      </c>
      <c r="BJ79" s="183">
        <f t="shared" si="550"/>
        <v>291215.03906250006</v>
      </c>
      <c r="BK79" s="183">
        <f t="shared" si="550"/>
        <v>291215.03906250006</v>
      </c>
      <c r="BL79" s="183">
        <f t="shared" si="550"/>
        <v>291215.03906250006</v>
      </c>
      <c r="BM79" s="183">
        <f t="shared" si="550"/>
        <v>291215.03906250006</v>
      </c>
      <c r="BN79" s="183">
        <f t="shared" si="550"/>
        <v>291215.03906250006</v>
      </c>
      <c r="BO79" s="183">
        <f t="shared" si="468"/>
        <v>291215.03906250006</v>
      </c>
      <c r="BP79" s="280">
        <f t="shared" si="469"/>
        <v>305775.79101562506</v>
      </c>
      <c r="BQ79" s="183">
        <f t="shared" si="470"/>
        <v>305775.79101562506</v>
      </c>
      <c r="BR79" s="183">
        <f t="shared" si="471"/>
        <v>305775.79101562506</v>
      </c>
      <c r="BS79" s="183">
        <f t="shared" si="472"/>
        <v>305775.79101562506</v>
      </c>
      <c r="BT79" s="183">
        <f t="shared" si="473"/>
        <v>305775.79101562506</v>
      </c>
      <c r="BU79" s="183">
        <f t="shared" si="474"/>
        <v>305775.79101562506</v>
      </c>
      <c r="BV79" s="183">
        <f t="shared" si="475"/>
        <v>305775.79101562506</v>
      </c>
      <c r="BW79" s="183">
        <f t="shared" si="476"/>
        <v>305775.79101562506</v>
      </c>
      <c r="BX79" s="183">
        <f t="shared" si="477"/>
        <v>305775.79101562506</v>
      </c>
      <c r="BY79" s="183">
        <f t="shared" si="478"/>
        <v>305775.79101562506</v>
      </c>
      <c r="BZ79" s="183">
        <f t="shared" si="479"/>
        <v>305775.79101562506</v>
      </c>
      <c r="CA79" s="183">
        <f t="shared" si="480"/>
        <v>305775.79101562506</v>
      </c>
      <c r="CB79" s="280">
        <f t="shared" si="481"/>
        <v>321064.58056640631</v>
      </c>
      <c r="CC79" s="183">
        <f t="shared" si="482"/>
        <v>321064.58056640631</v>
      </c>
      <c r="CD79" s="183">
        <f t="shared" si="483"/>
        <v>321064.58056640631</v>
      </c>
      <c r="CE79" s="183">
        <f t="shared" si="484"/>
        <v>321064.58056640631</v>
      </c>
      <c r="CF79" s="183">
        <f t="shared" si="485"/>
        <v>321064.58056640631</v>
      </c>
      <c r="CG79" s="183">
        <f t="shared" si="486"/>
        <v>321064.58056640631</v>
      </c>
      <c r="CH79" s="183">
        <f t="shared" si="487"/>
        <v>321064.58056640631</v>
      </c>
      <c r="CI79" s="183">
        <f t="shared" si="488"/>
        <v>321064.58056640631</v>
      </c>
      <c r="CJ79" s="183">
        <f t="shared" si="489"/>
        <v>321064.58056640631</v>
      </c>
      <c r="CK79" s="183">
        <f t="shared" si="490"/>
        <v>321064.58056640631</v>
      </c>
      <c r="CL79" s="183">
        <f t="shared" si="491"/>
        <v>321064.58056640631</v>
      </c>
      <c r="CM79" s="183">
        <f t="shared" si="492"/>
        <v>321064.58056640631</v>
      </c>
      <c r="CN79" s="280">
        <f t="shared" si="493"/>
        <v>337117.80959472666</v>
      </c>
      <c r="CO79" s="183">
        <f t="shared" si="494"/>
        <v>337117.80959472666</v>
      </c>
      <c r="CP79" s="183">
        <f t="shared" si="495"/>
        <v>337117.80959472666</v>
      </c>
      <c r="CQ79" s="183">
        <f t="shared" si="496"/>
        <v>337117.80959472666</v>
      </c>
      <c r="CR79" s="183">
        <f t="shared" si="497"/>
        <v>337117.80959472666</v>
      </c>
      <c r="CS79" s="183">
        <f t="shared" si="498"/>
        <v>337117.80959472666</v>
      </c>
      <c r="CT79" s="183">
        <f t="shared" si="499"/>
        <v>337117.80959472666</v>
      </c>
      <c r="CU79" s="183">
        <f t="shared" si="500"/>
        <v>337117.80959472666</v>
      </c>
      <c r="CV79" s="183">
        <f t="shared" si="501"/>
        <v>337117.80959472666</v>
      </c>
      <c r="CW79" s="183">
        <f t="shared" si="502"/>
        <v>337117.80959472666</v>
      </c>
      <c r="CX79" s="183">
        <f t="shared" si="503"/>
        <v>337117.80959472666</v>
      </c>
      <c r="CY79" s="183">
        <f t="shared" si="504"/>
        <v>337117.80959472666</v>
      </c>
      <c r="CZ79" s="280">
        <f t="shared" si="505"/>
        <v>353973.70007446298</v>
      </c>
      <c r="DA79" s="183">
        <f t="shared" si="506"/>
        <v>353973.70007446298</v>
      </c>
      <c r="DB79" s="183">
        <f t="shared" si="507"/>
        <v>353973.70007446298</v>
      </c>
      <c r="DC79" s="183">
        <f t="shared" si="508"/>
        <v>353973.70007446298</v>
      </c>
      <c r="DD79" s="183">
        <f t="shared" si="509"/>
        <v>353973.70007446298</v>
      </c>
      <c r="DE79" s="183">
        <f t="shared" si="510"/>
        <v>353973.70007446298</v>
      </c>
      <c r="DF79" s="183">
        <f t="shared" si="511"/>
        <v>353973.70007446298</v>
      </c>
      <c r="DG79" s="183">
        <f t="shared" si="512"/>
        <v>353973.70007446298</v>
      </c>
      <c r="DH79" s="183">
        <f t="shared" si="513"/>
        <v>353973.70007446298</v>
      </c>
      <c r="DI79" s="183">
        <f t="shared" si="514"/>
        <v>353973.70007446298</v>
      </c>
      <c r="DJ79" s="183">
        <f t="shared" si="515"/>
        <v>353973.70007446298</v>
      </c>
      <c r="DK79" s="183">
        <f t="shared" si="516"/>
        <v>353973.70007446298</v>
      </c>
      <c r="DL79" s="280">
        <f t="shared" si="517"/>
        <v>371672.38507818617</v>
      </c>
      <c r="DM79" s="183">
        <f t="shared" si="518"/>
        <v>371672.38507818617</v>
      </c>
      <c r="DN79" s="183">
        <f t="shared" si="519"/>
        <v>371672.38507818617</v>
      </c>
      <c r="DO79" s="183">
        <f t="shared" si="520"/>
        <v>371672.38507818617</v>
      </c>
      <c r="DP79" s="183">
        <f t="shared" si="521"/>
        <v>371672.38507818617</v>
      </c>
      <c r="DQ79" s="183">
        <f t="shared" si="522"/>
        <v>371672.38507818617</v>
      </c>
      <c r="DR79" s="183">
        <f t="shared" si="523"/>
        <v>371672.38507818617</v>
      </c>
      <c r="DS79" s="183">
        <f t="shared" si="524"/>
        <v>371672.38507818617</v>
      </c>
      <c r="DT79" s="183">
        <f t="shared" si="525"/>
        <v>371672.38507818617</v>
      </c>
      <c r="DU79" s="183">
        <f t="shared" si="526"/>
        <v>371672.38507818617</v>
      </c>
      <c r="DV79" s="183">
        <f t="shared" si="527"/>
        <v>371672.38507818617</v>
      </c>
      <c r="DW79" s="186">
        <f t="shared" si="528"/>
        <v>371672.38507818617</v>
      </c>
    </row>
    <row r="80" spans="2:127" x14ac:dyDescent="0.3">
      <c r="C80" s="725"/>
      <c r="D80" s="119" t="str">
        <f t="shared" si="465"/>
        <v>PEx Resource</v>
      </c>
      <c r="E80" s="183"/>
      <c r="F80" s="183"/>
      <c r="G80" s="1207">
        <f>IF($B$1&lt;&gt;"Australia",IF($F$4="L4",VLOOKUP($B$4,'Data Master'!$S$68:$AF$76,MATCH($D80,'Data Master'!$S$67:$AF$67,0),0),IF(OR($F$4="L5",$F$4="L6"),VLOOKUP($B$4,'Data Master'!$AG$68:$AT$76,MATCH($D80,'Data Master'!$AG$67:$AT$67,0),0),VLOOKUP($B$4,'Data Master'!$B$68:$R$76,MATCH($D80,'Data Master'!$B$67:$R$67,0),0))),IF(OR($F$4="L4",$F$4="L3"),VLOOKUP($B$4,'Data Master'!$S$68:$AF$76,MATCH($D80,'Data Master'!$S$67:$AF$67,0),0),IF(OR($F$4="L5",$F$4="L6"),VLOOKUP($B$4,'Data Master'!$AG$68:$AT$76,MATCH($D80,'Data Master'!$AG$67:$AT$67,0),0),VLOOKUP($B$4,'Data Master'!$B$68:$R$76,MATCH($D80,'Data Master'!$B$67:$R$67,0),0))))</f>
        <v>250000</v>
      </c>
      <c r="H80" s="183">
        <f t="shared" ref="H80:AM80" si="551">G80*(1+H$129)</f>
        <v>250000</v>
      </c>
      <c r="I80" s="183">
        <f t="shared" si="551"/>
        <v>250000</v>
      </c>
      <c r="J80" s="183">
        <f t="shared" si="551"/>
        <v>250000</v>
      </c>
      <c r="K80" s="183">
        <f t="shared" si="551"/>
        <v>250000</v>
      </c>
      <c r="L80" s="183">
        <f t="shared" si="551"/>
        <v>250000</v>
      </c>
      <c r="M80" s="183">
        <f t="shared" si="551"/>
        <v>250000</v>
      </c>
      <c r="N80" s="183">
        <f t="shared" si="551"/>
        <v>250000</v>
      </c>
      <c r="O80" s="183">
        <f t="shared" si="551"/>
        <v>250000</v>
      </c>
      <c r="P80" s="183">
        <f t="shared" si="551"/>
        <v>250000</v>
      </c>
      <c r="Q80" s="183">
        <f t="shared" si="551"/>
        <v>250000</v>
      </c>
      <c r="R80" s="183">
        <f t="shared" si="551"/>
        <v>250000</v>
      </c>
      <c r="S80" s="183">
        <f t="shared" si="551"/>
        <v>250000</v>
      </c>
      <c r="T80" s="280">
        <f t="shared" si="551"/>
        <v>262500</v>
      </c>
      <c r="U80" s="183">
        <f t="shared" si="551"/>
        <v>262500</v>
      </c>
      <c r="V80" s="183">
        <f t="shared" si="551"/>
        <v>262500</v>
      </c>
      <c r="W80" s="183">
        <f t="shared" si="551"/>
        <v>262500</v>
      </c>
      <c r="X80" s="183">
        <f t="shared" si="551"/>
        <v>262500</v>
      </c>
      <c r="Y80" s="183">
        <f t="shared" si="551"/>
        <v>262500</v>
      </c>
      <c r="Z80" s="183">
        <f t="shared" si="551"/>
        <v>262500</v>
      </c>
      <c r="AA80" s="183">
        <f t="shared" si="551"/>
        <v>262500</v>
      </c>
      <c r="AB80" s="183">
        <f t="shared" si="551"/>
        <v>262500</v>
      </c>
      <c r="AC80" s="183">
        <f t="shared" si="551"/>
        <v>262500</v>
      </c>
      <c r="AD80" s="183">
        <f t="shared" si="551"/>
        <v>262500</v>
      </c>
      <c r="AE80" s="183">
        <f t="shared" si="551"/>
        <v>262500</v>
      </c>
      <c r="AF80" s="280">
        <f t="shared" si="551"/>
        <v>275625</v>
      </c>
      <c r="AG80" s="183">
        <f t="shared" si="551"/>
        <v>275625</v>
      </c>
      <c r="AH80" s="183">
        <f t="shared" si="551"/>
        <v>275625</v>
      </c>
      <c r="AI80" s="183">
        <f t="shared" si="551"/>
        <v>275625</v>
      </c>
      <c r="AJ80" s="183">
        <f t="shared" si="551"/>
        <v>275625</v>
      </c>
      <c r="AK80" s="183">
        <f t="shared" si="551"/>
        <v>275625</v>
      </c>
      <c r="AL80" s="183">
        <f t="shared" si="551"/>
        <v>275625</v>
      </c>
      <c r="AM80" s="183">
        <f t="shared" si="551"/>
        <v>275625</v>
      </c>
      <c r="AN80" s="183">
        <f t="shared" ref="AN80:BN80" si="552">AM80*(1+AN$129)</f>
        <v>275625</v>
      </c>
      <c r="AO80" s="183">
        <f t="shared" si="552"/>
        <v>275625</v>
      </c>
      <c r="AP80" s="183">
        <f t="shared" si="552"/>
        <v>275625</v>
      </c>
      <c r="AQ80" s="183">
        <f t="shared" si="552"/>
        <v>275625</v>
      </c>
      <c r="AR80" s="280">
        <f t="shared" si="552"/>
        <v>289406.25</v>
      </c>
      <c r="AS80" s="183">
        <f t="shared" si="552"/>
        <v>289406.25</v>
      </c>
      <c r="AT80" s="183">
        <f t="shared" si="552"/>
        <v>289406.25</v>
      </c>
      <c r="AU80" s="183">
        <f t="shared" si="552"/>
        <v>289406.25</v>
      </c>
      <c r="AV80" s="183">
        <f t="shared" si="552"/>
        <v>289406.25</v>
      </c>
      <c r="AW80" s="183">
        <f t="shared" si="552"/>
        <v>289406.25</v>
      </c>
      <c r="AX80" s="183">
        <f t="shared" si="552"/>
        <v>289406.25</v>
      </c>
      <c r="AY80" s="183">
        <f t="shared" si="552"/>
        <v>289406.25</v>
      </c>
      <c r="AZ80" s="183">
        <f t="shared" si="552"/>
        <v>289406.25</v>
      </c>
      <c r="BA80" s="183">
        <f t="shared" si="552"/>
        <v>289406.25</v>
      </c>
      <c r="BB80" s="183">
        <f t="shared" si="552"/>
        <v>289406.25</v>
      </c>
      <c r="BC80" s="183">
        <f t="shared" si="552"/>
        <v>289406.25</v>
      </c>
      <c r="BD80" s="280">
        <f t="shared" si="552"/>
        <v>303876.5625</v>
      </c>
      <c r="BE80" s="183">
        <f t="shared" si="552"/>
        <v>303876.5625</v>
      </c>
      <c r="BF80" s="183">
        <f t="shared" si="552"/>
        <v>303876.5625</v>
      </c>
      <c r="BG80" s="183">
        <f t="shared" si="552"/>
        <v>303876.5625</v>
      </c>
      <c r="BH80" s="183">
        <f t="shared" si="552"/>
        <v>303876.5625</v>
      </c>
      <c r="BI80" s="183">
        <f t="shared" si="552"/>
        <v>303876.5625</v>
      </c>
      <c r="BJ80" s="183">
        <f t="shared" si="552"/>
        <v>303876.5625</v>
      </c>
      <c r="BK80" s="183">
        <f t="shared" si="552"/>
        <v>303876.5625</v>
      </c>
      <c r="BL80" s="183">
        <f t="shared" si="552"/>
        <v>303876.5625</v>
      </c>
      <c r="BM80" s="183">
        <f t="shared" si="552"/>
        <v>303876.5625</v>
      </c>
      <c r="BN80" s="183">
        <f t="shared" si="552"/>
        <v>303876.5625</v>
      </c>
      <c r="BO80" s="183">
        <f t="shared" si="468"/>
        <v>303876.5625</v>
      </c>
      <c r="BP80" s="280">
        <f t="shared" si="469"/>
        <v>319070.390625</v>
      </c>
      <c r="BQ80" s="183">
        <f t="shared" si="470"/>
        <v>319070.390625</v>
      </c>
      <c r="BR80" s="183">
        <f t="shared" si="471"/>
        <v>319070.390625</v>
      </c>
      <c r="BS80" s="183">
        <f t="shared" si="472"/>
        <v>319070.390625</v>
      </c>
      <c r="BT80" s="183">
        <f t="shared" si="473"/>
        <v>319070.390625</v>
      </c>
      <c r="BU80" s="183">
        <f t="shared" si="474"/>
        <v>319070.390625</v>
      </c>
      <c r="BV80" s="183">
        <f t="shared" si="475"/>
        <v>319070.390625</v>
      </c>
      <c r="BW80" s="183">
        <f t="shared" si="476"/>
        <v>319070.390625</v>
      </c>
      <c r="BX80" s="183">
        <f t="shared" si="477"/>
        <v>319070.390625</v>
      </c>
      <c r="BY80" s="183">
        <f t="shared" si="478"/>
        <v>319070.390625</v>
      </c>
      <c r="BZ80" s="183">
        <f t="shared" si="479"/>
        <v>319070.390625</v>
      </c>
      <c r="CA80" s="183">
        <f t="shared" si="480"/>
        <v>319070.390625</v>
      </c>
      <c r="CB80" s="280">
        <f t="shared" si="481"/>
        <v>335023.91015625</v>
      </c>
      <c r="CC80" s="183">
        <f t="shared" si="482"/>
        <v>335023.91015625</v>
      </c>
      <c r="CD80" s="183">
        <f t="shared" si="483"/>
        <v>335023.91015625</v>
      </c>
      <c r="CE80" s="183">
        <f t="shared" si="484"/>
        <v>335023.91015625</v>
      </c>
      <c r="CF80" s="183">
        <f t="shared" si="485"/>
        <v>335023.91015625</v>
      </c>
      <c r="CG80" s="183">
        <f t="shared" si="486"/>
        <v>335023.91015625</v>
      </c>
      <c r="CH80" s="183">
        <f t="shared" si="487"/>
        <v>335023.91015625</v>
      </c>
      <c r="CI80" s="183">
        <f t="shared" si="488"/>
        <v>335023.91015625</v>
      </c>
      <c r="CJ80" s="183">
        <f t="shared" si="489"/>
        <v>335023.91015625</v>
      </c>
      <c r="CK80" s="183">
        <f t="shared" si="490"/>
        <v>335023.91015625</v>
      </c>
      <c r="CL80" s="183">
        <f t="shared" si="491"/>
        <v>335023.91015625</v>
      </c>
      <c r="CM80" s="183">
        <f t="shared" si="492"/>
        <v>335023.91015625</v>
      </c>
      <c r="CN80" s="280">
        <f t="shared" si="493"/>
        <v>351775.10566406249</v>
      </c>
      <c r="CO80" s="183">
        <f t="shared" si="494"/>
        <v>351775.10566406249</v>
      </c>
      <c r="CP80" s="183">
        <f t="shared" si="495"/>
        <v>351775.10566406249</v>
      </c>
      <c r="CQ80" s="183">
        <f t="shared" si="496"/>
        <v>351775.10566406249</v>
      </c>
      <c r="CR80" s="183">
        <f t="shared" si="497"/>
        <v>351775.10566406249</v>
      </c>
      <c r="CS80" s="183">
        <f t="shared" si="498"/>
        <v>351775.10566406249</v>
      </c>
      <c r="CT80" s="183">
        <f t="shared" si="499"/>
        <v>351775.10566406249</v>
      </c>
      <c r="CU80" s="183">
        <f t="shared" si="500"/>
        <v>351775.10566406249</v>
      </c>
      <c r="CV80" s="183">
        <f t="shared" si="501"/>
        <v>351775.10566406249</v>
      </c>
      <c r="CW80" s="183">
        <f t="shared" si="502"/>
        <v>351775.10566406249</v>
      </c>
      <c r="CX80" s="183">
        <f t="shared" si="503"/>
        <v>351775.10566406249</v>
      </c>
      <c r="CY80" s="183">
        <f t="shared" si="504"/>
        <v>351775.10566406249</v>
      </c>
      <c r="CZ80" s="280">
        <f t="shared" si="505"/>
        <v>369363.86094726564</v>
      </c>
      <c r="DA80" s="183">
        <f t="shared" si="506"/>
        <v>369363.86094726564</v>
      </c>
      <c r="DB80" s="183">
        <f t="shared" si="507"/>
        <v>369363.86094726564</v>
      </c>
      <c r="DC80" s="183">
        <f t="shared" si="508"/>
        <v>369363.86094726564</v>
      </c>
      <c r="DD80" s="183">
        <f t="shared" si="509"/>
        <v>369363.86094726564</v>
      </c>
      <c r="DE80" s="183">
        <f t="shared" si="510"/>
        <v>369363.86094726564</v>
      </c>
      <c r="DF80" s="183">
        <f t="shared" si="511"/>
        <v>369363.86094726564</v>
      </c>
      <c r="DG80" s="183">
        <f t="shared" si="512"/>
        <v>369363.86094726564</v>
      </c>
      <c r="DH80" s="183">
        <f t="shared" si="513"/>
        <v>369363.86094726564</v>
      </c>
      <c r="DI80" s="183">
        <f t="shared" si="514"/>
        <v>369363.86094726564</v>
      </c>
      <c r="DJ80" s="183">
        <f t="shared" si="515"/>
        <v>369363.86094726564</v>
      </c>
      <c r="DK80" s="183">
        <f t="shared" si="516"/>
        <v>369363.86094726564</v>
      </c>
      <c r="DL80" s="280">
        <f t="shared" si="517"/>
        <v>387832.05399462895</v>
      </c>
      <c r="DM80" s="183">
        <f t="shared" si="518"/>
        <v>387832.05399462895</v>
      </c>
      <c r="DN80" s="183">
        <f t="shared" si="519"/>
        <v>387832.05399462895</v>
      </c>
      <c r="DO80" s="183">
        <f t="shared" si="520"/>
        <v>387832.05399462895</v>
      </c>
      <c r="DP80" s="183">
        <f t="shared" si="521"/>
        <v>387832.05399462895</v>
      </c>
      <c r="DQ80" s="183">
        <f t="shared" si="522"/>
        <v>387832.05399462895</v>
      </c>
      <c r="DR80" s="183">
        <f t="shared" si="523"/>
        <v>387832.05399462895</v>
      </c>
      <c r="DS80" s="183">
        <f t="shared" si="524"/>
        <v>387832.05399462895</v>
      </c>
      <c r="DT80" s="183">
        <f t="shared" si="525"/>
        <v>387832.05399462895</v>
      </c>
      <c r="DU80" s="183">
        <f t="shared" si="526"/>
        <v>387832.05399462895</v>
      </c>
      <c r="DV80" s="183">
        <f t="shared" si="527"/>
        <v>387832.05399462895</v>
      </c>
      <c r="DW80" s="186">
        <f t="shared" si="528"/>
        <v>387832.05399462895</v>
      </c>
    </row>
    <row r="81" spans="3:127" x14ac:dyDescent="0.3">
      <c r="C81" s="725"/>
      <c r="D81" s="119" t="str">
        <f t="shared" si="465"/>
        <v>Resource3</v>
      </c>
      <c r="E81" s="183"/>
      <c r="F81" s="183"/>
      <c r="G81" s="1207">
        <f>IFERROR(IF($F$4="L4",VLOOKUP($B$4,'Data Master'!$S$68:$AF$76,MATCH($D81,'Data Master'!$S$67:$AF$67,0),0),IF(OR($F$4="L5",$F$4="L6"),VLOOKUP($B$4,'Data Master'!$AG$68:$AT$76,MATCH($D81,'Data Master'!$AG$67:$AT$67,0),0),VLOOKUP($B$4,'Data Master'!$B$68:$R$76,MATCH($D81,'Data Master'!$B$67:$R$67,0),0))),0)</f>
        <v>0</v>
      </c>
      <c r="H81" s="183">
        <f t="shared" ref="H81:AM81" si="553">G81*(1+H$129)</f>
        <v>0</v>
      </c>
      <c r="I81" s="183">
        <f t="shared" si="553"/>
        <v>0</v>
      </c>
      <c r="J81" s="183">
        <f t="shared" si="553"/>
        <v>0</v>
      </c>
      <c r="K81" s="183">
        <f t="shared" si="553"/>
        <v>0</v>
      </c>
      <c r="L81" s="183">
        <f t="shared" si="553"/>
        <v>0</v>
      </c>
      <c r="M81" s="183">
        <f t="shared" si="553"/>
        <v>0</v>
      </c>
      <c r="N81" s="183">
        <f t="shared" si="553"/>
        <v>0</v>
      </c>
      <c r="O81" s="183">
        <f t="shared" si="553"/>
        <v>0</v>
      </c>
      <c r="P81" s="183">
        <f t="shared" si="553"/>
        <v>0</v>
      </c>
      <c r="Q81" s="183">
        <f t="shared" si="553"/>
        <v>0</v>
      </c>
      <c r="R81" s="183">
        <f t="shared" si="553"/>
        <v>0</v>
      </c>
      <c r="S81" s="183">
        <f t="shared" si="553"/>
        <v>0</v>
      </c>
      <c r="T81" s="280">
        <f t="shared" si="553"/>
        <v>0</v>
      </c>
      <c r="U81" s="183">
        <f t="shared" si="553"/>
        <v>0</v>
      </c>
      <c r="V81" s="183">
        <f t="shared" si="553"/>
        <v>0</v>
      </c>
      <c r="W81" s="183">
        <f t="shared" si="553"/>
        <v>0</v>
      </c>
      <c r="X81" s="183">
        <f t="shared" si="553"/>
        <v>0</v>
      </c>
      <c r="Y81" s="183">
        <f t="shared" si="553"/>
        <v>0</v>
      </c>
      <c r="Z81" s="183">
        <f t="shared" si="553"/>
        <v>0</v>
      </c>
      <c r="AA81" s="183">
        <f t="shared" si="553"/>
        <v>0</v>
      </c>
      <c r="AB81" s="183">
        <f t="shared" si="553"/>
        <v>0</v>
      </c>
      <c r="AC81" s="183">
        <f t="shared" si="553"/>
        <v>0</v>
      </c>
      <c r="AD81" s="183">
        <f t="shared" si="553"/>
        <v>0</v>
      </c>
      <c r="AE81" s="183">
        <f t="shared" si="553"/>
        <v>0</v>
      </c>
      <c r="AF81" s="280">
        <f t="shared" si="553"/>
        <v>0</v>
      </c>
      <c r="AG81" s="183">
        <f t="shared" si="553"/>
        <v>0</v>
      </c>
      <c r="AH81" s="183">
        <f t="shared" si="553"/>
        <v>0</v>
      </c>
      <c r="AI81" s="183">
        <f t="shared" si="553"/>
        <v>0</v>
      </c>
      <c r="AJ81" s="183">
        <f t="shared" si="553"/>
        <v>0</v>
      </c>
      <c r="AK81" s="183">
        <f t="shared" si="553"/>
        <v>0</v>
      </c>
      <c r="AL81" s="183">
        <f t="shared" si="553"/>
        <v>0</v>
      </c>
      <c r="AM81" s="183">
        <f t="shared" si="553"/>
        <v>0</v>
      </c>
      <c r="AN81" s="183">
        <f t="shared" ref="AN81:BN81" si="554">AM81*(1+AN$129)</f>
        <v>0</v>
      </c>
      <c r="AO81" s="183">
        <f t="shared" si="554"/>
        <v>0</v>
      </c>
      <c r="AP81" s="183">
        <f t="shared" si="554"/>
        <v>0</v>
      </c>
      <c r="AQ81" s="183">
        <f t="shared" si="554"/>
        <v>0</v>
      </c>
      <c r="AR81" s="280">
        <f t="shared" si="554"/>
        <v>0</v>
      </c>
      <c r="AS81" s="183">
        <f t="shared" si="554"/>
        <v>0</v>
      </c>
      <c r="AT81" s="183">
        <f t="shared" si="554"/>
        <v>0</v>
      </c>
      <c r="AU81" s="183">
        <f t="shared" si="554"/>
        <v>0</v>
      </c>
      <c r="AV81" s="183">
        <f t="shared" si="554"/>
        <v>0</v>
      </c>
      <c r="AW81" s="183">
        <f t="shared" si="554"/>
        <v>0</v>
      </c>
      <c r="AX81" s="183">
        <f t="shared" si="554"/>
        <v>0</v>
      </c>
      <c r="AY81" s="183">
        <f t="shared" si="554"/>
        <v>0</v>
      </c>
      <c r="AZ81" s="183">
        <f t="shared" si="554"/>
        <v>0</v>
      </c>
      <c r="BA81" s="183">
        <f t="shared" si="554"/>
        <v>0</v>
      </c>
      <c r="BB81" s="183">
        <f t="shared" si="554"/>
        <v>0</v>
      </c>
      <c r="BC81" s="183">
        <f t="shared" si="554"/>
        <v>0</v>
      </c>
      <c r="BD81" s="280">
        <f t="shared" si="554"/>
        <v>0</v>
      </c>
      <c r="BE81" s="183">
        <f t="shared" si="554"/>
        <v>0</v>
      </c>
      <c r="BF81" s="183">
        <f t="shared" si="554"/>
        <v>0</v>
      </c>
      <c r="BG81" s="183">
        <f t="shared" si="554"/>
        <v>0</v>
      </c>
      <c r="BH81" s="183">
        <f t="shared" si="554"/>
        <v>0</v>
      </c>
      <c r="BI81" s="183">
        <f t="shared" si="554"/>
        <v>0</v>
      </c>
      <c r="BJ81" s="183">
        <f t="shared" si="554"/>
        <v>0</v>
      </c>
      <c r="BK81" s="183">
        <f t="shared" si="554"/>
        <v>0</v>
      </c>
      <c r="BL81" s="183">
        <f t="shared" si="554"/>
        <v>0</v>
      </c>
      <c r="BM81" s="183">
        <f t="shared" si="554"/>
        <v>0</v>
      </c>
      <c r="BN81" s="183">
        <f t="shared" si="554"/>
        <v>0</v>
      </c>
      <c r="BO81" s="183">
        <f t="shared" si="468"/>
        <v>0</v>
      </c>
      <c r="BP81" s="280">
        <f t="shared" si="469"/>
        <v>0</v>
      </c>
      <c r="BQ81" s="183">
        <f t="shared" si="470"/>
        <v>0</v>
      </c>
      <c r="BR81" s="183">
        <f t="shared" si="471"/>
        <v>0</v>
      </c>
      <c r="BS81" s="183">
        <f t="shared" si="472"/>
        <v>0</v>
      </c>
      <c r="BT81" s="183">
        <f t="shared" si="473"/>
        <v>0</v>
      </c>
      <c r="BU81" s="183">
        <f t="shared" si="474"/>
        <v>0</v>
      </c>
      <c r="BV81" s="183">
        <f t="shared" si="475"/>
        <v>0</v>
      </c>
      <c r="BW81" s="183">
        <f t="shared" si="476"/>
        <v>0</v>
      </c>
      <c r="BX81" s="183">
        <f t="shared" si="477"/>
        <v>0</v>
      </c>
      <c r="BY81" s="183">
        <f t="shared" si="478"/>
        <v>0</v>
      </c>
      <c r="BZ81" s="183">
        <f t="shared" si="479"/>
        <v>0</v>
      </c>
      <c r="CA81" s="183">
        <f t="shared" si="480"/>
        <v>0</v>
      </c>
      <c r="CB81" s="280">
        <f t="shared" si="481"/>
        <v>0</v>
      </c>
      <c r="CC81" s="183">
        <f t="shared" si="482"/>
        <v>0</v>
      </c>
      <c r="CD81" s="183">
        <f t="shared" si="483"/>
        <v>0</v>
      </c>
      <c r="CE81" s="183">
        <f t="shared" si="484"/>
        <v>0</v>
      </c>
      <c r="CF81" s="183">
        <f t="shared" si="485"/>
        <v>0</v>
      </c>
      <c r="CG81" s="183">
        <f t="shared" si="486"/>
        <v>0</v>
      </c>
      <c r="CH81" s="183">
        <f t="shared" si="487"/>
        <v>0</v>
      </c>
      <c r="CI81" s="183">
        <f t="shared" si="488"/>
        <v>0</v>
      </c>
      <c r="CJ81" s="183">
        <f t="shared" si="489"/>
        <v>0</v>
      </c>
      <c r="CK81" s="183">
        <f t="shared" si="490"/>
        <v>0</v>
      </c>
      <c r="CL81" s="183">
        <f t="shared" si="491"/>
        <v>0</v>
      </c>
      <c r="CM81" s="183">
        <f t="shared" si="492"/>
        <v>0</v>
      </c>
      <c r="CN81" s="280">
        <f t="shared" si="493"/>
        <v>0</v>
      </c>
      <c r="CO81" s="183">
        <f t="shared" si="494"/>
        <v>0</v>
      </c>
      <c r="CP81" s="183">
        <f t="shared" si="495"/>
        <v>0</v>
      </c>
      <c r="CQ81" s="183">
        <f t="shared" si="496"/>
        <v>0</v>
      </c>
      <c r="CR81" s="183">
        <f t="shared" si="497"/>
        <v>0</v>
      </c>
      <c r="CS81" s="183">
        <f t="shared" si="498"/>
        <v>0</v>
      </c>
      <c r="CT81" s="183">
        <f t="shared" si="499"/>
        <v>0</v>
      </c>
      <c r="CU81" s="183">
        <f t="shared" si="500"/>
        <v>0</v>
      </c>
      <c r="CV81" s="183">
        <f t="shared" si="501"/>
        <v>0</v>
      </c>
      <c r="CW81" s="183">
        <f t="shared" si="502"/>
        <v>0</v>
      </c>
      <c r="CX81" s="183">
        <f t="shared" si="503"/>
        <v>0</v>
      </c>
      <c r="CY81" s="183">
        <f t="shared" si="504"/>
        <v>0</v>
      </c>
      <c r="CZ81" s="280">
        <f t="shared" si="505"/>
        <v>0</v>
      </c>
      <c r="DA81" s="183">
        <f t="shared" si="506"/>
        <v>0</v>
      </c>
      <c r="DB81" s="183">
        <f t="shared" si="507"/>
        <v>0</v>
      </c>
      <c r="DC81" s="183">
        <f t="shared" si="508"/>
        <v>0</v>
      </c>
      <c r="DD81" s="183">
        <f t="shared" si="509"/>
        <v>0</v>
      </c>
      <c r="DE81" s="183">
        <f t="shared" si="510"/>
        <v>0</v>
      </c>
      <c r="DF81" s="183">
        <f t="shared" si="511"/>
        <v>0</v>
      </c>
      <c r="DG81" s="183">
        <f t="shared" si="512"/>
        <v>0</v>
      </c>
      <c r="DH81" s="183">
        <f t="shared" si="513"/>
        <v>0</v>
      </c>
      <c r="DI81" s="183">
        <f t="shared" si="514"/>
        <v>0</v>
      </c>
      <c r="DJ81" s="183">
        <f t="shared" si="515"/>
        <v>0</v>
      </c>
      <c r="DK81" s="183">
        <f t="shared" si="516"/>
        <v>0</v>
      </c>
      <c r="DL81" s="280">
        <f t="shared" si="517"/>
        <v>0</v>
      </c>
      <c r="DM81" s="183">
        <f t="shared" si="518"/>
        <v>0</v>
      </c>
      <c r="DN81" s="183">
        <f t="shared" si="519"/>
        <v>0</v>
      </c>
      <c r="DO81" s="183">
        <f t="shared" si="520"/>
        <v>0</v>
      </c>
      <c r="DP81" s="183">
        <f t="shared" si="521"/>
        <v>0</v>
      </c>
      <c r="DQ81" s="183">
        <f t="shared" si="522"/>
        <v>0</v>
      </c>
      <c r="DR81" s="183">
        <f t="shared" si="523"/>
        <v>0</v>
      </c>
      <c r="DS81" s="183">
        <f t="shared" si="524"/>
        <v>0</v>
      </c>
      <c r="DT81" s="183">
        <f t="shared" si="525"/>
        <v>0</v>
      </c>
      <c r="DU81" s="183">
        <f t="shared" si="526"/>
        <v>0</v>
      </c>
      <c r="DV81" s="183">
        <f t="shared" si="527"/>
        <v>0</v>
      </c>
      <c r="DW81" s="186">
        <f t="shared" si="528"/>
        <v>0</v>
      </c>
    </row>
    <row r="82" spans="3:127" x14ac:dyDescent="0.3">
      <c r="C82" s="725"/>
      <c r="D82" s="537" t="str">
        <f t="shared" si="465"/>
        <v>Resource4</v>
      </c>
      <c r="E82" s="187"/>
      <c r="F82" s="187"/>
      <c r="G82" s="1208">
        <f>IFERROR(IF($F$4="L4",VLOOKUP($B$4,'Data Master'!$S$68:$AF$76,MATCH($D82,'Data Master'!$S$67:$AF$67,0),0),IF(OR($F$4="L5",$F$4="L6"),VLOOKUP($B$4,'Data Master'!$AG$68:$AT$76,MATCH($D82,'Data Master'!$AG$67:$AT$67,0),0),VLOOKUP($B$4,'Data Master'!$B$68:$R$76,MATCH($D82,'Data Master'!$B$67:$R$67,0),0))),0)</f>
        <v>0</v>
      </c>
      <c r="H82" s="187">
        <f t="shared" ref="H82:AM82" si="555">G82*(1+H$129)</f>
        <v>0</v>
      </c>
      <c r="I82" s="187">
        <f t="shared" si="555"/>
        <v>0</v>
      </c>
      <c r="J82" s="187">
        <f t="shared" si="555"/>
        <v>0</v>
      </c>
      <c r="K82" s="187">
        <f t="shared" si="555"/>
        <v>0</v>
      </c>
      <c r="L82" s="187">
        <f t="shared" si="555"/>
        <v>0</v>
      </c>
      <c r="M82" s="187">
        <f t="shared" si="555"/>
        <v>0</v>
      </c>
      <c r="N82" s="187">
        <f t="shared" si="555"/>
        <v>0</v>
      </c>
      <c r="O82" s="187">
        <f t="shared" si="555"/>
        <v>0</v>
      </c>
      <c r="P82" s="187">
        <f t="shared" si="555"/>
        <v>0</v>
      </c>
      <c r="Q82" s="187">
        <f t="shared" si="555"/>
        <v>0</v>
      </c>
      <c r="R82" s="187">
        <f t="shared" si="555"/>
        <v>0</v>
      </c>
      <c r="S82" s="187">
        <f t="shared" si="555"/>
        <v>0</v>
      </c>
      <c r="T82" s="281">
        <f t="shared" si="555"/>
        <v>0</v>
      </c>
      <c r="U82" s="187">
        <f t="shared" si="555"/>
        <v>0</v>
      </c>
      <c r="V82" s="187">
        <f t="shared" si="555"/>
        <v>0</v>
      </c>
      <c r="W82" s="187">
        <f t="shared" si="555"/>
        <v>0</v>
      </c>
      <c r="X82" s="187">
        <f t="shared" si="555"/>
        <v>0</v>
      </c>
      <c r="Y82" s="187">
        <f t="shared" si="555"/>
        <v>0</v>
      </c>
      <c r="Z82" s="187">
        <f t="shared" si="555"/>
        <v>0</v>
      </c>
      <c r="AA82" s="187">
        <f t="shared" si="555"/>
        <v>0</v>
      </c>
      <c r="AB82" s="187">
        <f t="shared" si="555"/>
        <v>0</v>
      </c>
      <c r="AC82" s="187">
        <f t="shared" si="555"/>
        <v>0</v>
      </c>
      <c r="AD82" s="187">
        <f t="shared" si="555"/>
        <v>0</v>
      </c>
      <c r="AE82" s="187">
        <f t="shared" si="555"/>
        <v>0</v>
      </c>
      <c r="AF82" s="281">
        <f t="shared" si="555"/>
        <v>0</v>
      </c>
      <c r="AG82" s="187">
        <f t="shared" si="555"/>
        <v>0</v>
      </c>
      <c r="AH82" s="187">
        <f t="shared" si="555"/>
        <v>0</v>
      </c>
      <c r="AI82" s="187">
        <f t="shared" si="555"/>
        <v>0</v>
      </c>
      <c r="AJ82" s="187">
        <f t="shared" si="555"/>
        <v>0</v>
      </c>
      <c r="AK82" s="187">
        <f t="shared" si="555"/>
        <v>0</v>
      </c>
      <c r="AL82" s="187">
        <f t="shared" si="555"/>
        <v>0</v>
      </c>
      <c r="AM82" s="187">
        <f t="shared" si="555"/>
        <v>0</v>
      </c>
      <c r="AN82" s="187">
        <f t="shared" ref="AN82:BN82" si="556">AM82*(1+AN$129)</f>
        <v>0</v>
      </c>
      <c r="AO82" s="187">
        <f t="shared" si="556"/>
        <v>0</v>
      </c>
      <c r="AP82" s="187">
        <f t="shared" si="556"/>
        <v>0</v>
      </c>
      <c r="AQ82" s="187">
        <f t="shared" si="556"/>
        <v>0</v>
      </c>
      <c r="AR82" s="281">
        <f t="shared" si="556"/>
        <v>0</v>
      </c>
      <c r="AS82" s="187">
        <f t="shared" si="556"/>
        <v>0</v>
      </c>
      <c r="AT82" s="187">
        <f t="shared" si="556"/>
        <v>0</v>
      </c>
      <c r="AU82" s="187">
        <f t="shared" si="556"/>
        <v>0</v>
      </c>
      <c r="AV82" s="187">
        <f t="shared" si="556"/>
        <v>0</v>
      </c>
      <c r="AW82" s="187">
        <f t="shared" si="556"/>
        <v>0</v>
      </c>
      <c r="AX82" s="187">
        <f t="shared" si="556"/>
        <v>0</v>
      </c>
      <c r="AY82" s="187">
        <f t="shared" si="556"/>
        <v>0</v>
      </c>
      <c r="AZ82" s="187">
        <f t="shared" si="556"/>
        <v>0</v>
      </c>
      <c r="BA82" s="187">
        <f t="shared" si="556"/>
        <v>0</v>
      </c>
      <c r="BB82" s="187">
        <f t="shared" si="556"/>
        <v>0</v>
      </c>
      <c r="BC82" s="187">
        <f t="shared" si="556"/>
        <v>0</v>
      </c>
      <c r="BD82" s="281">
        <f t="shared" si="556"/>
        <v>0</v>
      </c>
      <c r="BE82" s="187">
        <f t="shared" si="556"/>
        <v>0</v>
      </c>
      <c r="BF82" s="187">
        <f t="shared" si="556"/>
        <v>0</v>
      </c>
      <c r="BG82" s="187">
        <f t="shared" si="556"/>
        <v>0</v>
      </c>
      <c r="BH82" s="187">
        <f t="shared" si="556"/>
        <v>0</v>
      </c>
      <c r="BI82" s="187">
        <f t="shared" si="556"/>
        <v>0</v>
      </c>
      <c r="BJ82" s="187">
        <f t="shared" si="556"/>
        <v>0</v>
      </c>
      <c r="BK82" s="187">
        <f t="shared" si="556"/>
        <v>0</v>
      </c>
      <c r="BL82" s="187">
        <f t="shared" si="556"/>
        <v>0</v>
      </c>
      <c r="BM82" s="187">
        <f t="shared" si="556"/>
        <v>0</v>
      </c>
      <c r="BN82" s="187">
        <f t="shared" si="556"/>
        <v>0</v>
      </c>
      <c r="BO82" s="187">
        <f t="shared" si="468"/>
        <v>0</v>
      </c>
      <c r="BP82" s="281">
        <f t="shared" si="469"/>
        <v>0</v>
      </c>
      <c r="BQ82" s="187">
        <f t="shared" si="470"/>
        <v>0</v>
      </c>
      <c r="BR82" s="187">
        <f t="shared" si="471"/>
        <v>0</v>
      </c>
      <c r="BS82" s="187">
        <f t="shared" si="472"/>
        <v>0</v>
      </c>
      <c r="BT82" s="187">
        <f t="shared" si="473"/>
        <v>0</v>
      </c>
      <c r="BU82" s="187">
        <f t="shared" si="474"/>
        <v>0</v>
      </c>
      <c r="BV82" s="187">
        <f t="shared" si="475"/>
        <v>0</v>
      </c>
      <c r="BW82" s="187">
        <f t="shared" si="476"/>
        <v>0</v>
      </c>
      <c r="BX82" s="187">
        <f t="shared" si="477"/>
        <v>0</v>
      </c>
      <c r="BY82" s="187">
        <f t="shared" si="478"/>
        <v>0</v>
      </c>
      <c r="BZ82" s="187">
        <f t="shared" si="479"/>
        <v>0</v>
      </c>
      <c r="CA82" s="187">
        <f t="shared" si="480"/>
        <v>0</v>
      </c>
      <c r="CB82" s="281">
        <f t="shared" si="481"/>
        <v>0</v>
      </c>
      <c r="CC82" s="187">
        <f t="shared" si="482"/>
        <v>0</v>
      </c>
      <c r="CD82" s="187">
        <f t="shared" si="483"/>
        <v>0</v>
      </c>
      <c r="CE82" s="187">
        <f t="shared" si="484"/>
        <v>0</v>
      </c>
      <c r="CF82" s="187">
        <f t="shared" si="485"/>
        <v>0</v>
      </c>
      <c r="CG82" s="187">
        <f t="shared" si="486"/>
        <v>0</v>
      </c>
      <c r="CH82" s="187">
        <f t="shared" si="487"/>
        <v>0</v>
      </c>
      <c r="CI82" s="187">
        <f t="shared" si="488"/>
        <v>0</v>
      </c>
      <c r="CJ82" s="187">
        <f t="shared" si="489"/>
        <v>0</v>
      </c>
      <c r="CK82" s="187">
        <f t="shared" si="490"/>
        <v>0</v>
      </c>
      <c r="CL82" s="187">
        <f t="shared" si="491"/>
        <v>0</v>
      </c>
      <c r="CM82" s="187">
        <f t="shared" si="492"/>
        <v>0</v>
      </c>
      <c r="CN82" s="281">
        <f t="shared" si="493"/>
        <v>0</v>
      </c>
      <c r="CO82" s="187">
        <f t="shared" si="494"/>
        <v>0</v>
      </c>
      <c r="CP82" s="187">
        <f t="shared" si="495"/>
        <v>0</v>
      </c>
      <c r="CQ82" s="187">
        <f t="shared" si="496"/>
        <v>0</v>
      </c>
      <c r="CR82" s="187">
        <f t="shared" si="497"/>
        <v>0</v>
      </c>
      <c r="CS82" s="187">
        <f t="shared" si="498"/>
        <v>0</v>
      </c>
      <c r="CT82" s="187">
        <f t="shared" si="499"/>
        <v>0</v>
      </c>
      <c r="CU82" s="187">
        <f t="shared" si="500"/>
        <v>0</v>
      </c>
      <c r="CV82" s="187">
        <f t="shared" si="501"/>
        <v>0</v>
      </c>
      <c r="CW82" s="187">
        <f t="shared" si="502"/>
        <v>0</v>
      </c>
      <c r="CX82" s="187">
        <f t="shared" si="503"/>
        <v>0</v>
      </c>
      <c r="CY82" s="187">
        <f t="shared" si="504"/>
        <v>0</v>
      </c>
      <c r="CZ82" s="281">
        <f t="shared" si="505"/>
        <v>0</v>
      </c>
      <c r="DA82" s="187">
        <f t="shared" si="506"/>
        <v>0</v>
      </c>
      <c r="DB82" s="187">
        <f t="shared" si="507"/>
        <v>0</v>
      </c>
      <c r="DC82" s="187">
        <f t="shared" si="508"/>
        <v>0</v>
      </c>
      <c r="DD82" s="187">
        <f t="shared" si="509"/>
        <v>0</v>
      </c>
      <c r="DE82" s="187">
        <f t="shared" si="510"/>
        <v>0</v>
      </c>
      <c r="DF82" s="187">
        <f t="shared" si="511"/>
        <v>0</v>
      </c>
      <c r="DG82" s="187">
        <f t="shared" si="512"/>
        <v>0</v>
      </c>
      <c r="DH82" s="187">
        <f t="shared" si="513"/>
        <v>0</v>
      </c>
      <c r="DI82" s="187">
        <f t="shared" si="514"/>
        <v>0</v>
      </c>
      <c r="DJ82" s="187">
        <f t="shared" si="515"/>
        <v>0</v>
      </c>
      <c r="DK82" s="187">
        <f t="shared" si="516"/>
        <v>0</v>
      </c>
      <c r="DL82" s="281">
        <f t="shared" si="517"/>
        <v>0</v>
      </c>
      <c r="DM82" s="187">
        <f t="shared" si="518"/>
        <v>0</v>
      </c>
      <c r="DN82" s="187">
        <f t="shared" si="519"/>
        <v>0</v>
      </c>
      <c r="DO82" s="187">
        <f t="shared" si="520"/>
        <v>0</v>
      </c>
      <c r="DP82" s="187">
        <f t="shared" si="521"/>
        <v>0</v>
      </c>
      <c r="DQ82" s="187">
        <f t="shared" si="522"/>
        <v>0</v>
      </c>
      <c r="DR82" s="187">
        <f t="shared" si="523"/>
        <v>0</v>
      </c>
      <c r="DS82" s="187">
        <f t="shared" si="524"/>
        <v>0</v>
      </c>
      <c r="DT82" s="187">
        <f t="shared" si="525"/>
        <v>0</v>
      </c>
      <c r="DU82" s="187">
        <f t="shared" si="526"/>
        <v>0</v>
      </c>
      <c r="DV82" s="187">
        <f t="shared" si="527"/>
        <v>0</v>
      </c>
      <c r="DW82" s="188">
        <f t="shared" si="528"/>
        <v>0</v>
      </c>
    </row>
    <row r="83" spans="3:127" s="93" customFormat="1" x14ac:dyDescent="0.3"/>
    <row r="84" spans="3:127" x14ac:dyDescent="0.3">
      <c r="C84" s="193">
        <f>VLOOKUP($B$4,'Data Master'!$B$80:$G$88,6,0)</f>
        <v>850</v>
      </c>
      <c r="D84" s="538" t="s">
        <v>233</v>
      </c>
      <c r="J84" s="260"/>
      <c r="T84" s="282"/>
      <c r="AF84" s="282"/>
      <c r="AR84" s="282"/>
      <c r="BD84" s="282"/>
      <c r="BP84" s="282"/>
      <c r="CB84" s="282"/>
      <c r="CN84" s="282"/>
      <c r="CZ84" s="282"/>
      <c r="DL84" s="282"/>
    </row>
    <row r="85" spans="3:127" x14ac:dyDescent="0.3">
      <c r="C85" s="87"/>
      <c r="D85" s="354" t="s">
        <v>234</v>
      </c>
      <c r="E85" s="528"/>
      <c r="F85" s="528"/>
      <c r="G85" s="529">
        <f>G101</f>
        <v>668835.33332128881</v>
      </c>
      <c r="H85" s="528">
        <f t="shared" ref="H85:BN85" si="557">IF((H101-G101)&lt;0,0,(H101-G101))</f>
        <v>0</v>
      </c>
      <c r="I85" s="528">
        <f t="shared" si="557"/>
        <v>0</v>
      </c>
      <c r="J85" s="528">
        <f t="shared" si="557"/>
        <v>0</v>
      </c>
      <c r="K85" s="528">
        <f t="shared" si="557"/>
        <v>0</v>
      </c>
      <c r="L85" s="528">
        <f t="shared" si="557"/>
        <v>0</v>
      </c>
      <c r="M85" s="528">
        <f t="shared" si="557"/>
        <v>0</v>
      </c>
      <c r="N85" s="528">
        <f t="shared" si="557"/>
        <v>0</v>
      </c>
      <c r="O85" s="528">
        <f t="shared" si="557"/>
        <v>0</v>
      </c>
      <c r="P85" s="528">
        <f t="shared" si="557"/>
        <v>0</v>
      </c>
      <c r="Q85" s="528">
        <f t="shared" si="557"/>
        <v>0</v>
      </c>
      <c r="R85" s="528">
        <f t="shared" si="557"/>
        <v>0</v>
      </c>
      <c r="S85" s="528">
        <f t="shared" si="557"/>
        <v>0</v>
      </c>
      <c r="T85" s="530">
        <f t="shared" si="557"/>
        <v>19993.788543043076</v>
      </c>
      <c r="U85" s="528">
        <f t="shared" si="557"/>
        <v>0</v>
      </c>
      <c r="V85" s="528">
        <f t="shared" si="557"/>
        <v>0</v>
      </c>
      <c r="W85" s="528">
        <f t="shared" si="557"/>
        <v>0</v>
      </c>
      <c r="X85" s="528">
        <f t="shared" si="557"/>
        <v>0</v>
      </c>
      <c r="Y85" s="528">
        <f t="shared" si="557"/>
        <v>0</v>
      </c>
      <c r="Z85" s="528">
        <f t="shared" si="557"/>
        <v>0</v>
      </c>
      <c r="AA85" s="528">
        <f t="shared" si="557"/>
        <v>0</v>
      </c>
      <c r="AB85" s="528">
        <f t="shared" si="557"/>
        <v>0</v>
      </c>
      <c r="AC85" s="528">
        <f t="shared" si="557"/>
        <v>0</v>
      </c>
      <c r="AD85" s="528">
        <f t="shared" si="557"/>
        <v>0</v>
      </c>
      <c r="AE85" s="528">
        <f t="shared" si="557"/>
        <v>0</v>
      </c>
      <c r="AF85" s="530">
        <f t="shared" si="557"/>
        <v>20993.477970195236</v>
      </c>
      <c r="AG85" s="528">
        <f t="shared" si="557"/>
        <v>0</v>
      </c>
      <c r="AH85" s="528">
        <f t="shared" si="557"/>
        <v>0</v>
      </c>
      <c r="AI85" s="528">
        <f t="shared" si="557"/>
        <v>0</v>
      </c>
      <c r="AJ85" s="528">
        <f t="shared" si="557"/>
        <v>0</v>
      </c>
      <c r="AK85" s="528">
        <f t="shared" si="557"/>
        <v>0</v>
      </c>
      <c r="AL85" s="528">
        <f t="shared" si="557"/>
        <v>0</v>
      </c>
      <c r="AM85" s="528">
        <f t="shared" si="557"/>
        <v>0</v>
      </c>
      <c r="AN85" s="528">
        <f t="shared" si="557"/>
        <v>0</v>
      </c>
      <c r="AO85" s="528">
        <f t="shared" si="557"/>
        <v>0</v>
      </c>
      <c r="AP85" s="528">
        <f t="shared" si="557"/>
        <v>0</v>
      </c>
      <c r="AQ85" s="528">
        <f t="shared" si="557"/>
        <v>0</v>
      </c>
      <c r="AR85" s="530">
        <f t="shared" si="557"/>
        <v>22043.151868705056</v>
      </c>
      <c r="AS85" s="528">
        <f t="shared" si="557"/>
        <v>0</v>
      </c>
      <c r="AT85" s="528">
        <f t="shared" si="557"/>
        <v>0</v>
      </c>
      <c r="AU85" s="528">
        <f t="shared" si="557"/>
        <v>0</v>
      </c>
      <c r="AV85" s="528">
        <f t="shared" si="557"/>
        <v>0</v>
      </c>
      <c r="AW85" s="528">
        <f t="shared" si="557"/>
        <v>0</v>
      </c>
      <c r="AX85" s="528">
        <f t="shared" si="557"/>
        <v>0</v>
      </c>
      <c r="AY85" s="528">
        <f t="shared" si="557"/>
        <v>0</v>
      </c>
      <c r="AZ85" s="528">
        <f t="shared" si="557"/>
        <v>0</v>
      </c>
      <c r="BA85" s="528">
        <f t="shared" si="557"/>
        <v>0</v>
      </c>
      <c r="BB85" s="528">
        <f t="shared" si="557"/>
        <v>0</v>
      </c>
      <c r="BC85" s="528">
        <f t="shared" si="557"/>
        <v>0</v>
      </c>
      <c r="BD85" s="530">
        <f t="shared" si="557"/>
        <v>23145.30946214014</v>
      </c>
      <c r="BE85" s="528">
        <f t="shared" si="557"/>
        <v>0</v>
      </c>
      <c r="BF85" s="528">
        <f t="shared" si="557"/>
        <v>0</v>
      </c>
      <c r="BG85" s="528">
        <f t="shared" si="557"/>
        <v>0</v>
      </c>
      <c r="BH85" s="528">
        <f t="shared" si="557"/>
        <v>0</v>
      </c>
      <c r="BI85" s="528">
        <f t="shared" si="557"/>
        <v>0</v>
      </c>
      <c r="BJ85" s="528">
        <f t="shared" si="557"/>
        <v>0</v>
      </c>
      <c r="BK85" s="528">
        <f t="shared" si="557"/>
        <v>0</v>
      </c>
      <c r="BL85" s="528">
        <f t="shared" si="557"/>
        <v>0</v>
      </c>
      <c r="BM85" s="528">
        <f t="shared" si="557"/>
        <v>0</v>
      </c>
      <c r="BN85" s="528">
        <f t="shared" si="557"/>
        <v>0</v>
      </c>
      <c r="BO85" s="528">
        <f t="shared" ref="BO85" si="558">IF((BO101-BN101)&lt;0,0,(BO101-BN101))</f>
        <v>0</v>
      </c>
      <c r="BP85" s="530">
        <f t="shared" ref="BP85" si="559">IF((BP101-BO101)&lt;0,0,(BP101-BO101))</f>
        <v>24302.574935247307</v>
      </c>
      <c r="BQ85" s="528">
        <f t="shared" ref="BQ85" si="560">IF((BQ101-BP101)&lt;0,0,(BQ101-BP101))</f>
        <v>0</v>
      </c>
      <c r="BR85" s="528">
        <f t="shared" ref="BR85" si="561">IF((BR101-BQ101)&lt;0,0,(BR101-BQ101))</f>
        <v>0</v>
      </c>
      <c r="BS85" s="528">
        <f t="shared" ref="BS85" si="562">IF((BS101-BR101)&lt;0,0,(BS101-BR101))</f>
        <v>0</v>
      </c>
      <c r="BT85" s="528">
        <f t="shared" ref="BT85" si="563">IF((BT101-BS101)&lt;0,0,(BT101-BS101))</f>
        <v>0</v>
      </c>
      <c r="BU85" s="528">
        <f t="shared" ref="BU85" si="564">IF((BU101-BT101)&lt;0,0,(BU101-BT101))</f>
        <v>0</v>
      </c>
      <c r="BV85" s="528">
        <f t="shared" ref="BV85" si="565">IF((BV101-BU101)&lt;0,0,(BV101-BU101))</f>
        <v>0</v>
      </c>
      <c r="BW85" s="528">
        <f t="shared" ref="BW85" si="566">IF((BW101-BV101)&lt;0,0,(BW101-BV101))</f>
        <v>0</v>
      </c>
      <c r="BX85" s="528">
        <f t="shared" ref="BX85" si="567">IF((BX101-BW101)&lt;0,0,(BX101-BW101))</f>
        <v>0</v>
      </c>
      <c r="BY85" s="528">
        <f t="shared" ref="BY85" si="568">IF((BY101-BX101)&lt;0,0,(BY101-BX101))</f>
        <v>0</v>
      </c>
      <c r="BZ85" s="528">
        <f t="shared" ref="BZ85" si="569">IF((BZ101-BY101)&lt;0,0,(BZ101-BY101))</f>
        <v>0</v>
      </c>
      <c r="CA85" s="528">
        <f t="shared" ref="CA85" si="570">IF((CA101-BZ101)&lt;0,0,(CA101-BZ101))</f>
        <v>0</v>
      </c>
      <c r="CB85" s="530">
        <f t="shared" ref="CB85" si="571">IF((CB101-CA101)&lt;0,0,(CB101-CA101))</f>
        <v>25517.703682009596</v>
      </c>
      <c r="CC85" s="528">
        <f t="shared" ref="CC85" si="572">IF((CC101-CB101)&lt;0,0,(CC101-CB101))</f>
        <v>0</v>
      </c>
      <c r="CD85" s="528">
        <f t="shared" ref="CD85" si="573">IF((CD101-CC101)&lt;0,0,(CD101-CC101))</f>
        <v>0</v>
      </c>
      <c r="CE85" s="528">
        <f t="shared" ref="CE85" si="574">IF((CE101-CD101)&lt;0,0,(CE101-CD101))</f>
        <v>0</v>
      </c>
      <c r="CF85" s="528">
        <f t="shared" ref="CF85" si="575">IF((CF101-CE101)&lt;0,0,(CF101-CE101))</f>
        <v>0</v>
      </c>
      <c r="CG85" s="528">
        <f t="shared" ref="CG85" si="576">IF((CG101-CF101)&lt;0,0,(CG101-CF101))</f>
        <v>0</v>
      </c>
      <c r="CH85" s="528">
        <f t="shared" ref="CH85" si="577">IF((CH101-CG101)&lt;0,0,(CH101-CG101))</f>
        <v>0</v>
      </c>
      <c r="CI85" s="528">
        <f t="shared" ref="CI85" si="578">IF((CI101-CH101)&lt;0,0,(CI101-CH101))</f>
        <v>0</v>
      </c>
      <c r="CJ85" s="528">
        <f t="shared" ref="CJ85" si="579">IF((CJ101-CI101)&lt;0,0,(CJ101-CI101))</f>
        <v>0</v>
      </c>
      <c r="CK85" s="528">
        <f t="shared" ref="CK85" si="580">IF((CK101-CJ101)&lt;0,0,(CK101-CJ101))</f>
        <v>0</v>
      </c>
      <c r="CL85" s="528">
        <f t="shared" ref="CL85" si="581">IF((CL101-CK101)&lt;0,0,(CL101-CK101))</f>
        <v>0</v>
      </c>
      <c r="CM85" s="528">
        <f t="shared" ref="CM85" si="582">IF((CM101-CL101)&lt;0,0,(CM101-CL101))</f>
        <v>0</v>
      </c>
      <c r="CN85" s="530">
        <f t="shared" ref="CN85" si="583">IF((CN101-CM101)&lt;0,0,(CN101-CM101))</f>
        <v>26793.588866110193</v>
      </c>
      <c r="CO85" s="528">
        <f t="shared" ref="CO85" si="584">IF((CO101-CN101)&lt;0,0,(CO101-CN101))</f>
        <v>0</v>
      </c>
      <c r="CP85" s="528">
        <f t="shared" ref="CP85" si="585">IF((CP101-CO101)&lt;0,0,(CP101-CO101))</f>
        <v>0</v>
      </c>
      <c r="CQ85" s="528">
        <f t="shared" ref="CQ85" si="586">IF((CQ101-CP101)&lt;0,0,(CQ101-CP101))</f>
        <v>0</v>
      </c>
      <c r="CR85" s="528">
        <f t="shared" ref="CR85" si="587">IF((CR101-CQ101)&lt;0,0,(CR101-CQ101))</f>
        <v>0</v>
      </c>
      <c r="CS85" s="528">
        <f t="shared" ref="CS85" si="588">IF((CS101-CR101)&lt;0,0,(CS101-CR101))</f>
        <v>0</v>
      </c>
      <c r="CT85" s="528">
        <f t="shared" ref="CT85" si="589">IF((CT101-CS101)&lt;0,0,(CT101-CS101))</f>
        <v>0</v>
      </c>
      <c r="CU85" s="528">
        <f t="shared" ref="CU85" si="590">IF((CU101-CT101)&lt;0,0,(CU101-CT101))</f>
        <v>0</v>
      </c>
      <c r="CV85" s="528">
        <f t="shared" ref="CV85" si="591">IF((CV101-CU101)&lt;0,0,(CV101-CU101))</f>
        <v>0</v>
      </c>
      <c r="CW85" s="528">
        <f t="shared" ref="CW85" si="592">IF((CW101-CV101)&lt;0,0,(CW101-CV101))</f>
        <v>0</v>
      </c>
      <c r="CX85" s="528">
        <f t="shared" ref="CX85" si="593">IF((CX101-CW101)&lt;0,0,(CX101-CW101))</f>
        <v>0</v>
      </c>
      <c r="CY85" s="528">
        <f t="shared" ref="CY85" si="594">IF((CY101-CX101)&lt;0,0,(CY101-CX101))</f>
        <v>0</v>
      </c>
      <c r="CZ85" s="530">
        <f t="shared" ref="CZ85" si="595">IF((CZ101-CY101)&lt;0,0,(CZ101-CY101))</f>
        <v>28133.268309415434</v>
      </c>
      <c r="DA85" s="528">
        <f t="shared" ref="DA85" si="596">IF((DA101-CZ101)&lt;0,0,(DA101-CZ101))</f>
        <v>0</v>
      </c>
      <c r="DB85" s="528">
        <f t="shared" ref="DB85" si="597">IF((DB101-DA101)&lt;0,0,(DB101-DA101))</f>
        <v>0</v>
      </c>
      <c r="DC85" s="528">
        <f t="shared" ref="DC85" si="598">IF((DC101-DB101)&lt;0,0,(DC101-DB101))</f>
        <v>0</v>
      </c>
      <c r="DD85" s="528">
        <f t="shared" ref="DD85" si="599">IF((DD101-DC101)&lt;0,0,(DD101-DC101))</f>
        <v>0</v>
      </c>
      <c r="DE85" s="528">
        <f t="shared" ref="DE85" si="600">IF((DE101-DD101)&lt;0,0,(DE101-DD101))</f>
        <v>0</v>
      </c>
      <c r="DF85" s="528">
        <f t="shared" ref="DF85" si="601">IF((DF101-DE101)&lt;0,0,(DF101-DE101))</f>
        <v>0</v>
      </c>
      <c r="DG85" s="528">
        <f t="shared" ref="DG85" si="602">IF((DG101-DF101)&lt;0,0,(DG101-DF101))</f>
        <v>0</v>
      </c>
      <c r="DH85" s="528">
        <f t="shared" ref="DH85" si="603">IF((DH101-DG101)&lt;0,0,(DH101-DG101))</f>
        <v>0</v>
      </c>
      <c r="DI85" s="528">
        <f t="shared" ref="DI85" si="604">IF((DI101-DH101)&lt;0,0,(DI101-DH101))</f>
        <v>0</v>
      </c>
      <c r="DJ85" s="528">
        <f t="shared" ref="DJ85" si="605">IF((DJ101-DI101)&lt;0,0,(DJ101-DI101))</f>
        <v>0</v>
      </c>
      <c r="DK85" s="528">
        <f t="shared" ref="DK85" si="606">IF((DK101-DJ101)&lt;0,0,(DK101-DJ101))</f>
        <v>0</v>
      </c>
      <c r="DL85" s="530">
        <f t="shared" ref="DL85" si="607">IF((DL101-DK101)&lt;0,0,(DL101-DK101))</f>
        <v>29539.931724886526</v>
      </c>
      <c r="DM85" s="528">
        <f t="shared" ref="DM85" si="608">IF((DM101-DL101)&lt;0,0,(DM101-DL101))</f>
        <v>0</v>
      </c>
      <c r="DN85" s="528">
        <f t="shared" ref="DN85" si="609">IF((DN101-DM101)&lt;0,0,(DN101-DM101))</f>
        <v>0</v>
      </c>
      <c r="DO85" s="528">
        <f t="shared" ref="DO85" si="610">IF((DO101-DN101)&lt;0,0,(DO101-DN101))</f>
        <v>0</v>
      </c>
      <c r="DP85" s="528">
        <f t="shared" ref="DP85" si="611">IF((DP101-DO101)&lt;0,0,(DP101-DO101))</f>
        <v>0</v>
      </c>
      <c r="DQ85" s="528">
        <f t="shared" ref="DQ85" si="612">IF((DQ101-DP101)&lt;0,0,(DQ101-DP101))</f>
        <v>0</v>
      </c>
      <c r="DR85" s="528">
        <f t="shared" ref="DR85" si="613">IF((DR101-DQ101)&lt;0,0,(DR101-DQ101))</f>
        <v>0</v>
      </c>
      <c r="DS85" s="528">
        <f t="shared" ref="DS85" si="614">IF((DS101-DR101)&lt;0,0,(DS101-DR101))</f>
        <v>0</v>
      </c>
      <c r="DT85" s="528">
        <f t="shared" ref="DT85" si="615">IF((DT101-DS101)&lt;0,0,(DT101-DS101))</f>
        <v>0</v>
      </c>
      <c r="DU85" s="528">
        <f t="shared" ref="DU85" si="616">IF((DU101-DT101)&lt;0,0,(DU101-DT101))</f>
        <v>0</v>
      </c>
      <c r="DV85" s="528">
        <f t="shared" ref="DV85" si="617">IF((DV101-DU101)&lt;0,0,(DV101-DU101))</f>
        <v>0</v>
      </c>
      <c r="DW85" s="531">
        <f t="shared" ref="DW85" si="618">IF((DW101-DV101)&lt;0,0,(DW101-DV101))</f>
        <v>0</v>
      </c>
    </row>
    <row r="86" spans="3:127" x14ac:dyDescent="0.3">
      <c r="C86" s="1233">
        <f>VLOOKUP($B$4,'Data Master'!$B$80:$G$88,5,0)</f>
        <v>0.06</v>
      </c>
      <c r="D86" s="539" t="str">
        <f>D68</f>
        <v>TL</v>
      </c>
      <c r="E86" s="91"/>
      <c r="F86" s="91"/>
      <c r="G86" s="90">
        <f t="shared" ref="G86:G100" si="619">(G45*$C$84)+(G45*G68*12*$C86)</f>
        <v>155431.49999999997</v>
      </c>
      <c r="H86" s="91">
        <f>IF((H45-G45)&lt;0,G86,((H45*$C$84)+(H45*H68*12*$C86)))</f>
        <v>155431.49999999997</v>
      </c>
      <c r="I86" s="91">
        <f t="shared" ref="I86:BT100" si="620">IF((I45-H45)&lt;0,H86,((I45*$C$84)+(I45*I68*12*$C86)))</f>
        <v>155431.49999999997</v>
      </c>
      <c r="J86" s="91">
        <f t="shared" si="620"/>
        <v>155431.49999999997</v>
      </c>
      <c r="K86" s="91">
        <f t="shared" si="620"/>
        <v>155431.49999999997</v>
      </c>
      <c r="L86" s="91">
        <f t="shared" si="620"/>
        <v>155431.49999999997</v>
      </c>
      <c r="M86" s="91">
        <f t="shared" si="620"/>
        <v>155431.49999999997</v>
      </c>
      <c r="N86" s="91">
        <f t="shared" si="620"/>
        <v>155431.49999999997</v>
      </c>
      <c r="O86" s="91">
        <f t="shared" si="620"/>
        <v>155431.49999999997</v>
      </c>
      <c r="P86" s="91">
        <f t="shared" si="620"/>
        <v>155431.49999999997</v>
      </c>
      <c r="Q86" s="91">
        <f t="shared" si="620"/>
        <v>155431.49999999997</v>
      </c>
      <c r="R86" s="91">
        <f t="shared" si="620"/>
        <v>155431.49999999997</v>
      </c>
      <c r="S86" s="91">
        <f t="shared" si="620"/>
        <v>155431.49999999997</v>
      </c>
      <c r="T86" s="284">
        <f t="shared" si="620"/>
        <v>163058.99999999997</v>
      </c>
      <c r="U86" s="91">
        <f t="shared" si="620"/>
        <v>163058.99999999997</v>
      </c>
      <c r="V86" s="91">
        <f t="shared" si="620"/>
        <v>163058.99999999997</v>
      </c>
      <c r="W86" s="91">
        <f t="shared" si="620"/>
        <v>163058.99999999997</v>
      </c>
      <c r="X86" s="91">
        <f t="shared" si="620"/>
        <v>163058.99999999997</v>
      </c>
      <c r="Y86" s="91">
        <f t="shared" si="620"/>
        <v>163058.99999999997</v>
      </c>
      <c r="Z86" s="91">
        <f t="shared" si="620"/>
        <v>163058.99999999997</v>
      </c>
      <c r="AA86" s="91">
        <f t="shared" si="620"/>
        <v>163058.99999999997</v>
      </c>
      <c r="AB86" s="91">
        <f t="shared" si="620"/>
        <v>163058.99999999997</v>
      </c>
      <c r="AC86" s="91">
        <f t="shared" si="620"/>
        <v>163058.99999999997</v>
      </c>
      <c r="AD86" s="91">
        <f t="shared" si="620"/>
        <v>163058.99999999997</v>
      </c>
      <c r="AE86" s="91">
        <f t="shared" si="620"/>
        <v>163058.99999999997</v>
      </c>
      <c r="AF86" s="284">
        <f t="shared" si="620"/>
        <v>171067.87499999997</v>
      </c>
      <c r="AG86" s="91">
        <f t="shared" si="620"/>
        <v>171067.87499999997</v>
      </c>
      <c r="AH86" s="91">
        <f t="shared" si="620"/>
        <v>171067.87499999997</v>
      </c>
      <c r="AI86" s="91">
        <f t="shared" si="620"/>
        <v>171067.87499999997</v>
      </c>
      <c r="AJ86" s="91">
        <f t="shared" si="620"/>
        <v>171067.87499999997</v>
      </c>
      <c r="AK86" s="91">
        <f t="shared" si="620"/>
        <v>171067.87499999997</v>
      </c>
      <c r="AL86" s="91">
        <f t="shared" si="620"/>
        <v>171067.87499999997</v>
      </c>
      <c r="AM86" s="91">
        <f t="shared" si="620"/>
        <v>171067.87499999997</v>
      </c>
      <c r="AN86" s="91">
        <f t="shared" si="620"/>
        <v>171067.87499999997</v>
      </c>
      <c r="AO86" s="91">
        <f t="shared" si="620"/>
        <v>171067.87499999997</v>
      </c>
      <c r="AP86" s="91">
        <f t="shared" si="620"/>
        <v>171067.87499999997</v>
      </c>
      <c r="AQ86" s="91">
        <f t="shared" si="620"/>
        <v>171067.87499999997</v>
      </c>
      <c r="AR86" s="284">
        <f t="shared" si="620"/>
        <v>179477.19374999998</v>
      </c>
      <c r="AS86" s="91">
        <f t="shared" si="620"/>
        <v>179477.19374999998</v>
      </c>
      <c r="AT86" s="91">
        <f t="shared" si="620"/>
        <v>179477.19374999998</v>
      </c>
      <c r="AU86" s="91">
        <f t="shared" si="620"/>
        <v>179477.19374999998</v>
      </c>
      <c r="AV86" s="91">
        <f t="shared" si="620"/>
        <v>179477.19374999998</v>
      </c>
      <c r="AW86" s="91">
        <f t="shared" si="620"/>
        <v>179477.19374999998</v>
      </c>
      <c r="AX86" s="91">
        <f t="shared" si="620"/>
        <v>179477.19374999998</v>
      </c>
      <c r="AY86" s="91">
        <f t="shared" si="620"/>
        <v>179477.19374999998</v>
      </c>
      <c r="AZ86" s="91">
        <f t="shared" si="620"/>
        <v>179477.19374999998</v>
      </c>
      <c r="BA86" s="91">
        <f t="shared" si="620"/>
        <v>179477.19374999998</v>
      </c>
      <c r="BB86" s="91">
        <f t="shared" si="620"/>
        <v>179477.19374999998</v>
      </c>
      <c r="BC86" s="91">
        <f t="shared" si="620"/>
        <v>179477.19374999998</v>
      </c>
      <c r="BD86" s="284">
        <f t="shared" si="620"/>
        <v>188306.97843749996</v>
      </c>
      <c r="BE86" s="91">
        <f t="shared" si="620"/>
        <v>188306.97843749996</v>
      </c>
      <c r="BF86" s="91">
        <f t="shared" si="620"/>
        <v>188306.97843749996</v>
      </c>
      <c r="BG86" s="91">
        <f t="shared" si="620"/>
        <v>188306.97843749996</v>
      </c>
      <c r="BH86" s="91">
        <f t="shared" si="620"/>
        <v>188306.97843749996</v>
      </c>
      <c r="BI86" s="91">
        <f t="shared" si="620"/>
        <v>188306.97843749996</v>
      </c>
      <c r="BJ86" s="91">
        <f t="shared" si="620"/>
        <v>188306.97843749996</v>
      </c>
      <c r="BK86" s="91">
        <f t="shared" si="620"/>
        <v>188306.97843749996</v>
      </c>
      <c r="BL86" s="91">
        <f t="shared" si="620"/>
        <v>188306.97843749996</v>
      </c>
      <c r="BM86" s="91">
        <f t="shared" si="620"/>
        <v>188306.97843749996</v>
      </c>
      <c r="BN86" s="91">
        <f t="shared" si="620"/>
        <v>188306.97843749996</v>
      </c>
      <c r="BO86" s="91">
        <f t="shared" si="620"/>
        <v>188306.97843749996</v>
      </c>
      <c r="BP86" s="284">
        <f t="shared" si="620"/>
        <v>197578.25235937495</v>
      </c>
      <c r="BQ86" s="91">
        <f t="shared" si="620"/>
        <v>197578.25235937495</v>
      </c>
      <c r="BR86" s="91">
        <f t="shared" si="620"/>
        <v>197578.25235937495</v>
      </c>
      <c r="BS86" s="91">
        <f t="shared" si="620"/>
        <v>197578.25235937495</v>
      </c>
      <c r="BT86" s="91">
        <f t="shared" si="620"/>
        <v>197578.25235937495</v>
      </c>
      <c r="BU86" s="91">
        <f t="shared" ref="BU86:DW90" si="621">IF((BU45-BT45)&lt;0,BT86,((BU45*$C$84)+(BU45*BU68*12*$C86)))</f>
        <v>197578.25235937495</v>
      </c>
      <c r="BV86" s="91">
        <f t="shared" si="621"/>
        <v>197578.25235937495</v>
      </c>
      <c r="BW86" s="91">
        <f t="shared" si="621"/>
        <v>197578.25235937495</v>
      </c>
      <c r="BX86" s="91">
        <f t="shared" si="621"/>
        <v>197578.25235937495</v>
      </c>
      <c r="BY86" s="91">
        <f t="shared" si="621"/>
        <v>197578.25235937495</v>
      </c>
      <c r="BZ86" s="91">
        <f t="shared" si="621"/>
        <v>197578.25235937495</v>
      </c>
      <c r="CA86" s="91">
        <f t="shared" si="621"/>
        <v>197578.25235937495</v>
      </c>
      <c r="CB86" s="284">
        <f t="shared" si="621"/>
        <v>207313.08997734374</v>
      </c>
      <c r="CC86" s="91">
        <f t="shared" si="621"/>
        <v>207313.08997734374</v>
      </c>
      <c r="CD86" s="91">
        <f t="shared" si="621"/>
        <v>207313.08997734374</v>
      </c>
      <c r="CE86" s="91">
        <f t="shared" si="621"/>
        <v>207313.08997734374</v>
      </c>
      <c r="CF86" s="91">
        <f t="shared" si="621"/>
        <v>207313.08997734374</v>
      </c>
      <c r="CG86" s="91">
        <f t="shared" si="621"/>
        <v>207313.08997734374</v>
      </c>
      <c r="CH86" s="91">
        <f t="shared" si="621"/>
        <v>207313.08997734374</v>
      </c>
      <c r="CI86" s="91">
        <f t="shared" si="621"/>
        <v>207313.08997734374</v>
      </c>
      <c r="CJ86" s="91">
        <f t="shared" si="621"/>
        <v>207313.08997734374</v>
      </c>
      <c r="CK86" s="91">
        <f t="shared" si="621"/>
        <v>207313.08997734374</v>
      </c>
      <c r="CL86" s="91">
        <f t="shared" si="621"/>
        <v>207313.08997734374</v>
      </c>
      <c r="CM86" s="91">
        <f t="shared" si="621"/>
        <v>207313.08997734374</v>
      </c>
      <c r="CN86" s="284">
        <f t="shared" si="621"/>
        <v>217534.6694762109</v>
      </c>
      <c r="CO86" s="91">
        <f t="shared" si="621"/>
        <v>217534.6694762109</v>
      </c>
      <c r="CP86" s="91">
        <f t="shared" si="621"/>
        <v>217534.6694762109</v>
      </c>
      <c r="CQ86" s="91">
        <f t="shared" si="621"/>
        <v>217534.6694762109</v>
      </c>
      <c r="CR86" s="91">
        <f t="shared" si="621"/>
        <v>217534.6694762109</v>
      </c>
      <c r="CS86" s="91">
        <f t="shared" si="621"/>
        <v>217534.6694762109</v>
      </c>
      <c r="CT86" s="91">
        <f t="shared" si="621"/>
        <v>217534.6694762109</v>
      </c>
      <c r="CU86" s="91">
        <f t="shared" si="621"/>
        <v>217534.6694762109</v>
      </c>
      <c r="CV86" s="91">
        <f t="shared" si="621"/>
        <v>217534.6694762109</v>
      </c>
      <c r="CW86" s="91">
        <f t="shared" si="621"/>
        <v>217534.6694762109</v>
      </c>
      <c r="CX86" s="91">
        <f t="shared" si="621"/>
        <v>217534.6694762109</v>
      </c>
      <c r="CY86" s="91">
        <f t="shared" si="621"/>
        <v>217534.6694762109</v>
      </c>
      <c r="CZ86" s="284">
        <f t="shared" si="621"/>
        <v>228267.32795002146</v>
      </c>
      <c r="DA86" s="91">
        <f t="shared" si="621"/>
        <v>228267.32795002146</v>
      </c>
      <c r="DB86" s="91">
        <f t="shared" si="621"/>
        <v>228267.32795002146</v>
      </c>
      <c r="DC86" s="91">
        <f t="shared" si="621"/>
        <v>228267.32795002146</v>
      </c>
      <c r="DD86" s="91">
        <f t="shared" si="621"/>
        <v>228267.32795002146</v>
      </c>
      <c r="DE86" s="91">
        <f t="shared" si="621"/>
        <v>228267.32795002146</v>
      </c>
      <c r="DF86" s="91">
        <f t="shared" si="621"/>
        <v>228267.32795002146</v>
      </c>
      <c r="DG86" s="91">
        <f t="shared" si="621"/>
        <v>228267.32795002146</v>
      </c>
      <c r="DH86" s="91">
        <f t="shared" si="621"/>
        <v>228267.32795002146</v>
      </c>
      <c r="DI86" s="91">
        <f t="shared" si="621"/>
        <v>228267.32795002146</v>
      </c>
      <c r="DJ86" s="91">
        <f t="shared" si="621"/>
        <v>228267.32795002146</v>
      </c>
      <c r="DK86" s="91">
        <f t="shared" si="621"/>
        <v>228267.32795002146</v>
      </c>
      <c r="DL86" s="284">
        <f t="shared" si="621"/>
        <v>239536.61934752259</v>
      </c>
      <c r="DM86" s="91">
        <f t="shared" si="621"/>
        <v>239536.61934752259</v>
      </c>
      <c r="DN86" s="91">
        <f t="shared" si="621"/>
        <v>239536.61934752259</v>
      </c>
      <c r="DO86" s="91">
        <f t="shared" si="621"/>
        <v>239536.61934752259</v>
      </c>
      <c r="DP86" s="91">
        <f t="shared" si="621"/>
        <v>239536.61934752259</v>
      </c>
      <c r="DQ86" s="91">
        <f t="shared" si="621"/>
        <v>239536.61934752259</v>
      </c>
      <c r="DR86" s="91">
        <f t="shared" si="621"/>
        <v>239536.61934752259</v>
      </c>
      <c r="DS86" s="91">
        <f t="shared" si="621"/>
        <v>239536.61934752259</v>
      </c>
      <c r="DT86" s="91">
        <f t="shared" si="621"/>
        <v>239536.61934752259</v>
      </c>
      <c r="DU86" s="91">
        <f t="shared" si="621"/>
        <v>239536.61934752259</v>
      </c>
      <c r="DV86" s="91">
        <f t="shared" si="621"/>
        <v>239536.61934752259</v>
      </c>
      <c r="DW86" s="527">
        <f t="shared" si="621"/>
        <v>239536.61934752259</v>
      </c>
    </row>
    <row r="87" spans="3:127" x14ac:dyDescent="0.3">
      <c r="C87" s="87">
        <f>C86</f>
        <v>0.06</v>
      </c>
      <c r="D87" s="539" t="str">
        <f t="shared" ref="D87:D100" si="622">D69</f>
        <v>AM</v>
      </c>
      <c r="E87" s="91"/>
      <c r="F87" s="91"/>
      <c r="G87" s="90">
        <f t="shared" si="619"/>
        <v>0.41510499999999989</v>
      </c>
      <c r="H87" s="91">
        <f t="shared" ref="H87:BS90" si="623">IF((H46-G46)&lt;0,G87,((H46*$C$84)+(H46*H69*12*$C87)))</f>
        <v>0.41510499999999989</v>
      </c>
      <c r="I87" s="91">
        <f t="shared" si="623"/>
        <v>0.415105</v>
      </c>
      <c r="J87" s="91">
        <f t="shared" si="623"/>
        <v>0.415105</v>
      </c>
      <c r="K87" s="91">
        <f t="shared" si="623"/>
        <v>0.415105</v>
      </c>
      <c r="L87" s="91">
        <f t="shared" si="623"/>
        <v>0.415105</v>
      </c>
      <c r="M87" s="91">
        <f t="shared" si="623"/>
        <v>0.415105</v>
      </c>
      <c r="N87" s="91">
        <f t="shared" si="623"/>
        <v>0.415105</v>
      </c>
      <c r="O87" s="91">
        <f t="shared" si="623"/>
        <v>0.415105</v>
      </c>
      <c r="P87" s="91">
        <f t="shared" si="623"/>
        <v>0.415105</v>
      </c>
      <c r="Q87" s="91">
        <f t="shared" si="623"/>
        <v>0.415105</v>
      </c>
      <c r="R87" s="91">
        <f t="shared" si="623"/>
        <v>0.415105</v>
      </c>
      <c r="S87" s="91">
        <f t="shared" si="623"/>
        <v>0.415105</v>
      </c>
      <c r="T87" s="284">
        <f t="shared" si="623"/>
        <v>0.43560100000000002</v>
      </c>
      <c r="U87" s="91">
        <f t="shared" si="623"/>
        <v>0.43560100000000002</v>
      </c>
      <c r="V87" s="91">
        <f t="shared" si="623"/>
        <v>0.43560100000000002</v>
      </c>
      <c r="W87" s="91">
        <f t="shared" si="623"/>
        <v>0.43560100000000002</v>
      </c>
      <c r="X87" s="91">
        <f t="shared" si="623"/>
        <v>0.43560100000000002</v>
      </c>
      <c r="Y87" s="91">
        <f t="shared" si="623"/>
        <v>0.43560100000000002</v>
      </c>
      <c r="Z87" s="91">
        <f t="shared" si="623"/>
        <v>0.43560100000000002</v>
      </c>
      <c r="AA87" s="91">
        <f t="shared" si="623"/>
        <v>0.43560100000000002</v>
      </c>
      <c r="AB87" s="91">
        <f t="shared" si="623"/>
        <v>0.43560100000000002</v>
      </c>
      <c r="AC87" s="91">
        <f t="shared" si="623"/>
        <v>0.43560100000000002</v>
      </c>
      <c r="AD87" s="91">
        <f t="shared" si="623"/>
        <v>0.43560100000000002</v>
      </c>
      <c r="AE87" s="91">
        <f t="shared" si="623"/>
        <v>0.43560100000000002</v>
      </c>
      <c r="AF87" s="284">
        <f t="shared" si="623"/>
        <v>0.45712179999999997</v>
      </c>
      <c r="AG87" s="91">
        <f t="shared" si="623"/>
        <v>0.45712179999999997</v>
      </c>
      <c r="AH87" s="91">
        <f t="shared" si="623"/>
        <v>0.45712179999999997</v>
      </c>
      <c r="AI87" s="91">
        <f t="shared" si="623"/>
        <v>0.45712179999999997</v>
      </c>
      <c r="AJ87" s="91">
        <f t="shared" si="623"/>
        <v>0.45712179999999997</v>
      </c>
      <c r="AK87" s="91">
        <f t="shared" si="623"/>
        <v>0.45712179999999997</v>
      </c>
      <c r="AL87" s="91">
        <f t="shared" si="623"/>
        <v>0.45712179999999997</v>
      </c>
      <c r="AM87" s="91">
        <f t="shared" si="623"/>
        <v>0.45712179999999997</v>
      </c>
      <c r="AN87" s="91">
        <f t="shared" si="623"/>
        <v>0.45712179999999997</v>
      </c>
      <c r="AO87" s="91">
        <f t="shared" si="623"/>
        <v>0.45712179999999997</v>
      </c>
      <c r="AP87" s="91">
        <f t="shared" si="623"/>
        <v>0.45712179999999997</v>
      </c>
      <c r="AQ87" s="91">
        <f t="shared" si="623"/>
        <v>0.45712179999999997</v>
      </c>
      <c r="AR87" s="284">
        <f t="shared" si="623"/>
        <v>0.47971863999999997</v>
      </c>
      <c r="AS87" s="91">
        <f t="shared" si="623"/>
        <v>0.47971863999999997</v>
      </c>
      <c r="AT87" s="91">
        <f t="shared" si="623"/>
        <v>0.47971863999999997</v>
      </c>
      <c r="AU87" s="91">
        <f t="shared" si="623"/>
        <v>0.47971863999999997</v>
      </c>
      <c r="AV87" s="91">
        <f t="shared" si="623"/>
        <v>0.47971863999999997</v>
      </c>
      <c r="AW87" s="91">
        <f t="shared" si="623"/>
        <v>0.47971863999999997</v>
      </c>
      <c r="AX87" s="91">
        <f t="shared" si="623"/>
        <v>0.47971863999999997</v>
      </c>
      <c r="AY87" s="91">
        <f t="shared" si="623"/>
        <v>0.47971863999999997</v>
      </c>
      <c r="AZ87" s="91">
        <f t="shared" si="623"/>
        <v>0.47971863999999997</v>
      </c>
      <c r="BA87" s="91">
        <f t="shared" si="623"/>
        <v>0.47971863999999997</v>
      </c>
      <c r="BB87" s="91">
        <f t="shared" si="623"/>
        <v>0.47971863999999997</v>
      </c>
      <c r="BC87" s="91">
        <f t="shared" si="623"/>
        <v>0.47971863999999997</v>
      </c>
      <c r="BD87" s="284">
        <f t="shared" si="623"/>
        <v>0.50344532200000003</v>
      </c>
      <c r="BE87" s="91">
        <f t="shared" si="623"/>
        <v>0.50344532200000003</v>
      </c>
      <c r="BF87" s="91">
        <f t="shared" si="623"/>
        <v>0.50344532200000003</v>
      </c>
      <c r="BG87" s="91">
        <f t="shared" si="623"/>
        <v>0.50344532200000003</v>
      </c>
      <c r="BH87" s="91">
        <f t="shared" si="623"/>
        <v>0.50344532200000003</v>
      </c>
      <c r="BI87" s="91">
        <f t="shared" si="623"/>
        <v>0.50344532200000003</v>
      </c>
      <c r="BJ87" s="91">
        <f t="shared" si="623"/>
        <v>0.50344532200000003</v>
      </c>
      <c r="BK87" s="91">
        <f t="shared" si="623"/>
        <v>0.50344532200000003</v>
      </c>
      <c r="BL87" s="91">
        <f t="shared" si="623"/>
        <v>0.50344532200000003</v>
      </c>
      <c r="BM87" s="91">
        <f t="shared" si="623"/>
        <v>0.50344532200000003</v>
      </c>
      <c r="BN87" s="91">
        <f t="shared" si="623"/>
        <v>0.50344532200000003</v>
      </c>
      <c r="BO87" s="91">
        <f t="shared" si="623"/>
        <v>0.50344532200000003</v>
      </c>
      <c r="BP87" s="284">
        <f t="shared" si="623"/>
        <v>0.52835833809999988</v>
      </c>
      <c r="BQ87" s="91">
        <f t="shared" si="623"/>
        <v>0.52835833809999988</v>
      </c>
      <c r="BR87" s="91">
        <f t="shared" si="623"/>
        <v>0.52835833809999988</v>
      </c>
      <c r="BS87" s="91">
        <f t="shared" si="623"/>
        <v>0.52835833809999988</v>
      </c>
      <c r="BT87" s="91">
        <f t="shared" si="620"/>
        <v>0.52835833809999988</v>
      </c>
      <c r="BU87" s="91">
        <f t="shared" si="621"/>
        <v>0.52835833809999988</v>
      </c>
      <c r="BV87" s="91">
        <f t="shared" si="621"/>
        <v>0.52835833809999988</v>
      </c>
      <c r="BW87" s="91">
        <f t="shared" si="621"/>
        <v>0.52835833809999988</v>
      </c>
      <c r="BX87" s="91">
        <f t="shared" si="621"/>
        <v>0.52835833809999988</v>
      </c>
      <c r="BY87" s="91">
        <f t="shared" si="621"/>
        <v>0.52835833809999988</v>
      </c>
      <c r="BZ87" s="91">
        <f t="shared" si="621"/>
        <v>0.52835833809999988</v>
      </c>
      <c r="CA87" s="91">
        <f t="shared" si="621"/>
        <v>0.52835833809999988</v>
      </c>
      <c r="CB87" s="284">
        <f t="shared" si="621"/>
        <v>0.55451700500500012</v>
      </c>
      <c r="CC87" s="91">
        <f t="shared" si="621"/>
        <v>0.55451700500500012</v>
      </c>
      <c r="CD87" s="91">
        <f t="shared" si="621"/>
        <v>0.55451700500500012</v>
      </c>
      <c r="CE87" s="91">
        <f t="shared" si="621"/>
        <v>0.55451700500500012</v>
      </c>
      <c r="CF87" s="91">
        <f t="shared" si="621"/>
        <v>0.55451700500500012</v>
      </c>
      <c r="CG87" s="91">
        <f t="shared" si="621"/>
        <v>0.55451700500500012</v>
      </c>
      <c r="CH87" s="91">
        <f t="shared" si="621"/>
        <v>0.55451700500500012</v>
      </c>
      <c r="CI87" s="91">
        <f t="shared" si="621"/>
        <v>0.55451700500500012</v>
      </c>
      <c r="CJ87" s="91">
        <f t="shared" si="621"/>
        <v>0.55451700500500012</v>
      </c>
      <c r="CK87" s="91">
        <f t="shared" si="621"/>
        <v>0.55451700500500012</v>
      </c>
      <c r="CL87" s="91">
        <f t="shared" si="621"/>
        <v>0.55451700500500012</v>
      </c>
      <c r="CM87" s="91">
        <f t="shared" si="621"/>
        <v>0.55451700500500012</v>
      </c>
      <c r="CN87" s="284">
        <f t="shared" si="621"/>
        <v>0.58198360525524995</v>
      </c>
      <c r="CO87" s="91">
        <f t="shared" si="621"/>
        <v>0.58198360525524995</v>
      </c>
      <c r="CP87" s="91">
        <f t="shared" si="621"/>
        <v>0.58198360525524995</v>
      </c>
      <c r="CQ87" s="91">
        <f t="shared" si="621"/>
        <v>0.58198360525524995</v>
      </c>
      <c r="CR87" s="91">
        <f t="shared" si="621"/>
        <v>0.58198360525524995</v>
      </c>
      <c r="CS87" s="91">
        <f t="shared" si="621"/>
        <v>0.58198360525524995</v>
      </c>
      <c r="CT87" s="91">
        <f t="shared" si="621"/>
        <v>0.58198360525524995</v>
      </c>
      <c r="CU87" s="91">
        <f t="shared" si="621"/>
        <v>0.58198360525524995</v>
      </c>
      <c r="CV87" s="91">
        <f t="shared" si="621"/>
        <v>0.58198360525524995</v>
      </c>
      <c r="CW87" s="91">
        <f t="shared" si="621"/>
        <v>0.58198360525524995</v>
      </c>
      <c r="CX87" s="91">
        <f t="shared" si="621"/>
        <v>0.58198360525524995</v>
      </c>
      <c r="CY87" s="91">
        <f t="shared" si="621"/>
        <v>0.58198360525524995</v>
      </c>
      <c r="CZ87" s="284">
        <f t="shared" si="621"/>
        <v>0.61082353551801261</v>
      </c>
      <c r="DA87" s="91">
        <f t="shared" si="621"/>
        <v>0.61082353551801261</v>
      </c>
      <c r="DB87" s="91">
        <f t="shared" si="621"/>
        <v>0.61082353551801261</v>
      </c>
      <c r="DC87" s="91">
        <f t="shared" si="621"/>
        <v>0.61082353551801261</v>
      </c>
      <c r="DD87" s="91">
        <f t="shared" si="621"/>
        <v>0.61082353551801261</v>
      </c>
      <c r="DE87" s="91">
        <f t="shared" si="621"/>
        <v>0.61082353551801261</v>
      </c>
      <c r="DF87" s="91">
        <f t="shared" si="621"/>
        <v>0.61082353551801261</v>
      </c>
      <c r="DG87" s="91">
        <f t="shared" si="621"/>
        <v>0.61082353551801261</v>
      </c>
      <c r="DH87" s="91">
        <f t="shared" si="621"/>
        <v>0.61082353551801261</v>
      </c>
      <c r="DI87" s="91">
        <f t="shared" si="621"/>
        <v>0.61082353551801261</v>
      </c>
      <c r="DJ87" s="91">
        <f t="shared" si="621"/>
        <v>0.61082353551801261</v>
      </c>
      <c r="DK87" s="91">
        <f t="shared" si="621"/>
        <v>0.61082353551801261</v>
      </c>
      <c r="DL87" s="284">
        <f t="shared" si="621"/>
        <v>0.6411054622939133</v>
      </c>
      <c r="DM87" s="91">
        <f t="shared" si="621"/>
        <v>0.6411054622939133</v>
      </c>
      <c r="DN87" s="91">
        <f t="shared" si="621"/>
        <v>0.6411054622939133</v>
      </c>
      <c r="DO87" s="91">
        <f t="shared" si="621"/>
        <v>0.6411054622939133</v>
      </c>
      <c r="DP87" s="91">
        <f t="shared" si="621"/>
        <v>0.6411054622939133</v>
      </c>
      <c r="DQ87" s="91">
        <f t="shared" si="621"/>
        <v>0.6411054622939133</v>
      </c>
      <c r="DR87" s="91">
        <f t="shared" si="621"/>
        <v>0.6411054622939133</v>
      </c>
      <c r="DS87" s="91">
        <f t="shared" si="621"/>
        <v>0.6411054622939133</v>
      </c>
      <c r="DT87" s="91">
        <f t="shared" si="621"/>
        <v>0.6411054622939133</v>
      </c>
      <c r="DU87" s="91">
        <f t="shared" si="621"/>
        <v>0.6411054622939133</v>
      </c>
      <c r="DV87" s="91">
        <f t="shared" si="621"/>
        <v>0.6411054622939133</v>
      </c>
      <c r="DW87" s="527">
        <f t="shared" si="621"/>
        <v>0.6411054622939133</v>
      </c>
    </row>
    <row r="88" spans="3:127" x14ac:dyDescent="0.3">
      <c r="C88" s="87">
        <f t="shared" ref="C88:C100" si="624">C87</f>
        <v>0.06</v>
      </c>
      <c r="D88" s="539" t="str">
        <f t="shared" si="622"/>
        <v>Ops Manager</v>
      </c>
      <c r="E88" s="91"/>
      <c r="F88" s="91"/>
      <c r="G88" s="90">
        <f t="shared" si="619"/>
        <v>55332.083333333336</v>
      </c>
      <c r="H88" s="91">
        <f t="shared" si="623"/>
        <v>55332.083333333336</v>
      </c>
      <c r="I88" s="91">
        <f t="shared" si="623"/>
        <v>55332.083333333336</v>
      </c>
      <c r="J88" s="91">
        <f t="shared" si="623"/>
        <v>55332.083333333336</v>
      </c>
      <c r="K88" s="91">
        <f t="shared" si="623"/>
        <v>55332.083333333336</v>
      </c>
      <c r="L88" s="91">
        <f t="shared" si="623"/>
        <v>55332.083333333336</v>
      </c>
      <c r="M88" s="91">
        <f t="shared" si="623"/>
        <v>55332.083333333336</v>
      </c>
      <c r="N88" s="91">
        <f t="shared" si="623"/>
        <v>55332.083333333336</v>
      </c>
      <c r="O88" s="91">
        <f t="shared" si="623"/>
        <v>55332.083333333336</v>
      </c>
      <c r="P88" s="91">
        <f t="shared" si="623"/>
        <v>55332.083333333336</v>
      </c>
      <c r="Q88" s="91">
        <f t="shared" si="623"/>
        <v>55332.083333333336</v>
      </c>
      <c r="R88" s="91">
        <f t="shared" si="623"/>
        <v>55332.083333333336</v>
      </c>
      <c r="S88" s="91">
        <f t="shared" si="623"/>
        <v>55332.083333333336</v>
      </c>
      <c r="T88" s="284">
        <f t="shared" si="623"/>
        <v>58077.083333333336</v>
      </c>
      <c r="U88" s="91">
        <f t="shared" si="623"/>
        <v>58077.083333333336</v>
      </c>
      <c r="V88" s="91">
        <f t="shared" si="623"/>
        <v>58077.083333333336</v>
      </c>
      <c r="W88" s="91">
        <f t="shared" si="623"/>
        <v>58077.083333333336</v>
      </c>
      <c r="X88" s="91">
        <f t="shared" si="623"/>
        <v>58077.083333333336</v>
      </c>
      <c r="Y88" s="91">
        <f t="shared" si="623"/>
        <v>58077.083333333336</v>
      </c>
      <c r="Z88" s="91">
        <f t="shared" si="623"/>
        <v>58077.083333333336</v>
      </c>
      <c r="AA88" s="91">
        <f t="shared" si="623"/>
        <v>58077.083333333336</v>
      </c>
      <c r="AB88" s="91">
        <f t="shared" si="623"/>
        <v>58077.083333333336</v>
      </c>
      <c r="AC88" s="91">
        <f t="shared" si="623"/>
        <v>58077.083333333336</v>
      </c>
      <c r="AD88" s="91">
        <f t="shared" si="623"/>
        <v>58077.083333333336</v>
      </c>
      <c r="AE88" s="91">
        <f t="shared" si="623"/>
        <v>58077.083333333336</v>
      </c>
      <c r="AF88" s="284">
        <f t="shared" si="623"/>
        <v>60959.333333333336</v>
      </c>
      <c r="AG88" s="91">
        <f t="shared" si="623"/>
        <v>60959.333333333336</v>
      </c>
      <c r="AH88" s="91">
        <f t="shared" si="623"/>
        <v>60959.333333333336</v>
      </c>
      <c r="AI88" s="91">
        <f t="shared" si="623"/>
        <v>60959.333333333336</v>
      </c>
      <c r="AJ88" s="91">
        <f t="shared" si="623"/>
        <v>60959.333333333336</v>
      </c>
      <c r="AK88" s="91">
        <f t="shared" si="623"/>
        <v>60959.333333333336</v>
      </c>
      <c r="AL88" s="91">
        <f t="shared" si="623"/>
        <v>60959.333333333336</v>
      </c>
      <c r="AM88" s="91">
        <f t="shared" si="623"/>
        <v>60959.333333333336</v>
      </c>
      <c r="AN88" s="91">
        <f t="shared" si="623"/>
        <v>60959.333333333336</v>
      </c>
      <c r="AO88" s="91">
        <f t="shared" si="623"/>
        <v>60959.333333333336</v>
      </c>
      <c r="AP88" s="91">
        <f t="shared" si="623"/>
        <v>60959.333333333336</v>
      </c>
      <c r="AQ88" s="91">
        <f t="shared" si="623"/>
        <v>60959.333333333336</v>
      </c>
      <c r="AR88" s="284">
        <f t="shared" si="623"/>
        <v>63985.695833333331</v>
      </c>
      <c r="AS88" s="91">
        <f t="shared" si="623"/>
        <v>63985.695833333331</v>
      </c>
      <c r="AT88" s="91">
        <f t="shared" si="623"/>
        <v>63985.695833333331</v>
      </c>
      <c r="AU88" s="91">
        <f t="shared" si="623"/>
        <v>63985.695833333331</v>
      </c>
      <c r="AV88" s="91">
        <f t="shared" si="623"/>
        <v>63985.695833333331</v>
      </c>
      <c r="AW88" s="91">
        <f t="shared" si="623"/>
        <v>63985.695833333331</v>
      </c>
      <c r="AX88" s="91">
        <f t="shared" si="623"/>
        <v>63985.695833333331</v>
      </c>
      <c r="AY88" s="91">
        <f t="shared" si="623"/>
        <v>63985.695833333331</v>
      </c>
      <c r="AZ88" s="91">
        <f t="shared" si="623"/>
        <v>63985.695833333331</v>
      </c>
      <c r="BA88" s="91">
        <f t="shared" si="623"/>
        <v>63985.695833333331</v>
      </c>
      <c r="BB88" s="91">
        <f t="shared" si="623"/>
        <v>63985.695833333331</v>
      </c>
      <c r="BC88" s="91">
        <f t="shared" si="623"/>
        <v>63985.695833333331</v>
      </c>
      <c r="BD88" s="284">
        <f t="shared" si="623"/>
        <v>67163.376458333325</v>
      </c>
      <c r="BE88" s="91">
        <f t="shared" si="623"/>
        <v>67163.376458333325</v>
      </c>
      <c r="BF88" s="91">
        <f t="shared" si="623"/>
        <v>67163.376458333325</v>
      </c>
      <c r="BG88" s="91">
        <f t="shared" si="623"/>
        <v>67163.376458333325</v>
      </c>
      <c r="BH88" s="91">
        <f t="shared" si="623"/>
        <v>67163.376458333325</v>
      </c>
      <c r="BI88" s="91">
        <f t="shared" si="623"/>
        <v>67163.376458333325</v>
      </c>
      <c r="BJ88" s="91">
        <f t="shared" si="623"/>
        <v>67163.376458333325</v>
      </c>
      <c r="BK88" s="91">
        <f t="shared" si="623"/>
        <v>67163.376458333325</v>
      </c>
      <c r="BL88" s="91">
        <f t="shared" si="623"/>
        <v>67163.376458333325</v>
      </c>
      <c r="BM88" s="91">
        <f t="shared" si="623"/>
        <v>67163.376458333325</v>
      </c>
      <c r="BN88" s="91">
        <f t="shared" si="623"/>
        <v>67163.376458333325</v>
      </c>
      <c r="BO88" s="91">
        <f t="shared" si="623"/>
        <v>67163.376458333325</v>
      </c>
      <c r="BP88" s="284">
        <f t="shared" si="623"/>
        <v>70499.941114583329</v>
      </c>
      <c r="BQ88" s="91">
        <f t="shared" si="623"/>
        <v>70499.941114583329</v>
      </c>
      <c r="BR88" s="91">
        <f t="shared" si="623"/>
        <v>70499.941114583329</v>
      </c>
      <c r="BS88" s="91">
        <f t="shared" si="623"/>
        <v>70499.941114583329</v>
      </c>
      <c r="BT88" s="91">
        <f t="shared" si="620"/>
        <v>70499.941114583329</v>
      </c>
      <c r="BU88" s="91">
        <f t="shared" si="621"/>
        <v>70499.941114583329</v>
      </c>
      <c r="BV88" s="91">
        <f t="shared" si="621"/>
        <v>70499.941114583329</v>
      </c>
      <c r="BW88" s="91">
        <f t="shared" si="621"/>
        <v>70499.941114583329</v>
      </c>
      <c r="BX88" s="91">
        <f t="shared" si="621"/>
        <v>70499.941114583329</v>
      </c>
      <c r="BY88" s="91">
        <f t="shared" si="621"/>
        <v>70499.941114583329</v>
      </c>
      <c r="BZ88" s="91">
        <f t="shared" si="621"/>
        <v>70499.941114583329</v>
      </c>
      <c r="CA88" s="91">
        <f t="shared" si="621"/>
        <v>70499.941114583329</v>
      </c>
      <c r="CB88" s="284">
        <f t="shared" si="621"/>
        <v>74003.33400364581</v>
      </c>
      <c r="CC88" s="91">
        <f t="shared" si="621"/>
        <v>74003.33400364581</v>
      </c>
      <c r="CD88" s="91">
        <f t="shared" si="621"/>
        <v>74003.33400364581</v>
      </c>
      <c r="CE88" s="91">
        <f t="shared" si="621"/>
        <v>74003.33400364581</v>
      </c>
      <c r="CF88" s="91">
        <f t="shared" si="621"/>
        <v>74003.33400364581</v>
      </c>
      <c r="CG88" s="91">
        <f t="shared" si="621"/>
        <v>74003.33400364581</v>
      </c>
      <c r="CH88" s="91">
        <f t="shared" si="621"/>
        <v>74003.33400364581</v>
      </c>
      <c r="CI88" s="91">
        <f t="shared" si="621"/>
        <v>74003.33400364581</v>
      </c>
      <c r="CJ88" s="91">
        <f t="shared" si="621"/>
        <v>74003.33400364581</v>
      </c>
      <c r="CK88" s="91">
        <f t="shared" si="621"/>
        <v>74003.33400364581</v>
      </c>
      <c r="CL88" s="91">
        <f t="shared" si="621"/>
        <v>74003.33400364581</v>
      </c>
      <c r="CM88" s="91">
        <f t="shared" si="621"/>
        <v>74003.33400364581</v>
      </c>
      <c r="CN88" s="284">
        <f t="shared" si="621"/>
        <v>77681.896537161461</v>
      </c>
      <c r="CO88" s="91">
        <f t="shared" si="621"/>
        <v>77681.896537161461</v>
      </c>
      <c r="CP88" s="91">
        <f t="shared" si="621"/>
        <v>77681.896537161461</v>
      </c>
      <c r="CQ88" s="91">
        <f t="shared" si="621"/>
        <v>77681.896537161461</v>
      </c>
      <c r="CR88" s="91">
        <f t="shared" si="621"/>
        <v>77681.896537161461</v>
      </c>
      <c r="CS88" s="91">
        <f t="shared" si="621"/>
        <v>77681.896537161461</v>
      </c>
      <c r="CT88" s="91">
        <f t="shared" si="621"/>
        <v>77681.896537161461</v>
      </c>
      <c r="CU88" s="91">
        <f t="shared" si="621"/>
        <v>77681.896537161461</v>
      </c>
      <c r="CV88" s="91">
        <f t="shared" si="621"/>
        <v>77681.896537161461</v>
      </c>
      <c r="CW88" s="91">
        <f t="shared" si="621"/>
        <v>77681.896537161461</v>
      </c>
      <c r="CX88" s="91">
        <f t="shared" si="621"/>
        <v>77681.896537161461</v>
      </c>
      <c r="CY88" s="91">
        <f t="shared" si="621"/>
        <v>77681.896537161461</v>
      </c>
      <c r="CZ88" s="284">
        <f t="shared" si="621"/>
        <v>81544.387197352858</v>
      </c>
      <c r="DA88" s="91">
        <f t="shared" si="621"/>
        <v>81544.387197352858</v>
      </c>
      <c r="DB88" s="91">
        <f t="shared" si="621"/>
        <v>81544.387197352858</v>
      </c>
      <c r="DC88" s="91">
        <f t="shared" si="621"/>
        <v>81544.387197352858</v>
      </c>
      <c r="DD88" s="91">
        <f t="shared" si="621"/>
        <v>81544.387197352858</v>
      </c>
      <c r="DE88" s="91">
        <f t="shared" si="621"/>
        <v>81544.387197352858</v>
      </c>
      <c r="DF88" s="91">
        <f t="shared" si="621"/>
        <v>81544.387197352858</v>
      </c>
      <c r="DG88" s="91">
        <f t="shared" si="621"/>
        <v>81544.387197352858</v>
      </c>
      <c r="DH88" s="91">
        <f t="shared" si="621"/>
        <v>81544.387197352858</v>
      </c>
      <c r="DI88" s="91">
        <f t="shared" si="621"/>
        <v>81544.387197352858</v>
      </c>
      <c r="DJ88" s="91">
        <f t="shared" si="621"/>
        <v>81544.387197352858</v>
      </c>
      <c r="DK88" s="91">
        <f t="shared" si="621"/>
        <v>81544.387197352858</v>
      </c>
      <c r="DL88" s="284">
        <f t="shared" si="621"/>
        <v>85600.002390553855</v>
      </c>
      <c r="DM88" s="91">
        <f t="shared" si="621"/>
        <v>85600.002390553855</v>
      </c>
      <c r="DN88" s="91">
        <f t="shared" si="621"/>
        <v>85600.002390553855</v>
      </c>
      <c r="DO88" s="91">
        <f t="shared" si="621"/>
        <v>85600.002390553855</v>
      </c>
      <c r="DP88" s="91">
        <f t="shared" si="621"/>
        <v>85600.002390553855</v>
      </c>
      <c r="DQ88" s="91">
        <f t="shared" si="621"/>
        <v>85600.002390553855</v>
      </c>
      <c r="DR88" s="91">
        <f t="shared" si="621"/>
        <v>85600.002390553855</v>
      </c>
      <c r="DS88" s="91">
        <f t="shared" si="621"/>
        <v>85600.002390553855</v>
      </c>
      <c r="DT88" s="91">
        <f t="shared" si="621"/>
        <v>85600.002390553855</v>
      </c>
      <c r="DU88" s="91">
        <f t="shared" si="621"/>
        <v>85600.002390553855</v>
      </c>
      <c r="DV88" s="91">
        <f t="shared" si="621"/>
        <v>85600.002390553855</v>
      </c>
      <c r="DW88" s="527">
        <f t="shared" si="621"/>
        <v>85600.002390553855</v>
      </c>
    </row>
    <row r="89" spans="3:127" x14ac:dyDescent="0.3">
      <c r="C89" s="87">
        <f t="shared" si="624"/>
        <v>0.06</v>
      </c>
      <c r="D89" s="539" t="str">
        <f t="shared" si="622"/>
        <v>Sr Manager</v>
      </c>
      <c r="E89" s="91"/>
      <c r="F89" s="91"/>
      <c r="G89" s="90">
        <f t="shared" si="619"/>
        <v>1.1031849999999999</v>
      </c>
      <c r="H89" s="91">
        <f t="shared" si="623"/>
        <v>1.1031849999999999</v>
      </c>
      <c r="I89" s="91">
        <f t="shared" si="623"/>
        <v>1.1031849999999999</v>
      </c>
      <c r="J89" s="91">
        <f t="shared" si="623"/>
        <v>1.1031849999999999</v>
      </c>
      <c r="K89" s="91">
        <f t="shared" si="623"/>
        <v>1.1031849999999999</v>
      </c>
      <c r="L89" s="91">
        <f t="shared" si="623"/>
        <v>1.1031849999999999</v>
      </c>
      <c r="M89" s="91">
        <f t="shared" si="623"/>
        <v>1.1031849999999999</v>
      </c>
      <c r="N89" s="91">
        <f t="shared" si="623"/>
        <v>1.1031849999999999</v>
      </c>
      <c r="O89" s="91">
        <f t="shared" si="623"/>
        <v>1.1031849999999999</v>
      </c>
      <c r="P89" s="91">
        <f t="shared" si="623"/>
        <v>1.1031849999999999</v>
      </c>
      <c r="Q89" s="91">
        <f t="shared" si="623"/>
        <v>1.1031849999999999</v>
      </c>
      <c r="R89" s="91">
        <f t="shared" si="623"/>
        <v>1.1031849999999999</v>
      </c>
      <c r="S89" s="91">
        <f t="shared" si="623"/>
        <v>1.1031849999999999</v>
      </c>
      <c r="T89" s="284">
        <f t="shared" si="623"/>
        <v>1.158085</v>
      </c>
      <c r="U89" s="91">
        <f t="shared" si="623"/>
        <v>1.158085</v>
      </c>
      <c r="V89" s="91">
        <f t="shared" si="623"/>
        <v>1.158085</v>
      </c>
      <c r="W89" s="91">
        <f t="shared" si="623"/>
        <v>1.158085</v>
      </c>
      <c r="X89" s="91">
        <f t="shared" si="623"/>
        <v>1.158085</v>
      </c>
      <c r="Y89" s="91">
        <f t="shared" si="623"/>
        <v>1.158085</v>
      </c>
      <c r="Z89" s="91">
        <f t="shared" si="623"/>
        <v>1.158085</v>
      </c>
      <c r="AA89" s="91">
        <f t="shared" si="623"/>
        <v>1.158085</v>
      </c>
      <c r="AB89" s="91">
        <f t="shared" si="623"/>
        <v>1.158085</v>
      </c>
      <c r="AC89" s="91">
        <f t="shared" si="623"/>
        <v>1.158085</v>
      </c>
      <c r="AD89" s="91">
        <f t="shared" si="623"/>
        <v>1.158085</v>
      </c>
      <c r="AE89" s="91">
        <f t="shared" si="623"/>
        <v>1.158085</v>
      </c>
      <c r="AF89" s="284">
        <f t="shared" si="623"/>
        <v>1.21573</v>
      </c>
      <c r="AG89" s="91">
        <f t="shared" si="623"/>
        <v>1.21573</v>
      </c>
      <c r="AH89" s="91">
        <f t="shared" si="623"/>
        <v>1.21573</v>
      </c>
      <c r="AI89" s="91">
        <f t="shared" si="623"/>
        <v>1.21573</v>
      </c>
      <c r="AJ89" s="91">
        <f t="shared" si="623"/>
        <v>1.21573</v>
      </c>
      <c r="AK89" s="91">
        <f t="shared" si="623"/>
        <v>1.21573</v>
      </c>
      <c r="AL89" s="91">
        <f t="shared" si="623"/>
        <v>1.21573</v>
      </c>
      <c r="AM89" s="91">
        <f t="shared" si="623"/>
        <v>1.21573</v>
      </c>
      <c r="AN89" s="91">
        <f t="shared" si="623"/>
        <v>1.21573</v>
      </c>
      <c r="AO89" s="91">
        <f t="shared" si="623"/>
        <v>1.21573</v>
      </c>
      <c r="AP89" s="91">
        <f t="shared" si="623"/>
        <v>1.21573</v>
      </c>
      <c r="AQ89" s="91">
        <f t="shared" si="623"/>
        <v>1.21573</v>
      </c>
      <c r="AR89" s="284">
        <f t="shared" si="623"/>
        <v>1.27625725</v>
      </c>
      <c r="AS89" s="91">
        <f t="shared" si="623"/>
        <v>1.27625725</v>
      </c>
      <c r="AT89" s="91">
        <f t="shared" si="623"/>
        <v>1.27625725</v>
      </c>
      <c r="AU89" s="91">
        <f t="shared" si="623"/>
        <v>1.27625725</v>
      </c>
      <c r="AV89" s="91">
        <f t="shared" si="623"/>
        <v>1.27625725</v>
      </c>
      <c r="AW89" s="91">
        <f t="shared" si="623"/>
        <v>1.27625725</v>
      </c>
      <c r="AX89" s="91">
        <f t="shared" si="623"/>
        <v>1.27625725</v>
      </c>
      <c r="AY89" s="91">
        <f t="shared" si="623"/>
        <v>1.27625725</v>
      </c>
      <c r="AZ89" s="91">
        <f t="shared" si="623"/>
        <v>1.27625725</v>
      </c>
      <c r="BA89" s="91">
        <f t="shared" si="623"/>
        <v>1.27625725</v>
      </c>
      <c r="BB89" s="91">
        <f t="shared" si="623"/>
        <v>1.27625725</v>
      </c>
      <c r="BC89" s="91">
        <f t="shared" si="623"/>
        <v>1.27625725</v>
      </c>
      <c r="BD89" s="284">
        <f t="shared" si="623"/>
        <v>1.3398108624999998</v>
      </c>
      <c r="BE89" s="91">
        <f t="shared" si="623"/>
        <v>1.3398108624999998</v>
      </c>
      <c r="BF89" s="91">
        <f t="shared" si="623"/>
        <v>1.3398108624999998</v>
      </c>
      <c r="BG89" s="91">
        <f t="shared" si="623"/>
        <v>1.3398108624999998</v>
      </c>
      <c r="BH89" s="91">
        <f t="shared" si="623"/>
        <v>1.3398108624999998</v>
      </c>
      <c r="BI89" s="91">
        <f t="shared" si="623"/>
        <v>1.3398108624999998</v>
      </c>
      <c r="BJ89" s="91">
        <f t="shared" si="623"/>
        <v>1.3398108624999998</v>
      </c>
      <c r="BK89" s="91">
        <f t="shared" si="623"/>
        <v>1.3398108624999998</v>
      </c>
      <c r="BL89" s="91">
        <f t="shared" si="623"/>
        <v>1.3398108624999998</v>
      </c>
      <c r="BM89" s="91">
        <f t="shared" si="623"/>
        <v>1.3398108624999998</v>
      </c>
      <c r="BN89" s="91">
        <f t="shared" si="623"/>
        <v>1.3398108624999998</v>
      </c>
      <c r="BO89" s="91">
        <f t="shared" si="623"/>
        <v>1.3398108624999998</v>
      </c>
      <c r="BP89" s="284">
        <f t="shared" si="623"/>
        <v>1.406542155625</v>
      </c>
      <c r="BQ89" s="91">
        <f t="shared" si="623"/>
        <v>1.406542155625</v>
      </c>
      <c r="BR89" s="91">
        <f t="shared" si="623"/>
        <v>1.406542155625</v>
      </c>
      <c r="BS89" s="91">
        <f t="shared" si="623"/>
        <v>1.406542155625</v>
      </c>
      <c r="BT89" s="91">
        <f t="shared" si="620"/>
        <v>1.406542155625</v>
      </c>
      <c r="BU89" s="91">
        <f t="shared" si="621"/>
        <v>1.406542155625</v>
      </c>
      <c r="BV89" s="91">
        <f t="shared" si="621"/>
        <v>1.406542155625</v>
      </c>
      <c r="BW89" s="91">
        <f t="shared" si="621"/>
        <v>1.406542155625</v>
      </c>
      <c r="BX89" s="91">
        <f t="shared" si="621"/>
        <v>1.406542155625</v>
      </c>
      <c r="BY89" s="91">
        <f t="shared" si="621"/>
        <v>1.406542155625</v>
      </c>
      <c r="BZ89" s="91">
        <f t="shared" si="621"/>
        <v>1.406542155625</v>
      </c>
      <c r="CA89" s="91">
        <f t="shared" si="621"/>
        <v>1.406542155625</v>
      </c>
      <c r="CB89" s="284">
        <f t="shared" si="621"/>
        <v>1.4766100134062501</v>
      </c>
      <c r="CC89" s="91">
        <f t="shared" si="621"/>
        <v>1.4766100134062501</v>
      </c>
      <c r="CD89" s="91">
        <f t="shared" si="621"/>
        <v>1.4766100134062501</v>
      </c>
      <c r="CE89" s="91">
        <f t="shared" si="621"/>
        <v>1.4766100134062501</v>
      </c>
      <c r="CF89" s="91">
        <f t="shared" si="621"/>
        <v>1.4766100134062501</v>
      </c>
      <c r="CG89" s="91">
        <f t="shared" si="621"/>
        <v>1.4766100134062501</v>
      </c>
      <c r="CH89" s="91">
        <f t="shared" si="621"/>
        <v>1.4766100134062501</v>
      </c>
      <c r="CI89" s="91">
        <f t="shared" si="621"/>
        <v>1.4766100134062501</v>
      </c>
      <c r="CJ89" s="91">
        <f t="shared" si="621"/>
        <v>1.4766100134062501</v>
      </c>
      <c r="CK89" s="91">
        <f t="shared" si="621"/>
        <v>1.4766100134062501</v>
      </c>
      <c r="CL89" s="91">
        <f t="shared" si="621"/>
        <v>1.4766100134062501</v>
      </c>
      <c r="CM89" s="91">
        <f t="shared" si="621"/>
        <v>1.4766100134062501</v>
      </c>
      <c r="CN89" s="284">
        <f t="shared" si="621"/>
        <v>1.5501812640765624</v>
      </c>
      <c r="CO89" s="91">
        <f t="shared" si="621"/>
        <v>1.5501812640765624</v>
      </c>
      <c r="CP89" s="91">
        <f t="shared" si="621"/>
        <v>1.5501812640765624</v>
      </c>
      <c r="CQ89" s="91">
        <f t="shared" si="621"/>
        <v>1.5501812640765624</v>
      </c>
      <c r="CR89" s="91">
        <f t="shared" si="621"/>
        <v>1.5501812640765624</v>
      </c>
      <c r="CS89" s="91">
        <f t="shared" si="621"/>
        <v>1.5501812640765624</v>
      </c>
      <c r="CT89" s="91">
        <f t="shared" si="621"/>
        <v>1.5501812640765624</v>
      </c>
      <c r="CU89" s="91">
        <f t="shared" si="621"/>
        <v>1.5501812640765624</v>
      </c>
      <c r="CV89" s="91">
        <f t="shared" si="621"/>
        <v>1.5501812640765624</v>
      </c>
      <c r="CW89" s="91">
        <f t="shared" si="621"/>
        <v>1.5501812640765624</v>
      </c>
      <c r="CX89" s="91">
        <f t="shared" si="621"/>
        <v>1.5501812640765624</v>
      </c>
      <c r="CY89" s="91">
        <f t="shared" si="621"/>
        <v>1.5501812640765624</v>
      </c>
      <c r="CZ89" s="284">
        <f t="shared" si="621"/>
        <v>1.6274310772803904</v>
      </c>
      <c r="DA89" s="91">
        <f t="shared" si="621"/>
        <v>1.6274310772803904</v>
      </c>
      <c r="DB89" s="91">
        <f t="shared" si="621"/>
        <v>1.6274310772803904</v>
      </c>
      <c r="DC89" s="91">
        <f t="shared" si="621"/>
        <v>1.6274310772803904</v>
      </c>
      <c r="DD89" s="91">
        <f t="shared" si="621"/>
        <v>1.6274310772803904</v>
      </c>
      <c r="DE89" s="91">
        <f t="shared" si="621"/>
        <v>1.6274310772803904</v>
      </c>
      <c r="DF89" s="91">
        <f t="shared" si="621"/>
        <v>1.6274310772803904</v>
      </c>
      <c r="DG89" s="91">
        <f t="shared" si="621"/>
        <v>1.6274310772803904</v>
      </c>
      <c r="DH89" s="91">
        <f t="shared" si="621"/>
        <v>1.6274310772803904</v>
      </c>
      <c r="DI89" s="91">
        <f t="shared" si="621"/>
        <v>1.6274310772803904</v>
      </c>
      <c r="DJ89" s="91">
        <f t="shared" si="621"/>
        <v>1.6274310772803904</v>
      </c>
      <c r="DK89" s="91">
        <f t="shared" si="621"/>
        <v>1.6274310772803904</v>
      </c>
      <c r="DL89" s="284">
        <f t="shared" si="621"/>
        <v>1.7085433811444102</v>
      </c>
      <c r="DM89" s="91">
        <f t="shared" si="621"/>
        <v>1.7085433811444102</v>
      </c>
      <c r="DN89" s="91">
        <f t="shared" si="621"/>
        <v>1.7085433811444102</v>
      </c>
      <c r="DO89" s="91">
        <f t="shared" si="621"/>
        <v>1.7085433811444102</v>
      </c>
      <c r="DP89" s="91">
        <f t="shared" si="621"/>
        <v>1.7085433811444102</v>
      </c>
      <c r="DQ89" s="91">
        <f t="shared" si="621"/>
        <v>1.7085433811444102</v>
      </c>
      <c r="DR89" s="91">
        <f t="shared" si="621"/>
        <v>1.7085433811444102</v>
      </c>
      <c r="DS89" s="91">
        <f t="shared" si="621"/>
        <v>1.7085433811444102</v>
      </c>
      <c r="DT89" s="91">
        <f t="shared" si="621"/>
        <v>1.7085433811444102</v>
      </c>
      <c r="DU89" s="91">
        <f t="shared" si="621"/>
        <v>1.7085433811444102</v>
      </c>
      <c r="DV89" s="91">
        <f t="shared" si="621"/>
        <v>1.7085433811444102</v>
      </c>
      <c r="DW89" s="527">
        <f t="shared" si="621"/>
        <v>1.7085433811444102</v>
      </c>
    </row>
    <row r="90" spans="3:127" x14ac:dyDescent="0.3">
      <c r="C90" s="87">
        <f t="shared" si="624"/>
        <v>0.06</v>
      </c>
      <c r="D90" s="539" t="str">
        <f t="shared" si="622"/>
        <v>DGM / AD</v>
      </c>
      <c r="E90" s="91"/>
      <c r="F90" s="91"/>
      <c r="G90" s="90">
        <f t="shared" si="619"/>
        <v>25994.895833333328</v>
      </c>
      <c r="H90" s="91">
        <f t="shared" si="623"/>
        <v>25994.895833333328</v>
      </c>
      <c r="I90" s="91">
        <f t="shared" si="623"/>
        <v>25994.895833333328</v>
      </c>
      <c r="J90" s="91">
        <f t="shared" si="623"/>
        <v>25994.895833333328</v>
      </c>
      <c r="K90" s="91">
        <f t="shared" si="623"/>
        <v>25994.895833333328</v>
      </c>
      <c r="L90" s="91">
        <f t="shared" si="623"/>
        <v>25994.895833333328</v>
      </c>
      <c r="M90" s="91">
        <f t="shared" si="623"/>
        <v>25994.895833333328</v>
      </c>
      <c r="N90" s="91">
        <f t="shared" si="623"/>
        <v>25994.895833333328</v>
      </c>
      <c r="O90" s="91">
        <f t="shared" si="623"/>
        <v>25994.895833333328</v>
      </c>
      <c r="P90" s="91">
        <f t="shared" si="623"/>
        <v>25994.895833333328</v>
      </c>
      <c r="Q90" s="91">
        <f t="shared" si="623"/>
        <v>25994.895833333328</v>
      </c>
      <c r="R90" s="91">
        <f t="shared" si="623"/>
        <v>25994.895833333328</v>
      </c>
      <c r="S90" s="91">
        <f t="shared" si="623"/>
        <v>25994.895833333328</v>
      </c>
      <c r="T90" s="284">
        <f t="shared" si="623"/>
        <v>27289.239583333332</v>
      </c>
      <c r="U90" s="91">
        <f t="shared" si="623"/>
        <v>27289.239583333332</v>
      </c>
      <c r="V90" s="91">
        <f t="shared" si="623"/>
        <v>27289.239583333332</v>
      </c>
      <c r="W90" s="91">
        <f t="shared" si="623"/>
        <v>27289.239583333332</v>
      </c>
      <c r="X90" s="91">
        <f t="shared" si="623"/>
        <v>27289.239583333332</v>
      </c>
      <c r="Y90" s="91">
        <f t="shared" si="623"/>
        <v>27289.239583333332</v>
      </c>
      <c r="Z90" s="91">
        <f t="shared" si="623"/>
        <v>27289.239583333332</v>
      </c>
      <c r="AA90" s="91">
        <f t="shared" si="623"/>
        <v>27289.239583333332</v>
      </c>
      <c r="AB90" s="91">
        <f t="shared" si="623"/>
        <v>27289.239583333332</v>
      </c>
      <c r="AC90" s="91">
        <f t="shared" si="623"/>
        <v>27289.239583333332</v>
      </c>
      <c r="AD90" s="91">
        <f t="shared" si="623"/>
        <v>27289.239583333332</v>
      </c>
      <c r="AE90" s="91">
        <f t="shared" si="623"/>
        <v>27289.239583333332</v>
      </c>
      <c r="AF90" s="284">
        <f t="shared" si="623"/>
        <v>28648.300520833338</v>
      </c>
      <c r="AG90" s="91">
        <f t="shared" si="623"/>
        <v>28648.300520833338</v>
      </c>
      <c r="AH90" s="91">
        <f t="shared" si="623"/>
        <v>28648.300520833338</v>
      </c>
      <c r="AI90" s="91">
        <f t="shared" si="623"/>
        <v>28648.300520833338</v>
      </c>
      <c r="AJ90" s="91">
        <f t="shared" si="623"/>
        <v>28648.300520833338</v>
      </c>
      <c r="AK90" s="91">
        <f t="shared" si="623"/>
        <v>28648.300520833338</v>
      </c>
      <c r="AL90" s="91">
        <f t="shared" si="623"/>
        <v>28648.300520833338</v>
      </c>
      <c r="AM90" s="91">
        <f t="shared" si="623"/>
        <v>28648.300520833338</v>
      </c>
      <c r="AN90" s="91">
        <f t="shared" si="623"/>
        <v>28648.300520833338</v>
      </c>
      <c r="AO90" s="91">
        <f t="shared" si="623"/>
        <v>28648.300520833338</v>
      </c>
      <c r="AP90" s="91">
        <f t="shared" si="623"/>
        <v>28648.300520833338</v>
      </c>
      <c r="AQ90" s="91">
        <f t="shared" si="623"/>
        <v>28648.300520833338</v>
      </c>
      <c r="AR90" s="284">
        <f t="shared" si="623"/>
        <v>30075.314505208338</v>
      </c>
      <c r="AS90" s="91">
        <f t="shared" si="623"/>
        <v>30075.314505208338</v>
      </c>
      <c r="AT90" s="91">
        <f t="shared" si="623"/>
        <v>30075.314505208338</v>
      </c>
      <c r="AU90" s="91">
        <f t="shared" si="623"/>
        <v>30075.314505208338</v>
      </c>
      <c r="AV90" s="91">
        <f t="shared" si="623"/>
        <v>30075.314505208338</v>
      </c>
      <c r="AW90" s="91">
        <f t="shared" si="623"/>
        <v>30075.314505208338</v>
      </c>
      <c r="AX90" s="91">
        <f t="shared" si="623"/>
        <v>30075.314505208338</v>
      </c>
      <c r="AY90" s="91">
        <f t="shared" si="623"/>
        <v>30075.314505208338</v>
      </c>
      <c r="AZ90" s="91">
        <f t="shared" si="623"/>
        <v>30075.314505208338</v>
      </c>
      <c r="BA90" s="91">
        <f t="shared" si="623"/>
        <v>30075.314505208338</v>
      </c>
      <c r="BB90" s="91">
        <f t="shared" si="623"/>
        <v>30075.314505208338</v>
      </c>
      <c r="BC90" s="91">
        <f t="shared" si="623"/>
        <v>30075.314505208338</v>
      </c>
      <c r="BD90" s="284">
        <f t="shared" si="623"/>
        <v>31573.679188802082</v>
      </c>
      <c r="BE90" s="91">
        <f t="shared" si="623"/>
        <v>31573.679188802082</v>
      </c>
      <c r="BF90" s="91">
        <f t="shared" si="623"/>
        <v>31573.679188802082</v>
      </c>
      <c r="BG90" s="91">
        <f t="shared" si="623"/>
        <v>31573.679188802082</v>
      </c>
      <c r="BH90" s="91">
        <f t="shared" si="623"/>
        <v>31573.679188802082</v>
      </c>
      <c r="BI90" s="91">
        <f t="shared" si="623"/>
        <v>31573.679188802082</v>
      </c>
      <c r="BJ90" s="91">
        <f t="shared" si="623"/>
        <v>31573.679188802082</v>
      </c>
      <c r="BK90" s="91">
        <f t="shared" si="623"/>
        <v>31573.679188802082</v>
      </c>
      <c r="BL90" s="91">
        <f t="shared" si="623"/>
        <v>31573.679188802082</v>
      </c>
      <c r="BM90" s="91">
        <f t="shared" si="623"/>
        <v>31573.679188802082</v>
      </c>
      <c r="BN90" s="91">
        <f t="shared" si="623"/>
        <v>31573.679188802082</v>
      </c>
      <c r="BO90" s="91">
        <f t="shared" si="623"/>
        <v>31573.679188802082</v>
      </c>
      <c r="BP90" s="284">
        <f t="shared" si="623"/>
        <v>33146.962106575527</v>
      </c>
      <c r="BQ90" s="91">
        <f t="shared" si="623"/>
        <v>33146.962106575527</v>
      </c>
      <c r="BR90" s="91">
        <f t="shared" si="623"/>
        <v>33146.962106575527</v>
      </c>
      <c r="BS90" s="91">
        <f t="shared" ref="BS90" si="625">IF((BS49-BR49)&lt;0,BR90,((BS49*$C$84)+(BS49*BS72*12*$C90)))</f>
        <v>33146.962106575527</v>
      </c>
      <c r="BT90" s="91">
        <f t="shared" si="620"/>
        <v>33146.962106575527</v>
      </c>
      <c r="BU90" s="91">
        <f t="shared" si="621"/>
        <v>33146.962106575527</v>
      </c>
      <c r="BV90" s="91">
        <f t="shared" si="621"/>
        <v>33146.962106575527</v>
      </c>
      <c r="BW90" s="91">
        <f t="shared" si="621"/>
        <v>33146.962106575527</v>
      </c>
      <c r="BX90" s="91">
        <f t="shared" si="621"/>
        <v>33146.962106575527</v>
      </c>
      <c r="BY90" s="91">
        <f t="shared" si="621"/>
        <v>33146.962106575527</v>
      </c>
      <c r="BZ90" s="91">
        <f t="shared" si="621"/>
        <v>33146.962106575527</v>
      </c>
      <c r="CA90" s="91">
        <f t="shared" si="621"/>
        <v>33146.962106575527</v>
      </c>
      <c r="CB90" s="284">
        <f t="shared" si="621"/>
        <v>34798.909170237639</v>
      </c>
      <c r="CC90" s="91">
        <f t="shared" si="621"/>
        <v>34798.909170237639</v>
      </c>
      <c r="CD90" s="91">
        <f t="shared" si="621"/>
        <v>34798.909170237639</v>
      </c>
      <c r="CE90" s="91">
        <f t="shared" si="621"/>
        <v>34798.909170237639</v>
      </c>
      <c r="CF90" s="91">
        <f t="shared" si="621"/>
        <v>34798.909170237639</v>
      </c>
      <c r="CG90" s="91">
        <f t="shared" si="621"/>
        <v>34798.909170237639</v>
      </c>
      <c r="CH90" s="91">
        <f t="shared" si="621"/>
        <v>34798.909170237639</v>
      </c>
      <c r="CI90" s="91">
        <f t="shared" si="621"/>
        <v>34798.909170237639</v>
      </c>
      <c r="CJ90" s="91">
        <f t="shared" si="621"/>
        <v>34798.909170237639</v>
      </c>
      <c r="CK90" s="91">
        <f t="shared" si="621"/>
        <v>34798.909170237639</v>
      </c>
      <c r="CL90" s="91">
        <f t="shared" si="621"/>
        <v>34798.909170237639</v>
      </c>
      <c r="CM90" s="91">
        <f t="shared" si="621"/>
        <v>34798.909170237639</v>
      </c>
      <c r="CN90" s="284">
        <f t="shared" si="621"/>
        <v>36533.453587082855</v>
      </c>
      <c r="CO90" s="91">
        <f t="shared" si="621"/>
        <v>36533.453587082855</v>
      </c>
      <c r="CP90" s="91">
        <f t="shared" si="621"/>
        <v>36533.453587082855</v>
      </c>
      <c r="CQ90" s="91">
        <f t="shared" si="621"/>
        <v>36533.453587082855</v>
      </c>
      <c r="CR90" s="91">
        <f t="shared" si="621"/>
        <v>36533.453587082855</v>
      </c>
      <c r="CS90" s="91">
        <f t="shared" si="621"/>
        <v>36533.453587082855</v>
      </c>
      <c r="CT90" s="91">
        <f t="shared" si="621"/>
        <v>36533.453587082855</v>
      </c>
      <c r="CU90" s="91">
        <f t="shared" si="621"/>
        <v>36533.453587082855</v>
      </c>
      <c r="CV90" s="91">
        <f t="shared" si="621"/>
        <v>36533.453587082855</v>
      </c>
      <c r="CW90" s="91">
        <f t="shared" si="621"/>
        <v>36533.453587082855</v>
      </c>
      <c r="CX90" s="91">
        <f t="shared" si="621"/>
        <v>36533.453587082855</v>
      </c>
      <c r="CY90" s="91">
        <f t="shared" si="621"/>
        <v>36533.453587082855</v>
      </c>
      <c r="CZ90" s="284">
        <f t="shared" si="621"/>
        <v>38354.725224770336</v>
      </c>
      <c r="DA90" s="91">
        <f t="shared" si="621"/>
        <v>38354.725224770336</v>
      </c>
      <c r="DB90" s="91">
        <f t="shared" si="621"/>
        <v>38354.725224770336</v>
      </c>
      <c r="DC90" s="91">
        <f t="shared" si="621"/>
        <v>38354.725224770336</v>
      </c>
      <c r="DD90" s="91">
        <f t="shared" ref="DD90:DW90" si="626">IF((DD49-DC49)&lt;0,DC90,((DD49*$C$84)+(DD49*DD72*12*$C90)))</f>
        <v>38354.725224770336</v>
      </c>
      <c r="DE90" s="91">
        <f t="shared" si="626"/>
        <v>38354.725224770336</v>
      </c>
      <c r="DF90" s="91">
        <f t="shared" si="626"/>
        <v>38354.725224770336</v>
      </c>
      <c r="DG90" s="91">
        <f t="shared" si="626"/>
        <v>38354.725224770336</v>
      </c>
      <c r="DH90" s="91">
        <f t="shared" si="626"/>
        <v>38354.725224770336</v>
      </c>
      <c r="DI90" s="91">
        <f t="shared" si="626"/>
        <v>38354.725224770336</v>
      </c>
      <c r="DJ90" s="91">
        <f t="shared" si="626"/>
        <v>38354.725224770336</v>
      </c>
      <c r="DK90" s="91">
        <f t="shared" si="626"/>
        <v>38354.725224770336</v>
      </c>
      <c r="DL90" s="284">
        <f t="shared" si="626"/>
        <v>40267.060444342191</v>
      </c>
      <c r="DM90" s="91">
        <f t="shared" si="626"/>
        <v>40267.060444342191</v>
      </c>
      <c r="DN90" s="91">
        <f t="shared" si="626"/>
        <v>40267.060444342191</v>
      </c>
      <c r="DO90" s="91">
        <f t="shared" si="626"/>
        <v>40267.060444342191</v>
      </c>
      <c r="DP90" s="91">
        <f t="shared" si="626"/>
        <v>40267.060444342191</v>
      </c>
      <c r="DQ90" s="91">
        <f t="shared" si="626"/>
        <v>40267.060444342191</v>
      </c>
      <c r="DR90" s="91">
        <f t="shared" si="626"/>
        <v>40267.060444342191</v>
      </c>
      <c r="DS90" s="91">
        <f t="shared" si="626"/>
        <v>40267.060444342191</v>
      </c>
      <c r="DT90" s="91">
        <f t="shared" si="626"/>
        <v>40267.060444342191</v>
      </c>
      <c r="DU90" s="91">
        <f t="shared" si="626"/>
        <v>40267.060444342191</v>
      </c>
      <c r="DV90" s="91">
        <f t="shared" si="626"/>
        <v>40267.060444342191</v>
      </c>
      <c r="DW90" s="527">
        <f t="shared" si="626"/>
        <v>40267.060444342191</v>
      </c>
    </row>
    <row r="91" spans="3:127" x14ac:dyDescent="0.3">
      <c r="C91" s="87">
        <f t="shared" si="624"/>
        <v>0.06</v>
      </c>
      <c r="D91" s="539" t="str">
        <f t="shared" si="622"/>
        <v>GM / Director</v>
      </c>
      <c r="E91" s="91"/>
      <c r="F91" s="91"/>
      <c r="G91" s="90">
        <f t="shared" si="619"/>
        <v>14979.947916666666</v>
      </c>
      <c r="H91" s="91">
        <f t="shared" ref="H91:BS94" si="627">IF((H50-G50)&lt;0,G91,((H50*$C$84)+(H50*H73*12*$C91)))</f>
        <v>14979.947916666666</v>
      </c>
      <c r="I91" s="91">
        <f t="shared" si="627"/>
        <v>14979.947916666666</v>
      </c>
      <c r="J91" s="91">
        <f t="shared" si="627"/>
        <v>14979.947916666666</v>
      </c>
      <c r="K91" s="91">
        <f t="shared" si="627"/>
        <v>14979.947916666666</v>
      </c>
      <c r="L91" s="91">
        <f t="shared" si="627"/>
        <v>14979.947916666666</v>
      </c>
      <c r="M91" s="91">
        <f t="shared" si="627"/>
        <v>14979.947916666666</v>
      </c>
      <c r="N91" s="91">
        <f t="shared" si="627"/>
        <v>14979.947916666666</v>
      </c>
      <c r="O91" s="91">
        <f t="shared" si="627"/>
        <v>14979.947916666666</v>
      </c>
      <c r="P91" s="91">
        <f t="shared" si="627"/>
        <v>14979.947916666666</v>
      </c>
      <c r="Q91" s="91">
        <f t="shared" si="627"/>
        <v>14979.947916666666</v>
      </c>
      <c r="R91" s="91">
        <f t="shared" si="627"/>
        <v>14979.947916666666</v>
      </c>
      <c r="S91" s="91">
        <f t="shared" si="627"/>
        <v>14979.947916666666</v>
      </c>
      <c r="T91" s="284">
        <f t="shared" si="627"/>
        <v>15726.244791666666</v>
      </c>
      <c r="U91" s="91">
        <f t="shared" si="627"/>
        <v>15726.244791666666</v>
      </c>
      <c r="V91" s="91">
        <f t="shared" si="627"/>
        <v>15726.244791666666</v>
      </c>
      <c r="W91" s="91">
        <f t="shared" si="627"/>
        <v>15726.244791666666</v>
      </c>
      <c r="X91" s="91">
        <f t="shared" si="627"/>
        <v>15726.244791666666</v>
      </c>
      <c r="Y91" s="91">
        <f t="shared" si="627"/>
        <v>15726.244791666666</v>
      </c>
      <c r="Z91" s="91">
        <f t="shared" si="627"/>
        <v>15726.244791666666</v>
      </c>
      <c r="AA91" s="91">
        <f t="shared" si="627"/>
        <v>15726.244791666666</v>
      </c>
      <c r="AB91" s="91">
        <f t="shared" si="627"/>
        <v>15726.244791666666</v>
      </c>
      <c r="AC91" s="91">
        <f t="shared" si="627"/>
        <v>15726.244791666666</v>
      </c>
      <c r="AD91" s="91">
        <f t="shared" si="627"/>
        <v>15726.244791666666</v>
      </c>
      <c r="AE91" s="91">
        <f t="shared" si="627"/>
        <v>15726.244791666666</v>
      </c>
      <c r="AF91" s="284">
        <f t="shared" si="627"/>
        <v>16509.856510416666</v>
      </c>
      <c r="AG91" s="91">
        <f t="shared" si="627"/>
        <v>16509.856510416666</v>
      </c>
      <c r="AH91" s="91">
        <f t="shared" si="627"/>
        <v>16509.856510416666</v>
      </c>
      <c r="AI91" s="91">
        <f t="shared" si="627"/>
        <v>16509.856510416666</v>
      </c>
      <c r="AJ91" s="91">
        <f t="shared" si="627"/>
        <v>16509.856510416666</v>
      </c>
      <c r="AK91" s="91">
        <f t="shared" si="627"/>
        <v>16509.856510416666</v>
      </c>
      <c r="AL91" s="91">
        <f t="shared" si="627"/>
        <v>16509.856510416666</v>
      </c>
      <c r="AM91" s="91">
        <f t="shared" si="627"/>
        <v>16509.856510416666</v>
      </c>
      <c r="AN91" s="91">
        <f t="shared" si="627"/>
        <v>16509.856510416666</v>
      </c>
      <c r="AO91" s="91">
        <f t="shared" si="627"/>
        <v>16509.856510416666</v>
      </c>
      <c r="AP91" s="91">
        <f t="shared" si="627"/>
        <v>16509.856510416666</v>
      </c>
      <c r="AQ91" s="91">
        <f t="shared" si="627"/>
        <v>16509.856510416666</v>
      </c>
      <c r="AR91" s="284">
        <f t="shared" si="627"/>
        <v>17332.648815104167</v>
      </c>
      <c r="AS91" s="91">
        <f t="shared" si="627"/>
        <v>17332.648815104167</v>
      </c>
      <c r="AT91" s="91">
        <f t="shared" si="627"/>
        <v>17332.648815104167</v>
      </c>
      <c r="AU91" s="91">
        <f t="shared" si="627"/>
        <v>17332.648815104167</v>
      </c>
      <c r="AV91" s="91">
        <f t="shared" si="627"/>
        <v>17332.648815104167</v>
      </c>
      <c r="AW91" s="91">
        <f t="shared" si="627"/>
        <v>17332.648815104167</v>
      </c>
      <c r="AX91" s="91">
        <f t="shared" si="627"/>
        <v>17332.648815104167</v>
      </c>
      <c r="AY91" s="91">
        <f t="shared" si="627"/>
        <v>17332.648815104167</v>
      </c>
      <c r="AZ91" s="91">
        <f t="shared" si="627"/>
        <v>17332.648815104167</v>
      </c>
      <c r="BA91" s="91">
        <f t="shared" si="627"/>
        <v>17332.648815104167</v>
      </c>
      <c r="BB91" s="91">
        <f t="shared" si="627"/>
        <v>17332.648815104167</v>
      </c>
      <c r="BC91" s="91">
        <f t="shared" si="627"/>
        <v>17332.648815104167</v>
      </c>
      <c r="BD91" s="284">
        <f t="shared" si="627"/>
        <v>18196.58073502604</v>
      </c>
      <c r="BE91" s="91">
        <f t="shared" si="627"/>
        <v>18196.58073502604</v>
      </c>
      <c r="BF91" s="91">
        <f t="shared" si="627"/>
        <v>18196.58073502604</v>
      </c>
      <c r="BG91" s="91">
        <f t="shared" si="627"/>
        <v>18196.58073502604</v>
      </c>
      <c r="BH91" s="91">
        <f t="shared" si="627"/>
        <v>18196.58073502604</v>
      </c>
      <c r="BI91" s="91">
        <f t="shared" si="627"/>
        <v>18196.58073502604</v>
      </c>
      <c r="BJ91" s="91">
        <f t="shared" si="627"/>
        <v>18196.58073502604</v>
      </c>
      <c r="BK91" s="91">
        <f t="shared" si="627"/>
        <v>18196.58073502604</v>
      </c>
      <c r="BL91" s="91">
        <f t="shared" si="627"/>
        <v>18196.58073502604</v>
      </c>
      <c r="BM91" s="91">
        <f t="shared" si="627"/>
        <v>18196.58073502604</v>
      </c>
      <c r="BN91" s="91">
        <f t="shared" si="627"/>
        <v>18196.58073502604</v>
      </c>
      <c r="BO91" s="91">
        <f t="shared" si="627"/>
        <v>18196.58073502604</v>
      </c>
      <c r="BP91" s="284">
        <f t="shared" si="627"/>
        <v>19103.709250944012</v>
      </c>
      <c r="BQ91" s="91">
        <f t="shared" si="627"/>
        <v>19103.709250944012</v>
      </c>
      <c r="BR91" s="91">
        <f t="shared" si="627"/>
        <v>19103.709250944012</v>
      </c>
      <c r="BS91" s="91">
        <f t="shared" si="627"/>
        <v>19103.709250944012</v>
      </c>
      <c r="BT91" s="91">
        <f t="shared" si="620"/>
        <v>19103.709250944012</v>
      </c>
      <c r="BU91" s="91">
        <f t="shared" ref="BU91:DW95" si="628">IF((BU50-BT50)&lt;0,BT91,((BU50*$C$84)+(BU50*BU73*12*$C91)))</f>
        <v>19103.709250944012</v>
      </c>
      <c r="BV91" s="91">
        <f t="shared" si="628"/>
        <v>19103.709250944012</v>
      </c>
      <c r="BW91" s="91">
        <f t="shared" si="628"/>
        <v>19103.709250944012</v>
      </c>
      <c r="BX91" s="91">
        <f t="shared" si="628"/>
        <v>19103.709250944012</v>
      </c>
      <c r="BY91" s="91">
        <f t="shared" si="628"/>
        <v>19103.709250944012</v>
      </c>
      <c r="BZ91" s="91">
        <f t="shared" si="628"/>
        <v>19103.709250944012</v>
      </c>
      <c r="CA91" s="91">
        <f t="shared" si="628"/>
        <v>19103.709250944012</v>
      </c>
      <c r="CB91" s="284">
        <f t="shared" si="628"/>
        <v>20056.194192657877</v>
      </c>
      <c r="CC91" s="91">
        <f t="shared" si="628"/>
        <v>20056.194192657877</v>
      </c>
      <c r="CD91" s="91">
        <f t="shared" si="628"/>
        <v>20056.194192657877</v>
      </c>
      <c r="CE91" s="91">
        <f t="shared" si="628"/>
        <v>20056.194192657877</v>
      </c>
      <c r="CF91" s="91">
        <f t="shared" si="628"/>
        <v>20056.194192657877</v>
      </c>
      <c r="CG91" s="91">
        <f t="shared" si="628"/>
        <v>20056.194192657877</v>
      </c>
      <c r="CH91" s="91">
        <f t="shared" si="628"/>
        <v>20056.194192657877</v>
      </c>
      <c r="CI91" s="91">
        <f t="shared" si="628"/>
        <v>20056.194192657877</v>
      </c>
      <c r="CJ91" s="91">
        <f t="shared" si="628"/>
        <v>20056.194192657877</v>
      </c>
      <c r="CK91" s="91">
        <f t="shared" si="628"/>
        <v>20056.194192657877</v>
      </c>
      <c r="CL91" s="91">
        <f t="shared" si="628"/>
        <v>20056.194192657877</v>
      </c>
      <c r="CM91" s="91">
        <f t="shared" si="628"/>
        <v>20056.194192657877</v>
      </c>
      <c r="CN91" s="284">
        <f t="shared" si="628"/>
        <v>21056.303381457441</v>
      </c>
      <c r="CO91" s="91">
        <f t="shared" si="628"/>
        <v>21056.303381457441</v>
      </c>
      <c r="CP91" s="91">
        <f t="shared" si="628"/>
        <v>21056.303381457441</v>
      </c>
      <c r="CQ91" s="91">
        <f t="shared" si="628"/>
        <v>21056.303381457441</v>
      </c>
      <c r="CR91" s="91">
        <f t="shared" si="628"/>
        <v>21056.303381457441</v>
      </c>
      <c r="CS91" s="91">
        <f t="shared" si="628"/>
        <v>21056.303381457441</v>
      </c>
      <c r="CT91" s="91">
        <f t="shared" si="628"/>
        <v>21056.303381457441</v>
      </c>
      <c r="CU91" s="91">
        <f t="shared" si="628"/>
        <v>21056.303381457441</v>
      </c>
      <c r="CV91" s="91">
        <f t="shared" si="628"/>
        <v>21056.303381457441</v>
      </c>
      <c r="CW91" s="91">
        <f t="shared" si="628"/>
        <v>21056.303381457441</v>
      </c>
      <c r="CX91" s="91">
        <f t="shared" si="628"/>
        <v>21056.303381457441</v>
      </c>
      <c r="CY91" s="91">
        <f t="shared" si="628"/>
        <v>21056.303381457441</v>
      </c>
      <c r="CZ91" s="284">
        <f t="shared" si="628"/>
        <v>22106.418029696979</v>
      </c>
      <c r="DA91" s="91">
        <f t="shared" si="628"/>
        <v>22106.418029696979</v>
      </c>
      <c r="DB91" s="91">
        <f t="shared" si="628"/>
        <v>22106.418029696979</v>
      </c>
      <c r="DC91" s="91">
        <f t="shared" si="628"/>
        <v>22106.418029696979</v>
      </c>
      <c r="DD91" s="91">
        <f t="shared" si="628"/>
        <v>22106.418029696979</v>
      </c>
      <c r="DE91" s="91">
        <f t="shared" si="628"/>
        <v>22106.418029696979</v>
      </c>
      <c r="DF91" s="91">
        <f t="shared" si="628"/>
        <v>22106.418029696979</v>
      </c>
      <c r="DG91" s="91">
        <f t="shared" si="628"/>
        <v>22106.418029696979</v>
      </c>
      <c r="DH91" s="91">
        <f t="shared" si="628"/>
        <v>22106.418029696979</v>
      </c>
      <c r="DI91" s="91">
        <f t="shared" si="628"/>
        <v>22106.418029696979</v>
      </c>
      <c r="DJ91" s="91">
        <f t="shared" si="628"/>
        <v>22106.418029696979</v>
      </c>
      <c r="DK91" s="91">
        <f t="shared" si="628"/>
        <v>22106.418029696979</v>
      </c>
      <c r="DL91" s="284">
        <f t="shared" si="628"/>
        <v>23209.038410348501</v>
      </c>
      <c r="DM91" s="91">
        <f t="shared" si="628"/>
        <v>23209.038410348501</v>
      </c>
      <c r="DN91" s="91">
        <f t="shared" si="628"/>
        <v>23209.038410348501</v>
      </c>
      <c r="DO91" s="91">
        <f t="shared" si="628"/>
        <v>23209.038410348501</v>
      </c>
      <c r="DP91" s="91">
        <f t="shared" si="628"/>
        <v>23209.038410348501</v>
      </c>
      <c r="DQ91" s="91">
        <f t="shared" si="628"/>
        <v>23209.038410348501</v>
      </c>
      <c r="DR91" s="91">
        <f t="shared" si="628"/>
        <v>23209.038410348501</v>
      </c>
      <c r="DS91" s="91">
        <f t="shared" si="628"/>
        <v>23209.038410348501</v>
      </c>
      <c r="DT91" s="91">
        <f t="shared" si="628"/>
        <v>23209.038410348501</v>
      </c>
      <c r="DU91" s="91">
        <f t="shared" si="628"/>
        <v>23209.038410348501</v>
      </c>
      <c r="DV91" s="91">
        <f t="shared" si="628"/>
        <v>23209.038410348501</v>
      </c>
      <c r="DW91" s="527">
        <f t="shared" si="628"/>
        <v>23209.038410348501</v>
      </c>
    </row>
    <row r="92" spans="3:127" x14ac:dyDescent="0.3">
      <c r="C92" s="87">
        <f t="shared" si="624"/>
        <v>0.06</v>
      </c>
      <c r="D92" s="539" t="str">
        <f t="shared" si="622"/>
        <v>AVP / VP</v>
      </c>
      <c r="E92" s="91"/>
      <c r="F92" s="91"/>
      <c r="G92" s="90">
        <f t="shared" si="619"/>
        <v>1.6673373999999996</v>
      </c>
      <c r="H92" s="91">
        <f t="shared" si="627"/>
        <v>1.6673373999999996</v>
      </c>
      <c r="I92" s="91">
        <f t="shared" si="627"/>
        <v>1.6673373999999999</v>
      </c>
      <c r="J92" s="91">
        <f t="shared" si="627"/>
        <v>1.6673373999999999</v>
      </c>
      <c r="K92" s="91">
        <f t="shared" si="627"/>
        <v>1.6673373999999999</v>
      </c>
      <c r="L92" s="91">
        <f t="shared" si="627"/>
        <v>1.6673373999999999</v>
      </c>
      <c r="M92" s="91">
        <f t="shared" si="627"/>
        <v>1.6673373999999999</v>
      </c>
      <c r="N92" s="91">
        <f t="shared" si="627"/>
        <v>1.6673373999999999</v>
      </c>
      <c r="O92" s="91">
        <f t="shared" si="627"/>
        <v>1.6673373999999999</v>
      </c>
      <c r="P92" s="91">
        <f t="shared" si="627"/>
        <v>1.6673373999999999</v>
      </c>
      <c r="Q92" s="91">
        <f t="shared" si="627"/>
        <v>1.6673373999999999</v>
      </c>
      <c r="R92" s="91">
        <f t="shared" si="627"/>
        <v>1.6673373999999999</v>
      </c>
      <c r="S92" s="91">
        <f t="shared" si="627"/>
        <v>1.6673373999999999</v>
      </c>
      <c r="T92" s="284">
        <f t="shared" si="627"/>
        <v>1.7504450199999997</v>
      </c>
      <c r="U92" s="91">
        <f t="shared" si="627"/>
        <v>1.7504450199999997</v>
      </c>
      <c r="V92" s="91">
        <f t="shared" si="627"/>
        <v>1.7504450199999997</v>
      </c>
      <c r="W92" s="91">
        <f t="shared" si="627"/>
        <v>1.7504450199999997</v>
      </c>
      <c r="X92" s="91">
        <f t="shared" si="627"/>
        <v>1.7504450199999997</v>
      </c>
      <c r="Y92" s="91">
        <f t="shared" si="627"/>
        <v>1.7504450199999997</v>
      </c>
      <c r="Z92" s="91">
        <f t="shared" si="627"/>
        <v>1.7504450199999997</v>
      </c>
      <c r="AA92" s="91">
        <f t="shared" si="627"/>
        <v>1.7504450199999997</v>
      </c>
      <c r="AB92" s="91">
        <f t="shared" si="627"/>
        <v>1.7504450199999997</v>
      </c>
      <c r="AC92" s="91">
        <f t="shared" si="627"/>
        <v>1.7504450199999997</v>
      </c>
      <c r="AD92" s="91">
        <f t="shared" si="627"/>
        <v>1.7504450199999997</v>
      </c>
      <c r="AE92" s="91">
        <f t="shared" si="627"/>
        <v>1.7504450199999997</v>
      </c>
      <c r="AF92" s="284">
        <f t="shared" si="627"/>
        <v>1.8377080209999999</v>
      </c>
      <c r="AG92" s="91">
        <f t="shared" si="627"/>
        <v>1.8377080209999999</v>
      </c>
      <c r="AH92" s="91">
        <f t="shared" si="627"/>
        <v>1.8377080209999999</v>
      </c>
      <c r="AI92" s="91">
        <f t="shared" si="627"/>
        <v>1.8377080209999999</v>
      </c>
      <c r="AJ92" s="91">
        <f t="shared" si="627"/>
        <v>1.8377080209999999</v>
      </c>
      <c r="AK92" s="91">
        <f t="shared" si="627"/>
        <v>1.8377080209999999</v>
      </c>
      <c r="AL92" s="91">
        <f t="shared" si="627"/>
        <v>1.8377080209999999</v>
      </c>
      <c r="AM92" s="91">
        <f t="shared" si="627"/>
        <v>1.8377080209999999</v>
      </c>
      <c r="AN92" s="91">
        <f t="shared" si="627"/>
        <v>1.8377080209999999</v>
      </c>
      <c r="AO92" s="91">
        <f t="shared" si="627"/>
        <v>1.8377080209999999</v>
      </c>
      <c r="AP92" s="91">
        <f t="shared" si="627"/>
        <v>1.8377080209999999</v>
      </c>
      <c r="AQ92" s="91">
        <f t="shared" si="627"/>
        <v>1.8377080209999999</v>
      </c>
      <c r="AR92" s="284">
        <f t="shared" si="627"/>
        <v>1.9293341720499999</v>
      </c>
      <c r="AS92" s="91">
        <f t="shared" si="627"/>
        <v>1.9293341720499999</v>
      </c>
      <c r="AT92" s="91">
        <f t="shared" si="627"/>
        <v>1.9293341720499999</v>
      </c>
      <c r="AU92" s="91">
        <f t="shared" si="627"/>
        <v>1.9293341720499999</v>
      </c>
      <c r="AV92" s="91">
        <f t="shared" si="627"/>
        <v>1.9293341720499999</v>
      </c>
      <c r="AW92" s="91">
        <f t="shared" si="627"/>
        <v>1.9293341720499999</v>
      </c>
      <c r="AX92" s="91">
        <f t="shared" si="627"/>
        <v>1.9293341720499999</v>
      </c>
      <c r="AY92" s="91">
        <f t="shared" si="627"/>
        <v>1.9293341720499999</v>
      </c>
      <c r="AZ92" s="91">
        <f t="shared" si="627"/>
        <v>1.9293341720499999</v>
      </c>
      <c r="BA92" s="91">
        <f t="shared" si="627"/>
        <v>1.9293341720499999</v>
      </c>
      <c r="BB92" s="91">
        <f t="shared" si="627"/>
        <v>1.9293341720499999</v>
      </c>
      <c r="BC92" s="91">
        <f t="shared" si="627"/>
        <v>1.9293341720499999</v>
      </c>
      <c r="BD92" s="284">
        <f t="shared" si="627"/>
        <v>2.0255416306525</v>
      </c>
      <c r="BE92" s="91">
        <f t="shared" si="627"/>
        <v>2.0255416306525</v>
      </c>
      <c r="BF92" s="91">
        <f t="shared" si="627"/>
        <v>2.0255416306525</v>
      </c>
      <c r="BG92" s="91">
        <f t="shared" si="627"/>
        <v>2.0255416306525</v>
      </c>
      <c r="BH92" s="91">
        <f t="shared" si="627"/>
        <v>2.0255416306525</v>
      </c>
      <c r="BI92" s="91">
        <f t="shared" si="627"/>
        <v>2.0255416306525</v>
      </c>
      <c r="BJ92" s="91">
        <f t="shared" si="627"/>
        <v>2.0255416306525</v>
      </c>
      <c r="BK92" s="91">
        <f t="shared" si="627"/>
        <v>2.0255416306525</v>
      </c>
      <c r="BL92" s="91">
        <f t="shared" si="627"/>
        <v>2.0255416306525</v>
      </c>
      <c r="BM92" s="91">
        <f t="shared" si="627"/>
        <v>2.0255416306525</v>
      </c>
      <c r="BN92" s="91">
        <f t="shared" si="627"/>
        <v>2.0255416306525</v>
      </c>
      <c r="BO92" s="91">
        <f t="shared" si="627"/>
        <v>2.0255416306525</v>
      </c>
      <c r="BP92" s="284">
        <f t="shared" si="627"/>
        <v>2.1265594621851256</v>
      </c>
      <c r="BQ92" s="91">
        <f t="shared" si="627"/>
        <v>2.1265594621851256</v>
      </c>
      <c r="BR92" s="91">
        <f t="shared" si="627"/>
        <v>2.1265594621851256</v>
      </c>
      <c r="BS92" s="91">
        <f t="shared" si="627"/>
        <v>2.1265594621851256</v>
      </c>
      <c r="BT92" s="91">
        <f t="shared" si="620"/>
        <v>2.1265594621851256</v>
      </c>
      <c r="BU92" s="91">
        <f t="shared" si="628"/>
        <v>2.1265594621851256</v>
      </c>
      <c r="BV92" s="91">
        <f t="shared" si="628"/>
        <v>2.1265594621851256</v>
      </c>
      <c r="BW92" s="91">
        <f t="shared" si="628"/>
        <v>2.1265594621851256</v>
      </c>
      <c r="BX92" s="91">
        <f t="shared" si="628"/>
        <v>2.1265594621851256</v>
      </c>
      <c r="BY92" s="91">
        <f t="shared" si="628"/>
        <v>2.1265594621851256</v>
      </c>
      <c r="BZ92" s="91">
        <f t="shared" si="628"/>
        <v>2.1265594621851256</v>
      </c>
      <c r="CA92" s="91">
        <f t="shared" si="628"/>
        <v>2.1265594621851256</v>
      </c>
      <c r="CB92" s="284">
        <f t="shared" si="628"/>
        <v>2.2326281852943817</v>
      </c>
      <c r="CC92" s="91">
        <f t="shared" si="628"/>
        <v>2.2326281852943817</v>
      </c>
      <c r="CD92" s="91">
        <f t="shared" si="628"/>
        <v>2.2326281852943817</v>
      </c>
      <c r="CE92" s="91">
        <f t="shared" si="628"/>
        <v>2.2326281852943817</v>
      </c>
      <c r="CF92" s="91">
        <f t="shared" si="628"/>
        <v>2.2326281852943817</v>
      </c>
      <c r="CG92" s="91">
        <f t="shared" si="628"/>
        <v>2.2326281852943817</v>
      </c>
      <c r="CH92" s="91">
        <f t="shared" si="628"/>
        <v>2.2326281852943817</v>
      </c>
      <c r="CI92" s="91">
        <f t="shared" si="628"/>
        <v>2.2326281852943817</v>
      </c>
      <c r="CJ92" s="91">
        <f t="shared" si="628"/>
        <v>2.2326281852943817</v>
      </c>
      <c r="CK92" s="91">
        <f t="shared" si="628"/>
        <v>2.2326281852943817</v>
      </c>
      <c r="CL92" s="91">
        <f t="shared" si="628"/>
        <v>2.2326281852943817</v>
      </c>
      <c r="CM92" s="91">
        <f t="shared" si="628"/>
        <v>2.2326281852943817</v>
      </c>
      <c r="CN92" s="284">
        <f t="shared" si="628"/>
        <v>2.3440003445591007</v>
      </c>
      <c r="CO92" s="91">
        <f t="shared" si="628"/>
        <v>2.3440003445591007</v>
      </c>
      <c r="CP92" s="91">
        <f t="shared" si="628"/>
        <v>2.3440003445591007</v>
      </c>
      <c r="CQ92" s="91">
        <f t="shared" si="628"/>
        <v>2.3440003445591007</v>
      </c>
      <c r="CR92" s="91">
        <f t="shared" si="628"/>
        <v>2.3440003445591007</v>
      </c>
      <c r="CS92" s="91">
        <f t="shared" si="628"/>
        <v>2.3440003445591007</v>
      </c>
      <c r="CT92" s="91">
        <f t="shared" si="628"/>
        <v>2.3440003445591007</v>
      </c>
      <c r="CU92" s="91">
        <f t="shared" si="628"/>
        <v>2.3440003445591007</v>
      </c>
      <c r="CV92" s="91">
        <f t="shared" si="628"/>
        <v>2.3440003445591007</v>
      </c>
      <c r="CW92" s="91">
        <f t="shared" si="628"/>
        <v>2.3440003445591007</v>
      </c>
      <c r="CX92" s="91">
        <f t="shared" si="628"/>
        <v>2.3440003445591007</v>
      </c>
      <c r="CY92" s="91">
        <f t="shared" si="628"/>
        <v>2.3440003445591007</v>
      </c>
      <c r="CZ92" s="284">
        <f t="shared" si="628"/>
        <v>2.4609411117870557</v>
      </c>
      <c r="DA92" s="91">
        <f t="shared" si="628"/>
        <v>2.4609411117870557</v>
      </c>
      <c r="DB92" s="91">
        <f t="shared" si="628"/>
        <v>2.4609411117870557</v>
      </c>
      <c r="DC92" s="91">
        <f t="shared" si="628"/>
        <v>2.4609411117870557</v>
      </c>
      <c r="DD92" s="91">
        <f t="shared" si="628"/>
        <v>2.4609411117870557</v>
      </c>
      <c r="DE92" s="91">
        <f t="shared" si="628"/>
        <v>2.4609411117870557</v>
      </c>
      <c r="DF92" s="91">
        <f t="shared" si="628"/>
        <v>2.4609411117870557</v>
      </c>
      <c r="DG92" s="91">
        <f t="shared" si="628"/>
        <v>2.4609411117870557</v>
      </c>
      <c r="DH92" s="91">
        <f t="shared" si="628"/>
        <v>2.4609411117870557</v>
      </c>
      <c r="DI92" s="91">
        <f t="shared" si="628"/>
        <v>2.4609411117870557</v>
      </c>
      <c r="DJ92" s="91">
        <f t="shared" si="628"/>
        <v>2.4609411117870557</v>
      </c>
      <c r="DK92" s="91">
        <f t="shared" si="628"/>
        <v>2.4609411117870557</v>
      </c>
      <c r="DL92" s="284">
        <f t="shared" si="628"/>
        <v>2.5837289173764084</v>
      </c>
      <c r="DM92" s="91">
        <f t="shared" si="628"/>
        <v>2.5837289173764084</v>
      </c>
      <c r="DN92" s="91">
        <f t="shared" si="628"/>
        <v>2.5837289173764084</v>
      </c>
      <c r="DO92" s="91">
        <f t="shared" si="628"/>
        <v>2.5837289173764084</v>
      </c>
      <c r="DP92" s="91">
        <f t="shared" si="628"/>
        <v>2.5837289173764084</v>
      </c>
      <c r="DQ92" s="91">
        <f t="shared" si="628"/>
        <v>2.5837289173764084</v>
      </c>
      <c r="DR92" s="91">
        <f t="shared" si="628"/>
        <v>2.5837289173764084</v>
      </c>
      <c r="DS92" s="91">
        <f t="shared" si="628"/>
        <v>2.5837289173764084</v>
      </c>
      <c r="DT92" s="91">
        <f t="shared" si="628"/>
        <v>2.5837289173764084</v>
      </c>
      <c r="DU92" s="91">
        <f t="shared" si="628"/>
        <v>2.5837289173764084</v>
      </c>
      <c r="DV92" s="91">
        <f t="shared" si="628"/>
        <v>2.5837289173764084</v>
      </c>
      <c r="DW92" s="527">
        <f t="shared" si="628"/>
        <v>2.5837289173764084</v>
      </c>
    </row>
    <row r="93" spans="3:127" x14ac:dyDescent="0.3">
      <c r="C93" s="87">
        <f t="shared" si="624"/>
        <v>0.06</v>
      </c>
      <c r="D93" s="539" t="str">
        <f t="shared" si="622"/>
        <v>SME</v>
      </c>
      <c r="E93" s="91"/>
      <c r="F93" s="91"/>
      <c r="G93" s="90">
        <f t="shared" si="619"/>
        <v>0.27968499999999996</v>
      </c>
      <c r="H93" s="91">
        <f t="shared" si="627"/>
        <v>0.27968499999999996</v>
      </c>
      <c r="I93" s="91">
        <f t="shared" si="627"/>
        <v>0.27968499999999996</v>
      </c>
      <c r="J93" s="91">
        <f t="shared" si="627"/>
        <v>0.27968499999999996</v>
      </c>
      <c r="K93" s="91">
        <f t="shared" si="627"/>
        <v>0.27968499999999996</v>
      </c>
      <c r="L93" s="91">
        <f t="shared" si="627"/>
        <v>0.27968499999999996</v>
      </c>
      <c r="M93" s="91">
        <f t="shared" si="627"/>
        <v>0.27968499999999996</v>
      </c>
      <c r="N93" s="91">
        <f t="shared" si="627"/>
        <v>0.27968499999999996</v>
      </c>
      <c r="O93" s="91">
        <f t="shared" si="627"/>
        <v>0.27968499999999996</v>
      </c>
      <c r="P93" s="91">
        <f t="shared" si="627"/>
        <v>0.27968499999999996</v>
      </c>
      <c r="Q93" s="91">
        <f t="shared" si="627"/>
        <v>0.27968499999999996</v>
      </c>
      <c r="R93" s="91">
        <f t="shared" si="627"/>
        <v>0.27968499999999996</v>
      </c>
      <c r="S93" s="91">
        <f t="shared" si="627"/>
        <v>0.27968499999999996</v>
      </c>
      <c r="T93" s="284">
        <f t="shared" si="627"/>
        <v>0.29341</v>
      </c>
      <c r="U93" s="91">
        <f t="shared" si="627"/>
        <v>0.29341</v>
      </c>
      <c r="V93" s="91">
        <f t="shared" si="627"/>
        <v>0.29341</v>
      </c>
      <c r="W93" s="91">
        <f t="shared" si="627"/>
        <v>0.29341</v>
      </c>
      <c r="X93" s="91">
        <f t="shared" si="627"/>
        <v>0.29341</v>
      </c>
      <c r="Y93" s="91">
        <f t="shared" si="627"/>
        <v>0.29341</v>
      </c>
      <c r="Z93" s="91">
        <f t="shared" si="627"/>
        <v>0.29341</v>
      </c>
      <c r="AA93" s="91">
        <f t="shared" si="627"/>
        <v>0.29341</v>
      </c>
      <c r="AB93" s="91">
        <f t="shared" si="627"/>
        <v>0.29341</v>
      </c>
      <c r="AC93" s="91">
        <f t="shared" si="627"/>
        <v>0.29341</v>
      </c>
      <c r="AD93" s="91">
        <f t="shared" si="627"/>
        <v>0.29341</v>
      </c>
      <c r="AE93" s="91">
        <f t="shared" si="627"/>
        <v>0.29341</v>
      </c>
      <c r="AF93" s="284">
        <f t="shared" si="627"/>
        <v>0.30782124999999999</v>
      </c>
      <c r="AG93" s="91">
        <f t="shared" si="627"/>
        <v>0.30782124999999999</v>
      </c>
      <c r="AH93" s="91">
        <f t="shared" si="627"/>
        <v>0.30782124999999999</v>
      </c>
      <c r="AI93" s="91">
        <f t="shared" si="627"/>
        <v>0.30782124999999999</v>
      </c>
      <c r="AJ93" s="91">
        <f t="shared" si="627"/>
        <v>0.30782124999999999</v>
      </c>
      <c r="AK93" s="91">
        <f t="shared" si="627"/>
        <v>0.30782124999999999</v>
      </c>
      <c r="AL93" s="91">
        <f t="shared" si="627"/>
        <v>0.30782124999999999</v>
      </c>
      <c r="AM93" s="91">
        <f t="shared" si="627"/>
        <v>0.30782124999999999</v>
      </c>
      <c r="AN93" s="91">
        <f t="shared" si="627"/>
        <v>0.30782124999999999</v>
      </c>
      <c r="AO93" s="91">
        <f t="shared" si="627"/>
        <v>0.30782124999999999</v>
      </c>
      <c r="AP93" s="91">
        <f t="shared" si="627"/>
        <v>0.30782124999999999</v>
      </c>
      <c r="AQ93" s="91">
        <f t="shared" si="627"/>
        <v>0.30782124999999999</v>
      </c>
      <c r="AR93" s="284">
        <f t="shared" si="627"/>
        <v>0.3229530625</v>
      </c>
      <c r="AS93" s="91">
        <f t="shared" si="627"/>
        <v>0.3229530625</v>
      </c>
      <c r="AT93" s="91">
        <f t="shared" si="627"/>
        <v>0.3229530625</v>
      </c>
      <c r="AU93" s="91">
        <f t="shared" si="627"/>
        <v>0.3229530625</v>
      </c>
      <c r="AV93" s="91">
        <f t="shared" si="627"/>
        <v>0.3229530625</v>
      </c>
      <c r="AW93" s="91">
        <f t="shared" si="627"/>
        <v>0.3229530625</v>
      </c>
      <c r="AX93" s="91">
        <f t="shared" si="627"/>
        <v>0.3229530625</v>
      </c>
      <c r="AY93" s="91">
        <f t="shared" si="627"/>
        <v>0.3229530625</v>
      </c>
      <c r="AZ93" s="91">
        <f t="shared" si="627"/>
        <v>0.3229530625</v>
      </c>
      <c r="BA93" s="91">
        <f t="shared" si="627"/>
        <v>0.3229530625</v>
      </c>
      <c r="BB93" s="91">
        <f t="shared" si="627"/>
        <v>0.3229530625</v>
      </c>
      <c r="BC93" s="91">
        <f t="shared" si="627"/>
        <v>0.3229530625</v>
      </c>
      <c r="BD93" s="284">
        <f t="shared" si="627"/>
        <v>0.33884146562499995</v>
      </c>
      <c r="BE93" s="91">
        <f t="shared" si="627"/>
        <v>0.33884146562499995</v>
      </c>
      <c r="BF93" s="91">
        <f t="shared" si="627"/>
        <v>0.33884146562499995</v>
      </c>
      <c r="BG93" s="91">
        <f t="shared" si="627"/>
        <v>0.33884146562499995</v>
      </c>
      <c r="BH93" s="91">
        <f t="shared" si="627"/>
        <v>0.33884146562499995</v>
      </c>
      <c r="BI93" s="91">
        <f t="shared" si="627"/>
        <v>0.33884146562499995</v>
      </c>
      <c r="BJ93" s="91">
        <f t="shared" si="627"/>
        <v>0.33884146562499995</v>
      </c>
      <c r="BK93" s="91">
        <f t="shared" si="627"/>
        <v>0.33884146562499995</v>
      </c>
      <c r="BL93" s="91">
        <f t="shared" si="627"/>
        <v>0.33884146562499995</v>
      </c>
      <c r="BM93" s="91">
        <f t="shared" si="627"/>
        <v>0.33884146562499995</v>
      </c>
      <c r="BN93" s="91">
        <f t="shared" si="627"/>
        <v>0.33884146562499995</v>
      </c>
      <c r="BO93" s="91">
        <f t="shared" si="627"/>
        <v>0.33884146562499995</v>
      </c>
      <c r="BP93" s="284">
        <f t="shared" si="627"/>
        <v>0.35552428890624999</v>
      </c>
      <c r="BQ93" s="91">
        <f t="shared" si="627"/>
        <v>0.35552428890624999</v>
      </c>
      <c r="BR93" s="91">
        <f t="shared" si="627"/>
        <v>0.35552428890624999</v>
      </c>
      <c r="BS93" s="91">
        <f t="shared" si="627"/>
        <v>0.35552428890624999</v>
      </c>
      <c r="BT93" s="91">
        <f t="shared" si="620"/>
        <v>0.35552428890624999</v>
      </c>
      <c r="BU93" s="91">
        <f t="shared" si="628"/>
        <v>0.35552428890624999</v>
      </c>
      <c r="BV93" s="91">
        <f t="shared" si="628"/>
        <v>0.35552428890624999</v>
      </c>
      <c r="BW93" s="91">
        <f t="shared" si="628"/>
        <v>0.35552428890624999</v>
      </c>
      <c r="BX93" s="91">
        <f t="shared" si="628"/>
        <v>0.35552428890624999</v>
      </c>
      <c r="BY93" s="91">
        <f t="shared" si="628"/>
        <v>0.35552428890624999</v>
      </c>
      <c r="BZ93" s="91">
        <f t="shared" si="628"/>
        <v>0.35552428890624999</v>
      </c>
      <c r="CA93" s="91">
        <f t="shared" si="628"/>
        <v>0.35552428890624999</v>
      </c>
      <c r="CB93" s="284">
        <f t="shared" si="628"/>
        <v>0.37304125335156252</v>
      </c>
      <c r="CC93" s="91">
        <f t="shared" si="628"/>
        <v>0.37304125335156252</v>
      </c>
      <c r="CD93" s="91">
        <f t="shared" si="628"/>
        <v>0.37304125335156252</v>
      </c>
      <c r="CE93" s="91">
        <f t="shared" si="628"/>
        <v>0.37304125335156252</v>
      </c>
      <c r="CF93" s="91">
        <f t="shared" si="628"/>
        <v>0.37304125335156252</v>
      </c>
      <c r="CG93" s="91">
        <f t="shared" si="628"/>
        <v>0.37304125335156252</v>
      </c>
      <c r="CH93" s="91">
        <f t="shared" si="628"/>
        <v>0.37304125335156252</v>
      </c>
      <c r="CI93" s="91">
        <f t="shared" si="628"/>
        <v>0.37304125335156252</v>
      </c>
      <c r="CJ93" s="91">
        <f t="shared" si="628"/>
        <v>0.37304125335156252</v>
      </c>
      <c r="CK93" s="91">
        <f t="shared" si="628"/>
        <v>0.37304125335156252</v>
      </c>
      <c r="CL93" s="91">
        <f t="shared" si="628"/>
        <v>0.37304125335156252</v>
      </c>
      <c r="CM93" s="91">
        <f t="shared" si="628"/>
        <v>0.37304125335156252</v>
      </c>
      <c r="CN93" s="284">
        <f t="shared" si="628"/>
        <v>0.3914340660191406</v>
      </c>
      <c r="CO93" s="91">
        <f t="shared" si="628"/>
        <v>0.3914340660191406</v>
      </c>
      <c r="CP93" s="91">
        <f t="shared" si="628"/>
        <v>0.3914340660191406</v>
      </c>
      <c r="CQ93" s="91">
        <f t="shared" si="628"/>
        <v>0.3914340660191406</v>
      </c>
      <c r="CR93" s="91">
        <f t="shared" si="628"/>
        <v>0.3914340660191406</v>
      </c>
      <c r="CS93" s="91">
        <f t="shared" si="628"/>
        <v>0.3914340660191406</v>
      </c>
      <c r="CT93" s="91">
        <f t="shared" si="628"/>
        <v>0.3914340660191406</v>
      </c>
      <c r="CU93" s="91">
        <f t="shared" si="628"/>
        <v>0.3914340660191406</v>
      </c>
      <c r="CV93" s="91">
        <f t="shared" si="628"/>
        <v>0.3914340660191406</v>
      </c>
      <c r="CW93" s="91">
        <f t="shared" si="628"/>
        <v>0.3914340660191406</v>
      </c>
      <c r="CX93" s="91">
        <f t="shared" si="628"/>
        <v>0.3914340660191406</v>
      </c>
      <c r="CY93" s="91">
        <f t="shared" si="628"/>
        <v>0.3914340660191406</v>
      </c>
      <c r="CZ93" s="284">
        <f t="shared" si="628"/>
        <v>0.41074651932009759</v>
      </c>
      <c r="DA93" s="91">
        <f t="shared" si="628"/>
        <v>0.41074651932009759</v>
      </c>
      <c r="DB93" s="91">
        <f t="shared" si="628"/>
        <v>0.41074651932009759</v>
      </c>
      <c r="DC93" s="91">
        <f t="shared" si="628"/>
        <v>0.41074651932009759</v>
      </c>
      <c r="DD93" s="91">
        <f t="shared" si="628"/>
        <v>0.41074651932009759</v>
      </c>
      <c r="DE93" s="91">
        <f t="shared" si="628"/>
        <v>0.41074651932009759</v>
      </c>
      <c r="DF93" s="91">
        <f t="shared" si="628"/>
        <v>0.41074651932009759</v>
      </c>
      <c r="DG93" s="91">
        <f t="shared" si="628"/>
        <v>0.41074651932009759</v>
      </c>
      <c r="DH93" s="91">
        <f t="shared" si="628"/>
        <v>0.41074651932009759</v>
      </c>
      <c r="DI93" s="91">
        <f t="shared" si="628"/>
        <v>0.41074651932009759</v>
      </c>
      <c r="DJ93" s="91">
        <f t="shared" si="628"/>
        <v>0.41074651932009759</v>
      </c>
      <c r="DK93" s="91">
        <f t="shared" si="628"/>
        <v>0.41074651932009759</v>
      </c>
      <c r="DL93" s="284">
        <f t="shared" si="628"/>
        <v>0.43102459528610254</v>
      </c>
      <c r="DM93" s="91">
        <f t="shared" si="628"/>
        <v>0.43102459528610254</v>
      </c>
      <c r="DN93" s="91">
        <f t="shared" si="628"/>
        <v>0.43102459528610254</v>
      </c>
      <c r="DO93" s="91">
        <f t="shared" si="628"/>
        <v>0.43102459528610254</v>
      </c>
      <c r="DP93" s="91">
        <f t="shared" si="628"/>
        <v>0.43102459528610254</v>
      </c>
      <c r="DQ93" s="91">
        <f t="shared" si="628"/>
        <v>0.43102459528610254</v>
      </c>
      <c r="DR93" s="91">
        <f t="shared" si="628"/>
        <v>0.43102459528610254</v>
      </c>
      <c r="DS93" s="91">
        <f t="shared" si="628"/>
        <v>0.43102459528610254</v>
      </c>
      <c r="DT93" s="91">
        <f t="shared" si="628"/>
        <v>0.43102459528610254</v>
      </c>
      <c r="DU93" s="91">
        <f t="shared" si="628"/>
        <v>0.43102459528610254</v>
      </c>
      <c r="DV93" s="91">
        <f t="shared" si="628"/>
        <v>0.43102459528610254</v>
      </c>
      <c r="DW93" s="527">
        <f t="shared" si="628"/>
        <v>0.43102459528610254</v>
      </c>
    </row>
    <row r="94" spans="3:127" x14ac:dyDescent="0.3">
      <c r="C94" s="87">
        <f t="shared" si="624"/>
        <v>0.06</v>
      </c>
      <c r="D94" s="539" t="str">
        <f t="shared" si="622"/>
        <v>QA</v>
      </c>
      <c r="E94" s="91"/>
      <c r="F94" s="91"/>
      <c r="G94" s="90">
        <f t="shared" si="619"/>
        <v>69921.25</v>
      </c>
      <c r="H94" s="91">
        <f t="shared" si="627"/>
        <v>69921.25</v>
      </c>
      <c r="I94" s="91">
        <f t="shared" si="627"/>
        <v>69921.25</v>
      </c>
      <c r="J94" s="91">
        <f t="shared" si="627"/>
        <v>69921.25</v>
      </c>
      <c r="K94" s="91">
        <f t="shared" si="627"/>
        <v>69921.25</v>
      </c>
      <c r="L94" s="91">
        <f t="shared" si="627"/>
        <v>69921.25</v>
      </c>
      <c r="M94" s="91">
        <f t="shared" si="627"/>
        <v>69921.25</v>
      </c>
      <c r="N94" s="91">
        <f t="shared" si="627"/>
        <v>53785.576923076929</v>
      </c>
      <c r="O94" s="91">
        <f t="shared" si="627"/>
        <v>53785.576923076929</v>
      </c>
      <c r="P94" s="91">
        <f t="shared" si="627"/>
        <v>53785.576923076929</v>
      </c>
      <c r="Q94" s="91">
        <f t="shared" si="627"/>
        <v>53785.576923076929</v>
      </c>
      <c r="R94" s="91">
        <f t="shared" si="627"/>
        <v>53785.576923076929</v>
      </c>
      <c r="S94" s="91">
        <f t="shared" si="627"/>
        <v>53785.576923076929</v>
      </c>
      <c r="T94" s="284">
        <f t="shared" si="627"/>
        <v>56425</v>
      </c>
      <c r="U94" s="91">
        <f t="shared" si="627"/>
        <v>56425</v>
      </c>
      <c r="V94" s="91">
        <f t="shared" si="627"/>
        <v>56425</v>
      </c>
      <c r="W94" s="91">
        <f t="shared" si="627"/>
        <v>56425</v>
      </c>
      <c r="X94" s="91">
        <f t="shared" si="627"/>
        <v>56425</v>
      </c>
      <c r="Y94" s="91">
        <f t="shared" si="627"/>
        <v>56425</v>
      </c>
      <c r="Z94" s="91">
        <f t="shared" si="627"/>
        <v>56425</v>
      </c>
      <c r="AA94" s="91">
        <f t="shared" si="627"/>
        <v>56425</v>
      </c>
      <c r="AB94" s="91">
        <f t="shared" si="627"/>
        <v>56425</v>
      </c>
      <c r="AC94" s="91">
        <f t="shared" si="627"/>
        <v>56425</v>
      </c>
      <c r="AD94" s="91">
        <f t="shared" si="627"/>
        <v>56425</v>
      </c>
      <c r="AE94" s="91">
        <f t="shared" si="627"/>
        <v>56425</v>
      </c>
      <c r="AF94" s="284">
        <f t="shared" si="627"/>
        <v>59196.394230769227</v>
      </c>
      <c r="AG94" s="91">
        <f t="shared" si="627"/>
        <v>59196.394230769227</v>
      </c>
      <c r="AH94" s="91">
        <f t="shared" si="627"/>
        <v>59196.394230769227</v>
      </c>
      <c r="AI94" s="91">
        <f t="shared" si="627"/>
        <v>59196.394230769227</v>
      </c>
      <c r="AJ94" s="91">
        <f t="shared" si="627"/>
        <v>59196.394230769227</v>
      </c>
      <c r="AK94" s="91">
        <f t="shared" si="627"/>
        <v>59196.394230769227</v>
      </c>
      <c r="AL94" s="91">
        <f t="shared" si="627"/>
        <v>59196.394230769227</v>
      </c>
      <c r="AM94" s="91">
        <f t="shared" si="627"/>
        <v>59196.394230769227</v>
      </c>
      <c r="AN94" s="91">
        <f t="shared" si="627"/>
        <v>59196.394230769227</v>
      </c>
      <c r="AO94" s="91">
        <f t="shared" si="627"/>
        <v>59196.394230769227</v>
      </c>
      <c r="AP94" s="91">
        <f t="shared" si="627"/>
        <v>59196.394230769227</v>
      </c>
      <c r="AQ94" s="91">
        <f t="shared" si="627"/>
        <v>59196.394230769227</v>
      </c>
      <c r="AR94" s="284">
        <f t="shared" si="627"/>
        <v>62106.358173076929</v>
      </c>
      <c r="AS94" s="91">
        <f t="shared" si="627"/>
        <v>62106.358173076929</v>
      </c>
      <c r="AT94" s="91">
        <f t="shared" si="627"/>
        <v>62106.358173076929</v>
      </c>
      <c r="AU94" s="91">
        <f t="shared" si="627"/>
        <v>62106.358173076929</v>
      </c>
      <c r="AV94" s="91">
        <f t="shared" si="627"/>
        <v>62106.358173076929</v>
      </c>
      <c r="AW94" s="91">
        <f t="shared" si="627"/>
        <v>62106.358173076929</v>
      </c>
      <c r="AX94" s="91">
        <f t="shared" si="627"/>
        <v>62106.358173076929</v>
      </c>
      <c r="AY94" s="91">
        <f t="shared" si="627"/>
        <v>62106.358173076929</v>
      </c>
      <c r="AZ94" s="91">
        <f t="shared" si="627"/>
        <v>62106.358173076929</v>
      </c>
      <c r="BA94" s="91">
        <f t="shared" si="627"/>
        <v>62106.358173076929</v>
      </c>
      <c r="BB94" s="91">
        <f t="shared" si="627"/>
        <v>62106.358173076929</v>
      </c>
      <c r="BC94" s="91">
        <f t="shared" si="627"/>
        <v>62106.358173076929</v>
      </c>
      <c r="BD94" s="284">
        <f t="shared" si="627"/>
        <v>65161.8203125</v>
      </c>
      <c r="BE94" s="91">
        <f t="shared" si="627"/>
        <v>65161.8203125</v>
      </c>
      <c r="BF94" s="91">
        <f t="shared" si="627"/>
        <v>65161.8203125</v>
      </c>
      <c r="BG94" s="91">
        <f t="shared" si="627"/>
        <v>65161.8203125</v>
      </c>
      <c r="BH94" s="91">
        <f t="shared" si="627"/>
        <v>65161.8203125</v>
      </c>
      <c r="BI94" s="91">
        <f t="shared" si="627"/>
        <v>65161.8203125</v>
      </c>
      <c r="BJ94" s="91">
        <f t="shared" si="627"/>
        <v>65161.8203125</v>
      </c>
      <c r="BK94" s="91">
        <f t="shared" si="627"/>
        <v>65161.8203125</v>
      </c>
      <c r="BL94" s="91">
        <f t="shared" si="627"/>
        <v>65161.8203125</v>
      </c>
      <c r="BM94" s="91">
        <f t="shared" si="627"/>
        <v>65161.8203125</v>
      </c>
      <c r="BN94" s="91">
        <f t="shared" si="627"/>
        <v>65161.8203125</v>
      </c>
      <c r="BO94" s="91">
        <f t="shared" si="627"/>
        <v>65161.8203125</v>
      </c>
      <c r="BP94" s="284">
        <f t="shared" si="627"/>
        <v>68370.055558894237</v>
      </c>
      <c r="BQ94" s="91">
        <f t="shared" si="627"/>
        <v>68370.055558894237</v>
      </c>
      <c r="BR94" s="91">
        <f t="shared" si="627"/>
        <v>68370.055558894237</v>
      </c>
      <c r="BS94" s="91">
        <f t="shared" ref="BS94" si="629">IF((BS53-BR53)&lt;0,BR94,((BS53*$C$84)+(BS53*BS76*12*$C94)))</f>
        <v>68370.055558894237</v>
      </c>
      <c r="BT94" s="91">
        <f t="shared" si="620"/>
        <v>68370.055558894237</v>
      </c>
      <c r="BU94" s="91">
        <f t="shared" si="628"/>
        <v>68370.055558894237</v>
      </c>
      <c r="BV94" s="91">
        <f t="shared" si="628"/>
        <v>68370.055558894237</v>
      </c>
      <c r="BW94" s="91">
        <f t="shared" si="628"/>
        <v>68370.055558894237</v>
      </c>
      <c r="BX94" s="91">
        <f t="shared" si="628"/>
        <v>68370.055558894237</v>
      </c>
      <c r="BY94" s="91">
        <f t="shared" si="628"/>
        <v>68370.055558894237</v>
      </c>
      <c r="BZ94" s="91">
        <f t="shared" si="628"/>
        <v>68370.055558894237</v>
      </c>
      <c r="CA94" s="91">
        <f t="shared" si="628"/>
        <v>68370.055558894237</v>
      </c>
      <c r="CB94" s="284">
        <f t="shared" si="628"/>
        <v>71738.702567608183</v>
      </c>
      <c r="CC94" s="91">
        <f t="shared" si="628"/>
        <v>71738.702567608183</v>
      </c>
      <c r="CD94" s="91">
        <f t="shared" si="628"/>
        <v>71738.702567608183</v>
      </c>
      <c r="CE94" s="91">
        <f t="shared" si="628"/>
        <v>71738.702567608183</v>
      </c>
      <c r="CF94" s="91">
        <f t="shared" si="628"/>
        <v>71738.702567608183</v>
      </c>
      <c r="CG94" s="91">
        <f t="shared" si="628"/>
        <v>71738.702567608183</v>
      </c>
      <c r="CH94" s="91">
        <f t="shared" si="628"/>
        <v>71738.702567608183</v>
      </c>
      <c r="CI94" s="91">
        <f t="shared" si="628"/>
        <v>71738.702567608183</v>
      </c>
      <c r="CJ94" s="91">
        <f t="shared" si="628"/>
        <v>71738.702567608183</v>
      </c>
      <c r="CK94" s="91">
        <f t="shared" si="628"/>
        <v>71738.702567608183</v>
      </c>
      <c r="CL94" s="91">
        <f t="shared" si="628"/>
        <v>71738.702567608183</v>
      </c>
      <c r="CM94" s="91">
        <f t="shared" si="628"/>
        <v>71738.702567608183</v>
      </c>
      <c r="CN94" s="284">
        <f t="shared" si="628"/>
        <v>75275.781926757816</v>
      </c>
      <c r="CO94" s="91">
        <f t="shared" si="628"/>
        <v>75275.781926757816</v>
      </c>
      <c r="CP94" s="91">
        <f t="shared" si="628"/>
        <v>75275.781926757816</v>
      </c>
      <c r="CQ94" s="91">
        <f t="shared" si="628"/>
        <v>75275.781926757816</v>
      </c>
      <c r="CR94" s="91">
        <f t="shared" si="628"/>
        <v>75275.781926757816</v>
      </c>
      <c r="CS94" s="91">
        <f t="shared" si="628"/>
        <v>75275.781926757816</v>
      </c>
      <c r="CT94" s="91">
        <f t="shared" si="628"/>
        <v>75275.781926757816</v>
      </c>
      <c r="CU94" s="91">
        <f t="shared" si="628"/>
        <v>75275.781926757816</v>
      </c>
      <c r="CV94" s="91">
        <f t="shared" si="628"/>
        <v>75275.781926757816</v>
      </c>
      <c r="CW94" s="91">
        <f t="shared" si="628"/>
        <v>75275.781926757816</v>
      </c>
      <c r="CX94" s="91">
        <f t="shared" si="628"/>
        <v>75275.781926757816</v>
      </c>
      <c r="CY94" s="91">
        <f t="shared" si="628"/>
        <v>75275.781926757816</v>
      </c>
      <c r="CZ94" s="284">
        <f t="shared" si="628"/>
        <v>78989.715253864939</v>
      </c>
      <c r="DA94" s="91">
        <f t="shared" si="628"/>
        <v>78989.715253864939</v>
      </c>
      <c r="DB94" s="91">
        <f t="shared" si="628"/>
        <v>78989.715253864939</v>
      </c>
      <c r="DC94" s="91">
        <f t="shared" si="628"/>
        <v>78989.715253864939</v>
      </c>
      <c r="DD94" s="91">
        <f t="shared" si="628"/>
        <v>78989.715253864939</v>
      </c>
      <c r="DE94" s="91">
        <f t="shared" si="628"/>
        <v>78989.715253864939</v>
      </c>
      <c r="DF94" s="91">
        <f t="shared" si="628"/>
        <v>78989.715253864939</v>
      </c>
      <c r="DG94" s="91">
        <f t="shared" si="628"/>
        <v>78989.715253864939</v>
      </c>
      <c r="DH94" s="91">
        <f t="shared" si="628"/>
        <v>78989.715253864939</v>
      </c>
      <c r="DI94" s="91">
        <f t="shared" si="628"/>
        <v>78989.715253864939</v>
      </c>
      <c r="DJ94" s="91">
        <f t="shared" si="628"/>
        <v>78989.715253864939</v>
      </c>
      <c r="DK94" s="91">
        <f t="shared" si="628"/>
        <v>78989.715253864939</v>
      </c>
      <c r="DL94" s="284">
        <f t="shared" si="628"/>
        <v>82889.345247327423</v>
      </c>
      <c r="DM94" s="91">
        <f t="shared" si="628"/>
        <v>82889.345247327423</v>
      </c>
      <c r="DN94" s="91">
        <f t="shared" si="628"/>
        <v>82889.345247327423</v>
      </c>
      <c r="DO94" s="91">
        <f t="shared" si="628"/>
        <v>82889.345247327423</v>
      </c>
      <c r="DP94" s="91">
        <f t="shared" si="628"/>
        <v>82889.345247327423</v>
      </c>
      <c r="DQ94" s="91">
        <f t="shared" si="628"/>
        <v>82889.345247327423</v>
      </c>
      <c r="DR94" s="91">
        <f t="shared" si="628"/>
        <v>82889.345247327423</v>
      </c>
      <c r="DS94" s="91">
        <f t="shared" si="628"/>
        <v>82889.345247327423</v>
      </c>
      <c r="DT94" s="91">
        <f t="shared" si="628"/>
        <v>82889.345247327423</v>
      </c>
      <c r="DU94" s="91">
        <f t="shared" si="628"/>
        <v>82889.345247327423</v>
      </c>
      <c r="DV94" s="91">
        <f t="shared" si="628"/>
        <v>82889.345247327423</v>
      </c>
      <c r="DW94" s="527">
        <f t="shared" si="628"/>
        <v>82889.345247327423</v>
      </c>
    </row>
    <row r="95" spans="3:127" x14ac:dyDescent="0.3">
      <c r="C95" s="87">
        <f t="shared" si="624"/>
        <v>0.06</v>
      </c>
      <c r="D95" s="539" t="str">
        <f t="shared" si="622"/>
        <v>Trainer</v>
      </c>
      <c r="E95" s="91"/>
      <c r="F95" s="91"/>
      <c r="G95" s="90">
        <f t="shared" si="619"/>
        <v>185880.55555555553</v>
      </c>
      <c r="H95" s="91">
        <f t="shared" ref="H95:BS98" si="630">IF((H54-G54)&lt;0,G95,((H54*$C$84)+(H54*H77*12*$C95)))</f>
        <v>185880.55555555553</v>
      </c>
      <c r="I95" s="91">
        <f t="shared" si="630"/>
        <v>44611.333333333336</v>
      </c>
      <c r="J95" s="91">
        <f t="shared" si="630"/>
        <v>44611.333333333336</v>
      </c>
      <c r="K95" s="91">
        <f t="shared" si="630"/>
        <v>44611.333333333336</v>
      </c>
      <c r="L95" s="91">
        <f t="shared" si="630"/>
        <v>44611.333333333336</v>
      </c>
      <c r="M95" s="91">
        <f t="shared" si="630"/>
        <v>44611.333333333336</v>
      </c>
      <c r="N95" s="91">
        <f t="shared" si="630"/>
        <v>44611.333333333336</v>
      </c>
      <c r="O95" s="91">
        <f t="shared" si="630"/>
        <v>44611.333333333336</v>
      </c>
      <c r="P95" s="91">
        <f t="shared" si="630"/>
        <v>44611.333333333336</v>
      </c>
      <c r="Q95" s="91">
        <f t="shared" si="630"/>
        <v>44611.333333333336</v>
      </c>
      <c r="R95" s="91">
        <f t="shared" si="630"/>
        <v>44611.333333333336</v>
      </c>
      <c r="S95" s="91">
        <f t="shared" si="630"/>
        <v>44611.333333333336</v>
      </c>
      <c r="T95" s="284">
        <f t="shared" si="630"/>
        <v>46807.333333333336</v>
      </c>
      <c r="U95" s="91">
        <f t="shared" si="630"/>
        <v>46807.333333333336</v>
      </c>
      <c r="V95" s="91">
        <f t="shared" si="630"/>
        <v>46807.333333333336</v>
      </c>
      <c r="W95" s="91">
        <f t="shared" si="630"/>
        <v>46807.333333333336</v>
      </c>
      <c r="X95" s="91">
        <f t="shared" si="630"/>
        <v>46807.333333333336</v>
      </c>
      <c r="Y95" s="91">
        <f t="shared" si="630"/>
        <v>46807.333333333336</v>
      </c>
      <c r="Z95" s="91">
        <f t="shared" si="630"/>
        <v>46807.333333333336</v>
      </c>
      <c r="AA95" s="91">
        <f t="shared" si="630"/>
        <v>46807.333333333336</v>
      </c>
      <c r="AB95" s="91">
        <f t="shared" si="630"/>
        <v>46807.333333333336</v>
      </c>
      <c r="AC95" s="91">
        <f t="shared" si="630"/>
        <v>46807.333333333336</v>
      </c>
      <c r="AD95" s="91">
        <f t="shared" si="630"/>
        <v>46807.333333333336</v>
      </c>
      <c r="AE95" s="91">
        <f t="shared" si="630"/>
        <v>46807.333333333336</v>
      </c>
      <c r="AF95" s="284">
        <f t="shared" si="630"/>
        <v>49113.133333333331</v>
      </c>
      <c r="AG95" s="91">
        <f t="shared" si="630"/>
        <v>49113.133333333331</v>
      </c>
      <c r="AH95" s="91">
        <f t="shared" si="630"/>
        <v>49113.133333333331</v>
      </c>
      <c r="AI95" s="91">
        <f t="shared" si="630"/>
        <v>49113.133333333331</v>
      </c>
      <c r="AJ95" s="91">
        <f t="shared" si="630"/>
        <v>49113.133333333331</v>
      </c>
      <c r="AK95" s="91">
        <f t="shared" si="630"/>
        <v>49113.133333333331</v>
      </c>
      <c r="AL95" s="91">
        <f t="shared" si="630"/>
        <v>49113.133333333331</v>
      </c>
      <c r="AM95" s="91">
        <f t="shared" si="630"/>
        <v>49113.133333333331</v>
      </c>
      <c r="AN95" s="91">
        <f t="shared" si="630"/>
        <v>49113.133333333331</v>
      </c>
      <c r="AO95" s="91">
        <f t="shared" si="630"/>
        <v>49113.133333333331</v>
      </c>
      <c r="AP95" s="91">
        <f t="shared" si="630"/>
        <v>49113.133333333331</v>
      </c>
      <c r="AQ95" s="91">
        <f t="shared" si="630"/>
        <v>49113.133333333331</v>
      </c>
      <c r="AR95" s="284">
        <f t="shared" si="630"/>
        <v>51534.223333333335</v>
      </c>
      <c r="AS95" s="91">
        <f t="shared" si="630"/>
        <v>51534.223333333335</v>
      </c>
      <c r="AT95" s="91">
        <f t="shared" si="630"/>
        <v>51534.223333333335</v>
      </c>
      <c r="AU95" s="91">
        <f t="shared" si="630"/>
        <v>51534.223333333335</v>
      </c>
      <c r="AV95" s="91">
        <f t="shared" si="630"/>
        <v>51534.223333333335</v>
      </c>
      <c r="AW95" s="91">
        <f t="shared" si="630"/>
        <v>51534.223333333335</v>
      </c>
      <c r="AX95" s="91">
        <f t="shared" si="630"/>
        <v>51534.223333333335</v>
      </c>
      <c r="AY95" s="91">
        <f t="shared" si="630"/>
        <v>51534.223333333335</v>
      </c>
      <c r="AZ95" s="91">
        <f t="shared" si="630"/>
        <v>51534.223333333335</v>
      </c>
      <c r="BA95" s="91">
        <f t="shared" si="630"/>
        <v>51534.223333333335</v>
      </c>
      <c r="BB95" s="91">
        <f t="shared" si="630"/>
        <v>51534.223333333335</v>
      </c>
      <c r="BC95" s="91">
        <f t="shared" si="630"/>
        <v>51534.223333333335</v>
      </c>
      <c r="BD95" s="284">
        <f t="shared" si="630"/>
        <v>54076.367833333337</v>
      </c>
      <c r="BE95" s="91">
        <f t="shared" si="630"/>
        <v>54076.367833333337</v>
      </c>
      <c r="BF95" s="91">
        <f t="shared" si="630"/>
        <v>54076.367833333337</v>
      </c>
      <c r="BG95" s="91">
        <f t="shared" si="630"/>
        <v>54076.367833333337</v>
      </c>
      <c r="BH95" s="91">
        <f t="shared" si="630"/>
        <v>54076.367833333337</v>
      </c>
      <c r="BI95" s="91">
        <f t="shared" si="630"/>
        <v>54076.367833333337</v>
      </c>
      <c r="BJ95" s="91">
        <f t="shared" si="630"/>
        <v>54076.367833333337</v>
      </c>
      <c r="BK95" s="91">
        <f t="shared" si="630"/>
        <v>54076.367833333337</v>
      </c>
      <c r="BL95" s="91">
        <f t="shared" si="630"/>
        <v>54076.367833333337</v>
      </c>
      <c r="BM95" s="91">
        <f t="shared" si="630"/>
        <v>54076.367833333337</v>
      </c>
      <c r="BN95" s="91">
        <f t="shared" si="630"/>
        <v>54076.367833333337</v>
      </c>
      <c r="BO95" s="91">
        <f t="shared" si="630"/>
        <v>54076.367833333337</v>
      </c>
      <c r="BP95" s="284">
        <f t="shared" si="630"/>
        <v>56745.619558333332</v>
      </c>
      <c r="BQ95" s="91">
        <f t="shared" si="630"/>
        <v>56745.619558333332</v>
      </c>
      <c r="BR95" s="91">
        <f t="shared" si="630"/>
        <v>56745.619558333332</v>
      </c>
      <c r="BS95" s="91">
        <f t="shared" si="630"/>
        <v>56745.619558333332</v>
      </c>
      <c r="BT95" s="91">
        <f t="shared" si="620"/>
        <v>56745.619558333332</v>
      </c>
      <c r="BU95" s="91">
        <f t="shared" si="628"/>
        <v>56745.619558333332</v>
      </c>
      <c r="BV95" s="91">
        <f t="shared" si="628"/>
        <v>56745.619558333332</v>
      </c>
      <c r="BW95" s="91">
        <f t="shared" si="628"/>
        <v>56745.619558333332</v>
      </c>
      <c r="BX95" s="91">
        <f t="shared" si="628"/>
        <v>56745.619558333332</v>
      </c>
      <c r="BY95" s="91">
        <f t="shared" si="628"/>
        <v>56745.619558333332</v>
      </c>
      <c r="BZ95" s="91">
        <f t="shared" si="628"/>
        <v>56745.619558333332</v>
      </c>
      <c r="CA95" s="91">
        <f t="shared" si="628"/>
        <v>56745.619558333332</v>
      </c>
      <c r="CB95" s="284">
        <f t="shared" si="628"/>
        <v>59548.33386958333</v>
      </c>
      <c r="CC95" s="91">
        <f t="shared" si="628"/>
        <v>59548.33386958333</v>
      </c>
      <c r="CD95" s="91">
        <f t="shared" si="628"/>
        <v>59548.33386958333</v>
      </c>
      <c r="CE95" s="91">
        <f t="shared" si="628"/>
        <v>59548.33386958333</v>
      </c>
      <c r="CF95" s="91">
        <f t="shared" si="628"/>
        <v>59548.33386958333</v>
      </c>
      <c r="CG95" s="91">
        <f t="shared" si="628"/>
        <v>59548.33386958333</v>
      </c>
      <c r="CH95" s="91">
        <f t="shared" si="628"/>
        <v>59548.33386958333</v>
      </c>
      <c r="CI95" s="91">
        <f t="shared" si="628"/>
        <v>59548.33386958333</v>
      </c>
      <c r="CJ95" s="91">
        <f t="shared" si="628"/>
        <v>59548.33386958333</v>
      </c>
      <c r="CK95" s="91">
        <f t="shared" si="628"/>
        <v>59548.33386958333</v>
      </c>
      <c r="CL95" s="91">
        <f t="shared" si="628"/>
        <v>59548.33386958333</v>
      </c>
      <c r="CM95" s="91">
        <f t="shared" si="628"/>
        <v>59548.33386958333</v>
      </c>
      <c r="CN95" s="284">
        <f t="shared" si="628"/>
        <v>62491.183896395836</v>
      </c>
      <c r="CO95" s="91">
        <f t="shared" si="628"/>
        <v>62491.183896395836</v>
      </c>
      <c r="CP95" s="91">
        <f t="shared" si="628"/>
        <v>62491.183896395836</v>
      </c>
      <c r="CQ95" s="91">
        <f t="shared" si="628"/>
        <v>62491.183896395836</v>
      </c>
      <c r="CR95" s="91">
        <f t="shared" si="628"/>
        <v>62491.183896395836</v>
      </c>
      <c r="CS95" s="91">
        <f t="shared" si="628"/>
        <v>62491.183896395836</v>
      </c>
      <c r="CT95" s="91">
        <f t="shared" si="628"/>
        <v>62491.183896395836</v>
      </c>
      <c r="CU95" s="91">
        <f t="shared" si="628"/>
        <v>62491.183896395836</v>
      </c>
      <c r="CV95" s="91">
        <f t="shared" si="628"/>
        <v>62491.183896395836</v>
      </c>
      <c r="CW95" s="91">
        <f t="shared" si="628"/>
        <v>62491.183896395836</v>
      </c>
      <c r="CX95" s="91">
        <f t="shared" si="628"/>
        <v>62491.183896395836</v>
      </c>
      <c r="CY95" s="91">
        <f t="shared" si="628"/>
        <v>62491.183896395836</v>
      </c>
      <c r="CZ95" s="284">
        <f t="shared" si="628"/>
        <v>65581.176424548976</v>
      </c>
      <c r="DA95" s="91">
        <f t="shared" si="628"/>
        <v>65581.176424548976</v>
      </c>
      <c r="DB95" s="91">
        <f t="shared" si="628"/>
        <v>65581.176424548976</v>
      </c>
      <c r="DC95" s="91">
        <f t="shared" si="628"/>
        <v>65581.176424548976</v>
      </c>
      <c r="DD95" s="91">
        <f t="shared" ref="DD95:DW95" si="631">IF((DD54-DC54)&lt;0,DC95,((DD54*$C$84)+(DD54*DD77*12*$C95)))</f>
        <v>65581.176424548976</v>
      </c>
      <c r="DE95" s="91">
        <f t="shared" si="631"/>
        <v>65581.176424548976</v>
      </c>
      <c r="DF95" s="91">
        <f t="shared" si="631"/>
        <v>65581.176424548976</v>
      </c>
      <c r="DG95" s="91">
        <f t="shared" si="631"/>
        <v>65581.176424548976</v>
      </c>
      <c r="DH95" s="91">
        <f t="shared" si="631"/>
        <v>65581.176424548976</v>
      </c>
      <c r="DI95" s="91">
        <f t="shared" si="631"/>
        <v>65581.176424548976</v>
      </c>
      <c r="DJ95" s="91">
        <f t="shared" si="631"/>
        <v>65581.176424548976</v>
      </c>
      <c r="DK95" s="91">
        <f t="shared" si="631"/>
        <v>65581.176424548976</v>
      </c>
      <c r="DL95" s="284">
        <f t="shared" si="631"/>
        <v>68825.668579109755</v>
      </c>
      <c r="DM95" s="91">
        <f t="shared" si="631"/>
        <v>68825.668579109755</v>
      </c>
      <c r="DN95" s="91">
        <f t="shared" si="631"/>
        <v>68825.668579109755</v>
      </c>
      <c r="DO95" s="91">
        <f t="shared" si="631"/>
        <v>68825.668579109755</v>
      </c>
      <c r="DP95" s="91">
        <f t="shared" si="631"/>
        <v>68825.668579109755</v>
      </c>
      <c r="DQ95" s="91">
        <f t="shared" si="631"/>
        <v>68825.668579109755</v>
      </c>
      <c r="DR95" s="91">
        <f t="shared" si="631"/>
        <v>68825.668579109755</v>
      </c>
      <c r="DS95" s="91">
        <f t="shared" si="631"/>
        <v>68825.668579109755</v>
      </c>
      <c r="DT95" s="91">
        <f t="shared" si="631"/>
        <v>68825.668579109755</v>
      </c>
      <c r="DU95" s="91">
        <f t="shared" si="631"/>
        <v>68825.668579109755</v>
      </c>
      <c r="DV95" s="91">
        <f t="shared" si="631"/>
        <v>68825.668579109755</v>
      </c>
      <c r="DW95" s="527">
        <f t="shared" si="631"/>
        <v>68825.668579109755</v>
      </c>
    </row>
    <row r="96" spans="3:127" x14ac:dyDescent="0.3">
      <c r="C96" s="87">
        <f t="shared" si="624"/>
        <v>0.06</v>
      </c>
      <c r="D96" s="539" t="str">
        <f t="shared" si="622"/>
        <v>RTA/WFM</v>
      </c>
      <c r="E96" s="91"/>
      <c r="F96" s="91"/>
      <c r="G96" s="90">
        <f t="shared" si="619"/>
        <v>27968.499999999993</v>
      </c>
      <c r="H96" s="91">
        <f t="shared" si="630"/>
        <v>27968.499999999993</v>
      </c>
      <c r="I96" s="91">
        <f t="shared" si="630"/>
        <v>27968.5</v>
      </c>
      <c r="J96" s="91">
        <f t="shared" si="630"/>
        <v>27968.5</v>
      </c>
      <c r="K96" s="91">
        <f t="shared" si="630"/>
        <v>27968.5</v>
      </c>
      <c r="L96" s="91">
        <f t="shared" si="630"/>
        <v>27968.5</v>
      </c>
      <c r="M96" s="91">
        <f t="shared" si="630"/>
        <v>27968.5</v>
      </c>
      <c r="N96" s="91">
        <f t="shared" si="630"/>
        <v>27968.5</v>
      </c>
      <c r="O96" s="91">
        <f t="shared" si="630"/>
        <v>27968.5</v>
      </c>
      <c r="P96" s="91">
        <f t="shared" si="630"/>
        <v>27968.5</v>
      </c>
      <c r="Q96" s="91">
        <f t="shared" si="630"/>
        <v>27968.5</v>
      </c>
      <c r="R96" s="91">
        <f t="shared" si="630"/>
        <v>27968.5</v>
      </c>
      <c r="S96" s="91">
        <f t="shared" si="630"/>
        <v>27968.5</v>
      </c>
      <c r="T96" s="284">
        <f t="shared" si="630"/>
        <v>29341</v>
      </c>
      <c r="U96" s="91">
        <f t="shared" si="630"/>
        <v>29341</v>
      </c>
      <c r="V96" s="91">
        <f t="shared" si="630"/>
        <v>29341</v>
      </c>
      <c r="W96" s="91">
        <f t="shared" si="630"/>
        <v>29341</v>
      </c>
      <c r="X96" s="91">
        <f t="shared" si="630"/>
        <v>29341</v>
      </c>
      <c r="Y96" s="91">
        <f t="shared" si="630"/>
        <v>29341</v>
      </c>
      <c r="Z96" s="91">
        <f t="shared" si="630"/>
        <v>29341</v>
      </c>
      <c r="AA96" s="91">
        <f t="shared" si="630"/>
        <v>29341</v>
      </c>
      <c r="AB96" s="91">
        <f t="shared" si="630"/>
        <v>29341</v>
      </c>
      <c r="AC96" s="91">
        <f t="shared" si="630"/>
        <v>29341</v>
      </c>
      <c r="AD96" s="91">
        <f t="shared" si="630"/>
        <v>29341</v>
      </c>
      <c r="AE96" s="91">
        <f t="shared" si="630"/>
        <v>29341</v>
      </c>
      <c r="AF96" s="284">
        <f t="shared" si="630"/>
        <v>30782.125</v>
      </c>
      <c r="AG96" s="91">
        <f t="shared" si="630"/>
        <v>30782.125</v>
      </c>
      <c r="AH96" s="91">
        <f t="shared" si="630"/>
        <v>30782.125</v>
      </c>
      <c r="AI96" s="91">
        <f t="shared" si="630"/>
        <v>30782.125</v>
      </c>
      <c r="AJ96" s="91">
        <f t="shared" si="630"/>
        <v>30782.125</v>
      </c>
      <c r="AK96" s="91">
        <f t="shared" si="630"/>
        <v>30782.125</v>
      </c>
      <c r="AL96" s="91">
        <f t="shared" si="630"/>
        <v>30782.125</v>
      </c>
      <c r="AM96" s="91">
        <f t="shared" si="630"/>
        <v>30782.125</v>
      </c>
      <c r="AN96" s="91">
        <f t="shared" si="630"/>
        <v>30782.125</v>
      </c>
      <c r="AO96" s="91">
        <f t="shared" si="630"/>
        <v>30782.125</v>
      </c>
      <c r="AP96" s="91">
        <f t="shared" si="630"/>
        <v>30782.125</v>
      </c>
      <c r="AQ96" s="91">
        <f t="shared" si="630"/>
        <v>30782.125</v>
      </c>
      <c r="AR96" s="284">
        <f t="shared" si="630"/>
        <v>32295.306249999998</v>
      </c>
      <c r="AS96" s="91">
        <f t="shared" si="630"/>
        <v>32295.306249999998</v>
      </c>
      <c r="AT96" s="91">
        <f t="shared" si="630"/>
        <v>32295.306249999998</v>
      </c>
      <c r="AU96" s="91">
        <f t="shared" si="630"/>
        <v>32295.306249999998</v>
      </c>
      <c r="AV96" s="91">
        <f t="shared" si="630"/>
        <v>32295.306249999998</v>
      </c>
      <c r="AW96" s="91">
        <f t="shared" si="630"/>
        <v>32295.306249999998</v>
      </c>
      <c r="AX96" s="91">
        <f t="shared" si="630"/>
        <v>32295.306249999998</v>
      </c>
      <c r="AY96" s="91">
        <f t="shared" si="630"/>
        <v>32295.306249999998</v>
      </c>
      <c r="AZ96" s="91">
        <f t="shared" si="630"/>
        <v>32295.306249999998</v>
      </c>
      <c r="BA96" s="91">
        <f t="shared" si="630"/>
        <v>32295.306249999998</v>
      </c>
      <c r="BB96" s="91">
        <f t="shared" si="630"/>
        <v>32295.306249999998</v>
      </c>
      <c r="BC96" s="91">
        <f t="shared" si="630"/>
        <v>32295.306249999998</v>
      </c>
      <c r="BD96" s="284">
        <f t="shared" si="630"/>
        <v>33884.146562499998</v>
      </c>
      <c r="BE96" s="91">
        <f t="shared" si="630"/>
        <v>33884.146562499998</v>
      </c>
      <c r="BF96" s="91">
        <f t="shared" si="630"/>
        <v>33884.146562499998</v>
      </c>
      <c r="BG96" s="91">
        <f t="shared" si="630"/>
        <v>33884.146562499998</v>
      </c>
      <c r="BH96" s="91">
        <f t="shared" si="630"/>
        <v>33884.146562499998</v>
      </c>
      <c r="BI96" s="91">
        <f t="shared" si="630"/>
        <v>33884.146562499998</v>
      </c>
      <c r="BJ96" s="91">
        <f t="shared" si="630"/>
        <v>33884.146562499998</v>
      </c>
      <c r="BK96" s="91">
        <f t="shared" si="630"/>
        <v>33884.146562499998</v>
      </c>
      <c r="BL96" s="91">
        <f t="shared" si="630"/>
        <v>33884.146562499998</v>
      </c>
      <c r="BM96" s="91">
        <f t="shared" si="630"/>
        <v>33884.146562499998</v>
      </c>
      <c r="BN96" s="91">
        <f t="shared" si="630"/>
        <v>33884.146562499998</v>
      </c>
      <c r="BO96" s="91">
        <f t="shared" si="630"/>
        <v>33884.146562499998</v>
      </c>
      <c r="BP96" s="284">
        <f t="shared" si="630"/>
        <v>35552.428890625</v>
      </c>
      <c r="BQ96" s="91">
        <f t="shared" si="630"/>
        <v>35552.428890625</v>
      </c>
      <c r="BR96" s="91">
        <f t="shared" si="630"/>
        <v>35552.428890625</v>
      </c>
      <c r="BS96" s="91">
        <f t="shared" si="630"/>
        <v>35552.428890625</v>
      </c>
      <c r="BT96" s="91">
        <f t="shared" si="620"/>
        <v>35552.428890625</v>
      </c>
      <c r="BU96" s="91">
        <f t="shared" ref="BU96:DW100" si="632">IF((BU55-BT55)&lt;0,BT96,((BU55*$C$84)+(BU55*BU78*12*$C96)))</f>
        <v>35552.428890625</v>
      </c>
      <c r="BV96" s="91">
        <f t="shared" si="632"/>
        <v>35552.428890625</v>
      </c>
      <c r="BW96" s="91">
        <f t="shared" si="632"/>
        <v>35552.428890625</v>
      </c>
      <c r="BX96" s="91">
        <f t="shared" si="632"/>
        <v>35552.428890625</v>
      </c>
      <c r="BY96" s="91">
        <f t="shared" si="632"/>
        <v>35552.428890625</v>
      </c>
      <c r="BZ96" s="91">
        <f t="shared" si="632"/>
        <v>35552.428890625</v>
      </c>
      <c r="CA96" s="91">
        <f t="shared" si="632"/>
        <v>35552.428890625</v>
      </c>
      <c r="CB96" s="284">
        <f t="shared" si="632"/>
        <v>37304.125335156248</v>
      </c>
      <c r="CC96" s="91">
        <f t="shared" si="632"/>
        <v>37304.125335156248</v>
      </c>
      <c r="CD96" s="91">
        <f t="shared" si="632"/>
        <v>37304.125335156248</v>
      </c>
      <c r="CE96" s="91">
        <f t="shared" si="632"/>
        <v>37304.125335156248</v>
      </c>
      <c r="CF96" s="91">
        <f t="shared" si="632"/>
        <v>37304.125335156248</v>
      </c>
      <c r="CG96" s="91">
        <f t="shared" si="632"/>
        <v>37304.125335156248</v>
      </c>
      <c r="CH96" s="91">
        <f t="shared" si="632"/>
        <v>37304.125335156248</v>
      </c>
      <c r="CI96" s="91">
        <f t="shared" si="632"/>
        <v>37304.125335156248</v>
      </c>
      <c r="CJ96" s="91">
        <f t="shared" si="632"/>
        <v>37304.125335156248</v>
      </c>
      <c r="CK96" s="91">
        <f t="shared" si="632"/>
        <v>37304.125335156248</v>
      </c>
      <c r="CL96" s="91">
        <f t="shared" si="632"/>
        <v>37304.125335156248</v>
      </c>
      <c r="CM96" s="91">
        <f t="shared" si="632"/>
        <v>37304.125335156248</v>
      </c>
      <c r="CN96" s="284">
        <f t="shared" si="632"/>
        <v>39143.406601914059</v>
      </c>
      <c r="CO96" s="91">
        <f t="shared" si="632"/>
        <v>39143.406601914059</v>
      </c>
      <c r="CP96" s="91">
        <f t="shared" si="632"/>
        <v>39143.406601914059</v>
      </c>
      <c r="CQ96" s="91">
        <f t="shared" si="632"/>
        <v>39143.406601914059</v>
      </c>
      <c r="CR96" s="91">
        <f t="shared" si="632"/>
        <v>39143.406601914059</v>
      </c>
      <c r="CS96" s="91">
        <f t="shared" si="632"/>
        <v>39143.406601914059</v>
      </c>
      <c r="CT96" s="91">
        <f t="shared" si="632"/>
        <v>39143.406601914059</v>
      </c>
      <c r="CU96" s="91">
        <f t="shared" si="632"/>
        <v>39143.406601914059</v>
      </c>
      <c r="CV96" s="91">
        <f t="shared" si="632"/>
        <v>39143.406601914059</v>
      </c>
      <c r="CW96" s="91">
        <f t="shared" si="632"/>
        <v>39143.406601914059</v>
      </c>
      <c r="CX96" s="91">
        <f t="shared" si="632"/>
        <v>39143.406601914059</v>
      </c>
      <c r="CY96" s="91">
        <f t="shared" si="632"/>
        <v>39143.406601914059</v>
      </c>
      <c r="CZ96" s="284">
        <f t="shared" si="632"/>
        <v>41074.651932009765</v>
      </c>
      <c r="DA96" s="91">
        <f t="shared" si="632"/>
        <v>41074.651932009765</v>
      </c>
      <c r="DB96" s="91">
        <f t="shared" si="632"/>
        <v>41074.651932009765</v>
      </c>
      <c r="DC96" s="91">
        <f t="shared" si="632"/>
        <v>41074.651932009765</v>
      </c>
      <c r="DD96" s="91">
        <f t="shared" si="632"/>
        <v>41074.651932009765</v>
      </c>
      <c r="DE96" s="91">
        <f t="shared" si="632"/>
        <v>41074.651932009765</v>
      </c>
      <c r="DF96" s="91">
        <f t="shared" si="632"/>
        <v>41074.651932009765</v>
      </c>
      <c r="DG96" s="91">
        <f t="shared" si="632"/>
        <v>41074.651932009765</v>
      </c>
      <c r="DH96" s="91">
        <f t="shared" si="632"/>
        <v>41074.651932009765</v>
      </c>
      <c r="DI96" s="91">
        <f t="shared" si="632"/>
        <v>41074.651932009765</v>
      </c>
      <c r="DJ96" s="91">
        <f t="shared" si="632"/>
        <v>41074.651932009765</v>
      </c>
      <c r="DK96" s="91">
        <f t="shared" si="632"/>
        <v>41074.651932009765</v>
      </c>
      <c r="DL96" s="284">
        <f t="shared" si="632"/>
        <v>43102.459528610256</v>
      </c>
      <c r="DM96" s="91">
        <f t="shared" si="632"/>
        <v>43102.459528610256</v>
      </c>
      <c r="DN96" s="91">
        <f t="shared" si="632"/>
        <v>43102.459528610256</v>
      </c>
      <c r="DO96" s="91">
        <f t="shared" si="632"/>
        <v>43102.459528610256</v>
      </c>
      <c r="DP96" s="91">
        <f t="shared" si="632"/>
        <v>43102.459528610256</v>
      </c>
      <c r="DQ96" s="91">
        <f t="shared" si="632"/>
        <v>43102.459528610256</v>
      </c>
      <c r="DR96" s="91">
        <f t="shared" si="632"/>
        <v>43102.459528610256</v>
      </c>
      <c r="DS96" s="91">
        <f t="shared" si="632"/>
        <v>43102.459528610256</v>
      </c>
      <c r="DT96" s="91">
        <f t="shared" si="632"/>
        <v>43102.459528610256</v>
      </c>
      <c r="DU96" s="91">
        <f t="shared" si="632"/>
        <v>43102.459528610256</v>
      </c>
      <c r="DV96" s="91">
        <f t="shared" si="632"/>
        <v>43102.459528610256</v>
      </c>
      <c r="DW96" s="527">
        <f t="shared" si="632"/>
        <v>43102.459528610256</v>
      </c>
    </row>
    <row r="97" spans="2:127" x14ac:dyDescent="0.3">
      <c r="C97" s="87">
        <f t="shared" si="624"/>
        <v>0.06</v>
      </c>
      <c r="D97" s="539" t="str">
        <f t="shared" si="622"/>
        <v>Transition Resource</v>
      </c>
      <c r="E97" s="91"/>
      <c r="F97" s="91"/>
      <c r="G97" s="90">
        <f t="shared" si="619"/>
        <v>105743.49999999999</v>
      </c>
      <c r="H97" s="91">
        <f t="shared" si="630"/>
        <v>105743.49999999999</v>
      </c>
      <c r="I97" s="91">
        <f t="shared" si="630"/>
        <v>105743.5</v>
      </c>
      <c r="J97" s="91">
        <f t="shared" si="630"/>
        <v>105743.5</v>
      </c>
      <c r="K97" s="91">
        <f t="shared" si="630"/>
        <v>105743.5</v>
      </c>
      <c r="L97" s="91">
        <f t="shared" si="630"/>
        <v>105743.5</v>
      </c>
      <c r="M97" s="91">
        <f t="shared" si="630"/>
        <v>105743.5</v>
      </c>
      <c r="N97" s="91">
        <f t="shared" si="630"/>
        <v>1.0574350000000001</v>
      </c>
      <c r="O97" s="91">
        <f t="shared" si="630"/>
        <v>1.0574350000000001</v>
      </c>
      <c r="P97" s="91">
        <f t="shared" si="630"/>
        <v>1.0574350000000001</v>
      </c>
      <c r="Q97" s="91">
        <f t="shared" si="630"/>
        <v>1.0574350000000001</v>
      </c>
      <c r="R97" s="91">
        <f t="shared" si="630"/>
        <v>1.0574350000000001</v>
      </c>
      <c r="S97" s="91">
        <f t="shared" si="630"/>
        <v>1.0574350000000001</v>
      </c>
      <c r="T97" s="284">
        <f t="shared" si="630"/>
        <v>1.1100474999999999</v>
      </c>
      <c r="U97" s="91">
        <f t="shared" si="630"/>
        <v>1.1100474999999999</v>
      </c>
      <c r="V97" s="91">
        <f t="shared" si="630"/>
        <v>1.1100474999999999</v>
      </c>
      <c r="W97" s="91">
        <f t="shared" si="630"/>
        <v>1.1100474999999999</v>
      </c>
      <c r="X97" s="91">
        <f t="shared" si="630"/>
        <v>1.1100474999999999</v>
      </c>
      <c r="Y97" s="91">
        <f t="shared" si="630"/>
        <v>1.1100474999999999</v>
      </c>
      <c r="Z97" s="91">
        <f t="shared" si="630"/>
        <v>1.1100474999999999</v>
      </c>
      <c r="AA97" s="91">
        <f t="shared" si="630"/>
        <v>1.1100474999999999</v>
      </c>
      <c r="AB97" s="91">
        <f t="shared" si="630"/>
        <v>1.1100474999999999</v>
      </c>
      <c r="AC97" s="91">
        <f t="shared" si="630"/>
        <v>1.1100474999999999</v>
      </c>
      <c r="AD97" s="91">
        <f t="shared" si="630"/>
        <v>1.1100474999999999</v>
      </c>
      <c r="AE97" s="91">
        <f t="shared" si="630"/>
        <v>1.1100474999999999</v>
      </c>
      <c r="AF97" s="284">
        <f t="shared" si="630"/>
        <v>1.1652906250000004</v>
      </c>
      <c r="AG97" s="91">
        <f t="shared" si="630"/>
        <v>1.1652906250000004</v>
      </c>
      <c r="AH97" s="91">
        <f t="shared" si="630"/>
        <v>1.1652906250000004</v>
      </c>
      <c r="AI97" s="91">
        <f t="shared" si="630"/>
        <v>1.1652906250000004</v>
      </c>
      <c r="AJ97" s="91">
        <f t="shared" si="630"/>
        <v>1.1652906250000004</v>
      </c>
      <c r="AK97" s="91">
        <f t="shared" si="630"/>
        <v>1.1652906250000004</v>
      </c>
      <c r="AL97" s="91">
        <f t="shared" si="630"/>
        <v>1.1652906250000004</v>
      </c>
      <c r="AM97" s="91">
        <f t="shared" si="630"/>
        <v>1.1652906250000004</v>
      </c>
      <c r="AN97" s="91">
        <f t="shared" si="630"/>
        <v>1.1652906250000004</v>
      </c>
      <c r="AO97" s="91">
        <f t="shared" si="630"/>
        <v>1.1652906250000004</v>
      </c>
      <c r="AP97" s="91">
        <f t="shared" si="630"/>
        <v>1.1652906250000004</v>
      </c>
      <c r="AQ97" s="91">
        <f t="shared" si="630"/>
        <v>1.1652906250000004</v>
      </c>
      <c r="AR97" s="284">
        <f t="shared" si="630"/>
        <v>1.2232959062500004</v>
      </c>
      <c r="AS97" s="91">
        <f t="shared" si="630"/>
        <v>1.2232959062500004</v>
      </c>
      <c r="AT97" s="91">
        <f t="shared" si="630"/>
        <v>1.2232959062500004</v>
      </c>
      <c r="AU97" s="91">
        <f t="shared" si="630"/>
        <v>1.2232959062500004</v>
      </c>
      <c r="AV97" s="91">
        <f t="shared" si="630"/>
        <v>1.2232959062500004</v>
      </c>
      <c r="AW97" s="91">
        <f t="shared" si="630"/>
        <v>1.2232959062500004</v>
      </c>
      <c r="AX97" s="91">
        <f t="shared" si="630"/>
        <v>1.2232959062500004</v>
      </c>
      <c r="AY97" s="91">
        <f t="shared" si="630"/>
        <v>1.2232959062500004</v>
      </c>
      <c r="AZ97" s="91">
        <f t="shared" si="630"/>
        <v>1.2232959062500004</v>
      </c>
      <c r="BA97" s="91">
        <f t="shared" si="630"/>
        <v>1.2232959062500004</v>
      </c>
      <c r="BB97" s="91">
        <f t="shared" si="630"/>
        <v>1.2232959062500004</v>
      </c>
      <c r="BC97" s="91">
        <f t="shared" si="630"/>
        <v>1.2232959062500004</v>
      </c>
      <c r="BD97" s="284">
        <f t="shared" si="630"/>
        <v>1.2842014515625</v>
      </c>
      <c r="BE97" s="91">
        <f t="shared" si="630"/>
        <v>1.2842014515625</v>
      </c>
      <c r="BF97" s="91">
        <f t="shared" si="630"/>
        <v>1.2842014515625</v>
      </c>
      <c r="BG97" s="91">
        <f t="shared" si="630"/>
        <v>1.2842014515625</v>
      </c>
      <c r="BH97" s="91">
        <f t="shared" si="630"/>
        <v>1.2842014515625</v>
      </c>
      <c r="BI97" s="91">
        <f t="shared" si="630"/>
        <v>1.2842014515625</v>
      </c>
      <c r="BJ97" s="91">
        <f t="shared" si="630"/>
        <v>1.2842014515625</v>
      </c>
      <c r="BK97" s="91">
        <f t="shared" si="630"/>
        <v>1.2842014515625</v>
      </c>
      <c r="BL97" s="91">
        <f t="shared" si="630"/>
        <v>1.2842014515625</v>
      </c>
      <c r="BM97" s="91">
        <f t="shared" si="630"/>
        <v>1.2842014515625</v>
      </c>
      <c r="BN97" s="91">
        <f t="shared" si="630"/>
        <v>1.2842014515625</v>
      </c>
      <c r="BO97" s="91">
        <f t="shared" si="630"/>
        <v>1.2842014515625</v>
      </c>
      <c r="BP97" s="284">
        <f t="shared" si="630"/>
        <v>1.3481522741406251</v>
      </c>
      <c r="BQ97" s="91">
        <f t="shared" si="630"/>
        <v>1.3481522741406251</v>
      </c>
      <c r="BR97" s="91">
        <f t="shared" si="630"/>
        <v>1.3481522741406251</v>
      </c>
      <c r="BS97" s="91">
        <f t="shared" si="630"/>
        <v>1.3481522741406251</v>
      </c>
      <c r="BT97" s="91">
        <f t="shared" si="620"/>
        <v>1.3481522741406251</v>
      </c>
      <c r="BU97" s="91">
        <f t="shared" si="632"/>
        <v>1.3481522741406251</v>
      </c>
      <c r="BV97" s="91">
        <f t="shared" si="632"/>
        <v>1.3481522741406251</v>
      </c>
      <c r="BW97" s="91">
        <f t="shared" si="632"/>
        <v>1.3481522741406251</v>
      </c>
      <c r="BX97" s="91">
        <f t="shared" si="632"/>
        <v>1.3481522741406251</v>
      </c>
      <c r="BY97" s="91">
        <f t="shared" si="632"/>
        <v>1.3481522741406251</v>
      </c>
      <c r="BZ97" s="91">
        <f t="shared" si="632"/>
        <v>1.3481522741406251</v>
      </c>
      <c r="CA97" s="91">
        <f t="shared" si="632"/>
        <v>1.3481522741406251</v>
      </c>
      <c r="CB97" s="284">
        <f t="shared" si="632"/>
        <v>1.4153006378476567</v>
      </c>
      <c r="CC97" s="91">
        <f t="shared" si="632"/>
        <v>1.4153006378476567</v>
      </c>
      <c r="CD97" s="91">
        <f t="shared" si="632"/>
        <v>1.4153006378476567</v>
      </c>
      <c r="CE97" s="91">
        <f t="shared" si="632"/>
        <v>1.4153006378476567</v>
      </c>
      <c r="CF97" s="91">
        <f t="shared" si="632"/>
        <v>1.4153006378476567</v>
      </c>
      <c r="CG97" s="91">
        <f t="shared" si="632"/>
        <v>1.4153006378476567</v>
      </c>
      <c r="CH97" s="91">
        <f t="shared" si="632"/>
        <v>1.4153006378476567</v>
      </c>
      <c r="CI97" s="91">
        <f t="shared" si="632"/>
        <v>1.4153006378476567</v>
      </c>
      <c r="CJ97" s="91">
        <f t="shared" si="632"/>
        <v>1.4153006378476567</v>
      </c>
      <c r="CK97" s="91">
        <f t="shared" si="632"/>
        <v>1.4153006378476567</v>
      </c>
      <c r="CL97" s="91">
        <f t="shared" si="632"/>
        <v>1.4153006378476567</v>
      </c>
      <c r="CM97" s="91">
        <f t="shared" si="632"/>
        <v>1.4153006378476567</v>
      </c>
      <c r="CN97" s="284">
        <f t="shared" si="632"/>
        <v>1.4858064197400396</v>
      </c>
      <c r="CO97" s="91">
        <f t="shared" si="632"/>
        <v>1.4858064197400396</v>
      </c>
      <c r="CP97" s="91">
        <f t="shared" si="632"/>
        <v>1.4858064197400396</v>
      </c>
      <c r="CQ97" s="91">
        <f t="shared" si="632"/>
        <v>1.4858064197400396</v>
      </c>
      <c r="CR97" s="91">
        <f t="shared" si="632"/>
        <v>1.4858064197400396</v>
      </c>
      <c r="CS97" s="91">
        <f t="shared" si="632"/>
        <v>1.4858064197400396</v>
      </c>
      <c r="CT97" s="91">
        <f t="shared" si="632"/>
        <v>1.4858064197400396</v>
      </c>
      <c r="CU97" s="91">
        <f t="shared" si="632"/>
        <v>1.4858064197400396</v>
      </c>
      <c r="CV97" s="91">
        <f t="shared" si="632"/>
        <v>1.4858064197400396</v>
      </c>
      <c r="CW97" s="91">
        <f t="shared" si="632"/>
        <v>1.4858064197400396</v>
      </c>
      <c r="CX97" s="91">
        <f t="shared" si="632"/>
        <v>1.4858064197400396</v>
      </c>
      <c r="CY97" s="91">
        <f t="shared" si="632"/>
        <v>1.4858064197400396</v>
      </c>
      <c r="CZ97" s="284">
        <f t="shared" si="632"/>
        <v>1.5598374907270416</v>
      </c>
      <c r="DA97" s="91">
        <f t="shared" si="632"/>
        <v>1.5598374907270416</v>
      </c>
      <c r="DB97" s="91">
        <f t="shared" si="632"/>
        <v>1.5598374907270416</v>
      </c>
      <c r="DC97" s="91">
        <f t="shared" si="632"/>
        <v>1.5598374907270416</v>
      </c>
      <c r="DD97" s="91">
        <f t="shared" si="632"/>
        <v>1.5598374907270416</v>
      </c>
      <c r="DE97" s="91">
        <f t="shared" si="632"/>
        <v>1.5598374907270416</v>
      </c>
      <c r="DF97" s="91">
        <f t="shared" si="632"/>
        <v>1.5598374907270416</v>
      </c>
      <c r="DG97" s="91">
        <f t="shared" si="632"/>
        <v>1.5598374907270416</v>
      </c>
      <c r="DH97" s="91">
        <f t="shared" si="632"/>
        <v>1.5598374907270416</v>
      </c>
      <c r="DI97" s="91">
        <f t="shared" si="632"/>
        <v>1.5598374907270416</v>
      </c>
      <c r="DJ97" s="91">
        <f t="shared" si="632"/>
        <v>1.5598374907270416</v>
      </c>
      <c r="DK97" s="91">
        <f t="shared" si="632"/>
        <v>1.5598374907270416</v>
      </c>
      <c r="DL97" s="284">
        <f t="shared" si="632"/>
        <v>1.6375701152633937</v>
      </c>
      <c r="DM97" s="91">
        <f t="shared" si="632"/>
        <v>1.6375701152633937</v>
      </c>
      <c r="DN97" s="91">
        <f t="shared" si="632"/>
        <v>1.6375701152633937</v>
      </c>
      <c r="DO97" s="91">
        <f t="shared" si="632"/>
        <v>1.6375701152633937</v>
      </c>
      <c r="DP97" s="91">
        <f t="shared" si="632"/>
        <v>1.6375701152633937</v>
      </c>
      <c r="DQ97" s="91">
        <f t="shared" si="632"/>
        <v>1.6375701152633937</v>
      </c>
      <c r="DR97" s="91">
        <f t="shared" si="632"/>
        <v>1.6375701152633937</v>
      </c>
      <c r="DS97" s="91">
        <f t="shared" si="632"/>
        <v>1.6375701152633937</v>
      </c>
      <c r="DT97" s="91">
        <f t="shared" si="632"/>
        <v>1.6375701152633937</v>
      </c>
      <c r="DU97" s="91">
        <f t="shared" si="632"/>
        <v>1.6375701152633937</v>
      </c>
      <c r="DV97" s="91">
        <f t="shared" si="632"/>
        <v>1.6375701152633937</v>
      </c>
      <c r="DW97" s="527">
        <f t="shared" si="632"/>
        <v>1.6375701152633937</v>
      </c>
    </row>
    <row r="98" spans="2:127" x14ac:dyDescent="0.3">
      <c r="C98" s="87">
        <f t="shared" si="624"/>
        <v>0.06</v>
      </c>
      <c r="D98" s="539" t="str">
        <f t="shared" si="622"/>
        <v>PEx Resource</v>
      </c>
      <c r="E98" s="91"/>
      <c r="F98" s="91"/>
      <c r="G98" s="90">
        <f t="shared" si="619"/>
        <v>27579.624999999993</v>
      </c>
      <c r="H98" s="91">
        <f t="shared" si="630"/>
        <v>27579.624999999993</v>
      </c>
      <c r="I98" s="91">
        <f t="shared" si="630"/>
        <v>27579.625</v>
      </c>
      <c r="J98" s="91">
        <f t="shared" si="630"/>
        <v>27579.625</v>
      </c>
      <c r="K98" s="91">
        <f t="shared" si="630"/>
        <v>27579.625</v>
      </c>
      <c r="L98" s="91">
        <f t="shared" si="630"/>
        <v>27579.625</v>
      </c>
      <c r="M98" s="91">
        <f t="shared" si="630"/>
        <v>27579.625</v>
      </c>
      <c r="N98" s="91">
        <f t="shared" si="630"/>
        <v>27579.625</v>
      </c>
      <c r="O98" s="91">
        <f t="shared" si="630"/>
        <v>27579.625</v>
      </c>
      <c r="P98" s="91">
        <f t="shared" si="630"/>
        <v>27579.625</v>
      </c>
      <c r="Q98" s="91">
        <f t="shared" si="630"/>
        <v>27579.625</v>
      </c>
      <c r="R98" s="91">
        <f t="shared" si="630"/>
        <v>27579.625</v>
      </c>
      <c r="S98" s="91">
        <f t="shared" si="630"/>
        <v>27579.625</v>
      </c>
      <c r="T98" s="284">
        <f t="shared" si="630"/>
        <v>28952.125</v>
      </c>
      <c r="U98" s="91">
        <f t="shared" si="630"/>
        <v>28952.125</v>
      </c>
      <c r="V98" s="91">
        <f t="shared" si="630"/>
        <v>28952.125</v>
      </c>
      <c r="W98" s="91">
        <f t="shared" si="630"/>
        <v>28952.125</v>
      </c>
      <c r="X98" s="91">
        <f t="shared" si="630"/>
        <v>28952.125</v>
      </c>
      <c r="Y98" s="91">
        <f t="shared" si="630"/>
        <v>28952.125</v>
      </c>
      <c r="Z98" s="91">
        <f t="shared" si="630"/>
        <v>28952.125</v>
      </c>
      <c r="AA98" s="91">
        <f t="shared" si="630"/>
        <v>28952.125</v>
      </c>
      <c r="AB98" s="91">
        <f t="shared" si="630"/>
        <v>28952.125</v>
      </c>
      <c r="AC98" s="91">
        <f t="shared" si="630"/>
        <v>28952.125</v>
      </c>
      <c r="AD98" s="91">
        <f t="shared" si="630"/>
        <v>28952.125</v>
      </c>
      <c r="AE98" s="91">
        <f t="shared" si="630"/>
        <v>28952.125</v>
      </c>
      <c r="AF98" s="284">
        <f t="shared" si="630"/>
        <v>30393.25</v>
      </c>
      <c r="AG98" s="91">
        <f t="shared" si="630"/>
        <v>30393.25</v>
      </c>
      <c r="AH98" s="91">
        <f t="shared" si="630"/>
        <v>30393.25</v>
      </c>
      <c r="AI98" s="91">
        <f t="shared" si="630"/>
        <v>30393.25</v>
      </c>
      <c r="AJ98" s="91">
        <f t="shared" si="630"/>
        <v>30393.25</v>
      </c>
      <c r="AK98" s="91">
        <f t="shared" si="630"/>
        <v>30393.25</v>
      </c>
      <c r="AL98" s="91">
        <f t="shared" si="630"/>
        <v>30393.25</v>
      </c>
      <c r="AM98" s="91">
        <f t="shared" si="630"/>
        <v>30393.25</v>
      </c>
      <c r="AN98" s="91">
        <f t="shared" si="630"/>
        <v>30393.25</v>
      </c>
      <c r="AO98" s="91">
        <f t="shared" si="630"/>
        <v>30393.25</v>
      </c>
      <c r="AP98" s="91">
        <f t="shared" si="630"/>
        <v>30393.25</v>
      </c>
      <c r="AQ98" s="91">
        <f t="shared" si="630"/>
        <v>30393.25</v>
      </c>
      <c r="AR98" s="284">
        <f t="shared" si="630"/>
        <v>31906.431249999998</v>
      </c>
      <c r="AS98" s="91">
        <f t="shared" si="630"/>
        <v>31906.431249999998</v>
      </c>
      <c r="AT98" s="91">
        <f t="shared" si="630"/>
        <v>31906.431249999998</v>
      </c>
      <c r="AU98" s="91">
        <f t="shared" si="630"/>
        <v>31906.431249999998</v>
      </c>
      <c r="AV98" s="91">
        <f t="shared" si="630"/>
        <v>31906.431249999998</v>
      </c>
      <c r="AW98" s="91">
        <f t="shared" si="630"/>
        <v>31906.431249999998</v>
      </c>
      <c r="AX98" s="91">
        <f t="shared" si="630"/>
        <v>31906.431249999998</v>
      </c>
      <c r="AY98" s="91">
        <f t="shared" si="630"/>
        <v>31906.431249999998</v>
      </c>
      <c r="AZ98" s="91">
        <f t="shared" si="630"/>
        <v>31906.431249999998</v>
      </c>
      <c r="BA98" s="91">
        <f t="shared" si="630"/>
        <v>31906.431249999998</v>
      </c>
      <c r="BB98" s="91">
        <f t="shared" si="630"/>
        <v>31906.431249999998</v>
      </c>
      <c r="BC98" s="91">
        <f t="shared" si="630"/>
        <v>31906.431249999998</v>
      </c>
      <c r="BD98" s="284">
        <f t="shared" si="630"/>
        <v>33495.271562499998</v>
      </c>
      <c r="BE98" s="91">
        <f t="shared" si="630"/>
        <v>33495.271562499998</v>
      </c>
      <c r="BF98" s="91">
        <f t="shared" si="630"/>
        <v>33495.271562499998</v>
      </c>
      <c r="BG98" s="91">
        <f t="shared" si="630"/>
        <v>33495.271562499998</v>
      </c>
      <c r="BH98" s="91">
        <f t="shared" si="630"/>
        <v>33495.271562499998</v>
      </c>
      <c r="BI98" s="91">
        <f t="shared" si="630"/>
        <v>33495.271562499998</v>
      </c>
      <c r="BJ98" s="91">
        <f t="shared" si="630"/>
        <v>33495.271562499998</v>
      </c>
      <c r="BK98" s="91">
        <f t="shared" si="630"/>
        <v>33495.271562499998</v>
      </c>
      <c r="BL98" s="91">
        <f t="shared" si="630"/>
        <v>33495.271562499998</v>
      </c>
      <c r="BM98" s="91">
        <f t="shared" si="630"/>
        <v>33495.271562499998</v>
      </c>
      <c r="BN98" s="91">
        <f t="shared" si="630"/>
        <v>33495.271562499998</v>
      </c>
      <c r="BO98" s="91">
        <f t="shared" si="630"/>
        <v>33495.271562499998</v>
      </c>
      <c r="BP98" s="284">
        <f t="shared" si="630"/>
        <v>35163.553890625</v>
      </c>
      <c r="BQ98" s="91">
        <f t="shared" si="630"/>
        <v>35163.553890625</v>
      </c>
      <c r="BR98" s="91">
        <f t="shared" si="630"/>
        <v>35163.553890625</v>
      </c>
      <c r="BS98" s="91">
        <f t="shared" ref="BS98" si="633">IF((BS57-BR57)&lt;0,BR98,((BS57*$C$84)+(BS57*BS80*12*$C98)))</f>
        <v>35163.553890625</v>
      </c>
      <c r="BT98" s="91">
        <f t="shared" si="620"/>
        <v>35163.553890625</v>
      </c>
      <c r="BU98" s="91">
        <f t="shared" si="632"/>
        <v>35163.553890625</v>
      </c>
      <c r="BV98" s="91">
        <f t="shared" si="632"/>
        <v>35163.553890625</v>
      </c>
      <c r="BW98" s="91">
        <f t="shared" si="632"/>
        <v>35163.553890625</v>
      </c>
      <c r="BX98" s="91">
        <f t="shared" si="632"/>
        <v>35163.553890625</v>
      </c>
      <c r="BY98" s="91">
        <f t="shared" si="632"/>
        <v>35163.553890625</v>
      </c>
      <c r="BZ98" s="91">
        <f t="shared" si="632"/>
        <v>35163.553890625</v>
      </c>
      <c r="CA98" s="91">
        <f t="shared" si="632"/>
        <v>35163.553890625</v>
      </c>
      <c r="CB98" s="284">
        <f t="shared" si="632"/>
        <v>36915.250335156248</v>
      </c>
      <c r="CC98" s="91">
        <f t="shared" si="632"/>
        <v>36915.250335156248</v>
      </c>
      <c r="CD98" s="91">
        <f t="shared" si="632"/>
        <v>36915.250335156248</v>
      </c>
      <c r="CE98" s="91">
        <f t="shared" si="632"/>
        <v>36915.250335156248</v>
      </c>
      <c r="CF98" s="91">
        <f t="shared" si="632"/>
        <v>36915.250335156248</v>
      </c>
      <c r="CG98" s="91">
        <f t="shared" si="632"/>
        <v>36915.250335156248</v>
      </c>
      <c r="CH98" s="91">
        <f t="shared" si="632"/>
        <v>36915.250335156248</v>
      </c>
      <c r="CI98" s="91">
        <f t="shared" si="632"/>
        <v>36915.250335156248</v>
      </c>
      <c r="CJ98" s="91">
        <f t="shared" si="632"/>
        <v>36915.250335156248</v>
      </c>
      <c r="CK98" s="91">
        <f t="shared" si="632"/>
        <v>36915.250335156248</v>
      </c>
      <c r="CL98" s="91">
        <f t="shared" si="632"/>
        <v>36915.250335156248</v>
      </c>
      <c r="CM98" s="91">
        <f t="shared" si="632"/>
        <v>36915.250335156248</v>
      </c>
      <c r="CN98" s="284">
        <f t="shared" si="632"/>
        <v>38754.531601914059</v>
      </c>
      <c r="CO98" s="91">
        <f t="shared" si="632"/>
        <v>38754.531601914059</v>
      </c>
      <c r="CP98" s="91">
        <f t="shared" si="632"/>
        <v>38754.531601914059</v>
      </c>
      <c r="CQ98" s="91">
        <f t="shared" si="632"/>
        <v>38754.531601914059</v>
      </c>
      <c r="CR98" s="91">
        <f t="shared" si="632"/>
        <v>38754.531601914059</v>
      </c>
      <c r="CS98" s="91">
        <f t="shared" si="632"/>
        <v>38754.531601914059</v>
      </c>
      <c r="CT98" s="91">
        <f t="shared" si="632"/>
        <v>38754.531601914059</v>
      </c>
      <c r="CU98" s="91">
        <f t="shared" si="632"/>
        <v>38754.531601914059</v>
      </c>
      <c r="CV98" s="91">
        <f t="shared" si="632"/>
        <v>38754.531601914059</v>
      </c>
      <c r="CW98" s="91">
        <f t="shared" si="632"/>
        <v>38754.531601914059</v>
      </c>
      <c r="CX98" s="91">
        <f t="shared" si="632"/>
        <v>38754.531601914059</v>
      </c>
      <c r="CY98" s="91">
        <f t="shared" si="632"/>
        <v>38754.531601914059</v>
      </c>
      <c r="CZ98" s="284">
        <f t="shared" si="632"/>
        <v>40685.776932009765</v>
      </c>
      <c r="DA98" s="91">
        <f t="shared" si="632"/>
        <v>40685.776932009765</v>
      </c>
      <c r="DB98" s="91">
        <f t="shared" si="632"/>
        <v>40685.776932009765</v>
      </c>
      <c r="DC98" s="91">
        <f t="shared" si="632"/>
        <v>40685.776932009765</v>
      </c>
      <c r="DD98" s="91">
        <f t="shared" si="632"/>
        <v>40685.776932009765</v>
      </c>
      <c r="DE98" s="91">
        <f t="shared" si="632"/>
        <v>40685.776932009765</v>
      </c>
      <c r="DF98" s="91">
        <f t="shared" si="632"/>
        <v>40685.776932009765</v>
      </c>
      <c r="DG98" s="91">
        <f t="shared" si="632"/>
        <v>40685.776932009765</v>
      </c>
      <c r="DH98" s="91">
        <f t="shared" si="632"/>
        <v>40685.776932009765</v>
      </c>
      <c r="DI98" s="91">
        <f t="shared" si="632"/>
        <v>40685.776932009765</v>
      </c>
      <c r="DJ98" s="91">
        <f t="shared" si="632"/>
        <v>40685.776932009765</v>
      </c>
      <c r="DK98" s="91">
        <f t="shared" si="632"/>
        <v>40685.776932009765</v>
      </c>
      <c r="DL98" s="284">
        <f t="shared" si="632"/>
        <v>42713.584528610256</v>
      </c>
      <c r="DM98" s="91">
        <f t="shared" si="632"/>
        <v>42713.584528610256</v>
      </c>
      <c r="DN98" s="91">
        <f t="shared" si="632"/>
        <v>42713.584528610256</v>
      </c>
      <c r="DO98" s="91">
        <f t="shared" si="632"/>
        <v>42713.584528610256</v>
      </c>
      <c r="DP98" s="91">
        <f t="shared" si="632"/>
        <v>42713.584528610256</v>
      </c>
      <c r="DQ98" s="91">
        <f t="shared" si="632"/>
        <v>42713.584528610256</v>
      </c>
      <c r="DR98" s="91">
        <f t="shared" si="632"/>
        <v>42713.584528610256</v>
      </c>
      <c r="DS98" s="91">
        <f t="shared" si="632"/>
        <v>42713.584528610256</v>
      </c>
      <c r="DT98" s="91">
        <f t="shared" si="632"/>
        <v>42713.584528610256</v>
      </c>
      <c r="DU98" s="91">
        <f t="shared" si="632"/>
        <v>42713.584528610256</v>
      </c>
      <c r="DV98" s="91">
        <f t="shared" si="632"/>
        <v>42713.584528610256</v>
      </c>
      <c r="DW98" s="527">
        <f t="shared" si="632"/>
        <v>42713.584528610256</v>
      </c>
    </row>
    <row r="99" spans="2:127" x14ac:dyDescent="0.3">
      <c r="C99" s="87">
        <f t="shared" si="624"/>
        <v>0.06</v>
      </c>
      <c r="D99" s="539" t="str">
        <f t="shared" si="622"/>
        <v>Resource3</v>
      </c>
      <c r="E99" s="91"/>
      <c r="F99" s="91"/>
      <c r="G99" s="90">
        <f t="shared" si="619"/>
        <v>5.1849999999999995E-3</v>
      </c>
      <c r="H99" s="91">
        <f t="shared" ref="H99:BS100" si="634">IF((H58-G58)&lt;0,G99,((H58*$C$84)+(H58*H81*12*$C99)))</f>
        <v>5.1849999999999995E-3</v>
      </c>
      <c r="I99" s="91">
        <f t="shared" si="634"/>
        <v>5.1850000000000004E-3</v>
      </c>
      <c r="J99" s="91">
        <f t="shared" si="634"/>
        <v>5.1850000000000004E-3</v>
      </c>
      <c r="K99" s="91">
        <f t="shared" si="634"/>
        <v>5.1850000000000004E-3</v>
      </c>
      <c r="L99" s="91">
        <f t="shared" si="634"/>
        <v>5.1850000000000004E-3</v>
      </c>
      <c r="M99" s="91">
        <f t="shared" si="634"/>
        <v>5.1850000000000004E-3</v>
      </c>
      <c r="N99" s="91">
        <f t="shared" si="634"/>
        <v>5.1850000000000004E-3</v>
      </c>
      <c r="O99" s="91">
        <f t="shared" si="634"/>
        <v>5.1850000000000004E-3</v>
      </c>
      <c r="P99" s="91">
        <f t="shared" si="634"/>
        <v>5.1850000000000004E-3</v>
      </c>
      <c r="Q99" s="91">
        <f t="shared" si="634"/>
        <v>5.1850000000000004E-3</v>
      </c>
      <c r="R99" s="91">
        <f t="shared" si="634"/>
        <v>5.1850000000000004E-3</v>
      </c>
      <c r="S99" s="91">
        <f t="shared" si="634"/>
        <v>5.1850000000000004E-3</v>
      </c>
      <c r="T99" s="284">
        <f t="shared" si="634"/>
        <v>5.1850000000000004E-3</v>
      </c>
      <c r="U99" s="91">
        <f t="shared" si="634"/>
        <v>5.1850000000000004E-3</v>
      </c>
      <c r="V99" s="91">
        <f t="shared" si="634"/>
        <v>5.1850000000000004E-3</v>
      </c>
      <c r="W99" s="91">
        <f t="shared" si="634"/>
        <v>5.1850000000000004E-3</v>
      </c>
      <c r="X99" s="91">
        <f t="shared" si="634"/>
        <v>5.1850000000000004E-3</v>
      </c>
      <c r="Y99" s="91">
        <f t="shared" si="634"/>
        <v>5.1850000000000004E-3</v>
      </c>
      <c r="Z99" s="91">
        <f t="shared" si="634"/>
        <v>5.1850000000000004E-3</v>
      </c>
      <c r="AA99" s="91">
        <f t="shared" si="634"/>
        <v>5.1850000000000004E-3</v>
      </c>
      <c r="AB99" s="91">
        <f t="shared" si="634"/>
        <v>5.1850000000000004E-3</v>
      </c>
      <c r="AC99" s="91">
        <f t="shared" si="634"/>
        <v>5.1850000000000004E-3</v>
      </c>
      <c r="AD99" s="91">
        <f t="shared" si="634"/>
        <v>5.1850000000000004E-3</v>
      </c>
      <c r="AE99" s="91">
        <f t="shared" si="634"/>
        <v>5.1850000000000004E-3</v>
      </c>
      <c r="AF99" s="284">
        <f t="shared" si="634"/>
        <v>5.1850000000000004E-3</v>
      </c>
      <c r="AG99" s="91">
        <f t="shared" si="634"/>
        <v>5.1850000000000004E-3</v>
      </c>
      <c r="AH99" s="91">
        <f t="shared" si="634"/>
        <v>5.1850000000000004E-3</v>
      </c>
      <c r="AI99" s="91">
        <f t="shared" si="634"/>
        <v>5.1850000000000004E-3</v>
      </c>
      <c r="AJ99" s="91">
        <f t="shared" si="634"/>
        <v>5.1850000000000004E-3</v>
      </c>
      <c r="AK99" s="91">
        <f t="shared" si="634"/>
        <v>5.1850000000000004E-3</v>
      </c>
      <c r="AL99" s="91">
        <f t="shared" si="634"/>
        <v>5.1850000000000004E-3</v>
      </c>
      <c r="AM99" s="91">
        <f t="shared" si="634"/>
        <v>5.1850000000000004E-3</v>
      </c>
      <c r="AN99" s="91">
        <f t="shared" si="634"/>
        <v>5.1850000000000004E-3</v>
      </c>
      <c r="AO99" s="91">
        <f t="shared" si="634"/>
        <v>5.1850000000000004E-3</v>
      </c>
      <c r="AP99" s="91">
        <f t="shared" si="634"/>
        <v>5.1850000000000004E-3</v>
      </c>
      <c r="AQ99" s="91">
        <f t="shared" si="634"/>
        <v>5.1850000000000004E-3</v>
      </c>
      <c r="AR99" s="284">
        <f t="shared" si="634"/>
        <v>5.1850000000000004E-3</v>
      </c>
      <c r="AS99" s="91">
        <f t="shared" si="634"/>
        <v>5.1850000000000004E-3</v>
      </c>
      <c r="AT99" s="91">
        <f t="shared" si="634"/>
        <v>5.1850000000000004E-3</v>
      </c>
      <c r="AU99" s="91">
        <f t="shared" si="634"/>
        <v>5.1850000000000004E-3</v>
      </c>
      <c r="AV99" s="91">
        <f t="shared" si="634"/>
        <v>5.1850000000000004E-3</v>
      </c>
      <c r="AW99" s="91">
        <f t="shared" si="634"/>
        <v>5.1850000000000004E-3</v>
      </c>
      <c r="AX99" s="91">
        <f t="shared" si="634"/>
        <v>5.1850000000000004E-3</v>
      </c>
      <c r="AY99" s="91">
        <f t="shared" si="634"/>
        <v>5.1850000000000004E-3</v>
      </c>
      <c r="AZ99" s="91">
        <f t="shared" si="634"/>
        <v>5.1850000000000004E-3</v>
      </c>
      <c r="BA99" s="91">
        <f t="shared" si="634"/>
        <v>5.1850000000000004E-3</v>
      </c>
      <c r="BB99" s="91">
        <f t="shared" si="634"/>
        <v>5.1850000000000004E-3</v>
      </c>
      <c r="BC99" s="91">
        <f t="shared" si="634"/>
        <v>5.1850000000000004E-3</v>
      </c>
      <c r="BD99" s="284">
        <f t="shared" si="634"/>
        <v>5.1850000000000004E-3</v>
      </c>
      <c r="BE99" s="91">
        <f t="shared" si="634"/>
        <v>5.1850000000000004E-3</v>
      </c>
      <c r="BF99" s="91">
        <f t="shared" si="634"/>
        <v>5.1850000000000004E-3</v>
      </c>
      <c r="BG99" s="91">
        <f t="shared" si="634"/>
        <v>5.1850000000000004E-3</v>
      </c>
      <c r="BH99" s="91">
        <f t="shared" si="634"/>
        <v>5.1850000000000004E-3</v>
      </c>
      <c r="BI99" s="91">
        <f t="shared" si="634"/>
        <v>5.1850000000000004E-3</v>
      </c>
      <c r="BJ99" s="91">
        <f t="shared" si="634"/>
        <v>5.1850000000000004E-3</v>
      </c>
      <c r="BK99" s="91">
        <f t="shared" si="634"/>
        <v>5.1850000000000004E-3</v>
      </c>
      <c r="BL99" s="91">
        <f t="shared" si="634"/>
        <v>5.1850000000000004E-3</v>
      </c>
      <c r="BM99" s="91">
        <f t="shared" si="634"/>
        <v>5.1850000000000004E-3</v>
      </c>
      <c r="BN99" s="91">
        <f t="shared" si="634"/>
        <v>5.1850000000000004E-3</v>
      </c>
      <c r="BO99" s="91">
        <f t="shared" si="634"/>
        <v>5.1850000000000004E-3</v>
      </c>
      <c r="BP99" s="284">
        <f t="shared" si="634"/>
        <v>5.1850000000000004E-3</v>
      </c>
      <c r="BQ99" s="91">
        <f t="shared" si="634"/>
        <v>5.1850000000000004E-3</v>
      </c>
      <c r="BR99" s="91">
        <f t="shared" si="634"/>
        <v>5.1850000000000004E-3</v>
      </c>
      <c r="BS99" s="91">
        <f t="shared" si="634"/>
        <v>5.1850000000000004E-3</v>
      </c>
      <c r="BT99" s="91">
        <f t="shared" si="620"/>
        <v>5.1850000000000004E-3</v>
      </c>
      <c r="BU99" s="91">
        <f t="shared" si="632"/>
        <v>5.1850000000000004E-3</v>
      </c>
      <c r="BV99" s="91">
        <f t="shared" si="632"/>
        <v>5.1850000000000004E-3</v>
      </c>
      <c r="BW99" s="91">
        <f t="shared" si="632"/>
        <v>5.1850000000000004E-3</v>
      </c>
      <c r="BX99" s="91">
        <f t="shared" si="632"/>
        <v>5.1850000000000004E-3</v>
      </c>
      <c r="BY99" s="91">
        <f t="shared" si="632"/>
        <v>5.1850000000000004E-3</v>
      </c>
      <c r="BZ99" s="91">
        <f t="shared" si="632"/>
        <v>5.1850000000000004E-3</v>
      </c>
      <c r="CA99" s="91">
        <f t="shared" si="632"/>
        <v>5.1850000000000004E-3</v>
      </c>
      <c r="CB99" s="284">
        <f t="shared" si="632"/>
        <v>5.1850000000000004E-3</v>
      </c>
      <c r="CC99" s="91">
        <f t="shared" si="632"/>
        <v>5.1850000000000004E-3</v>
      </c>
      <c r="CD99" s="91">
        <f t="shared" si="632"/>
        <v>5.1850000000000004E-3</v>
      </c>
      <c r="CE99" s="91">
        <f t="shared" si="632"/>
        <v>5.1850000000000004E-3</v>
      </c>
      <c r="CF99" s="91">
        <f t="shared" si="632"/>
        <v>5.1850000000000004E-3</v>
      </c>
      <c r="CG99" s="91">
        <f t="shared" si="632"/>
        <v>5.1850000000000004E-3</v>
      </c>
      <c r="CH99" s="91">
        <f t="shared" si="632"/>
        <v>5.1850000000000004E-3</v>
      </c>
      <c r="CI99" s="91">
        <f t="shared" si="632"/>
        <v>5.1850000000000004E-3</v>
      </c>
      <c r="CJ99" s="91">
        <f t="shared" si="632"/>
        <v>5.1850000000000004E-3</v>
      </c>
      <c r="CK99" s="91">
        <f t="shared" si="632"/>
        <v>5.1850000000000004E-3</v>
      </c>
      <c r="CL99" s="91">
        <f t="shared" si="632"/>
        <v>5.1850000000000004E-3</v>
      </c>
      <c r="CM99" s="91">
        <f t="shared" si="632"/>
        <v>5.1850000000000004E-3</v>
      </c>
      <c r="CN99" s="284">
        <f t="shared" si="632"/>
        <v>5.1850000000000004E-3</v>
      </c>
      <c r="CO99" s="91">
        <f t="shared" si="632"/>
        <v>5.1850000000000004E-3</v>
      </c>
      <c r="CP99" s="91">
        <f t="shared" si="632"/>
        <v>5.1850000000000004E-3</v>
      </c>
      <c r="CQ99" s="91">
        <f t="shared" si="632"/>
        <v>5.1850000000000004E-3</v>
      </c>
      <c r="CR99" s="91">
        <f t="shared" si="632"/>
        <v>5.1850000000000004E-3</v>
      </c>
      <c r="CS99" s="91">
        <f t="shared" si="632"/>
        <v>5.1850000000000004E-3</v>
      </c>
      <c r="CT99" s="91">
        <f t="shared" si="632"/>
        <v>5.1850000000000004E-3</v>
      </c>
      <c r="CU99" s="91">
        <f t="shared" si="632"/>
        <v>5.1850000000000004E-3</v>
      </c>
      <c r="CV99" s="91">
        <f t="shared" si="632"/>
        <v>5.1850000000000004E-3</v>
      </c>
      <c r="CW99" s="91">
        <f t="shared" si="632"/>
        <v>5.1850000000000004E-3</v>
      </c>
      <c r="CX99" s="91">
        <f t="shared" si="632"/>
        <v>5.1850000000000004E-3</v>
      </c>
      <c r="CY99" s="91">
        <f t="shared" si="632"/>
        <v>5.1850000000000004E-3</v>
      </c>
      <c r="CZ99" s="284">
        <f t="shared" si="632"/>
        <v>5.1850000000000004E-3</v>
      </c>
      <c r="DA99" s="91">
        <f t="shared" si="632"/>
        <v>5.1850000000000004E-3</v>
      </c>
      <c r="DB99" s="91">
        <f t="shared" si="632"/>
        <v>5.1850000000000004E-3</v>
      </c>
      <c r="DC99" s="91">
        <f t="shared" si="632"/>
        <v>5.1850000000000004E-3</v>
      </c>
      <c r="DD99" s="91">
        <f t="shared" si="632"/>
        <v>5.1850000000000004E-3</v>
      </c>
      <c r="DE99" s="91">
        <f t="shared" si="632"/>
        <v>5.1850000000000004E-3</v>
      </c>
      <c r="DF99" s="91">
        <f t="shared" si="632"/>
        <v>5.1850000000000004E-3</v>
      </c>
      <c r="DG99" s="91">
        <f t="shared" si="632"/>
        <v>5.1850000000000004E-3</v>
      </c>
      <c r="DH99" s="91">
        <f t="shared" si="632"/>
        <v>5.1850000000000004E-3</v>
      </c>
      <c r="DI99" s="91">
        <f t="shared" si="632"/>
        <v>5.1850000000000004E-3</v>
      </c>
      <c r="DJ99" s="91">
        <f t="shared" si="632"/>
        <v>5.1850000000000004E-3</v>
      </c>
      <c r="DK99" s="91">
        <f t="shared" si="632"/>
        <v>5.1850000000000004E-3</v>
      </c>
      <c r="DL99" s="284">
        <f t="shared" si="632"/>
        <v>5.1850000000000004E-3</v>
      </c>
      <c r="DM99" s="91">
        <f t="shared" si="632"/>
        <v>5.1850000000000004E-3</v>
      </c>
      <c r="DN99" s="91">
        <f t="shared" si="632"/>
        <v>5.1850000000000004E-3</v>
      </c>
      <c r="DO99" s="91">
        <f t="shared" si="632"/>
        <v>5.1850000000000004E-3</v>
      </c>
      <c r="DP99" s="91">
        <f t="shared" si="632"/>
        <v>5.1850000000000004E-3</v>
      </c>
      <c r="DQ99" s="91">
        <f t="shared" si="632"/>
        <v>5.1850000000000004E-3</v>
      </c>
      <c r="DR99" s="91">
        <f t="shared" si="632"/>
        <v>5.1850000000000004E-3</v>
      </c>
      <c r="DS99" s="91">
        <f t="shared" si="632"/>
        <v>5.1850000000000004E-3</v>
      </c>
      <c r="DT99" s="91">
        <f t="shared" si="632"/>
        <v>5.1850000000000004E-3</v>
      </c>
      <c r="DU99" s="91">
        <f t="shared" si="632"/>
        <v>5.1850000000000004E-3</v>
      </c>
      <c r="DV99" s="91">
        <f t="shared" si="632"/>
        <v>5.1850000000000004E-3</v>
      </c>
      <c r="DW99" s="527">
        <f t="shared" si="632"/>
        <v>5.1850000000000004E-3</v>
      </c>
    </row>
    <row r="100" spans="2:127" x14ac:dyDescent="0.3">
      <c r="C100" s="87">
        <f t="shared" si="624"/>
        <v>0.06</v>
      </c>
      <c r="D100" s="539" t="str">
        <f t="shared" si="622"/>
        <v>Resource4</v>
      </c>
      <c r="E100" s="91"/>
      <c r="F100" s="91"/>
      <c r="G100" s="90">
        <f t="shared" si="619"/>
        <v>5.1849999999999995E-3</v>
      </c>
      <c r="H100" s="91">
        <f t="shared" si="634"/>
        <v>5.1849999999999995E-3</v>
      </c>
      <c r="I100" s="91">
        <f t="shared" si="634"/>
        <v>5.1850000000000004E-3</v>
      </c>
      <c r="J100" s="91">
        <f t="shared" si="634"/>
        <v>5.1850000000000004E-3</v>
      </c>
      <c r="K100" s="91">
        <f t="shared" si="634"/>
        <v>5.1850000000000004E-3</v>
      </c>
      <c r="L100" s="91">
        <f t="shared" si="634"/>
        <v>5.1850000000000004E-3</v>
      </c>
      <c r="M100" s="91">
        <f t="shared" si="634"/>
        <v>5.1850000000000004E-3</v>
      </c>
      <c r="N100" s="91">
        <f t="shared" si="634"/>
        <v>5.1850000000000004E-3</v>
      </c>
      <c r="O100" s="91">
        <f t="shared" si="634"/>
        <v>5.1850000000000004E-3</v>
      </c>
      <c r="P100" s="91">
        <f t="shared" si="634"/>
        <v>5.1850000000000004E-3</v>
      </c>
      <c r="Q100" s="91">
        <f t="shared" si="634"/>
        <v>5.1850000000000004E-3</v>
      </c>
      <c r="R100" s="91">
        <f t="shared" si="634"/>
        <v>5.1850000000000004E-3</v>
      </c>
      <c r="S100" s="91">
        <f t="shared" si="634"/>
        <v>5.1850000000000004E-3</v>
      </c>
      <c r="T100" s="284">
        <f t="shared" si="634"/>
        <v>5.1850000000000004E-3</v>
      </c>
      <c r="U100" s="91">
        <f t="shared" si="634"/>
        <v>5.1850000000000004E-3</v>
      </c>
      <c r="V100" s="91">
        <f t="shared" si="634"/>
        <v>5.1850000000000004E-3</v>
      </c>
      <c r="W100" s="91">
        <f t="shared" si="634"/>
        <v>5.1850000000000004E-3</v>
      </c>
      <c r="X100" s="91">
        <f t="shared" si="634"/>
        <v>5.1850000000000004E-3</v>
      </c>
      <c r="Y100" s="91">
        <f t="shared" si="634"/>
        <v>5.1850000000000004E-3</v>
      </c>
      <c r="Z100" s="91">
        <f t="shared" si="634"/>
        <v>5.1850000000000004E-3</v>
      </c>
      <c r="AA100" s="91">
        <f t="shared" si="634"/>
        <v>5.1850000000000004E-3</v>
      </c>
      <c r="AB100" s="91">
        <f t="shared" si="634"/>
        <v>5.1850000000000004E-3</v>
      </c>
      <c r="AC100" s="91">
        <f t="shared" si="634"/>
        <v>5.1850000000000004E-3</v>
      </c>
      <c r="AD100" s="91">
        <f t="shared" si="634"/>
        <v>5.1850000000000004E-3</v>
      </c>
      <c r="AE100" s="91">
        <f t="shared" si="634"/>
        <v>5.1850000000000004E-3</v>
      </c>
      <c r="AF100" s="284">
        <f t="shared" si="634"/>
        <v>5.1850000000000004E-3</v>
      </c>
      <c r="AG100" s="91">
        <f t="shared" si="634"/>
        <v>5.1850000000000004E-3</v>
      </c>
      <c r="AH100" s="91">
        <f t="shared" si="634"/>
        <v>5.1850000000000004E-3</v>
      </c>
      <c r="AI100" s="91">
        <f t="shared" si="634"/>
        <v>5.1850000000000004E-3</v>
      </c>
      <c r="AJ100" s="91">
        <f t="shared" si="634"/>
        <v>5.1850000000000004E-3</v>
      </c>
      <c r="AK100" s="91">
        <f t="shared" si="634"/>
        <v>5.1850000000000004E-3</v>
      </c>
      <c r="AL100" s="91">
        <f t="shared" si="634"/>
        <v>5.1850000000000004E-3</v>
      </c>
      <c r="AM100" s="91">
        <f t="shared" si="634"/>
        <v>5.1850000000000004E-3</v>
      </c>
      <c r="AN100" s="91">
        <f t="shared" si="634"/>
        <v>5.1850000000000004E-3</v>
      </c>
      <c r="AO100" s="91">
        <f t="shared" si="634"/>
        <v>5.1850000000000004E-3</v>
      </c>
      <c r="AP100" s="91">
        <f t="shared" si="634"/>
        <v>5.1850000000000004E-3</v>
      </c>
      <c r="AQ100" s="91">
        <f t="shared" si="634"/>
        <v>5.1850000000000004E-3</v>
      </c>
      <c r="AR100" s="284">
        <f t="shared" si="634"/>
        <v>5.1850000000000004E-3</v>
      </c>
      <c r="AS100" s="91">
        <f t="shared" si="634"/>
        <v>5.1850000000000004E-3</v>
      </c>
      <c r="AT100" s="91">
        <f t="shared" si="634"/>
        <v>5.1850000000000004E-3</v>
      </c>
      <c r="AU100" s="91">
        <f t="shared" si="634"/>
        <v>5.1850000000000004E-3</v>
      </c>
      <c r="AV100" s="91">
        <f t="shared" si="634"/>
        <v>5.1850000000000004E-3</v>
      </c>
      <c r="AW100" s="91">
        <f t="shared" si="634"/>
        <v>5.1850000000000004E-3</v>
      </c>
      <c r="AX100" s="91">
        <f t="shared" si="634"/>
        <v>5.1850000000000004E-3</v>
      </c>
      <c r="AY100" s="91">
        <f t="shared" si="634"/>
        <v>5.1850000000000004E-3</v>
      </c>
      <c r="AZ100" s="91">
        <f t="shared" si="634"/>
        <v>5.1850000000000004E-3</v>
      </c>
      <c r="BA100" s="91">
        <f t="shared" si="634"/>
        <v>5.1850000000000004E-3</v>
      </c>
      <c r="BB100" s="91">
        <f t="shared" si="634"/>
        <v>5.1850000000000004E-3</v>
      </c>
      <c r="BC100" s="91">
        <f t="shared" si="634"/>
        <v>5.1850000000000004E-3</v>
      </c>
      <c r="BD100" s="284">
        <f t="shared" si="634"/>
        <v>5.1850000000000004E-3</v>
      </c>
      <c r="BE100" s="91">
        <f t="shared" si="634"/>
        <v>5.1850000000000004E-3</v>
      </c>
      <c r="BF100" s="91">
        <f t="shared" si="634"/>
        <v>5.1850000000000004E-3</v>
      </c>
      <c r="BG100" s="91">
        <f t="shared" si="634"/>
        <v>5.1850000000000004E-3</v>
      </c>
      <c r="BH100" s="91">
        <f t="shared" si="634"/>
        <v>5.1850000000000004E-3</v>
      </c>
      <c r="BI100" s="91">
        <f t="shared" si="634"/>
        <v>5.1850000000000004E-3</v>
      </c>
      <c r="BJ100" s="91">
        <f t="shared" si="634"/>
        <v>5.1850000000000004E-3</v>
      </c>
      <c r="BK100" s="91">
        <f t="shared" si="634"/>
        <v>5.1850000000000004E-3</v>
      </c>
      <c r="BL100" s="91">
        <f t="shared" si="634"/>
        <v>5.1850000000000004E-3</v>
      </c>
      <c r="BM100" s="91">
        <f t="shared" si="634"/>
        <v>5.1850000000000004E-3</v>
      </c>
      <c r="BN100" s="91">
        <f t="shared" si="634"/>
        <v>5.1850000000000004E-3</v>
      </c>
      <c r="BO100" s="91">
        <f t="shared" si="634"/>
        <v>5.1850000000000004E-3</v>
      </c>
      <c r="BP100" s="284">
        <f t="shared" si="634"/>
        <v>5.1850000000000004E-3</v>
      </c>
      <c r="BQ100" s="91">
        <f t="shared" si="634"/>
        <v>5.1850000000000004E-3</v>
      </c>
      <c r="BR100" s="91">
        <f t="shared" si="634"/>
        <v>5.1850000000000004E-3</v>
      </c>
      <c r="BS100" s="91">
        <f t="shared" si="634"/>
        <v>5.1850000000000004E-3</v>
      </c>
      <c r="BT100" s="91">
        <f t="shared" si="620"/>
        <v>5.1850000000000004E-3</v>
      </c>
      <c r="BU100" s="91">
        <f t="shared" si="632"/>
        <v>5.1850000000000004E-3</v>
      </c>
      <c r="BV100" s="91">
        <f t="shared" si="632"/>
        <v>5.1850000000000004E-3</v>
      </c>
      <c r="BW100" s="91">
        <f t="shared" si="632"/>
        <v>5.1850000000000004E-3</v>
      </c>
      <c r="BX100" s="91">
        <f t="shared" si="632"/>
        <v>5.1850000000000004E-3</v>
      </c>
      <c r="BY100" s="91">
        <f t="shared" si="632"/>
        <v>5.1850000000000004E-3</v>
      </c>
      <c r="BZ100" s="91">
        <f t="shared" si="632"/>
        <v>5.1850000000000004E-3</v>
      </c>
      <c r="CA100" s="91">
        <f t="shared" si="632"/>
        <v>5.1850000000000004E-3</v>
      </c>
      <c r="CB100" s="284">
        <f t="shared" si="632"/>
        <v>5.1850000000000004E-3</v>
      </c>
      <c r="CC100" s="91">
        <f t="shared" si="632"/>
        <v>5.1850000000000004E-3</v>
      </c>
      <c r="CD100" s="91">
        <f t="shared" si="632"/>
        <v>5.1850000000000004E-3</v>
      </c>
      <c r="CE100" s="91">
        <f t="shared" si="632"/>
        <v>5.1850000000000004E-3</v>
      </c>
      <c r="CF100" s="91">
        <f t="shared" si="632"/>
        <v>5.1850000000000004E-3</v>
      </c>
      <c r="CG100" s="91">
        <f t="shared" si="632"/>
        <v>5.1850000000000004E-3</v>
      </c>
      <c r="CH100" s="91">
        <f t="shared" si="632"/>
        <v>5.1850000000000004E-3</v>
      </c>
      <c r="CI100" s="91">
        <f t="shared" si="632"/>
        <v>5.1850000000000004E-3</v>
      </c>
      <c r="CJ100" s="91">
        <f t="shared" si="632"/>
        <v>5.1850000000000004E-3</v>
      </c>
      <c r="CK100" s="91">
        <f t="shared" si="632"/>
        <v>5.1850000000000004E-3</v>
      </c>
      <c r="CL100" s="91">
        <f t="shared" si="632"/>
        <v>5.1850000000000004E-3</v>
      </c>
      <c r="CM100" s="91">
        <f t="shared" si="632"/>
        <v>5.1850000000000004E-3</v>
      </c>
      <c r="CN100" s="284">
        <f t="shared" si="632"/>
        <v>5.1850000000000004E-3</v>
      </c>
      <c r="CO100" s="91">
        <f t="shared" si="632"/>
        <v>5.1850000000000004E-3</v>
      </c>
      <c r="CP100" s="91">
        <f t="shared" si="632"/>
        <v>5.1850000000000004E-3</v>
      </c>
      <c r="CQ100" s="91">
        <f t="shared" si="632"/>
        <v>5.1850000000000004E-3</v>
      </c>
      <c r="CR100" s="91">
        <f t="shared" si="632"/>
        <v>5.1850000000000004E-3</v>
      </c>
      <c r="CS100" s="91">
        <f t="shared" si="632"/>
        <v>5.1850000000000004E-3</v>
      </c>
      <c r="CT100" s="91">
        <f t="shared" si="632"/>
        <v>5.1850000000000004E-3</v>
      </c>
      <c r="CU100" s="91">
        <f t="shared" si="632"/>
        <v>5.1850000000000004E-3</v>
      </c>
      <c r="CV100" s="91">
        <f t="shared" si="632"/>
        <v>5.1850000000000004E-3</v>
      </c>
      <c r="CW100" s="91">
        <f t="shared" si="632"/>
        <v>5.1850000000000004E-3</v>
      </c>
      <c r="CX100" s="91">
        <f t="shared" si="632"/>
        <v>5.1850000000000004E-3</v>
      </c>
      <c r="CY100" s="91">
        <f t="shared" si="632"/>
        <v>5.1850000000000004E-3</v>
      </c>
      <c r="CZ100" s="284">
        <f t="shared" si="632"/>
        <v>5.1850000000000004E-3</v>
      </c>
      <c r="DA100" s="91">
        <f t="shared" si="632"/>
        <v>5.1850000000000004E-3</v>
      </c>
      <c r="DB100" s="91">
        <f t="shared" si="632"/>
        <v>5.1850000000000004E-3</v>
      </c>
      <c r="DC100" s="91">
        <f t="shared" si="632"/>
        <v>5.1850000000000004E-3</v>
      </c>
      <c r="DD100" s="91">
        <f t="shared" ref="DD100:DW100" si="635">IF((DD59-DC59)&lt;0,DC100,((DD59*$C$84)+(DD59*DD82*12*$C100)))</f>
        <v>5.1850000000000004E-3</v>
      </c>
      <c r="DE100" s="91">
        <f t="shared" si="635"/>
        <v>5.1850000000000004E-3</v>
      </c>
      <c r="DF100" s="91">
        <f t="shared" si="635"/>
        <v>5.1850000000000004E-3</v>
      </c>
      <c r="DG100" s="91">
        <f t="shared" si="635"/>
        <v>5.1850000000000004E-3</v>
      </c>
      <c r="DH100" s="91">
        <f t="shared" si="635"/>
        <v>5.1850000000000004E-3</v>
      </c>
      <c r="DI100" s="91">
        <f t="shared" si="635"/>
        <v>5.1850000000000004E-3</v>
      </c>
      <c r="DJ100" s="91">
        <f t="shared" si="635"/>
        <v>5.1850000000000004E-3</v>
      </c>
      <c r="DK100" s="91">
        <f t="shared" si="635"/>
        <v>5.1850000000000004E-3</v>
      </c>
      <c r="DL100" s="284">
        <f t="shared" si="635"/>
        <v>5.1850000000000004E-3</v>
      </c>
      <c r="DM100" s="91">
        <f t="shared" si="635"/>
        <v>5.1850000000000004E-3</v>
      </c>
      <c r="DN100" s="91">
        <f t="shared" si="635"/>
        <v>5.1850000000000004E-3</v>
      </c>
      <c r="DO100" s="91">
        <f t="shared" si="635"/>
        <v>5.1850000000000004E-3</v>
      </c>
      <c r="DP100" s="91">
        <f t="shared" si="635"/>
        <v>5.1850000000000004E-3</v>
      </c>
      <c r="DQ100" s="91">
        <f t="shared" si="635"/>
        <v>5.1850000000000004E-3</v>
      </c>
      <c r="DR100" s="91">
        <f t="shared" si="635"/>
        <v>5.1850000000000004E-3</v>
      </c>
      <c r="DS100" s="91">
        <f t="shared" si="635"/>
        <v>5.1850000000000004E-3</v>
      </c>
      <c r="DT100" s="91">
        <f t="shared" si="635"/>
        <v>5.1850000000000004E-3</v>
      </c>
      <c r="DU100" s="91">
        <f t="shared" si="635"/>
        <v>5.1850000000000004E-3</v>
      </c>
      <c r="DV100" s="91">
        <f t="shared" si="635"/>
        <v>5.1850000000000004E-3</v>
      </c>
      <c r="DW100" s="527">
        <f t="shared" si="635"/>
        <v>5.1850000000000004E-3</v>
      </c>
    </row>
    <row r="101" spans="2:127" x14ac:dyDescent="0.3">
      <c r="D101" s="540" t="s">
        <v>50</v>
      </c>
      <c r="E101" s="532"/>
      <c r="F101" s="532"/>
      <c r="G101" s="533">
        <f t="shared" ref="G101:AL101" si="636">SUM(G86:G100)</f>
        <v>668835.33332128881</v>
      </c>
      <c r="H101" s="532">
        <f t="shared" si="636"/>
        <v>668835.33332128881</v>
      </c>
      <c r="I101" s="532">
        <f t="shared" si="636"/>
        <v>527566.11109906668</v>
      </c>
      <c r="J101" s="532">
        <f t="shared" si="636"/>
        <v>527566.11109906668</v>
      </c>
      <c r="K101" s="532">
        <f t="shared" si="636"/>
        <v>527566.11109906668</v>
      </c>
      <c r="L101" s="532">
        <f t="shared" si="636"/>
        <v>527566.11109906668</v>
      </c>
      <c r="M101" s="532">
        <f t="shared" si="636"/>
        <v>527566.11109906668</v>
      </c>
      <c r="N101" s="532">
        <f t="shared" si="636"/>
        <v>405687.99545714358</v>
      </c>
      <c r="O101" s="532">
        <f t="shared" si="636"/>
        <v>405687.99545714358</v>
      </c>
      <c r="P101" s="532">
        <f t="shared" si="636"/>
        <v>405687.99545714358</v>
      </c>
      <c r="Q101" s="532">
        <f t="shared" si="636"/>
        <v>405687.99545714358</v>
      </c>
      <c r="R101" s="532">
        <f t="shared" si="636"/>
        <v>405687.99545714358</v>
      </c>
      <c r="S101" s="532">
        <f t="shared" si="636"/>
        <v>405687.99545714358</v>
      </c>
      <c r="T101" s="530">
        <f t="shared" si="636"/>
        <v>425681.78400018666</v>
      </c>
      <c r="U101" s="532">
        <f t="shared" si="636"/>
        <v>425681.78400018666</v>
      </c>
      <c r="V101" s="532">
        <f t="shared" si="636"/>
        <v>425681.78400018666</v>
      </c>
      <c r="W101" s="532">
        <f t="shared" si="636"/>
        <v>425681.78400018666</v>
      </c>
      <c r="X101" s="532">
        <f t="shared" si="636"/>
        <v>425681.78400018666</v>
      </c>
      <c r="Y101" s="532">
        <f t="shared" si="636"/>
        <v>425681.78400018666</v>
      </c>
      <c r="Z101" s="532">
        <f t="shared" si="636"/>
        <v>425681.78400018666</v>
      </c>
      <c r="AA101" s="532">
        <f t="shared" si="636"/>
        <v>425681.78400018666</v>
      </c>
      <c r="AB101" s="532">
        <f t="shared" si="636"/>
        <v>425681.78400018666</v>
      </c>
      <c r="AC101" s="532">
        <f t="shared" si="636"/>
        <v>425681.78400018666</v>
      </c>
      <c r="AD101" s="532">
        <f t="shared" si="636"/>
        <v>425681.78400018666</v>
      </c>
      <c r="AE101" s="532">
        <f t="shared" si="636"/>
        <v>425681.78400018666</v>
      </c>
      <c r="AF101" s="530">
        <f t="shared" si="636"/>
        <v>446675.26197038189</v>
      </c>
      <c r="AG101" s="532">
        <f t="shared" si="636"/>
        <v>446675.26197038189</v>
      </c>
      <c r="AH101" s="532">
        <f t="shared" si="636"/>
        <v>446675.26197038189</v>
      </c>
      <c r="AI101" s="532">
        <f t="shared" si="636"/>
        <v>446675.26197038189</v>
      </c>
      <c r="AJ101" s="532">
        <f t="shared" si="636"/>
        <v>446675.26197038189</v>
      </c>
      <c r="AK101" s="532">
        <f t="shared" si="636"/>
        <v>446675.26197038189</v>
      </c>
      <c r="AL101" s="532">
        <f t="shared" si="636"/>
        <v>446675.26197038189</v>
      </c>
      <c r="AM101" s="532">
        <f t="shared" ref="AM101:BN101" si="637">SUM(AM86:AM100)</f>
        <v>446675.26197038189</v>
      </c>
      <c r="AN101" s="532">
        <f t="shared" si="637"/>
        <v>446675.26197038189</v>
      </c>
      <c r="AO101" s="532">
        <f t="shared" si="637"/>
        <v>446675.26197038189</v>
      </c>
      <c r="AP101" s="532">
        <f t="shared" si="637"/>
        <v>446675.26197038189</v>
      </c>
      <c r="AQ101" s="532">
        <f t="shared" si="637"/>
        <v>446675.26197038189</v>
      </c>
      <c r="AR101" s="530">
        <f t="shared" si="637"/>
        <v>468718.41383908695</v>
      </c>
      <c r="AS101" s="532">
        <f t="shared" si="637"/>
        <v>468718.41383908695</v>
      </c>
      <c r="AT101" s="532">
        <f t="shared" si="637"/>
        <v>468718.41383908695</v>
      </c>
      <c r="AU101" s="532">
        <f t="shared" si="637"/>
        <v>468718.41383908695</v>
      </c>
      <c r="AV101" s="532">
        <f t="shared" si="637"/>
        <v>468718.41383908695</v>
      </c>
      <c r="AW101" s="532">
        <f t="shared" si="637"/>
        <v>468718.41383908695</v>
      </c>
      <c r="AX101" s="532">
        <f t="shared" si="637"/>
        <v>468718.41383908695</v>
      </c>
      <c r="AY101" s="532">
        <f t="shared" si="637"/>
        <v>468718.41383908695</v>
      </c>
      <c r="AZ101" s="532">
        <f t="shared" si="637"/>
        <v>468718.41383908695</v>
      </c>
      <c r="BA101" s="532">
        <f t="shared" si="637"/>
        <v>468718.41383908695</v>
      </c>
      <c r="BB101" s="532">
        <f t="shared" si="637"/>
        <v>468718.41383908695</v>
      </c>
      <c r="BC101" s="532">
        <f t="shared" si="637"/>
        <v>468718.41383908695</v>
      </c>
      <c r="BD101" s="530">
        <f t="shared" si="637"/>
        <v>491863.72330122709</v>
      </c>
      <c r="BE101" s="532">
        <f t="shared" si="637"/>
        <v>491863.72330122709</v>
      </c>
      <c r="BF101" s="532">
        <f t="shared" si="637"/>
        <v>491863.72330122709</v>
      </c>
      <c r="BG101" s="532">
        <f t="shared" si="637"/>
        <v>491863.72330122709</v>
      </c>
      <c r="BH101" s="532">
        <f t="shared" si="637"/>
        <v>491863.72330122709</v>
      </c>
      <c r="BI101" s="532">
        <f t="shared" si="637"/>
        <v>491863.72330122709</v>
      </c>
      <c r="BJ101" s="532">
        <f t="shared" si="637"/>
        <v>491863.72330122709</v>
      </c>
      <c r="BK101" s="532">
        <f t="shared" si="637"/>
        <v>491863.72330122709</v>
      </c>
      <c r="BL101" s="532">
        <f t="shared" si="637"/>
        <v>491863.72330122709</v>
      </c>
      <c r="BM101" s="532">
        <f t="shared" si="637"/>
        <v>491863.72330122709</v>
      </c>
      <c r="BN101" s="532">
        <f t="shared" si="637"/>
        <v>491863.72330122709</v>
      </c>
      <c r="BO101" s="532">
        <f t="shared" ref="BO101:DW101" si="638">SUM(BO86:BO100)</f>
        <v>491863.72330122709</v>
      </c>
      <c r="BP101" s="530">
        <f t="shared" si="638"/>
        <v>516166.29823647439</v>
      </c>
      <c r="BQ101" s="532">
        <f t="shared" si="638"/>
        <v>516166.29823647439</v>
      </c>
      <c r="BR101" s="532">
        <f t="shared" si="638"/>
        <v>516166.29823647439</v>
      </c>
      <c r="BS101" s="532">
        <f t="shared" si="638"/>
        <v>516166.29823647439</v>
      </c>
      <c r="BT101" s="532">
        <f t="shared" si="638"/>
        <v>516166.29823647439</v>
      </c>
      <c r="BU101" s="532">
        <f t="shared" si="638"/>
        <v>516166.29823647439</v>
      </c>
      <c r="BV101" s="532">
        <f t="shared" si="638"/>
        <v>516166.29823647439</v>
      </c>
      <c r="BW101" s="532">
        <f t="shared" si="638"/>
        <v>516166.29823647439</v>
      </c>
      <c r="BX101" s="532">
        <f t="shared" si="638"/>
        <v>516166.29823647439</v>
      </c>
      <c r="BY101" s="532">
        <f t="shared" si="638"/>
        <v>516166.29823647439</v>
      </c>
      <c r="BZ101" s="532">
        <f t="shared" si="638"/>
        <v>516166.29823647439</v>
      </c>
      <c r="CA101" s="532">
        <f t="shared" si="638"/>
        <v>516166.29823647439</v>
      </c>
      <c r="CB101" s="530">
        <f t="shared" si="638"/>
        <v>541684.00191848399</v>
      </c>
      <c r="CC101" s="532">
        <f t="shared" si="638"/>
        <v>541684.00191848399</v>
      </c>
      <c r="CD101" s="532">
        <f t="shared" si="638"/>
        <v>541684.00191848399</v>
      </c>
      <c r="CE101" s="532">
        <f t="shared" si="638"/>
        <v>541684.00191848399</v>
      </c>
      <c r="CF101" s="532">
        <f t="shared" si="638"/>
        <v>541684.00191848399</v>
      </c>
      <c r="CG101" s="532">
        <f t="shared" si="638"/>
        <v>541684.00191848399</v>
      </c>
      <c r="CH101" s="532">
        <f t="shared" si="638"/>
        <v>541684.00191848399</v>
      </c>
      <c r="CI101" s="532">
        <f t="shared" si="638"/>
        <v>541684.00191848399</v>
      </c>
      <c r="CJ101" s="532">
        <f t="shared" si="638"/>
        <v>541684.00191848399</v>
      </c>
      <c r="CK101" s="532">
        <f t="shared" si="638"/>
        <v>541684.00191848399</v>
      </c>
      <c r="CL101" s="532">
        <f t="shared" si="638"/>
        <v>541684.00191848399</v>
      </c>
      <c r="CM101" s="532">
        <f t="shared" si="638"/>
        <v>541684.00191848399</v>
      </c>
      <c r="CN101" s="530">
        <f t="shared" si="638"/>
        <v>568477.59078459418</v>
      </c>
      <c r="CO101" s="532">
        <f t="shared" si="638"/>
        <v>568477.59078459418</v>
      </c>
      <c r="CP101" s="532">
        <f t="shared" si="638"/>
        <v>568477.59078459418</v>
      </c>
      <c r="CQ101" s="532">
        <f t="shared" si="638"/>
        <v>568477.59078459418</v>
      </c>
      <c r="CR101" s="532">
        <f t="shared" si="638"/>
        <v>568477.59078459418</v>
      </c>
      <c r="CS101" s="532">
        <f t="shared" si="638"/>
        <v>568477.59078459418</v>
      </c>
      <c r="CT101" s="532">
        <f t="shared" si="638"/>
        <v>568477.59078459418</v>
      </c>
      <c r="CU101" s="532">
        <f t="shared" si="638"/>
        <v>568477.59078459418</v>
      </c>
      <c r="CV101" s="532">
        <f t="shared" si="638"/>
        <v>568477.59078459418</v>
      </c>
      <c r="CW101" s="532">
        <f t="shared" si="638"/>
        <v>568477.59078459418</v>
      </c>
      <c r="CX101" s="532">
        <f t="shared" si="638"/>
        <v>568477.59078459418</v>
      </c>
      <c r="CY101" s="532">
        <f t="shared" si="638"/>
        <v>568477.59078459418</v>
      </c>
      <c r="CZ101" s="530">
        <f t="shared" si="638"/>
        <v>596610.85909400962</v>
      </c>
      <c r="DA101" s="532">
        <f t="shared" si="638"/>
        <v>596610.85909400962</v>
      </c>
      <c r="DB101" s="532">
        <f t="shared" si="638"/>
        <v>596610.85909400962</v>
      </c>
      <c r="DC101" s="532">
        <f t="shared" si="638"/>
        <v>596610.85909400962</v>
      </c>
      <c r="DD101" s="532">
        <f t="shared" si="638"/>
        <v>596610.85909400962</v>
      </c>
      <c r="DE101" s="532">
        <f t="shared" si="638"/>
        <v>596610.85909400962</v>
      </c>
      <c r="DF101" s="532">
        <f t="shared" si="638"/>
        <v>596610.85909400962</v>
      </c>
      <c r="DG101" s="532">
        <f t="shared" si="638"/>
        <v>596610.85909400962</v>
      </c>
      <c r="DH101" s="532">
        <f t="shared" si="638"/>
        <v>596610.85909400962</v>
      </c>
      <c r="DI101" s="532">
        <f t="shared" si="638"/>
        <v>596610.85909400962</v>
      </c>
      <c r="DJ101" s="532">
        <f t="shared" si="638"/>
        <v>596610.85909400962</v>
      </c>
      <c r="DK101" s="532">
        <f t="shared" si="638"/>
        <v>596610.85909400962</v>
      </c>
      <c r="DL101" s="530">
        <f t="shared" si="638"/>
        <v>626150.79081889614</v>
      </c>
      <c r="DM101" s="532">
        <f t="shared" si="638"/>
        <v>626150.79081889614</v>
      </c>
      <c r="DN101" s="532">
        <f t="shared" si="638"/>
        <v>626150.79081889614</v>
      </c>
      <c r="DO101" s="532">
        <f t="shared" si="638"/>
        <v>626150.79081889614</v>
      </c>
      <c r="DP101" s="532">
        <f t="shared" si="638"/>
        <v>626150.79081889614</v>
      </c>
      <c r="DQ101" s="532">
        <f t="shared" si="638"/>
        <v>626150.79081889614</v>
      </c>
      <c r="DR101" s="532">
        <f t="shared" si="638"/>
        <v>626150.79081889614</v>
      </c>
      <c r="DS101" s="532">
        <f t="shared" si="638"/>
        <v>626150.79081889614</v>
      </c>
      <c r="DT101" s="532">
        <f t="shared" si="638"/>
        <v>626150.79081889614</v>
      </c>
      <c r="DU101" s="532">
        <f t="shared" si="638"/>
        <v>626150.79081889614</v>
      </c>
      <c r="DV101" s="532">
        <f t="shared" si="638"/>
        <v>626150.79081889614</v>
      </c>
      <c r="DW101" s="534">
        <f t="shared" si="638"/>
        <v>626150.79081889614</v>
      </c>
    </row>
    <row r="102" spans="2:127" s="93" customFormat="1" x14ac:dyDescent="0.3"/>
    <row r="103" spans="2:127" x14ac:dyDescent="0.3">
      <c r="B103" s="1071" t="s">
        <v>586</v>
      </c>
      <c r="C103" s="1072">
        <f>HLOOKUP($D$4,'Data Master'!$C$130:$L$134,4,0)+IF(Summary!$AQ$10="Excluded",0,IF($E$4="Voice",HLOOKUP($D$4,'Data Master'!$C$130:$L$134,5,0),0))</f>
        <v>1083.48</v>
      </c>
      <c r="D103" s="96" t="s">
        <v>235</v>
      </c>
      <c r="E103" s="191"/>
      <c r="F103" s="405"/>
      <c r="G103" s="1209">
        <f>VLOOKUP($B$4,'Data Master'!$B$80:$T$88,7,0)+C103</f>
        <v>2363.48</v>
      </c>
      <c r="H103" s="194">
        <f t="shared" ref="H103:AM103" si="639">G103*(1+H$129)</f>
        <v>2363.48</v>
      </c>
      <c r="I103" s="194">
        <f t="shared" si="639"/>
        <v>2363.48</v>
      </c>
      <c r="J103" s="194">
        <f t="shared" si="639"/>
        <v>2363.48</v>
      </c>
      <c r="K103" s="194">
        <f t="shared" si="639"/>
        <v>2363.48</v>
      </c>
      <c r="L103" s="194">
        <f t="shared" si="639"/>
        <v>2363.48</v>
      </c>
      <c r="M103" s="194">
        <f t="shared" si="639"/>
        <v>2363.48</v>
      </c>
      <c r="N103" s="194">
        <f t="shared" si="639"/>
        <v>2363.48</v>
      </c>
      <c r="O103" s="194">
        <f t="shared" si="639"/>
        <v>2363.48</v>
      </c>
      <c r="P103" s="194">
        <f t="shared" si="639"/>
        <v>2363.48</v>
      </c>
      <c r="Q103" s="194">
        <f t="shared" si="639"/>
        <v>2363.48</v>
      </c>
      <c r="R103" s="194">
        <f t="shared" si="639"/>
        <v>2363.48</v>
      </c>
      <c r="S103" s="194">
        <f t="shared" si="639"/>
        <v>2363.48</v>
      </c>
      <c r="T103" s="1066">
        <f t="shared" si="639"/>
        <v>2481.654</v>
      </c>
      <c r="U103" s="194">
        <f t="shared" si="639"/>
        <v>2481.654</v>
      </c>
      <c r="V103" s="194">
        <f t="shared" si="639"/>
        <v>2481.654</v>
      </c>
      <c r="W103" s="194">
        <f t="shared" si="639"/>
        <v>2481.654</v>
      </c>
      <c r="X103" s="194">
        <f t="shared" si="639"/>
        <v>2481.654</v>
      </c>
      <c r="Y103" s="194">
        <f t="shared" si="639"/>
        <v>2481.654</v>
      </c>
      <c r="Z103" s="194">
        <f t="shared" si="639"/>
        <v>2481.654</v>
      </c>
      <c r="AA103" s="194">
        <f t="shared" si="639"/>
        <v>2481.654</v>
      </c>
      <c r="AB103" s="194">
        <f t="shared" si="639"/>
        <v>2481.654</v>
      </c>
      <c r="AC103" s="194">
        <f t="shared" si="639"/>
        <v>2481.654</v>
      </c>
      <c r="AD103" s="194">
        <f t="shared" si="639"/>
        <v>2481.654</v>
      </c>
      <c r="AE103" s="194">
        <f t="shared" si="639"/>
        <v>2481.654</v>
      </c>
      <c r="AF103" s="1066">
        <f t="shared" si="639"/>
        <v>2605.7366999999999</v>
      </c>
      <c r="AG103" s="194">
        <f t="shared" si="639"/>
        <v>2605.7366999999999</v>
      </c>
      <c r="AH103" s="194">
        <f t="shared" si="639"/>
        <v>2605.7366999999999</v>
      </c>
      <c r="AI103" s="194">
        <f t="shared" si="639"/>
        <v>2605.7366999999999</v>
      </c>
      <c r="AJ103" s="194">
        <f t="shared" si="639"/>
        <v>2605.7366999999999</v>
      </c>
      <c r="AK103" s="194">
        <f t="shared" si="639"/>
        <v>2605.7366999999999</v>
      </c>
      <c r="AL103" s="194">
        <f t="shared" si="639"/>
        <v>2605.7366999999999</v>
      </c>
      <c r="AM103" s="194">
        <f t="shared" si="639"/>
        <v>2605.7366999999999</v>
      </c>
      <c r="AN103" s="194">
        <f t="shared" ref="AN103:BO103" si="640">AM103*(1+AN$129)</f>
        <v>2605.7366999999999</v>
      </c>
      <c r="AO103" s="194">
        <f t="shared" si="640"/>
        <v>2605.7366999999999</v>
      </c>
      <c r="AP103" s="194">
        <f t="shared" si="640"/>
        <v>2605.7366999999999</v>
      </c>
      <c r="AQ103" s="194">
        <f t="shared" si="640"/>
        <v>2605.7366999999999</v>
      </c>
      <c r="AR103" s="1066">
        <f t="shared" si="640"/>
        <v>2736.0235350000003</v>
      </c>
      <c r="AS103" s="194">
        <f t="shared" si="640"/>
        <v>2736.0235350000003</v>
      </c>
      <c r="AT103" s="194">
        <f t="shared" si="640"/>
        <v>2736.0235350000003</v>
      </c>
      <c r="AU103" s="194">
        <f t="shared" si="640"/>
        <v>2736.0235350000003</v>
      </c>
      <c r="AV103" s="194">
        <f t="shared" si="640"/>
        <v>2736.0235350000003</v>
      </c>
      <c r="AW103" s="194">
        <f t="shared" si="640"/>
        <v>2736.0235350000003</v>
      </c>
      <c r="AX103" s="194">
        <f t="shared" si="640"/>
        <v>2736.0235350000003</v>
      </c>
      <c r="AY103" s="194">
        <f t="shared" si="640"/>
        <v>2736.0235350000003</v>
      </c>
      <c r="AZ103" s="194">
        <f t="shared" si="640"/>
        <v>2736.0235350000003</v>
      </c>
      <c r="BA103" s="194">
        <f t="shared" si="640"/>
        <v>2736.0235350000003</v>
      </c>
      <c r="BB103" s="194">
        <f t="shared" si="640"/>
        <v>2736.0235350000003</v>
      </c>
      <c r="BC103" s="194">
        <f t="shared" si="640"/>
        <v>2736.0235350000003</v>
      </c>
      <c r="BD103" s="1066">
        <f t="shared" si="640"/>
        <v>2872.8247117500005</v>
      </c>
      <c r="BE103" s="194">
        <f t="shared" si="640"/>
        <v>2872.8247117500005</v>
      </c>
      <c r="BF103" s="194">
        <f t="shared" si="640"/>
        <v>2872.8247117500005</v>
      </c>
      <c r="BG103" s="194">
        <f t="shared" si="640"/>
        <v>2872.8247117500005</v>
      </c>
      <c r="BH103" s="194">
        <f t="shared" si="640"/>
        <v>2872.8247117500005</v>
      </c>
      <c r="BI103" s="194">
        <f t="shared" si="640"/>
        <v>2872.8247117500005</v>
      </c>
      <c r="BJ103" s="194">
        <f t="shared" si="640"/>
        <v>2872.8247117500005</v>
      </c>
      <c r="BK103" s="194">
        <f t="shared" si="640"/>
        <v>2872.8247117500005</v>
      </c>
      <c r="BL103" s="194">
        <f t="shared" si="640"/>
        <v>2872.8247117500005</v>
      </c>
      <c r="BM103" s="194">
        <f t="shared" si="640"/>
        <v>2872.8247117500005</v>
      </c>
      <c r="BN103" s="194">
        <f t="shared" si="640"/>
        <v>2872.8247117500005</v>
      </c>
      <c r="BO103" s="194">
        <f t="shared" si="640"/>
        <v>2872.8247117500005</v>
      </c>
      <c r="BP103" s="1066">
        <f t="shared" ref="BP103:BP109" si="641">BO103*(1+BP$129)</f>
        <v>3016.4659473375004</v>
      </c>
      <c r="BQ103" s="194">
        <f t="shared" ref="BQ103:BQ109" si="642">BP103*(1+BQ$129)</f>
        <v>3016.4659473375004</v>
      </c>
      <c r="BR103" s="194">
        <f t="shared" ref="BR103:BR109" si="643">BQ103*(1+BR$129)</f>
        <v>3016.4659473375004</v>
      </c>
      <c r="BS103" s="194">
        <f t="shared" ref="BS103:BS109" si="644">BR103*(1+BS$129)</f>
        <v>3016.4659473375004</v>
      </c>
      <c r="BT103" s="194">
        <f t="shared" ref="BT103:BT109" si="645">BS103*(1+BT$129)</f>
        <v>3016.4659473375004</v>
      </c>
      <c r="BU103" s="194">
        <f t="shared" ref="BU103:BU109" si="646">BT103*(1+BU$129)</f>
        <v>3016.4659473375004</v>
      </c>
      <c r="BV103" s="194">
        <f t="shared" ref="BV103:BV109" si="647">BU103*(1+BV$129)</f>
        <v>3016.4659473375004</v>
      </c>
      <c r="BW103" s="194">
        <f t="shared" ref="BW103:BW109" si="648">BV103*(1+BW$129)</f>
        <v>3016.4659473375004</v>
      </c>
      <c r="BX103" s="194">
        <f t="shared" ref="BX103:BX109" si="649">BW103*(1+BX$129)</f>
        <v>3016.4659473375004</v>
      </c>
      <c r="BY103" s="194">
        <f t="shared" ref="BY103:BY109" si="650">BX103*(1+BY$129)</f>
        <v>3016.4659473375004</v>
      </c>
      <c r="BZ103" s="194">
        <f t="shared" ref="BZ103:BZ109" si="651">BY103*(1+BZ$129)</f>
        <v>3016.4659473375004</v>
      </c>
      <c r="CA103" s="194">
        <f t="shared" ref="CA103:CA109" si="652">BZ103*(1+CA$129)</f>
        <v>3016.4659473375004</v>
      </c>
      <c r="CB103" s="1066">
        <f t="shared" ref="CB103:CB109" si="653">CA103*(1+CB$129)</f>
        <v>3167.2892447043755</v>
      </c>
      <c r="CC103" s="194">
        <f t="shared" ref="CC103:CC109" si="654">CB103*(1+CC$129)</f>
        <v>3167.2892447043755</v>
      </c>
      <c r="CD103" s="194">
        <f t="shared" ref="CD103:CD109" si="655">CC103*(1+CD$129)</f>
        <v>3167.2892447043755</v>
      </c>
      <c r="CE103" s="194">
        <f t="shared" ref="CE103:CE109" si="656">CD103*(1+CE$129)</f>
        <v>3167.2892447043755</v>
      </c>
      <c r="CF103" s="194">
        <f t="shared" ref="CF103:CF109" si="657">CE103*(1+CF$129)</f>
        <v>3167.2892447043755</v>
      </c>
      <c r="CG103" s="194">
        <f t="shared" ref="CG103:CG109" si="658">CF103*(1+CG$129)</f>
        <v>3167.2892447043755</v>
      </c>
      <c r="CH103" s="194">
        <f t="shared" ref="CH103:CH109" si="659">CG103*(1+CH$129)</f>
        <v>3167.2892447043755</v>
      </c>
      <c r="CI103" s="194">
        <f t="shared" ref="CI103:CI109" si="660">CH103*(1+CI$129)</f>
        <v>3167.2892447043755</v>
      </c>
      <c r="CJ103" s="194">
        <f t="shared" ref="CJ103:CJ109" si="661">CI103*(1+CJ$129)</f>
        <v>3167.2892447043755</v>
      </c>
      <c r="CK103" s="194">
        <f t="shared" ref="CK103:CK109" si="662">CJ103*(1+CK$129)</f>
        <v>3167.2892447043755</v>
      </c>
      <c r="CL103" s="194">
        <f t="shared" ref="CL103:CL109" si="663">CK103*(1+CL$129)</f>
        <v>3167.2892447043755</v>
      </c>
      <c r="CM103" s="194">
        <f t="shared" ref="CM103:CM109" si="664">CL103*(1+CM$129)</f>
        <v>3167.2892447043755</v>
      </c>
      <c r="CN103" s="1066">
        <f t="shared" ref="CN103:CN109" si="665">CM103*(1+CN$129)</f>
        <v>3325.6537069395945</v>
      </c>
      <c r="CO103" s="194">
        <f t="shared" ref="CO103:CO109" si="666">CN103*(1+CO$129)</f>
        <v>3325.6537069395945</v>
      </c>
      <c r="CP103" s="194">
        <f t="shared" ref="CP103:CP109" si="667">CO103*(1+CP$129)</f>
        <v>3325.6537069395945</v>
      </c>
      <c r="CQ103" s="194">
        <f t="shared" ref="CQ103:CQ109" si="668">CP103*(1+CQ$129)</f>
        <v>3325.6537069395945</v>
      </c>
      <c r="CR103" s="194">
        <f t="shared" ref="CR103:CR109" si="669">CQ103*(1+CR$129)</f>
        <v>3325.6537069395945</v>
      </c>
      <c r="CS103" s="194">
        <f t="shared" ref="CS103:CS109" si="670">CR103*(1+CS$129)</f>
        <v>3325.6537069395945</v>
      </c>
      <c r="CT103" s="194">
        <f t="shared" ref="CT103:CT109" si="671">CS103*(1+CT$129)</f>
        <v>3325.6537069395945</v>
      </c>
      <c r="CU103" s="194">
        <f t="shared" ref="CU103:CU109" si="672">CT103*(1+CU$129)</f>
        <v>3325.6537069395945</v>
      </c>
      <c r="CV103" s="194">
        <f t="shared" ref="CV103:CV109" si="673">CU103*(1+CV$129)</f>
        <v>3325.6537069395945</v>
      </c>
      <c r="CW103" s="194">
        <f t="shared" ref="CW103:CW109" si="674">CV103*(1+CW$129)</f>
        <v>3325.6537069395945</v>
      </c>
      <c r="CX103" s="194">
        <f t="shared" ref="CX103:CX109" si="675">CW103*(1+CX$129)</f>
        <v>3325.6537069395945</v>
      </c>
      <c r="CY103" s="194">
        <f t="shared" ref="CY103:CY109" si="676">CX103*(1+CY$129)</f>
        <v>3325.6537069395945</v>
      </c>
      <c r="CZ103" s="1066">
        <f t="shared" ref="CZ103:CZ109" si="677">CY103*(1+CZ$129)</f>
        <v>3491.9363922865746</v>
      </c>
      <c r="DA103" s="194">
        <f t="shared" ref="DA103:DA109" si="678">CZ103*(1+DA$129)</f>
        <v>3491.9363922865746</v>
      </c>
      <c r="DB103" s="194">
        <f t="shared" ref="DB103:DB109" si="679">DA103*(1+DB$129)</f>
        <v>3491.9363922865746</v>
      </c>
      <c r="DC103" s="194">
        <f t="shared" ref="DC103:DC109" si="680">DB103*(1+DC$129)</f>
        <v>3491.9363922865746</v>
      </c>
      <c r="DD103" s="194">
        <f t="shared" ref="DD103:DD109" si="681">DC103*(1+DD$129)</f>
        <v>3491.9363922865746</v>
      </c>
      <c r="DE103" s="194">
        <f t="shared" ref="DE103:DE109" si="682">DD103*(1+DE$129)</f>
        <v>3491.9363922865746</v>
      </c>
      <c r="DF103" s="194">
        <f t="shared" ref="DF103:DF109" si="683">DE103*(1+DF$129)</f>
        <v>3491.9363922865746</v>
      </c>
      <c r="DG103" s="194">
        <f t="shared" ref="DG103:DG109" si="684">DF103*(1+DG$129)</f>
        <v>3491.9363922865746</v>
      </c>
      <c r="DH103" s="194">
        <f t="shared" ref="DH103:DH109" si="685">DG103*(1+DH$129)</f>
        <v>3491.9363922865746</v>
      </c>
      <c r="DI103" s="194">
        <f t="shared" ref="DI103:DI109" si="686">DH103*(1+DI$129)</f>
        <v>3491.9363922865746</v>
      </c>
      <c r="DJ103" s="194">
        <f t="shared" ref="DJ103:DJ109" si="687">DI103*(1+DJ$129)</f>
        <v>3491.9363922865746</v>
      </c>
      <c r="DK103" s="194">
        <f t="shared" ref="DK103:DK109" si="688">DJ103*(1+DK$129)</f>
        <v>3491.9363922865746</v>
      </c>
      <c r="DL103" s="1066">
        <f t="shared" ref="DL103:DL109" si="689">DK103*(1+DL$129)</f>
        <v>3666.5332119009036</v>
      </c>
      <c r="DM103" s="194">
        <f t="shared" ref="DM103:DM109" si="690">DL103*(1+DM$129)</f>
        <v>3666.5332119009036</v>
      </c>
      <c r="DN103" s="194">
        <f t="shared" ref="DN103:DN109" si="691">DM103*(1+DN$129)</f>
        <v>3666.5332119009036</v>
      </c>
      <c r="DO103" s="194">
        <f t="shared" ref="DO103:DO109" si="692">DN103*(1+DO$129)</f>
        <v>3666.5332119009036</v>
      </c>
      <c r="DP103" s="194">
        <f t="shared" ref="DP103:DP109" si="693">DO103*(1+DP$129)</f>
        <v>3666.5332119009036</v>
      </c>
      <c r="DQ103" s="194">
        <f t="shared" ref="DQ103:DQ109" si="694">DP103*(1+DQ$129)</f>
        <v>3666.5332119009036</v>
      </c>
      <c r="DR103" s="194">
        <f t="shared" ref="DR103:DR109" si="695">DQ103*(1+DR$129)</f>
        <v>3666.5332119009036</v>
      </c>
      <c r="DS103" s="194">
        <f t="shared" ref="DS103:DS109" si="696">DR103*(1+DS$129)</f>
        <v>3666.5332119009036</v>
      </c>
      <c r="DT103" s="194">
        <f t="shared" ref="DT103:DT109" si="697">DS103*(1+DT$129)</f>
        <v>3666.5332119009036</v>
      </c>
      <c r="DU103" s="194">
        <f t="shared" ref="DU103:DU109" si="698">DT103*(1+DU$129)</f>
        <v>3666.5332119009036</v>
      </c>
      <c r="DV103" s="194">
        <f t="shared" ref="DV103:DV109" si="699">DU103*(1+DV$129)</f>
        <v>3666.5332119009036</v>
      </c>
      <c r="DW103" s="194">
        <f t="shared" ref="DW103:DW109" si="700">DV103*(1+DW$129)</f>
        <v>3666.5332119009036</v>
      </c>
    </row>
    <row r="104" spans="2:127" x14ac:dyDescent="0.3">
      <c r="B104" s="1071" t="s">
        <v>315</v>
      </c>
      <c r="C104" s="1073">
        <f>IF(Summary!$AQ$8="Excluded",0,HLOOKUP($D$4,'Data Master'!$C$130:$L$134,3,0))</f>
        <v>1083.48</v>
      </c>
      <c r="D104" s="96" t="s">
        <v>236</v>
      </c>
      <c r="E104" s="191"/>
      <c r="F104" s="405"/>
      <c r="G104" s="1209">
        <f>VLOOKUP($B$4,'Data Master'!$B$80:$T$88,3,0)+VLOOKUP($B$4,'Data Master'!$B$80:$T$88,4,0)+C104+A119</f>
        <v>7933.48</v>
      </c>
      <c r="H104" s="194">
        <f t="shared" ref="H104:AM104" si="701">G104*(1+H$129)</f>
        <v>7933.48</v>
      </c>
      <c r="I104" s="194">
        <f t="shared" si="701"/>
        <v>7933.48</v>
      </c>
      <c r="J104" s="194">
        <f t="shared" si="701"/>
        <v>7933.48</v>
      </c>
      <c r="K104" s="1209">
        <f>VLOOKUP($B$4,'Data Master'!$B$80:$X$88,22,0)+VLOOKUP($B$4,'Data Master'!$B$80:$T$88,4,0)+C104+C105</f>
        <v>7933.48</v>
      </c>
      <c r="L104" s="194">
        <f t="shared" si="701"/>
        <v>7933.48</v>
      </c>
      <c r="M104" s="194">
        <f t="shared" si="701"/>
        <v>7933.48</v>
      </c>
      <c r="N104" s="1483">
        <f>VLOOKUP($B$4,'Data Master'!$B$80:$X$88,22,0)+VLOOKUP($B$4,'Data Master'!$B$80:$T$88,4,0)+C104+B119</f>
        <v>7933.48</v>
      </c>
      <c r="O104" s="194">
        <f t="shared" si="701"/>
        <v>7933.48</v>
      </c>
      <c r="P104" s="194">
        <f t="shared" si="701"/>
        <v>7933.48</v>
      </c>
      <c r="Q104" s="194">
        <f t="shared" si="701"/>
        <v>7933.48</v>
      </c>
      <c r="R104" s="194">
        <f t="shared" si="701"/>
        <v>7933.48</v>
      </c>
      <c r="S104" s="194">
        <f t="shared" si="701"/>
        <v>7933.48</v>
      </c>
      <c r="T104" s="1209">
        <f>(VLOOKUP($B$4,'Data Master'!$B$80:$X$88,23,0)+VLOOKUP($B$4,'Data Master'!$B$80:$T$88,4,0)+C104+C119)*(1+T$129)</f>
        <v>8330.1540000000005</v>
      </c>
      <c r="U104" s="194">
        <f t="shared" si="701"/>
        <v>8330.1540000000005</v>
      </c>
      <c r="V104" s="194">
        <f t="shared" si="701"/>
        <v>8330.1540000000005</v>
      </c>
      <c r="W104" s="194">
        <f t="shared" si="701"/>
        <v>8330.1540000000005</v>
      </c>
      <c r="X104" s="194">
        <f t="shared" si="701"/>
        <v>8330.1540000000005</v>
      </c>
      <c r="Y104" s="194">
        <f t="shared" si="701"/>
        <v>8330.1540000000005</v>
      </c>
      <c r="Z104" s="194">
        <f t="shared" si="701"/>
        <v>8330.1540000000005</v>
      </c>
      <c r="AA104" s="194">
        <f t="shared" si="701"/>
        <v>8330.1540000000005</v>
      </c>
      <c r="AB104" s="194">
        <f t="shared" si="701"/>
        <v>8330.1540000000005</v>
      </c>
      <c r="AC104" s="194">
        <f t="shared" si="701"/>
        <v>8330.1540000000005</v>
      </c>
      <c r="AD104" s="194">
        <f t="shared" si="701"/>
        <v>8330.1540000000005</v>
      </c>
      <c r="AE104" s="194">
        <f t="shared" si="701"/>
        <v>8330.1540000000005</v>
      </c>
      <c r="AF104" s="1066">
        <f t="shared" si="701"/>
        <v>8746.6617000000006</v>
      </c>
      <c r="AG104" s="194">
        <f t="shared" si="701"/>
        <v>8746.6617000000006</v>
      </c>
      <c r="AH104" s="194">
        <f t="shared" si="701"/>
        <v>8746.6617000000006</v>
      </c>
      <c r="AI104" s="194">
        <f t="shared" si="701"/>
        <v>8746.6617000000006</v>
      </c>
      <c r="AJ104" s="194">
        <f t="shared" si="701"/>
        <v>8746.6617000000006</v>
      </c>
      <c r="AK104" s="194">
        <f t="shared" si="701"/>
        <v>8746.6617000000006</v>
      </c>
      <c r="AL104" s="194">
        <f t="shared" si="701"/>
        <v>8746.6617000000006</v>
      </c>
      <c r="AM104" s="194">
        <f t="shared" si="701"/>
        <v>8746.6617000000006</v>
      </c>
      <c r="AN104" s="194">
        <f t="shared" ref="AN104:BO104" si="702">AM104*(1+AN$129)</f>
        <v>8746.6617000000006</v>
      </c>
      <c r="AO104" s="194">
        <f t="shared" si="702"/>
        <v>8746.6617000000006</v>
      </c>
      <c r="AP104" s="194">
        <f t="shared" si="702"/>
        <v>8746.6617000000006</v>
      </c>
      <c r="AQ104" s="194">
        <f t="shared" si="702"/>
        <v>8746.6617000000006</v>
      </c>
      <c r="AR104" s="1066">
        <f t="shared" si="702"/>
        <v>9183.9947850000008</v>
      </c>
      <c r="AS104" s="194">
        <f t="shared" si="702"/>
        <v>9183.9947850000008</v>
      </c>
      <c r="AT104" s="194">
        <f t="shared" si="702"/>
        <v>9183.9947850000008</v>
      </c>
      <c r="AU104" s="194">
        <f t="shared" si="702"/>
        <v>9183.9947850000008</v>
      </c>
      <c r="AV104" s="194">
        <f t="shared" si="702"/>
        <v>9183.9947850000008</v>
      </c>
      <c r="AW104" s="194">
        <f t="shared" si="702"/>
        <v>9183.9947850000008</v>
      </c>
      <c r="AX104" s="194">
        <f t="shared" si="702"/>
        <v>9183.9947850000008</v>
      </c>
      <c r="AY104" s="194">
        <f t="shared" si="702"/>
        <v>9183.9947850000008</v>
      </c>
      <c r="AZ104" s="194">
        <f t="shared" si="702"/>
        <v>9183.9947850000008</v>
      </c>
      <c r="BA104" s="194">
        <f t="shared" si="702"/>
        <v>9183.9947850000008</v>
      </c>
      <c r="BB104" s="194">
        <f t="shared" si="702"/>
        <v>9183.9947850000008</v>
      </c>
      <c r="BC104" s="194">
        <f t="shared" si="702"/>
        <v>9183.9947850000008</v>
      </c>
      <c r="BD104" s="1066">
        <f t="shared" si="702"/>
        <v>9643.1945242500005</v>
      </c>
      <c r="BE104" s="194">
        <f t="shared" si="702"/>
        <v>9643.1945242500005</v>
      </c>
      <c r="BF104" s="194">
        <f t="shared" si="702"/>
        <v>9643.1945242500005</v>
      </c>
      <c r="BG104" s="194">
        <f t="shared" si="702"/>
        <v>9643.1945242500005</v>
      </c>
      <c r="BH104" s="194">
        <f t="shared" si="702"/>
        <v>9643.1945242500005</v>
      </c>
      <c r="BI104" s="194">
        <f t="shared" si="702"/>
        <v>9643.1945242500005</v>
      </c>
      <c r="BJ104" s="194">
        <f t="shared" si="702"/>
        <v>9643.1945242500005</v>
      </c>
      <c r="BK104" s="194">
        <f t="shared" si="702"/>
        <v>9643.1945242500005</v>
      </c>
      <c r="BL104" s="194">
        <f t="shared" si="702"/>
        <v>9643.1945242500005</v>
      </c>
      <c r="BM104" s="194">
        <f t="shared" si="702"/>
        <v>9643.1945242500005</v>
      </c>
      <c r="BN104" s="194">
        <f t="shared" si="702"/>
        <v>9643.1945242500005</v>
      </c>
      <c r="BO104" s="194">
        <f t="shared" si="702"/>
        <v>9643.1945242500005</v>
      </c>
      <c r="BP104" s="1066">
        <f t="shared" si="641"/>
        <v>10125.3542504625</v>
      </c>
      <c r="BQ104" s="194">
        <f t="shared" si="642"/>
        <v>10125.3542504625</v>
      </c>
      <c r="BR104" s="194">
        <f t="shared" si="643"/>
        <v>10125.3542504625</v>
      </c>
      <c r="BS104" s="194">
        <f t="shared" si="644"/>
        <v>10125.3542504625</v>
      </c>
      <c r="BT104" s="194">
        <f t="shared" si="645"/>
        <v>10125.3542504625</v>
      </c>
      <c r="BU104" s="194">
        <f t="shared" si="646"/>
        <v>10125.3542504625</v>
      </c>
      <c r="BV104" s="194">
        <f t="shared" si="647"/>
        <v>10125.3542504625</v>
      </c>
      <c r="BW104" s="194">
        <f t="shared" si="648"/>
        <v>10125.3542504625</v>
      </c>
      <c r="BX104" s="194">
        <f t="shared" si="649"/>
        <v>10125.3542504625</v>
      </c>
      <c r="BY104" s="194">
        <f t="shared" si="650"/>
        <v>10125.3542504625</v>
      </c>
      <c r="BZ104" s="194">
        <f t="shared" si="651"/>
        <v>10125.3542504625</v>
      </c>
      <c r="CA104" s="194">
        <f t="shared" si="652"/>
        <v>10125.3542504625</v>
      </c>
      <c r="CB104" s="1066">
        <f t="shared" si="653"/>
        <v>10631.621962985626</v>
      </c>
      <c r="CC104" s="194">
        <f t="shared" si="654"/>
        <v>10631.621962985626</v>
      </c>
      <c r="CD104" s="194">
        <f t="shared" si="655"/>
        <v>10631.621962985626</v>
      </c>
      <c r="CE104" s="194">
        <f t="shared" si="656"/>
        <v>10631.621962985626</v>
      </c>
      <c r="CF104" s="194">
        <f t="shared" si="657"/>
        <v>10631.621962985626</v>
      </c>
      <c r="CG104" s="194">
        <f t="shared" si="658"/>
        <v>10631.621962985626</v>
      </c>
      <c r="CH104" s="194">
        <f t="shared" si="659"/>
        <v>10631.621962985626</v>
      </c>
      <c r="CI104" s="194">
        <f t="shared" si="660"/>
        <v>10631.621962985626</v>
      </c>
      <c r="CJ104" s="194">
        <f t="shared" si="661"/>
        <v>10631.621962985626</v>
      </c>
      <c r="CK104" s="194">
        <f t="shared" si="662"/>
        <v>10631.621962985626</v>
      </c>
      <c r="CL104" s="194">
        <f t="shared" si="663"/>
        <v>10631.621962985626</v>
      </c>
      <c r="CM104" s="194">
        <f t="shared" si="664"/>
        <v>10631.621962985626</v>
      </c>
      <c r="CN104" s="1066">
        <f t="shared" si="665"/>
        <v>11163.203061134907</v>
      </c>
      <c r="CO104" s="194">
        <f t="shared" si="666"/>
        <v>11163.203061134907</v>
      </c>
      <c r="CP104" s="194">
        <f t="shared" si="667"/>
        <v>11163.203061134907</v>
      </c>
      <c r="CQ104" s="194">
        <f t="shared" si="668"/>
        <v>11163.203061134907</v>
      </c>
      <c r="CR104" s="194">
        <f t="shared" si="669"/>
        <v>11163.203061134907</v>
      </c>
      <c r="CS104" s="194">
        <f t="shared" si="670"/>
        <v>11163.203061134907</v>
      </c>
      <c r="CT104" s="194">
        <f t="shared" si="671"/>
        <v>11163.203061134907</v>
      </c>
      <c r="CU104" s="194">
        <f t="shared" si="672"/>
        <v>11163.203061134907</v>
      </c>
      <c r="CV104" s="194">
        <f t="shared" si="673"/>
        <v>11163.203061134907</v>
      </c>
      <c r="CW104" s="194">
        <f t="shared" si="674"/>
        <v>11163.203061134907</v>
      </c>
      <c r="CX104" s="194">
        <f t="shared" si="675"/>
        <v>11163.203061134907</v>
      </c>
      <c r="CY104" s="194">
        <f t="shared" si="676"/>
        <v>11163.203061134907</v>
      </c>
      <c r="CZ104" s="1066">
        <f t="shared" si="677"/>
        <v>11721.363214191653</v>
      </c>
      <c r="DA104" s="194">
        <f t="shared" si="678"/>
        <v>11721.363214191653</v>
      </c>
      <c r="DB104" s="194">
        <f t="shared" si="679"/>
        <v>11721.363214191653</v>
      </c>
      <c r="DC104" s="194">
        <f t="shared" si="680"/>
        <v>11721.363214191653</v>
      </c>
      <c r="DD104" s="194">
        <f t="shared" si="681"/>
        <v>11721.363214191653</v>
      </c>
      <c r="DE104" s="194">
        <f t="shared" si="682"/>
        <v>11721.363214191653</v>
      </c>
      <c r="DF104" s="194">
        <f t="shared" si="683"/>
        <v>11721.363214191653</v>
      </c>
      <c r="DG104" s="194">
        <f t="shared" si="684"/>
        <v>11721.363214191653</v>
      </c>
      <c r="DH104" s="194">
        <f t="shared" si="685"/>
        <v>11721.363214191653</v>
      </c>
      <c r="DI104" s="194">
        <f t="shared" si="686"/>
        <v>11721.363214191653</v>
      </c>
      <c r="DJ104" s="194">
        <f t="shared" si="687"/>
        <v>11721.363214191653</v>
      </c>
      <c r="DK104" s="194">
        <f t="shared" si="688"/>
        <v>11721.363214191653</v>
      </c>
      <c r="DL104" s="1066">
        <f t="shared" si="689"/>
        <v>12307.431374901236</v>
      </c>
      <c r="DM104" s="194">
        <f t="shared" si="690"/>
        <v>12307.431374901236</v>
      </c>
      <c r="DN104" s="194">
        <f t="shared" si="691"/>
        <v>12307.431374901236</v>
      </c>
      <c r="DO104" s="194">
        <f t="shared" si="692"/>
        <v>12307.431374901236</v>
      </c>
      <c r="DP104" s="194">
        <f t="shared" si="693"/>
        <v>12307.431374901236</v>
      </c>
      <c r="DQ104" s="194">
        <f t="shared" si="694"/>
        <v>12307.431374901236</v>
      </c>
      <c r="DR104" s="194">
        <f t="shared" si="695"/>
        <v>12307.431374901236</v>
      </c>
      <c r="DS104" s="194">
        <f t="shared" si="696"/>
        <v>12307.431374901236</v>
      </c>
      <c r="DT104" s="194">
        <f t="shared" si="697"/>
        <v>12307.431374901236</v>
      </c>
      <c r="DU104" s="194">
        <f t="shared" si="698"/>
        <v>12307.431374901236</v>
      </c>
      <c r="DV104" s="194">
        <f t="shared" si="699"/>
        <v>12307.431374901236</v>
      </c>
      <c r="DW104" s="194">
        <f t="shared" si="700"/>
        <v>12307.431374901236</v>
      </c>
    </row>
    <row r="105" spans="2:127" x14ac:dyDescent="0.3">
      <c r="B105" s="1071" t="s">
        <v>117</v>
      </c>
      <c r="C105" s="1073">
        <f>IF(Summary!$AQ$5="Included",$C$119,0)</f>
        <v>0</v>
      </c>
      <c r="D105" s="96" t="s">
        <v>237</v>
      </c>
      <c r="E105" s="191"/>
      <c r="F105" s="405"/>
      <c r="G105" s="1209">
        <f>VLOOKUP($B$4,'Data Master'!$B$80:$T$88,8,0)</f>
        <v>300</v>
      </c>
      <c r="H105" s="191">
        <f t="shared" ref="H105:AM105" si="703">G105*(1+H$129)</f>
        <v>300</v>
      </c>
      <c r="I105" s="191">
        <f t="shared" si="703"/>
        <v>300</v>
      </c>
      <c r="J105" s="191">
        <f t="shared" si="703"/>
        <v>300</v>
      </c>
      <c r="K105" s="191">
        <f t="shared" si="703"/>
        <v>300</v>
      </c>
      <c r="L105" s="191">
        <f t="shared" si="703"/>
        <v>300</v>
      </c>
      <c r="M105" s="191">
        <f t="shared" si="703"/>
        <v>300</v>
      </c>
      <c r="N105" s="191">
        <f t="shared" si="703"/>
        <v>300</v>
      </c>
      <c r="O105" s="191">
        <f t="shared" si="703"/>
        <v>300</v>
      </c>
      <c r="P105" s="191">
        <f t="shared" si="703"/>
        <v>300</v>
      </c>
      <c r="Q105" s="191">
        <f t="shared" si="703"/>
        <v>300</v>
      </c>
      <c r="R105" s="191">
        <f t="shared" si="703"/>
        <v>300</v>
      </c>
      <c r="S105" s="191">
        <f t="shared" si="703"/>
        <v>300</v>
      </c>
      <c r="T105" s="286">
        <f t="shared" si="703"/>
        <v>315</v>
      </c>
      <c r="U105" s="191">
        <f t="shared" si="703"/>
        <v>315</v>
      </c>
      <c r="V105" s="191">
        <f t="shared" si="703"/>
        <v>315</v>
      </c>
      <c r="W105" s="191">
        <f t="shared" si="703"/>
        <v>315</v>
      </c>
      <c r="X105" s="191">
        <f t="shared" si="703"/>
        <v>315</v>
      </c>
      <c r="Y105" s="191">
        <f t="shared" si="703"/>
        <v>315</v>
      </c>
      <c r="Z105" s="191">
        <f t="shared" si="703"/>
        <v>315</v>
      </c>
      <c r="AA105" s="191">
        <f t="shared" si="703"/>
        <v>315</v>
      </c>
      <c r="AB105" s="191">
        <f t="shared" si="703"/>
        <v>315</v>
      </c>
      <c r="AC105" s="191">
        <f t="shared" si="703"/>
        <v>315</v>
      </c>
      <c r="AD105" s="191">
        <f t="shared" si="703"/>
        <v>315</v>
      </c>
      <c r="AE105" s="191">
        <f t="shared" si="703"/>
        <v>315</v>
      </c>
      <c r="AF105" s="286">
        <f t="shared" si="703"/>
        <v>330.75</v>
      </c>
      <c r="AG105" s="191">
        <f t="shared" si="703"/>
        <v>330.75</v>
      </c>
      <c r="AH105" s="191">
        <f t="shared" si="703"/>
        <v>330.75</v>
      </c>
      <c r="AI105" s="191">
        <f t="shared" si="703"/>
        <v>330.75</v>
      </c>
      <c r="AJ105" s="191">
        <f t="shared" si="703"/>
        <v>330.75</v>
      </c>
      <c r="AK105" s="191">
        <f t="shared" si="703"/>
        <v>330.75</v>
      </c>
      <c r="AL105" s="191">
        <f t="shared" si="703"/>
        <v>330.75</v>
      </c>
      <c r="AM105" s="191">
        <f t="shared" si="703"/>
        <v>330.75</v>
      </c>
      <c r="AN105" s="191">
        <f t="shared" ref="AN105:BO105" si="704">AM105*(1+AN$129)</f>
        <v>330.75</v>
      </c>
      <c r="AO105" s="191">
        <f t="shared" si="704"/>
        <v>330.75</v>
      </c>
      <c r="AP105" s="191">
        <f t="shared" si="704"/>
        <v>330.75</v>
      </c>
      <c r="AQ105" s="191">
        <f t="shared" si="704"/>
        <v>330.75</v>
      </c>
      <c r="AR105" s="286">
        <f t="shared" si="704"/>
        <v>347.28750000000002</v>
      </c>
      <c r="AS105" s="191">
        <f t="shared" si="704"/>
        <v>347.28750000000002</v>
      </c>
      <c r="AT105" s="191">
        <f t="shared" si="704"/>
        <v>347.28750000000002</v>
      </c>
      <c r="AU105" s="191">
        <f t="shared" si="704"/>
        <v>347.28750000000002</v>
      </c>
      <c r="AV105" s="191">
        <f t="shared" si="704"/>
        <v>347.28750000000002</v>
      </c>
      <c r="AW105" s="191">
        <f t="shared" si="704"/>
        <v>347.28750000000002</v>
      </c>
      <c r="AX105" s="191">
        <f t="shared" si="704"/>
        <v>347.28750000000002</v>
      </c>
      <c r="AY105" s="191">
        <f t="shared" si="704"/>
        <v>347.28750000000002</v>
      </c>
      <c r="AZ105" s="191">
        <f t="shared" si="704"/>
        <v>347.28750000000002</v>
      </c>
      <c r="BA105" s="191">
        <f t="shared" si="704"/>
        <v>347.28750000000002</v>
      </c>
      <c r="BB105" s="191">
        <f t="shared" si="704"/>
        <v>347.28750000000002</v>
      </c>
      <c r="BC105" s="191">
        <f t="shared" si="704"/>
        <v>347.28750000000002</v>
      </c>
      <c r="BD105" s="286">
        <f t="shared" si="704"/>
        <v>364.65187500000002</v>
      </c>
      <c r="BE105" s="191">
        <f t="shared" si="704"/>
        <v>364.65187500000002</v>
      </c>
      <c r="BF105" s="191">
        <f t="shared" si="704"/>
        <v>364.65187500000002</v>
      </c>
      <c r="BG105" s="191">
        <f t="shared" si="704"/>
        <v>364.65187500000002</v>
      </c>
      <c r="BH105" s="191">
        <f t="shared" si="704"/>
        <v>364.65187500000002</v>
      </c>
      <c r="BI105" s="191">
        <f t="shared" si="704"/>
        <v>364.65187500000002</v>
      </c>
      <c r="BJ105" s="191">
        <f t="shared" si="704"/>
        <v>364.65187500000002</v>
      </c>
      <c r="BK105" s="191">
        <f t="shared" si="704"/>
        <v>364.65187500000002</v>
      </c>
      <c r="BL105" s="191">
        <f t="shared" si="704"/>
        <v>364.65187500000002</v>
      </c>
      <c r="BM105" s="191">
        <f t="shared" si="704"/>
        <v>364.65187500000002</v>
      </c>
      <c r="BN105" s="191">
        <f t="shared" si="704"/>
        <v>364.65187500000002</v>
      </c>
      <c r="BO105" s="191">
        <f t="shared" si="704"/>
        <v>364.65187500000002</v>
      </c>
      <c r="BP105" s="286">
        <f t="shared" si="641"/>
        <v>382.88446875000005</v>
      </c>
      <c r="BQ105" s="191">
        <f t="shared" si="642"/>
        <v>382.88446875000005</v>
      </c>
      <c r="BR105" s="191">
        <f t="shared" si="643"/>
        <v>382.88446875000005</v>
      </c>
      <c r="BS105" s="191">
        <f t="shared" si="644"/>
        <v>382.88446875000005</v>
      </c>
      <c r="BT105" s="191">
        <f t="shared" si="645"/>
        <v>382.88446875000005</v>
      </c>
      <c r="BU105" s="191">
        <f t="shared" si="646"/>
        <v>382.88446875000005</v>
      </c>
      <c r="BV105" s="191">
        <f t="shared" si="647"/>
        <v>382.88446875000005</v>
      </c>
      <c r="BW105" s="191">
        <f t="shared" si="648"/>
        <v>382.88446875000005</v>
      </c>
      <c r="BX105" s="191">
        <f t="shared" si="649"/>
        <v>382.88446875000005</v>
      </c>
      <c r="BY105" s="191">
        <f t="shared" si="650"/>
        <v>382.88446875000005</v>
      </c>
      <c r="BZ105" s="191">
        <f t="shared" si="651"/>
        <v>382.88446875000005</v>
      </c>
      <c r="CA105" s="191">
        <f t="shared" si="652"/>
        <v>382.88446875000005</v>
      </c>
      <c r="CB105" s="286">
        <f t="shared" si="653"/>
        <v>402.0286921875001</v>
      </c>
      <c r="CC105" s="191">
        <f t="shared" si="654"/>
        <v>402.0286921875001</v>
      </c>
      <c r="CD105" s="191">
        <f t="shared" si="655"/>
        <v>402.0286921875001</v>
      </c>
      <c r="CE105" s="191">
        <f t="shared" si="656"/>
        <v>402.0286921875001</v>
      </c>
      <c r="CF105" s="191">
        <f t="shared" si="657"/>
        <v>402.0286921875001</v>
      </c>
      <c r="CG105" s="191">
        <f t="shared" si="658"/>
        <v>402.0286921875001</v>
      </c>
      <c r="CH105" s="191">
        <f t="shared" si="659"/>
        <v>402.0286921875001</v>
      </c>
      <c r="CI105" s="191">
        <f t="shared" si="660"/>
        <v>402.0286921875001</v>
      </c>
      <c r="CJ105" s="191">
        <f t="shared" si="661"/>
        <v>402.0286921875001</v>
      </c>
      <c r="CK105" s="191">
        <f t="shared" si="662"/>
        <v>402.0286921875001</v>
      </c>
      <c r="CL105" s="191">
        <f t="shared" si="663"/>
        <v>402.0286921875001</v>
      </c>
      <c r="CM105" s="191">
        <f t="shared" si="664"/>
        <v>402.0286921875001</v>
      </c>
      <c r="CN105" s="286">
        <f t="shared" si="665"/>
        <v>422.13012679687512</v>
      </c>
      <c r="CO105" s="191">
        <f t="shared" si="666"/>
        <v>422.13012679687512</v>
      </c>
      <c r="CP105" s="191">
        <f t="shared" si="667"/>
        <v>422.13012679687512</v>
      </c>
      <c r="CQ105" s="191">
        <f t="shared" si="668"/>
        <v>422.13012679687512</v>
      </c>
      <c r="CR105" s="191">
        <f t="shared" si="669"/>
        <v>422.13012679687512</v>
      </c>
      <c r="CS105" s="191">
        <f t="shared" si="670"/>
        <v>422.13012679687512</v>
      </c>
      <c r="CT105" s="191">
        <f t="shared" si="671"/>
        <v>422.13012679687512</v>
      </c>
      <c r="CU105" s="191">
        <f t="shared" si="672"/>
        <v>422.13012679687512</v>
      </c>
      <c r="CV105" s="191">
        <f t="shared" si="673"/>
        <v>422.13012679687512</v>
      </c>
      <c r="CW105" s="191">
        <f t="shared" si="674"/>
        <v>422.13012679687512</v>
      </c>
      <c r="CX105" s="191">
        <f t="shared" si="675"/>
        <v>422.13012679687512</v>
      </c>
      <c r="CY105" s="191">
        <f t="shared" si="676"/>
        <v>422.13012679687512</v>
      </c>
      <c r="CZ105" s="286">
        <f t="shared" si="677"/>
        <v>443.23663313671886</v>
      </c>
      <c r="DA105" s="191">
        <f t="shared" si="678"/>
        <v>443.23663313671886</v>
      </c>
      <c r="DB105" s="191">
        <f t="shared" si="679"/>
        <v>443.23663313671886</v>
      </c>
      <c r="DC105" s="191">
        <f t="shared" si="680"/>
        <v>443.23663313671886</v>
      </c>
      <c r="DD105" s="191">
        <f t="shared" si="681"/>
        <v>443.23663313671886</v>
      </c>
      <c r="DE105" s="191">
        <f t="shared" si="682"/>
        <v>443.23663313671886</v>
      </c>
      <c r="DF105" s="191">
        <f t="shared" si="683"/>
        <v>443.23663313671886</v>
      </c>
      <c r="DG105" s="191">
        <f t="shared" si="684"/>
        <v>443.23663313671886</v>
      </c>
      <c r="DH105" s="191">
        <f t="shared" si="685"/>
        <v>443.23663313671886</v>
      </c>
      <c r="DI105" s="191">
        <f t="shared" si="686"/>
        <v>443.23663313671886</v>
      </c>
      <c r="DJ105" s="191">
        <f t="shared" si="687"/>
        <v>443.23663313671886</v>
      </c>
      <c r="DK105" s="191">
        <f t="shared" si="688"/>
        <v>443.23663313671886</v>
      </c>
      <c r="DL105" s="286">
        <f t="shared" si="689"/>
        <v>465.39846479355481</v>
      </c>
      <c r="DM105" s="191">
        <f t="shared" si="690"/>
        <v>465.39846479355481</v>
      </c>
      <c r="DN105" s="191">
        <f t="shared" si="691"/>
        <v>465.39846479355481</v>
      </c>
      <c r="DO105" s="191">
        <f t="shared" si="692"/>
        <v>465.39846479355481</v>
      </c>
      <c r="DP105" s="191">
        <f t="shared" si="693"/>
        <v>465.39846479355481</v>
      </c>
      <c r="DQ105" s="191">
        <f t="shared" si="694"/>
        <v>465.39846479355481</v>
      </c>
      <c r="DR105" s="191">
        <f t="shared" si="695"/>
        <v>465.39846479355481</v>
      </c>
      <c r="DS105" s="191">
        <f t="shared" si="696"/>
        <v>465.39846479355481</v>
      </c>
      <c r="DT105" s="191">
        <f t="shared" si="697"/>
        <v>465.39846479355481</v>
      </c>
      <c r="DU105" s="191">
        <f t="shared" si="698"/>
        <v>465.39846479355481</v>
      </c>
      <c r="DV105" s="191">
        <f t="shared" si="699"/>
        <v>465.39846479355481</v>
      </c>
      <c r="DW105" s="191">
        <f t="shared" si="700"/>
        <v>465.39846479355481</v>
      </c>
    </row>
    <row r="106" spans="2:127" x14ac:dyDescent="0.3">
      <c r="B106" s="1071" t="s">
        <v>517</v>
      </c>
      <c r="C106" s="1378">
        <f>VLOOKUP($B$4,'Data Master'!$B$80:$K$88,10,0)</f>
        <v>0.5</v>
      </c>
      <c r="D106" s="96" t="s">
        <v>238</v>
      </c>
      <c r="E106" s="191"/>
      <c r="F106" s="405"/>
      <c r="G106" s="1484">
        <f>VLOOKUP($C$1,'Data Master'!$C$243:$G$258,5,0)*$C$106*Summary!$C$14</f>
        <v>3331.25</v>
      </c>
      <c r="H106" s="194">
        <f t="shared" ref="H106:AM107" si="705">G106*(1+H$129)</f>
        <v>3331.25</v>
      </c>
      <c r="I106" s="194">
        <f t="shared" si="705"/>
        <v>3331.25</v>
      </c>
      <c r="J106" s="194">
        <f t="shared" si="705"/>
        <v>3331.25</v>
      </c>
      <c r="K106" s="194">
        <f t="shared" si="705"/>
        <v>3331.25</v>
      </c>
      <c r="L106" s="194">
        <f t="shared" si="705"/>
        <v>3331.25</v>
      </c>
      <c r="M106" s="194">
        <f t="shared" si="705"/>
        <v>3331.25</v>
      </c>
      <c r="N106" s="1484">
        <f>VLOOKUP($C$1,'Data Master'!$C$243:$G$258,5,0)*$C$106*Summary!$D$14</f>
        <v>3331.25</v>
      </c>
      <c r="O106" s="194">
        <f t="shared" si="705"/>
        <v>3331.25</v>
      </c>
      <c r="P106" s="194">
        <f t="shared" si="705"/>
        <v>3331.25</v>
      </c>
      <c r="Q106" s="194">
        <f t="shared" si="705"/>
        <v>3331.25</v>
      </c>
      <c r="R106" s="194">
        <f t="shared" si="705"/>
        <v>3331.25</v>
      </c>
      <c r="S106" s="194">
        <f t="shared" si="705"/>
        <v>3331.25</v>
      </c>
      <c r="T106" s="1066">
        <f>(VLOOKUP($C$1,'Data Master'!$C$243:$G$258,5,0)*$C$106*Summary!$E$14)*(1+T$129)</f>
        <v>3497.8125</v>
      </c>
      <c r="U106" s="194">
        <f t="shared" si="705"/>
        <v>3497.8125</v>
      </c>
      <c r="V106" s="194">
        <f t="shared" si="705"/>
        <v>3497.8125</v>
      </c>
      <c r="W106" s="194">
        <f t="shared" si="705"/>
        <v>3497.8125</v>
      </c>
      <c r="X106" s="194">
        <f t="shared" si="705"/>
        <v>3497.8125</v>
      </c>
      <c r="Y106" s="194">
        <f t="shared" si="705"/>
        <v>3497.8125</v>
      </c>
      <c r="Z106" s="194">
        <f t="shared" si="705"/>
        <v>3497.8125</v>
      </c>
      <c r="AA106" s="194">
        <f t="shared" si="705"/>
        <v>3497.8125</v>
      </c>
      <c r="AB106" s="194">
        <f t="shared" si="705"/>
        <v>3497.8125</v>
      </c>
      <c r="AC106" s="194">
        <f t="shared" si="705"/>
        <v>3497.8125</v>
      </c>
      <c r="AD106" s="194">
        <f t="shared" si="705"/>
        <v>3497.8125</v>
      </c>
      <c r="AE106" s="194">
        <f t="shared" si="705"/>
        <v>3497.8125</v>
      </c>
      <c r="AF106" s="1066">
        <f t="shared" si="705"/>
        <v>3672.703125</v>
      </c>
      <c r="AG106" s="194">
        <f t="shared" si="705"/>
        <v>3672.703125</v>
      </c>
      <c r="AH106" s="194">
        <f t="shared" si="705"/>
        <v>3672.703125</v>
      </c>
      <c r="AI106" s="194">
        <f t="shared" si="705"/>
        <v>3672.703125</v>
      </c>
      <c r="AJ106" s="194">
        <f t="shared" si="705"/>
        <v>3672.703125</v>
      </c>
      <c r="AK106" s="194">
        <f t="shared" si="705"/>
        <v>3672.703125</v>
      </c>
      <c r="AL106" s="194">
        <f t="shared" si="705"/>
        <v>3672.703125</v>
      </c>
      <c r="AM106" s="194">
        <f t="shared" si="705"/>
        <v>3672.703125</v>
      </c>
      <c r="AN106" s="194">
        <f t="shared" ref="AN106:BO107" si="706">AM106*(1+AN$129)</f>
        <v>3672.703125</v>
      </c>
      <c r="AO106" s="194">
        <f t="shared" si="706"/>
        <v>3672.703125</v>
      </c>
      <c r="AP106" s="194">
        <f t="shared" si="706"/>
        <v>3672.703125</v>
      </c>
      <c r="AQ106" s="194">
        <f t="shared" si="706"/>
        <v>3672.703125</v>
      </c>
      <c r="AR106" s="1066">
        <f t="shared" si="706"/>
        <v>3856.3382812500004</v>
      </c>
      <c r="AS106" s="194">
        <f t="shared" si="706"/>
        <v>3856.3382812500004</v>
      </c>
      <c r="AT106" s="194">
        <f t="shared" si="706"/>
        <v>3856.3382812500004</v>
      </c>
      <c r="AU106" s="194">
        <f t="shared" si="706"/>
        <v>3856.3382812500004</v>
      </c>
      <c r="AV106" s="194">
        <f t="shared" si="706"/>
        <v>3856.3382812500004</v>
      </c>
      <c r="AW106" s="194">
        <f t="shared" si="706"/>
        <v>3856.3382812500004</v>
      </c>
      <c r="AX106" s="194">
        <f t="shared" si="706"/>
        <v>3856.3382812500004</v>
      </c>
      <c r="AY106" s="194">
        <f t="shared" si="706"/>
        <v>3856.3382812500004</v>
      </c>
      <c r="AZ106" s="194">
        <f t="shared" si="706"/>
        <v>3856.3382812500004</v>
      </c>
      <c r="BA106" s="194">
        <f t="shared" si="706"/>
        <v>3856.3382812500004</v>
      </c>
      <c r="BB106" s="194">
        <f t="shared" si="706"/>
        <v>3856.3382812500004</v>
      </c>
      <c r="BC106" s="194">
        <f t="shared" si="706"/>
        <v>3856.3382812500004</v>
      </c>
      <c r="BD106" s="1066">
        <f t="shared" si="706"/>
        <v>4049.1551953125004</v>
      </c>
      <c r="BE106" s="194">
        <f t="shared" si="706"/>
        <v>4049.1551953125004</v>
      </c>
      <c r="BF106" s="194">
        <f t="shared" si="706"/>
        <v>4049.1551953125004</v>
      </c>
      <c r="BG106" s="194">
        <f t="shared" si="706"/>
        <v>4049.1551953125004</v>
      </c>
      <c r="BH106" s="194">
        <f t="shared" si="706"/>
        <v>4049.1551953125004</v>
      </c>
      <c r="BI106" s="194">
        <f t="shared" si="706"/>
        <v>4049.1551953125004</v>
      </c>
      <c r="BJ106" s="194">
        <f t="shared" si="706"/>
        <v>4049.1551953125004</v>
      </c>
      <c r="BK106" s="194">
        <f t="shared" si="706"/>
        <v>4049.1551953125004</v>
      </c>
      <c r="BL106" s="194">
        <f t="shared" si="706"/>
        <v>4049.1551953125004</v>
      </c>
      <c r="BM106" s="194">
        <f t="shared" si="706"/>
        <v>4049.1551953125004</v>
      </c>
      <c r="BN106" s="194">
        <f t="shared" si="706"/>
        <v>4049.1551953125004</v>
      </c>
      <c r="BO106" s="194">
        <f t="shared" si="706"/>
        <v>4049.1551953125004</v>
      </c>
      <c r="BP106" s="1066">
        <f t="shared" si="641"/>
        <v>4251.6129550781252</v>
      </c>
      <c r="BQ106" s="194">
        <f t="shared" si="642"/>
        <v>4251.6129550781252</v>
      </c>
      <c r="BR106" s="194">
        <f t="shared" si="643"/>
        <v>4251.6129550781252</v>
      </c>
      <c r="BS106" s="194">
        <f t="shared" si="644"/>
        <v>4251.6129550781252</v>
      </c>
      <c r="BT106" s="194">
        <f t="shared" si="645"/>
        <v>4251.6129550781252</v>
      </c>
      <c r="BU106" s="194">
        <f t="shared" si="646"/>
        <v>4251.6129550781252</v>
      </c>
      <c r="BV106" s="194">
        <f t="shared" si="647"/>
        <v>4251.6129550781252</v>
      </c>
      <c r="BW106" s="194">
        <f t="shared" si="648"/>
        <v>4251.6129550781252</v>
      </c>
      <c r="BX106" s="194">
        <f t="shared" si="649"/>
        <v>4251.6129550781252</v>
      </c>
      <c r="BY106" s="194">
        <f t="shared" si="650"/>
        <v>4251.6129550781252</v>
      </c>
      <c r="BZ106" s="194">
        <f t="shared" si="651"/>
        <v>4251.6129550781252</v>
      </c>
      <c r="CA106" s="194">
        <f t="shared" si="652"/>
        <v>4251.6129550781252</v>
      </c>
      <c r="CB106" s="1066">
        <f t="shared" si="653"/>
        <v>4464.1936028320315</v>
      </c>
      <c r="CC106" s="194">
        <f t="shared" si="654"/>
        <v>4464.1936028320315</v>
      </c>
      <c r="CD106" s="194">
        <f t="shared" si="655"/>
        <v>4464.1936028320315</v>
      </c>
      <c r="CE106" s="194">
        <f t="shared" si="656"/>
        <v>4464.1936028320315</v>
      </c>
      <c r="CF106" s="194">
        <f t="shared" si="657"/>
        <v>4464.1936028320315</v>
      </c>
      <c r="CG106" s="194">
        <f t="shared" si="658"/>
        <v>4464.1936028320315</v>
      </c>
      <c r="CH106" s="194">
        <f t="shared" si="659"/>
        <v>4464.1936028320315</v>
      </c>
      <c r="CI106" s="194">
        <f t="shared" si="660"/>
        <v>4464.1936028320315</v>
      </c>
      <c r="CJ106" s="194">
        <f t="shared" si="661"/>
        <v>4464.1936028320315</v>
      </c>
      <c r="CK106" s="194">
        <f t="shared" si="662"/>
        <v>4464.1936028320315</v>
      </c>
      <c r="CL106" s="194">
        <f t="shared" si="663"/>
        <v>4464.1936028320315</v>
      </c>
      <c r="CM106" s="194">
        <f t="shared" si="664"/>
        <v>4464.1936028320315</v>
      </c>
      <c r="CN106" s="1066">
        <f t="shared" si="665"/>
        <v>4687.4032829736334</v>
      </c>
      <c r="CO106" s="194">
        <f t="shared" si="666"/>
        <v>4687.4032829736334</v>
      </c>
      <c r="CP106" s="194">
        <f t="shared" si="667"/>
        <v>4687.4032829736334</v>
      </c>
      <c r="CQ106" s="194">
        <f t="shared" si="668"/>
        <v>4687.4032829736334</v>
      </c>
      <c r="CR106" s="194">
        <f t="shared" si="669"/>
        <v>4687.4032829736334</v>
      </c>
      <c r="CS106" s="194">
        <f t="shared" si="670"/>
        <v>4687.4032829736334</v>
      </c>
      <c r="CT106" s="194">
        <f t="shared" si="671"/>
        <v>4687.4032829736334</v>
      </c>
      <c r="CU106" s="194">
        <f t="shared" si="672"/>
        <v>4687.4032829736334</v>
      </c>
      <c r="CV106" s="194">
        <f t="shared" si="673"/>
        <v>4687.4032829736334</v>
      </c>
      <c r="CW106" s="194">
        <f t="shared" si="674"/>
        <v>4687.4032829736334</v>
      </c>
      <c r="CX106" s="194">
        <f t="shared" si="675"/>
        <v>4687.4032829736334</v>
      </c>
      <c r="CY106" s="194">
        <f t="shared" si="676"/>
        <v>4687.4032829736334</v>
      </c>
      <c r="CZ106" s="1066">
        <f t="shared" si="677"/>
        <v>4921.7734471223157</v>
      </c>
      <c r="DA106" s="194">
        <f t="shared" si="678"/>
        <v>4921.7734471223157</v>
      </c>
      <c r="DB106" s="194">
        <f t="shared" si="679"/>
        <v>4921.7734471223157</v>
      </c>
      <c r="DC106" s="194">
        <f t="shared" si="680"/>
        <v>4921.7734471223157</v>
      </c>
      <c r="DD106" s="194">
        <f t="shared" si="681"/>
        <v>4921.7734471223157</v>
      </c>
      <c r="DE106" s="194">
        <f t="shared" si="682"/>
        <v>4921.7734471223157</v>
      </c>
      <c r="DF106" s="194">
        <f t="shared" si="683"/>
        <v>4921.7734471223157</v>
      </c>
      <c r="DG106" s="194">
        <f t="shared" si="684"/>
        <v>4921.7734471223157</v>
      </c>
      <c r="DH106" s="194">
        <f t="shared" si="685"/>
        <v>4921.7734471223157</v>
      </c>
      <c r="DI106" s="194">
        <f t="shared" si="686"/>
        <v>4921.7734471223157</v>
      </c>
      <c r="DJ106" s="194">
        <f t="shared" si="687"/>
        <v>4921.7734471223157</v>
      </c>
      <c r="DK106" s="194">
        <f t="shared" si="688"/>
        <v>4921.7734471223157</v>
      </c>
      <c r="DL106" s="1066">
        <f t="shared" si="689"/>
        <v>5167.8621194784319</v>
      </c>
      <c r="DM106" s="194">
        <f t="shared" si="690"/>
        <v>5167.8621194784319</v>
      </c>
      <c r="DN106" s="194">
        <f t="shared" si="691"/>
        <v>5167.8621194784319</v>
      </c>
      <c r="DO106" s="194">
        <f t="shared" si="692"/>
        <v>5167.8621194784319</v>
      </c>
      <c r="DP106" s="194">
        <f t="shared" si="693"/>
        <v>5167.8621194784319</v>
      </c>
      <c r="DQ106" s="194">
        <f t="shared" si="694"/>
        <v>5167.8621194784319</v>
      </c>
      <c r="DR106" s="194">
        <f t="shared" si="695"/>
        <v>5167.8621194784319</v>
      </c>
      <c r="DS106" s="194">
        <f t="shared" si="696"/>
        <v>5167.8621194784319</v>
      </c>
      <c r="DT106" s="194">
        <f t="shared" si="697"/>
        <v>5167.8621194784319</v>
      </c>
      <c r="DU106" s="194">
        <f t="shared" si="698"/>
        <v>5167.8621194784319</v>
      </c>
      <c r="DV106" s="194">
        <f t="shared" si="699"/>
        <v>5167.8621194784319</v>
      </c>
      <c r="DW106" s="194">
        <f t="shared" si="700"/>
        <v>5167.8621194784319</v>
      </c>
    </row>
    <row r="107" spans="2:127" ht="26" x14ac:dyDescent="0.3">
      <c r="B107" s="1074" t="s">
        <v>585</v>
      </c>
      <c r="C107" s="1075">
        <f>IF(Summary!$AQ$9="Included",HLOOKUP($D$4,'Data Master'!$C$130:$L$134,2,0),0)</f>
        <v>3160.15</v>
      </c>
      <c r="D107" s="96" t="s">
        <v>316</v>
      </c>
      <c r="E107" s="191"/>
      <c r="F107" s="405"/>
      <c r="G107" s="1209"/>
      <c r="H107" s="194">
        <f>$C$107*(1+H$129)</f>
        <v>3160.15</v>
      </c>
      <c r="I107" s="194">
        <f>H107*(1+I$129)</f>
        <v>3160.15</v>
      </c>
      <c r="J107" s="194">
        <f t="shared" si="705"/>
        <v>3160.15</v>
      </c>
      <c r="K107" s="194">
        <f t="shared" si="705"/>
        <v>3160.15</v>
      </c>
      <c r="L107" s="194">
        <f t="shared" si="705"/>
        <v>3160.15</v>
      </c>
      <c r="M107" s="194">
        <f t="shared" si="705"/>
        <v>3160.15</v>
      </c>
      <c r="N107" s="194">
        <f t="shared" si="705"/>
        <v>3160.15</v>
      </c>
      <c r="O107" s="194">
        <f t="shared" si="705"/>
        <v>3160.15</v>
      </c>
      <c r="P107" s="194">
        <f t="shared" si="705"/>
        <v>3160.15</v>
      </c>
      <c r="Q107" s="194">
        <f t="shared" si="705"/>
        <v>3160.15</v>
      </c>
      <c r="R107" s="194">
        <f t="shared" si="705"/>
        <v>3160.15</v>
      </c>
      <c r="S107" s="194">
        <f t="shared" si="705"/>
        <v>3160.15</v>
      </c>
      <c r="T107" s="1066">
        <f t="shared" si="705"/>
        <v>3318.1575000000003</v>
      </c>
      <c r="U107" s="194">
        <f t="shared" si="705"/>
        <v>3318.1575000000003</v>
      </c>
      <c r="V107" s="194">
        <f t="shared" si="705"/>
        <v>3318.1575000000003</v>
      </c>
      <c r="W107" s="194">
        <f t="shared" si="705"/>
        <v>3318.1575000000003</v>
      </c>
      <c r="X107" s="194">
        <f t="shared" si="705"/>
        <v>3318.1575000000003</v>
      </c>
      <c r="Y107" s="194">
        <f t="shared" si="705"/>
        <v>3318.1575000000003</v>
      </c>
      <c r="Z107" s="194">
        <f t="shared" si="705"/>
        <v>3318.1575000000003</v>
      </c>
      <c r="AA107" s="194">
        <f t="shared" si="705"/>
        <v>3318.1575000000003</v>
      </c>
      <c r="AB107" s="194">
        <f t="shared" si="705"/>
        <v>3318.1575000000003</v>
      </c>
      <c r="AC107" s="194">
        <f t="shared" si="705"/>
        <v>3318.1575000000003</v>
      </c>
      <c r="AD107" s="194">
        <f t="shared" si="705"/>
        <v>3318.1575000000003</v>
      </c>
      <c r="AE107" s="194">
        <f t="shared" si="705"/>
        <v>3318.1575000000003</v>
      </c>
      <c r="AF107" s="1066">
        <f t="shared" si="705"/>
        <v>3484.0653750000006</v>
      </c>
      <c r="AG107" s="194">
        <f t="shared" si="705"/>
        <v>3484.0653750000006</v>
      </c>
      <c r="AH107" s="194">
        <f t="shared" si="705"/>
        <v>3484.0653750000006</v>
      </c>
      <c r="AI107" s="194">
        <f t="shared" si="705"/>
        <v>3484.0653750000006</v>
      </c>
      <c r="AJ107" s="194">
        <f t="shared" si="705"/>
        <v>3484.0653750000006</v>
      </c>
      <c r="AK107" s="194">
        <f t="shared" si="705"/>
        <v>3484.0653750000006</v>
      </c>
      <c r="AL107" s="194">
        <f t="shared" si="705"/>
        <v>3484.0653750000006</v>
      </c>
      <c r="AM107" s="194">
        <f t="shared" si="705"/>
        <v>3484.0653750000006</v>
      </c>
      <c r="AN107" s="194">
        <f t="shared" si="706"/>
        <v>3484.0653750000006</v>
      </c>
      <c r="AO107" s="194">
        <f t="shared" si="706"/>
        <v>3484.0653750000006</v>
      </c>
      <c r="AP107" s="194">
        <f t="shared" si="706"/>
        <v>3484.0653750000006</v>
      </c>
      <c r="AQ107" s="194">
        <f t="shared" si="706"/>
        <v>3484.0653750000006</v>
      </c>
      <c r="AR107" s="1066">
        <f t="shared" si="706"/>
        <v>3658.2686437500006</v>
      </c>
      <c r="AS107" s="194">
        <f t="shared" si="706"/>
        <v>3658.2686437500006</v>
      </c>
      <c r="AT107" s="194">
        <f t="shared" si="706"/>
        <v>3658.2686437500006</v>
      </c>
      <c r="AU107" s="194">
        <f t="shared" si="706"/>
        <v>3658.2686437500006</v>
      </c>
      <c r="AV107" s="194">
        <f t="shared" si="706"/>
        <v>3658.2686437500006</v>
      </c>
      <c r="AW107" s="194">
        <f t="shared" si="706"/>
        <v>3658.2686437500006</v>
      </c>
      <c r="AX107" s="194">
        <f t="shared" si="706"/>
        <v>3658.2686437500006</v>
      </c>
      <c r="AY107" s="194">
        <f t="shared" si="706"/>
        <v>3658.2686437500006</v>
      </c>
      <c r="AZ107" s="194">
        <f t="shared" si="706"/>
        <v>3658.2686437500006</v>
      </c>
      <c r="BA107" s="194">
        <f t="shared" si="706"/>
        <v>3658.2686437500006</v>
      </c>
      <c r="BB107" s="194">
        <f t="shared" si="706"/>
        <v>3658.2686437500006</v>
      </c>
      <c r="BC107" s="194">
        <f t="shared" si="706"/>
        <v>3658.2686437500006</v>
      </c>
      <c r="BD107" s="1066">
        <f t="shared" si="706"/>
        <v>3841.1820759375009</v>
      </c>
      <c r="BE107" s="194">
        <f t="shared" si="706"/>
        <v>3841.1820759375009</v>
      </c>
      <c r="BF107" s="194">
        <f t="shared" si="706"/>
        <v>3841.1820759375009</v>
      </c>
      <c r="BG107" s="194">
        <f t="shared" si="706"/>
        <v>3841.1820759375009</v>
      </c>
      <c r="BH107" s="194">
        <f t="shared" si="706"/>
        <v>3841.1820759375009</v>
      </c>
      <c r="BI107" s="194">
        <f t="shared" si="706"/>
        <v>3841.1820759375009</v>
      </c>
      <c r="BJ107" s="194">
        <f t="shared" si="706"/>
        <v>3841.1820759375009</v>
      </c>
      <c r="BK107" s="194">
        <f t="shared" si="706"/>
        <v>3841.1820759375009</v>
      </c>
      <c r="BL107" s="194">
        <f t="shared" si="706"/>
        <v>3841.1820759375009</v>
      </c>
      <c r="BM107" s="194">
        <f t="shared" si="706"/>
        <v>3841.1820759375009</v>
      </c>
      <c r="BN107" s="194">
        <f t="shared" si="706"/>
        <v>3841.1820759375009</v>
      </c>
      <c r="BO107" s="194">
        <f t="shared" si="706"/>
        <v>3841.1820759375009</v>
      </c>
      <c r="BP107" s="1066">
        <f t="shared" si="641"/>
        <v>4033.2411797343761</v>
      </c>
      <c r="BQ107" s="194">
        <f t="shared" si="642"/>
        <v>4033.2411797343761</v>
      </c>
      <c r="BR107" s="194">
        <f t="shared" si="643"/>
        <v>4033.2411797343761</v>
      </c>
      <c r="BS107" s="194">
        <f t="shared" si="644"/>
        <v>4033.2411797343761</v>
      </c>
      <c r="BT107" s="194">
        <f t="shared" si="645"/>
        <v>4033.2411797343761</v>
      </c>
      <c r="BU107" s="194">
        <f t="shared" si="646"/>
        <v>4033.2411797343761</v>
      </c>
      <c r="BV107" s="194">
        <f t="shared" si="647"/>
        <v>4033.2411797343761</v>
      </c>
      <c r="BW107" s="194">
        <f t="shared" si="648"/>
        <v>4033.2411797343761</v>
      </c>
      <c r="BX107" s="194">
        <f t="shared" si="649"/>
        <v>4033.2411797343761</v>
      </c>
      <c r="BY107" s="194">
        <f t="shared" si="650"/>
        <v>4033.2411797343761</v>
      </c>
      <c r="BZ107" s="194">
        <f t="shared" si="651"/>
        <v>4033.2411797343761</v>
      </c>
      <c r="CA107" s="194">
        <f t="shared" si="652"/>
        <v>4033.2411797343761</v>
      </c>
      <c r="CB107" s="1066">
        <f t="shared" si="653"/>
        <v>4234.9032387210955</v>
      </c>
      <c r="CC107" s="194">
        <f t="shared" si="654"/>
        <v>4234.9032387210955</v>
      </c>
      <c r="CD107" s="194">
        <f t="shared" si="655"/>
        <v>4234.9032387210955</v>
      </c>
      <c r="CE107" s="194">
        <f t="shared" si="656"/>
        <v>4234.9032387210955</v>
      </c>
      <c r="CF107" s="194">
        <f t="shared" si="657"/>
        <v>4234.9032387210955</v>
      </c>
      <c r="CG107" s="194">
        <f t="shared" si="658"/>
        <v>4234.9032387210955</v>
      </c>
      <c r="CH107" s="194">
        <f t="shared" si="659"/>
        <v>4234.9032387210955</v>
      </c>
      <c r="CI107" s="194">
        <f t="shared" si="660"/>
        <v>4234.9032387210955</v>
      </c>
      <c r="CJ107" s="194">
        <f t="shared" si="661"/>
        <v>4234.9032387210955</v>
      </c>
      <c r="CK107" s="194">
        <f t="shared" si="662"/>
        <v>4234.9032387210955</v>
      </c>
      <c r="CL107" s="194">
        <f t="shared" si="663"/>
        <v>4234.9032387210955</v>
      </c>
      <c r="CM107" s="194">
        <f t="shared" si="664"/>
        <v>4234.9032387210955</v>
      </c>
      <c r="CN107" s="1066">
        <f t="shared" si="665"/>
        <v>4446.6484006571509</v>
      </c>
      <c r="CO107" s="194">
        <f t="shared" si="666"/>
        <v>4446.6484006571509</v>
      </c>
      <c r="CP107" s="194">
        <f t="shared" si="667"/>
        <v>4446.6484006571509</v>
      </c>
      <c r="CQ107" s="194">
        <f t="shared" si="668"/>
        <v>4446.6484006571509</v>
      </c>
      <c r="CR107" s="194">
        <f t="shared" si="669"/>
        <v>4446.6484006571509</v>
      </c>
      <c r="CS107" s="194">
        <f t="shared" si="670"/>
        <v>4446.6484006571509</v>
      </c>
      <c r="CT107" s="194">
        <f t="shared" si="671"/>
        <v>4446.6484006571509</v>
      </c>
      <c r="CU107" s="194">
        <f t="shared" si="672"/>
        <v>4446.6484006571509</v>
      </c>
      <c r="CV107" s="194">
        <f t="shared" si="673"/>
        <v>4446.6484006571509</v>
      </c>
      <c r="CW107" s="194">
        <f t="shared" si="674"/>
        <v>4446.6484006571509</v>
      </c>
      <c r="CX107" s="194">
        <f t="shared" si="675"/>
        <v>4446.6484006571509</v>
      </c>
      <c r="CY107" s="194">
        <f t="shared" si="676"/>
        <v>4446.6484006571509</v>
      </c>
      <c r="CZ107" s="1066">
        <f t="shared" si="677"/>
        <v>4668.9808206900088</v>
      </c>
      <c r="DA107" s="194">
        <f t="shared" si="678"/>
        <v>4668.9808206900088</v>
      </c>
      <c r="DB107" s="194">
        <f t="shared" si="679"/>
        <v>4668.9808206900088</v>
      </c>
      <c r="DC107" s="194">
        <f t="shared" si="680"/>
        <v>4668.9808206900088</v>
      </c>
      <c r="DD107" s="194">
        <f t="shared" si="681"/>
        <v>4668.9808206900088</v>
      </c>
      <c r="DE107" s="194">
        <f t="shared" si="682"/>
        <v>4668.9808206900088</v>
      </c>
      <c r="DF107" s="194">
        <f t="shared" si="683"/>
        <v>4668.9808206900088</v>
      </c>
      <c r="DG107" s="194">
        <f t="shared" si="684"/>
        <v>4668.9808206900088</v>
      </c>
      <c r="DH107" s="194">
        <f t="shared" si="685"/>
        <v>4668.9808206900088</v>
      </c>
      <c r="DI107" s="194">
        <f t="shared" si="686"/>
        <v>4668.9808206900088</v>
      </c>
      <c r="DJ107" s="194">
        <f t="shared" si="687"/>
        <v>4668.9808206900088</v>
      </c>
      <c r="DK107" s="194">
        <f t="shared" si="688"/>
        <v>4668.9808206900088</v>
      </c>
      <c r="DL107" s="1066">
        <f t="shared" si="689"/>
        <v>4902.4298617245095</v>
      </c>
      <c r="DM107" s="194">
        <f t="shared" si="690"/>
        <v>4902.4298617245095</v>
      </c>
      <c r="DN107" s="194">
        <f t="shared" si="691"/>
        <v>4902.4298617245095</v>
      </c>
      <c r="DO107" s="194">
        <f t="shared" si="692"/>
        <v>4902.4298617245095</v>
      </c>
      <c r="DP107" s="194">
        <f t="shared" si="693"/>
        <v>4902.4298617245095</v>
      </c>
      <c r="DQ107" s="194">
        <f t="shared" si="694"/>
        <v>4902.4298617245095</v>
      </c>
      <c r="DR107" s="194">
        <f t="shared" si="695"/>
        <v>4902.4298617245095</v>
      </c>
      <c r="DS107" s="194">
        <f t="shared" si="696"/>
        <v>4902.4298617245095</v>
      </c>
      <c r="DT107" s="194">
        <f t="shared" si="697"/>
        <v>4902.4298617245095</v>
      </c>
      <c r="DU107" s="194">
        <f t="shared" si="698"/>
        <v>4902.4298617245095</v>
      </c>
      <c r="DV107" s="194">
        <f t="shared" si="699"/>
        <v>4902.4298617245095</v>
      </c>
      <c r="DW107" s="194">
        <f t="shared" si="700"/>
        <v>4902.4298617245095</v>
      </c>
    </row>
    <row r="108" spans="2:127" x14ac:dyDescent="0.3">
      <c r="D108" s="96" t="s">
        <v>54</v>
      </c>
      <c r="E108" s="191"/>
      <c r="F108" s="405"/>
      <c r="G108" s="1209">
        <f>VLOOKUP($C$1,'Data Master'!$C$243:$F$258,2,0)</f>
        <v>11020</v>
      </c>
      <c r="H108" s="194">
        <f t="shared" ref="H108:AM108" si="707">G108*(1+H$129)</f>
        <v>11020</v>
      </c>
      <c r="I108" s="194">
        <f t="shared" si="707"/>
        <v>11020</v>
      </c>
      <c r="J108" s="194">
        <f t="shared" si="707"/>
        <v>11020</v>
      </c>
      <c r="K108" s="194">
        <f t="shared" si="707"/>
        <v>11020</v>
      </c>
      <c r="L108" s="194">
        <f t="shared" si="707"/>
        <v>11020</v>
      </c>
      <c r="M108" s="194">
        <f t="shared" si="707"/>
        <v>11020</v>
      </c>
      <c r="N108" s="194">
        <f t="shared" si="707"/>
        <v>11020</v>
      </c>
      <c r="O108" s="194">
        <f t="shared" si="707"/>
        <v>11020</v>
      </c>
      <c r="P108" s="194">
        <f t="shared" si="707"/>
        <v>11020</v>
      </c>
      <c r="Q108" s="194">
        <f t="shared" si="707"/>
        <v>11020</v>
      </c>
      <c r="R108" s="194">
        <f t="shared" si="707"/>
        <v>11020</v>
      </c>
      <c r="S108" s="194">
        <f t="shared" si="707"/>
        <v>11020</v>
      </c>
      <c r="T108" s="1066">
        <f t="shared" si="707"/>
        <v>11571</v>
      </c>
      <c r="U108" s="194">
        <f t="shared" si="707"/>
        <v>11571</v>
      </c>
      <c r="V108" s="194">
        <f t="shared" si="707"/>
        <v>11571</v>
      </c>
      <c r="W108" s="194">
        <f t="shared" si="707"/>
        <v>11571</v>
      </c>
      <c r="X108" s="194">
        <f t="shared" si="707"/>
        <v>11571</v>
      </c>
      <c r="Y108" s="194">
        <f t="shared" si="707"/>
        <v>11571</v>
      </c>
      <c r="Z108" s="194">
        <f t="shared" si="707"/>
        <v>11571</v>
      </c>
      <c r="AA108" s="194">
        <f t="shared" si="707"/>
        <v>11571</v>
      </c>
      <c r="AB108" s="194">
        <f t="shared" si="707"/>
        <v>11571</v>
      </c>
      <c r="AC108" s="194">
        <f t="shared" si="707"/>
        <v>11571</v>
      </c>
      <c r="AD108" s="194">
        <f t="shared" si="707"/>
        <v>11571</v>
      </c>
      <c r="AE108" s="194">
        <f t="shared" si="707"/>
        <v>11571</v>
      </c>
      <c r="AF108" s="1066">
        <f t="shared" si="707"/>
        <v>12149.550000000001</v>
      </c>
      <c r="AG108" s="194">
        <f t="shared" si="707"/>
        <v>12149.550000000001</v>
      </c>
      <c r="AH108" s="194">
        <f t="shared" si="707"/>
        <v>12149.550000000001</v>
      </c>
      <c r="AI108" s="194">
        <f t="shared" si="707"/>
        <v>12149.550000000001</v>
      </c>
      <c r="AJ108" s="194">
        <f t="shared" si="707"/>
        <v>12149.550000000001</v>
      </c>
      <c r="AK108" s="194">
        <f t="shared" si="707"/>
        <v>12149.550000000001</v>
      </c>
      <c r="AL108" s="194">
        <f t="shared" si="707"/>
        <v>12149.550000000001</v>
      </c>
      <c r="AM108" s="194">
        <f t="shared" si="707"/>
        <v>12149.550000000001</v>
      </c>
      <c r="AN108" s="194">
        <f t="shared" ref="AN108:BO108" si="708">AM108*(1+AN$129)</f>
        <v>12149.550000000001</v>
      </c>
      <c r="AO108" s="194">
        <f t="shared" si="708"/>
        <v>12149.550000000001</v>
      </c>
      <c r="AP108" s="194">
        <f t="shared" si="708"/>
        <v>12149.550000000001</v>
      </c>
      <c r="AQ108" s="194">
        <f t="shared" si="708"/>
        <v>12149.550000000001</v>
      </c>
      <c r="AR108" s="1066">
        <f t="shared" si="708"/>
        <v>12757.027500000002</v>
      </c>
      <c r="AS108" s="194">
        <f t="shared" si="708"/>
        <v>12757.027500000002</v>
      </c>
      <c r="AT108" s="194">
        <f t="shared" si="708"/>
        <v>12757.027500000002</v>
      </c>
      <c r="AU108" s="194">
        <f t="shared" si="708"/>
        <v>12757.027500000002</v>
      </c>
      <c r="AV108" s="194">
        <f t="shared" si="708"/>
        <v>12757.027500000002</v>
      </c>
      <c r="AW108" s="194">
        <f t="shared" si="708"/>
        <v>12757.027500000002</v>
      </c>
      <c r="AX108" s="194">
        <f t="shared" si="708"/>
        <v>12757.027500000002</v>
      </c>
      <c r="AY108" s="194">
        <f t="shared" si="708"/>
        <v>12757.027500000002</v>
      </c>
      <c r="AZ108" s="194">
        <f t="shared" si="708"/>
        <v>12757.027500000002</v>
      </c>
      <c r="BA108" s="194">
        <f t="shared" si="708"/>
        <v>12757.027500000002</v>
      </c>
      <c r="BB108" s="194">
        <f t="shared" si="708"/>
        <v>12757.027500000002</v>
      </c>
      <c r="BC108" s="194">
        <f t="shared" si="708"/>
        <v>12757.027500000002</v>
      </c>
      <c r="BD108" s="1066">
        <f t="shared" si="708"/>
        <v>13394.878875000002</v>
      </c>
      <c r="BE108" s="194">
        <f t="shared" si="708"/>
        <v>13394.878875000002</v>
      </c>
      <c r="BF108" s="194">
        <f t="shared" si="708"/>
        <v>13394.878875000002</v>
      </c>
      <c r="BG108" s="194">
        <f t="shared" si="708"/>
        <v>13394.878875000002</v>
      </c>
      <c r="BH108" s="194">
        <f t="shared" si="708"/>
        <v>13394.878875000002</v>
      </c>
      <c r="BI108" s="194">
        <f t="shared" si="708"/>
        <v>13394.878875000002</v>
      </c>
      <c r="BJ108" s="194">
        <f t="shared" si="708"/>
        <v>13394.878875000002</v>
      </c>
      <c r="BK108" s="194">
        <f t="shared" si="708"/>
        <v>13394.878875000002</v>
      </c>
      <c r="BL108" s="194">
        <f t="shared" si="708"/>
        <v>13394.878875000002</v>
      </c>
      <c r="BM108" s="194">
        <f t="shared" si="708"/>
        <v>13394.878875000002</v>
      </c>
      <c r="BN108" s="194">
        <f t="shared" si="708"/>
        <v>13394.878875000002</v>
      </c>
      <c r="BO108" s="194">
        <f t="shared" si="708"/>
        <v>13394.878875000002</v>
      </c>
      <c r="BP108" s="1066">
        <f t="shared" si="641"/>
        <v>14064.622818750004</v>
      </c>
      <c r="BQ108" s="194">
        <f t="shared" si="642"/>
        <v>14064.622818750004</v>
      </c>
      <c r="BR108" s="194">
        <f t="shared" si="643"/>
        <v>14064.622818750004</v>
      </c>
      <c r="BS108" s="194">
        <f t="shared" si="644"/>
        <v>14064.622818750004</v>
      </c>
      <c r="BT108" s="194">
        <f t="shared" si="645"/>
        <v>14064.622818750004</v>
      </c>
      <c r="BU108" s="194">
        <f t="shared" si="646"/>
        <v>14064.622818750004</v>
      </c>
      <c r="BV108" s="194">
        <f t="shared" si="647"/>
        <v>14064.622818750004</v>
      </c>
      <c r="BW108" s="194">
        <f t="shared" si="648"/>
        <v>14064.622818750004</v>
      </c>
      <c r="BX108" s="194">
        <f t="shared" si="649"/>
        <v>14064.622818750004</v>
      </c>
      <c r="BY108" s="194">
        <f t="shared" si="650"/>
        <v>14064.622818750004</v>
      </c>
      <c r="BZ108" s="194">
        <f t="shared" si="651"/>
        <v>14064.622818750004</v>
      </c>
      <c r="CA108" s="194">
        <f t="shared" si="652"/>
        <v>14064.622818750004</v>
      </c>
      <c r="CB108" s="1066">
        <f t="shared" si="653"/>
        <v>14767.853959687505</v>
      </c>
      <c r="CC108" s="194">
        <f t="shared" si="654"/>
        <v>14767.853959687505</v>
      </c>
      <c r="CD108" s="194">
        <f t="shared" si="655"/>
        <v>14767.853959687505</v>
      </c>
      <c r="CE108" s="194">
        <f t="shared" si="656"/>
        <v>14767.853959687505</v>
      </c>
      <c r="CF108" s="194">
        <f t="shared" si="657"/>
        <v>14767.853959687505</v>
      </c>
      <c r="CG108" s="194">
        <f t="shared" si="658"/>
        <v>14767.853959687505</v>
      </c>
      <c r="CH108" s="194">
        <f t="shared" si="659"/>
        <v>14767.853959687505</v>
      </c>
      <c r="CI108" s="194">
        <f t="shared" si="660"/>
        <v>14767.853959687505</v>
      </c>
      <c r="CJ108" s="194">
        <f t="shared" si="661"/>
        <v>14767.853959687505</v>
      </c>
      <c r="CK108" s="194">
        <f t="shared" si="662"/>
        <v>14767.853959687505</v>
      </c>
      <c r="CL108" s="194">
        <f t="shared" si="663"/>
        <v>14767.853959687505</v>
      </c>
      <c r="CM108" s="194">
        <f t="shared" si="664"/>
        <v>14767.853959687505</v>
      </c>
      <c r="CN108" s="1066">
        <f t="shared" si="665"/>
        <v>15506.246657671882</v>
      </c>
      <c r="CO108" s="194">
        <f t="shared" si="666"/>
        <v>15506.246657671882</v>
      </c>
      <c r="CP108" s="194">
        <f t="shared" si="667"/>
        <v>15506.246657671882</v>
      </c>
      <c r="CQ108" s="194">
        <f t="shared" si="668"/>
        <v>15506.246657671882</v>
      </c>
      <c r="CR108" s="194">
        <f t="shared" si="669"/>
        <v>15506.246657671882</v>
      </c>
      <c r="CS108" s="194">
        <f t="shared" si="670"/>
        <v>15506.246657671882</v>
      </c>
      <c r="CT108" s="194">
        <f t="shared" si="671"/>
        <v>15506.246657671882</v>
      </c>
      <c r="CU108" s="194">
        <f t="shared" si="672"/>
        <v>15506.246657671882</v>
      </c>
      <c r="CV108" s="194">
        <f t="shared" si="673"/>
        <v>15506.246657671882</v>
      </c>
      <c r="CW108" s="194">
        <f t="shared" si="674"/>
        <v>15506.246657671882</v>
      </c>
      <c r="CX108" s="194">
        <f t="shared" si="675"/>
        <v>15506.246657671882</v>
      </c>
      <c r="CY108" s="194">
        <f t="shared" si="676"/>
        <v>15506.246657671882</v>
      </c>
      <c r="CZ108" s="1066">
        <f t="shared" si="677"/>
        <v>16281.558990555477</v>
      </c>
      <c r="DA108" s="194">
        <f t="shared" si="678"/>
        <v>16281.558990555477</v>
      </c>
      <c r="DB108" s="194">
        <f t="shared" si="679"/>
        <v>16281.558990555477</v>
      </c>
      <c r="DC108" s="194">
        <f t="shared" si="680"/>
        <v>16281.558990555477</v>
      </c>
      <c r="DD108" s="194">
        <f t="shared" si="681"/>
        <v>16281.558990555477</v>
      </c>
      <c r="DE108" s="194">
        <f t="shared" si="682"/>
        <v>16281.558990555477</v>
      </c>
      <c r="DF108" s="194">
        <f t="shared" si="683"/>
        <v>16281.558990555477</v>
      </c>
      <c r="DG108" s="194">
        <f t="shared" si="684"/>
        <v>16281.558990555477</v>
      </c>
      <c r="DH108" s="194">
        <f t="shared" si="685"/>
        <v>16281.558990555477</v>
      </c>
      <c r="DI108" s="194">
        <f t="shared" si="686"/>
        <v>16281.558990555477</v>
      </c>
      <c r="DJ108" s="194">
        <f t="shared" si="687"/>
        <v>16281.558990555477</v>
      </c>
      <c r="DK108" s="194">
        <f t="shared" si="688"/>
        <v>16281.558990555477</v>
      </c>
      <c r="DL108" s="1066">
        <f t="shared" si="689"/>
        <v>17095.636940083252</v>
      </c>
      <c r="DM108" s="194">
        <f t="shared" si="690"/>
        <v>17095.636940083252</v>
      </c>
      <c r="DN108" s="194">
        <f t="shared" si="691"/>
        <v>17095.636940083252</v>
      </c>
      <c r="DO108" s="194">
        <f t="shared" si="692"/>
        <v>17095.636940083252</v>
      </c>
      <c r="DP108" s="194">
        <f t="shared" si="693"/>
        <v>17095.636940083252</v>
      </c>
      <c r="DQ108" s="194">
        <f t="shared" si="694"/>
        <v>17095.636940083252</v>
      </c>
      <c r="DR108" s="194">
        <f t="shared" si="695"/>
        <v>17095.636940083252</v>
      </c>
      <c r="DS108" s="194">
        <f t="shared" si="696"/>
        <v>17095.636940083252</v>
      </c>
      <c r="DT108" s="194">
        <f t="shared" si="697"/>
        <v>17095.636940083252</v>
      </c>
      <c r="DU108" s="194">
        <f t="shared" si="698"/>
        <v>17095.636940083252</v>
      </c>
      <c r="DV108" s="194">
        <f t="shared" si="699"/>
        <v>17095.636940083252</v>
      </c>
      <c r="DW108" s="194">
        <f t="shared" si="700"/>
        <v>17095.636940083252</v>
      </c>
    </row>
    <row r="109" spans="2:127" x14ac:dyDescent="0.3">
      <c r="D109" s="96" t="s">
        <v>55</v>
      </c>
      <c r="E109" s="191"/>
      <c r="F109" s="405"/>
      <c r="G109" s="1209">
        <f>VLOOKUP($C$1,'Data Master'!$C$243:$F$258,3,0)</f>
        <v>5073</v>
      </c>
      <c r="H109" s="194">
        <f t="shared" ref="H109:AM109" si="709">G109*(1+H$129)</f>
        <v>5073</v>
      </c>
      <c r="I109" s="194">
        <f t="shared" si="709"/>
        <v>5073</v>
      </c>
      <c r="J109" s="194">
        <f t="shared" si="709"/>
        <v>5073</v>
      </c>
      <c r="K109" s="194">
        <f t="shared" si="709"/>
        <v>5073</v>
      </c>
      <c r="L109" s="194">
        <f t="shared" si="709"/>
        <v>5073</v>
      </c>
      <c r="M109" s="194">
        <f t="shared" si="709"/>
        <v>5073</v>
      </c>
      <c r="N109" s="194">
        <f t="shared" si="709"/>
        <v>5073</v>
      </c>
      <c r="O109" s="194">
        <f t="shared" si="709"/>
        <v>5073</v>
      </c>
      <c r="P109" s="194">
        <f t="shared" si="709"/>
        <v>5073</v>
      </c>
      <c r="Q109" s="194">
        <f t="shared" si="709"/>
        <v>5073</v>
      </c>
      <c r="R109" s="194">
        <f t="shared" si="709"/>
        <v>5073</v>
      </c>
      <c r="S109" s="194">
        <f t="shared" si="709"/>
        <v>5073</v>
      </c>
      <c r="T109" s="1066">
        <f t="shared" si="709"/>
        <v>5326.6500000000005</v>
      </c>
      <c r="U109" s="194">
        <f t="shared" si="709"/>
        <v>5326.6500000000005</v>
      </c>
      <c r="V109" s="194">
        <f t="shared" si="709"/>
        <v>5326.6500000000005</v>
      </c>
      <c r="W109" s="194">
        <f t="shared" si="709"/>
        <v>5326.6500000000005</v>
      </c>
      <c r="X109" s="194">
        <f t="shared" si="709"/>
        <v>5326.6500000000005</v>
      </c>
      <c r="Y109" s="194">
        <f t="shared" si="709"/>
        <v>5326.6500000000005</v>
      </c>
      <c r="Z109" s="194">
        <f t="shared" si="709"/>
        <v>5326.6500000000005</v>
      </c>
      <c r="AA109" s="194">
        <f t="shared" si="709"/>
        <v>5326.6500000000005</v>
      </c>
      <c r="AB109" s="194">
        <f t="shared" si="709"/>
        <v>5326.6500000000005</v>
      </c>
      <c r="AC109" s="194">
        <f t="shared" si="709"/>
        <v>5326.6500000000005</v>
      </c>
      <c r="AD109" s="194">
        <f t="shared" si="709"/>
        <v>5326.6500000000005</v>
      </c>
      <c r="AE109" s="194">
        <f t="shared" si="709"/>
        <v>5326.6500000000005</v>
      </c>
      <c r="AF109" s="1066">
        <f t="shared" si="709"/>
        <v>5592.982500000001</v>
      </c>
      <c r="AG109" s="194">
        <f t="shared" si="709"/>
        <v>5592.982500000001</v>
      </c>
      <c r="AH109" s="194">
        <f t="shared" si="709"/>
        <v>5592.982500000001</v>
      </c>
      <c r="AI109" s="194">
        <f t="shared" si="709"/>
        <v>5592.982500000001</v>
      </c>
      <c r="AJ109" s="194">
        <f t="shared" si="709"/>
        <v>5592.982500000001</v>
      </c>
      <c r="AK109" s="194">
        <f t="shared" si="709"/>
        <v>5592.982500000001</v>
      </c>
      <c r="AL109" s="194">
        <f t="shared" si="709"/>
        <v>5592.982500000001</v>
      </c>
      <c r="AM109" s="194">
        <f t="shared" si="709"/>
        <v>5592.982500000001</v>
      </c>
      <c r="AN109" s="194">
        <f t="shared" ref="AN109:BO109" si="710">AM109*(1+AN$129)</f>
        <v>5592.982500000001</v>
      </c>
      <c r="AO109" s="194">
        <f t="shared" si="710"/>
        <v>5592.982500000001</v>
      </c>
      <c r="AP109" s="194">
        <f t="shared" si="710"/>
        <v>5592.982500000001</v>
      </c>
      <c r="AQ109" s="194">
        <f t="shared" si="710"/>
        <v>5592.982500000001</v>
      </c>
      <c r="AR109" s="1066">
        <f t="shared" si="710"/>
        <v>5872.6316250000009</v>
      </c>
      <c r="AS109" s="194">
        <f t="shared" si="710"/>
        <v>5872.6316250000009</v>
      </c>
      <c r="AT109" s="194">
        <f t="shared" si="710"/>
        <v>5872.6316250000009</v>
      </c>
      <c r="AU109" s="194">
        <f t="shared" si="710"/>
        <v>5872.6316250000009</v>
      </c>
      <c r="AV109" s="194">
        <f t="shared" si="710"/>
        <v>5872.6316250000009</v>
      </c>
      <c r="AW109" s="194">
        <f t="shared" si="710"/>
        <v>5872.6316250000009</v>
      </c>
      <c r="AX109" s="194">
        <f t="shared" si="710"/>
        <v>5872.6316250000009</v>
      </c>
      <c r="AY109" s="194">
        <f t="shared" si="710"/>
        <v>5872.6316250000009</v>
      </c>
      <c r="AZ109" s="194">
        <f t="shared" si="710"/>
        <v>5872.6316250000009</v>
      </c>
      <c r="BA109" s="194">
        <f t="shared" si="710"/>
        <v>5872.6316250000009</v>
      </c>
      <c r="BB109" s="194">
        <f t="shared" si="710"/>
        <v>5872.6316250000009</v>
      </c>
      <c r="BC109" s="194">
        <f t="shared" si="710"/>
        <v>5872.6316250000009</v>
      </c>
      <c r="BD109" s="1066">
        <f t="shared" si="710"/>
        <v>6166.2632062500015</v>
      </c>
      <c r="BE109" s="194">
        <f t="shared" si="710"/>
        <v>6166.2632062500015</v>
      </c>
      <c r="BF109" s="194">
        <f t="shared" si="710"/>
        <v>6166.2632062500015</v>
      </c>
      <c r="BG109" s="194">
        <f t="shared" si="710"/>
        <v>6166.2632062500015</v>
      </c>
      <c r="BH109" s="194">
        <f t="shared" si="710"/>
        <v>6166.2632062500015</v>
      </c>
      <c r="BI109" s="194">
        <f t="shared" si="710"/>
        <v>6166.2632062500015</v>
      </c>
      <c r="BJ109" s="194">
        <f t="shared" si="710"/>
        <v>6166.2632062500015</v>
      </c>
      <c r="BK109" s="194">
        <f t="shared" si="710"/>
        <v>6166.2632062500015</v>
      </c>
      <c r="BL109" s="194">
        <f t="shared" si="710"/>
        <v>6166.2632062500015</v>
      </c>
      <c r="BM109" s="194">
        <f t="shared" si="710"/>
        <v>6166.2632062500015</v>
      </c>
      <c r="BN109" s="194">
        <f t="shared" si="710"/>
        <v>6166.2632062500015</v>
      </c>
      <c r="BO109" s="194">
        <f t="shared" si="710"/>
        <v>6166.2632062500015</v>
      </c>
      <c r="BP109" s="1066">
        <f t="shared" si="641"/>
        <v>6474.5763665625018</v>
      </c>
      <c r="BQ109" s="194">
        <f t="shared" si="642"/>
        <v>6474.5763665625018</v>
      </c>
      <c r="BR109" s="194">
        <f t="shared" si="643"/>
        <v>6474.5763665625018</v>
      </c>
      <c r="BS109" s="194">
        <f t="shared" si="644"/>
        <v>6474.5763665625018</v>
      </c>
      <c r="BT109" s="194">
        <f t="shared" si="645"/>
        <v>6474.5763665625018</v>
      </c>
      <c r="BU109" s="194">
        <f t="shared" si="646"/>
        <v>6474.5763665625018</v>
      </c>
      <c r="BV109" s="194">
        <f t="shared" si="647"/>
        <v>6474.5763665625018</v>
      </c>
      <c r="BW109" s="194">
        <f t="shared" si="648"/>
        <v>6474.5763665625018</v>
      </c>
      <c r="BX109" s="194">
        <f t="shared" si="649"/>
        <v>6474.5763665625018</v>
      </c>
      <c r="BY109" s="194">
        <f t="shared" si="650"/>
        <v>6474.5763665625018</v>
      </c>
      <c r="BZ109" s="194">
        <f t="shared" si="651"/>
        <v>6474.5763665625018</v>
      </c>
      <c r="CA109" s="194">
        <f t="shared" si="652"/>
        <v>6474.5763665625018</v>
      </c>
      <c r="CB109" s="1066">
        <f t="shared" si="653"/>
        <v>6798.3051848906271</v>
      </c>
      <c r="CC109" s="194">
        <f t="shared" si="654"/>
        <v>6798.3051848906271</v>
      </c>
      <c r="CD109" s="194">
        <f t="shared" si="655"/>
        <v>6798.3051848906271</v>
      </c>
      <c r="CE109" s="194">
        <f t="shared" si="656"/>
        <v>6798.3051848906271</v>
      </c>
      <c r="CF109" s="194">
        <f t="shared" si="657"/>
        <v>6798.3051848906271</v>
      </c>
      <c r="CG109" s="194">
        <f t="shared" si="658"/>
        <v>6798.3051848906271</v>
      </c>
      <c r="CH109" s="194">
        <f t="shared" si="659"/>
        <v>6798.3051848906271</v>
      </c>
      <c r="CI109" s="194">
        <f t="shared" si="660"/>
        <v>6798.3051848906271</v>
      </c>
      <c r="CJ109" s="194">
        <f t="shared" si="661"/>
        <v>6798.3051848906271</v>
      </c>
      <c r="CK109" s="194">
        <f t="shared" si="662"/>
        <v>6798.3051848906271</v>
      </c>
      <c r="CL109" s="194">
        <f t="shared" si="663"/>
        <v>6798.3051848906271</v>
      </c>
      <c r="CM109" s="194">
        <f t="shared" si="664"/>
        <v>6798.3051848906271</v>
      </c>
      <c r="CN109" s="1066">
        <f t="shared" si="665"/>
        <v>7138.2204441351587</v>
      </c>
      <c r="CO109" s="194">
        <f t="shared" si="666"/>
        <v>7138.2204441351587</v>
      </c>
      <c r="CP109" s="194">
        <f t="shared" si="667"/>
        <v>7138.2204441351587</v>
      </c>
      <c r="CQ109" s="194">
        <f t="shared" si="668"/>
        <v>7138.2204441351587</v>
      </c>
      <c r="CR109" s="194">
        <f t="shared" si="669"/>
        <v>7138.2204441351587</v>
      </c>
      <c r="CS109" s="194">
        <f t="shared" si="670"/>
        <v>7138.2204441351587</v>
      </c>
      <c r="CT109" s="194">
        <f t="shared" si="671"/>
        <v>7138.2204441351587</v>
      </c>
      <c r="CU109" s="194">
        <f t="shared" si="672"/>
        <v>7138.2204441351587</v>
      </c>
      <c r="CV109" s="194">
        <f t="shared" si="673"/>
        <v>7138.2204441351587</v>
      </c>
      <c r="CW109" s="194">
        <f t="shared" si="674"/>
        <v>7138.2204441351587</v>
      </c>
      <c r="CX109" s="194">
        <f t="shared" si="675"/>
        <v>7138.2204441351587</v>
      </c>
      <c r="CY109" s="194">
        <f t="shared" si="676"/>
        <v>7138.2204441351587</v>
      </c>
      <c r="CZ109" s="1066">
        <f t="shared" si="677"/>
        <v>7495.1314663419171</v>
      </c>
      <c r="DA109" s="194">
        <f t="shared" si="678"/>
        <v>7495.1314663419171</v>
      </c>
      <c r="DB109" s="194">
        <f t="shared" si="679"/>
        <v>7495.1314663419171</v>
      </c>
      <c r="DC109" s="194">
        <f t="shared" si="680"/>
        <v>7495.1314663419171</v>
      </c>
      <c r="DD109" s="194">
        <f t="shared" si="681"/>
        <v>7495.1314663419171</v>
      </c>
      <c r="DE109" s="194">
        <f t="shared" si="682"/>
        <v>7495.1314663419171</v>
      </c>
      <c r="DF109" s="194">
        <f t="shared" si="683"/>
        <v>7495.1314663419171</v>
      </c>
      <c r="DG109" s="194">
        <f t="shared" si="684"/>
        <v>7495.1314663419171</v>
      </c>
      <c r="DH109" s="194">
        <f t="shared" si="685"/>
        <v>7495.1314663419171</v>
      </c>
      <c r="DI109" s="194">
        <f t="shared" si="686"/>
        <v>7495.1314663419171</v>
      </c>
      <c r="DJ109" s="194">
        <f t="shared" si="687"/>
        <v>7495.1314663419171</v>
      </c>
      <c r="DK109" s="194">
        <f t="shared" si="688"/>
        <v>7495.1314663419171</v>
      </c>
      <c r="DL109" s="1066">
        <f t="shared" si="689"/>
        <v>7869.888039659013</v>
      </c>
      <c r="DM109" s="194">
        <f t="shared" si="690"/>
        <v>7869.888039659013</v>
      </c>
      <c r="DN109" s="194">
        <f t="shared" si="691"/>
        <v>7869.888039659013</v>
      </c>
      <c r="DO109" s="194">
        <f t="shared" si="692"/>
        <v>7869.888039659013</v>
      </c>
      <c r="DP109" s="194">
        <f t="shared" si="693"/>
        <v>7869.888039659013</v>
      </c>
      <c r="DQ109" s="194">
        <f t="shared" si="694"/>
        <v>7869.888039659013</v>
      </c>
      <c r="DR109" s="194">
        <f t="shared" si="695"/>
        <v>7869.888039659013</v>
      </c>
      <c r="DS109" s="194">
        <f t="shared" si="696"/>
        <v>7869.888039659013</v>
      </c>
      <c r="DT109" s="194">
        <f t="shared" si="697"/>
        <v>7869.888039659013</v>
      </c>
      <c r="DU109" s="194">
        <f t="shared" si="698"/>
        <v>7869.888039659013</v>
      </c>
      <c r="DV109" s="194">
        <f t="shared" si="699"/>
        <v>7869.888039659013</v>
      </c>
      <c r="DW109" s="194">
        <f t="shared" si="700"/>
        <v>7869.888039659013</v>
      </c>
    </row>
    <row r="110" spans="2:127" x14ac:dyDescent="0.3">
      <c r="D110" s="1069" t="s">
        <v>56</v>
      </c>
      <c r="E110" s="195"/>
      <c r="F110" s="406"/>
      <c r="G110" s="1067">
        <f>G108+G109</f>
        <v>16093</v>
      </c>
      <c r="H110" s="1068">
        <f t="shared" ref="H110" si="711">H108+H109</f>
        <v>16093</v>
      </c>
      <c r="I110" s="1068">
        <f t="shared" ref="I110:BO110" si="712">I108+I109</f>
        <v>16093</v>
      </c>
      <c r="J110" s="1068">
        <f t="shared" si="712"/>
        <v>16093</v>
      </c>
      <c r="K110" s="1068">
        <f t="shared" si="712"/>
        <v>16093</v>
      </c>
      <c r="L110" s="1068">
        <f t="shared" si="712"/>
        <v>16093</v>
      </c>
      <c r="M110" s="1068">
        <f t="shared" si="712"/>
        <v>16093</v>
      </c>
      <c r="N110" s="1068">
        <f t="shared" si="712"/>
        <v>16093</v>
      </c>
      <c r="O110" s="1068">
        <f t="shared" si="712"/>
        <v>16093</v>
      </c>
      <c r="P110" s="1068">
        <f t="shared" si="712"/>
        <v>16093</v>
      </c>
      <c r="Q110" s="1068">
        <f t="shared" si="712"/>
        <v>16093</v>
      </c>
      <c r="R110" s="1068">
        <f t="shared" si="712"/>
        <v>16093</v>
      </c>
      <c r="S110" s="1068">
        <f t="shared" si="712"/>
        <v>16093</v>
      </c>
      <c r="T110" s="1066">
        <f t="shared" si="712"/>
        <v>16897.650000000001</v>
      </c>
      <c r="U110" s="1068">
        <f t="shared" si="712"/>
        <v>16897.650000000001</v>
      </c>
      <c r="V110" s="1068">
        <f t="shared" si="712"/>
        <v>16897.650000000001</v>
      </c>
      <c r="W110" s="1068">
        <f t="shared" si="712"/>
        <v>16897.650000000001</v>
      </c>
      <c r="X110" s="1068">
        <f t="shared" si="712"/>
        <v>16897.650000000001</v>
      </c>
      <c r="Y110" s="1068">
        <f t="shared" si="712"/>
        <v>16897.650000000001</v>
      </c>
      <c r="Z110" s="1068">
        <f t="shared" si="712"/>
        <v>16897.650000000001</v>
      </c>
      <c r="AA110" s="1068">
        <f t="shared" si="712"/>
        <v>16897.650000000001</v>
      </c>
      <c r="AB110" s="1068">
        <f t="shared" si="712"/>
        <v>16897.650000000001</v>
      </c>
      <c r="AC110" s="1068">
        <f t="shared" si="712"/>
        <v>16897.650000000001</v>
      </c>
      <c r="AD110" s="1068">
        <f t="shared" si="712"/>
        <v>16897.650000000001</v>
      </c>
      <c r="AE110" s="1068">
        <f t="shared" si="712"/>
        <v>16897.650000000001</v>
      </c>
      <c r="AF110" s="1066">
        <f t="shared" si="712"/>
        <v>17742.532500000001</v>
      </c>
      <c r="AG110" s="1068">
        <f t="shared" si="712"/>
        <v>17742.532500000001</v>
      </c>
      <c r="AH110" s="1068">
        <f t="shared" si="712"/>
        <v>17742.532500000001</v>
      </c>
      <c r="AI110" s="1068">
        <f t="shared" si="712"/>
        <v>17742.532500000001</v>
      </c>
      <c r="AJ110" s="1068">
        <f t="shared" si="712"/>
        <v>17742.532500000001</v>
      </c>
      <c r="AK110" s="1068">
        <f t="shared" si="712"/>
        <v>17742.532500000001</v>
      </c>
      <c r="AL110" s="1068">
        <f t="shared" si="712"/>
        <v>17742.532500000001</v>
      </c>
      <c r="AM110" s="1068">
        <f t="shared" si="712"/>
        <v>17742.532500000001</v>
      </c>
      <c r="AN110" s="1068">
        <f t="shared" si="712"/>
        <v>17742.532500000001</v>
      </c>
      <c r="AO110" s="1068">
        <f t="shared" si="712"/>
        <v>17742.532500000001</v>
      </c>
      <c r="AP110" s="1068">
        <f t="shared" si="712"/>
        <v>17742.532500000001</v>
      </c>
      <c r="AQ110" s="1068">
        <f t="shared" si="712"/>
        <v>17742.532500000001</v>
      </c>
      <c r="AR110" s="1066">
        <f t="shared" si="712"/>
        <v>18629.659125000002</v>
      </c>
      <c r="AS110" s="1068">
        <f t="shared" si="712"/>
        <v>18629.659125000002</v>
      </c>
      <c r="AT110" s="1068">
        <f t="shared" si="712"/>
        <v>18629.659125000002</v>
      </c>
      <c r="AU110" s="1068">
        <f t="shared" si="712"/>
        <v>18629.659125000002</v>
      </c>
      <c r="AV110" s="1068">
        <f t="shared" si="712"/>
        <v>18629.659125000002</v>
      </c>
      <c r="AW110" s="1068">
        <f t="shared" si="712"/>
        <v>18629.659125000002</v>
      </c>
      <c r="AX110" s="1068">
        <f t="shared" si="712"/>
        <v>18629.659125000002</v>
      </c>
      <c r="AY110" s="1068">
        <f t="shared" si="712"/>
        <v>18629.659125000002</v>
      </c>
      <c r="AZ110" s="1068">
        <f t="shared" si="712"/>
        <v>18629.659125000002</v>
      </c>
      <c r="BA110" s="1068">
        <f t="shared" si="712"/>
        <v>18629.659125000002</v>
      </c>
      <c r="BB110" s="1068">
        <f t="shared" si="712"/>
        <v>18629.659125000002</v>
      </c>
      <c r="BC110" s="1068">
        <f t="shared" si="712"/>
        <v>18629.659125000002</v>
      </c>
      <c r="BD110" s="1066">
        <f t="shared" si="712"/>
        <v>19561.142081250004</v>
      </c>
      <c r="BE110" s="1068">
        <f t="shared" si="712"/>
        <v>19561.142081250004</v>
      </c>
      <c r="BF110" s="1068">
        <f t="shared" si="712"/>
        <v>19561.142081250004</v>
      </c>
      <c r="BG110" s="1068">
        <f t="shared" si="712"/>
        <v>19561.142081250004</v>
      </c>
      <c r="BH110" s="1068">
        <f t="shared" si="712"/>
        <v>19561.142081250004</v>
      </c>
      <c r="BI110" s="1068">
        <f t="shared" si="712"/>
        <v>19561.142081250004</v>
      </c>
      <c r="BJ110" s="1068">
        <f t="shared" si="712"/>
        <v>19561.142081250004</v>
      </c>
      <c r="BK110" s="1068">
        <f t="shared" si="712"/>
        <v>19561.142081250004</v>
      </c>
      <c r="BL110" s="1068">
        <f t="shared" si="712"/>
        <v>19561.142081250004</v>
      </c>
      <c r="BM110" s="1068">
        <f t="shared" si="712"/>
        <v>19561.142081250004</v>
      </c>
      <c r="BN110" s="1068">
        <f t="shared" si="712"/>
        <v>19561.142081250004</v>
      </c>
      <c r="BO110" s="1068">
        <f t="shared" si="712"/>
        <v>19561.142081250004</v>
      </c>
      <c r="BP110" s="1066">
        <f t="shared" ref="BP110:CO110" si="713">BP108+BP109</f>
        <v>20539.199185312507</v>
      </c>
      <c r="BQ110" s="1068">
        <f t="shared" si="713"/>
        <v>20539.199185312507</v>
      </c>
      <c r="BR110" s="1068">
        <f t="shared" si="713"/>
        <v>20539.199185312507</v>
      </c>
      <c r="BS110" s="1068">
        <f t="shared" si="713"/>
        <v>20539.199185312507</v>
      </c>
      <c r="BT110" s="1068">
        <f t="shared" si="713"/>
        <v>20539.199185312507</v>
      </c>
      <c r="BU110" s="1068">
        <f t="shared" si="713"/>
        <v>20539.199185312507</v>
      </c>
      <c r="BV110" s="1068">
        <f t="shared" si="713"/>
        <v>20539.199185312507</v>
      </c>
      <c r="BW110" s="1068">
        <f t="shared" si="713"/>
        <v>20539.199185312507</v>
      </c>
      <c r="BX110" s="1068">
        <f t="shared" si="713"/>
        <v>20539.199185312507</v>
      </c>
      <c r="BY110" s="1068">
        <f t="shared" si="713"/>
        <v>20539.199185312507</v>
      </c>
      <c r="BZ110" s="1068">
        <f t="shared" si="713"/>
        <v>20539.199185312507</v>
      </c>
      <c r="CA110" s="1068">
        <f t="shared" si="713"/>
        <v>20539.199185312507</v>
      </c>
      <c r="CB110" s="1066">
        <f t="shared" si="713"/>
        <v>21566.159144578131</v>
      </c>
      <c r="CC110" s="1068">
        <f t="shared" si="713"/>
        <v>21566.159144578131</v>
      </c>
      <c r="CD110" s="1068">
        <f t="shared" si="713"/>
        <v>21566.159144578131</v>
      </c>
      <c r="CE110" s="1068">
        <f t="shared" si="713"/>
        <v>21566.159144578131</v>
      </c>
      <c r="CF110" s="1068">
        <f t="shared" si="713"/>
        <v>21566.159144578131</v>
      </c>
      <c r="CG110" s="1068">
        <f t="shared" si="713"/>
        <v>21566.159144578131</v>
      </c>
      <c r="CH110" s="1068">
        <f t="shared" si="713"/>
        <v>21566.159144578131</v>
      </c>
      <c r="CI110" s="1068">
        <f t="shared" si="713"/>
        <v>21566.159144578131</v>
      </c>
      <c r="CJ110" s="1068">
        <f t="shared" si="713"/>
        <v>21566.159144578131</v>
      </c>
      <c r="CK110" s="1068">
        <f t="shared" si="713"/>
        <v>21566.159144578131</v>
      </c>
      <c r="CL110" s="1068">
        <f t="shared" si="713"/>
        <v>21566.159144578131</v>
      </c>
      <c r="CM110" s="1068">
        <f t="shared" si="713"/>
        <v>21566.159144578131</v>
      </c>
      <c r="CN110" s="1066">
        <f t="shared" si="713"/>
        <v>22644.46710180704</v>
      </c>
      <c r="CO110" s="1068">
        <f t="shared" si="713"/>
        <v>22644.46710180704</v>
      </c>
      <c r="CP110" s="1068">
        <f t="shared" ref="CP110:DW110" si="714">CP108+CP109</f>
        <v>22644.46710180704</v>
      </c>
      <c r="CQ110" s="1068">
        <f t="shared" si="714"/>
        <v>22644.46710180704</v>
      </c>
      <c r="CR110" s="1068">
        <f t="shared" si="714"/>
        <v>22644.46710180704</v>
      </c>
      <c r="CS110" s="1068">
        <f t="shared" si="714"/>
        <v>22644.46710180704</v>
      </c>
      <c r="CT110" s="1068">
        <f t="shared" si="714"/>
        <v>22644.46710180704</v>
      </c>
      <c r="CU110" s="1068">
        <f t="shared" si="714"/>
        <v>22644.46710180704</v>
      </c>
      <c r="CV110" s="1068">
        <f t="shared" si="714"/>
        <v>22644.46710180704</v>
      </c>
      <c r="CW110" s="1068">
        <f t="shared" si="714"/>
        <v>22644.46710180704</v>
      </c>
      <c r="CX110" s="1068">
        <f t="shared" si="714"/>
        <v>22644.46710180704</v>
      </c>
      <c r="CY110" s="1068">
        <f t="shared" si="714"/>
        <v>22644.46710180704</v>
      </c>
      <c r="CZ110" s="1066">
        <f t="shared" si="714"/>
        <v>23776.690456897395</v>
      </c>
      <c r="DA110" s="1068">
        <f t="shared" si="714"/>
        <v>23776.690456897395</v>
      </c>
      <c r="DB110" s="1068">
        <f t="shared" si="714"/>
        <v>23776.690456897395</v>
      </c>
      <c r="DC110" s="1068">
        <f t="shared" si="714"/>
        <v>23776.690456897395</v>
      </c>
      <c r="DD110" s="1068">
        <f t="shared" si="714"/>
        <v>23776.690456897395</v>
      </c>
      <c r="DE110" s="1068">
        <f t="shared" si="714"/>
        <v>23776.690456897395</v>
      </c>
      <c r="DF110" s="1068">
        <f t="shared" si="714"/>
        <v>23776.690456897395</v>
      </c>
      <c r="DG110" s="1068">
        <f t="shared" si="714"/>
        <v>23776.690456897395</v>
      </c>
      <c r="DH110" s="1068">
        <f t="shared" si="714"/>
        <v>23776.690456897395</v>
      </c>
      <c r="DI110" s="1068">
        <f t="shared" si="714"/>
        <v>23776.690456897395</v>
      </c>
      <c r="DJ110" s="1068">
        <f t="shared" si="714"/>
        <v>23776.690456897395</v>
      </c>
      <c r="DK110" s="1068">
        <f t="shared" si="714"/>
        <v>23776.690456897395</v>
      </c>
      <c r="DL110" s="1066">
        <f t="shared" si="714"/>
        <v>24965.524979742266</v>
      </c>
      <c r="DM110" s="1068">
        <f t="shared" si="714"/>
        <v>24965.524979742266</v>
      </c>
      <c r="DN110" s="1068">
        <f t="shared" si="714"/>
        <v>24965.524979742266</v>
      </c>
      <c r="DO110" s="1068">
        <f t="shared" si="714"/>
        <v>24965.524979742266</v>
      </c>
      <c r="DP110" s="1068">
        <f t="shared" si="714"/>
        <v>24965.524979742266</v>
      </c>
      <c r="DQ110" s="1068">
        <f t="shared" si="714"/>
        <v>24965.524979742266</v>
      </c>
      <c r="DR110" s="1068">
        <f t="shared" si="714"/>
        <v>24965.524979742266</v>
      </c>
      <c r="DS110" s="1068">
        <f t="shared" si="714"/>
        <v>24965.524979742266</v>
      </c>
      <c r="DT110" s="1068">
        <f t="shared" si="714"/>
        <v>24965.524979742266</v>
      </c>
      <c r="DU110" s="1068">
        <f t="shared" si="714"/>
        <v>24965.524979742266</v>
      </c>
      <c r="DV110" s="1068">
        <f t="shared" si="714"/>
        <v>24965.524979742266</v>
      </c>
      <c r="DW110" s="1068">
        <f t="shared" si="714"/>
        <v>24965.524979742266</v>
      </c>
    </row>
    <row r="111" spans="2:127" x14ac:dyDescent="0.3">
      <c r="B111" s="260"/>
      <c r="C111" s="554"/>
      <c r="D111" s="96" t="s">
        <v>57</v>
      </c>
      <c r="E111" s="191"/>
      <c r="F111" s="405"/>
      <c r="G111" s="1209">
        <f>((VLOOKUP($B$4,'Data Master'!$B$80:$T$88,14,0)*Summary!$C$14)+(VLOOKUP($B$4,'Data Master'!$B$80:$T$88,15,0)*(1-Summary!$C$14)))*'P&amp;L'!$E$1</f>
        <v>6611.9000333333324</v>
      </c>
      <c r="H111" s="194">
        <f t="shared" ref="H111:AM111" si="715">G111*(1+H$129)</f>
        <v>6611.9000333333324</v>
      </c>
      <c r="I111" s="194">
        <f t="shared" si="715"/>
        <v>6611.9000333333324</v>
      </c>
      <c r="J111" s="194">
        <f t="shared" si="715"/>
        <v>6611.9000333333324</v>
      </c>
      <c r="K111" s="194">
        <f t="shared" si="715"/>
        <v>6611.9000333333324</v>
      </c>
      <c r="L111" s="194">
        <f t="shared" si="715"/>
        <v>6611.9000333333324</v>
      </c>
      <c r="M111" s="194">
        <f t="shared" si="715"/>
        <v>6611.9000333333324</v>
      </c>
      <c r="N111" s="1485">
        <f>((VLOOKUP($B$4,'Data Master'!$B$80:$T$88,14,0)*Summary!$D$14)+(VLOOKUP($B$4,'Data Master'!$B$80:$T$88,15,0)*(1-Summary!$D$14)))*'P&amp;L'!$E$1</f>
        <v>6611.9000333333324</v>
      </c>
      <c r="O111" s="194">
        <f t="shared" si="715"/>
        <v>6611.9000333333324</v>
      </c>
      <c r="P111" s="194">
        <f t="shared" si="715"/>
        <v>6611.9000333333324</v>
      </c>
      <c r="Q111" s="194">
        <f t="shared" si="715"/>
        <v>6611.9000333333324</v>
      </c>
      <c r="R111" s="194">
        <f t="shared" si="715"/>
        <v>6611.9000333333324</v>
      </c>
      <c r="S111" s="194">
        <f t="shared" si="715"/>
        <v>6611.9000333333324</v>
      </c>
      <c r="T111" s="288">
        <f>(((VLOOKUP($B$4,'Data Master'!$B$80:$T$88,14,0)*Summary!$E$14)+(VLOOKUP($B$4,'Data Master'!$B$80:$T$88,15,0)*(1-Summary!$E$14)))*'P&amp;L'!$E$1)*(1+T$129)</f>
        <v>6942.495034999999</v>
      </c>
      <c r="U111" s="194">
        <f t="shared" si="715"/>
        <v>6942.495034999999</v>
      </c>
      <c r="V111" s="194">
        <f t="shared" si="715"/>
        <v>6942.495034999999</v>
      </c>
      <c r="W111" s="194">
        <f t="shared" si="715"/>
        <v>6942.495034999999</v>
      </c>
      <c r="X111" s="194">
        <f t="shared" si="715"/>
        <v>6942.495034999999</v>
      </c>
      <c r="Y111" s="194">
        <f t="shared" si="715"/>
        <v>6942.495034999999</v>
      </c>
      <c r="Z111" s="194">
        <f t="shared" si="715"/>
        <v>6942.495034999999</v>
      </c>
      <c r="AA111" s="194">
        <f t="shared" si="715"/>
        <v>6942.495034999999</v>
      </c>
      <c r="AB111" s="194">
        <f t="shared" si="715"/>
        <v>6942.495034999999</v>
      </c>
      <c r="AC111" s="194">
        <f t="shared" si="715"/>
        <v>6942.495034999999</v>
      </c>
      <c r="AD111" s="194">
        <f t="shared" si="715"/>
        <v>6942.495034999999</v>
      </c>
      <c r="AE111" s="194">
        <f t="shared" si="715"/>
        <v>6942.495034999999</v>
      </c>
      <c r="AF111" s="288">
        <f t="shared" si="715"/>
        <v>7289.6197867499995</v>
      </c>
      <c r="AG111" s="194">
        <f t="shared" si="715"/>
        <v>7289.6197867499995</v>
      </c>
      <c r="AH111" s="194">
        <f t="shared" si="715"/>
        <v>7289.6197867499995</v>
      </c>
      <c r="AI111" s="194">
        <f t="shared" si="715"/>
        <v>7289.6197867499995</v>
      </c>
      <c r="AJ111" s="194">
        <f t="shared" si="715"/>
        <v>7289.6197867499995</v>
      </c>
      <c r="AK111" s="194">
        <f t="shared" si="715"/>
        <v>7289.6197867499995</v>
      </c>
      <c r="AL111" s="194">
        <f t="shared" si="715"/>
        <v>7289.6197867499995</v>
      </c>
      <c r="AM111" s="194">
        <f t="shared" si="715"/>
        <v>7289.6197867499995</v>
      </c>
      <c r="AN111" s="194">
        <f t="shared" ref="AN111:BO111" si="716">AM111*(1+AN$129)</f>
        <v>7289.6197867499995</v>
      </c>
      <c r="AO111" s="194">
        <f t="shared" si="716"/>
        <v>7289.6197867499995</v>
      </c>
      <c r="AP111" s="194">
        <f t="shared" si="716"/>
        <v>7289.6197867499995</v>
      </c>
      <c r="AQ111" s="194">
        <f t="shared" si="716"/>
        <v>7289.6197867499995</v>
      </c>
      <c r="AR111" s="288">
        <f t="shared" si="716"/>
        <v>7654.1007760875</v>
      </c>
      <c r="AS111" s="194">
        <f t="shared" si="716"/>
        <v>7654.1007760875</v>
      </c>
      <c r="AT111" s="194">
        <f t="shared" si="716"/>
        <v>7654.1007760875</v>
      </c>
      <c r="AU111" s="194">
        <f t="shared" si="716"/>
        <v>7654.1007760875</v>
      </c>
      <c r="AV111" s="194">
        <f t="shared" si="716"/>
        <v>7654.1007760875</v>
      </c>
      <c r="AW111" s="194">
        <f t="shared" si="716"/>
        <v>7654.1007760875</v>
      </c>
      <c r="AX111" s="194">
        <f t="shared" si="716"/>
        <v>7654.1007760875</v>
      </c>
      <c r="AY111" s="194">
        <f t="shared" si="716"/>
        <v>7654.1007760875</v>
      </c>
      <c r="AZ111" s="194">
        <f t="shared" si="716"/>
        <v>7654.1007760875</v>
      </c>
      <c r="BA111" s="194">
        <f t="shared" si="716"/>
        <v>7654.1007760875</v>
      </c>
      <c r="BB111" s="194">
        <f t="shared" si="716"/>
        <v>7654.1007760875</v>
      </c>
      <c r="BC111" s="194">
        <f t="shared" si="716"/>
        <v>7654.1007760875</v>
      </c>
      <c r="BD111" s="288">
        <f t="shared" si="716"/>
        <v>8036.8058148918753</v>
      </c>
      <c r="BE111" s="194">
        <f t="shared" si="716"/>
        <v>8036.8058148918753</v>
      </c>
      <c r="BF111" s="194">
        <f t="shared" si="716"/>
        <v>8036.8058148918753</v>
      </c>
      <c r="BG111" s="194">
        <f t="shared" si="716"/>
        <v>8036.8058148918753</v>
      </c>
      <c r="BH111" s="194">
        <f t="shared" si="716"/>
        <v>8036.8058148918753</v>
      </c>
      <c r="BI111" s="194">
        <f t="shared" si="716"/>
        <v>8036.8058148918753</v>
      </c>
      <c r="BJ111" s="194">
        <f t="shared" si="716"/>
        <v>8036.8058148918753</v>
      </c>
      <c r="BK111" s="194">
        <f t="shared" si="716"/>
        <v>8036.8058148918753</v>
      </c>
      <c r="BL111" s="194">
        <f t="shared" si="716"/>
        <v>8036.8058148918753</v>
      </c>
      <c r="BM111" s="194">
        <f t="shared" si="716"/>
        <v>8036.8058148918753</v>
      </c>
      <c r="BN111" s="194">
        <f t="shared" si="716"/>
        <v>8036.8058148918753</v>
      </c>
      <c r="BO111" s="194">
        <f t="shared" si="716"/>
        <v>8036.8058148918753</v>
      </c>
      <c r="BP111" s="288">
        <f t="shared" ref="BP111:BP112" si="717">BO111*(1+BP$129)</f>
        <v>8438.6461056364697</v>
      </c>
      <c r="BQ111" s="194">
        <f t="shared" ref="BQ111:BQ112" si="718">BP111*(1+BQ$129)</f>
        <v>8438.6461056364697</v>
      </c>
      <c r="BR111" s="194">
        <f t="shared" ref="BR111:BR112" si="719">BQ111*(1+BR$129)</f>
        <v>8438.6461056364697</v>
      </c>
      <c r="BS111" s="194">
        <f t="shared" ref="BS111:BS112" si="720">BR111*(1+BS$129)</f>
        <v>8438.6461056364697</v>
      </c>
      <c r="BT111" s="194">
        <f t="shared" ref="BT111:BT112" si="721">BS111*(1+BT$129)</f>
        <v>8438.6461056364697</v>
      </c>
      <c r="BU111" s="194">
        <f t="shared" ref="BU111:BU112" si="722">BT111*(1+BU$129)</f>
        <v>8438.6461056364697</v>
      </c>
      <c r="BV111" s="194">
        <f t="shared" ref="BV111:BV112" si="723">BU111*(1+BV$129)</f>
        <v>8438.6461056364697</v>
      </c>
      <c r="BW111" s="194">
        <f t="shared" ref="BW111:BW112" si="724">BV111*(1+BW$129)</f>
        <v>8438.6461056364697</v>
      </c>
      <c r="BX111" s="194">
        <f t="shared" ref="BX111:BX112" si="725">BW111*(1+BX$129)</f>
        <v>8438.6461056364697</v>
      </c>
      <c r="BY111" s="194">
        <f t="shared" ref="BY111:BY112" si="726">BX111*(1+BY$129)</f>
        <v>8438.6461056364697</v>
      </c>
      <c r="BZ111" s="194">
        <f t="shared" ref="BZ111:BZ112" si="727">BY111*(1+BZ$129)</f>
        <v>8438.6461056364697</v>
      </c>
      <c r="CA111" s="194">
        <f t="shared" ref="CA111:CA112" si="728">BZ111*(1+CA$129)</f>
        <v>8438.6461056364697</v>
      </c>
      <c r="CB111" s="288">
        <f t="shared" ref="CB111:CB112" si="729">CA111*(1+CB$129)</f>
        <v>8860.5784109182932</v>
      </c>
      <c r="CC111" s="194">
        <f t="shared" ref="CC111:CC112" si="730">CB111*(1+CC$129)</f>
        <v>8860.5784109182932</v>
      </c>
      <c r="CD111" s="194">
        <f t="shared" ref="CD111:CD112" si="731">CC111*(1+CD$129)</f>
        <v>8860.5784109182932</v>
      </c>
      <c r="CE111" s="194">
        <f t="shared" ref="CE111:CE112" si="732">CD111*(1+CE$129)</f>
        <v>8860.5784109182932</v>
      </c>
      <c r="CF111" s="194">
        <f t="shared" ref="CF111:CF112" si="733">CE111*(1+CF$129)</f>
        <v>8860.5784109182932</v>
      </c>
      <c r="CG111" s="194">
        <f t="shared" ref="CG111:CG112" si="734">CF111*(1+CG$129)</f>
        <v>8860.5784109182932</v>
      </c>
      <c r="CH111" s="194">
        <f t="shared" ref="CH111:CH112" si="735">CG111*(1+CH$129)</f>
        <v>8860.5784109182932</v>
      </c>
      <c r="CI111" s="194">
        <f t="shared" ref="CI111:CI112" si="736">CH111*(1+CI$129)</f>
        <v>8860.5784109182932</v>
      </c>
      <c r="CJ111" s="194">
        <f t="shared" ref="CJ111:CJ112" si="737">CI111*(1+CJ$129)</f>
        <v>8860.5784109182932</v>
      </c>
      <c r="CK111" s="194">
        <f t="shared" ref="CK111:CK112" si="738">CJ111*(1+CK$129)</f>
        <v>8860.5784109182932</v>
      </c>
      <c r="CL111" s="194">
        <f t="shared" ref="CL111:CL112" si="739">CK111*(1+CL$129)</f>
        <v>8860.5784109182932</v>
      </c>
      <c r="CM111" s="194">
        <f t="shared" ref="CM111:CM112" si="740">CL111*(1+CM$129)</f>
        <v>8860.5784109182932</v>
      </c>
      <c r="CN111" s="288">
        <f t="shared" ref="CN111:CN112" si="741">CM111*(1+CN$129)</f>
        <v>9303.607331464209</v>
      </c>
      <c r="CO111" s="194">
        <f t="shared" ref="CO111:CO112" si="742">CN111*(1+CO$129)</f>
        <v>9303.607331464209</v>
      </c>
      <c r="CP111" s="194">
        <f t="shared" ref="CP111:CP112" si="743">CO111*(1+CP$129)</f>
        <v>9303.607331464209</v>
      </c>
      <c r="CQ111" s="194">
        <f t="shared" ref="CQ111:CQ112" si="744">CP111*(1+CQ$129)</f>
        <v>9303.607331464209</v>
      </c>
      <c r="CR111" s="194">
        <f t="shared" ref="CR111:CR112" si="745">CQ111*(1+CR$129)</f>
        <v>9303.607331464209</v>
      </c>
      <c r="CS111" s="194">
        <f t="shared" ref="CS111:CS112" si="746">CR111*(1+CS$129)</f>
        <v>9303.607331464209</v>
      </c>
      <c r="CT111" s="194">
        <f t="shared" ref="CT111:CT112" si="747">CS111*(1+CT$129)</f>
        <v>9303.607331464209</v>
      </c>
      <c r="CU111" s="194">
        <f t="shared" ref="CU111:CU112" si="748">CT111*(1+CU$129)</f>
        <v>9303.607331464209</v>
      </c>
      <c r="CV111" s="194">
        <f t="shared" ref="CV111:CV112" si="749">CU111*(1+CV$129)</f>
        <v>9303.607331464209</v>
      </c>
      <c r="CW111" s="194">
        <f t="shared" ref="CW111:CW112" si="750">CV111*(1+CW$129)</f>
        <v>9303.607331464209</v>
      </c>
      <c r="CX111" s="194">
        <f t="shared" ref="CX111:CX112" si="751">CW111*(1+CX$129)</f>
        <v>9303.607331464209</v>
      </c>
      <c r="CY111" s="194">
        <f t="shared" ref="CY111:CY112" si="752">CX111*(1+CY$129)</f>
        <v>9303.607331464209</v>
      </c>
      <c r="CZ111" s="288">
        <f t="shared" ref="CZ111:CZ112" si="753">CY111*(1+CZ$129)</f>
        <v>9768.7876980374203</v>
      </c>
      <c r="DA111" s="194">
        <f t="shared" ref="DA111:DA112" si="754">CZ111*(1+DA$129)</f>
        <v>9768.7876980374203</v>
      </c>
      <c r="DB111" s="194">
        <f t="shared" ref="DB111:DB112" si="755">DA111*(1+DB$129)</f>
        <v>9768.7876980374203</v>
      </c>
      <c r="DC111" s="194">
        <f t="shared" ref="DC111:DC112" si="756">DB111*(1+DC$129)</f>
        <v>9768.7876980374203</v>
      </c>
      <c r="DD111" s="194">
        <f t="shared" ref="DD111:DD112" si="757">DC111*(1+DD$129)</f>
        <v>9768.7876980374203</v>
      </c>
      <c r="DE111" s="194">
        <f t="shared" ref="DE111:DE112" si="758">DD111*(1+DE$129)</f>
        <v>9768.7876980374203</v>
      </c>
      <c r="DF111" s="194">
        <f t="shared" ref="DF111:DF112" si="759">DE111*(1+DF$129)</f>
        <v>9768.7876980374203</v>
      </c>
      <c r="DG111" s="194">
        <f t="shared" ref="DG111:DG112" si="760">DF111*(1+DG$129)</f>
        <v>9768.7876980374203</v>
      </c>
      <c r="DH111" s="194">
        <f t="shared" ref="DH111:DH112" si="761">DG111*(1+DH$129)</f>
        <v>9768.7876980374203</v>
      </c>
      <c r="DI111" s="194">
        <f t="shared" ref="DI111:DI112" si="762">DH111*(1+DI$129)</f>
        <v>9768.7876980374203</v>
      </c>
      <c r="DJ111" s="194">
        <f t="shared" ref="DJ111:DJ112" si="763">DI111*(1+DJ$129)</f>
        <v>9768.7876980374203</v>
      </c>
      <c r="DK111" s="194">
        <f t="shared" ref="DK111:DK112" si="764">DJ111*(1+DK$129)</f>
        <v>9768.7876980374203</v>
      </c>
      <c r="DL111" s="288">
        <f t="shared" ref="DL111:DL112" si="765">DK111*(1+DL$129)</f>
        <v>10257.227082939291</v>
      </c>
      <c r="DM111" s="194">
        <f t="shared" ref="DM111:DM112" si="766">DL111*(1+DM$129)</f>
        <v>10257.227082939291</v>
      </c>
      <c r="DN111" s="194">
        <f t="shared" ref="DN111:DN112" si="767">DM111*(1+DN$129)</f>
        <v>10257.227082939291</v>
      </c>
      <c r="DO111" s="194">
        <f t="shared" ref="DO111:DO112" si="768">DN111*(1+DO$129)</f>
        <v>10257.227082939291</v>
      </c>
      <c r="DP111" s="194">
        <f t="shared" ref="DP111:DP112" si="769">DO111*(1+DP$129)</f>
        <v>10257.227082939291</v>
      </c>
      <c r="DQ111" s="194">
        <f t="shared" ref="DQ111:DQ112" si="770">DP111*(1+DQ$129)</f>
        <v>10257.227082939291</v>
      </c>
      <c r="DR111" s="194">
        <f t="shared" ref="DR111:DR112" si="771">DQ111*(1+DR$129)</f>
        <v>10257.227082939291</v>
      </c>
      <c r="DS111" s="194">
        <f t="shared" ref="DS111:DS112" si="772">DR111*(1+DS$129)</f>
        <v>10257.227082939291</v>
      </c>
      <c r="DT111" s="194">
        <f t="shared" ref="DT111:DT112" si="773">DS111*(1+DT$129)</f>
        <v>10257.227082939291</v>
      </c>
      <c r="DU111" s="194">
        <f t="shared" ref="DU111:DU112" si="774">DT111*(1+DU$129)</f>
        <v>10257.227082939291</v>
      </c>
      <c r="DV111" s="194">
        <f t="shared" ref="DV111:DV112" si="775">DU111*(1+DV$129)</f>
        <v>10257.227082939291</v>
      </c>
      <c r="DW111" s="194">
        <f t="shared" ref="DW111:DW112" si="776">DV111*(1+DW$129)</f>
        <v>10257.227082939291</v>
      </c>
    </row>
    <row r="112" spans="2:127" x14ac:dyDescent="0.3">
      <c r="D112" s="96" t="s">
        <v>58</v>
      </c>
      <c r="E112" s="191"/>
      <c r="F112" s="405"/>
      <c r="G112" s="1209">
        <f>VLOOKUP($B$4,'Data Master'!$B$80:$T$88,17,0)</f>
        <v>3642</v>
      </c>
      <c r="H112" s="194">
        <f t="shared" ref="H112:AM112" si="777">G112*(1+H$129)</f>
        <v>3642</v>
      </c>
      <c r="I112" s="194">
        <f t="shared" si="777"/>
        <v>3642</v>
      </c>
      <c r="J112" s="194">
        <f t="shared" si="777"/>
        <v>3642</v>
      </c>
      <c r="K112" s="194">
        <f t="shared" si="777"/>
        <v>3642</v>
      </c>
      <c r="L112" s="194">
        <f t="shared" si="777"/>
        <v>3642</v>
      </c>
      <c r="M112" s="194">
        <f t="shared" si="777"/>
        <v>3642</v>
      </c>
      <c r="N112" s="194">
        <f t="shared" si="777"/>
        <v>3642</v>
      </c>
      <c r="O112" s="194">
        <f t="shared" si="777"/>
        <v>3642</v>
      </c>
      <c r="P112" s="194">
        <f t="shared" si="777"/>
        <v>3642</v>
      </c>
      <c r="Q112" s="194">
        <f t="shared" si="777"/>
        <v>3642</v>
      </c>
      <c r="R112" s="194">
        <f t="shared" si="777"/>
        <v>3642</v>
      </c>
      <c r="S112" s="194">
        <f t="shared" si="777"/>
        <v>3642</v>
      </c>
      <c r="T112" s="1066">
        <f t="shared" si="777"/>
        <v>3824.1000000000004</v>
      </c>
      <c r="U112" s="194">
        <f t="shared" si="777"/>
        <v>3824.1000000000004</v>
      </c>
      <c r="V112" s="194">
        <f t="shared" si="777"/>
        <v>3824.1000000000004</v>
      </c>
      <c r="W112" s="194">
        <f t="shared" si="777"/>
        <v>3824.1000000000004</v>
      </c>
      <c r="X112" s="194">
        <f t="shared" si="777"/>
        <v>3824.1000000000004</v>
      </c>
      <c r="Y112" s="194">
        <f t="shared" si="777"/>
        <v>3824.1000000000004</v>
      </c>
      <c r="Z112" s="194">
        <f t="shared" si="777"/>
        <v>3824.1000000000004</v>
      </c>
      <c r="AA112" s="194">
        <f t="shared" si="777"/>
        <v>3824.1000000000004</v>
      </c>
      <c r="AB112" s="194">
        <f t="shared" si="777"/>
        <v>3824.1000000000004</v>
      </c>
      <c r="AC112" s="194">
        <f t="shared" si="777"/>
        <v>3824.1000000000004</v>
      </c>
      <c r="AD112" s="194">
        <f t="shared" si="777"/>
        <v>3824.1000000000004</v>
      </c>
      <c r="AE112" s="194">
        <f t="shared" si="777"/>
        <v>3824.1000000000004</v>
      </c>
      <c r="AF112" s="1066">
        <f t="shared" si="777"/>
        <v>4015.3050000000007</v>
      </c>
      <c r="AG112" s="194">
        <f t="shared" si="777"/>
        <v>4015.3050000000007</v>
      </c>
      <c r="AH112" s="194">
        <f t="shared" si="777"/>
        <v>4015.3050000000007</v>
      </c>
      <c r="AI112" s="194">
        <f t="shared" si="777"/>
        <v>4015.3050000000007</v>
      </c>
      <c r="AJ112" s="194">
        <f t="shared" si="777"/>
        <v>4015.3050000000007</v>
      </c>
      <c r="AK112" s="194">
        <f t="shared" si="777"/>
        <v>4015.3050000000007</v>
      </c>
      <c r="AL112" s="194">
        <f t="shared" si="777"/>
        <v>4015.3050000000007</v>
      </c>
      <c r="AM112" s="194">
        <f t="shared" si="777"/>
        <v>4015.3050000000007</v>
      </c>
      <c r="AN112" s="194">
        <f t="shared" ref="AN112:BO112" si="778">AM112*(1+AN$129)</f>
        <v>4015.3050000000007</v>
      </c>
      <c r="AO112" s="194">
        <f t="shared" si="778"/>
        <v>4015.3050000000007</v>
      </c>
      <c r="AP112" s="194">
        <f t="shared" si="778"/>
        <v>4015.3050000000007</v>
      </c>
      <c r="AQ112" s="194">
        <f t="shared" si="778"/>
        <v>4015.3050000000007</v>
      </c>
      <c r="AR112" s="1066">
        <f t="shared" si="778"/>
        <v>4216.0702500000007</v>
      </c>
      <c r="AS112" s="194">
        <f t="shared" si="778"/>
        <v>4216.0702500000007</v>
      </c>
      <c r="AT112" s="194">
        <f t="shared" si="778"/>
        <v>4216.0702500000007</v>
      </c>
      <c r="AU112" s="194">
        <f t="shared" si="778"/>
        <v>4216.0702500000007</v>
      </c>
      <c r="AV112" s="194">
        <f t="shared" si="778"/>
        <v>4216.0702500000007</v>
      </c>
      <c r="AW112" s="194">
        <f t="shared" si="778"/>
        <v>4216.0702500000007</v>
      </c>
      <c r="AX112" s="194">
        <f t="shared" si="778"/>
        <v>4216.0702500000007</v>
      </c>
      <c r="AY112" s="194">
        <f t="shared" si="778"/>
        <v>4216.0702500000007</v>
      </c>
      <c r="AZ112" s="194">
        <f t="shared" si="778"/>
        <v>4216.0702500000007</v>
      </c>
      <c r="BA112" s="194">
        <f t="shared" si="778"/>
        <v>4216.0702500000007</v>
      </c>
      <c r="BB112" s="194">
        <f t="shared" si="778"/>
        <v>4216.0702500000007</v>
      </c>
      <c r="BC112" s="194">
        <f t="shared" si="778"/>
        <v>4216.0702500000007</v>
      </c>
      <c r="BD112" s="1066">
        <f t="shared" si="778"/>
        <v>4426.8737625000012</v>
      </c>
      <c r="BE112" s="194">
        <f t="shared" si="778"/>
        <v>4426.8737625000012</v>
      </c>
      <c r="BF112" s="194">
        <f t="shared" si="778"/>
        <v>4426.8737625000012</v>
      </c>
      <c r="BG112" s="194">
        <f t="shared" si="778"/>
        <v>4426.8737625000012</v>
      </c>
      <c r="BH112" s="194">
        <f t="shared" si="778"/>
        <v>4426.8737625000012</v>
      </c>
      <c r="BI112" s="194">
        <f t="shared" si="778"/>
        <v>4426.8737625000012</v>
      </c>
      <c r="BJ112" s="194">
        <f t="shared" si="778"/>
        <v>4426.8737625000012</v>
      </c>
      <c r="BK112" s="194">
        <f t="shared" si="778"/>
        <v>4426.8737625000012</v>
      </c>
      <c r="BL112" s="194">
        <f t="shared" si="778"/>
        <v>4426.8737625000012</v>
      </c>
      <c r="BM112" s="194">
        <f t="shared" si="778"/>
        <v>4426.8737625000012</v>
      </c>
      <c r="BN112" s="194">
        <f t="shared" si="778"/>
        <v>4426.8737625000012</v>
      </c>
      <c r="BO112" s="194">
        <f t="shared" si="778"/>
        <v>4426.8737625000012</v>
      </c>
      <c r="BP112" s="1066">
        <f t="shared" si="717"/>
        <v>4648.2174506250012</v>
      </c>
      <c r="BQ112" s="194">
        <f t="shared" si="718"/>
        <v>4648.2174506250012</v>
      </c>
      <c r="BR112" s="194">
        <f t="shared" si="719"/>
        <v>4648.2174506250012</v>
      </c>
      <c r="BS112" s="194">
        <f t="shared" si="720"/>
        <v>4648.2174506250012</v>
      </c>
      <c r="BT112" s="194">
        <f t="shared" si="721"/>
        <v>4648.2174506250012</v>
      </c>
      <c r="BU112" s="194">
        <f t="shared" si="722"/>
        <v>4648.2174506250012</v>
      </c>
      <c r="BV112" s="194">
        <f t="shared" si="723"/>
        <v>4648.2174506250012</v>
      </c>
      <c r="BW112" s="194">
        <f t="shared" si="724"/>
        <v>4648.2174506250012</v>
      </c>
      <c r="BX112" s="194">
        <f t="shared" si="725"/>
        <v>4648.2174506250012</v>
      </c>
      <c r="BY112" s="194">
        <f t="shared" si="726"/>
        <v>4648.2174506250012</v>
      </c>
      <c r="BZ112" s="194">
        <f t="shared" si="727"/>
        <v>4648.2174506250012</v>
      </c>
      <c r="CA112" s="194">
        <f t="shared" si="728"/>
        <v>4648.2174506250012</v>
      </c>
      <c r="CB112" s="1066">
        <f t="shared" si="729"/>
        <v>4880.6283231562511</v>
      </c>
      <c r="CC112" s="194">
        <f t="shared" si="730"/>
        <v>4880.6283231562511</v>
      </c>
      <c r="CD112" s="194">
        <f t="shared" si="731"/>
        <v>4880.6283231562511</v>
      </c>
      <c r="CE112" s="194">
        <f t="shared" si="732"/>
        <v>4880.6283231562511</v>
      </c>
      <c r="CF112" s="194">
        <f t="shared" si="733"/>
        <v>4880.6283231562511</v>
      </c>
      <c r="CG112" s="194">
        <f t="shared" si="734"/>
        <v>4880.6283231562511</v>
      </c>
      <c r="CH112" s="194">
        <f t="shared" si="735"/>
        <v>4880.6283231562511</v>
      </c>
      <c r="CI112" s="194">
        <f t="shared" si="736"/>
        <v>4880.6283231562511</v>
      </c>
      <c r="CJ112" s="194">
        <f t="shared" si="737"/>
        <v>4880.6283231562511</v>
      </c>
      <c r="CK112" s="194">
        <f t="shared" si="738"/>
        <v>4880.6283231562511</v>
      </c>
      <c r="CL112" s="194">
        <f t="shared" si="739"/>
        <v>4880.6283231562511</v>
      </c>
      <c r="CM112" s="194">
        <f t="shared" si="740"/>
        <v>4880.6283231562511</v>
      </c>
      <c r="CN112" s="1066">
        <f t="shared" si="741"/>
        <v>5124.6597393140637</v>
      </c>
      <c r="CO112" s="194">
        <f t="shared" si="742"/>
        <v>5124.6597393140637</v>
      </c>
      <c r="CP112" s="194">
        <f t="shared" si="743"/>
        <v>5124.6597393140637</v>
      </c>
      <c r="CQ112" s="194">
        <f t="shared" si="744"/>
        <v>5124.6597393140637</v>
      </c>
      <c r="CR112" s="194">
        <f t="shared" si="745"/>
        <v>5124.6597393140637</v>
      </c>
      <c r="CS112" s="194">
        <f t="shared" si="746"/>
        <v>5124.6597393140637</v>
      </c>
      <c r="CT112" s="194">
        <f t="shared" si="747"/>
        <v>5124.6597393140637</v>
      </c>
      <c r="CU112" s="194">
        <f t="shared" si="748"/>
        <v>5124.6597393140637</v>
      </c>
      <c r="CV112" s="194">
        <f t="shared" si="749"/>
        <v>5124.6597393140637</v>
      </c>
      <c r="CW112" s="194">
        <f t="shared" si="750"/>
        <v>5124.6597393140637</v>
      </c>
      <c r="CX112" s="194">
        <f t="shared" si="751"/>
        <v>5124.6597393140637</v>
      </c>
      <c r="CY112" s="194">
        <f t="shared" si="752"/>
        <v>5124.6597393140637</v>
      </c>
      <c r="CZ112" s="1066">
        <f t="shared" si="753"/>
        <v>5380.892726279767</v>
      </c>
      <c r="DA112" s="194">
        <f t="shared" si="754"/>
        <v>5380.892726279767</v>
      </c>
      <c r="DB112" s="194">
        <f t="shared" si="755"/>
        <v>5380.892726279767</v>
      </c>
      <c r="DC112" s="194">
        <f t="shared" si="756"/>
        <v>5380.892726279767</v>
      </c>
      <c r="DD112" s="194">
        <f t="shared" si="757"/>
        <v>5380.892726279767</v>
      </c>
      <c r="DE112" s="194">
        <f t="shared" si="758"/>
        <v>5380.892726279767</v>
      </c>
      <c r="DF112" s="194">
        <f t="shared" si="759"/>
        <v>5380.892726279767</v>
      </c>
      <c r="DG112" s="194">
        <f t="shared" si="760"/>
        <v>5380.892726279767</v>
      </c>
      <c r="DH112" s="194">
        <f t="shared" si="761"/>
        <v>5380.892726279767</v>
      </c>
      <c r="DI112" s="194">
        <f t="shared" si="762"/>
        <v>5380.892726279767</v>
      </c>
      <c r="DJ112" s="194">
        <f t="shared" si="763"/>
        <v>5380.892726279767</v>
      </c>
      <c r="DK112" s="194">
        <f t="shared" si="764"/>
        <v>5380.892726279767</v>
      </c>
      <c r="DL112" s="1066">
        <f t="shared" si="765"/>
        <v>5649.937362593756</v>
      </c>
      <c r="DM112" s="194">
        <f t="shared" si="766"/>
        <v>5649.937362593756</v>
      </c>
      <c r="DN112" s="194">
        <f t="shared" si="767"/>
        <v>5649.937362593756</v>
      </c>
      <c r="DO112" s="194">
        <f t="shared" si="768"/>
        <v>5649.937362593756</v>
      </c>
      <c r="DP112" s="194">
        <f t="shared" si="769"/>
        <v>5649.937362593756</v>
      </c>
      <c r="DQ112" s="194">
        <f t="shared" si="770"/>
        <v>5649.937362593756</v>
      </c>
      <c r="DR112" s="194">
        <f t="shared" si="771"/>
        <v>5649.937362593756</v>
      </c>
      <c r="DS112" s="194">
        <f t="shared" si="772"/>
        <v>5649.937362593756</v>
      </c>
      <c r="DT112" s="194">
        <f t="shared" si="773"/>
        <v>5649.937362593756</v>
      </c>
      <c r="DU112" s="194">
        <f t="shared" si="774"/>
        <v>5649.937362593756</v>
      </c>
      <c r="DV112" s="194">
        <f t="shared" si="775"/>
        <v>5649.937362593756</v>
      </c>
      <c r="DW112" s="194">
        <f t="shared" si="776"/>
        <v>5649.937362593756</v>
      </c>
    </row>
    <row r="113" spans="1:127" s="93" customFormat="1" x14ac:dyDescent="0.3"/>
    <row r="114" spans="1:127" x14ac:dyDescent="0.3">
      <c r="C114" s="1072">
        <f>VLOOKUP($C$1,'Data Master'!$C$243:$F$258,4,0)</f>
        <v>1907</v>
      </c>
      <c r="D114" s="96" t="s">
        <v>239</v>
      </c>
      <c r="E114" s="194"/>
      <c r="F114" s="407"/>
      <c r="G114" s="1209">
        <f>C114*(MAX(Data!$G$63:$S$63))</f>
        <v>109410.72747126437</v>
      </c>
      <c r="H114" s="194">
        <f t="shared" ref="H114:AM114" si="779">G114</f>
        <v>109410.72747126437</v>
      </c>
      <c r="I114" s="194">
        <f t="shared" si="779"/>
        <v>109410.72747126437</v>
      </c>
      <c r="J114" s="194">
        <f t="shared" si="779"/>
        <v>109410.72747126437</v>
      </c>
      <c r="K114" s="194">
        <f t="shared" si="779"/>
        <v>109410.72747126437</v>
      </c>
      <c r="L114" s="194">
        <f t="shared" si="779"/>
        <v>109410.72747126437</v>
      </c>
      <c r="M114" s="194">
        <f t="shared" si="779"/>
        <v>109410.72747126437</v>
      </c>
      <c r="N114" s="194">
        <f t="shared" si="779"/>
        <v>109410.72747126437</v>
      </c>
      <c r="O114" s="194">
        <f t="shared" si="779"/>
        <v>109410.72747126437</v>
      </c>
      <c r="P114" s="194">
        <f t="shared" si="779"/>
        <v>109410.72747126437</v>
      </c>
      <c r="Q114" s="194">
        <f t="shared" si="779"/>
        <v>109410.72747126437</v>
      </c>
      <c r="R114" s="194">
        <f t="shared" si="779"/>
        <v>109410.72747126437</v>
      </c>
      <c r="S114" s="194">
        <f t="shared" si="779"/>
        <v>109410.72747126437</v>
      </c>
      <c r="T114" s="193">
        <f>C114*(MAX(Data!$T$63:$AE$63))</f>
        <v>107885.12747126436</v>
      </c>
      <c r="U114" s="194">
        <f t="shared" si="779"/>
        <v>107885.12747126436</v>
      </c>
      <c r="V114" s="194">
        <f t="shared" si="779"/>
        <v>107885.12747126436</v>
      </c>
      <c r="W114" s="194">
        <f t="shared" si="779"/>
        <v>107885.12747126436</v>
      </c>
      <c r="X114" s="194">
        <f t="shared" si="779"/>
        <v>107885.12747126436</v>
      </c>
      <c r="Y114" s="194">
        <f t="shared" si="779"/>
        <v>107885.12747126436</v>
      </c>
      <c r="Z114" s="194">
        <f t="shared" si="779"/>
        <v>107885.12747126436</v>
      </c>
      <c r="AA114" s="194">
        <f t="shared" si="779"/>
        <v>107885.12747126436</v>
      </c>
      <c r="AB114" s="194">
        <f t="shared" si="779"/>
        <v>107885.12747126436</v>
      </c>
      <c r="AC114" s="194">
        <f t="shared" si="779"/>
        <v>107885.12747126436</v>
      </c>
      <c r="AD114" s="194">
        <f t="shared" si="779"/>
        <v>107885.12747126436</v>
      </c>
      <c r="AE114" s="194">
        <f t="shared" si="779"/>
        <v>107885.12747126436</v>
      </c>
      <c r="AF114" s="193">
        <f>$C$114*(MAX(Data!$AF$63:$AQ$63))</f>
        <v>107885.12747126436</v>
      </c>
      <c r="AG114" s="194">
        <f t="shared" si="779"/>
        <v>107885.12747126436</v>
      </c>
      <c r="AH114" s="194">
        <f t="shared" si="779"/>
        <v>107885.12747126436</v>
      </c>
      <c r="AI114" s="194">
        <f t="shared" si="779"/>
        <v>107885.12747126436</v>
      </c>
      <c r="AJ114" s="194">
        <f t="shared" si="779"/>
        <v>107885.12747126436</v>
      </c>
      <c r="AK114" s="194">
        <f t="shared" si="779"/>
        <v>107885.12747126436</v>
      </c>
      <c r="AL114" s="194">
        <f t="shared" si="779"/>
        <v>107885.12747126436</v>
      </c>
      <c r="AM114" s="194">
        <f t="shared" si="779"/>
        <v>107885.12747126436</v>
      </c>
      <c r="AN114" s="194">
        <f t="shared" ref="AN114:BO114" si="780">AM114</f>
        <v>107885.12747126436</v>
      </c>
      <c r="AO114" s="194">
        <f t="shared" si="780"/>
        <v>107885.12747126436</v>
      </c>
      <c r="AP114" s="194">
        <f t="shared" si="780"/>
        <v>107885.12747126436</v>
      </c>
      <c r="AQ114" s="194">
        <f t="shared" si="780"/>
        <v>107885.12747126436</v>
      </c>
      <c r="AR114" s="193">
        <f>$C$114*(MAX(Data!$AR$63:$BC$63))</f>
        <v>107885.12747126436</v>
      </c>
      <c r="AS114" s="194">
        <f t="shared" si="780"/>
        <v>107885.12747126436</v>
      </c>
      <c r="AT114" s="194">
        <f t="shared" si="780"/>
        <v>107885.12747126436</v>
      </c>
      <c r="AU114" s="194">
        <f t="shared" si="780"/>
        <v>107885.12747126436</v>
      </c>
      <c r="AV114" s="194">
        <f t="shared" si="780"/>
        <v>107885.12747126436</v>
      </c>
      <c r="AW114" s="194">
        <f t="shared" si="780"/>
        <v>107885.12747126436</v>
      </c>
      <c r="AX114" s="194">
        <f t="shared" si="780"/>
        <v>107885.12747126436</v>
      </c>
      <c r="AY114" s="194">
        <f t="shared" si="780"/>
        <v>107885.12747126436</v>
      </c>
      <c r="AZ114" s="194">
        <f t="shared" si="780"/>
        <v>107885.12747126436</v>
      </c>
      <c r="BA114" s="194">
        <f t="shared" si="780"/>
        <v>107885.12747126436</v>
      </c>
      <c r="BB114" s="194">
        <f t="shared" si="780"/>
        <v>107885.12747126436</v>
      </c>
      <c r="BC114" s="194">
        <f t="shared" si="780"/>
        <v>107885.12747126436</v>
      </c>
      <c r="BD114" s="193">
        <f>$C$114*(MAX(Data!$BD$63:$BP$63))</f>
        <v>107885.12747126436</v>
      </c>
      <c r="BE114" s="194">
        <f t="shared" si="780"/>
        <v>107885.12747126436</v>
      </c>
      <c r="BF114" s="194">
        <f t="shared" si="780"/>
        <v>107885.12747126436</v>
      </c>
      <c r="BG114" s="194">
        <f t="shared" si="780"/>
        <v>107885.12747126436</v>
      </c>
      <c r="BH114" s="194">
        <f t="shared" si="780"/>
        <v>107885.12747126436</v>
      </c>
      <c r="BI114" s="194">
        <f t="shared" si="780"/>
        <v>107885.12747126436</v>
      </c>
      <c r="BJ114" s="194">
        <f t="shared" si="780"/>
        <v>107885.12747126436</v>
      </c>
      <c r="BK114" s="194">
        <f t="shared" si="780"/>
        <v>107885.12747126436</v>
      </c>
      <c r="BL114" s="194">
        <f t="shared" si="780"/>
        <v>107885.12747126436</v>
      </c>
      <c r="BM114" s="194">
        <f t="shared" si="780"/>
        <v>107885.12747126436</v>
      </c>
      <c r="BN114" s="194">
        <f t="shared" si="780"/>
        <v>107885.12747126436</v>
      </c>
      <c r="BO114" s="194">
        <f t="shared" si="780"/>
        <v>107885.12747126436</v>
      </c>
      <c r="BP114" s="193">
        <f>$C$114*(MAX(Data!$BP$63:$CB$63))</f>
        <v>107885.12747126436</v>
      </c>
      <c r="BQ114" s="194">
        <f t="shared" ref="BQ114:BQ115" si="781">BP114</f>
        <v>107885.12747126436</v>
      </c>
      <c r="BR114" s="194">
        <f t="shared" ref="BR114:BR115" si="782">BQ114</f>
        <v>107885.12747126436</v>
      </c>
      <c r="BS114" s="194">
        <f t="shared" ref="BS114:BS115" si="783">BR114</f>
        <v>107885.12747126436</v>
      </c>
      <c r="BT114" s="194">
        <f t="shared" ref="BT114:BT115" si="784">BS114</f>
        <v>107885.12747126436</v>
      </c>
      <c r="BU114" s="194">
        <f t="shared" ref="BU114:BU115" si="785">BT114</f>
        <v>107885.12747126436</v>
      </c>
      <c r="BV114" s="194">
        <f t="shared" ref="BV114:BV115" si="786">BU114</f>
        <v>107885.12747126436</v>
      </c>
      <c r="BW114" s="194">
        <f t="shared" ref="BW114:BW115" si="787">BV114</f>
        <v>107885.12747126436</v>
      </c>
      <c r="BX114" s="194">
        <f t="shared" ref="BX114:BX115" si="788">BW114</f>
        <v>107885.12747126436</v>
      </c>
      <c r="BY114" s="194">
        <f t="shared" ref="BY114:BY115" si="789">BX114</f>
        <v>107885.12747126436</v>
      </c>
      <c r="BZ114" s="194">
        <f t="shared" ref="BZ114:BZ115" si="790">BY114</f>
        <v>107885.12747126436</v>
      </c>
      <c r="CA114" s="194">
        <f t="shared" ref="CA114:CA115" si="791">BZ114</f>
        <v>107885.12747126436</v>
      </c>
      <c r="CB114" s="193">
        <f>$C$114*(MAX(Data!$CB$63:$CN$63))</f>
        <v>107885.12747126436</v>
      </c>
      <c r="CC114" s="194">
        <f t="shared" ref="CC114:CC115" si="792">CB114</f>
        <v>107885.12747126436</v>
      </c>
      <c r="CD114" s="194">
        <f t="shared" ref="CD114:CD115" si="793">CC114</f>
        <v>107885.12747126436</v>
      </c>
      <c r="CE114" s="194">
        <f t="shared" ref="CE114:CE115" si="794">CD114</f>
        <v>107885.12747126436</v>
      </c>
      <c r="CF114" s="194">
        <f t="shared" ref="CF114:CF115" si="795">CE114</f>
        <v>107885.12747126436</v>
      </c>
      <c r="CG114" s="194">
        <f t="shared" ref="CG114:CG115" si="796">CF114</f>
        <v>107885.12747126436</v>
      </c>
      <c r="CH114" s="194">
        <f t="shared" ref="CH114:CH115" si="797">CG114</f>
        <v>107885.12747126436</v>
      </c>
      <c r="CI114" s="194">
        <f t="shared" ref="CI114:CI115" si="798">CH114</f>
        <v>107885.12747126436</v>
      </c>
      <c r="CJ114" s="194">
        <f t="shared" ref="CJ114:CJ115" si="799">CI114</f>
        <v>107885.12747126436</v>
      </c>
      <c r="CK114" s="194">
        <f t="shared" ref="CK114:CK115" si="800">CJ114</f>
        <v>107885.12747126436</v>
      </c>
      <c r="CL114" s="194">
        <f t="shared" ref="CL114:CL115" si="801">CK114</f>
        <v>107885.12747126436</v>
      </c>
      <c r="CM114" s="194">
        <f t="shared" ref="CM114:CM115" si="802">CL114</f>
        <v>107885.12747126436</v>
      </c>
      <c r="CN114" s="193">
        <f>$C$114*(MAX(Data!$CN$63:$CZ$63))</f>
        <v>107885.12747126436</v>
      </c>
      <c r="CO114" s="194">
        <f t="shared" ref="CO114:CO115" si="803">CN114</f>
        <v>107885.12747126436</v>
      </c>
      <c r="CP114" s="194">
        <f t="shared" ref="CP114:CP115" si="804">CO114</f>
        <v>107885.12747126436</v>
      </c>
      <c r="CQ114" s="194">
        <f t="shared" ref="CQ114:CQ115" si="805">CP114</f>
        <v>107885.12747126436</v>
      </c>
      <c r="CR114" s="194">
        <f t="shared" ref="CR114:CR115" si="806">CQ114</f>
        <v>107885.12747126436</v>
      </c>
      <c r="CS114" s="194">
        <f t="shared" ref="CS114:CS115" si="807">CR114</f>
        <v>107885.12747126436</v>
      </c>
      <c r="CT114" s="194">
        <f t="shared" ref="CT114:CT115" si="808">CS114</f>
        <v>107885.12747126436</v>
      </c>
      <c r="CU114" s="194">
        <f t="shared" ref="CU114:CU115" si="809">CT114</f>
        <v>107885.12747126436</v>
      </c>
      <c r="CV114" s="194">
        <f t="shared" ref="CV114:CV115" si="810">CU114</f>
        <v>107885.12747126436</v>
      </c>
      <c r="CW114" s="194">
        <f t="shared" ref="CW114:CW115" si="811">CV114</f>
        <v>107885.12747126436</v>
      </c>
      <c r="CX114" s="194">
        <f t="shared" ref="CX114:CX115" si="812">CW114</f>
        <v>107885.12747126436</v>
      </c>
      <c r="CY114" s="194">
        <f t="shared" ref="CY114:CY115" si="813">CX114</f>
        <v>107885.12747126436</v>
      </c>
      <c r="CZ114" s="193">
        <f>$C$114*(MAX(Data!$CZ$63:$DL$63))</f>
        <v>107885.12747126436</v>
      </c>
      <c r="DA114" s="194">
        <f t="shared" ref="DA114:DA115" si="814">CZ114</f>
        <v>107885.12747126436</v>
      </c>
      <c r="DB114" s="194">
        <f t="shared" ref="DB114:DB115" si="815">DA114</f>
        <v>107885.12747126436</v>
      </c>
      <c r="DC114" s="194">
        <f t="shared" ref="DC114:DC115" si="816">DB114</f>
        <v>107885.12747126436</v>
      </c>
      <c r="DD114" s="194">
        <f t="shared" ref="DD114:DD115" si="817">DC114</f>
        <v>107885.12747126436</v>
      </c>
      <c r="DE114" s="194">
        <f t="shared" ref="DE114:DE115" si="818">DD114</f>
        <v>107885.12747126436</v>
      </c>
      <c r="DF114" s="194">
        <f t="shared" ref="DF114:DF115" si="819">DE114</f>
        <v>107885.12747126436</v>
      </c>
      <c r="DG114" s="194">
        <f t="shared" ref="DG114:DG115" si="820">DF114</f>
        <v>107885.12747126436</v>
      </c>
      <c r="DH114" s="194">
        <f t="shared" ref="DH114:DH115" si="821">DG114</f>
        <v>107885.12747126436</v>
      </c>
      <c r="DI114" s="194">
        <f t="shared" ref="DI114:DI115" si="822">DH114</f>
        <v>107885.12747126436</v>
      </c>
      <c r="DJ114" s="194">
        <f t="shared" ref="DJ114:DJ115" si="823">DI114</f>
        <v>107885.12747126436</v>
      </c>
      <c r="DK114" s="194">
        <f t="shared" ref="DK114:DK115" si="824">DJ114</f>
        <v>107885.12747126436</v>
      </c>
      <c r="DL114" s="193">
        <f>$C$114*(MAX(Data!$DL$63:$DW$63))</f>
        <v>107885.12747126436</v>
      </c>
      <c r="DM114" s="194">
        <f t="shared" ref="DM114:DM115" si="825">DL114</f>
        <v>107885.12747126436</v>
      </c>
      <c r="DN114" s="194">
        <f t="shared" ref="DN114:DN115" si="826">DM114</f>
        <v>107885.12747126436</v>
      </c>
      <c r="DO114" s="194">
        <f t="shared" ref="DO114:DO115" si="827">DN114</f>
        <v>107885.12747126436</v>
      </c>
      <c r="DP114" s="194">
        <f t="shared" ref="DP114:DP115" si="828">DO114</f>
        <v>107885.12747126436</v>
      </c>
      <c r="DQ114" s="194">
        <f t="shared" ref="DQ114:DQ115" si="829">DP114</f>
        <v>107885.12747126436</v>
      </c>
      <c r="DR114" s="194">
        <f t="shared" ref="DR114:DR115" si="830">DQ114</f>
        <v>107885.12747126436</v>
      </c>
      <c r="DS114" s="194">
        <f t="shared" ref="DS114:DS115" si="831">DR114</f>
        <v>107885.12747126436</v>
      </c>
      <c r="DT114" s="194">
        <f t="shared" ref="DT114:DT115" si="832">DS114</f>
        <v>107885.12747126436</v>
      </c>
      <c r="DU114" s="194">
        <f t="shared" ref="DU114:DU115" si="833">DT114</f>
        <v>107885.12747126436</v>
      </c>
      <c r="DV114" s="194">
        <f t="shared" ref="DV114:DV115" si="834">DU114</f>
        <v>107885.12747126436</v>
      </c>
      <c r="DW114" s="194">
        <f t="shared" ref="DW114:DW115" si="835">DV114</f>
        <v>107885.12747126436</v>
      </c>
    </row>
    <row r="115" spans="1:127" x14ac:dyDescent="0.3">
      <c r="C115" s="1072">
        <f>VLOOKUP($B$4,'Data Master'!$B$80:$T$88,19,0)</f>
        <v>0</v>
      </c>
      <c r="D115" s="96" t="s">
        <v>240</v>
      </c>
      <c r="E115" s="196"/>
      <c r="F115" s="408"/>
      <c r="G115" s="1209">
        <f>C115*(MAX(Data!$G$63:$S$63))</f>
        <v>0</v>
      </c>
      <c r="H115" s="196">
        <f t="shared" ref="H115:AM115" si="836">G115</f>
        <v>0</v>
      </c>
      <c r="I115" s="196">
        <f t="shared" si="836"/>
        <v>0</v>
      </c>
      <c r="J115" s="196">
        <f t="shared" si="836"/>
        <v>0</v>
      </c>
      <c r="K115" s="196">
        <f t="shared" si="836"/>
        <v>0</v>
      </c>
      <c r="L115" s="196">
        <f t="shared" si="836"/>
        <v>0</v>
      </c>
      <c r="M115" s="196">
        <f t="shared" si="836"/>
        <v>0</v>
      </c>
      <c r="N115" s="196">
        <f t="shared" si="836"/>
        <v>0</v>
      </c>
      <c r="O115" s="196">
        <f t="shared" si="836"/>
        <v>0</v>
      </c>
      <c r="P115" s="196">
        <f t="shared" si="836"/>
        <v>0</v>
      </c>
      <c r="Q115" s="196">
        <f t="shared" si="836"/>
        <v>0</v>
      </c>
      <c r="R115" s="196">
        <f t="shared" si="836"/>
        <v>0</v>
      </c>
      <c r="S115" s="196">
        <f t="shared" si="836"/>
        <v>0</v>
      </c>
      <c r="T115" s="288">
        <f t="shared" si="836"/>
        <v>0</v>
      </c>
      <c r="U115" s="196">
        <f t="shared" si="836"/>
        <v>0</v>
      </c>
      <c r="V115" s="196">
        <f t="shared" si="836"/>
        <v>0</v>
      </c>
      <c r="W115" s="196">
        <f t="shared" si="836"/>
        <v>0</v>
      </c>
      <c r="X115" s="196">
        <f t="shared" si="836"/>
        <v>0</v>
      </c>
      <c r="Y115" s="196">
        <f t="shared" si="836"/>
        <v>0</v>
      </c>
      <c r="Z115" s="196">
        <f t="shared" si="836"/>
        <v>0</v>
      </c>
      <c r="AA115" s="196">
        <f t="shared" si="836"/>
        <v>0</v>
      </c>
      <c r="AB115" s="196">
        <f t="shared" si="836"/>
        <v>0</v>
      </c>
      <c r="AC115" s="196">
        <f t="shared" si="836"/>
        <v>0</v>
      </c>
      <c r="AD115" s="196">
        <f t="shared" si="836"/>
        <v>0</v>
      </c>
      <c r="AE115" s="196">
        <f t="shared" si="836"/>
        <v>0</v>
      </c>
      <c r="AF115" s="288">
        <f t="shared" si="836"/>
        <v>0</v>
      </c>
      <c r="AG115" s="196">
        <f t="shared" si="836"/>
        <v>0</v>
      </c>
      <c r="AH115" s="196">
        <f t="shared" si="836"/>
        <v>0</v>
      </c>
      <c r="AI115" s="196">
        <f t="shared" si="836"/>
        <v>0</v>
      </c>
      <c r="AJ115" s="196">
        <f t="shared" si="836"/>
        <v>0</v>
      </c>
      <c r="AK115" s="196">
        <f t="shared" si="836"/>
        <v>0</v>
      </c>
      <c r="AL115" s="196">
        <f t="shared" si="836"/>
        <v>0</v>
      </c>
      <c r="AM115" s="196">
        <f t="shared" si="836"/>
        <v>0</v>
      </c>
      <c r="AN115" s="196">
        <f t="shared" ref="AN115:BO115" si="837">AM115</f>
        <v>0</v>
      </c>
      <c r="AO115" s="196">
        <f t="shared" si="837"/>
        <v>0</v>
      </c>
      <c r="AP115" s="196">
        <f t="shared" si="837"/>
        <v>0</v>
      </c>
      <c r="AQ115" s="196">
        <f t="shared" si="837"/>
        <v>0</v>
      </c>
      <c r="AR115" s="288">
        <f t="shared" si="837"/>
        <v>0</v>
      </c>
      <c r="AS115" s="196">
        <f t="shared" si="837"/>
        <v>0</v>
      </c>
      <c r="AT115" s="196">
        <f t="shared" si="837"/>
        <v>0</v>
      </c>
      <c r="AU115" s="196">
        <f t="shared" si="837"/>
        <v>0</v>
      </c>
      <c r="AV115" s="196">
        <f t="shared" si="837"/>
        <v>0</v>
      </c>
      <c r="AW115" s="196">
        <f t="shared" si="837"/>
        <v>0</v>
      </c>
      <c r="AX115" s="196">
        <f t="shared" si="837"/>
        <v>0</v>
      </c>
      <c r="AY115" s="196">
        <f t="shared" si="837"/>
        <v>0</v>
      </c>
      <c r="AZ115" s="196">
        <f t="shared" si="837"/>
        <v>0</v>
      </c>
      <c r="BA115" s="196">
        <f t="shared" si="837"/>
        <v>0</v>
      </c>
      <c r="BB115" s="196">
        <f t="shared" si="837"/>
        <v>0</v>
      </c>
      <c r="BC115" s="196">
        <f t="shared" si="837"/>
        <v>0</v>
      </c>
      <c r="BD115" s="288">
        <f t="shared" si="837"/>
        <v>0</v>
      </c>
      <c r="BE115" s="196">
        <f t="shared" si="837"/>
        <v>0</v>
      </c>
      <c r="BF115" s="196">
        <f t="shared" si="837"/>
        <v>0</v>
      </c>
      <c r="BG115" s="196">
        <f t="shared" si="837"/>
        <v>0</v>
      </c>
      <c r="BH115" s="196">
        <f t="shared" si="837"/>
        <v>0</v>
      </c>
      <c r="BI115" s="196">
        <f t="shared" si="837"/>
        <v>0</v>
      </c>
      <c r="BJ115" s="196">
        <f t="shared" si="837"/>
        <v>0</v>
      </c>
      <c r="BK115" s="196">
        <f t="shared" si="837"/>
        <v>0</v>
      </c>
      <c r="BL115" s="196">
        <f t="shared" si="837"/>
        <v>0</v>
      </c>
      <c r="BM115" s="196">
        <f t="shared" si="837"/>
        <v>0</v>
      </c>
      <c r="BN115" s="196">
        <f t="shared" si="837"/>
        <v>0</v>
      </c>
      <c r="BO115" s="196">
        <f t="shared" si="837"/>
        <v>0</v>
      </c>
      <c r="BP115" s="288">
        <f t="shared" ref="BP115" si="838">BO115</f>
        <v>0</v>
      </c>
      <c r="BQ115" s="196">
        <f t="shared" si="781"/>
        <v>0</v>
      </c>
      <c r="BR115" s="196">
        <f t="shared" si="782"/>
        <v>0</v>
      </c>
      <c r="BS115" s="196">
        <f t="shared" si="783"/>
        <v>0</v>
      </c>
      <c r="BT115" s="196">
        <f t="shared" si="784"/>
        <v>0</v>
      </c>
      <c r="BU115" s="196">
        <f t="shared" si="785"/>
        <v>0</v>
      </c>
      <c r="BV115" s="196">
        <f t="shared" si="786"/>
        <v>0</v>
      </c>
      <c r="BW115" s="196">
        <f t="shared" si="787"/>
        <v>0</v>
      </c>
      <c r="BX115" s="196">
        <f t="shared" si="788"/>
        <v>0</v>
      </c>
      <c r="BY115" s="196">
        <f t="shared" si="789"/>
        <v>0</v>
      </c>
      <c r="BZ115" s="196">
        <f t="shared" si="790"/>
        <v>0</v>
      </c>
      <c r="CA115" s="196">
        <f t="shared" si="791"/>
        <v>0</v>
      </c>
      <c r="CB115" s="288">
        <f t="shared" ref="CB115" si="839">CA115</f>
        <v>0</v>
      </c>
      <c r="CC115" s="196">
        <f t="shared" si="792"/>
        <v>0</v>
      </c>
      <c r="CD115" s="196">
        <f t="shared" si="793"/>
        <v>0</v>
      </c>
      <c r="CE115" s="196">
        <f t="shared" si="794"/>
        <v>0</v>
      </c>
      <c r="CF115" s="196">
        <f t="shared" si="795"/>
        <v>0</v>
      </c>
      <c r="CG115" s="196">
        <f t="shared" si="796"/>
        <v>0</v>
      </c>
      <c r="CH115" s="196">
        <f t="shared" si="797"/>
        <v>0</v>
      </c>
      <c r="CI115" s="196">
        <f t="shared" si="798"/>
        <v>0</v>
      </c>
      <c r="CJ115" s="196">
        <f t="shared" si="799"/>
        <v>0</v>
      </c>
      <c r="CK115" s="196">
        <f t="shared" si="800"/>
        <v>0</v>
      </c>
      <c r="CL115" s="196">
        <f t="shared" si="801"/>
        <v>0</v>
      </c>
      <c r="CM115" s="196">
        <f t="shared" si="802"/>
        <v>0</v>
      </c>
      <c r="CN115" s="288">
        <f t="shared" ref="CN115" si="840">CM115</f>
        <v>0</v>
      </c>
      <c r="CO115" s="196">
        <f t="shared" si="803"/>
        <v>0</v>
      </c>
      <c r="CP115" s="196">
        <f t="shared" si="804"/>
        <v>0</v>
      </c>
      <c r="CQ115" s="196">
        <f t="shared" si="805"/>
        <v>0</v>
      </c>
      <c r="CR115" s="196">
        <f t="shared" si="806"/>
        <v>0</v>
      </c>
      <c r="CS115" s="196">
        <f t="shared" si="807"/>
        <v>0</v>
      </c>
      <c r="CT115" s="196">
        <f t="shared" si="808"/>
        <v>0</v>
      </c>
      <c r="CU115" s="196">
        <f t="shared" si="809"/>
        <v>0</v>
      </c>
      <c r="CV115" s="196">
        <f t="shared" si="810"/>
        <v>0</v>
      </c>
      <c r="CW115" s="196">
        <f t="shared" si="811"/>
        <v>0</v>
      </c>
      <c r="CX115" s="196">
        <f t="shared" si="812"/>
        <v>0</v>
      </c>
      <c r="CY115" s="196">
        <f t="shared" si="813"/>
        <v>0</v>
      </c>
      <c r="CZ115" s="288">
        <f t="shared" ref="CZ115" si="841">CY115</f>
        <v>0</v>
      </c>
      <c r="DA115" s="196">
        <f t="shared" si="814"/>
        <v>0</v>
      </c>
      <c r="DB115" s="196">
        <f t="shared" si="815"/>
        <v>0</v>
      </c>
      <c r="DC115" s="196">
        <f t="shared" si="816"/>
        <v>0</v>
      </c>
      <c r="DD115" s="196">
        <f t="shared" si="817"/>
        <v>0</v>
      </c>
      <c r="DE115" s="196">
        <f t="shared" si="818"/>
        <v>0</v>
      </c>
      <c r="DF115" s="196">
        <f t="shared" si="819"/>
        <v>0</v>
      </c>
      <c r="DG115" s="196">
        <f t="shared" si="820"/>
        <v>0</v>
      </c>
      <c r="DH115" s="196">
        <f t="shared" si="821"/>
        <v>0</v>
      </c>
      <c r="DI115" s="196">
        <f t="shared" si="822"/>
        <v>0</v>
      </c>
      <c r="DJ115" s="196">
        <f t="shared" si="823"/>
        <v>0</v>
      </c>
      <c r="DK115" s="196">
        <f t="shared" si="824"/>
        <v>0</v>
      </c>
      <c r="DL115" s="288">
        <f t="shared" ref="DL115" si="842">DK115</f>
        <v>0</v>
      </c>
      <c r="DM115" s="196">
        <f t="shared" si="825"/>
        <v>0</v>
      </c>
      <c r="DN115" s="196">
        <f t="shared" si="826"/>
        <v>0</v>
      </c>
      <c r="DO115" s="196">
        <f t="shared" si="827"/>
        <v>0</v>
      </c>
      <c r="DP115" s="196">
        <f t="shared" si="828"/>
        <v>0</v>
      </c>
      <c r="DQ115" s="196">
        <f t="shared" si="829"/>
        <v>0</v>
      </c>
      <c r="DR115" s="196">
        <f t="shared" si="830"/>
        <v>0</v>
      </c>
      <c r="DS115" s="196">
        <f t="shared" si="831"/>
        <v>0</v>
      </c>
      <c r="DT115" s="196">
        <f t="shared" si="832"/>
        <v>0</v>
      </c>
      <c r="DU115" s="196">
        <f t="shared" si="833"/>
        <v>0</v>
      </c>
      <c r="DV115" s="196">
        <f t="shared" si="834"/>
        <v>0</v>
      </c>
      <c r="DW115" s="196">
        <f t="shared" si="835"/>
        <v>0</v>
      </c>
    </row>
    <row r="116" spans="1:127" s="93" customFormat="1" x14ac:dyDescent="0.3"/>
    <row r="117" spans="1:127" x14ac:dyDescent="0.3">
      <c r="D117" s="96" t="s">
        <v>311</v>
      </c>
      <c r="E117" s="308"/>
      <c r="F117" s="521"/>
      <c r="G117" s="1210">
        <f>IF(Summary!$AQ$3="Included",Summary!$AR$3,0%)</f>
        <v>0</v>
      </c>
      <c r="H117" s="308">
        <f>G117</f>
        <v>0</v>
      </c>
      <c r="I117" s="308">
        <f t="shared" ref="I117:BT117" si="843">H117</f>
        <v>0</v>
      </c>
      <c r="J117" s="308">
        <f t="shared" si="843"/>
        <v>0</v>
      </c>
      <c r="K117" s="308">
        <f t="shared" si="843"/>
        <v>0</v>
      </c>
      <c r="L117" s="308">
        <f t="shared" si="843"/>
        <v>0</v>
      </c>
      <c r="M117" s="308">
        <f t="shared" si="843"/>
        <v>0</v>
      </c>
      <c r="N117" s="308">
        <f t="shared" si="843"/>
        <v>0</v>
      </c>
      <c r="O117" s="308">
        <f t="shared" si="843"/>
        <v>0</v>
      </c>
      <c r="P117" s="308">
        <f t="shared" si="843"/>
        <v>0</v>
      </c>
      <c r="Q117" s="308">
        <f t="shared" si="843"/>
        <v>0</v>
      </c>
      <c r="R117" s="308">
        <f t="shared" si="843"/>
        <v>0</v>
      </c>
      <c r="S117" s="308">
        <f t="shared" si="843"/>
        <v>0</v>
      </c>
      <c r="T117" s="309">
        <f t="shared" si="843"/>
        <v>0</v>
      </c>
      <c r="U117" s="308">
        <f t="shared" si="843"/>
        <v>0</v>
      </c>
      <c r="V117" s="308">
        <f t="shared" si="843"/>
        <v>0</v>
      </c>
      <c r="W117" s="308">
        <f t="shared" si="843"/>
        <v>0</v>
      </c>
      <c r="X117" s="308">
        <f t="shared" si="843"/>
        <v>0</v>
      </c>
      <c r="Y117" s="308">
        <f t="shared" si="843"/>
        <v>0</v>
      </c>
      <c r="Z117" s="308">
        <f t="shared" si="843"/>
        <v>0</v>
      </c>
      <c r="AA117" s="308">
        <f t="shared" si="843"/>
        <v>0</v>
      </c>
      <c r="AB117" s="308">
        <f t="shared" si="843"/>
        <v>0</v>
      </c>
      <c r="AC117" s="308">
        <f t="shared" si="843"/>
        <v>0</v>
      </c>
      <c r="AD117" s="308">
        <f t="shared" si="843"/>
        <v>0</v>
      </c>
      <c r="AE117" s="308">
        <f t="shared" si="843"/>
        <v>0</v>
      </c>
      <c r="AF117" s="309">
        <f t="shared" si="843"/>
        <v>0</v>
      </c>
      <c r="AG117" s="308">
        <f t="shared" si="843"/>
        <v>0</v>
      </c>
      <c r="AH117" s="308">
        <f t="shared" si="843"/>
        <v>0</v>
      </c>
      <c r="AI117" s="308">
        <f t="shared" si="843"/>
        <v>0</v>
      </c>
      <c r="AJ117" s="308">
        <f t="shared" si="843"/>
        <v>0</v>
      </c>
      <c r="AK117" s="308">
        <f t="shared" si="843"/>
        <v>0</v>
      </c>
      <c r="AL117" s="308">
        <f t="shared" si="843"/>
        <v>0</v>
      </c>
      <c r="AM117" s="308">
        <f t="shared" si="843"/>
        <v>0</v>
      </c>
      <c r="AN117" s="308">
        <f t="shared" si="843"/>
        <v>0</v>
      </c>
      <c r="AO117" s="308">
        <f t="shared" si="843"/>
        <v>0</v>
      </c>
      <c r="AP117" s="308">
        <f t="shared" si="843"/>
        <v>0</v>
      </c>
      <c r="AQ117" s="308">
        <f t="shared" si="843"/>
        <v>0</v>
      </c>
      <c r="AR117" s="309">
        <f t="shared" si="843"/>
        <v>0</v>
      </c>
      <c r="AS117" s="308">
        <f t="shared" si="843"/>
        <v>0</v>
      </c>
      <c r="AT117" s="308">
        <f t="shared" si="843"/>
        <v>0</v>
      </c>
      <c r="AU117" s="308">
        <f t="shared" si="843"/>
        <v>0</v>
      </c>
      <c r="AV117" s="308">
        <f t="shared" si="843"/>
        <v>0</v>
      </c>
      <c r="AW117" s="308">
        <f t="shared" si="843"/>
        <v>0</v>
      </c>
      <c r="AX117" s="308">
        <f t="shared" si="843"/>
        <v>0</v>
      </c>
      <c r="AY117" s="308">
        <f t="shared" si="843"/>
        <v>0</v>
      </c>
      <c r="AZ117" s="308">
        <f t="shared" si="843"/>
        <v>0</v>
      </c>
      <c r="BA117" s="308">
        <f t="shared" si="843"/>
        <v>0</v>
      </c>
      <c r="BB117" s="308">
        <f t="shared" si="843"/>
        <v>0</v>
      </c>
      <c r="BC117" s="308">
        <f t="shared" si="843"/>
        <v>0</v>
      </c>
      <c r="BD117" s="309">
        <f t="shared" si="843"/>
        <v>0</v>
      </c>
      <c r="BE117" s="308">
        <f t="shared" si="843"/>
        <v>0</v>
      </c>
      <c r="BF117" s="308">
        <f t="shared" si="843"/>
        <v>0</v>
      </c>
      <c r="BG117" s="308">
        <f t="shared" si="843"/>
        <v>0</v>
      </c>
      <c r="BH117" s="308">
        <f t="shared" si="843"/>
        <v>0</v>
      </c>
      <c r="BI117" s="308">
        <f t="shared" si="843"/>
        <v>0</v>
      </c>
      <c r="BJ117" s="308">
        <f t="shared" si="843"/>
        <v>0</v>
      </c>
      <c r="BK117" s="308">
        <f t="shared" si="843"/>
        <v>0</v>
      </c>
      <c r="BL117" s="308">
        <f t="shared" si="843"/>
        <v>0</v>
      </c>
      <c r="BM117" s="308">
        <f t="shared" si="843"/>
        <v>0</v>
      </c>
      <c r="BN117" s="308">
        <f t="shared" si="843"/>
        <v>0</v>
      </c>
      <c r="BO117" s="308">
        <f t="shared" si="843"/>
        <v>0</v>
      </c>
      <c r="BP117" s="309">
        <f t="shared" si="843"/>
        <v>0</v>
      </c>
      <c r="BQ117" s="308">
        <f t="shared" si="843"/>
        <v>0</v>
      </c>
      <c r="BR117" s="308">
        <f t="shared" si="843"/>
        <v>0</v>
      </c>
      <c r="BS117" s="308">
        <f t="shared" si="843"/>
        <v>0</v>
      </c>
      <c r="BT117" s="308">
        <f t="shared" si="843"/>
        <v>0</v>
      </c>
      <c r="BU117" s="308">
        <f t="shared" ref="BU117:DW117" si="844">BT117</f>
        <v>0</v>
      </c>
      <c r="BV117" s="308">
        <f t="shared" si="844"/>
        <v>0</v>
      </c>
      <c r="BW117" s="308">
        <f t="shared" si="844"/>
        <v>0</v>
      </c>
      <c r="BX117" s="308">
        <f t="shared" si="844"/>
        <v>0</v>
      </c>
      <c r="BY117" s="308">
        <f t="shared" si="844"/>
        <v>0</v>
      </c>
      <c r="BZ117" s="308">
        <f t="shared" si="844"/>
        <v>0</v>
      </c>
      <c r="CA117" s="308">
        <f t="shared" si="844"/>
        <v>0</v>
      </c>
      <c r="CB117" s="309">
        <f t="shared" si="844"/>
        <v>0</v>
      </c>
      <c r="CC117" s="308">
        <f t="shared" si="844"/>
        <v>0</v>
      </c>
      <c r="CD117" s="308">
        <f t="shared" si="844"/>
        <v>0</v>
      </c>
      <c r="CE117" s="308">
        <f t="shared" si="844"/>
        <v>0</v>
      </c>
      <c r="CF117" s="308">
        <f t="shared" si="844"/>
        <v>0</v>
      </c>
      <c r="CG117" s="308">
        <f t="shared" si="844"/>
        <v>0</v>
      </c>
      <c r="CH117" s="308">
        <f t="shared" si="844"/>
        <v>0</v>
      </c>
      <c r="CI117" s="308">
        <f t="shared" si="844"/>
        <v>0</v>
      </c>
      <c r="CJ117" s="308">
        <f t="shared" si="844"/>
        <v>0</v>
      </c>
      <c r="CK117" s="308">
        <f t="shared" si="844"/>
        <v>0</v>
      </c>
      <c r="CL117" s="308">
        <f t="shared" si="844"/>
        <v>0</v>
      </c>
      <c r="CM117" s="308">
        <f t="shared" si="844"/>
        <v>0</v>
      </c>
      <c r="CN117" s="309">
        <f t="shared" si="844"/>
        <v>0</v>
      </c>
      <c r="CO117" s="308">
        <f t="shared" si="844"/>
        <v>0</v>
      </c>
      <c r="CP117" s="308">
        <f t="shared" si="844"/>
        <v>0</v>
      </c>
      <c r="CQ117" s="308">
        <f t="shared" si="844"/>
        <v>0</v>
      </c>
      <c r="CR117" s="308">
        <f t="shared" si="844"/>
        <v>0</v>
      </c>
      <c r="CS117" s="308">
        <f t="shared" si="844"/>
        <v>0</v>
      </c>
      <c r="CT117" s="308">
        <f t="shared" si="844"/>
        <v>0</v>
      </c>
      <c r="CU117" s="308">
        <f t="shared" si="844"/>
        <v>0</v>
      </c>
      <c r="CV117" s="308">
        <f t="shared" si="844"/>
        <v>0</v>
      </c>
      <c r="CW117" s="308">
        <f t="shared" si="844"/>
        <v>0</v>
      </c>
      <c r="CX117" s="308">
        <f t="shared" si="844"/>
        <v>0</v>
      </c>
      <c r="CY117" s="308">
        <f t="shared" si="844"/>
        <v>0</v>
      </c>
      <c r="CZ117" s="309">
        <f t="shared" si="844"/>
        <v>0</v>
      </c>
      <c r="DA117" s="308">
        <f t="shared" si="844"/>
        <v>0</v>
      </c>
      <c r="DB117" s="308">
        <f t="shared" si="844"/>
        <v>0</v>
      </c>
      <c r="DC117" s="308">
        <f t="shared" si="844"/>
        <v>0</v>
      </c>
      <c r="DD117" s="308">
        <f t="shared" si="844"/>
        <v>0</v>
      </c>
      <c r="DE117" s="308">
        <f t="shared" si="844"/>
        <v>0</v>
      </c>
      <c r="DF117" s="308">
        <f t="shared" si="844"/>
        <v>0</v>
      </c>
      <c r="DG117" s="308">
        <f t="shared" si="844"/>
        <v>0</v>
      </c>
      <c r="DH117" s="308">
        <f t="shared" si="844"/>
        <v>0</v>
      </c>
      <c r="DI117" s="308">
        <f t="shared" si="844"/>
        <v>0</v>
      </c>
      <c r="DJ117" s="308">
        <f t="shared" si="844"/>
        <v>0</v>
      </c>
      <c r="DK117" s="308">
        <f t="shared" si="844"/>
        <v>0</v>
      </c>
      <c r="DL117" s="309">
        <f t="shared" si="844"/>
        <v>0</v>
      </c>
      <c r="DM117" s="308">
        <f t="shared" si="844"/>
        <v>0</v>
      </c>
      <c r="DN117" s="308">
        <f t="shared" si="844"/>
        <v>0</v>
      </c>
      <c r="DO117" s="308">
        <f t="shared" si="844"/>
        <v>0</v>
      </c>
      <c r="DP117" s="308">
        <f t="shared" si="844"/>
        <v>0</v>
      </c>
      <c r="DQ117" s="308">
        <f t="shared" si="844"/>
        <v>0</v>
      </c>
      <c r="DR117" s="308">
        <f t="shared" si="844"/>
        <v>0</v>
      </c>
      <c r="DS117" s="308">
        <f t="shared" si="844"/>
        <v>0</v>
      </c>
      <c r="DT117" s="308">
        <f t="shared" si="844"/>
        <v>0</v>
      </c>
      <c r="DU117" s="308">
        <f t="shared" si="844"/>
        <v>0</v>
      </c>
      <c r="DV117" s="308">
        <f t="shared" si="844"/>
        <v>0</v>
      </c>
      <c r="DW117" s="308">
        <f t="shared" si="844"/>
        <v>0</v>
      </c>
    </row>
    <row r="118" spans="1:127" x14ac:dyDescent="0.3">
      <c r="A118" s="1481" t="s">
        <v>810</v>
      </c>
      <c r="B118" s="1481" t="s">
        <v>811</v>
      </c>
      <c r="C118" s="1481" t="s">
        <v>295</v>
      </c>
      <c r="D118" s="96" t="str">
        <f>Summary!$AP4</f>
        <v>Transition Cost</v>
      </c>
      <c r="E118" s="196"/>
      <c r="F118" s="408"/>
      <c r="G118" s="1211">
        <f>IF(Summary!$AQ$4="Included",Summary!$AR$4,0)/'P&amp;L'!$E$5</f>
        <v>0</v>
      </c>
      <c r="H118" s="196"/>
      <c r="I118" s="196"/>
      <c r="J118" s="196"/>
      <c r="K118" s="196"/>
      <c r="L118" s="196"/>
      <c r="M118" s="196"/>
      <c r="N118" s="196"/>
      <c r="O118" s="196"/>
      <c r="P118" s="196"/>
      <c r="Q118" s="196"/>
      <c r="R118" s="196"/>
      <c r="S118" s="196"/>
      <c r="T118" s="288"/>
      <c r="U118" s="196"/>
      <c r="V118" s="196"/>
      <c r="W118" s="196"/>
      <c r="X118" s="196"/>
      <c r="Y118" s="196"/>
      <c r="Z118" s="196"/>
      <c r="AA118" s="196"/>
      <c r="AB118" s="196"/>
      <c r="AC118" s="196"/>
      <c r="AD118" s="196"/>
      <c r="AE118" s="196"/>
      <c r="AF118" s="288"/>
      <c r="AG118" s="196"/>
      <c r="AH118" s="196"/>
      <c r="AI118" s="196"/>
      <c r="AJ118" s="196"/>
      <c r="AK118" s="196"/>
      <c r="AL118" s="196"/>
      <c r="AM118" s="196"/>
      <c r="AN118" s="196"/>
      <c r="AO118" s="196"/>
      <c r="AP118" s="196"/>
      <c r="AQ118" s="196"/>
      <c r="AR118" s="288"/>
      <c r="AS118" s="196"/>
      <c r="AT118" s="196"/>
      <c r="AU118" s="196"/>
      <c r="AV118" s="196"/>
      <c r="AW118" s="196"/>
      <c r="AX118" s="196"/>
      <c r="AY118" s="196"/>
      <c r="AZ118" s="196"/>
      <c r="BA118" s="196"/>
      <c r="BB118" s="196"/>
      <c r="BC118" s="196"/>
      <c r="BD118" s="288"/>
      <c r="BE118" s="196"/>
      <c r="BF118" s="196"/>
      <c r="BG118" s="196"/>
      <c r="BH118" s="196"/>
      <c r="BI118" s="196"/>
      <c r="BJ118" s="196"/>
      <c r="BK118" s="196"/>
      <c r="BL118" s="196"/>
      <c r="BM118" s="196"/>
      <c r="BN118" s="196"/>
      <c r="BO118" s="196"/>
      <c r="BP118" s="288"/>
      <c r="BQ118" s="196"/>
      <c r="BR118" s="196"/>
      <c r="BS118" s="196"/>
      <c r="BT118" s="196"/>
      <c r="BU118" s="196"/>
      <c r="BV118" s="196"/>
      <c r="BW118" s="196"/>
      <c r="BX118" s="196"/>
      <c r="BY118" s="196"/>
      <c r="BZ118" s="196"/>
      <c r="CA118" s="196"/>
      <c r="CB118" s="288"/>
      <c r="CC118" s="196"/>
      <c r="CD118" s="196"/>
      <c r="CE118" s="196"/>
      <c r="CF118" s="196"/>
      <c r="CG118" s="196"/>
      <c r="CH118" s="196"/>
      <c r="CI118" s="196"/>
      <c r="CJ118" s="196"/>
      <c r="CK118" s="196"/>
      <c r="CL118" s="196"/>
      <c r="CM118" s="196"/>
      <c r="CN118" s="288"/>
      <c r="CO118" s="196"/>
      <c r="CP118" s="196"/>
      <c r="CQ118" s="196"/>
      <c r="CR118" s="196"/>
      <c r="CS118" s="196"/>
      <c r="CT118" s="196"/>
      <c r="CU118" s="196"/>
      <c r="CV118" s="196"/>
      <c r="CW118" s="196"/>
      <c r="CX118" s="196"/>
      <c r="CY118" s="196"/>
      <c r="CZ118" s="288"/>
      <c r="DA118" s="196"/>
      <c r="DB118" s="196"/>
      <c r="DC118" s="196"/>
      <c r="DD118" s="196"/>
      <c r="DE118" s="196"/>
      <c r="DF118" s="196"/>
      <c r="DG118" s="196"/>
      <c r="DH118" s="196"/>
      <c r="DI118" s="196"/>
      <c r="DJ118" s="196"/>
      <c r="DK118" s="196"/>
      <c r="DL118" s="288"/>
      <c r="DM118" s="196"/>
      <c r="DN118" s="196"/>
      <c r="DO118" s="196"/>
      <c r="DP118" s="196"/>
      <c r="DQ118" s="196"/>
      <c r="DR118" s="196"/>
      <c r="DS118" s="196"/>
      <c r="DT118" s="196"/>
      <c r="DU118" s="196"/>
      <c r="DV118" s="196"/>
      <c r="DW118" s="196"/>
    </row>
    <row r="119" spans="1:127" x14ac:dyDescent="0.3">
      <c r="A119" s="1482">
        <f>IF(Summary!$AQ$5="Included",(HLOOKUP($D$4,'Data Master'!$C$141:$L$145,4,0)*(1-Summary!$C$14)),0)</f>
        <v>0</v>
      </c>
      <c r="B119" s="1482">
        <f>IF(Summary!$AQ$5="Included",(HLOOKUP($D$4,'Data Master'!$C$141:$L$145,4,0)*(1-Summary!$D$14)),0)</f>
        <v>0</v>
      </c>
      <c r="C119" s="1482">
        <f>IF(Summary!$AQ$5="Included",(HLOOKUP($D$4,'Data Master'!$C$141:$L$145,4,0)*(1-Summary!$E$14)),0)</f>
        <v>0</v>
      </c>
      <c r="D119" s="1078" t="str">
        <f>Summary!$AP5</f>
        <v>Tech Logistic cost (WAH)/Seat</v>
      </c>
      <c r="E119" s="196"/>
      <c r="F119" s="408"/>
      <c r="G119" s="1211"/>
      <c r="H119" s="196">
        <f t="shared" ref="H119" si="845">G119*(1+H$129)</f>
        <v>0</v>
      </c>
      <c r="I119" s="196">
        <f t="shared" ref="I119" si="846">H119*(1+I$129)</f>
        <v>0</v>
      </c>
      <c r="J119" s="196">
        <f t="shared" ref="J119" si="847">I119*(1+J$129)</f>
        <v>0</v>
      </c>
      <c r="K119" s="196">
        <f t="shared" ref="K119" si="848">J119*(1+K$129)</f>
        <v>0</v>
      </c>
      <c r="L119" s="196">
        <f t="shared" ref="L119" si="849">K119*(1+L$129)</f>
        <v>0</v>
      </c>
      <c r="M119" s="196">
        <f t="shared" ref="M119" si="850">L119*(1+M$129)</f>
        <v>0</v>
      </c>
      <c r="N119" s="196">
        <f t="shared" ref="N119" si="851">M119*(1+N$129)</f>
        <v>0</v>
      </c>
      <c r="O119" s="196">
        <f t="shared" ref="O119" si="852">N119*(1+O$129)</f>
        <v>0</v>
      </c>
      <c r="P119" s="196">
        <f t="shared" ref="P119" si="853">O119*(1+P$129)</f>
        <v>0</v>
      </c>
      <c r="Q119" s="196">
        <f t="shared" ref="Q119" si="854">P119*(1+Q$129)</f>
        <v>0</v>
      </c>
      <c r="R119" s="196">
        <f t="shared" ref="R119" si="855">Q119*(1+R$129)</f>
        <v>0</v>
      </c>
      <c r="S119" s="196">
        <f t="shared" ref="S119" si="856">R119*(1+S$129)</f>
        <v>0</v>
      </c>
      <c r="T119" s="288">
        <f t="shared" ref="T119" si="857">S119*(1+T$129)</f>
        <v>0</v>
      </c>
      <c r="U119" s="196">
        <f t="shared" ref="U119" si="858">T119*(1+U$129)</f>
        <v>0</v>
      </c>
      <c r="V119" s="196">
        <f t="shared" ref="V119" si="859">U119*(1+V$129)</f>
        <v>0</v>
      </c>
      <c r="W119" s="196">
        <f t="shared" ref="W119" si="860">V119*(1+W$129)</f>
        <v>0</v>
      </c>
      <c r="X119" s="196">
        <f t="shared" ref="X119" si="861">W119*(1+X$129)</f>
        <v>0</v>
      </c>
      <c r="Y119" s="196">
        <f t="shared" ref="Y119" si="862">X119*(1+Y$129)</f>
        <v>0</v>
      </c>
      <c r="Z119" s="196">
        <f t="shared" ref="Z119" si="863">Y119*(1+Z$129)</f>
        <v>0</v>
      </c>
      <c r="AA119" s="196">
        <f t="shared" ref="AA119" si="864">Z119*(1+AA$129)</f>
        <v>0</v>
      </c>
      <c r="AB119" s="196">
        <f t="shared" ref="AB119" si="865">AA119*(1+AB$129)</f>
        <v>0</v>
      </c>
      <c r="AC119" s="196">
        <f t="shared" ref="AC119" si="866">AB119*(1+AC$129)</f>
        <v>0</v>
      </c>
      <c r="AD119" s="196">
        <f t="shared" ref="AD119" si="867">AC119*(1+AD$129)</f>
        <v>0</v>
      </c>
      <c r="AE119" s="196">
        <f t="shared" ref="AE119" si="868">AD119*(1+AE$129)</f>
        <v>0</v>
      </c>
      <c r="AF119" s="288">
        <f t="shared" ref="AF119" si="869">AE119*(1+AF$129)</f>
        <v>0</v>
      </c>
      <c r="AG119" s="196">
        <f t="shared" ref="AG119" si="870">AF119*(1+AG$129)</f>
        <v>0</v>
      </c>
      <c r="AH119" s="196">
        <f t="shared" ref="AH119" si="871">AG119*(1+AH$129)</f>
        <v>0</v>
      </c>
      <c r="AI119" s="196">
        <f t="shared" ref="AI119" si="872">AH119*(1+AI$129)</f>
        <v>0</v>
      </c>
      <c r="AJ119" s="196">
        <f t="shared" ref="AJ119" si="873">AI119*(1+AJ$129)</f>
        <v>0</v>
      </c>
      <c r="AK119" s="196">
        <f t="shared" ref="AK119" si="874">AJ119*(1+AK$129)</f>
        <v>0</v>
      </c>
      <c r="AL119" s="196">
        <f t="shared" ref="AL119" si="875">AK119*(1+AL$129)</f>
        <v>0</v>
      </c>
      <c r="AM119" s="196">
        <f t="shared" ref="AM119" si="876">AL119*(1+AM$129)</f>
        <v>0</v>
      </c>
      <c r="AN119" s="196">
        <f t="shared" ref="AN119" si="877">AM119*(1+AN$129)</f>
        <v>0</v>
      </c>
      <c r="AO119" s="196">
        <f t="shared" ref="AO119" si="878">AN119*(1+AO$129)</f>
        <v>0</v>
      </c>
      <c r="AP119" s="196">
        <f t="shared" ref="AP119" si="879">AO119*(1+AP$129)</f>
        <v>0</v>
      </c>
      <c r="AQ119" s="196">
        <f t="shared" ref="AQ119" si="880">AP119*(1+AQ$129)</f>
        <v>0</v>
      </c>
      <c r="AR119" s="288">
        <f t="shared" ref="AR119" si="881">AQ119*(1+AR$129)</f>
        <v>0</v>
      </c>
      <c r="AS119" s="196">
        <f t="shared" ref="AS119" si="882">AR119*(1+AS$129)</f>
        <v>0</v>
      </c>
      <c r="AT119" s="196">
        <f t="shared" ref="AT119" si="883">AS119*(1+AT$129)</f>
        <v>0</v>
      </c>
      <c r="AU119" s="196">
        <f t="shared" ref="AU119" si="884">AT119*(1+AU$129)</f>
        <v>0</v>
      </c>
      <c r="AV119" s="196">
        <f t="shared" ref="AV119" si="885">AU119*(1+AV$129)</f>
        <v>0</v>
      </c>
      <c r="AW119" s="196">
        <f t="shared" ref="AW119" si="886">AV119*(1+AW$129)</f>
        <v>0</v>
      </c>
      <c r="AX119" s="196">
        <f t="shared" ref="AX119" si="887">AW119*(1+AX$129)</f>
        <v>0</v>
      </c>
      <c r="AY119" s="196">
        <f t="shared" ref="AY119" si="888">AX119*(1+AY$129)</f>
        <v>0</v>
      </c>
      <c r="AZ119" s="196">
        <f t="shared" ref="AZ119" si="889">AY119*(1+AZ$129)</f>
        <v>0</v>
      </c>
      <c r="BA119" s="196">
        <f t="shared" ref="BA119" si="890">AZ119*(1+BA$129)</f>
        <v>0</v>
      </c>
      <c r="BB119" s="196">
        <f t="shared" ref="BB119" si="891">BA119*(1+BB$129)</f>
        <v>0</v>
      </c>
      <c r="BC119" s="196">
        <f t="shared" ref="BC119" si="892">BB119*(1+BC$129)</f>
        <v>0</v>
      </c>
      <c r="BD119" s="288">
        <f t="shared" ref="BD119" si="893">BC119*(1+BD$129)</f>
        <v>0</v>
      </c>
      <c r="BE119" s="196">
        <f t="shared" ref="BE119" si="894">BD119*(1+BE$129)</f>
        <v>0</v>
      </c>
      <c r="BF119" s="196">
        <f t="shared" ref="BF119" si="895">BE119*(1+BF$129)</f>
        <v>0</v>
      </c>
      <c r="BG119" s="196">
        <f t="shared" ref="BG119" si="896">BF119*(1+BG$129)</f>
        <v>0</v>
      </c>
      <c r="BH119" s="196">
        <f t="shared" ref="BH119" si="897">BG119*(1+BH$129)</f>
        <v>0</v>
      </c>
      <c r="BI119" s="196">
        <f t="shared" ref="BI119" si="898">BH119*(1+BI$129)</f>
        <v>0</v>
      </c>
      <c r="BJ119" s="196">
        <f t="shared" ref="BJ119" si="899">BI119*(1+BJ$129)</f>
        <v>0</v>
      </c>
      <c r="BK119" s="196">
        <f t="shared" ref="BK119" si="900">BJ119*(1+BK$129)</f>
        <v>0</v>
      </c>
      <c r="BL119" s="196">
        <f t="shared" ref="BL119" si="901">BK119*(1+BL$129)</f>
        <v>0</v>
      </c>
      <c r="BM119" s="196">
        <f t="shared" ref="BM119" si="902">BL119*(1+BM$129)</f>
        <v>0</v>
      </c>
      <c r="BN119" s="196">
        <f t="shared" ref="BN119" si="903">BM119*(1+BN$129)</f>
        <v>0</v>
      </c>
      <c r="BO119" s="196">
        <f t="shared" ref="BO119" si="904">BN119*(1+BO$129)</f>
        <v>0</v>
      </c>
      <c r="BP119" s="288">
        <f t="shared" ref="BP119" si="905">BO119*(1+BP$129)</f>
        <v>0</v>
      </c>
      <c r="BQ119" s="196">
        <f t="shared" ref="BQ119" si="906">BP119*(1+BQ$129)</f>
        <v>0</v>
      </c>
      <c r="BR119" s="196">
        <f t="shared" ref="BR119" si="907">BQ119*(1+BR$129)</f>
        <v>0</v>
      </c>
      <c r="BS119" s="196">
        <f t="shared" ref="BS119" si="908">BR119*(1+BS$129)</f>
        <v>0</v>
      </c>
      <c r="BT119" s="196">
        <f t="shared" ref="BT119" si="909">BS119*(1+BT$129)</f>
        <v>0</v>
      </c>
      <c r="BU119" s="196">
        <f t="shared" ref="BU119" si="910">BT119*(1+BU$129)</f>
        <v>0</v>
      </c>
      <c r="BV119" s="196">
        <f t="shared" ref="BV119" si="911">BU119*(1+BV$129)</f>
        <v>0</v>
      </c>
      <c r="BW119" s="196">
        <f t="shared" ref="BW119" si="912">BV119*(1+BW$129)</f>
        <v>0</v>
      </c>
      <c r="BX119" s="196">
        <f t="shared" ref="BX119" si="913">BW119*(1+BX$129)</f>
        <v>0</v>
      </c>
      <c r="BY119" s="196">
        <f t="shared" ref="BY119" si="914">BX119*(1+BY$129)</f>
        <v>0</v>
      </c>
      <c r="BZ119" s="196">
        <f t="shared" ref="BZ119" si="915">BY119*(1+BZ$129)</f>
        <v>0</v>
      </c>
      <c r="CA119" s="196">
        <f t="shared" ref="CA119" si="916">BZ119*(1+CA$129)</f>
        <v>0</v>
      </c>
      <c r="CB119" s="288">
        <f t="shared" ref="CB119" si="917">CA119*(1+CB$129)</f>
        <v>0</v>
      </c>
      <c r="CC119" s="196">
        <f t="shared" ref="CC119" si="918">CB119*(1+CC$129)</f>
        <v>0</v>
      </c>
      <c r="CD119" s="196">
        <f t="shared" ref="CD119" si="919">CC119*(1+CD$129)</f>
        <v>0</v>
      </c>
      <c r="CE119" s="196">
        <f t="shared" ref="CE119" si="920">CD119*(1+CE$129)</f>
        <v>0</v>
      </c>
      <c r="CF119" s="196">
        <f t="shared" ref="CF119" si="921">CE119*(1+CF$129)</f>
        <v>0</v>
      </c>
      <c r="CG119" s="196">
        <f t="shared" ref="CG119" si="922">CF119*(1+CG$129)</f>
        <v>0</v>
      </c>
      <c r="CH119" s="196">
        <f t="shared" ref="CH119" si="923">CG119*(1+CH$129)</f>
        <v>0</v>
      </c>
      <c r="CI119" s="196">
        <f t="shared" ref="CI119" si="924">CH119*(1+CI$129)</f>
        <v>0</v>
      </c>
      <c r="CJ119" s="196">
        <f t="shared" ref="CJ119" si="925">CI119*(1+CJ$129)</f>
        <v>0</v>
      </c>
      <c r="CK119" s="196">
        <f t="shared" ref="CK119" si="926">CJ119*(1+CK$129)</f>
        <v>0</v>
      </c>
      <c r="CL119" s="196">
        <f t="shared" ref="CL119" si="927">CK119*(1+CL$129)</f>
        <v>0</v>
      </c>
      <c r="CM119" s="196">
        <f t="shared" ref="CM119" si="928">CL119*(1+CM$129)</f>
        <v>0</v>
      </c>
      <c r="CN119" s="288">
        <f t="shared" ref="CN119" si="929">CM119*(1+CN$129)</f>
        <v>0</v>
      </c>
      <c r="CO119" s="196">
        <f t="shared" ref="CO119" si="930">CN119*(1+CO$129)</f>
        <v>0</v>
      </c>
      <c r="CP119" s="196">
        <f t="shared" ref="CP119" si="931">CO119*(1+CP$129)</f>
        <v>0</v>
      </c>
      <c r="CQ119" s="196">
        <f t="shared" ref="CQ119" si="932">CP119*(1+CQ$129)</f>
        <v>0</v>
      </c>
      <c r="CR119" s="196">
        <f t="shared" ref="CR119" si="933">CQ119*(1+CR$129)</f>
        <v>0</v>
      </c>
      <c r="CS119" s="196">
        <f t="shared" ref="CS119" si="934">CR119*(1+CS$129)</f>
        <v>0</v>
      </c>
      <c r="CT119" s="196">
        <f t="shared" ref="CT119" si="935">CS119*(1+CT$129)</f>
        <v>0</v>
      </c>
      <c r="CU119" s="196">
        <f t="shared" ref="CU119" si="936">CT119*(1+CU$129)</f>
        <v>0</v>
      </c>
      <c r="CV119" s="196">
        <f t="shared" ref="CV119" si="937">CU119*(1+CV$129)</f>
        <v>0</v>
      </c>
      <c r="CW119" s="196">
        <f t="shared" ref="CW119" si="938">CV119*(1+CW$129)</f>
        <v>0</v>
      </c>
      <c r="CX119" s="196">
        <f t="shared" ref="CX119" si="939">CW119*(1+CX$129)</f>
        <v>0</v>
      </c>
      <c r="CY119" s="196">
        <f t="shared" ref="CY119" si="940">CX119*(1+CY$129)</f>
        <v>0</v>
      </c>
      <c r="CZ119" s="288">
        <f t="shared" ref="CZ119" si="941">CY119*(1+CZ$129)</f>
        <v>0</v>
      </c>
      <c r="DA119" s="196">
        <f t="shared" ref="DA119" si="942">CZ119*(1+DA$129)</f>
        <v>0</v>
      </c>
      <c r="DB119" s="196">
        <f t="shared" ref="DB119" si="943">DA119*(1+DB$129)</f>
        <v>0</v>
      </c>
      <c r="DC119" s="196">
        <f t="shared" ref="DC119" si="944">DB119*(1+DC$129)</f>
        <v>0</v>
      </c>
      <c r="DD119" s="196">
        <f t="shared" ref="DD119" si="945">DC119*(1+DD$129)</f>
        <v>0</v>
      </c>
      <c r="DE119" s="196">
        <f t="shared" ref="DE119" si="946">DD119*(1+DE$129)</f>
        <v>0</v>
      </c>
      <c r="DF119" s="196">
        <f t="shared" ref="DF119" si="947">DE119*(1+DF$129)</f>
        <v>0</v>
      </c>
      <c r="DG119" s="196">
        <f t="shared" ref="DG119" si="948">DF119*(1+DG$129)</f>
        <v>0</v>
      </c>
      <c r="DH119" s="196">
        <f t="shared" ref="DH119" si="949">DG119*(1+DH$129)</f>
        <v>0</v>
      </c>
      <c r="DI119" s="196">
        <f t="shared" ref="DI119" si="950">DH119*(1+DI$129)</f>
        <v>0</v>
      </c>
      <c r="DJ119" s="196">
        <f t="shared" ref="DJ119" si="951">DI119*(1+DJ$129)</f>
        <v>0</v>
      </c>
      <c r="DK119" s="196">
        <f t="shared" ref="DK119" si="952">DJ119*(1+DK$129)</f>
        <v>0</v>
      </c>
      <c r="DL119" s="288">
        <f t="shared" ref="DL119" si="953">DK119*(1+DL$129)</f>
        <v>0</v>
      </c>
      <c r="DM119" s="196">
        <f t="shared" ref="DM119" si="954">DL119*(1+DM$129)</f>
        <v>0</v>
      </c>
      <c r="DN119" s="196">
        <f t="shared" ref="DN119" si="955">DM119*(1+DN$129)</f>
        <v>0</v>
      </c>
      <c r="DO119" s="196">
        <f t="shared" ref="DO119" si="956">DN119*(1+DO$129)</f>
        <v>0</v>
      </c>
      <c r="DP119" s="196">
        <f t="shared" ref="DP119" si="957">DO119*(1+DP$129)</f>
        <v>0</v>
      </c>
      <c r="DQ119" s="196">
        <f t="shared" ref="DQ119" si="958">DP119*(1+DQ$129)</f>
        <v>0</v>
      </c>
      <c r="DR119" s="196">
        <f t="shared" ref="DR119" si="959">DQ119*(1+DR$129)</f>
        <v>0</v>
      </c>
      <c r="DS119" s="196">
        <f t="shared" ref="DS119" si="960">DR119*(1+DS$129)</f>
        <v>0</v>
      </c>
      <c r="DT119" s="196">
        <f t="shared" ref="DT119" si="961">DS119*(1+DT$129)</f>
        <v>0</v>
      </c>
      <c r="DU119" s="196">
        <f t="shared" ref="DU119" si="962">DT119*(1+DU$129)</f>
        <v>0</v>
      </c>
      <c r="DV119" s="196">
        <f t="shared" ref="DV119" si="963">DU119*(1+DV$129)</f>
        <v>0</v>
      </c>
      <c r="DW119" s="196">
        <f t="shared" ref="DW119" si="964">DV119*(1+DW$129)</f>
        <v>0</v>
      </c>
    </row>
    <row r="120" spans="1:127" x14ac:dyDescent="0.3">
      <c r="D120" s="96" t="str">
        <f>Summary!$AP6</f>
        <v>Cost2</v>
      </c>
      <c r="E120" s="196"/>
      <c r="F120" s="408"/>
      <c r="G120" s="1211">
        <f>IF(Summary!$AQ$6="Included",Summary!$AR$6,0)/'P&amp;L'!$E$5</f>
        <v>0</v>
      </c>
      <c r="H120" s="196"/>
      <c r="I120" s="196"/>
      <c r="J120" s="196"/>
      <c r="K120" s="196"/>
      <c r="L120" s="196"/>
      <c r="M120" s="196"/>
      <c r="N120" s="196"/>
      <c r="O120" s="196"/>
      <c r="P120" s="196"/>
      <c r="Q120" s="196"/>
      <c r="R120" s="196"/>
      <c r="S120" s="196"/>
      <c r="T120" s="288"/>
      <c r="U120" s="196"/>
      <c r="V120" s="196"/>
      <c r="W120" s="196"/>
      <c r="X120" s="196"/>
      <c r="Y120" s="196"/>
      <c r="Z120" s="196"/>
      <c r="AA120" s="196"/>
      <c r="AB120" s="196"/>
      <c r="AC120" s="196"/>
      <c r="AD120" s="196"/>
      <c r="AE120" s="196"/>
      <c r="AF120" s="288"/>
      <c r="AG120" s="196"/>
      <c r="AH120" s="196"/>
      <c r="AI120" s="196"/>
      <c r="AJ120" s="196"/>
      <c r="AK120" s="196"/>
      <c r="AL120" s="196"/>
      <c r="AM120" s="196"/>
      <c r="AN120" s="196"/>
      <c r="AO120" s="196"/>
      <c r="AP120" s="196"/>
      <c r="AQ120" s="196"/>
      <c r="AR120" s="288"/>
      <c r="AS120" s="196"/>
      <c r="AT120" s="196"/>
      <c r="AU120" s="196"/>
      <c r="AV120" s="196"/>
      <c r="AW120" s="196"/>
      <c r="AX120" s="196"/>
      <c r="AY120" s="196"/>
      <c r="AZ120" s="196"/>
      <c r="BA120" s="196"/>
      <c r="BB120" s="196"/>
      <c r="BC120" s="196"/>
      <c r="BD120" s="288"/>
      <c r="BE120" s="196"/>
      <c r="BF120" s="196"/>
      <c r="BG120" s="196"/>
      <c r="BH120" s="196"/>
      <c r="BI120" s="196"/>
      <c r="BJ120" s="196"/>
      <c r="BK120" s="196"/>
      <c r="BL120" s="196"/>
      <c r="BM120" s="196"/>
      <c r="BN120" s="196"/>
      <c r="BO120" s="196"/>
      <c r="BP120" s="288"/>
      <c r="BQ120" s="196"/>
      <c r="BR120" s="196"/>
      <c r="BS120" s="196"/>
      <c r="BT120" s="196"/>
      <c r="BU120" s="196"/>
      <c r="BV120" s="196"/>
      <c r="BW120" s="196"/>
      <c r="BX120" s="196"/>
      <c r="BY120" s="196"/>
      <c r="BZ120" s="196"/>
      <c r="CA120" s="196"/>
      <c r="CB120" s="288"/>
      <c r="CC120" s="196"/>
      <c r="CD120" s="196"/>
      <c r="CE120" s="196"/>
      <c r="CF120" s="196"/>
      <c r="CG120" s="196"/>
      <c r="CH120" s="196"/>
      <c r="CI120" s="196"/>
      <c r="CJ120" s="196"/>
      <c r="CK120" s="196"/>
      <c r="CL120" s="196"/>
      <c r="CM120" s="196"/>
      <c r="CN120" s="288"/>
      <c r="CO120" s="196"/>
      <c r="CP120" s="196"/>
      <c r="CQ120" s="196"/>
      <c r="CR120" s="196"/>
      <c r="CS120" s="196"/>
      <c r="CT120" s="196"/>
      <c r="CU120" s="196"/>
      <c r="CV120" s="196"/>
      <c r="CW120" s="196"/>
      <c r="CX120" s="196"/>
      <c r="CY120" s="196"/>
      <c r="CZ120" s="288"/>
      <c r="DA120" s="196"/>
      <c r="DB120" s="196"/>
      <c r="DC120" s="196"/>
      <c r="DD120" s="196"/>
      <c r="DE120" s="196"/>
      <c r="DF120" s="196"/>
      <c r="DG120" s="196"/>
      <c r="DH120" s="196"/>
      <c r="DI120" s="196"/>
      <c r="DJ120" s="196"/>
      <c r="DK120" s="196"/>
      <c r="DL120" s="288"/>
      <c r="DM120" s="196"/>
      <c r="DN120" s="196"/>
      <c r="DO120" s="196"/>
      <c r="DP120" s="196"/>
      <c r="DQ120" s="196"/>
      <c r="DR120" s="196"/>
      <c r="DS120" s="196"/>
      <c r="DT120" s="196"/>
      <c r="DU120" s="196"/>
      <c r="DV120" s="196"/>
      <c r="DW120" s="196"/>
    </row>
    <row r="121" spans="1:127" x14ac:dyDescent="0.3">
      <c r="D121" s="1214" t="s">
        <v>241</v>
      </c>
      <c r="E121" s="1068">
        <f>SUM(E118:E120)</f>
        <v>0</v>
      </c>
      <c r="F121" s="1215">
        <f t="shared" ref="F121:BO121" si="965">SUM(F118:F120)</f>
        <v>0</v>
      </c>
      <c r="G121" s="1216">
        <f t="shared" si="965"/>
        <v>0</v>
      </c>
      <c r="H121" s="1068">
        <f t="shared" si="965"/>
        <v>0</v>
      </c>
      <c r="I121" s="1068">
        <f t="shared" si="965"/>
        <v>0</v>
      </c>
      <c r="J121" s="1068">
        <f t="shared" si="965"/>
        <v>0</v>
      </c>
      <c r="K121" s="1068">
        <f t="shared" si="965"/>
        <v>0</v>
      </c>
      <c r="L121" s="1068">
        <f t="shared" si="965"/>
        <v>0</v>
      </c>
      <c r="M121" s="1068">
        <f t="shared" si="965"/>
        <v>0</v>
      </c>
      <c r="N121" s="1068">
        <f t="shared" si="965"/>
        <v>0</v>
      </c>
      <c r="O121" s="1068">
        <f t="shared" si="965"/>
        <v>0</v>
      </c>
      <c r="P121" s="1068">
        <f t="shared" si="965"/>
        <v>0</v>
      </c>
      <c r="Q121" s="1068">
        <f t="shared" si="965"/>
        <v>0</v>
      </c>
      <c r="R121" s="1068">
        <f t="shared" si="965"/>
        <v>0</v>
      </c>
      <c r="S121" s="1068">
        <f t="shared" si="965"/>
        <v>0</v>
      </c>
      <c r="T121" s="1068">
        <f t="shared" si="965"/>
        <v>0</v>
      </c>
      <c r="U121" s="1068">
        <f t="shared" si="965"/>
        <v>0</v>
      </c>
      <c r="V121" s="1068">
        <f t="shared" si="965"/>
        <v>0</v>
      </c>
      <c r="W121" s="1068">
        <f t="shared" si="965"/>
        <v>0</v>
      </c>
      <c r="X121" s="1068">
        <f t="shared" si="965"/>
        <v>0</v>
      </c>
      <c r="Y121" s="1068">
        <f t="shared" si="965"/>
        <v>0</v>
      </c>
      <c r="Z121" s="1068">
        <f t="shared" si="965"/>
        <v>0</v>
      </c>
      <c r="AA121" s="1068">
        <f t="shared" si="965"/>
        <v>0</v>
      </c>
      <c r="AB121" s="1068">
        <f t="shared" si="965"/>
        <v>0</v>
      </c>
      <c r="AC121" s="1068">
        <f t="shared" si="965"/>
        <v>0</v>
      </c>
      <c r="AD121" s="1068">
        <f t="shared" si="965"/>
        <v>0</v>
      </c>
      <c r="AE121" s="1068">
        <f t="shared" si="965"/>
        <v>0</v>
      </c>
      <c r="AF121" s="1068">
        <f t="shared" si="965"/>
        <v>0</v>
      </c>
      <c r="AG121" s="1068">
        <f t="shared" si="965"/>
        <v>0</v>
      </c>
      <c r="AH121" s="1068">
        <f t="shared" si="965"/>
        <v>0</v>
      </c>
      <c r="AI121" s="1068">
        <f t="shared" si="965"/>
        <v>0</v>
      </c>
      <c r="AJ121" s="1068">
        <f t="shared" si="965"/>
        <v>0</v>
      </c>
      <c r="AK121" s="1068">
        <f t="shared" si="965"/>
        <v>0</v>
      </c>
      <c r="AL121" s="1068">
        <f t="shared" si="965"/>
        <v>0</v>
      </c>
      <c r="AM121" s="1068">
        <f t="shared" si="965"/>
        <v>0</v>
      </c>
      <c r="AN121" s="1068">
        <f t="shared" si="965"/>
        <v>0</v>
      </c>
      <c r="AO121" s="1068">
        <f t="shared" si="965"/>
        <v>0</v>
      </c>
      <c r="AP121" s="1068">
        <f t="shared" si="965"/>
        <v>0</v>
      </c>
      <c r="AQ121" s="1068">
        <f t="shared" si="965"/>
        <v>0</v>
      </c>
      <c r="AR121" s="1068">
        <f t="shared" si="965"/>
        <v>0</v>
      </c>
      <c r="AS121" s="1068">
        <f t="shared" si="965"/>
        <v>0</v>
      </c>
      <c r="AT121" s="1068">
        <f t="shared" si="965"/>
        <v>0</v>
      </c>
      <c r="AU121" s="1068">
        <f t="shared" si="965"/>
        <v>0</v>
      </c>
      <c r="AV121" s="1068">
        <f t="shared" si="965"/>
        <v>0</v>
      </c>
      <c r="AW121" s="1068">
        <f t="shared" si="965"/>
        <v>0</v>
      </c>
      <c r="AX121" s="1068">
        <f t="shared" si="965"/>
        <v>0</v>
      </c>
      <c r="AY121" s="1068">
        <f t="shared" si="965"/>
        <v>0</v>
      </c>
      <c r="AZ121" s="1068">
        <f t="shared" si="965"/>
        <v>0</v>
      </c>
      <c r="BA121" s="1068">
        <f t="shared" si="965"/>
        <v>0</v>
      </c>
      <c r="BB121" s="1068">
        <f t="shared" si="965"/>
        <v>0</v>
      </c>
      <c r="BC121" s="1068">
        <f t="shared" si="965"/>
        <v>0</v>
      </c>
      <c r="BD121" s="1068">
        <f t="shared" si="965"/>
        <v>0</v>
      </c>
      <c r="BE121" s="1068">
        <f t="shared" si="965"/>
        <v>0</v>
      </c>
      <c r="BF121" s="1068">
        <f t="shared" si="965"/>
        <v>0</v>
      </c>
      <c r="BG121" s="1068">
        <f t="shared" si="965"/>
        <v>0</v>
      </c>
      <c r="BH121" s="1068">
        <f t="shared" si="965"/>
        <v>0</v>
      </c>
      <c r="BI121" s="1068">
        <f t="shared" si="965"/>
        <v>0</v>
      </c>
      <c r="BJ121" s="1068">
        <f t="shared" si="965"/>
        <v>0</v>
      </c>
      <c r="BK121" s="1068">
        <f t="shared" si="965"/>
        <v>0</v>
      </c>
      <c r="BL121" s="1068">
        <f t="shared" si="965"/>
        <v>0</v>
      </c>
      <c r="BM121" s="1068">
        <f t="shared" si="965"/>
        <v>0</v>
      </c>
      <c r="BN121" s="1068">
        <f t="shared" si="965"/>
        <v>0</v>
      </c>
      <c r="BO121" s="1068">
        <f t="shared" si="965"/>
        <v>0</v>
      </c>
      <c r="BP121" s="1068">
        <f t="shared" ref="BP121:CO121" si="966">SUM(BP118:BP120)</f>
        <v>0</v>
      </c>
      <c r="BQ121" s="1068">
        <f t="shared" si="966"/>
        <v>0</v>
      </c>
      <c r="BR121" s="1068">
        <f t="shared" si="966"/>
        <v>0</v>
      </c>
      <c r="BS121" s="1068">
        <f t="shared" si="966"/>
        <v>0</v>
      </c>
      <c r="BT121" s="1068">
        <f t="shared" si="966"/>
        <v>0</v>
      </c>
      <c r="BU121" s="1068">
        <f t="shared" si="966"/>
        <v>0</v>
      </c>
      <c r="BV121" s="1068">
        <f t="shared" si="966"/>
        <v>0</v>
      </c>
      <c r="BW121" s="1068">
        <f t="shared" si="966"/>
        <v>0</v>
      </c>
      <c r="BX121" s="1068">
        <f t="shared" si="966"/>
        <v>0</v>
      </c>
      <c r="BY121" s="1068">
        <f t="shared" si="966"/>
        <v>0</v>
      </c>
      <c r="BZ121" s="1068">
        <f t="shared" si="966"/>
        <v>0</v>
      </c>
      <c r="CA121" s="1068">
        <f t="shared" si="966"/>
        <v>0</v>
      </c>
      <c r="CB121" s="1068">
        <f t="shared" si="966"/>
        <v>0</v>
      </c>
      <c r="CC121" s="1068">
        <f t="shared" si="966"/>
        <v>0</v>
      </c>
      <c r="CD121" s="1068">
        <f t="shared" si="966"/>
        <v>0</v>
      </c>
      <c r="CE121" s="1068">
        <f t="shared" si="966"/>
        <v>0</v>
      </c>
      <c r="CF121" s="1068">
        <f t="shared" si="966"/>
        <v>0</v>
      </c>
      <c r="CG121" s="1068">
        <f t="shared" si="966"/>
        <v>0</v>
      </c>
      <c r="CH121" s="1068">
        <f t="shared" si="966"/>
        <v>0</v>
      </c>
      <c r="CI121" s="1068">
        <f t="shared" si="966"/>
        <v>0</v>
      </c>
      <c r="CJ121" s="1068">
        <f t="shared" si="966"/>
        <v>0</v>
      </c>
      <c r="CK121" s="1068">
        <f t="shared" si="966"/>
        <v>0</v>
      </c>
      <c r="CL121" s="1068">
        <f t="shared" si="966"/>
        <v>0</v>
      </c>
      <c r="CM121" s="1068">
        <f t="shared" si="966"/>
        <v>0</v>
      </c>
      <c r="CN121" s="1068">
        <f t="shared" si="966"/>
        <v>0</v>
      </c>
      <c r="CO121" s="1068">
        <f t="shared" si="966"/>
        <v>0</v>
      </c>
      <c r="CP121" s="1068">
        <f t="shared" ref="CP121:DW121" si="967">SUM(CP118:CP120)</f>
        <v>0</v>
      </c>
      <c r="CQ121" s="1068">
        <f t="shared" si="967"/>
        <v>0</v>
      </c>
      <c r="CR121" s="1068">
        <f t="shared" si="967"/>
        <v>0</v>
      </c>
      <c r="CS121" s="1068">
        <f t="shared" si="967"/>
        <v>0</v>
      </c>
      <c r="CT121" s="1068">
        <f t="shared" si="967"/>
        <v>0</v>
      </c>
      <c r="CU121" s="1068">
        <f t="shared" si="967"/>
        <v>0</v>
      </c>
      <c r="CV121" s="1068">
        <f t="shared" si="967"/>
        <v>0</v>
      </c>
      <c r="CW121" s="1068">
        <f t="shared" si="967"/>
        <v>0</v>
      </c>
      <c r="CX121" s="1068">
        <f t="shared" si="967"/>
        <v>0</v>
      </c>
      <c r="CY121" s="1068">
        <f t="shared" si="967"/>
        <v>0</v>
      </c>
      <c r="CZ121" s="1068">
        <f t="shared" si="967"/>
        <v>0</v>
      </c>
      <c r="DA121" s="1068">
        <f t="shared" si="967"/>
        <v>0</v>
      </c>
      <c r="DB121" s="1068">
        <f t="shared" si="967"/>
        <v>0</v>
      </c>
      <c r="DC121" s="1068">
        <f t="shared" si="967"/>
        <v>0</v>
      </c>
      <c r="DD121" s="1068">
        <f t="shared" si="967"/>
        <v>0</v>
      </c>
      <c r="DE121" s="1068">
        <f t="shared" si="967"/>
        <v>0</v>
      </c>
      <c r="DF121" s="1068">
        <f t="shared" si="967"/>
        <v>0</v>
      </c>
      <c r="DG121" s="1068">
        <f t="shared" si="967"/>
        <v>0</v>
      </c>
      <c r="DH121" s="1068">
        <f t="shared" si="967"/>
        <v>0</v>
      </c>
      <c r="DI121" s="1068">
        <f t="shared" si="967"/>
        <v>0</v>
      </c>
      <c r="DJ121" s="1068">
        <f t="shared" si="967"/>
        <v>0</v>
      </c>
      <c r="DK121" s="1068">
        <f t="shared" si="967"/>
        <v>0</v>
      </c>
      <c r="DL121" s="1068">
        <f t="shared" si="967"/>
        <v>0</v>
      </c>
      <c r="DM121" s="1068">
        <f t="shared" si="967"/>
        <v>0</v>
      </c>
      <c r="DN121" s="1068">
        <f t="shared" si="967"/>
        <v>0</v>
      </c>
      <c r="DO121" s="1068">
        <f t="shared" si="967"/>
        <v>0</v>
      </c>
      <c r="DP121" s="1068">
        <f t="shared" si="967"/>
        <v>0</v>
      </c>
      <c r="DQ121" s="1068">
        <f t="shared" si="967"/>
        <v>0</v>
      </c>
      <c r="DR121" s="1068">
        <f t="shared" si="967"/>
        <v>0</v>
      </c>
      <c r="DS121" s="1068">
        <f t="shared" si="967"/>
        <v>0</v>
      </c>
      <c r="DT121" s="1068">
        <f t="shared" si="967"/>
        <v>0</v>
      </c>
      <c r="DU121" s="1068">
        <f t="shared" si="967"/>
        <v>0</v>
      </c>
      <c r="DV121" s="1068">
        <f t="shared" si="967"/>
        <v>0</v>
      </c>
      <c r="DW121" s="1068">
        <f t="shared" si="967"/>
        <v>0</v>
      </c>
    </row>
    <row r="122" spans="1:127" s="93" customFormat="1" x14ac:dyDescent="0.3"/>
    <row r="123" spans="1:127" x14ac:dyDescent="0.3">
      <c r="C123" s="1124">
        <f>HLOOKUP($D$4,'Data Master'!$C$141:$L$145,2,0)</f>
        <v>5.0000000000000001E-3</v>
      </c>
      <c r="D123" s="84" t="s">
        <v>17</v>
      </c>
      <c r="E123" s="310"/>
      <c r="F123" s="522"/>
      <c r="G123" s="1212">
        <f>C123</f>
        <v>5.0000000000000001E-3</v>
      </c>
      <c r="H123" s="310">
        <f>G123</f>
        <v>5.0000000000000001E-3</v>
      </c>
      <c r="I123" s="310">
        <f t="shared" ref="I123:BT123" si="968">H123</f>
        <v>5.0000000000000001E-3</v>
      </c>
      <c r="J123" s="310">
        <f t="shared" si="968"/>
        <v>5.0000000000000001E-3</v>
      </c>
      <c r="K123" s="310">
        <f t="shared" si="968"/>
        <v>5.0000000000000001E-3</v>
      </c>
      <c r="L123" s="310">
        <f t="shared" si="968"/>
        <v>5.0000000000000001E-3</v>
      </c>
      <c r="M123" s="310">
        <f t="shared" si="968"/>
        <v>5.0000000000000001E-3</v>
      </c>
      <c r="N123" s="310">
        <f t="shared" si="968"/>
        <v>5.0000000000000001E-3</v>
      </c>
      <c r="O123" s="310">
        <f t="shared" si="968"/>
        <v>5.0000000000000001E-3</v>
      </c>
      <c r="P123" s="310">
        <f t="shared" si="968"/>
        <v>5.0000000000000001E-3</v>
      </c>
      <c r="Q123" s="310">
        <f t="shared" si="968"/>
        <v>5.0000000000000001E-3</v>
      </c>
      <c r="R123" s="310">
        <f t="shared" si="968"/>
        <v>5.0000000000000001E-3</v>
      </c>
      <c r="S123" s="310">
        <f t="shared" si="968"/>
        <v>5.0000000000000001E-3</v>
      </c>
      <c r="T123" s="311">
        <f t="shared" si="968"/>
        <v>5.0000000000000001E-3</v>
      </c>
      <c r="U123" s="310">
        <f t="shared" si="968"/>
        <v>5.0000000000000001E-3</v>
      </c>
      <c r="V123" s="310">
        <f t="shared" si="968"/>
        <v>5.0000000000000001E-3</v>
      </c>
      <c r="W123" s="310">
        <f t="shared" si="968"/>
        <v>5.0000000000000001E-3</v>
      </c>
      <c r="X123" s="310">
        <f t="shared" si="968"/>
        <v>5.0000000000000001E-3</v>
      </c>
      <c r="Y123" s="310">
        <f t="shared" si="968"/>
        <v>5.0000000000000001E-3</v>
      </c>
      <c r="Z123" s="310">
        <f t="shared" si="968"/>
        <v>5.0000000000000001E-3</v>
      </c>
      <c r="AA123" s="310">
        <f t="shared" si="968"/>
        <v>5.0000000000000001E-3</v>
      </c>
      <c r="AB123" s="310">
        <f t="shared" si="968"/>
        <v>5.0000000000000001E-3</v>
      </c>
      <c r="AC123" s="310">
        <f t="shared" si="968"/>
        <v>5.0000000000000001E-3</v>
      </c>
      <c r="AD123" s="310">
        <f t="shared" si="968"/>
        <v>5.0000000000000001E-3</v>
      </c>
      <c r="AE123" s="310">
        <f t="shared" si="968"/>
        <v>5.0000000000000001E-3</v>
      </c>
      <c r="AF123" s="311">
        <f t="shared" si="968"/>
        <v>5.0000000000000001E-3</v>
      </c>
      <c r="AG123" s="310">
        <f t="shared" si="968"/>
        <v>5.0000000000000001E-3</v>
      </c>
      <c r="AH123" s="310">
        <f t="shared" si="968"/>
        <v>5.0000000000000001E-3</v>
      </c>
      <c r="AI123" s="310">
        <f t="shared" si="968"/>
        <v>5.0000000000000001E-3</v>
      </c>
      <c r="AJ123" s="310">
        <f t="shared" si="968"/>
        <v>5.0000000000000001E-3</v>
      </c>
      <c r="AK123" s="310">
        <f t="shared" si="968"/>
        <v>5.0000000000000001E-3</v>
      </c>
      <c r="AL123" s="310">
        <f t="shared" si="968"/>
        <v>5.0000000000000001E-3</v>
      </c>
      <c r="AM123" s="310">
        <f t="shared" si="968"/>
        <v>5.0000000000000001E-3</v>
      </c>
      <c r="AN123" s="310">
        <f t="shared" si="968"/>
        <v>5.0000000000000001E-3</v>
      </c>
      <c r="AO123" s="310">
        <f t="shared" si="968"/>
        <v>5.0000000000000001E-3</v>
      </c>
      <c r="AP123" s="310">
        <f t="shared" si="968"/>
        <v>5.0000000000000001E-3</v>
      </c>
      <c r="AQ123" s="310">
        <f t="shared" si="968"/>
        <v>5.0000000000000001E-3</v>
      </c>
      <c r="AR123" s="311">
        <f t="shared" si="968"/>
        <v>5.0000000000000001E-3</v>
      </c>
      <c r="AS123" s="310">
        <f t="shared" si="968"/>
        <v>5.0000000000000001E-3</v>
      </c>
      <c r="AT123" s="310">
        <f t="shared" si="968"/>
        <v>5.0000000000000001E-3</v>
      </c>
      <c r="AU123" s="310">
        <f t="shared" si="968"/>
        <v>5.0000000000000001E-3</v>
      </c>
      <c r="AV123" s="310">
        <f t="shared" si="968"/>
        <v>5.0000000000000001E-3</v>
      </c>
      <c r="AW123" s="310">
        <f t="shared" si="968"/>
        <v>5.0000000000000001E-3</v>
      </c>
      <c r="AX123" s="310">
        <f t="shared" si="968"/>
        <v>5.0000000000000001E-3</v>
      </c>
      <c r="AY123" s="310">
        <f t="shared" si="968"/>
        <v>5.0000000000000001E-3</v>
      </c>
      <c r="AZ123" s="310">
        <f t="shared" si="968"/>
        <v>5.0000000000000001E-3</v>
      </c>
      <c r="BA123" s="310">
        <f t="shared" si="968"/>
        <v>5.0000000000000001E-3</v>
      </c>
      <c r="BB123" s="310">
        <f t="shared" si="968"/>
        <v>5.0000000000000001E-3</v>
      </c>
      <c r="BC123" s="310">
        <f t="shared" si="968"/>
        <v>5.0000000000000001E-3</v>
      </c>
      <c r="BD123" s="311">
        <f t="shared" si="968"/>
        <v>5.0000000000000001E-3</v>
      </c>
      <c r="BE123" s="310">
        <f t="shared" si="968"/>
        <v>5.0000000000000001E-3</v>
      </c>
      <c r="BF123" s="310">
        <f t="shared" si="968"/>
        <v>5.0000000000000001E-3</v>
      </c>
      <c r="BG123" s="310">
        <f t="shared" si="968"/>
        <v>5.0000000000000001E-3</v>
      </c>
      <c r="BH123" s="310">
        <f t="shared" si="968"/>
        <v>5.0000000000000001E-3</v>
      </c>
      <c r="BI123" s="310">
        <f t="shared" si="968"/>
        <v>5.0000000000000001E-3</v>
      </c>
      <c r="BJ123" s="310">
        <f t="shared" si="968"/>
        <v>5.0000000000000001E-3</v>
      </c>
      <c r="BK123" s="310">
        <f t="shared" si="968"/>
        <v>5.0000000000000001E-3</v>
      </c>
      <c r="BL123" s="310">
        <f t="shared" si="968"/>
        <v>5.0000000000000001E-3</v>
      </c>
      <c r="BM123" s="310">
        <f t="shared" si="968"/>
        <v>5.0000000000000001E-3</v>
      </c>
      <c r="BN123" s="310">
        <f t="shared" si="968"/>
        <v>5.0000000000000001E-3</v>
      </c>
      <c r="BO123" s="310">
        <f t="shared" si="968"/>
        <v>5.0000000000000001E-3</v>
      </c>
      <c r="BP123" s="311">
        <f t="shared" si="968"/>
        <v>5.0000000000000001E-3</v>
      </c>
      <c r="BQ123" s="310">
        <f t="shared" si="968"/>
        <v>5.0000000000000001E-3</v>
      </c>
      <c r="BR123" s="310">
        <f t="shared" si="968"/>
        <v>5.0000000000000001E-3</v>
      </c>
      <c r="BS123" s="310">
        <f t="shared" si="968"/>
        <v>5.0000000000000001E-3</v>
      </c>
      <c r="BT123" s="310">
        <f t="shared" si="968"/>
        <v>5.0000000000000001E-3</v>
      </c>
      <c r="BU123" s="310">
        <f t="shared" ref="BU123:DW123" si="969">BT123</f>
        <v>5.0000000000000001E-3</v>
      </c>
      <c r="BV123" s="310">
        <f t="shared" si="969"/>
        <v>5.0000000000000001E-3</v>
      </c>
      <c r="BW123" s="310">
        <f t="shared" si="969"/>
        <v>5.0000000000000001E-3</v>
      </c>
      <c r="BX123" s="310">
        <f t="shared" si="969"/>
        <v>5.0000000000000001E-3</v>
      </c>
      <c r="BY123" s="310">
        <f t="shared" si="969"/>
        <v>5.0000000000000001E-3</v>
      </c>
      <c r="BZ123" s="310">
        <f t="shared" si="969"/>
        <v>5.0000000000000001E-3</v>
      </c>
      <c r="CA123" s="310">
        <f t="shared" si="969"/>
        <v>5.0000000000000001E-3</v>
      </c>
      <c r="CB123" s="311">
        <f t="shared" si="969"/>
        <v>5.0000000000000001E-3</v>
      </c>
      <c r="CC123" s="310">
        <f t="shared" si="969"/>
        <v>5.0000000000000001E-3</v>
      </c>
      <c r="CD123" s="310">
        <f t="shared" si="969"/>
        <v>5.0000000000000001E-3</v>
      </c>
      <c r="CE123" s="310">
        <f t="shared" si="969"/>
        <v>5.0000000000000001E-3</v>
      </c>
      <c r="CF123" s="310">
        <f t="shared" si="969"/>
        <v>5.0000000000000001E-3</v>
      </c>
      <c r="CG123" s="310">
        <f t="shared" si="969"/>
        <v>5.0000000000000001E-3</v>
      </c>
      <c r="CH123" s="310">
        <f t="shared" si="969"/>
        <v>5.0000000000000001E-3</v>
      </c>
      <c r="CI123" s="310">
        <f t="shared" si="969"/>
        <v>5.0000000000000001E-3</v>
      </c>
      <c r="CJ123" s="310">
        <f t="shared" si="969"/>
        <v>5.0000000000000001E-3</v>
      </c>
      <c r="CK123" s="310">
        <f t="shared" si="969"/>
        <v>5.0000000000000001E-3</v>
      </c>
      <c r="CL123" s="310">
        <f t="shared" si="969"/>
        <v>5.0000000000000001E-3</v>
      </c>
      <c r="CM123" s="310">
        <f t="shared" si="969"/>
        <v>5.0000000000000001E-3</v>
      </c>
      <c r="CN123" s="311">
        <f t="shared" si="969"/>
        <v>5.0000000000000001E-3</v>
      </c>
      <c r="CO123" s="310">
        <f t="shared" si="969"/>
        <v>5.0000000000000001E-3</v>
      </c>
      <c r="CP123" s="310">
        <f t="shared" si="969"/>
        <v>5.0000000000000001E-3</v>
      </c>
      <c r="CQ123" s="310">
        <f t="shared" si="969"/>
        <v>5.0000000000000001E-3</v>
      </c>
      <c r="CR123" s="310">
        <f t="shared" si="969"/>
        <v>5.0000000000000001E-3</v>
      </c>
      <c r="CS123" s="310">
        <f t="shared" si="969"/>
        <v>5.0000000000000001E-3</v>
      </c>
      <c r="CT123" s="310">
        <f t="shared" si="969"/>
        <v>5.0000000000000001E-3</v>
      </c>
      <c r="CU123" s="310">
        <f t="shared" si="969"/>
        <v>5.0000000000000001E-3</v>
      </c>
      <c r="CV123" s="310">
        <f t="shared" si="969"/>
        <v>5.0000000000000001E-3</v>
      </c>
      <c r="CW123" s="310">
        <f t="shared" si="969"/>
        <v>5.0000000000000001E-3</v>
      </c>
      <c r="CX123" s="310">
        <f t="shared" si="969"/>
        <v>5.0000000000000001E-3</v>
      </c>
      <c r="CY123" s="310">
        <f t="shared" si="969"/>
        <v>5.0000000000000001E-3</v>
      </c>
      <c r="CZ123" s="311">
        <f t="shared" si="969"/>
        <v>5.0000000000000001E-3</v>
      </c>
      <c r="DA123" s="310">
        <f t="shared" si="969"/>
        <v>5.0000000000000001E-3</v>
      </c>
      <c r="DB123" s="310">
        <f t="shared" si="969"/>
        <v>5.0000000000000001E-3</v>
      </c>
      <c r="DC123" s="310">
        <f t="shared" si="969"/>
        <v>5.0000000000000001E-3</v>
      </c>
      <c r="DD123" s="310">
        <f t="shared" si="969"/>
        <v>5.0000000000000001E-3</v>
      </c>
      <c r="DE123" s="310">
        <f t="shared" si="969"/>
        <v>5.0000000000000001E-3</v>
      </c>
      <c r="DF123" s="310">
        <f t="shared" si="969"/>
        <v>5.0000000000000001E-3</v>
      </c>
      <c r="DG123" s="310">
        <f t="shared" si="969"/>
        <v>5.0000000000000001E-3</v>
      </c>
      <c r="DH123" s="310">
        <f t="shared" si="969"/>
        <v>5.0000000000000001E-3</v>
      </c>
      <c r="DI123" s="310">
        <f t="shared" si="969"/>
        <v>5.0000000000000001E-3</v>
      </c>
      <c r="DJ123" s="310">
        <f t="shared" si="969"/>
        <v>5.0000000000000001E-3</v>
      </c>
      <c r="DK123" s="310">
        <f t="shared" si="969"/>
        <v>5.0000000000000001E-3</v>
      </c>
      <c r="DL123" s="311">
        <f t="shared" si="969"/>
        <v>5.0000000000000001E-3</v>
      </c>
      <c r="DM123" s="310">
        <f t="shared" si="969"/>
        <v>5.0000000000000001E-3</v>
      </c>
      <c r="DN123" s="310">
        <f t="shared" si="969"/>
        <v>5.0000000000000001E-3</v>
      </c>
      <c r="DO123" s="310">
        <f t="shared" si="969"/>
        <v>5.0000000000000001E-3</v>
      </c>
      <c r="DP123" s="310">
        <f t="shared" si="969"/>
        <v>5.0000000000000001E-3</v>
      </c>
      <c r="DQ123" s="310">
        <f t="shared" si="969"/>
        <v>5.0000000000000001E-3</v>
      </c>
      <c r="DR123" s="310">
        <f t="shared" si="969"/>
        <v>5.0000000000000001E-3</v>
      </c>
      <c r="DS123" s="310">
        <f t="shared" si="969"/>
        <v>5.0000000000000001E-3</v>
      </c>
      <c r="DT123" s="310">
        <f t="shared" si="969"/>
        <v>5.0000000000000001E-3</v>
      </c>
      <c r="DU123" s="310">
        <f t="shared" si="969"/>
        <v>5.0000000000000001E-3</v>
      </c>
      <c r="DV123" s="310">
        <f t="shared" si="969"/>
        <v>5.0000000000000001E-3</v>
      </c>
      <c r="DW123" s="310">
        <f t="shared" si="969"/>
        <v>5.0000000000000001E-3</v>
      </c>
    </row>
    <row r="124" spans="1:127" x14ac:dyDescent="0.3">
      <c r="C124" s="1124">
        <f>HLOOKUP($D$4,'Data Master'!$C$141:$L$145,3,0)+HLOOKUP($D$4,'Data Master'!$C$141:$L$145,5,0)+Summary!$R$12</f>
        <v>5.0000000000000001E-3</v>
      </c>
      <c r="D124" s="49" t="s">
        <v>18</v>
      </c>
      <c r="E124" s="306"/>
      <c r="F124" s="523"/>
      <c r="G124" s="1213">
        <f>C124</f>
        <v>5.0000000000000001E-3</v>
      </c>
      <c r="H124" s="306">
        <f>G124</f>
        <v>5.0000000000000001E-3</v>
      </c>
      <c r="I124" s="306">
        <f t="shared" ref="I124:BT124" si="970">H124</f>
        <v>5.0000000000000001E-3</v>
      </c>
      <c r="J124" s="306">
        <f t="shared" si="970"/>
        <v>5.0000000000000001E-3</v>
      </c>
      <c r="K124" s="306">
        <f t="shared" si="970"/>
        <v>5.0000000000000001E-3</v>
      </c>
      <c r="L124" s="306">
        <f t="shared" si="970"/>
        <v>5.0000000000000001E-3</v>
      </c>
      <c r="M124" s="306">
        <f t="shared" si="970"/>
        <v>5.0000000000000001E-3</v>
      </c>
      <c r="N124" s="306">
        <f t="shared" si="970"/>
        <v>5.0000000000000001E-3</v>
      </c>
      <c r="O124" s="306">
        <f t="shared" si="970"/>
        <v>5.0000000000000001E-3</v>
      </c>
      <c r="P124" s="306">
        <f t="shared" si="970"/>
        <v>5.0000000000000001E-3</v>
      </c>
      <c r="Q124" s="306">
        <f t="shared" si="970"/>
        <v>5.0000000000000001E-3</v>
      </c>
      <c r="R124" s="306">
        <f t="shared" si="970"/>
        <v>5.0000000000000001E-3</v>
      </c>
      <c r="S124" s="306">
        <f t="shared" si="970"/>
        <v>5.0000000000000001E-3</v>
      </c>
      <c r="T124" s="312">
        <f t="shared" si="970"/>
        <v>5.0000000000000001E-3</v>
      </c>
      <c r="U124" s="306">
        <f t="shared" si="970"/>
        <v>5.0000000000000001E-3</v>
      </c>
      <c r="V124" s="306">
        <f t="shared" si="970"/>
        <v>5.0000000000000001E-3</v>
      </c>
      <c r="W124" s="306">
        <f t="shared" si="970"/>
        <v>5.0000000000000001E-3</v>
      </c>
      <c r="X124" s="306">
        <f t="shared" si="970"/>
        <v>5.0000000000000001E-3</v>
      </c>
      <c r="Y124" s="306">
        <f t="shared" si="970"/>
        <v>5.0000000000000001E-3</v>
      </c>
      <c r="Z124" s="306">
        <f t="shared" si="970"/>
        <v>5.0000000000000001E-3</v>
      </c>
      <c r="AA124" s="306">
        <f t="shared" si="970"/>
        <v>5.0000000000000001E-3</v>
      </c>
      <c r="AB124" s="306">
        <f t="shared" si="970"/>
        <v>5.0000000000000001E-3</v>
      </c>
      <c r="AC124" s="306">
        <f t="shared" si="970"/>
        <v>5.0000000000000001E-3</v>
      </c>
      <c r="AD124" s="306">
        <f t="shared" si="970"/>
        <v>5.0000000000000001E-3</v>
      </c>
      <c r="AE124" s="306">
        <f t="shared" si="970"/>
        <v>5.0000000000000001E-3</v>
      </c>
      <c r="AF124" s="312">
        <f t="shared" si="970"/>
        <v>5.0000000000000001E-3</v>
      </c>
      <c r="AG124" s="306">
        <f t="shared" si="970"/>
        <v>5.0000000000000001E-3</v>
      </c>
      <c r="AH124" s="306">
        <f t="shared" si="970"/>
        <v>5.0000000000000001E-3</v>
      </c>
      <c r="AI124" s="306">
        <f t="shared" si="970"/>
        <v>5.0000000000000001E-3</v>
      </c>
      <c r="AJ124" s="306">
        <f t="shared" si="970"/>
        <v>5.0000000000000001E-3</v>
      </c>
      <c r="AK124" s="306">
        <f t="shared" si="970"/>
        <v>5.0000000000000001E-3</v>
      </c>
      <c r="AL124" s="306">
        <f t="shared" si="970"/>
        <v>5.0000000000000001E-3</v>
      </c>
      <c r="AM124" s="306">
        <f t="shared" si="970"/>
        <v>5.0000000000000001E-3</v>
      </c>
      <c r="AN124" s="306">
        <f t="shared" si="970"/>
        <v>5.0000000000000001E-3</v>
      </c>
      <c r="AO124" s="306">
        <f t="shared" si="970"/>
        <v>5.0000000000000001E-3</v>
      </c>
      <c r="AP124" s="306">
        <f t="shared" si="970"/>
        <v>5.0000000000000001E-3</v>
      </c>
      <c r="AQ124" s="306">
        <f t="shared" si="970"/>
        <v>5.0000000000000001E-3</v>
      </c>
      <c r="AR124" s="312">
        <f t="shared" si="970"/>
        <v>5.0000000000000001E-3</v>
      </c>
      <c r="AS124" s="306">
        <f t="shared" si="970"/>
        <v>5.0000000000000001E-3</v>
      </c>
      <c r="AT124" s="306">
        <f t="shared" si="970"/>
        <v>5.0000000000000001E-3</v>
      </c>
      <c r="AU124" s="306">
        <f t="shared" si="970"/>
        <v>5.0000000000000001E-3</v>
      </c>
      <c r="AV124" s="306">
        <f t="shared" si="970"/>
        <v>5.0000000000000001E-3</v>
      </c>
      <c r="AW124" s="306">
        <f t="shared" si="970"/>
        <v>5.0000000000000001E-3</v>
      </c>
      <c r="AX124" s="306">
        <f t="shared" si="970"/>
        <v>5.0000000000000001E-3</v>
      </c>
      <c r="AY124" s="306">
        <f t="shared" si="970"/>
        <v>5.0000000000000001E-3</v>
      </c>
      <c r="AZ124" s="306">
        <f t="shared" si="970"/>
        <v>5.0000000000000001E-3</v>
      </c>
      <c r="BA124" s="306">
        <f t="shared" si="970"/>
        <v>5.0000000000000001E-3</v>
      </c>
      <c r="BB124" s="306">
        <f t="shared" si="970"/>
        <v>5.0000000000000001E-3</v>
      </c>
      <c r="BC124" s="306">
        <f t="shared" si="970"/>
        <v>5.0000000000000001E-3</v>
      </c>
      <c r="BD124" s="312">
        <f t="shared" si="970"/>
        <v>5.0000000000000001E-3</v>
      </c>
      <c r="BE124" s="306">
        <f t="shared" si="970"/>
        <v>5.0000000000000001E-3</v>
      </c>
      <c r="BF124" s="306">
        <f t="shared" si="970"/>
        <v>5.0000000000000001E-3</v>
      </c>
      <c r="BG124" s="306">
        <f t="shared" si="970"/>
        <v>5.0000000000000001E-3</v>
      </c>
      <c r="BH124" s="306">
        <f t="shared" si="970"/>
        <v>5.0000000000000001E-3</v>
      </c>
      <c r="BI124" s="306">
        <f t="shared" si="970"/>
        <v>5.0000000000000001E-3</v>
      </c>
      <c r="BJ124" s="306">
        <f t="shared" si="970"/>
        <v>5.0000000000000001E-3</v>
      </c>
      <c r="BK124" s="306">
        <f t="shared" si="970"/>
        <v>5.0000000000000001E-3</v>
      </c>
      <c r="BL124" s="306">
        <f t="shared" si="970"/>
        <v>5.0000000000000001E-3</v>
      </c>
      <c r="BM124" s="306">
        <f t="shared" si="970"/>
        <v>5.0000000000000001E-3</v>
      </c>
      <c r="BN124" s="306">
        <f t="shared" si="970"/>
        <v>5.0000000000000001E-3</v>
      </c>
      <c r="BO124" s="306">
        <f t="shared" si="970"/>
        <v>5.0000000000000001E-3</v>
      </c>
      <c r="BP124" s="312">
        <f t="shared" si="970"/>
        <v>5.0000000000000001E-3</v>
      </c>
      <c r="BQ124" s="306">
        <f t="shared" si="970"/>
        <v>5.0000000000000001E-3</v>
      </c>
      <c r="BR124" s="306">
        <f t="shared" si="970"/>
        <v>5.0000000000000001E-3</v>
      </c>
      <c r="BS124" s="306">
        <f t="shared" si="970"/>
        <v>5.0000000000000001E-3</v>
      </c>
      <c r="BT124" s="306">
        <f t="shared" si="970"/>
        <v>5.0000000000000001E-3</v>
      </c>
      <c r="BU124" s="306">
        <f t="shared" ref="BU124:DW124" si="971">BT124</f>
        <v>5.0000000000000001E-3</v>
      </c>
      <c r="BV124" s="306">
        <f t="shared" si="971"/>
        <v>5.0000000000000001E-3</v>
      </c>
      <c r="BW124" s="306">
        <f t="shared" si="971"/>
        <v>5.0000000000000001E-3</v>
      </c>
      <c r="BX124" s="306">
        <f t="shared" si="971"/>
        <v>5.0000000000000001E-3</v>
      </c>
      <c r="BY124" s="306">
        <f t="shared" si="971"/>
        <v>5.0000000000000001E-3</v>
      </c>
      <c r="BZ124" s="306">
        <f t="shared" si="971"/>
        <v>5.0000000000000001E-3</v>
      </c>
      <c r="CA124" s="306">
        <f t="shared" si="971"/>
        <v>5.0000000000000001E-3</v>
      </c>
      <c r="CB124" s="312">
        <f t="shared" si="971"/>
        <v>5.0000000000000001E-3</v>
      </c>
      <c r="CC124" s="306">
        <f t="shared" si="971"/>
        <v>5.0000000000000001E-3</v>
      </c>
      <c r="CD124" s="306">
        <f t="shared" si="971"/>
        <v>5.0000000000000001E-3</v>
      </c>
      <c r="CE124" s="306">
        <f t="shared" si="971"/>
        <v>5.0000000000000001E-3</v>
      </c>
      <c r="CF124" s="306">
        <f t="shared" si="971"/>
        <v>5.0000000000000001E-3</v>
      </c>
      <c r="CG124" s="306">
        <f t="shared" si="971"/>
        <v>5.0000000000000001E-3</v>
      </c>
      <c r="CH124" s="306">
        <f t="shared" si="971"/>
        <v>5.0000000000000001E-3</v>
      </c>
      <c r="CI124" s="306">
        <f t="shared" si="971"/>
        <v>5.0000000000000001E-3</v>
      </c>
      <c r="CJ124" s="306">
        <f t="shared" si="971"/>
        <v>5.0000000000000001E-3</v>
      </c>
      <c r="CK124" s="306">
        <f t="shared" si="971"/>
        <v>5.0000000000000001E-3</v>
      </c>
      <c r="CL124" s="306">
        <f t="shared" si="971"/>
        <v>5.0000000000000001E-3</v>
      </c>
      <c r="CM124" s="306">
        <f t="shared" si="971"/>
        <v>5.0000000000000001E-3</v>
      </c>
      <c r="CN124" s="312">
        <f t="shared" si="971"/>
        <v>5.0000000000000001E-3</v>
      </c>
      <c r="CO124" s="306">
        <f t="shared" si="971"/>
        <v>5.0000000000000001E-3</v>
      </c>
      <c r="CP124" s="306">
        <f t="shared" si="971"/>
        <v>5.0000000000000001E-3</v>
      </c>
      <c r="CQ124" s="306">
        <f t="shared" si="971"/>
        <v>5.0000000000000001E-3</v>
      </c>
      <c r="CR124" s="306">
        <f t="shared" si="971"/>
        <v>5.0000000000000001E-3</v>
      </c>
      <c r="CS124" s="306">
        <f t="shared" si="971"/>
        <v>5.0000000000000001E-3</v>
      </c>
      <c r="CT124" s="306">
        <f t="shared" si="971"/>
        <v>5.0000000000000001E-3</v>
      </c>
      <c r="CU124" s="306">
        <f t="shared" si="971"/>
        <v>5.0000000000000001E-3</v>
      </c>
      <c r="CV124" s="306">
        <f t="shared" si="971"/>
        <v>5.0000000000000001E-3</v>
      </c>
      <c r="CW124" s="306">
        <f t="shared" si="971"/>
        <v>5.0000000000000001E-3</v>
      </c>
      <c r="CX124" s="306">
        <f t="shared" si="971"/>
        <v>5.0000000000000001E-3</v>
      </c>
      <c r="CY124" s="306">
        <f t="shared" si="971"/>
        <v>5.0000000000000001E-3</v>
      </c>
      <c r="CZ124" s="312">
        <f t="shared" si="971"/>
        <v>5.0000000000000001E-3</v>
      </c>
      <c r="DA124" s="306">
        <f t="shared" si="971"/>
        <v>5.0000000000000001E-3</v>
      </c>
      <c r="DB124" s="306">
        <f t="shared" si="971"/>
        <v>5.0000000000000001E-3</v>
      </c>
      <c r="DC124" s="306">
        <f t="shared" si="971"/>
        <v>5.0000000000000001E-3</v>
      </c>
      <c r="DD124" s="306">
        <f t="shared" si="971"/>
        <v>5.0000000000000001E-3</v>
      </c>
      <c r="DE124" s="306">
        <f t="shared" si="971"/>
        <v>5.0000000000000001E-3</v>
      </c>
      <c r="DF124" s="306">
        <f t="shared" si="971"/>
        <v>5.0000000000000001E-3</v>
      </c>
      <c r="DG124" s="306">
        <f t="shared" si="971"/>
        <v>5.0000000000000001E-3</v>
      </c>
      <c r="DH124" s="306">
        <f t="shared" si="971"/>
        <v>5.0000000000000001E-3</v>
      </c>
      <c r="DI124" s="306">
        <f t="shared" si="971"/>
        <v>5.0000000000000001E-3</v>
      </c>
      <c r="DJ124" s="306">
        <f t="shared" si="971"/>
        <v>5.0000000000000001E-3</v>
      </c>
      <c r="DK124" s="306">
        <f t="shared" si="971"/>
        <v>5.0000000000000001E-3</v>
      </c>
      <c r="DL124" s="312">
        <f t="shared" si="971"/>
        <v>5.0000000000000001E-3</v>
      </c>
      <c r="DM124" s="306">
        <f t="shared" si="971"/>
        <v>5.0000000000000001E-3</v>
      </c>
      <c r="DN124" s="306">
        <f t="shared" si="971"/>
        <v>5.0000000000000001E-3</v>
      </c>
      <c r="DO124" s="306">
        <f t="shared" si="971"/>
        <v>5.0000000000000001E-3</v>
      </c>
      <c r="DP124" s="306">
        <f t="shared" si="971"/>
        <v>5.0000000000000001E-3</v>
      </c>
      <c r="DQ124" s="306">
        <f t="shared" si="971"/>
        <v>5.0000000000000001E-3</v>
      </c>
      <c r="DR124" s="306">
        <f t="shared" si="971"/>
        <v>5.0000000000000001E-3</v>
      </c>
      <c r="DS124" s="306">
        <f t="shared" si="971"/>
        <v>5.0000000000000001E-3</v>
      </c>
      <c r="DT124" s="306">
        <f t="shared" si="971"/>
        <v>5.0000000000000001E-3</v>
      </c>
      <c r="DU124" s="306">
        <f t="shared" si="971"/>
        <v>5.0000000000000001E-3</v>
      </c>
      <c r="DV124" s="306">
        <f t="shared" si="971"/>
        <v>5.0000000000000001E-3</v>
      </c>
      <c r="DW124" s="306">
        <f t="shared" si="971"/>
        <v>5.0000000000000001E-3</v>
      </c>
    </row>
    <row r="125" spans="1:127" x14ac:dyDescent="0.3">
      <c r="D125" s="49" t="s">
        <v>310</v>
      </c>
      <c r="E125" s="306"/>
      <c r="F125" s="523"/>
      <c r="G125" s="1213">
        <f>VLOOKUP($D$4,'Data Master'!$C$115:$F$123,2,0)</f>
        <v>0.04</v>
      </c>
      <c r="H125" s="306">
        <f t="shared" ref="H125:AE125" si="972">G125</f>
        <v>0.04</v>
      </c>
      <c r="I125" s="306">
        <f t="shared" si="972"/>
        <v>0.04</v>
      </c>
      <c r="J125" s="306">
        <f t="shared" si="972"/>
        <v>0.04</v>
      </c>
      <c r="K125" s="306">
        <f t="shared" si="972"/>
        <v>0.04</v>
      </c>
      <c r="L125" s="306">
        <f t="shared" si="972"/>
        <v>0.04</v>
      </c>
      <c r="M125" s="306">
        <f t="shared" si="972"/>
        <v>0.04</v>
      </c>
      <c r="N125" s="306">
        <f t="shared" si="972"/>
        <v>0.04</v>
      </c>
      <c r="O125" s="306">
        <f t="shared" si="972"/>
        <v>0.04</v>
      </c>
      <c r="P125" s="306">
        <f t="shared" si="972"/>
        <v>0.04</v>
      </c>
      <c r="Q125" s="306">
        <f t="shared" si="972"/>
        <v>0.04</v>
      </c>
      <c r="R125" s="306">
        <f t="shared" si="972"/>
        <v>0.04</v>
      </c>
      <c r="S125" s="306">
        <f t="shared" si="972"/>
        <v>0.04</v>
      </c>
      <c r="T125" s="305">
        <f>VLOOKUP($D$4,'Data Master'!$C$115:$F$123,3,0)</f>
        <v>2.5000000000000001E-2</v>
      </c>
      <c r="U125" s="306">
        <f t="shared" si="972"/>
        <v>2.5000000000000001E-2</v>
      </c>
      <c r="V125" s="306">
        <f t="shared" si="972"/>
        <v>2.5000000000000001E-2</v>
      </c>
      <c r="W125" s="306">
        <f t="shared" si="972"/>
        <v>2.5000000000000001E-2</v>
      </c>
      <c r="X125" s="306">
        <f t="shared" si="972"/>
        <v>2.5000000000000001E-2</v>
      </c>
      <c r="Y125" s="306">
        <f t="shared" si="972"/>
        <v>2.5000000000000001E-2</v>
      </c>
      <c r="Z125" s="306">
        <f t="shared" si="972"/>
        <v>2.5000000000000001E-2</v>
      </c>
      <c r="AA125" s="306">
        <f t="shared" si="972"/>
        <v>2.5000000000000001E-2</v>
      </c>
      <c r="AB125" s="306">
        <f t="shared" si="972"/>
        <v>2.5000000000000001E-2</v>
      </c>
      <c r="AC125" s="306">
        <f t="shared" si="972"/>
        <v>2.5000000000000001E-2</v>
      </c>
      <c r="AD125" s="306">
        <f t="shared" si="972"/>
        <v>2.5000000000000001E-2</v>
      </c>
      <c r="AE125" s="306">
        <f t="shared" si="972"/>
        <v>2.5000000000000001E-2</v>
      </c>
      <c r="AF125" s="305">
        <f>VLOOKUP($D$4,'Data Master'!$C$115:$F$123,4,0)</f>
        <v>0</v>
      </c>
      <c r="AG125" s="306">
        <f t="shared" ref="AG125:BO125" si="973">AF125</f>
        <v>0</v>
      </c>
      <c r="AH125" s="306">
        <f t="shared" si="973"/>
        <v>0</v>
      </c>
      <c r="AI125" s="306">
        <f t="shared" si="973"/>
        <v>0</v>
      </c>
      <c r="AJ125" s="306">
        <f t="shared" si="973"/>
        <v>0</v>
      </c>
      <c r="AK125" s="306">
        <f t="shared" si="973"/>
        <v>0</v>
      </c>
      <c r="AL125" s="306">
        <f t="shared" si="973"/>
        <v>0</v>
      </c>
      <c r="AM125" s="306">
        <f t="shared" si="973"/>
        <v>0</v>
      </c>
      <c r="AN125" s="306">
        <f t="shared" si="973"/>
        <v>0</v>
      </c>
      <c r="AO125" s="306">
        <f t="shared" si="973"/>
        <v>0</v>
      </c>
      <c r="AP125" s="306">
        <f t="shared" si="973"/>
        <v>0</v>
      </c>
      <c r="AQ125" s="306">
        <f t="shared" si="973"/>
        <v>0</v>
      </c>
      <c r="AR125" s="305">
        <v>0</v>
      </c>
      <c r="AS125" s="306">
        <f t="shared" si="973"/>
        <v>0</v>
      </c>
      <c r="AT125" s="306">
        <f t="shared" si="973"/>
        <v>0</v>
      </c>
      <c r="AU125" s="306">
        <f t="shared" si="973"/>
        <v>0</v>
      </c>
      <c r="AV125" s="306">
        <f t="shared" si="973"/>
        <v>0</v>
      </c>
      <c r="AW125" s="306">
        <f t="shared" si="973"/>
        <v>0</v>
      </c>
      <c r="AX125" s="306">
        <f t="shared" si="973"/>
        <v>0</v>
      </c>
      <c r="AY125" s="306">
        <f t="shared" si="973"/>
        <v>0</v>
      </c>
      <c r="AZ125" s="306">
        <f t="shared" si="973"/>
        <v>0</v>
      </c>
      <c r="BA125" s="306">
        <f t="shared" si="973"/>
        <v>0</v>
      </c>
      <c r="BB125" s="306">
        <f t="shared" si="973"/>
        <v>0</v>
      </c>
      <c r="BC125" s="306">
        <f t="shared" si="973"/>
        <v>0</v>
      </c>
      <c r="BD125" s="305">
        <v>0</v>
      </c>
      <c r="BE125" s="306">
        <f t="shared" si="973"/>
        <v>0</v>
      </c>
      <c r="BF125" s="306">
        <f t="shared" si="973"/>
        <v>0</v>
      </c>
      <c r="BG125" s="306">
        <f t="shared" si="973"/>
        <v>0</v>
      </c>
      <c r="BH125" s="306">
        <f t="shared" si="973"/>
        <v>0</v>
      </c>
      <c r="BI125" s="306">
        <f t="shared" si="973"/>
        <v>0</v>
      </c>
      <c r="BJ125" s="306">
        <f t="shared" si="973"/>
        <v>0</v>
      </c>
      <c r="BK125" s="306">
        <f t="shared" si="973"/>
        <v>0</v>
      </c>
      <c r="BL125" s="306">
        <f t="shared" si="973"/>
        <v>0</v>
      </c>
      <c r="BM125" s="306">
        <f t="shared" si="973"/>
        <v>0</v>
      </c>
      <c r="BN125" s="306">
        <f t="shared" si="973"/>
        <v>0</v>
      </c>
      <c r="BO125" s="306">
        <f t="shared" si="973"/>
        <v>0</v>
      </c>
      <c r="BP125" s="305">
        <f t="shared" ref="BP125" si="974">BO125</f>
        <v>0</v>
      </c>
      <c r="BQ125" s="306">
        <f t="shared" ref="BQ125" si="975">BP125</f>
        <v>0</v>
      </c>
      <c r="BR125" s="306">
        <f t="shared" ref="BR125" si="976">BQ125</f>
        <v>0</v>
      </c>
      <c r="BS125" s="306">
        <f t="shared" ref="BS125" si="977">BR125</f>
        <v>0</v>
      </c>
      <c r="BT125" s="306">
        <f t="shared" ref="BT125" si="978">BS125</f>
        <v>0</v>
      </c>
      <c r="BU125" s="306">
        <f t="shared" ref="BU125" si="979">BT125</f>
        <v>0</v>
      </c>
      <c r="BV125" s="306">
        <f t="shared" ref="BV125" si="980">BU125</f>
        <v>0</v>
      </c>
      <c r="BW125" s="306">
        <f t="shared" ref="BW125" si="981">BV125</f>
        <v>0</v>
      </c>
      <c r="BX125" s="306">
        <f t="shared" ref="BX125" si="982">BW125</f>
        <v>0</v>
      </c>
      <c r="BY125" s="306">
        <f t="shared" ref="BY125" si="983">BX125</f>
        <v>0</v>
      </c>
      <c r="BZ125" s="306">
        <f t="shared" ref="BZ125" si="984">BY125</f>
        <v>0</v>
      </c>
      <c r="CA125" s="306">
        <f t="shared" ref="CA125" si="985">BZ125</f>
        <v>0</v>
      </c>
      <c r="CB125" s="305">
        <f t="shared" ref="CB125" si="986">CA125</f>
        <v>0</v>
      </c>
      <c r="CC125" s="306">
        <f t="shared" ref="CC125" si="987">CB125</f>
        <v>0</v>
      </c>
      <c r="CD125" s="306">
        <f t="shared" ref="CD125" si="988">CC125</f>
        <v>0</v>
      </c>
      <c r="CE125" s="306">
        <f t="shared" ref="CE125" si="989">CD125</f>
        <v>0</v>
      </c>
      <c r="CF125" s="306">
        <f t="shared" ref="CF125" si="990">CE125</f>
        <v>0</v>
      </c>
      <c r="CG125" s="306">
        <f t="shared" ref="CG125" si="991">CF125</f>
        <v>0</v>
      </c>
      <c r="CH125" s="306">
        <f t="shared" ref="CH125" si="992">CG125</f>
        <v>0</v>
      </c>
      <c r="CI125" s="306">
        <f t="shared" ref="CI125" si="993">CH125</f>
        <v>0</v>
      </c>
      <c r="CJ125" s="306">
        <f t="shared" ref="CJ125" si="994">CI125</f>
        <v>0</v>
      </c>
      <c r="CK125" s="306">
        <f t="shared" ref="CK125" si="995">CJ125</f>
        <v>0</v>
      </c>
      <c r="CL125" s="306">
        <f t="shared" ref="CL125" si="996">CK125</f>
        <v>0</v>
      </c>
      <c r="CM125" s="306">
        <f t="shared" ref="CM125" si="997">CL125</f>
        <v>0</v>
      </c>
      <c r="CN125" s="305">
        <f t="shared" ref="CN125" si="998">CM125</f>
        <v>0</v>
      </c>
      <c r="CO125" s="306">
        <f t="shared" ref="CO125" si="999">CN125</f>
        <v>0</v>
      </c>
      <c r="CP125" s="306">
        <f t="shared" ref="CP125" si="1000">CO125</f>
        <v>0</v>
      </c>
      <c r="CQ125" s="306">
        <f t="shared" ref="CQ125" si="1001">CP125</f>
        <v>0</v>
      </c>
      <c r="CR125" s="306">
        <f t="shared" ref="CR125" si="1002">CQ125</f>
        <v>0</v>
      </c>
      <c r="CS125" s="306">
        <f t="shared" ref="CS125" si="1003">CR125</f>
        <v>0</v>
      </c>
      <c r="CT125" s="306">
        <f t="shared" ref="CT125" si="1004">CS125</f>
        <v>0</v>
      </c>
      <c r="CU125" s="306">
        <f t="shared" ref="CU125" si="1005">CT125</f>
        <v>0</v>
      </c>
      <c r="CV125" s="306">
        <f t="shared" ref="CV125" si="1006">CU125</f>
        <v>0</v>
      </c>
      <c r="CW125" s="306">
        <f t="shared" ref="CW125" si="1007">CV125</f>
        <v>0</v>
      </c>
      <c r="CX125" s="306">
        <f t="shared" ref="CX125" si="1008">CW125</f>
        <v>0</v>
      </c>
      <c r="CY125" s="306">
        <f t="shared" ref="CY125" si="1009">CX125</f>
        <v>0</v>
      </c>
      <c r="CZ125" s="305">
        <f t="shared" ref="CZ125" si="1010">CY125</f>
        <v>0</v>
      </c>
      <c r="DA125" s="306">
        <f t="shared" ref="DA125" si="1011">CZ125</f>
        <v>0</v>
      </c>
      <c r="DB125" s="306">
        <f t="shared" ref="DB125" si="1012">DA125</f>
        <v>0</v>
      </c>
      <c r="DC125" s="306">
        <f t="shared" ref="DC125" si="1013">DB125</f>
        <v>0</v>
      </c>
      <c r="DD125" s="306">
        <f t="shared" ref="DD125" si="1014">DC125</f>
        <v>0</v>
      </c>
      <c r="DE125" s="306">
        <f t="shared" ref="DE125" si="1015">DD125</f>
        <v>0</v>
      </c>
      <c r="DF125" s="306">
        <f t="shared" ref="DF125" si="1016">DE125</f>
        <v>0</v>
      </c>
      <c r="DG125" s="306">
        <f t="shared" ref="DG125" si="1017">DF125</f>
        <v>0</v>
      </c>
      <c r="DH125" s="306">
        <f t="shared" ref="DH125" si="1018">DG125</f>
        <v>0</v>
      </c>
      <c r="DI125" s="306">
        <f t="shared" ref="DI125" si="1019">DH125</f>
        <v>0</v>
      </c>
      <c r="DJ125" s="306">
        <f t="shared" ref="DJ125" si="1020">DI125</f>
        <v>0</v>
      </c>
      <c r="DK125" s="306">
        <f t="shared" ref="DK125" si="1021">DJ125</f>
        <v>0</v>
      </c>
      <c r="DL125" s="305">
        <f t="shared" ref="DL125" si="1022">DK125</f>
        <v>0</v>
      </c>
      <c r="DM125" s="306">
        <f t="shared" ref="DM125" si="1023">DL125</f>
        <v>0</v>
      </c>
      <c r="DN125" s="306">
        <f t="shared" ref="DN125" si="1024">DM125</f>
        <v>0</v>
      </c>
      <c r="DO125" s="306">
        <f t="shared" ref="DO125" si="1025">DN125</f>
        <v>0</v>
      </c>
      <c r="DP125" s="306">
        <f t="shared" ref="DP125" si="1026">DO125</f>
        <v>0</v>
      </c>
      <c r="DQ125" s="306">
        <f t="shared" ref="DQ125" si="1027">DP125</f>
        <v>0</v>
      </c>
      <c r="DR125" s="306">
        <f t="shared" ref="DR125" si="1028">DQ125</f>
        <v>0</v>
      </c>
      <c r="DS125" s="306">
        <f t="shared" ref="DS125" si="1029">DR125</f>
        <v>0</v>
      </c>
      <c r="DT125" s="306">
        <f t="shared" ref="DT125" si="1030">DS125</f>
        <v>0</v>
      </c>
      <c r="DU125" s="306">
        <f t="shared" ref="DU125" si="1031">DT125</f>
        <v>0</v>
      </c>
      <c r="DV125" s="306">
        <f t="shared" ref="DV125" si="1032">DU125</f>
        <v>0</v>
      </c>
      <c r="DW125" s="306">
        <f t="shared" ref="DW125" si="1033">DV125</f>
        <v>0</v>
      </c>
    </row>
    <row r="126" spans="1:127" x14ac:dyDescent="0.3">
      <c r="D126" s="85"/>
      <c r="E126" s="313"/>
      <c r="F126" s="524"/>
      <c r="G126" s="1217"/>
      <c r="H126" s="313"/>
      <c r="I126" s="313"/>
      <c r="J126" s="313"/>
      <c r="K126" s="313"/>
      <c r="L126" s="313"/>
      <c r="M126" s="313"/>
      <c r="N126" s="313"/>
      <c r="O126" s="313"/>
      <c r="P126" s="313"/>
      <c r="Q126" s="313"/>
      <c r="R126" s="313"/>
      <c r="S126" s="313"/>
      <c r="T126" s="314"/>
      <c r="U126" s="313"/>
      <c r="V126" s="313"/>
      <c r="W126" s="313"/>
      <c r="X126" s="313"/>
      <c r="Y126" s="313"/>
      <c r="Z126" s="313"/>
      <c r="AA126" s="313"/>
      <c r="AB126" s="313"/>
      <c r="AC126" s="313"/>
      <c r="AD126" s="313"/>
      <c r="AE126" s="313"/>
      <c r="AF126" s="314"/>
      <c r="AG126" s="313"/>
      <c r="AH126" s="313"/>
      <c r="AI126" s="313"/>
      <c r="AJ126" s="313"/>
      <c r="AK126" s="313"/>
      <c r="AL126" s="313"/>
      <c r="AM126" s="313"/>
      <c r="AN126" s="313"/>
      <c r="AO126" s="313"/>
      <c r="AP126" s="313"/>
      <c r="AQ126" s="313"/>
      <c r="AR126" s="314"/>
      <c r="AS126" s="313"/>
      <c r="AT126" s="313"/>
      <c r="AU126" s="313"/>
      <c r="AV126" s="313"/>
      <c r="AW126" s="313"/>
      <c r="AX126" s="313"/>
      <c r="AY126" s="313"/>
      <c r="AZ126" s="313"/>
      <c r="BA126" s="313"/>
      <c r="BB126" s="313"/>
      <c r="BC126" s="313"/>
      <c r="BD126" s="314"/>
      <c r="BE126" s="313"/>
      <c r="BF126" s="313"/>
      <c r="BG126" s="313"/>
      <c r="BH126" s="313"/>
      <c r="BI126" s="313"/>
      <c r="BJ126" s="313"/>
      <c r="BK126" s="313"/>
      <c r="BL126" s="313"/>
      <c r="BM126" s="313"/>
      <c r="BN126" s="313"/>
      <c r="BO126" s="313"/>
      <c r="BP126" s="314"/>
      <c r="BQ126" s="313"/>
      <c r="BR126" s="313"/>
      <c r="BS126" s="313"/>
      <c r="BT126" s="313"/>
      <c r="BU126" s="313"/>
      <c r="BV126" s="313"/>
      <c r="BW126" s="313"/>
      <c r="BX126" s="313"/>
      <c r="BY126" s="313"/>
      <c r="BZ126" s="313"/>
      <c r="CA126" s="313"/>
      <c r="CB126" s="314"/>
      <c r="CC126" s="313"/>
      <c r="CD126" s="313"/>
      <c r="CE126" s="313"/>
      <c r="CF126" s="313"/>
      <c r="CG126" s="313"/>
      <c r="CH126" s="313"/>
      <c r="CI126" s="313"/>
      <c r="CJ126" s="313"/>
      <c r="CK126" s="313"/>
      <c r="CL126" s="313"/>
      <c r="CM126" s="313"/>
      <c r="CN126" s="314"/>
      <c r="CO126" s="313"/>
      <c r="CP126" s="313"/>
      <c r="CQ126" s="313"/>
      <c r="CR126" s="313"/>
      <c r="CS126" s="313"/>
      <c r="CT126" s="313"/>
      <c r="CU126" s="313"/>
      <c r="CV126" s="313"/>
      <c r="CW126" s="313"/>
      <c r="CX126" s="313"/>
      <c r="CY126" s="313"/>
      <c r="CZ126" s="314"/>
      <c r="DA126" s="313"/>
      <c r="DB126" s="313"/>
      <c r="DC126" s="313"/>
      <c r="DD126" s="313"/>
      <c r="DE126" s="313"/>
      <c r="DF126" s="313"/>
      <c r="DG126" s="313"/>
      <c r="DH126" s="313"/>
      <c r="DI126" s="313"/>
      <c r="DJ126" s="313"/>
      <c r="DK126" s="313"/>
      <c r="DL126" s="314"/>
      <c r="DM126" s="313"/>
      <c r="DN126" s="313"/>
      <c r="DO126" s="313"/>
      <c r="DP126" s="313"/>
      <c r="DQ126" s="313"/>
      <c r="DR126" s="313"/>
      <c r="DS126" s="313"/>
      <c r="DT126" s="313"/>
      <c r="DU126" s="313"/>
      <c r="DV126" s="313"/>
      <c r="DW126" s="313"/>
    </row>
    <row r="127" spans="1:127" s="93" customFormat="1" x14ac:dyDescent="0.3"/>
    <row r="128" spans="1:127" x14ac:dyDescent="0.3">
      <c r="D128" s="84" t="s">
        <v>70</v>
      </c>
      <c r="E128" s="300"/>
      <c r="F128" s="525"/>
      <c r="G128" s="1218">
        <f>IF(G$6=Data!$F$151,Data!$E$151,IF(G$6=Data!$F$152,Data!$E$152,IF(G$6=Data!$F$153,Data!$E$153,IF(G$6=Data!$F$154,Data!$E$154,IF(G$6=Data!$F$155,Data!$E$155,IF(G$6=Data!$F$156,Data!$E$156,IF(G$6=Data!$F$157,Data!$E$157,IF(G$6=Data!$F$158,Data!$E$158,IF(G$6=Data!$F$159,Data!$E$159,IF(G$6=Data!$F$160,Data!$E$160,IF(G$6=Data!$F$161,Data!$E$161,IF(G$6=Data!$F$162,Data!$E$162,0))))))))))))</f>
        <v>0</v>
      </c>
      <c r="H128" s="300">
        <f>IF(H$6=Data!$F$151,Data!$E$151,IF(H$6=Data!$F$152,Data!$E$152,IF(H$6=Data!$F$153,Data!$E$153,IF(H$6=Data!$F$154,Data!$E$154,IF(H$6=Data!$F$155,Data!$E$155,IF(H$6=Data!$F$156,Data!$E$156,IF(H$6=Data!$F$157,Data!$E$157,IF(H$6=Data!$F$158,Data!$E$158,IF(H$6=Data!$F$159,Data!$E$159,IF(H$6=Data!$F$160,Data!$E$160,IF(H$6=Data!$F$161,Data!$E$161,IF(H$6=Data!$F$162,Data!$E$162,0))))))))))))</f>
        <v>0</v>
      </c>
      <c r="I128" s="300">
        <f>IF(I$6=Data!$F$151,Data!$E$151,IF(I$6=Data!$F$152,Data!$E$152,IF(I$6=Data!$F$153,Data!$E$153,IF(I$6=Data!$F$154,Data!$E$154,IF(I$6=Data!$F$155,Data!$E$155,IF(I$6=Data!$F$156,Data!$E$156,IF(I$6=Data!$F$157,Data!$E$157,IF(I$6=Data!$F$158,Data!$E$158,IF(I$6=Data!$F$159,Data!$E$159,IF(I$6=Data!$F$160,Data!$E$160,IF(I$6=Data!$F$161,Data!$E$161,IF(I$6=Data!$F$162,Data!$E$162,0))))))))))))</f>
        <v>0</v>
      </c>
      <c r="J128" s="300">
        <f>IF(J$6=Data!$F$151,Data!$E$151,IF(J$6=Data!$F$152,Data!$E$152,IF(J$6=Data!$F$153,Data!$E$153,IF(J$6=Data!$F$154,Data!$E$154,IF(J$6=Data!$F$155,Data!$E$155,IF(J$6=Data!$F$156,Data!$E$156,IF(J$6=Data!$F$157,Data!$E$157,IF(J$6=Data!$F$158,Data!$E$158,IF(J$6=Data!$F$159,Data!$E$159,IF(J$6=Data!$F$160,Data!$E$160,IF(J$6=Data!$F$161,Data!$E$161,IF(J$6=Data!$F$162,Data!$E$162,0))))))))))))</f>
        <v>0</v>
      </c>
      <c r="K128" s="300">
        <f>IF(K$6=Data!$F$151,Data!$E$151,IF(K$6=Data!$F$152,Data!$E$152,IF(K$6=Data!$F$153,Data!$E$153,IF(K$6=Data!$F$154,Data!$E$154,IF(K$6=Data!$F$155,Data!$E$155,IF(K$6=Data!$F$156,Data!$E$156,IF(K$6=Data!$F$157,Data!$E$157,IF(K$6=Data!$F$158,Data!$E$158,IF(K$6=Data!$F$159,Data!$E$159,IF(K$6=Data!$F$160,Data!$E$160,IF(K$6=Data!$F$161,Data!$E$161,IF(K$6=Data!$F$162,Data!$E$162,0))))))))))))</f>
        <v>0</v>
      </c>
      <c r="L128" s="300">
        <f>IF(L$6=Data!$F$151,Data!$E$151,IF(L$6=Data!$F$152,Data!$E$152,IF(L$6=Data!$F$153,Data!$E$153,IF(L$6=Data!$F$154,Data!$E$154,IF(L$6=Data!$F$155,Data!$E$155,IF(L$6=Data!$F$156,Data!$E$156,IF(L$6=Data!$F$157,Data!$E$157,IF(L$6=Data!$F$158,Data!$E$158,IF(L$6=Data!$F$159,Data!$E$159,IF(L$6=Data!$F$160,Data!$E$160,IF(L$6=Data!$F$161,Data!$E$161,IF(L$6=Data!$F$162,Data!$E$162,0))))))))))))</f>
        <v>0</v>
      </c>
      <c r="M128" s="300">
        <f>IF(M$6=Data!$F$151,Data!$E$151,IF(M$6=Data!$F$152,Data!$E$152,IF(M$6=Data!$F$153,Data!$E$153,IF(M$6=Data!$F$154,Data!$E$154,IF(M$6=Data!$F$155,Data!$E$155,IF(M$6=Data!$F$156,Data!$E$156,IF(M$6=Data!$F$157,Data!$E$157,IF(M$6=Data!$F$158,Data!$E$158,IF(M$6=Data!$F$159,Data!$E$159,IF(M$6=Data!$F$160,Data!$E$160,IF(M$6=Data!$F$161,Data!$E$161,IF(M$6=Data!$F$162,Data!$E$162,0))))))))))))</f>
        <v>0</v>
      </c>
      <c r="N128" s="300">
        <f>IF(N$6=Data!$F$151,Data!$E$151,IF(N$6=Data!$F$152,Data!$E$152,IF(N$6=Data!$F$153,Data!$E$153,IF(N$6=Data!$F$154,Data!$E$154,IF(N$6=Data!$F$155,Data!$E$155,IF(N$6=Data!$F$156,Data!$E$156,IF(N$6=Data!$F$157,Data!$E$157,IF(N$6=Data!$F$158,Data!$E$158,IF(N$6=Data!$F$159,Data!$E$159,IF(N$6=Data!$F$160,Data!$E$160,IF(N$6=Data!$F$161,Data!$E$161,IF(N$6=Data!$F$162,Data!$E$162,0))))))))))))</f>
        <v>0</v>
      </c>
      <c r="O128" s="300">
        <f>IF(O$6=Data!$F$151,Data!$E$151,IF(O$6=Data!$F$152,Data!$E$152,IF(O$6=Data!$F$153,Data!$E$153,IF(O$6=Data!$F$154,Data!$E$154,IF(O$6=Data!$F$155,Data!$E$155,IF(O$6=Data!$F$156,Data!$E$156,IF(O$6=Data!$F$157,Data!$E$157,IF(O$6=Data!$F$158,Data!$E$158,IF(O$6=Data!$F$159,Data!$E$159,IF(O$6=Data!$F$160,Data!$E$160,IF(O$6=Data!$F$161,Data!$E$161,IF(O$6=Data!$F$162,Data!$E$162,0))))))))))))</f>
        <v>0</v>
      </c>
      <c r="P128" s="300">
        <f>IF(P$6=Data!$F$151,Data!$E$151,IF(P$6=Data!$F$152,Data!$E$152,IF(P$6=Data!$F$153,Data!$E$153,IF(P$6=Data!$F$154,Data!$E$154,IF(P$6=Data!$F$155,Data!$E$155,IF(P$6=Data!$F$156,Data!$E$156,IF(P$6=Data!$F$157,Data!$E$157,IF(P$6=Data!$F$158,Data!$E$158,IF(P$6=Data!$F$159,Data!$E$159,IF(P$6=Data!$F$160,Data!$E$160,IF(P$6=Data!$F$161,Data!$E$161,IF(P$6=Data!$F$162,Data!$E$162,0))))))))))))</f>
        <v>0</v>
      </c>
      <c r="Q128" s="300">
        <f>IF(Q$6=Data!$F$151,Data!$E$151,IF(Q$6=Data!$F$152,Data!$E$152,IF(Q$6=Data!$F$153,Data!$E$153,IF(Q$6=Data!$F$154,Data!$E$154,IF(Q$6=Data!$F$155,Data!$E$155,IF(Q$6=Data!$F$156,Data!$E$156,IF(Q$6=Data!$F$157,Data!$E$157,IF(Q$6=Data!$F$158,Data!$E$158,IF(Q$6=Data!$F$159,Data!$E$159,IF(Q$6=Data!$F$160,Data!$E$160,IF(Q$6=Data!$F$161,Data!$E$161,IF(Q$6=Data!$F$162,Data!$E$162,0))))))))))))</f>
        <v>0</v>
      </c>
      <c r="R128" s="300">
        <f>IF(R$6=Data!$F$151,Data!$E$151,IF(R$6=Data!$F$152,Data!$E$152,IF(R$6=Data!$F$153,Data!$E$153,IF(R$6=Data!$F$154,Data!$E$154,IF(R$6=Data!$F$155,Data!$E$155,IF(R$6=Data!$F$156,Data!$E$156,IF(R$6=Data!$F$157,Data!$E$157,IF(R$6=Data!$F$158,Data!$E$158,IF(R$6=Data!$F$159,Data!$E$159,IF(R$6=Data!$F$160,Data!$E$160,IF(R$6=Data!$F$161,Data!$E$161,IF(R$6=Data!$F$162,Data!$E$162,0))))))))))))</f>
        <v>0</v>
      </c>
      <c r="S128" s="300">
        <f>IF(S$6=Data!$F$151,Data!$E$151,IF(S$6=Data!$F$152,Data!$E$152,IF(S$6=Data!$F$153,Data!$E$153,IF(S$6=Data!$F$154,Data!$E$154,IF(S$6=Data!$F$155,Data!$E$155,IF(S$6=Data!$F$156,Data!$E$156,IF(S$6=Data!$F$157,Data!$E$157,IF(S$6=Data!$F$158,Data!$E$158,IF(S$6=Data!$F$159,Data!$E$159,IF(S$6=Data!$F$160,Data!$E$160,IF(S$6=Data!$F$161,Data!$E$161,IF(S$6=Data!$F$162,Data!$E$162,0))))))))))))</f>
        <v>0</v>
      </c>
      <c r="T128" s="301">
        <f>IF(T$6=Data!$F$151,Data!$E$151,IF(T$6=Data!$F$152,Data!$E$152,IF(T$6=Data!$F$153,Data!$E$153,IF(T$6=Data!$F$154,Data!$E$154,IF(T$6=Data!$F$155,Data!$E$155,IF(T$6=Data!$F$156,Data!$E$156,IF(T$6=Data!$F$157,Data!$E$157,IF(T$6=Data!$F$158,Data!$E$158,IF(T$6=Data!$F$159,Data!$E$159,IF(T$6=Data!$F$160,Data!$E$160,IF(T$6=Data!$F$161,Data!$E$161,IF(T$6=Data!$F$162,Data!$E$162,0))))))))))))</f>
        <v>0.05</v>
      </c>
      <c r="U128" s="300">
        <f>IF(U$6=Data!$F$151,Data!$E$151,IF(U$6=Data!$F$152,Data!$E$152,IF(U$6=Data!$F$153,Data!$E$153,IF(U$6=Data!$F$154,Data!$E$154,IF(U$6=Data!$F$155,Data!$E$155,IF(U$6=Data!$F$156,Data!$E$156,IF(U$6=Data!$F$157,Data!$E$157,IF(U$6=Data!$F$158,Data!$E$158,IF(U$6=Data!$F$159,Data!$E$159,IF(U$6=Data!$F$160,Data!$E$160,IF(U$6=Data!$F$161,Data!$E$161,IF(U$6=Data!$F$162,Data!$E$162,0))))))))))))</f>
        <v>0</v>
      </c>
      <c r="V128" s="300">
        <f>IF(V$6=Data!$F$151,Data!$E$151,IF(V$6=Data!$F$152,Data!$E$152,IF(V$6=Data!$F$153,Data!$E$153,IF(V$6=Data!$F$154,Data!$E$154,IF(V$6=Data!$F$155,Data!$E$155,IF(V$6=Data!$F$156,Data!$E$156,IF(V$6=Data!$F$157,Data!$E$157,IF(V$6=Data!$F$158,Data!$E$158,IF(V$6=Data!$F$159,Data!$E$159,IF(V$6=Data!$F$160,Data!$E$160,IF(V$6=Data!$F$161,Data!$E$161,IF(V$6=Data!$F$162,Data!$E$162,0))))))))))))</f>
        <v>0</v>
      </c>
      <c r="W128" s="300">
        <f>IF(W$6=Data!$F$151,Data!$E$151,IF(W$6=Data!$F$152,Data!$E$152,IF(W$6=Data!$F$153,Data!$E$153,IF(W$6=Data!$F$154,Data!$E$154,IF(W$6=Data!$F$155,Data!$E$155,IF(W$6=Data!$F$156,Data!$E$156,IF(W$6=Data!$F$157,Data!$E$157,IF(W$6=Data!$F$158,Data!$E$158,IF(W$6=Data!$F$159,Data!$E$159,IF(W$6=Data!$F$160,Data!$E$160,IF(W$6=Data!$F$161,Data!$E$161,IF(W$6=Data!$F$162,Data!$E$162,0))))))))))))</f>
        <v>0</v>
      </c>
      <c r="X128" s="300">
        <f>IF(X$6=Data!$F$151,Data!$E$151,IF(X$6=Data!$F$152,Data!$E$152,IF(X$6=Data!$F$153,Data!$E$153,IF(X$6=Data!$F$154,Data!$E$154,IF(X$6=Data!$F$155,Data!$E$155,IF(X$6=Data!$F$156,Data!$E$156,IF(X$6=Data!$F$157,Data!$E$157,IF(X$6=Data!$F$158,Data!$E$158,IF(X$6=Data!$F$159,Data!$E$159,IF(X$6=Data!$F$160,Data!$E$160,IF(X$6=Data!$F$161,Data!$E$161,IF(X$6=Data!$F$162,Data!$E$162,0))))))))))))</f>
        <v>0</v>
      </c>
      <c r="Y128" s="300">
        <f>IF(Y$6=Data!$F$151,Data!$E$151,IF(Y$6=Data!$F$152,Data!$E$152,IF(Y$6=Data!$F$153,Data!$E$153,IF(Y$6=Data!$F$154,Data!$E$154,IF(Y$6=Data!$F$155,Data!$E$155,IF(Y$6=Data!$F$156,Data!$E$156,IF(Y$6=Data!$F$157,Data!$E$157,IF(Y$6=Data!$F$158,Data!$E$158,IF(Y$6=Data!$F$159,Data!$E$159,IF(Y$6=Data!$F$160,Data!$E$160,IF(Y$6=Data!$F$161,Data!$E$161,IF(Y$6=Data!$F$162,Data!$E$162,0))))))))))))</f>
        <v>0</v>
      </c>
      <c r="Z128" s="300">
        <f>IF(Z$6=Data!$F$151,Data!$E$151,IF(Z$6=Data!$F$152,Data!$E$152,IF(Z$6=Data!$F$153,Data!$E$153,IF(Z$6=Data!$F$154,Data!$E$154,IF(Z$6=Data!$F$155,Data!$E$155,IF(Z$6=Data!$F$156,Data!$E$156,IF(Z$6=Data!$F$157,Data!$E$157,IF(Z$6=Data!$F$158,Data!$E$158,IF(Z$6=Data!$F$159,Data!$E$159,IF(Z$6=Data!$F$160,Data!$E$160,IF(Z$6=Data!$F$161,Data!$E$161,IF(Z$6=Data!$F$162,Data!$E$162,0))))))))))))</f>
        <v>0</v>
      </c>
      <c r="AA128" s="300">
        <f>IF(AA$6=Data!$F$151,Data!$E$151,IF(AA$6=Data!$F$152,Data!$E$152,IF(AA$6=Data!$F$153,Data!$E$153,IF(AA$6=Data!$F$154,Data!$E$154,IF(AA$6=Data!$F$155,Data!$E$155,IF(AA$6=Data!$F$156,Data!$E$156,IF(AA$6=Data!$F$157,Data!$E$157,IF(AA$6=Data!$F$158,Data!$E$158,IF(AA$6=Data!$F$159,Data!$E$159,IF(AA$6=Data!$F$160,Data!$E$160,IF(AA$6=Data!$F$161,Data!$E$161,IF(AA$6=Data!$F$162,Data!$E$162,0))))))))))))</f>
        <v>0</v>
      </c>
      <c r="AB128" s="300">
        <f>IF(AB$6=Data!$F$151,Data!$E$151,IF(AB$6=Data!$F$152,Data!$E$152,IF(AB$6=Data!$F$153,Data!$E$153,IF(AB$6=Data!$F$154,Data!$E$154,IF(AB$6=Data!$F$155,Data!$E$155,IF(AB$6=Data!$F$156,Data!$E$156,IF(AB$6=Data!$F$157,Data!$E$157,IF(AB$6=Data!$F$158,Data!$E$158,IF(AB$6=Data!$F$159,Data!$E$159,IF(AB$6=Data!$F$160,Data!$E$160,IF(AB$6=Data!$F$161,Data!$E$161,IF(AB$6=Data!$F$162,Data!$E$162,0))))))))))))</f>
        <v>0</v>
      </c>
      <c r="AC128" s="300">
        <f>IF(AC$6=Data!$F$151,Data!$E$151,IF(AC$6=Data!$F$152,Data!$E$152,IF(AC$6=Data!$F$153,Data!$E$153,IF(AC$6=Data!$F$154,Data!$E$154,IF(AC$6=Data!$F$155,Data!$E$155,IF(AC$6=Data!$F$156,Data!$E$156,IF(AC$6=Data!$F$157,Data!$E$157,IF(AC$6=Data!$F$158,Data!$E$158,IF(AC$6=Data!$F$159,Data!$E$159,IF(AC$6=Data!$F$160,Data!$E$160,IF(AC$6=Data!$F$161,Data!$E$161,IF(AC$6=Data!$F$162,Data!$E$162,0))))))))))))</f>
        <v>0</v>
      </c>
      <c r="AD128" s="300">
        <f>IF(AD$6=Data!$F$151,Data!$E$151,IF(AD$6=Data!$F$152,Data!$E$152,IF(AD$6=Data!$F$153,Data!$E$153,IF(AD$6=Data!$F$154,Data!$E$154,IF(AD$6=Data!$F$155,Data!$E$155,IF(AD$6=Data!$F$156,Data!$E$156,IF(AD$6=Data!$F$157,Data!$E$157,IF(AD$6=Data!$F$158,Data!$E$158,IF(AD$6=Data!$F$159,Data!$E$159,IF(AD$6=Data!$F$160,Data!$E$160,IF(AD$6=Data!$F$161,Data!$E$161,IF(AD$6=Data!$F$162,Data!$E$162,0))))))))))))</f>
        <v>0</v>
      </c>
      <c r="AE128" s="300">
        <f>IF(AE$6=Data!$F$151,Data!$E$151,IF(AE$6=Data!$F$152,Data!$E$152,IF(AE$6=Data!$F$153,Data!$E$153,IF(AE$6=Data!$F$154,Data!$E$154,IF(AE$6=Data!$F$155,Data!$E$155,IF(AE$6=Data!$F$156,Data!$E$156,IF(AE$6=Data!$F$157,Data!$E$157,IF(AE$6=Data!$F$158,Data!$E$158,IF(AE$6=Data!$F$159,Data!$E$159,IF(AE$6=Data!$F$160,Data!$E$160,IF(AE$6=Data!$F$161,Data!$E$161,IF(AE$6=Data!$F$162,Data!$E$162,0))))))))))))</f>
        <v>0</v>
      </c>
      <c r="AF128" s="301">
        <f>IF(AF$6=Data!$F$151,Data!$E$151,IF(AF$6=Data!$F$152,Data!$E$152,IF(AF$6=Data!$F$153,Data!$E$153,IF(AF$6=Data!$F$154,Data!$E$154,IF(AF$6=Data!$F$155,Data!$E$155,IF(AF$6=Data!$F$156,Data!$E$156,IF(AF$6=Data!$F$157,Data!$E$157,IF(AF$6=Data!$F$158,Data!$E$158,IF(AF$6=Data!$F$159,Data!$E$159,IF(AF$6=Data!$F$160,Data!$E$160,IF(AF$6=Data!$F$161,Data!$E$161,IF(AF$6=Data!$F$162,Data!$E$162,0))))))))))))</f>
        <v>0.05</v>
      </c>
      <c r="AG128" s="300">
        <f>IF(AG$6=Data!$F$151,Data!$E$151,IF(AG$6=Data!$F$152,Data!$E$152,IF(AG$6=Data!$F$153,Data!$E$153,IF(AG$6=Data!$F$154,Data!$E$154,IF(AG$6=Data!$F$155,Data!$E$155,IF(AG$6=Data!$F$156,Data!$E$156,IF(AG$6=Data!$F$157,Data!$E$157,IF(AG$6=Data!$F$158,Data!$E$158,IF(AG$6=Data!$F$159,Data!$E$159,IF(AG$6=Data!$F$160,Data!$E$160,IF(AG$6=Data!$F$161,Data!$E$161,IF(AG$6=Data!$F$162,Data!$E$162,0))))))))))))</f>
        <v>0</v>
      </c>
      <c r="AH128" s="300">
        <f>IF(AH$6=Data!$F$151,Data!$E$151,IF(AH$6=Data!$F$152,Data!$E$152,IF(AH$6=Data!$F$153,Data!$E$153,IF(AH$6=Data!$F$154,Data!$E$154,IF(AH$6=Data!$F$155,Data!$E$155,IF(AH$6=Data!$F$156,Data!$E$156,IF(AH$6=Data!$F$157,Data!$E$157,IF(AH$6=Data!$F$158,Data!$E$158,IF(AH$6=Data!$F$159,Data!$E$159,IF(AH$6=Data!$F$160,Data!$E$160,IF(AH$6=Data!$F$161,Data!$E$161,IF(AH$6=Data!$F$162,Data!$E$162,0))))))))))))</f>
        <v>0</v>
      </c>
      <c r="AI128" s="300">
        <f>IF(AI$6=Data!$F$151,Data!$E$151,IF(AI$6=Data!$F$152,Data!$E$152,IF(AI$6=Data!$F$153,Data!$E$153,IF(AI$6=Data!$F$154,Data!$E$154,IF(AI$6=Data!$F$155,Data!$E$155,IF(AI$6=Data!$F$156,Data!$E$156,IF(AI$6=Data!$F$157,Data!$E$157,IF(AI$6=Data!$F$158,Data!$E$158,IF(AI$6=Data!$F$159,Data!$E$159,IF(AI$6=Data!$F$160,Data!$E$160,IF(AI$6=Data!$F$161,Data!$E$161,IF(AI$6=Data!$F$162,Data!$E$162,0))))))))))))</f>
        <v>0</v>
      </c>
      <c r="AJ128" s="300">
        <f>IF(AJ$6=Data!$F$151,Data!$E$151,IF(AJ$6=Data!$F$152,Data!$E$152,IF(AJ$6=Data!$F$153,Data!$E$153,IF(AJ$6=Data!$F$154,Data!$E$154,IF(AJ$6=Data!$F$155,Data!$E$155,IF(AJ$6=Data!$F$156,Data!$E$156,IF(AJ$6=Data!$F$157,Data!$E$157,IF(AJ$6=Data!$F$158,Data!$E$158,IF(AJ$6=Data!$F$159,Data!$E$159,IF(AJ$6=Data!$F$160,Data!$E$160,IF(AJ$6=Data!$F$161,Data!$E$161,IF(AJ$6=Data!$F$162,Data!$E$162,0))))))))))))</f>
        <v>0</v>
      </c>
      <c r="AK128" s="300">
        <f>IF(AK$6=Data!$F$151,Data!$E$151,IF(AK$6=Data!$F$152,Data!$E$152,IF(AK$6=Data!$F$153,Data!$E$153,IF(AK$6=Data!$F$154,Data!$E$154,IF(AK$6=Data!$F$155,Data!$E$155,IF(AK$6=Data!$F$156,Data!$E$156,IF(AK$6=Data!$F$157,Data!$E$157,IF(AK$6=Data!$F$158,Data!$E$158,IF(AK$6=Data!$F$159,Data!$E$159,IF(AK$6=Data!$F$160,Data!$E$160,IF(AK$6=Data!$F$161,Data!$E$161,IF(AK$6=Data!$F$162,Data!$E$162,0))))))))))))</f>
        <v>0</v>
      </c>
      <c r="AL128" s="300">
        <f>IF(AL$6=Data!$F$151,Data!$E$151,IF(AL$6=Data!$F$152,Data!$E$152,IF(AL$6=Data!$F$153,Data!$E$153,IF(AL$6=Data!$F$154,Data!$E$154,IF(AL$6=Data!$F$155,Data!$E$155,IF(AL$6=Data!$F$156,Data!$E$156,IF(AL$6=Data!$F$157,Data!$E$157,IF(AL$6=Data!$F$158,Data!$E$158,IF(AL$6=Data!$F$159,Data!$E$159,IF(AL$6=Data!$F$160,Data!$E$160,IF(AL$6=Data!$F$161,Data!$E$161,IF(AL$6=Data!$F$162,Data!$E$162,0))))))))))))</f>
        <v>0</v>
      </c>
      <c r="AM128" s="300">
        <f>IF(AM$6=Data!$F$151,Data!$E$151,IF(AM$6=Data!$F$152,Data!$E$152,IF(AM$6=Data!$F$153,Data!$E$153,IF(AM$6=Data!$F$154,Data!$E$154,IF(AM$6=Data!$F$155,Data!$E$155,IF(AM$6=Data!$F$156,Data!$E$156,IF(AM$6=Data!$F$157,Data!$E$157,IF(AM$6=Data!$F$158,Data!$E$158,IF(AM$6=Data!$F$159,Data!$E$159,IF(AM$6=Data!$F$160,Data!$E$160,IF(AM$6=Data!$F$161,Data!$E$161,IF(AM$6=Data!$F$162,Data!$E$162,0))))))))))))</f>
        <v>0</v>
      </c>
      <c r="AN128" s="300">
        <f>IF(AN$6=Data!$F$151,Data!$E$151,IF(AN$6=Data!$F$152,Data!$E$152,IF(AN$6=Data!$F$153,Data!$E$153,IF(AN$6=Data!$F$154,Data!$E$154,IF(AN$6=Data!$F$155,Data!$E$155,IF(AN$6=Data!$F$156,Data!$E$156,IF(AN$6=Data!$F$157,Data!$E$157,IF(AN$6=Data!$F$158,Data!$E$158,IF(AN$6=Data!$F$159,Data!$E$159,IF(AN$6=Data!$F$160,Data!$E$160,IF(AN$6=Data!$F$161,Data!$E$161,IF(AN$6=Data!$F$162,Data!$E$162,0))))))))))))</f>
        <v>0</v>
      </c>
      <c r="AO128" s="300">
        <f>IF(AO$6=Data!$F$151,Data!$E$151,IF(AO$6=Data!$F$152,Data!$E$152,IF(AO$6=Data!$F$153,Data!$E$153,IF(AO$6=Data!$F$154,Data!$E$154,IF(AO$6=Data!$F$155,Data!$E$155,IF(AO$6=Data!$F$156,Data!$E$156,IF(AO$6=Data!$F$157,Data!$E$157,IF(AO$6=Data!$F$158,Data!$E$158,IF(AO$6=Data!$F$159,Data!$E$159,IF(AO$6=Data!$F$160,Data!$E$160,IF(AO$6=Data!$F$161,Data!$E$161,IF(AO$6=Data!$F$162,Data!$E$162,0))))))))))))</f>
        <v>0</v>
      </c>
      <c r="AP128" s="300">
        <f>IF(AP$6=Data!$F$151,Data!$E$151,IF(AP$6=Data!$F$152,Data!$E$152,IF(AP$6=Data!$F$153,Data!$E$153,IF(AP$6=Data!$F$154,Data!$E$154,IF(AP$6=Data!$F$155,Data!$E$155,IF(AP$6=Data!$F$156,Data!$E$156,IF(AP$6=Data!$F$157,Data!$E$157,IF(AP$6=Data!$F$158,Data!$E$158,IF(AP$6=Data!$F$159,Data!$E$159,IF(AP$6=Data!$F$160,Data!$E$160,IF(AP$6=Data!$F$161,Data!$E$161,IF(AP$6=Data!$F$162,Data!$E$162,0))))))))))))</f>
        <v>0</v>
      </c>
      <c r="AQ128" s="300">
        <f>IF(AQ$6=Data!$F$151,Data!$E$151,IF(AQ$6=Data!$F$152,Data!$E$152,IF(AQ$6=Data!$F$153,Data!$E$153,IF(AQ$6=Data!$F$154,Data!$E$154,IF(AQ$6=Data!$F$155,Data!$E$155,IF(AQ$6=Data!$F$156,Data!$E$156,IF(AQ$6=Data!$F$157,Data!$E$157,IF(AQ$6=Data!$F$158,Data!$E$158,IF(AQ$6=Data!$F$159,Data!$E$159,IF(AQ$6=Data!$F$160,Data!$E$160,IF(AQ$6=Data!$F$161,Data!$E$161,IF(AQ$6=Data!$F$162,Data!$E$162,0))))))))))))</f>
        <v>0</v>
      </c>
      <c r="AR128" s="301">
        <f>IF(AR$6=Data!$F$151,Data!$E$151,IF(AR$6=Data!$F$152,Data!$E$152,IF(AR$6=Data!$F$153,Data!$E$153,IF(AR$6=Data!$F$154,Data!$E$154,IF(AR$6=Data!$F$155,Data!$E$155,IF(AR$6=Data!$F$156,Data!$E$156,IF(AR$6=Data!$F$157,Data!$E$157,IF(AR$6=Data!$F$158,Data!$E$158,IF(AR$6=Data!$F$159,Data!$E$159,IF(AR$6=Data!$F$160,Data!$E$160,IF(AR$6=Data!$F$161,Data!$E$161,IF(AR$6=Data!$F$162,Data!$E$162,0))))))))))))</f>
        <v>0.05</v>
      </c>
      <c r="AS128" s="300">
        <f>IF(AS$6=Data!$F$151,Data!$E$151,IF(AS$6=Data!$F$152,Data!$E$152,IF(AS$6=Data!$F$153,Data!$E$153,IF(AS$6=Data!$F$154,Data!$E$154,IF(AS$6=Data!$F$155,Data!$E$155,IF(AS$6=Data!$F$156,Data!$E$156,IF(AS$6=Data!$F$157,Data!$E$157,IF(AS$6=Data!$F$158,Data!$E$158,IF(AS$6=Data!$F$159,Data!$E$159,IF(AS$6=Data!$F$160,Data!$E$160,IF(AS$6=Data!$F$161,Data!$E$161,IF(AS$6=Data!$F$162,Data!$E$162,0))))))))))))</f>
        <v>0</v>
      </c>
      <c r="AT128" s="300">
        <f>IF(AT$6=Data!$F$151,Data!$E$151,IF(AT$6=Data!$F$152,Data!$E$152,IF(AT$6=Data!$F$153,Data!$E$153,IF(AT$6=Data!$F$154,Data!$E$154,IF(AT$6=Data!$F$155,Data!$E$155,IF(AT$6=Data!$F$156,Data!$E$156,IF(AT$6=Data!$F$157,Data!$E$157,IF(AT$6=Data!$F$158,Data!$E$158,IF(AT$6=Data!$F$159,Data!$E$159,IF(AT$6=Data!$F$160,Data!$E$160,IF(AT$6=Data!$F$161,Data!$E$161,IF(AT$6=Data!$F$162,Data!$E$162,0))))))))))))</f>
        <v>0</v>
      </c>
      <c r="AU128" s="300">
        <f>IF(AU$6=Data!$F$151,Data!$E$151,IF(AU$6=Data!$F$152,Data!$E$152,IF(AU$6=Data!$F$153,Data!$E$153,IF(AU$6=Data!$F$154,Data!$E$154,IF(AU$6=Data!$F$155,Data!$E$155,IF(AU$6=Data!$F$156,Data!$E$156,IF(AU$6=Data!$F$157,Data!$E$157,IF(AU$6=Data!$F$158,Data!$E$158,IF(AU$6=Data!$F$159,Data!$E$159,IF(AU$6=Data!$F$160,Data!$E$160,IF(AU$6=Data!$F$161,Data!$E$161,IF(AU$6=Data!$F$162,Data!$E$162,0))))))))))))</f>
        <v>0</v>
      </c>
      <c r="AV128" s="300">
        <f>IF(AV$6=Data!$F$151,Data!$E$151,IF(AV$6=Data!$F$152,Data!$E$152,IF(AV$6=Data!$F$153,Data!$E$153,IF(AV$6=Data!$F$154,Data!$E$154,IF(AV$6=Data!$F$155,Data!$E$155,IF(AV$6=Data!$F$156,Data!$E$156,IF(AV$6=Data!$F$157,Data!$E$157,IF(AV$6=Data!$F$158,Data!$E$158,IF(AV$6=Data!$F$159,Data!$E$159,IF(AV$6=Data!$F$160,Data!$E$160,IF(AV$6=Data!$F$161,Data!$E$161,IF(AV$6=Data!$F$162,Data!$E$162,0))))))))))))</f>
        <v>0</v>
      </c>
      <c r="AW128" s="300">
        <f>IF(AW$6=Data!$F$151,Data!$E$151,IF(AW$6=Data!$F$152,Data!$E$152,IF(AW$6=Data!$F$153,Data!$E$153,IF(AW$6=Data!$F$154,Data!$E$154,IF(AW$6=Data!$F$155,Data!$E$155,IF(AW$6=Data!$F$156,Data!$E$156,IF(AW$6=Data!$F$157,Data!$E$157,IF(AW$6=Data!$F$158,Data!$E$158,IF(AW$6=Data!$F$159,Data!$E$159,IF(AW$6=Data!$F$160,Data!$E$160,IF(AW$6=Data!$F$161,Data!$E$161,IF(AW$6=Data!$F$162,Data!$E$162,0))))))))))))</f>
        <v>0</v>
      </c>
      <c r="AX128" s="300">
        <f>IF(AX$6=Data!$F$151,Data!$E$151,IF(AX$6=Data!$F$152,Data!$E$152,IF(AX$6=Data!$F$153,Data!$E$153,IF(AX$6=Data!$F$154,Data!$E$154,IF(AX$6=Data!$F$155,Data!$E$155,IF(AX$6=Data!$F$156,Data!$E$156,IF(AX$6=Data!$F$157,Data!$E$157,IF(AX$6=Data!$F$158,Data!$E$158,IF(AX$6=Data!$F$159,Data!$E$159,IF(AX$6=Data!$F$160,Data!$E$160,IF(AX$6=Data!$F$161,Data!$E$161,IF(AX$6=Data!$F$162,Data!$E$162,0))))))))))))</f>
        <v>0</v>
      </c>
      <c r="AY128" s="300">
        <f>IF(AY$6=Data!$F$151,Data!$E$151,IF(AY$6=Data!$F$152,Data!$E$152,IF(AY$6=Data!$F$153,Data!$E$153,IF(AY$6=Data!$F$154,Data!$E$154,IF(AY$6=Data!$F$155,Data!$E$155,IF(AY$6=Data!$F$156,Data!$E$156,IF(AY$6=Data!$F$157,Data!$E$157,IF(AY$6=Data!$F$158,Data!$E$158,IF(AY$6=Data!$F$159,Data!$E$159,IF(AY$6=Data!$F$160,Data!$E$160,IF(AY$6=Data!$F$161,Data!$E$161,IF(AY$6=Data!$F$162,Data!$E$162,0))))))))))))</f>
        <v>0</v>
      </c>
      <c r="AZ128" s="300">
        <f>IF(AZ$6=Data!$F$151,Data!$E$151,IF(AZ$6=Data!$F$152,Data!$E$152,IF(AZ$6=Data!$F$153,Data!$E$153,IF(AZ$6=Data!$F$154,Data!$E$154,IF(AZ$6=Data!$F$155,Data!$E$155,IF(AZ$6=Data!$F$156,Data!$E$156,IF(AZ$6=Data!$F$157,Data!$E$157,IF(AZ$6=Data!$F$158,Data!$E$158,IF(AZ$6=Data!$F$159,Data!$E$159,IF(AZ$6=Data!$F$160,Data!$E$160,IF(AZ$6=Data!$F$161,Data!$E$161,IF(AZ$6=Data!$F$162,Data!$E$162,0))))))))))))</f>
        <v>0</v>
      </c>
      <c r="BA128" s="300">
        <f>IF(BA$6=Data!$F$151,Data!$E$151,IF(BA$6=Data!$F$152,Data!$E$152,IF(BA$6=Data!$F$153,Data!$E$153,IF(BA$6=Data!$F$154,Data!$E$154,IF(BA$6=Data!$F$155,Data!$E$155,IF(BA$6=Data!$F$156,Data!$E$156,IF(BA$6=Data!$F$157,Data!$E$157,IF(BA$6=Data!$F$158,Data!$E$158,IF(BA$6=Data!$F$159,Data!$E$159,IF(BA$6=Data!$F$160,Data!$E$160,IF(BA$6=Data!$F$161,Data!$E$161,IF(BA$6=Data!$F$162,Data!$E$162,0))))))))))))</f>
        <v>0</v>
      </c>
      <c r="BB128" s="300">
        <f>IF(BB$6=Data!$F$151,Data!$E$151,IF(BB$6=Data!$F$152,Data!$E$152,IF(BB$6=Data!$F$153,Data!$E$153,IF(BB$6=Data!$F$154,Data!$E$154,IF(BB$6=Data!$F$155,Data!$E$155,IF(BB$6=Data!$F$156,Data!$E$156,IF(BB$6=Data!$F$157,Data!$E$157,IF(BB$6=Data!$F$158,Data!$E$158,IF(BB$6=Data!$F$159,Data!$E$159,IF(BB$6=Data!$F$160,Data!$E$160,IF(BB$6=Data!$F$161,Data!$E$161,IF(BB$6=Data!$F$162,Data!$E$162,0))))))))))))</f>
        <v>0</v>
      </c>
      <c r="BC128" s="300">
        <f>IF(BC$6=Data!$F$151,Data!$E$151,IF(BC$6=Data!$F$152,Data!$E$152,IF(BC$6=Data!$F$153,Data!$E$153,IF(BC$6=Data!$F$154,Data!$E$154,IF(BC$6=Data!$F$155,Data!$E$155,IF(BC$6=Data!$F$156,Data!$E$156,IF(BC$6=Data!$F$157,Data!$E$157,IF(BC$6=Data!$F$158,Data!$E$158,IF(BC$6=Data!$F$159,Data!$E$159,IF(BC$6=Data!$F$160,Data!$E$160,IF(BC$6=Data!$F$161,Data!$E$161,IF(BC$6=Data!$F$162,Data!$E$162,0))))))))))))</f>
        <v>0</v>
      </c>
      <c r="BD128" s="301">
        <f>IF(BD$6=Data!$F$151,Data!$E$151,IF(BD$6=Data!$F$152,Data!$E$152,IF(BD$6=Data!$F$153,Data!$E$153,IF(BD$6=Data!$F$154,Data!$E$154,IF(BD$6=Data!$F$155,Data!$E$155,IF(BD$6=Data!$F$156,Data!$E$156,IF(BD$6=Data!$F$157,Data!$E$157,IF(BD$6=Data!$F$158,Data!$E$158,IF(BD$6=Data!$F$159,Data!$E$159,IF(BD$6=Data!$F$160,Data!$E$160,IF(BD$6=Data!$F$161,Data!$E$161,IF(BD$6=Data!$F$162,Data!$E$162,0))))))))))))</f>
        <v>0.05</v>
      </c>
      <c r="BE128" s="300">
        <f>IF(BE$6=Data!$F$151,Data!$E$151,IF(BE$6=Data!$F$152,Data!$E$152,IF(BE$6=Data!$F$153,Data!$E$153,IF(BE$6=Data!$F$154,Data!$E$154,IF(BE$6=Data!$F$155,Data!$E$155,IF(BE$6=Data!$F$156,Data!$E$156,IF(BE$6=Data!$F$157,Data!$E$157,IF(BE$6=Data!$F$158,Data!$E$158,IF(BE$6=Data!$F$159,Data!$E$159,IF(BE$6=Data!$F$160,Data!$E$160,IF(BE$6=Data!$F$161,Data!$E$161,IF(BE$6=Data!$F$162,Data!$E$162,0))))))))))))</f>
        <v>0</v>
      </c>
      <c r="BF128" s="300">
        <f>IF(BF$6=Data!$F$151,Data!$E$151,IF(BF$6=Data!$F$152,Data!$E$152,IF(BF$6=Data!$F$153,Data!$E$153,IF(BF$6=Data!$F$154,Data!$E$154,IF(BF$6=Data!$F$155,Data!$E$155,IF(BF$6=Data!$F$156,Data!$E$156,IF(BF$6=Data!$F$157,Data!$E$157,IF(BF$6=Data!$F$158,Data!$E$158,IF(BF$6=Data!$F$159,Data!$E$159,IF(BF$6=Data!$F$160,Data!$E$160,IF(BF$6=Data!$F$161,Data!$E$161,IF(BF$6=Data!$F$162,Data!$E$162,0))))))))))))</f>
        <v>0</v>
      </c>
      <c r="BG128" s="300">
        <f>IF(BG$6=Data!$F$151,Data!$E$151,IF(BG$6=Data!$F$152,Data!$E$152,IF(BG$6=Data!$F$153,Data!$E$153,IF(BG$6=Data!$F$154,Data!$E$154,IF(BG$6=Data!$F$155,Data!$E$155,IF(BG$6=Data!$F$156,Data!$E$156,IF(BG$6=Data!$F$157,Data!$E$157,IF(BG$6=Data!$F$158,Data!$E$158,IF(BG$6=Data!$F$159,Data!$E$159,IF(BG$6=Data!$F$160,Data!$E$160,IF(BG$6=Data!$F$161,Data!$E$161,IF(BG$6=Data!$F$162,Data!$E$162,0))))))))))))</f>
        <v>0</v>
      </c>
      <c r="BH128" s="300">
        <f>IF(BH$6=Data!$F$151,Data!$E$151,IF(BH$6=Data!$F$152,Data!$E$152,IF(BH$6=Data!$F$153,Data!$E$153,IF(BH$6=Data!$F$154,Data!$E$154,IF(BH$6=Data!$F$155,Data!$E$155,IF(BH$6=Data!$F$156,Data!$E$156,IF(BH$6=Data!$F$157,Data!$E$157,IF(BH$6=Data!$F$158,Data!$E$158,IF(BH$6=Data!$F$159,Data!$E$159,IF(BH$6=Data!$F$160,Data!$E$160,IF(BH$6=Data!$F$161,Data!$E$161,IF(BH$6=Data!$F$162,Data!$E$162,0))))))))))))</f>
        <v>0</v>
      </c>
      <c r="BI128" s="300">
        <f>IF(BI$6=Data!$F$151,Data!$E$151,IF(BI$6=Data!$F$152,Data!$E$152,IF(BI$6=Data!$F$153,Data!$E$153,IF(BI$6=Data!$F$154,Data!$E$154,IF(BI$6=Data!$F$155,Data!$E$155,IF(BI$6=Data!$F$156,Data!$E$156,IF(BI$6=Data!$F$157,Data!$E$157,IF(BI$6=Data!$F$158,Data!$E$158,IF(BI$6=Data!$F$159,Data!$E$159,IF(BI$6=Data!$F$160,Data!$E$160,IF(BI$6=Data!$F$161,Data!$E$161,IF(BI$6=Data!$F$162,Data!$E$162,0))))))))))))</f>
        <v>0</v>
      </c>
      <c r="BJ128" s="300">
        <f>IF(BJ$6=Data!$F$151,Data!$E$151,IF(BJ$6=Data!$F$152,Data!$E$152,IF(BJ$6=Data!$F$153,Data!$E$153,IF(BJ$6=Data!$F$154,Data!$E$154,IF(BJ$6=Data!$F$155,Data!$E$155,IF(BJ$6=Data!$F$156,Data!$E$156,IF(BJ$6=Data!$F$157,Data!$E$157,IF(BJ$6=Data!$F$158,Data!$E$158,IF(BJ$6=Data!$F$159,Data!$E$159,IF(BJ$6=Data!$F$160,Data!$E$160,IF(BJ$6=Data!$F$161,Data!$E$161,IF(BJ$6=Data!$F$162,Data!$E$162,0))))))))))))</f>
        <v>0</v>
      </c>
      <c r="BK128" s="300">
        <f>IF(BK$6=Data!$F$151,Data!$E$151,IF(BK$6=Data!$F$152,Data!$E$152,IF(BK$6=Data!$F$153,Data!$E$153,IF(BK$6=Data!$F$154,Data!$E$154,IF(BK$6=Data!$F$155,Data!$E$155,IF(BK$6=Data!$F$156,Data!$E$156,IF(BK$6=Data!$F$157,Data!$E$157,IF(BK$6=Data!$F$158,Data!$E$158,IF(BK$6=Data!$F$159,Data!$E$159,IF(BK$6=Data!$F$160,Data!$E$160,IF(BK$6=Data!$F$161,Data!$E$161,IF(BK$6=Data!$F$162,Data!$E$162,0))))))))))))</f>
        <v>0</v>
      </c>
      <c r="BL128" s="300">
        <f>IF(BL$6=Data!$F$151,Data!$E$151,IF(BL$6=Data!$F$152,Data!$E$152,IF(BL$6=Data!$F$153,Data!$E$153,IF(BL$6=Data!$F$154,Data!$E$154,IF(BL$6=Data!$F$155,Data!$E$155,IF(BL$6=Data!$F$156,Data!$E$156,IF(BL$6=Data!$F$157,Data!$E$157,IF(BL$6=Data!$F$158,Data!$E$158,IF(BL$6=Data!$F$159,Data!$E$159,IF(BL$6=Data!$F$160,Data!$E$160,IF(BL$6=Data!$F$161,Data!$E$161,IF(BL$6=Data!$F$162,Data!$E$162,0))))))))))))</f>
        <v>0</v>
      </c>
      <c r="BM128" s="300">
        <f>IF(BM$6=Data!$F$151,Data!$E$151,IF(BM$6=Data!$F$152,Data!$E$152,IF(BM$6=Data!$F$153,Data!$E$153,IF(BM$6=Data!$F$154,Data!$E$154,IF(BM$6=Data!$F$155,Data!$E$155,IF(BM$6=Data!$F$156,Data!$E$156,IF(BM$6=Data!$F$157,Data!$E$157,IF(BM$6=Data!$F$158,Data!$E$158,IF(BM$6=Data!$F$159,Data!$E$159,IF(BM$6=Data!$F$160,Data!$E$160,IF(BM$6=Data!$F$161,Data!$E$161,IF(BM$6=Data!$F$162,Data!$E$162,0))))))))))))</f>
        <v>0</v>
      </c>
      <c r="BN128" s="300">
        <f>IF(BN$6=Data!$F$151,Data!$E$151,IF(BN$6=Data!$F$152,Data!$E$152,IF(BN$6=Data!$F$153,Data!$E$153,IF(BN$6=Data!$F$154,Data!$E$154,IF(BN$6=Data!$F$155,Data!$E$155,IF(BN$6=Data!$F$156,Data!$E$156,IF(BN$6=Data!$F$157,Data!$E$157,IF(BN$6=Data!$F$158,Data!$E$158,IF(BN$6=Data!$F$159,Data!$E$159,IF(BN$6=Data!$F$160,Data!$E$160,IF(BN$6=Data!$F$161,Data!$E$161,IF(BN$6=Data!$F$162,Data!$E$162,0))))))))))))</f>
        <v>0</v>
      </c>
      <c r="BO128" s="300">
        <f>IF(BO$6=Data!$F$151,Data!$E$151,IF(BO$6=Data!$F$152,Data!$E$152,IF(BO$6=Data!$F$153,Data!$E$153,IF(BO$6=Data!$F$154,Data!$E$154,IF(BO$6=Data!$F$155,Data!$E$155,IF(BO$6=Data!$F$156,Data!$E$156,IF(BO$6=Data!$F$157,Data!$E$157,IF(BO$6=Data!$F$158,Data!$E$158,IF(BO$6=Data!$F$159,Data!$E$159,IF(BO$6=Data!$F$160,Data!$E$160,IF(BO$6=Data!$F$161,Data!$E$161,IF(BO$6=Data!$F$162,Data!$E$162,0))))))))))))</f>
        <v>0</v>
      </c>
      <c r="BP128" s="301">
        <f>IF(BP$6=Data!$F$151,Data!$E$151,IF(BP$6=Data!$F$152,Data!$E$152,IF(BP$6=Data!$F$153,Data!$E$153,IF(BP$6=Data!$F$154,Data!$E$154,IF(BP$6=Data!$F$155,Data!$E$155,IF(BP$6=Data!$F$156,Data!$E$156,IF(BP$6=Data!$F$157,Data!$E$157,IF(BP$6=Data!$F$158,Data!$E$158,IF(BP$6=Data!$F$159,Data!$E$159,IF(BP$6=Data!$F$160,Data!$E$160,IF(BP$6=Data!$F$161,Data!$E$161,IF(BP$6=Data!$F$162,Data!$E$162,0))))))))))))</f>
        <v>0.05</v>
      </c>
      <c r="BQ128" s="300">
        <f>IF(BQ$6=Data!$F$151,Data!$E$151,IF(BQ$6=Data!$F$152,Data!$E$152,IF(BQ$6=Data!$F$153,Data!$E$153,IF(BQ$6=Data!$F$154,Data!$E$154,IF(BQ$6=Data!$F$155,Data!$E$155,IF(BQ$6=Data!$F$156,Data!$E$156,IF(BQ$6=Data!$F$157,Data!$E$157,IF(BQ$6=Data!$F$158,Data!$E$158,IF(BQ$6=Data!$F$159,Data!$E$159,IF(BQ$6=Data!$F$160,Data!$E$160,IF(BQ$6=Data!$F$161,Data!$E$161,IF(BQ$6=Data!$F$162,Data!$E$162,0))))))))))))</f>
        <v>0</v>
      </c>
      <c r="BR128" s="300">
        <f>IF(BR$6=Data!$F$151,Data!$E$151,IF(BR$6=Data!$F$152,Data!$E$152,IF(BR$6=Data!$F$153,Data!$E$153,IF(BR$6=Data!$F$154,Data!$E$154,IF(BR$6=Data!$F$155,Data!$E$155,IF(BR$6=Data!$F$156,Data!$E$156,IF(BR$6=Data!$F$157,Data!$E$157,IF(BR$6=Data!$F$158,Data!$E$158,IF(BR$6=Data!$F$159,Data!$E$159,IF(BR$6=Data!$F$160,Data!$E$160,IF(BR$6=Data!$F$161,Data!$E$161,IF(BR$6=Data!$F$162,Data!$E$162,0))))))))))))</f>
        <v>0</v>
      </c>
      <c r="BS128" s="300">
        <f>IF(BS$6=Data!$F$151,Data!$E$151,IF(BS$6=Data!$F$152,Data!$E$152,IF(BS$6=Data!$F$153,Data!$E$153,IF(BS$6=Data!$F$154,Data!$E$154,IF(BS$6=Data!$F$155,Data!$E$155,IF(BS$6=Data!$F$156,Data!$E$156,IF(BS$6=Data!$F$157,Data!$E$157,IF(BS$6=Data!$F$158,Data!$E$158,IF(BS$6=Data!$F$159,Data!$E$159,IF(BS$6=Data!$F$160,Data!$E$160,IF(BS$6=Data!$F$161,Data!$E$161,IF(BS$6=Data!$F$162,Data!$E$162,0))))))))))))</f>
        <v>0</v>
      </c>
      <c r="BT128" s="300">
        <f>IF(BT$6=Data!$F$151,Data!$E$151,IF(BT$6=Data!$F$152,Data!$E$152,IF(BT$6=Data!$F$153,Data!$E$153,IF(BT$6=Data!$F$154,Data!$E$154,IF(BT$6=Data!$F$155,Data!$E$155,IF(BT$6=Data!$F$156,Data!$E$156,IF(BT$6=Data!$F$157,Data!$E$157,IF(BT$6=Data!$F$158,Data!$E$158,IF(BT$6=Data!$F$159,Data!$E$159,IF(BT$6=Data!$F$160,Data!$E$160,IF(BT$6=Data!$F$161,Data!$E$161,IF(BT$6=Data!$F$162,Data!$E$162,0))))))))))))</f>
        <v>0</v>
      </c>
      <c r="BU128" s="300">
        <f>IF(BU$6=Data!$F$151,Data!$E$151,IF(BU$6=Data!$F$152,Data!$E$152,IF(BU$6=Data!$F$153,Data!$E$153,IF(BU$6=Data!$F$154,Data!$E$154,IF(BU$6=Data!$F$155,Data!$E$155,IF(BU$6=Data!$F$156,Data!$E$156,IF(BU$6=Data!$F$157,Data!$E$157,IF(BU$6=Data!$F$158,Data!$E$158,IF(BU$6=Data!$F$159,Data!$E$159,IF(BU$6=Data!$F$160,Data!$E$160,IF(BU$6=Data!$F$161,Data!$E$161,IF(BU$6=Data!$F$162,Data!$E$162,0))))))))))))</f>
        <v>0</v>
      </c>
      <c r="BV128" s="300">
        <f>IF(BV$6=Data!$F$151,Data!$E$151,IF(BV$6=Data!$F$152,Data!$E$152,IF(BV$6=Data!$F$153,Data!$E$153,IF(BV$6=Data!$F$154,Data!$E$154,IF(BV$6=Data!$F$155,Data!$E$155,IF(BV$6=Data!$F$156,Data!$E$156,IF(BV$6=Data!$F$157,Data!$E$157,IF(BV$6=Data!$F$158,Data!$E$158,IF(BV$6=Data!$F$159,Data!$E$159,IF(BV$6=Data!$F$160,Data!$E$160,IF(BV$6=Data!$F$161,Data!$E$161,IF(BV$6=Data!$F$162,Data!$E$162,0))))))))))))</f>
        <v>0</v>
      </c>
      <c r="BW128" s="300">
        <f>IF(BW$6=Data!$F$151,Data!$E$151,IF(BW$6=Data!$F$152,Data!$E$152,IF(BW$6=Data!$F$153,Data!$E$153,IF(BW$6=Data!$F$154,Data!$E$154,IF(BW$6=Data!$F$155,Data!$E$155,IF(BW$6=Data!$F$156,Data!$E$156,IF(BW$6=Data!$F$157,Data!$E$157,IF(BW$6=Data!$F$158,Data!$E$158,IF(BW$6=Data!$F$159,Data!$E$159,IF(BW$6=Data!$F$160,Data!$E$160,IF(BW$6=Data!$F$161,Data!$E$161,IF(BW$6=Data!$F$162,Data!$E$162,0))))))))))))</f>
        <v>0</v>
      </c>
      <c r="BX128" s="300">
        <f>IF(BX$6=Data!$F$151,Data!$E$151,IF(BX$6=Data!$F$152,Data!$E$152,IF(BX$6=Data!$F$153,Data!$E$153,IF(BX$6=Data!$F$154,Data!$E$154,IF(BX$6=Data!$F$155,Data!$E$155,IF(BX$6=Data!$F$156,Data!$E$156,IF(BX$6=Data!$F$157,Data!$E$157,IF(BX$6=Data!$F$158,Data!$E$158,IF(BX$6=Data!$F$159,Data!$E$159,IF(BX$6=Data!$F$160,Data!$E$160,IF(BX$6=Data!$F$161,Data!$E$161,IF(BX$6=Data!$F$162,Data!$E$162,0))))))))))))</f>
        <v>0</v>
      </c>
      <c r="BY128" s="300">
        <f>IF(BY$6=Data!$F$151,Data!$E$151,IF(BY$6=Data!$F$152,Data!$E$152,IF(BY$6=Data!$F$153,Data!$E$153,IF(BY$6=Data!$F$154,Data!$E$154,IF(BY$6=Data!$F$155,Data!$E$155,IF(BY$6=Data!$F$156,Data!$E$156,IF(BY$6=Data!$F$157,Data!$E$157,IF(BY$6=Data!$F$158,Data!$E$158,IF(BY$6=Data!$F$159,Data!$E$159,IF(BY$6=Data!$F$160,Data!$E$160,IF(BY$6=Data!$F$161,Data!$E$161,IF(BY$6=Data!$F$162,Data!$E$162,0))))))))))))</f>
        <v>0</v>
      </c>
      <c r="BZ128" s="300">
        <f>IF(BZ$6=Data!$F$151,Data!$E$151,IF(BZ$6=Data!$F$152,Data!$E$152,IF(BZ$6=Data!$F$153,Data!$E$153,IF(BZ$6=Data!$F$154,Data!$E$154,IF(BZ$6=Data!$F$155,Data!$E$155,IF(BZ$6=Data!$F$156,Data!$E$156,IF(BZ$6=Data!$F$157,Data!$E$157,IF(BZ$6=Data!$F$158,Data!$E$158,IF(BZ$6=Data!$F$159,Data!$E$159,IF(BZ$6=Data!$F$160,Data!$E$160,IF(BZ$6=Data!$F$161,Data!$E$161,IF(BZ$6=Data!$F$162,Data!$E$162,0))))))))))))</f>
        <v>0</v>
      </c>
      <c r="CA128" s="300">
        <f>IF(CA$6=Data!$F$151,Data!$E$151,IF(CA$6=Data!$F$152,Data!$E$152,IF(CA$6=Data!$F$153,Data!$E$153,IF(CA$6=Data!$F$154,Data!$E$154,IF(CA$6=Data!$F$155,Data!$E$155,IF(CA$6=Data!$F$156,Data!$E$156,IF(CA$6=Data!$F$157,Data!$E$157,IF(CA$6=Data!$F$158,Data!$E$158,IF(CA$6=Data!$F$159,Data!$E$159,IF(CA$6=Data!$F$160,Data!$E$160,IF(CA$6=Data!$F$161,Data!$E$161,IF(CA$6=Data!$F$162,Data!$E$162,0))))))))))))</f>
        <v>0</v>
      </c>
      <c r="CB128" s="301">
        <f>IF(CB$6=Data!$F$151,Data!$E$151,IF(CB$6=Data!$F$152,Data!$E$152,IF(CB$6=Data!$F$153,Data!$E$153,IF(CB$6=Data!$F$154,Data!$E$154,IF(CB$6=Data!$F$155,Data!$E$155,IF(CB$6=Data!$F$156,Data!$E$156,IF(CB$6=Data!$F$157,Data!$E$157,IF(CB$6=Data!$F$158,Data!$E$158,IF(CB$6=Data!$F$159,Data!$E$159,IF(CB$6=Data!$F$160,Data!$E$160,IF(CB$6=Data!$F$161,Data!$E$161,IF(CB$6=Data!$F$162,Data!$E$162,0))))))))))))</f>
        <v>0.05</v>
      </c>
      <c r="CC128" s="300">
        <f>IF(CC$6=Data!$F$151,Data!$E$151,IF(CC$6=Data!$F$152,Data!$E$152,IF(CC$6=Data!$F$153,Data!$E$153,IF(CC$6=Data!$F$154,Data!$E$154,IF(CC$6=Data!$F$155,Data!$E$155,IF(CC$6=Data!$F$156,Data!$E$156,IF(CC$6=Data!$F$157,Data!$E$157,IF(CC$6=Data!$F$158,Data!$E$158,IF(CC$6=Data!$F$159,Data!$E$159,IF(CC$6=Data!$F$160,Data!$E$160,IF(CC$6=Data!$F$161,Data!$E$161,IF(CC$6=Data!$F$162,Data!$E$162,0))))))))))))</f>
        <v>0</v>
      </c>
      <c r="CD128" s="300">
        <f>IF(CD$6=Data!$F$151,Data!$E$151,IF(CD$6=Data!$F$152,Data!$E$152,IF(CD$6=Data!$F$153,Data!$E$153,IF(CD$6=Data!$F$154,Data!$E$154,IF(CD$6=Data!$F$155,Data!$E$155,IF(CD$6=Data!$F$156,Data!$E$156,IF(CD$6=Data!$F$157,Data!$E$157,IF(CD$6=Data!$F$158,Data!$E$158,IF(CD$6=Data!$F$159,Data!$E$159,IF(CD$6=Data!$F$160,Data!$E$160,IF(CD$6=Data!$F$161,Data!$E$161,IF(CD$6=Data!$F$162,Data!$E$162,0))))))))))))</f>
        <v>0</v>
      </c>
      <c r="CE128" s="300">
        <f>IF(CE$6=Data!$F$151,Data!$E$151,IF(CE$6=Data!$F$152,Data!$E$152,IF(CE$6=Data!$F$153,Data!$E$153,IF(CE$6=Data!$F$154,Data!$E$154,IF(CE$6=Data!$F$155,Data!$E$155,IF(CE$6=Data!$F$156,Data!$E$156,IF(CE$6=Data!$F$157,Data!$E$157,IF(CE$6=Data!$F$158,Data!$E$158,IF(CE$6=Data!$F$159,Data!$E$159,IF(CE$6=Data!$F$160,Data!$E$160,IF(CE$6=Data!$F$161,Data!$E$161,IF(CE$6=Data!$F$162,Data!$E$162,0))))))))))))</f>
        <v>0</v>
      </c>
      <c r="CF128" s="300">
        <f>IF(CF$6=Data!$F$151,Data!$E$151,IF(CF$6=Data!$F$152,Data!$E$152,IF(CF$6=Data!$F$153,Data!$E$153,IF(CF$6=Data!$F$154,Data!$E$154,IF(CF$6=Data!$F$155,Data!$E$155,IF(CF$6=Data!$F$156,Data!$E$156,IF(CF$6=Data!$F$157,Data!$E$157,IF(CF$6=Data!$F$158,Data!$E$158,IF(CF$6=Data!$F$159,Data!$E$159,IF(CF$6=Data!$F$160,Data!$E$160,IF(CF$6=Data!$F$161,Data!$E$161,IF(CF$6=Data!$F$162,Data!$E$162,0))))))))))))</f>
        <v>0</v>
      </c>
      <c r="CG128" s="300">
        <f>IF(CG$6=Data!$F$151,Data!$E$151,IF(CG$6=Data!$F$152,Data!$E$152,IF(CG$6=Data!$F$153,Data!$E$153,IF(CG$6=Data!$F$154,Data!$E$154,IF(CG$6=Data!$F$155,Data!$E$155,IF(CG$6=Data!$F$156,Data!$E$156,IF(CG$6=Data!$F$157,Data!$E$157,IF(CG$6=Data!$F$158,Data!$E$158,IF(CG$6=Data!$F$159,Data!$E$159,IF(CG$6=Data!$F$160,Data!$E$160,IF(CG$6=Data!$F$161,Data!$E$161,IF(CG$6=Data!$F$162,Data!$E$162,0))))))))))))</f>
        <v>0</v>
      </c>
      <c r="CH128" s="300">
        <f>IF(CH$6=Data!$F$151,Data!$E$151,IF(CH$6=Data!$F$152,Data!$E$152,IF(CH$6=Data!$F$153,Data!$E$153,IF(CH$6=Data!$F$154,Data!$E$154,IF(CH$6=Data!$F$155,Data!$E$155,IF(CH$6=Data!$F$156,Data!$E$156,IF(CH$6=Data!$F$157,Data!$E$157,IF(CH$6=Data!$F$158,Data!$E$158,IF(CH$6=Data!$F$159,Data!$E$159,IF(CH$6=Data!$F$160,Data!$E$160,IF(CH$6=Data!$F$161,Data!$E$161,IF(CH$6=Data!$F$162,Data!$E$162,0))))))))))))</f>
        <v>0</v>
      </c>
      <c r="CI128" s="300">
        <f>IF(CI$6=Data!$F$151,Data!$E$151,IF(CI$6=Data!$F$152,Data!$E$152,IF(CI$6=Data!$F$153,Data!$E$153,IF(CI$6=Data!$F$154,Data!$E$154,IF(CI$6=Data!$F$155,Data!$E$155,IF(CI$6=Data!$F$156,Data!$E$156,IF(CI$6=Data!$F$157,Data!$E$157,IF(CI$6=Data!$F$158,Data!$E$158,IF(CI$6=Data!$F$159,Data!$E$159,IF(CI$6=Data!$F$160,Data!$E$160,IF(CI$6=Data!$F$161,Data!$E$161,IF(CI$6=Data!$F$162,Data!$E$162,0))))))))))))</f>
        <v>0</v>
      </c>
      <c r="CJ128" s="300">
        <f>IF(CJ$6=Data!$F$151,Data!$E$151,IF(CJ$6=Data!$F$152,Data!$E$152,IF(CJ$6=Data!$F$153,Data!$E$153,IF(CJ$6=Data!$F$154,Data!$E$154,IF(CJ$6=Data!$F$155,Data!$E$155,IF(CJ$6=Data!$F$156,Data!$E$156,IF(CJ$6=Data!$F$157,Data!$E$157,IF(CJ$6=Data!$F$158,Data!$E$158,IF(CJ$6=Data!$F$159,Data!$E$159,IF(CJ$6=Data!$F$160,Data!$E$160,IF(CJ$6=Data!$F$161,Data!$E$161,IF(CJ$6=Data!$F$162,Data!$E$162,0))))))))))))</f>
        <v>0</v>
      </c>
      <c r="CK128" s="300">
        <f>IF(CK$6=Data!$F$151,Data!$E$151,IF(CK$6=Data!$F$152,Data!$E$152,IF(CK$6=Data!$F$153,Data!$E$153,IF(CK$6=Data!$F$154,Data!$E$154,IF(CK$6=Data!$F$155,Data!$E$155,IF(CK$6=Data!$F$156,Data!$E$156,IF(CK$6=Data!$F$157,Data!$E$157,IF(CK$6=Data!$F$158,Data!$E$158,IF(CK$6=Data!$F$159,Data!$E$159,IF(CK$6=Data!$F$160,Data!$E$160,IF(CK$6=Data!$F$161,Data!$E$161,IF(CK$6=Data!$F$162,Data!$E$162,0))))))))))))</f>
        <v>0</v>
      </c>
      <c r="CL128" s="300">
        <f>IF(CL$6=Data!$F$151,Data!$E$151,IF(CL$6=Data!$F$152,Data!$E$152,IF(CL$6=Data!$F$153,Data!$E$153,IF(CL$6=Data!$F$154,Data!$E$154,IF(CL$6=Data!$F$155,Data!$E$155,IF(CL$6=Data!$F$156,Data!$E$156,IF(CL$6=Data!$F$157,Data!$E$157,IF(CL$6=Data!$F$158,Data!$E$158,IF(CL$6=Data!$F$159,Data!$E$159,IF(CL$6=Data!$F$160,Data!$E$160,IF(CL$6=Data!$F$161,Data!$E$161,IF(CL$6=Data!$F$162,Data!$E$162,0))))))))))))</f>
        <v>0</v>
      </c>
      <c r="CM128" s="300">
        <f>IF(CM$6=Data!$F$151,Data!$E$151,IF(CM$6=Data!$F$152,Data!$E$152,IF(CM$6=Data!$F$153,Data!$E$153,IF(CM$6=Data!$F$154,Data!$E$154,IF(CM$6=Data!$F$155,Data!$E$155,IF(CM$6=Data!$F$156,Data!$E$156,IF(CM$6=Data!$F$157,Data!$E$157,IF(CM$6=Data!$F$158,Data!$E$158,IF(CM$6=Data!$F$159,Data!$E$159,IF(CM$6=Data!$F$160,Data!$E$160,IF(CM$6=Data!$F$161,Data!$E$161,IF(CM$6=Data!$F$162,Data!$E$162,0))))))))))))</f>
        <v>0</v>
      </c>
      <c r="CN128" s="301">
        <f>IF(CN$6=Data!$F$151,Data!$E$151,IF(CN$6=Data!$F$152,Data!$E$152,IF(CN$6=Data!$F$153,Data!$E$153,IF(CN$6=Data!$F$154,Data!$E$154,IF(CN$6=Data!$F$155,Data!$E$155,IF(CN$6=Data!$F$156,Data!$E$156,IF(CN$6=Data!$F$157,Data!$E$157,IF(CN$6=Data!$F$158,Data!$E$158,IF(CN$6=Data!$F$159,Data!$E$159,IF(CN$6=Data!$F$160,Data!$E$160,IF(CN$6=Data!$F$161,Data!$E$161,IF(CN$6=Data!$F$162,Data!$E$162,0))))))))))))</f>
        <v>0.05</v>
      </c>
      <c r="CO128" s="300">
        <f>IF(CO$6=Data!$F$151,Data!$E$151,IF(CO$6=Data!$F$152,Data!$E$152,IF(CO$6=Data!$F$153,Data!$E$153,IF(CO$6=Data!$F$154,Data!$E$154,IF(CO$6=Data!$F$155,Data!$E$155,IF(CO$6=Data!$F$156,Data!$E$156,IF(CO$6=Data!$F$157,Data!$E$157,IF(CO$6=Data!$F$158,Data!$E$158,IF(CO$6=Data!$F$159,Data!$E$159,IF(CO$6=Data!$F$160,Data!$E$160,IF(CO$6=Data!$F$161,Data!$E$161,IF(CO$6=Data!$F$162,Data!$E$162,0))))))))))))</f>
        <v>0</v>
      </c>
      <c r="CP128" s="300">
        <f>IF(CP$6=Data!$F$151,Data!$E$151,IF(CP$6=Data!$F$152,Data!$E$152,IF(CP$6=Data!$F$153,Data!$E$153,IF(CP$6=Data!$F$154,Data!$E$154,IF(CP$6=Data!$F$155,Data!$E$155,IF(CP$6=Data!$F$156,Data!$E$156,IF(CP$6=Data!$F$157,Data!$E$157,IF(CP$6=Data!$F$158,Data!$E$158,IF(CP$6=Data!$F$159,Data!$E$159,IF(CP$6=Data!$F$160,Data!$E$160,IF(CP$6=Data!$F$161,Data!$E$161,IF(CP$6=Data!$F$162,Data!$E$162,0))))))))))))</f>
        <v>0</v>
      </c>
      <c r="CQ128" s="300">
        <f>IF(CQ$6=Data!$F$151,Data!$E$151,IF(CQ$6=Data!$F$152,Data!$E$152,IF(CQ$6=Data!$F$153,Data!$E$153,IF(CQ$6=Data!$F$154,Data!$E$154,IF(CQ$6=Data!$F$155,Data!$E$155,IF(CQ$6=Data!$F$156,Data!$E$156,IF(CQ$6=Data!$F$157,Data!$E$157,IF(CQ$6=Data!$F$158,Data!$E$158,IF(CQ$6=Data!$F$159,Data!$E$159,IF(CQ$6=Data!$F$160,Data!$E$160,IF(CQ$6=Data!$F$161,Data!$E$161,IF(CQ$6=Data!$F$162,Data!$E$162,0))))))))))))</f>
        <v>0</v>
      </c>
      <c r="CR128" s="300">
        <f>IF(CR$6=Data!$F$151,Data!$E$151,IF(CR$6=Data!$F$152,Data!$E$152,IF(CR$6=Data!$F$153,Data!$E$153,IF(CR$6=Data!$F$154,Data!$E$154,IF(CR$6=Data!$F$155,Data!$E$155,IF(CR$6=Data!$F$156,Data!$E$156,IF(CR$6=Data!$F$157,Data!$E$157,IF(CR$6=Data!$F$158,Data!$E$158,IF(CR$6=Data!$F$159,Data!$E$159,IF(CR$6=Data!$F$160,Data!$E$160,IF(CR$6=Data!$F$161,Data!$E$161,IF(CR$6=Data!$F$162,Data!$E$162,0))))))))))))</f>
        <v>0</v>
      </c>
      <c r="CS128" s="300">
        <f>IF(CS$6=Data!$F$151,Data!$E$151,IF(CS$6=Data!$F$152,Data!$E$152,IF(CS$6=Data!$F$153,Data!$E$153,IF(CS$6=Data!$F$154,Data!$E$154,IF(CS$6=Data!$F$155,Data!$E$155,IF(CS$6=Data!$F$156,Data!$E$156,IF(CS$6=Data!$F$157,Data!$E$157,IF(CS$6=Data!$F$158,Data!$E$158,IF(CS$6=Data!$F$159,Data!$E$159,IF(CS$6=Data!$F$160,Data!$E$160,IF(CS$6=Data!$F$161,Data!$E$161,IF(CS$6=Data!$F$162,Data!$E$162,0))))))))))))</f>
        <v>0</v>
      </c>
      <c r="CT128" s="300">
        <f>IF(CT$6=Data!$F$151,Data!$E$151,IF(CT$6=Data!$F$152,Data!$E$152,IF(CT$6=Data!$F$153,Data!$E$153,IF(CT$6=Data!$F$154,Data!$E$154,IF(CT$6=Data!$F$155,Data!$E$155,IF(CT$6=Data!$F$156,Data!$E$156,IF(CT$6=Data!$F$157,Data!$E$157,IF(CT$6=Data!$F$158,Data!$E$158,IF(CT$6=Data!$F$159,Data!$E$159,IF(CT$6=Data!$F$160,Data!$E$160,IF(CT$6=Data!$F$161,Data!$E$161,IF(CT$6=Data!$F$162,Data!$E$162,0))))))))))))</f>
        <v>0</v>
      </c>
      <c r="CU128" s="300">
        <f>IF(CU$6=Data!$F$151,Data!$E$151,IF(CU$6=Data!$F$152,Data!$E$152,IF(CU$6=Data!$F$153,Data!$E$153,IF(CU$6=Data!$F$154,Data!$E$154,IF(CU$6=Data!$F$155,Data!$E$155,IF(CU$6=Data!$F$156,Data!$E$156,IF(CU$6=Data!$F$157,Data!$E$157,IF(CU$6=Data!$F$158,Data!$E$158,IF(CU$6=Data!$F$159,Data!$E$159,IF(CU$6=Data!$F$160,Data!$E$160,IF(CU$6=Data!$F$161,Data!$E$161,IF(CU$6=Data!$F$162,Data!$E$162,0))))))))))))</f>
        <v>0</v>
      </c>
      <c r="CV128" s="300">
        <f>IF(CV$6=Data!$F$151,Data!$E$151,IF(CV$6=Data!$F$152,Data!$E$152,IF(CV$6=Data!$F$153,Data!$E$153,IF(CV$6=Data!$F$154,Data!$E$154,IF(CV$6=Data!$F$155,Data!$E$155,IF(CV$6=Data!$F$156,Data!$E$156,IF(CV$6=Data!$F$157,Data!$E$157,IF(CV$6=Data!$F$158,Data!$E$158,IF(CV$6=Data!$F$159,Data!$E$159,IF(CV$6=Data!$F$160,Data!$E$160,IF(CV$6=Data!$F$161,Data!$E$161,IF(CV$6=Data!$F$162,Data!$E$162,0))))))))))))</f>
        <v>0</v>
      </c>
      <c r="CW128" s="300">
        <f>IF(CW$6=Data!$F$151,Data!$E$151,IF(CW$6=Data!$F$152,Data!$E$152,IF(CW$6=Data!$F$153,Data!$E$153,IF(CW$6=Data!$F$154,Data!$E$154,IF(CW$6=Data!$F$155,Data!$E$155,IF(CW$6=Data!$F$156,Data!$E$156,IF(CW$6=Data!$F$157,Data!$E$157,IF(CW$6=Data!$F$158,Data!$E$158,IF(CW$6=Data!$F$159,Data!$E$159,IF(CW$6=Data!$F$160,Data!$E$160,IF(CW$6=Data!$F$161,Data!$E$161,IF(CW$6=Data!$F$162,Data!$E$162,0))))))))))))</f>
        <v>0</v>
      </c>
      <c r="CX128" s="300">
        <f>IF(CX$6=Data!$F$151,Data!$E$151,IF(CX$6=Data!$F$152,Data!$E$152,IF(CX$6=Data!$F$153,Data!$E$153,IF(CX$6=Data!$F$154,Data!$E$154,IF(CX$6=Data!$F$155,Data!$E$155,IF(CX$6=Data!$F$156,Data!$E$156,IF(CX$6=Data!$F$157,Data!$E$157,IF(CX$6=Data!$F$158,Data!$E$158,IF(CX$6=Data!$F$159,Data!$E$159,IF(CX$6=Data!$F$160,Data!$E$160,IF(CX$6=Data!$F$161,Data!$E$161,IF(CX$6=Data!$F$162,Data!$E$162,0))))))))))))</f>
        <v>0</v>
      </c>
      <c r="CY128" s="300">
        <f>IF(CY$6=Data!$F$151,Data!$E$151,IF(CY$6=Data!$F$152,Data!$E$152,IF(CY$6=Data!$F$153,Data!$E$153,IF(CY$6=Data!$F$154,Data!$E$154,IF(CY$6=Data!$F$155,Data!$E$155,IF(CY$6=Data!$F$156,Data!$E$156,IF(CY$6=Data!$F$157,Data!$E$157,IF(CY$6=Data!$F$158,Data!$E$158,IF(CY$6=Data!$F$159,Data!$E$159,IF(CY$6=Data!$F$160,Data!$E$160,IF(CY$6=Data!$F$161,Data!$E$161,IF(CY$6=Data!$F$162,Data!$E$162,0))))))))))))</f>
        <v>0</v>
      </c>
      <c r="CZ128" s="301">
        <f>IF(CZ$6=Data!$F$151,Data!$E$151,IF(CZ$6=Data!$F$152,Data!$E$152,IF(CZ$6=Data!$F$153,Data!$E$153,IF(CZ$6=Data!$F$154,Data!$E$154,IF(CZ$6=Data!$F$155,Data!$E$155,IF(CZ$6=Data!$F$156,Data!$E$156,IF(CZ$6=Data!$F$157,Data!$E$157,IF(CZ$6=Data!$F$158,Data!$E$158,IF(CZ$6=Data!$F$159,Data!$E$159,IF(CZ$6=Data!$F$160,Data!$E$160,IF(CZ$6=Data!$F$161,Data!$E$161,IF(CZ$6=Data!$F$162,Data!$E$162,0))))))))))))</f>
        <v>0.05</v>
      </c>
      <c r="DA128" s="300">
        <f>IF(DA$6=Data!$F$151,Data!$E$151,IF(DA$6=Data!$F$152,Data!$E$152,IF(DA$6=Data!$F$153,Data!$E$153,IF(DA$6=Data!$F$154,Data!$E$154,IF(DA$6=Data!$F$155,Data!$E$155,IF(DA$6=Data!$F$156,Data!$E$156,IF(DA$6=Data!$F$157,Data!$E$157,IF(DA$6=Data!$F$158,Data!$E$158,IF(DA$6=Data!$F$159,Data!$E$159,IF(DA$6=Data!$F$160,Data!$E$160,IF(DA$6=Data!$F$161,Data!$E$161,IF(DA$6=Data!$F$162,Data!$E$162,0))))))))))))</f>
        <v>0</v>
      </c>
      <c r="DB128" s="300">
        <f>IF(DB$6=Data!$F$151,Data!$E$151,IF(DB$6=Data!$F$152,Data!$E$152,IF(DB$6=Data!$F$153,Data!$E$153,IF(DB$6=Data!$F$154,Data!$E$154,IF(DB$6=Data!$F$155,Data!$E$155,IF(DB$6=Data!$F$156,Data!$E$156,IF(DB$6=Data!$F$157,Data!$E$157,IF(DB$6=Data!$F$158,Data!$E$158,IF(DB$6=Data!$F$159,Data!$E$159,IF(DB$6=Data!$F$160,Data!$E$160,IF(DB$6=Data!$F$161,Data!$E$161,IF(DB$6=Data!$F$162,Data!$E$162,0))))))))))))</f>
        <v>0</v>
      </c>
      <c r="DC128" s="300">
        <f>IF(DC$6=Data!$F$151,Data!$E$151,IF(DC$6=Data!$F$152,Data!$E$152,IF(DC$6=Data!$F$153,Data!$E$153,IF(DC$6=Data!$F$154,Data!$E$154,IF(DC$6=Data!$F$155,Data!$E$155,IF(DC$6=Data!$F$156,Data!$E$156,IF(DC$6=Data!$F$157,Data!$E$157,IF(DC$6=Data!$F$158,Data!$E$158,IF(DC$6=Data!$F$159,Data!$E$159,IF(DC$6=Data!$F$160,Data!$E$160,IF(DC$6=Data!$F$161,Data!$E$161,IF(DC$6=Data!$F$162,Data!$E$162,0))))))))))))</f>
        <v>0</v>
      </c>
      <c r="DD128" s="300">
        <f>IF(DD$6=Data!$F$151,Data!$E$151,IF(DD$6=Data!$F$152,Data!$E$152,IF(DD$6=Data!$F$153,Data!$E$153,IF(DD$6=Data!$F$154,Data!$E$154,IF(DD$6=Data!$F$155,Data!$E$155,IF(DD$6=Data!$F$156,Data!$E$156,IF(DD$6=Data!$F$157,Data!$E$157,IF(DD$6=Data!$F$158,Data!$E$158,IF(DD$6=Data!$F$159,Data!$E$159,IF(DD$6=Data!$F$160,Data!$E$160,IF(DD$6=Data!$F$161,Data!$E$161,IF(DD$6=Data!$F$162,Data!$E$162,0))))))))))))</f>
        <v>0</v>
      </c>
      <c r="DE128" s="300">
        <f>IF(DE$6=Data!$F$151,Data!$E$151,IF(DE$6=Data!$F$152,Data!$E$152,IF(DE$6=Data!$F$153,Data!$E$153,IF(DE$6=Data!$F$154,Data!$E$154,IF(DE$6=Data!$F$155,Data!$E$155,IF(DE$6=Data!$F$156,Data!$E$156,IF(DE$6=Data!$F$157,Data!$E$157,IF(DE$6=Data!$F$158,Data!$E$158,IF(DE$6=Data!$F$159,Data!$E$159,IF(DE$6=Data!$F$160,Data!$E$160,IF(DE$6=Data!$F$161,Data!$E$161,IF(DE$6=Data!$F$162,Data!$E$162,0))))))))))))</f>
        <v>0</v>
      </c>
      <c r="DF128" s="300">
        <f>IF(DF$6=Data!$F$151,Data!$E$151,IF(DF$6=Data!$F$152,Data!$E$152,IF(DF$6=Data!$F$153,Data!$E$153,IF(DF$6=Data!$F$154,Data!$E$154,IF(DF$6=Data!$F$155,Data!$E$155,IF(DF$6=Data!$F$156,Data!$E$156,IF(DF$6=Data!$F$157,Data!$E$157,IF(DF$6=Data!$F$158,Data!$E$158,IF(DF$6=Data!$F$159,Data!$E$159,IF(DF$6=Data!$F$160,Data!$E$160,IF(DF$6=Data!$F$161,Data!$E$161,IF(DF$6=Data!$F$162,Data!$E$162,0))))))))))))</f>
        <v>0</v>
      </c>
      <c r="DG128" s="300">
        <f>IF(DG$6=Data!$F$151,Data!$E$151,IF(DG$6=Data!$F$152,Data!$E$152,IF(DG$6=Data!$F$153,Data!$E$153,IF(DG$6=Data!$F$154,Data!$E$154,IF(DG$6=Data!$F$155,Data!$E$155,IF(DG$6=Data!$F$156,Data!$E$156,IF(DG$6=Data!$F$157,Data!$E$157,IF(DG$6=Data!$F$158,Data!$E$158,IF(DG$6=Data!$F$159,Data!$E$159,IF(DG$6=Data!$F$160,Data!$E$160,IF(DG$6=Data!$F$161,Data!$E$161,IF(DG$6=Data!$F$162,Data!$E$162,0))))))))))))</f>
        <v>0</v>
      </c>
      <c r="DH128" s="300">
        <f>IF(DH$6=Data!$F$151,Data!$E$151,IF(DH$6=Data!$F$152,Data!$E$152,IF(DH$6=Data!$F$153,Data!$E$153,IF(DH$6=Data!$F$154,Data!$E$154,IF(DH$6=Data!$F$155,Data!$E$155,IF(DH$6=Data!$F$156,Data!$E$156,IF(DH$6=Data!$F$157,Data!$E$157,IF(DH$6=Data!$F$158,Data!$E$158,IF(DH$6=Data!$F$159,Data!$E$159,IF(DH$6=Data!$F$160,Data!$E$160,IF(DH$6=Data!$F$161,Data!$E$161,IF(DH$6=Data!$F$162,Data!$E$162,0))))))))))))</f>
        <v>0</v>
      </c>
      <c r="DI128" s="300">
        <f>IF(DI$6=Data!$F$151,Data!$E$151,IF(DI$6=Data!$F$152,Data!$E$152,IF(DI$6=Data!$F$153,Data!$E$153,IF(DI$6=Data!$F$154,Data!$E$154,IF(DI$6=Data!$F$155,Data!$E$155,IF(DI$6=Data!$F$156,Data!$E$156,IF(DI$6=Data!$F$157,Data!$E$157,IF(DI$6=Data!$F$158,Data!$E$158,IF(DI$6=Data!$F$159,Data!$E$159,IF(DI$6=Data!$F$160,Data!$E$160,IF(DI$6=Data!$F$161,Data!$E$161,IF(DI$6=Data!$F$162,Data!$E$162,0))))))))))))</f>
        <v>0</v>
      </c>
      <c r="DJ128" s="300">
        <f>IF(DJ$6=Data!$F$151,Data!$E$151,IF(DJ$6=Data!$F$152,Data!$E$152,IF(DJ$6=Data!$F$153,Data!$E$153,IF(DJ$6=Data!$F$154,Data!$E$154,IF(DJ$6=Data!$F$155,Data!$E$155,IF(DJ$6=Data!$F$156,Data!$E$156,IF(DJ$6=Data!$F$157,Data!$E$157,IF(DJ$6=Data!$F$158,Data!$E$158,IF(DJ$6=Data!$F$159,Data!$E$159,IF(DJ$6=Data!$F$160,Data!$E$160,IF(DJ$6=Data!$F$161,Data!$E$161,IF(DJ$6=Data!$F$162,Data!$E$162,0))))))))))))</f>
        <v>0</v>
      </c>
      <c r="DK128" s="300">
        <f>IF(DK$6=Data!$F$151,Data!$E$151,IF(DK$6=Data!$F$152,Data!$E$152,IF(DK$6=Data!$F$153,Data!$E$153,IF(DK$6=Data!$F$154,Data!$E$154,IF(DK$6=Data!$F$155,Data!$E$155,IF(DK$6=Data!$F$156,Data!$E$156,IF(DK$6=Data!$F$157,Data!$E$157,IF(DK$6=Data!$F$158,Data!$E$158,IF(DK$6=Data!$F$159,Data!$E$159,IF(DK$6=Data!$F$160,Data!$E$160,IF(DK$6=Data!$F$161,Data!$E$161,IF(DK$6=Data!$F$162,Data!$E$162,0))))))))))))</f>
        <v>0</v>
      </c>
      <c r="DL128" s="301">
        <f>IF(DL$6=Data!$F$151,Data!$E$151,IF(DL$6=Data!$F$152,Data!$E$152,IF(DL$6=Data!$F$153,Data!$E$153,IF(DL$6=Data!$F$154,Data!$E$154,IF(DL$6=Data!$F$155,Data!$E$155,IF(DL$6=Data!$F$156,Data!$E$156,IF(DL$6=Data!$F$157,Data!$E$157,IF(DL$6=Data!$F$158,Data!$E$158,IF(DL$6=Data!$F$159,Data!$E$159,IF(DL$6=Data!$F$160,Data!$E$160,IF(DL$6=Data!$F$161,Data!$E$161,IF(DL$6=Data!$F$162,Data!$E$162,0))))))))))))</f>
        <v>0.05</v>
      </c>
      <c r="DM128" s="300">
        <f>IF(DM$6=Data!$F$151,Data!$E$151,IF(DM$6=Data!$F$152,Data!$E$152,IF(DM$6=Data!$F$153,Data!$E$153,IF(DM$6=Data!$F$154,Data!$E$154,IF(DM$6=Data!$F$155,Data!$E$155,IF(DM$6=Data!$F$156,Data!$E$156,IF(DM$6=Data!$F$157,Data!$E$157,IF(DM$6=Data!$F$158,Data!$E$158,IF(DM$6=Data!$F$159,Data!$E$159,IF(DM$6=Data!$F$160,Data!$E$160,IF(DM$6=Data!$F$161,Data!$E$161,IF(DM$6=Data!$F$162,Data!$E$162,0))))))))))))</f>
        <v>0</v>
      </c>
      <c r="DN128" s="300">
        <f>IF(DN$6=Data!$F$151,Data!$E$151,IF(DN$6=Data!$F$152,Data!$E$152,IF(DN$6=Data!$F$153,Data!$E$153,IF(DN$6=Data!$F$154,Data!$E$154,IF(DN$6=Data!$F$155,Data!$E$155,IF(DN$6=Data!$F$156,Data!$E$156,IF(DN$6=Data!$F$157,Data!$E$157,IF(DN$6=Data!$F$158,Data!$E$158,IF(DN$6=Data!$F$159,Data!$E$159,IF(DN$6=Data!$F$160,Data!$E$160,IF(DN$6=Data!$F$161,Data!$E$161,IF(DN$6=Data!$F$162,Data!$E$162,0))))))))))))</f>
        <v>0</v>
      </c>
      <c r="DO128" s="300">
        <f>IF(DO$6=Data!$F$151,Data!$E$151,IF(DO$6=Data!$F$152,Data!$E$152,IF(DO$6=Data!$F$153,Data!$E$153,IF(DO$6=Data!$F$154,Data!$E$154,IF(DO$6=Data!$F$155,Data!$E$155,IF(DO$6=Data!$F$156,Data!$E$156,IF(DO$6=Data!$F$157,Data!$E$157,IF(DO$6=Data!$F$158,Data!$E$158,IF(DO$6=Data!$F$159,Data!$E$159,IF(DO$6=Data!$F$160,Data!$E$160,IF(DO$6=Data!$F$161,Data!$E$161,IF(DO$6=Data!$F$162,Data!$E$162,0))))))))))))</f>
        <v>0</v>
      </c>
      <c r="DP128" s="300">
        <f>IF(DP$6=Data!$F$151,Data!$E$151,IF(DP$6=Data!$F$152,Data!$E$152,IF(DP$6=Data!$F$153,Data!$E$153,IF(DP$6=Data!$F$154,Data!$E$154,IF(DP$6=Data!$F$155,Data!$E$155,IF(DP$6=Data!$F$156,Data!$E$156,IF(DP$6=Data!$F$157,Data!$E$157,IF(DP$6=Data!$F$158,Data!$E$158,IF(DP$6=Data!$F$159,Data!$E$159,IF(DP$6=Data!$F$160,Data!$E$160,IF(DP$6=Data!$F$161,Data!$E$161,IF(DP$6=Data!$F$162,Data!$E$162,0))))))))))))</f>
        <v>0</v>
      </c>
      <c r="DQ128" s="300">
        <f>IF(DQ$6=Data!$F$151,Data!$E$151,IF(DQ$6=Data!$F$152,Data!$E$152,IF(DQ$6=Data!$F$153,Data!$E$153,IF(DQ$6=Data!$F$154,Data!$E$154,IF(DQ$6=Data!$F$155,Data!$E$155,IF(DQ$6=Data!$F$156,Data!$E$156,IF(DQ$6=Data!$F$157,Data!$E$157,IF(DQ$6=Data!$F$158,Data!$E$158,IF(DQ$6=Data!$F$159,Data!$E$159,IF(DQ$6=Data!$F$160,Data!$E$160,IF(DQ$6=Data!$F$161,Data!$E$161,IF(DQ$6=Data!$F$162,Data!$E$162,0))))))))))))</f>
        <v>0</v>
      </c>
      <c r="DR128" s="300">
        <f>IF(DR$6=Data!$F$151,Data!$E$151,IF(DR$6=Data!$F$152,Data!$E$152,IF(DR$6=Data!$F$153,Data!$E$153,IF(DR$6=Data!$F$154,Data!$E$154,IF(DR$6=Data!$F$155,Data!$E$155,IF(DR$6=Data!$F$156,Data!$E$156,IF(DR$6=Data!$F$157,Data!$E$157,IF(DR$6=Data!$F$158,Data!$E$158,IF(DR$6=Data!$F$159,Data!$E$159,IF(DR$6=Data!$F$160,Data!$E$160,IF(DR$6=Data!$F$161,Data!$E$161,IF(DR$6=Data!$F$162,Data!$E$162,0))))))))))))</f>
        <v>0</v>
      </c>
      <c r="DS128" s="300">
        <f>IF(DS$6=Data!$F$151,Data!$E$151,IF(DS$6=Data!$F$152,Data!$E$152,IF(DS$6=Data!$F$153,Data!$E$153,IF(DS$6=Data!$F$154,Data!$E$154,IF(DS$6=Data!$F$155,Data!$E$155,IF(DS$6=Data!$F$156,Data!$E$156,IF(DS$6=Data!$F$157,Data!$E$157,IF(DS$6=Data!$F$158,Data!$E$158,IF(DS$6=Data!$F$159,Data!$E$159,IF(DS$6=Data!$F$160,Data!$E$160,IF(DS$6=Data!$F$161,Data!$E$161,IF(DS$6=Data!$F$162,Data!$E$162,0))))))))))))</f>
        <v>0</v>
      </c>
      <c r="DT128" s="300">
        <f>IF(DT$6=Data!$F$151,Data!$E$151,IF(DT$6=Data!$F$152,Data!$E$152,IF(DT$6=Data!$F$153,Data!$E$153,IF(DT$6=Data!$F$154,Data!$E$154,IF(DT$6=Data!$F$155,Data!$E$155,IF(DT$6=Data!$F$156,Data!$E$156,IF(DT$6=Data!$F$157,Data!$E$157,IF(DT$6=Data!$F$158,Data!$E$158,IF(DT$6=Data!$F$159,Data!$E$159,IF(DT$6=Data!$F$160,Data!$E$160,IF(DT$6=Data!$F$161,Data!$E$161,IF(DT$6=Data!$F$162,Data!$E$162,0))))))))))))</f>
        <v>0</v>
      </c>
      <c r="DU128" s="300">
        <f>IF(DU$6=Data!$F$151,Data!$E$151,IF(DU$6=Data!$F$152,Data!$E$152,IF(DU$6=Data!$F$153,Data!$E$153,IF(DU$6=Data!$F$154,Data!$E$154,IF(DU$6=Data!$F$155,Data!$E$155,IF(DU$6=Data!$F$156,Data!$E$156,IF(DU$6=Data!$F$157,Data!$E$157,IF(DU$6=Data!$F$158,Data!$E$158,IF(DU$6=Data!$F$159,Data!$E$159,IF(DU$6=Data!$F$160,Data!$E$160,IF(DU$6=Data!$F$161,Data!$E$161,IF(DU$6=Data!$F$162,Data!$E$162,0))))))))))))</f>
        <v>0</v>
      </c>
      <c r="DV128" s="300">
        <f>IF(DV$6=Data!$F$151,Data!$E$151,IF(DV$6=Data!$F$152,Data!$E$152,IF(DV$6=Data!$F$153,Data!$E$153,IF(DV$6=Data!$F$154,Data!$E$154,IF(DV$6=Data!$F$155,Data!$E$155,IF(DV$6=Data!$F$156,Data!$E$156,IF(DV$6=Data!$F$157,Data!$E$157,IF(DV$6=Data!$F$158,Data!$E$158,IF(DV$6=Data!$F$159,Data!$E$159,IF(DV$6=Data!$F$160,Data!$E$160,IF(DV$6=Data!$F$161,Data!$E$161,IF(DV$6=Data!$F$162,Data!$E$162,0))))))))))))</f>
        <v>0</v>
      </c>
      <c r="DW128" s="300">
        <f>IF(DW$6=Data!$F$151,Data!$E$151,IF(DW$6=Data!$F$152,Data!$E$152,IF(DW$6=Data!$F$153,Data!$E$153,IF(DW$6=Data!$F$154,Data!$E$154,IF(DW$6=Data!$F$155,Data!$E$155,IF(DW$6=Data!$F$156,Data!$E$156,IF(DW$6=Data!$F$157,Data!$E$157,IF(DW$6=Data!$F$158,Data!$E$158,IF(DW$6=Data!$F$159,Data!$E$159,IF(DW$6=Data!$F$160,Data!$E$160,IF(DW$6=Data!$F$161,Data!$E$161,IF(DW$6=Data!$F$162,Data!$E$162,0))))))))))))</f>
        <v>0</v>
      </c>
    </row>
    <row r="129" spans="3:127" x14ac:dyDescent="0.3">
      <c r="D129" s="49" t="s">
        <v>71</v>
      </c>
      <c r="E129" s="51"/>
      <c r="F129" s="388"/>
      <c r="G129" s="1219">
        <f>IF(G$6=Data!$J$151,Data!$I$151,IF(G$6=Data!$J$152,Data!$I$152,IF(G$6=Data!$J$153,Data!$I$153,IF(G$6=Data!$J$154,Data!$I$154,IF(G$6=Data!$J$155,Data!$I$155,IF(G$6=Data!$J$156,Data!$I$156,IF(G$6=Data!$J$157,Data!$I$157,IF(G$6=Data!$J$158,Data!$I$158,IF(G$6=Data!$J$159,Data!$I$159,IF(G$6=Data!$J$160,Data!$I$160,IF(G$6=Data!$J$161,Data!$I$161,IF(G$6=Data!$J$162,Data!$I$162,0))))))))))))</f>
        <v>0</v>
      </c>
      <c r="H129" s="51">
        <f>IF(H$6=Data!$J$151,Data!$I$151,IF(H$6=Data!$J$152,Data!$I$152,IF(H$6=Data!$J$153,Data!$I$153,IF(H$6=Data!$J$154,Data!$I$154,IF(H$6=Data!$J$155,Data!$I$155,IF(H$6=Data!$J$156,Data!$I$156,IF(H$6=Data!$J$157,Data!$I$157,IF(H$6=Data!$J$158,Data!$I$158,IF(H$6=Data!$J$159,Data!$I$159,IF(H$6=Data!$J$160,Data!$I$160,IF(H$6=Data!$J$161,Data!$I$161,IF(H$6=Data!$J$162,Data!$I$162,0))))))))))))</f>
        <v>0</v>
      </c>
      <c r="I129" s="51">
        <f>IF(I$6=Data!$J$151,Data!$I$151,IF(I$6=Data!$J$152,Data!$I$152,IF(I$6=Data!$J$153,Data!$I$153,IF(I$6=Data!$J$154,Data!$I$154,IF(I$6=Data!$J$155,Data!$I$155,IF(I$6=Data!$J$156,Data!$I$156,IF(I$6=Data!$J$157,Data!$I$157,IF(I$6=Data!$J$158,Data!$I$158,IF(I$6=Data!$J$159,Data!$I$159,IF(I$6=Data!$J$160,Data!$I$160,IF(I$6=Data!$J$161,Data!$I$161,IF(I$6=Data!$J$162,Data!$I$162,0))))))))))))</f>
        <v>0</v>
      </c>
      <c r="J129" s="51">
        <f>IF(J$6=Data!$J$151,Data!$I$151,IF(J$6=Data!$J$152,Data!$I$152,IF(J$6=Data!$J$153,Data!$I$153,IF(J$6=Data!$J$154,Data!$I$154,IF(J$6=Data!$J$155,Data!$I$155,IF(J$6=Data!$J$156,Data!$I$156,IF(J$6=Data!$J$157,Data!$I$157,IF(J$6=Data!$J$158,Data!$I$158,IF(J$6=Data!$J$159,Data!$I$159,IF(J$6=Data!$J$160,Data!$I$160,IF(J$6=Data!$J$161,Data!$I$161,IF(J$6=Data!$J$162,Data!$I$162,0))))))))))))</f>
        <v>0</v>
      </c>
      <c r="K129" s="51">
        <f>IF(K$6=Data!$J$151,Data!$I$151,IF(K$6=Data!$J$152,Data!$I$152,IF(K$6=Data!$J$153,Data!$I$153,IF(K$6=Data!$J$154,Data!$I$154,IF(K$6=Data!$J$155,Data!$I$155,IF(K$6=Data!$J$156,Data!$I$156,IF(K$6=Data!$J$157,Data!$I$157,IF(K$6=Data!$J$158,Data!$I$158,IF(K$6=Data!$J$159,Data!$I$159,IF(K$6=Data!$J$160,Data!$I$160,IF(K$6=Data!$J$161,Data!$I$161,IF(K$6=Data!$J$162,Data!$I$162,0))))))))))))</f>
        <v>0</v>
      </c>
      <c r="L129" s="51">
        <f>IF(L$6=Data!$J$151,Data!$I$151,IF(L$6=Data!$J$152,Data!$I$152,IF(L$6=Data!$J$153,Data!$I$153,IF(L$6=Data!$J$154,Data!$I$154,IF(L$6=Data!$J$155,Data!$I$155,IF(L$6=Data!$J$156,Data!$I$156,IF(L$6=Data!$J$157,Data!$I$157,IF(L$6=Data!$J$158,Data!$I$158,IF(L$6=Data!$J$159,Data!$I$159,IF(L$6=Data!$J$160,Data!$I$160,IF(L$6=Data!$J$161,Data!$I$161,IF(L$6=Data!$J$162,Data!$I$162,0))))))))))))</f>
        <v>0</v>
      </c>
      <c r="M129" s="51">
        <f>IF(M$6=Data!$J$151,Data!$I$151,IF(M$6=Data!$J$152,Data!$I$152,IF(M$6=Data!$J$153,Data!$I$153,IF(M$6=Data!$J$154,Data!$I$154,IF(M$6=Data!$J$155,Data!$I$155,IF(M$6=Data!$J$156,Data!$I$156,IF(M$6=Data!$J$157,Data!$I$157,IF(M$6=Data!$J$158,Data!$I$158,IF(M$6=Data!$J$159,Data!$I$159,IF(M$6=Data!$J$160,Data!$I$160,IF(M$6=Data!$J$161,Data!$I$161,IF(M$6=Data!$J$162,Data!$I$162,0))))))))))))</f>
        <v>0</v>
      </c>
      <c r="N129" s="51">
        <f>IF(N$6=Data!$J$151,Data!$I$151,IF(N$6=Data!$J$152,Data!$I$152,IF(N$6=Data!$J$153,Data!$I$153,IF(N$6=Data!$J$154,Data!$I$154,IF(N$6=Data!$J$155,Data!$I$155,IF(N$6=Data!$J$156,Data!$I$156,IF(N$6=Data!$J$157,Data!$I$157,IF(N$6=Data!$J$158,Data!$I$158,IF(N$6=Data!$J$159,Data!$I$159,IF(N$6=Data!$J$160,Data!$I$160,IF(N$6=Data!$J$161,Data!$I$161,IF(N$6=Data!$J$162,Data!$I$162,0))))))))))))</f>
        <v>0</v>
      </c>
      <c r="O129" s="51">
        <f>IF(O$6=Data!$J$151,Data!$I$151,IF(O$6=Data!$J$152,Data!$I$152,IF(O$6=Data!$J$153,Data!$I$153,IF(O$6=Data!$J$154,Data!$I$154,IF(O$6=Data!$J$155,Data!$I$155,IF(O$6=Data!$J$156,Data!$I$156,IF(O$6=Data!$J$157,Data!$I$157,IF(O$6=Data!$J$158,Data!$I$158,IF(O$6=Data!$J$159,Data!$I$159,IF(O$6=Data!$J$160,Data!$I$160,IF(O$6=Data!$J$161,Data!$I$161,IF(O$6=Data!$J$162,Data!$I$162,0))))))))))))</f>
        <v>0</v>
      </c>
      <c r="P129" s="51">
        <f>IF(P$6=Data!$J$151,Data!$I$151,IF(P$6=Data!$J$152,Data!$I$152,IF(P$6=Data!$J$153,Data!$I$153,IF(P$6=Data!$J$154,Data!$I$154,IF(P$6=Data!$J$155,Data!$I$155,IF(P$6=Data!$J$156,Data!$I$156,IF(P$6=Data!$J$157,Data!$I$157,IF(P$6=Data!$J$158,Data!$I$158,IF(P$6=Data!$J$159,Data!$I$159,IF(P$6=Data!$J$160,Data!$I$160,IF(P$6=Data!$J$161,Data!$I$161,IF(P$6=Data!$J$162,Data!$I$162,0))))))))))))</f>
        <v>0</v>
      </c>
      <c r="Q129" s="51">
        <f>IF(Q$6=Data!$J$151,Data!$I$151,IF(Q$6=Data!$J$152,Data!$I$152,IF(Q$6=Data!$J$153,Data!$I$153,IF(Q$6=Data!$J$154,Data!$I$154,IF(Q$6=Data!$J$155,Data!$I$155,IF(Q$6=Data!$J$156,Data!$I$156,IF(Q$6=Data!$J$157,Data!$I$157,IF(Q$6=Data!$J$158,Data!$I$158,IF(Q$6=Data!$J$159,Data!$I$159,IF(Q$6=Data!$J$160,Data!$I$160,IF(Q$6=Data!$J$161,Data!$I$161,IF(Q$6=Data!$J$162,Data!$I$162,0))))))))))))</f>
        <v>0</v>
      </c>
      <c r="R129" s="51">
        <f>IF(R$6=Data!$J$151,Data!$I$151,IF(R$6=Data!$J$152,Data!$I$152,IF(R$6=Data!$J$153,Data!$I$153,IF(R$6=Data!$J$154,Data!$I$154,IF(R$6=Data!$J$155,Data!$I$155,IF(R$6=Data!$J$156,Data!$I$156,IF(R$6=Data!$J$157,Data!$I$157,IF(R$6=Data!$J$158,Data!$I$158,IF(R$6=Data!$J$159,Data!$I$159,IF(R$6=Data!$J$160,Data!$I$160,IF(R$6=Data!$J$161,Data!$I$161,IF(R$6=Data!$J$162,Data!$I$162,0))))))))))))</f>
        <v>0</v>
      </c>
      <c r="S129" s="51">
        <f>IF(S$6=Data!$J$151,Data!$I$151,IF(S$6=Data!$J$152,Data!$I$152,IF(S$6=Data!$J$153,Data!$I$153,IF(S$6=Data!$J$154,Data!$I$154,IF(S$6=Data!$J$155,Data!$I$155,IF(S$6=Data!$J$156,Data!$I$156,IF(S$6=Data!$J$157,Data!$I$157,IF(S$6=Data!$J$158,Data!$I$158,IF(S$6=Data!$J$159,Data!$I$159,IF(S$6=Data!$J$160,Data!$I$160,IF(S$6=Data!$J$161,Data!$I$161,IF(S$6=Data!$J$162,Data!$I$162,0))))))))))))</f>
        <v>0</v>
      </c>
      <c r="T129" s="276">
        <f>IF(T$6=Data!$J$151,Data!$I$151,IF(T$6=Data!$J$152,Data!$I$152,IF(T$6=Data!$J$153,Data!$I$153,IF(T$6=Data!$J$154,Data!$I$154,IF(T$6=Data!$J$155,Data!$I$155,IF(T$6=Data!$J$156,Data!$I$156,IF(T$6=Data!$J$157,Data!$I$157,IF(T$6=Data!$J$158,Data!$I$158,IF(T$6=Data!$J$159,Data!$I$159,IF(T$6=Data!$J$160,Data!$I$160,IF(T$6=Data!$J$161,Data!$I$161,IF(T$6=Data!$J$162,Data!$I$162,0))))))))))))</f>
        <v>0.05</v>
      </c>
      <c r="U129" s="51">
        <f>IF(U$6=Data!$J$151,Data!$I$151,IF(U$6=Data!$J$152,Data!$I$152,IF(U$6=Data!$J$153,Data!$I$153,IF(U$6=Data!$J$154,Data!$I$154,IF(U$6=Data!$J$155,Data!$I$155,IF(U$6=Data!$J$156,Data!$I$156,IF(U$6=Data!$J$157,Data!$I$157,IF(U$6=Data!$J$158,Data!$I$158,IF(U$6=Data!$J$159,Data!$I$159,IF(U$6=Data!$J$160,Data!$I$160,IF(U$6=Data!$J$161,Data!$I$161,IF(U$6=Data!$J$162,Data!$I$162,0))))))))))))</f>
        <v>0</v>
      </c>
      <c r="V129" s="51">
        <f>IF(V$6=Data!$J$151,Data!$I$151,IF(V$6=Data!$J$152,Data!$I$152,IF(V$6=Data!$J$153,Data!$I$153,IF(V$6=Data!$J$154,Data!$I$154,IF(V$6=Data!$J$155,Data!$I$155,IF(V$6=Data!$J$156,Data!$I$156,IF(V$6=Data!$J$157,Data!$I$157,IF(V$6=Data!$J$158,Data!$I$158,IF(V$6=Data!$J$159,Data!$I$159,IF(V$6=Data!$J$160,Data!$I$160,IF(V$6=Data!$J$161,Data!$I$161,IF(V$6=Data!$J$162,Data!$I$162,0))))))))))))</f>
        <v>0</v>
      </c>
      <c r="W129" s="51">
        <f>IF(W$6=Data!$J$151,Data!$I$151,IF(W$6=Data!$J$152,Data!$I$152,IF(W$6=Data!$J$153,Data!$I$153,IF(W$6=Data!$J$154,Data!$I$154,IF(W$6=Data!$J$155,Data!$I$155,IF(W$6=Data!$J$156,Data!$I$156,IF(W$6=Data!$J$157,Data!$I$157,IF(W$6=Data!$J$158,Data!$I$158,IF(W$6=Data!$J$159,Data!$I$159,IF(W$6=Data!$J$160,Data!$I$160,IF(W$6=Data!$J$161,Data!$I$161,IF(W$6=Data!$J$162,Data!$I$162,0))))))))))))</f>
        <v>0</v>
      </c>
      <c r="X129" s="51">
        <f>IF(X$6=Data!$J$151,Data!$I$151,IF(X$6=Data!$J$152,Data!$I$152,IF(X$6=Data!$J$153,Data!$I$153,IF(X$6=Data!$J$154,Data!$I$154,IF(X$6=Data!$J$155,Data!$I$155,IF(X$6=Data!$J$156,Data!$I$156,IF(X$6=Data!$J$157,Data!$I$157,IF(X$6=Data!$J$158,Data!$I$158,IF(X$6=Data!$J$159,Data!$I$159,IF(X$6=Data!$J$160,Data!$I$160,IF(X$6=Data!$J$161,Data!$I$161,IF(X$6=Data!$J$162,Data!$I$162,0))))))))))))</f>
        <v>0</v>
      </c>
      <c r="Y129" s="51">
        <f>IF(Y$6=Data!$J$151,Data!$I$151,IF(Y$6=Data!$J$152,Data!$I$152,IF(Y$6=Data!$J$153,Data!$I$153,IF(Y$6=Data!$J$154,Data!$I$154,IF(Y$6=Data!$J$155,Data!$I$155,IF(Y$6=Data!$J$156,Data!$I$156,IF(Y$6=Data!$J$157,Data!$I$157,IF(Y$6=Data!$J$158,Data!$I$158,IF(Y$6=Data!$J$159,Data!$I$159,IF(Y$6=Data!$J$160,Data!$I$160,IF(Y$6=Data!$J$161,Data!$I$161,IF(Y$6=Data!$J$162,Data!$I$162,0))))))))))))</f>
        <v>0</v>
      </c>
      <c r="Z129" s="51">
        <f>IF(Z$6=Data!$J$151,Data!$I$151,IF(Z$6=Data!$J$152,Data!$I$152,IF(Z$6=Data!$J$153,Data!$I$153,IF(Z$6=Data!$J$154,Data!$I$154,IF(Z$6=Data!$J$155,Data!$I$155,IF(Z$6=Data!$J$156,Data!$I$156,IF(Z$6=Data!$J$157,Data!$I$157,IF(Z$6=Data!$J$158,Data!$I$158,IF(Z$6=Data!$J$159,Data!$I$159,IF(Z$6=Data!$J$160,Data!$I$160,IF(Z$6=Data!$J$161,Data!$I$161,IF(Z$6=Data!$J$162,Data!$I$162,0))))))))))))</f>
        <v>0</v>
      </c>
      <c r="AA129" s="51">
        <f>IF(AA$6=Data!$J$151,Data!$I$151,IF(AA$6=Data!$J$152,Data!$I$152,IF(AA$6=Data!$J$153,Data!$I$153,IF(AA$6=Data!$J$154,Data!$I$154,IF(AA$6=Data!$J$155,Data!$I$155,IF(AA$6=Data!$J$156,Data!$I$156,IF(AA$6=Data!$J$157,Data!$I$157,IF(AA$6=Data!$J$158,Data!$I$158,IF(AA$6=Data!$J$159,Data!$I$159,IF(AA$6=Data!$J$160,Data!$I$160,IF(AA$6=Data!$J$161,Data!$I$161,IF(AA$6=Data!$J$162,Data!$I$162,0))))))))))))</f>
        <v>0</v>
      </c>
      <c r="AB129" s="51">
        <f>IF(AB$6=Data!$J$151,Data!$I$151,IF(AB$6=Data!$J$152,Data!$I$152,IF(AB$6=Data!$J$153,Data!$I$153,IF(AB$6=Data!$J$154,Data!$I$154,IF(AB$6=Data!$J$155,Data!$I$155,IF(AB$6=Data!$J$156,Data!$I$156,IF(AB$6=Data!$J$157,Data!$I$157,IF(AB$6=Data!$J$158,Data!$I$158,IF(AB$6=Data!$J$159,Data!$I$159,IF(AB$6=Data!$J$160,Data!$I$160,IF(AB$6=Data!$J$161,Data!$I$161,IF(AB$6=Data!$J$162,Data!$I$162,0))))))))))))</f>
        <v>0</v>
      </c>
      <c r="AC129" s="51">
        <f>IF(AC$6=Data!$J$151,Data!$I$151,IF(AC$6=Data!$J$152,Data!$I$152,IF(AC$6=Data!$J$153,Data!$I$153,IF(AC$6=Data!$J$154,Data!$I$154,IF(AC$6=Data!$J$155,Data!$I$155,IF(AC$6=Data!$J$156,Data!$I$156,IF(AC$6=Data!$J$157,Data!$I$157,IF(AC$6=Data!$J$158,Data!$I$158,IF(AC$6=Data!$J$159,Data!$I$159,IF(AC$6=Data!$J$160,Data!$I$160,IF(AC$6=Data!$J$161,Data!$I$161,IF(AC$6=Data!$J$162,Data!$I$162,0))))))))))))</f>
        <v>0</v>
      </c>
      <c r="AD129" s="51">
        <f>IF(AD$6=Data!$J$151,Data!$I$151,IF(AD$6=Data!$J$152,Data!$I$152,IF(AD$6=Data!$J$153,Data!$I$153,IF(AD$6=Data!$J$154,Data!$I$154,IF(AD$6=Data!$J$155,Data!$I$155,IF(AD$6=Data!$J$156,Data!$I$156,IF(AD$6=Data!$J$157,Data!$I$157,IF(AD$6=Data!$J$158,Data!$I$158,IF(AD$6=Data!$J$159,Data!$I$159,IF(AD$6=Data!$J$160,Data!$I$160,IF(AD$6=Data!$J$161,Data!$I$161,IF(AD$6=Data!$J$162,Data!$I$162,0))))))))))))</f>
        <v>0</v>
      </c>
      <c r="AE129" s="51">
        <f>IF(AE$6=Data!$J$151,Data!$I$151,IF(AE$6=Data!$J$152,Data!$I$152,IF(AE$6=Data!$J$153,Data!$I$153,IF(AE$6=Data!$J$154,Data!$I$154,IF(AE$6=Data!$J$155,Data!$I$155,IF(AE$6=Data!$J$156,Data!$I$156,IF(AE$6=Data!$J$157,Data!$I$157,IF(AE$6=Data!$J$158,Data!$I$158,IF(AE$6=Data!$J$159,Data!$I$159,IF(AE$6=Data!$J$160,Data!$I$160,IF(AE$6=Data!$J$161,Data!$I$161,IF(AE$6=Data!$J$162,Data!$I$162,0))))))))))))</f>
        <v>0</v>
      </c>
      <c r="AF129" s="276">
        <f>IF(AF$6=Data!$J$151,Data!$I$151,IF(AF$6=Data!$J$152,Data!$I$152,IF(AF$6=Data!$J$153,Data!$I$153,IF(AF$6=Data!$J$154,Data!$I$154,IF(AF$6=Data!$J$155,Data!$I$155,IF(AF$6=Data!$J$156,Data!$I$156,IF(AF$6=Data!$J$157,Data!$I$157,IF(AF$6=Data!$J$158,Data!$I$158,IF(AF$6=Data!$J$159,Data!$I$159,IF(AF$6=Data!$J$160,Data!$I$160,IF(AF$6=Data!$J$161,Data!$I$161,IF(AF$6=Data!$J$162,Data!$I$162,0))))))))))))</f>
        <v>0.05</v>
      </c>
      <c r="AG129" s="51">
        <f>IF(AG$6=Data!$J$151,Data!$I$151,IF(AG$6=Data!$J$152,Data!$I$152,IF(AG$6=Data!$J$153,Data!$I$153,IF(AG$6=Data!$J$154,Data!$I$154,IF(AG$6=Data!$J$155,Data!$I$155,IF(AG$6=Data!$J$156,Data!$I$156,IF(AG$6=Data!$J$157,Data!$I$157,IF(AG$6=Data!$J$158,Data!$I$158,IF(AG$6=Data!$J$159,Data!$I$159,IF(AG$6=Data!$J$160,Data!$I$160,IF(AG$6=Data!$J$161,Data!$I$161,IF(AG$6=Data!$J$162,Data!$I$162,0))))))))))))</f>
        <v>0</v>
      </c>
      <c r="AH129" s="51">
        <f>IF(AH$6=Data!$J$151,Data!$I$151,IF(AH$6=Data!$J$152,Data!$I$152,IF(AH$6=Data!$J$153,Data!$I$153,IF(AH$6=Data!$J$154,Data!$I$154,IF(AH$6=Data!$J$155,Data!$I$155,IF(AH$6=Data!$J$156,Data!$I$156,IF(AH$6=Data!$J$157,Data!$I$157,IF(AH$6=Data!$J$158,Data!$I$158,IF(AH$6=Data!$J$159,Data!$I$159,IF(AH$6=Data!$J$160,Data!$I$160,IF(AH$6=Data!$J$161,Data!$I$161,IF(AH$6=Data!$J$162,Data!$I$162,0))))))))))))</f>
        <v>0</v>
      </c>
      <c r="AI129" s="51">
        <f>IF(AI$6=Data!$J$151,Data!$I$151,IF(AI$6=Data!$J$152,Data!$I$152,IF(AI$6=Data!$J$153,Data!$I$153,IF(AI$6=Data!$J$154,Data!$I$154,IF(AI$6=Data!$J$155,Data!$I$155,IF(AI$6=Data!$J$156,Data!$I$156,IF(AI$6=Data!$J$157,Data!$I$157,IF(AI$6=Data!$J$158,Data!$I$158,IF(AI$6=Data!$J$159,Data!$I$159,IF(AI$6=Data!$J$160,Data!$I$160,IF(AI$6=Data!$J$161,Data!$I$161,IF(AI$6=Data!$J$162,Data!$I$162,0))))))))))))</f>
        <v>0</v>
      </c>
      <c r="AJ129" s="51">
        <f>IF(AJ$6=Data!$J$151,Data!$I$151,IF(AJ$6=Data!$J$152,Data!$I$152,IF(AJ$6=Data!$J$153,Data!$I$153,IF(AJ$6=Data!$J$154,Data!$I$154,IF(AJ$6=Data!$J$155,Data!$I$155,IF(AJ$6=Data!$J$156,Data!$I$156,IF(AJ$6=Data!$J$157,Data!$I$157,IF(AJ$6=Data!$J$158,Data!$I$158,IF(AJ$6=Data!$J$159,Data!$I$159,IF(AJ$6=Data!$J$160,Data!$I$160,IF(AJ$6=Data!$J$161,Data!$I$161,IF(AJ$6=Data!$J$162,Data!$I$162,0))))))))))))</f>
        <v>0</v>
      </c>
      <c r="AK129" s="51">
        <f>IF(AK$6=Data!$J$151,Data!$I$151,IF(AK$6=Data!$J$152,Data!$I$152,IF(AK$6=Data!$J$153,Data!$I$153,IF(AK$6=Data!$J$154,Data!$I$154,IF(AK$6=Data!$J$155,Data!$I$155,IF(AK$6=Data!$J$156,Data!$I$156,IF(AK$6=Data!$J$157,Data!$I$157,IF(AK$6=Data!$J$158,Data!$I$158,IF(AK$6=Data!$J$159,Data!$I$159,IF(AK$6=Data!$J$160,Data!$I$160,IF(AK$6=Data!$J$161,Data!$I$161,IF(AK$6=Data!$J$162,Data!$I$162,0))))))))))))</f>
        <v>0</v>
      </c>
      <c r="AL129" s="51">
        <f>IF(AL$6=Data!$J$151,Data!$I$151,IF(AL$6=Data!$J$152,Data!$I$152,IF(AL$6=Data!$J$153,Data!$I$153,IF(AL$6=Data!$J$154,Data!$I$154,IF(AL$6=Data!$J$155,Data!$I$155,IF(AL$6=Data!$J$156,Data!$I$156,IF(AL$6=Data!$J$157,Data!$I$157,IF(AL$6=Data!$J$158,Data!$I$158,IF(AL$6=Data!$J$159,Data!$I$159,IF(AL$6=Data!$J$160,Data!$I$160,IF(AL$6=Data!$J$161,Data!$I$161,IF(AL$6=Data!$J$162,Data!$I$162,0))))))))))))</f>
        <v>0</v>
      </c>
      <c r="AM129" s="51">
        <f>IF(AM$6=Data!$J$151,Data!$I$151,IF(AM$6=Data!$J$152,Data!$I$152,IF(AM$6=Data!$J$153,Data!$I$153,IF(AM$6=Data!$J$154,Data!$I$154,IF(AM$6=Data!$J$155,Data!$I$155,IF(AM$6=Data!$J$156,Data!$I$156,IF(AM$6=Data!$J$157,Data!$I$157,IF(AM$6=Data!$J$158,Data!$I$158,IF(AM$6=Data!$J$159,Data!$I$159,IF(AM$6=Data!$J$160,Data!$I$160,IF(AM$6=Data!$J$161,Data!$I$161,IF(AM$6=Data!$J$162,Data!$I$162,0))))))))))))</f>
        <v>0</v>
      </c>
      <c r="AN129" s="51">
        <f>IF(AN$6=Data!$J$151,Data!$I$151,IF(AN$6=Data!$J$152,Data!$I$152,IF(AN$6=Data!$J$153,Data!$I$153,IF(AN$6=Data!$J$154,Data!$I$154,IF(AN$6=Data!$J$155,Data!$I$155,IF(AN$6=Data!$J$156,Data!$I$156,IF(AN$6=Data!$J$157,Data!$I$157,IF(AN$6=Data!$J$158,Data!$I$158,IF(AN$6=Data!$J$159,Data!$I$159,IF(AN$6=Data!$J$160,Data!$I$160,IF(AN$6=Data!$J$161,Data!$I$161,IF(AN$6=Data!$J$162,Data!$I$162,0))))))))))))</f>
        <v>0</v>
      </c>
      <c r="AO129" s="51">
        <f>IF(AO$6=Data!$J$151,Data!$I$151,IF(AO$6=Data!$J$152,Data!$I$152,IF(AO$6=Data!$J$153,Data!$I$153,IF(AO$6=Data!$J$154,Data!$I$154,IF(AO$6=Data!$J$155,Data!$I$155,IF(AO$6=Data!$J$156,Data!$I$156,IF(AO$6=Data!$J$157,Data!$I$157,IF(AO$6=Data!$J$158,Data!$I$158,IF(AO$6=Data!$J$159,Data!$I$159,IF(AO$6=Data!$J$160,Data!$I$160,IF(AO$6=Data!$J$161,Data!$I$161,IF(AO$6=Data!$J$162,Data!$I$162,0))))))))))))</f>
        <v>0</v>
      </c>
      <c r="AP129" s="51">
        <f>IF(AP$6=Data!$J$151,Data!$I$151,IF(AP$6=Data!$J$152,Data!$I$152,IF(AP$6=Data!$J$153,Data!$I$153,IF(AP$6=Data!$J$154,Data!$I$154,IF(AP$6=Data!$J$155,Data!$I$155,IF(AP$6=Data!$J$156,Data!$I$156,IF(AP$6=Data!$J$157,Data!$I$157,IF(AP$6=Data!$J$158,Data!$I$158,IF(AP$6=Data!$J$159,Data!$I$159,IF(AP$6=Data!$J$160,Data!$I$160,IF(AP$6=Data!$J$161,Data!$I$161,IF(AP$6=Data!$J$162,Data!$I$162,0))))))))))))</f>
        <v>0</v>
      </c>
      <c r="AQ129" s="51">
        <f>IF(AQ$6=Data!$J$151,Data!$I$151,IF(AQ$6=Data!$J$152,Data!$I$152,IF(AQ$6=Data!$J$153,Data!$I$153,IF(AQ$6=Data!$J$154,Data!$I$154,IF(AQ$6=Data!$J$155,Data!$I$155,IF(AQ$6=Data!$J$156,Data!$I$156,IF(AQ$6=Data!$J$157,Data!$I$157,IF(AQ$6=Data!$J$158,Data!$I$158,IF(AQ$6=Data!$J$159,Data!$I$159,IF(AQ$6=Data!$J$160,Data!$I$160,IF(AQ$6=Data!$J$161,Data!$I$161,IF(AQ$6=Data!$J$162,Data!$I$162,0))))))))))))</f>
        <v>0</v>
      </c>
      <c r="AR129" s="276">
        <f>IF(AR$6=Data!$J$151,Data!$I$151,IF(AR$6=Data!$J$152,Data!$I$152,IF(AR$6=Data!$J$153,Data!$I$153,IF(AR$6=Data!$J$154,Data!$I$154,IF(AR$6=Data!$J$155,Data!$I$155,IF(AR$6=Data!$J$156,Data!$I$156,IF(AR$6=Data!$J$157,Data!$I$157,IF(AR$6=Data!$J$158,Data!$I$158,IF(AR$6=Data!$J$159,Data!$I$159,IF(AR$6=Data!$J$160,Data!$I$160,IF(AR$6=Data!$J$161,Data!$I$161,IF(AR$6=Data!$J$162,Data!$I$162,0))))))))))))</f>
        <v>0.05</v>
      </c>
      <c r="AS129" s="51">
        <f>IF(AS$6=Data!$J$151,Data!$I$151,IF(AS$6=Data!$J$152,Data!$I$152,IF(AS$6=Data!$J$153,Data!$I$153,IF(AS$6=Data!$J$154,Data!$I$154,IF(AS$6=Data!$J$155,Data!$I$155,IF(AS$6=Data!$J$156,Data!$I$156,IF(AS$6=Data!$J$157,Data!$I$157,IF(AS$6=Data!$J$158,Data!$I$158,IF(AS$6=Data!$J$159,Data!$I$159,IF(AS$6=Data!$J$160,Data!$I$160,IF(AS$6=Data!$J$161,Data!$I$161,IF(AS$6=Data!$J$162,Data!$I$162,0))))))))))))</f>
        <v>0</v>
      </c>
      <c r="AT129" s="51">
        <f>IF(AT$6=Data!$J$151,Data!$I$151,IF(AT$6=Data!$J$152,Data!$I$152,IF(AT$6=Data!$J$153,Data!$I$153,IF(AT$6=Data!$J$154,Data!$I$154,IF(AT$6=Data!$J$155,Data!$I$155,IF(AT$6=Data!$J$156,Data!$I$156,IF(AT$6=Data!$J$157,Data!$I$157,IF(AT$6=Data!$J$158,Data!$I$158,IF(AT$6=Data!$J$159,Data!$I$159,IF(AT$6=Data!$J$160,Data!$I$160,IF(AT$6=Data!$J$161,Data!$I$161,IF(AT$6=Data!$J$162,Data!$I$162,0))))))))))))</f>
        <v>0</v>
      </c>
      <c r="AU129" s="51">
        <f>IF(AU$6=Data!$J$151,Data!$I$151,IF(AU$6=Data!$J$152,Data!$I$152,IF(AU$6=Data!$J$153,Data!$I$153,IF(AU$6=Data!$J$154,Data!$I$154,IF(AU$6=Data!$J$155,Data!$I$155,IF(AU$6=Data!$J$156,Data!$I$156,IF(AU$6=Data!$J$157,Data!$I$157,IF(AU$6=Data!$J$158,Data!$I$158,IF(AU$6=Data!$J$159,Data!$I$159,IF(AU$6=Data!$J$160,Data!$I$160,IF(AU$6=Data!$J$161,Data!$I$161,IF(AU$6=Data!$J$162,Data!$I$162,0))))))))))))</f>
        <v>0</v>
      </c>
      <c r="AV129" s="51">
        <f>IF(AV$6=Data!$J$151,Data!$I$151,IF(AV$6=Data!$J$152,Data!$I$152,IF(AV$6=Data!$J$153,Data!$I$153,IF(AV$6=Data!$J$154,Data!$I$154,IF(AV$6=Data!$J$155,Data!$I$155,IF(AV$6=Data!$J$156,Data!$I$156,IF(AV$6=Data!$J$157,Data!$I$157,IF(AV$6=Data!$J$158,Data!$I$158,IF(AV$6=Data!$J$159,Data!$I$159,IF(AV$6=Data!$J$160,Data!$I$160,IF(AV$6=Data!$J$161,Data!$I$161,IF(AV$6=Data!$J$162,Data!$I$162,0))))))))))))</f>
        <v>0</v>
      </c>
      <c r="AW129" s="51">
        <f>IF(AW$6=Data!$J$151,Data!$I$151,IF(AW$6=Data!$J$152,Data!$I$152,IF(AW$6=Data!$J$153,Data!$I$153,IF(AW$6=Data!$J$154,Data!$I$154,IF(AW$6=Data!$J$155,Data!$I$155,IF(AW$6=Data!$J$156,Data!$I$156,IF(AW$6=Data!$J$157,Data!$I$157,IF(AW$6=Data!$J$158,Data!$I$158,IF(AW$6=Data!$J$159,Data!$I$159,IF(AW$6=Data!$J$160,Data!$I$160,IF(AW$6=Data!$J$161,Data!$I$161,IF(AW$6=Data!$J$162,Data!$I$162,0))))))))))))</f>
        <v>0</v>
      </c>
      <c r="AX129" s="51">
        <f>IF(AX$6=Data!$J$151,Data!$I$151,IF(AX$6=Data!$J$152,Data!$I$152,IF(AX$6=Data!$J$153,Data!$I$153,IF(AX$6=Data!$J$154,Data!$I$154,IF(AX$6=Data!$J$155,Data!$I$155,IF(AX$6=Data!$J$156,Data!$I$156,IF(AX$6=Data!$J$157,Data!$I$157,IF(AX$6=Data!$J$158,Data!$I$158,IF(AX$6=Data!$J$159,Data!$I$159,IF(AX$6=Data!$J$160,Data!$I$160,IF(AX$6=Data!$J$161,Data!$I$161,IF(AX$6=Data!$J$162,Data!$I$162,0))))))))))))</f>
        <v>0</v>
      </c>
      <c r="AY129" s="51">
        <f>IF(AY$6=Data!$J$151,Data!$I$151,IF(AY$6=Data!$J$152,Data!$I$152,IF(AY$6=Data!$J$153,Data!$I$153,IF(AY$6=Data!$J$154,Data!$I$154,IF(AY$6=Data!$J$155,Data!$I$155,IF(AY$6=Data!$J$156,Data!$I$156,IF(AY$6=Data!$J$157,Data!$I$157,IF(AY$6=Data!$J$158,Data!$I$158,IF(AY$6=Data!$J$159,Data!$I$159,IF(AY$6=Data!$J$160,Data!$I$160,IF(AY$6=Data!$J$161,Data!$I$161,IF(AY$6=Data!$J$162,Data!$I$162,0))))))))))))</f>
        <v>0</v>
      </c>
      <c r="AZ129" s="51">
        <f>IF(AZ$6=Data!$J$151,Data!$I$151,IF(AZ$6=Data!$J$152,Data!$I$152,IF(AZ$6=Data!$J$153,Data!$I$153,IF(AZ$6=Data!$J$154,Data!$I$154,IF(AZ$6=Data!$J$155,Data!$I$155,IF(AZ$6=Data!$J$156,Data!$I$156,IF(AZ$6=Data!$J$157,Data!$I$157,IF(AZ$6=Data!$J$158,Data!$I$158,IF(AZ$6=Data!$J$159,Data!$I$159,IF(AZ$6=Data!$J$160,Data!$I$160,IF(AZ$6=Data!$J$161,Data!$I$161,IF(AZ$6=Data!$J$162,Data!$I$162,0))))))))))))</f>
        <v>0</v>
      </c>
      <c r="BA129" s="51">
        <f>IF(BA$6=Data!$J$151,Data!$I$151,IF(BA$6=Data!$J$152,Data!$I$152,IF(BA$6=Data!$J$153,Data!$I$153,IF(BA$6=Data!$J$154,Data!$I$154,IF(BA$6=Data!$J$155,Data!$I$155,IF(BA$6=Data!$J$156,Data!$I$156,IF(BA$6=Data!$J$157,Data!$I$157,IF(BA$6=Data!$J$158,Data!$I$158,IF(BA$6=Data!$J$159,Data!$I$159,IF(BA$6=Data!$J$160,Data!$I$160,IF(BA$6=Data!$J$161,Data!$I$161,IF(BA$6=Data!$J$162,Data!$I$162,0))))))))))))</f>
        <v>0</v>
      </c>
      <c r="BB129" s="51">
        <f>IF(BB$6=Data!$J$151,Data!$I$151,IF(BB$6=Data!$J$152,Data!$I$152,IF(BB$6=Data!$J$153,Data!$I$153,IF(BB$6=Data!$J$154,Data!$I$154,IF(BB$6=Data!$J$155,Data!$I$155,IF(BB$6=Data!$J$156,Data!$I$156,IF(BB$6=Data!$J$157,Data!$I$157,IF(BB$6=Data!$J$158,Data!$I$158,IF(BB$6=Data!$J$159,Data!$I$159,IF(BB$6=Data!$J$160,Data!$I$160,IF(BB$6=Data!$J$161,Data!$I$161,IF(BB$6=Data!$J$162,Data!$I$162,0))))))))))))</f>
        <v>0</v>
      </c>
      <c r="BC129" s="51">
        <f>IF(BC$6=Data!$J$151,Data!$I$151,IF(BC$6=Data!$J$152,Data!$I$152,IF(BC$6=Data!$J$153,Data!$I$153,IF(BC$6=Data!$J$154,Data!$I$154,IF(BC$6=Data!$J$155,Data!$I$155,IF(BC$6=Data!$J$156,Data!$I$156,IF(BC$6=Data!$J$157,Data!$I$157,IF(BC$6=Data!$J$158,Data!$I$158,IF(BC$6=Data!$J$159,Data!$I$159,IF(BC$6=Data!$J$160,Data!$I$160,IF(BC$6=Data!$J$161,Data!$I$161,IF(BC$6=Data!$J$162,Data!$I$162,0))))))))))))</f>
        <v>0</v>
      </c>
      <c r="BD129" s="276">
        <f>IF(BD$6=Data!$J$151,Data!$I$151,IF(BD$6=Data!$J$152,Data!$I$152,IF(BD$6=Data!$J$153,Data!$I$153,IF(BD$6=Data!$J$154,Data!$I$154,IF(BD$6=Data!$J$155,Data!$I$155,IF(BD$6=Data!$J$156,Data!$I$156,IF(BD$6=Data!$J$157,Data!$I$157,IF(BD$6=Data!$J$158,Data!$I$158,IF(BD$6=Data!$J$159,Data!$I$159,IF(BD$6=Data!$J$160,Data!$I$160,IF(BD$6=Data!$J$161,Data!$I$161,IF(BD$6=Data!$J$162,Data!$I$162,0))))))))))))</f>
        <v>0.05</v>
      </c>
      <c r="BE129" s="51">
        <f>IF(BE$6=Data!$J$151,Data!$I$151,IF(BE$6=Data!$J$152,Data!$I$152,IF(BE$6=Data!$J$153,Data!$I$153,IF(BE$6=Data!$J$154,Data!$I$154,IF(BE$6=Data!$J$155,Data!$I$155,IF(BE$6=Data!$J$156,Data!$I$156,IF(BE$6=Data!$J$157,Data!$I$157,IF(BE$6=Data!$J$158,Data!$I$158,IF(BE$6=Data!$J$159,Data!$I$159,IF(BE$6=Data!$J$160,Data!$I$160,IF(BE$6=Data!$J$161,Data!$I$161,IF(BE$6=Data!$J$162,Data!$I$162,0))))))))))))</f>
        <v>0</v>
      </c>
      <c r="BF129" s="51">
        <f>IF(BF$6=Data!$J$151,Data!$I$151,IF(BF$6=Data!$J$152,Data!$I$152,IF(BF$6=Data!$J$153,Data!$I$153,IF(BF$6=Data!$J$154,Data!$I$154,IF(BF$6=Data!$J$155,Data!$I$155,IF(BF$6=Data!$J$156,Data!$I$156,IF(BF$6=Data!$J$157,Data!$I$157,IF(BF$6=Data!$J$158,Data!$I$158,IF(BF$6=Data!$J$159,Data!$I$159,IF(BF$6=Data!$J$160,Data!$I$160,IF(BF$6=Data!$J$161,Data!$I$161,IF(BF$6=Data!$J$162,Data!$I$162,0))))))))))))</f>
        <v>0</v>
      </c>
      <c r="BG129" s="51">
        <f>IF(BG$6=Data!$J$151,Data!$I$151,IF(BG$6=Data!$J$152,Data!$I$152,IF(BG$6=Data!$J$153,Data!$I$153,IF(BG$6=Data!$J$154,Data!$I$154,IF(BG$6=Data!$J$155,Data!$I$155,IF(BG$6=Data!$J$156,Data!$I$156,IF(BG$6=Data!$J$157,Data!$I$157,IF(BG$6=Data!$J$158,Data!$I$158,IF(BG$6=Data!$J$159,Data!$I$159,IF(BG$6=Data!$J$160,Data!$I$160,IF(BG$6=Data!$J$161,Data!$I$161,IF(BG$6=Data!$J$162,Data!$I$162,0))))))))))))</f>
        <v>0</v>
      </c>
      <c r="BH129" s="51">
        <f>IF(BH$6=Data!$J$151,Data!$I$151,IF(BH$6=Data!$J$152,Data!$I$152,IF(BH$6=Data!$J$153,Data!$I$153,IF(BH$6=Data!$J$154,Data!$I$154,IF(BH$6=Data!$J$155,Data!$I$155,IF(BH$6=Data!$J$156,Data!$I$156,IF(BH$6=Data!$J$157,Data!$I$157,IF(BH$6=Data!$J$158,Data!$I$158,IF(BH$6=Data!$J$159,Data!$I$159,IF(BH$6=Data!$J$160,Data!$I$160,IF(BH$6=Data!$J$161,Data!$I$161,IF(BH$6=Data!$J$162,Data!$I$162,0))))))))))))</f>
        <v>0</v>
      </c>
      <c r="BI129" s="51">
        <f>IF(BI$6=Data!$J$151,Data!$I$151,IF(BI$6=Data!$J$152,Data!$I$152,IF(BI$6=Data!$J$153,Data!$I$153,IF(BI$6=Data!$J$154,Data!$I$154,IF(BI$6=Data!$J$155,Data!$I$155,IF(BI$6=Data!$J$156,Data!$I$156,IF(BI$6=Data!$J$157,Data!$I$157,IF(BI$6=Data!$J$158,Data!$I$158,IF(BI$6=Data!$J$159,Data!$I$159,IF(BI$6=Data!$J$160,Data!$I$160,IF(BI$6=Data!$J$161,Data!$I$161,IF(BI$6=Data!$J$162,Data!$I$162,0))))))))))))</f>
        <v>0</v>
      </c>
      <c r="BJ129" s="51">
        <f>IF(BJ$6=Data!$J$151,Data!$I$151,IF(BJ$6=Data!$J$152,Data!$I$152,IF(BJ$6=Data!$J$153,Data!$I$153,IF(BJ$6=Data!$J$154,Data!$I$154,IF(BJ$6=Data!$J$155,Data!$I$155,IF(BJ$6=Data!$J$156,Data!$I$156,IF(BJ$6=Data!$J$157,Data!$I$157,IF(BJ$6=Data!$J$158,Data!$I$158,IF(BJ$6=Data!$J$159,Data!$I$159,IF(BJ$6=Data!$J$160,Data!$I$160,IF(BJ$6=Data!$J$161,Data!$I$161,IF(BJ$6=Data!$J$162,Data!$I$162,0))))))))))))</f>
        <v>0</v>
      </c>
      <c r="BK129" s="51">
        <f>IF(BK$6=Data!$J$151,Data!$I$151,IF(BK$6=Data!$J$152,Data!$I$152,IF(BK$6=Data!$J$153,Data!$I$153,IF(BK$6=Data!$J$154,Data!$I$154,IF(BK$6=Data!$J$155,Data!$I$155,IF(BK$6=Data!$J$156,Data!$I$156,IF(BK$6=Data!$J$157,Data!$I$157,IF(BK$6=Data!$J$158,Data!$I$158,IF(BK$6=Data!$J$159,Data!$I$159,IF(BK$6=Data!$J$160,Data!$I$160,IF(BK$6=Data!$J$161,Data!$I$161,IF(BK$6=Data!$J$162,Data!$I$162,0))))))))))))</f>
        <v>0</v>
      </c>
      <c r="BL129" s="51">
        <f>IF(BL$6=Data!$J$151,Data!$I$151,IF(BL$6=Data!$J$152,Data!$I$152,IF(BL$6=Data!$J$153,Data!$I$153,IF(BL$6=Data!$J$154,Data!$I$154,IF(BL$6=Data!$J$155,Data!$I$155,IF(BL$6=Data!$J$156,Data!$I$156,IF(BL$6=Data!$J$157,Data!$I$157,IF(BL$6=Data!$J$158,Data!$I$158,IF(BL$6=Data!$J$159,Data!$I$159,IF(BL$6=Data!$J$160,Data!$I$160,IF(BL$6=Data!$J$161,Data!$I$161,IF(BL$6=Data!$J$162,Data!$I$162,0))))))))))))</f>
        <v>0</v>
      </c>
      <c r="BM129" s="51">
        <f>IF(BM$6=Data!$J$151,Data!$I$151,IF(BM$6=Data!$J$152,Data!$I$152,IF(BM$6=Data!$J$153,Data!$I$153,IF(BM$6=Data!$J$154,Data!$I$154,IF(BM$6=Data!$J$155,Data!$I$155,IF(BM$6=Data!$J$156,Data!$I$156,IF(BM$6=Data!$J$157,Data!$I$157,IF(BM$6=Data!$J$158,Data!$I$158,IF(BM$6=Data!$J$159,Data!$I$159,IF(BM$6=Data!$J$160,Data!$I$160,IF(BM$6=Data!$J$161,Data!$I$161,IF(BM$6=Data!$J$162,Data!$I$162,0))))))))))))</f>
        <v>0</v>
      </c>
      <c r="BN129" s="51">
        <f>IF(BN$6=Data!$J$151,Data!$I$151,IF(BN$6=Data!$J$152,Data!$I$152,IF(BN$6=Data!$J$153,Data!$I$153,IF(BN$6=Data!$J$154,Data!$I$154,IF(BN$6=Data!$J$155,Data!$I$155,IF(BN$6=Data!$J$156,Data!$I$156,IF(BN$6=Data!$J$157,Data!$I$157,IF(BN$6=Data!$J$158,Data!$I$158,IF(BN$6=Data!$J$159,Data!$I$159,IF(BN$6=Data!$J$160,Data!$I$160,IF(BN$6=Data!$J$161,Data!$I$161,IF(BN$6=Data!$J$162,Data!$I$162,0))))))))))))</f>
        <v>0</v>
      </c>
      <c r="BO129" s="51">
        <f>IF(BO$6=Data!$J$151,Data!$I$151,IF(BO$6=Data!$J$152,Data!$I$152,IF(BO$6=Data!$J$153,Data!$I$153,IF(BO$6=Data!$J$154,Data!$I$154,IF(BO$6=Data!$J$155,Data!$I$155,IF(BO$6=Data!$J$156,Data!$I$156,IF(BO$6=Data!$J$157,Data!$I$157,IF(BO$6=Data!$J$158,Data!$I$158,IF(BO$6=Data!$J$159,Data!$I$159,IF(BO$6=Data!$J$160,Data!$I$160,IF(BO$6=Data!$J$161,Data!$I$161,IF(BO$6=Data!$J$162,Data!$I$162,0))))))))))))</f>
        <v>0</v>
      </c>
      <c r="BP129" s="276">
        <f>IF(BP$6=Data!$J$151,Data!$I$151,IF(BP$6=Data!$J$152,Data!$I$152,IF(BP$6=Data!$J$153,Data!$I$153,IF(BP$6=Data!$J$154,Data!$I$154,IF(BP$6=Data!$J$155,Data!$I$155,IF(BP$6=Data!$J$156,Data!$I$156,IF(BP$6=Data!$J$157,Data!$I$157,IF(BP$6=Data!$J$158,Data!$I$158,IF(BP$6=Data!$J$159,Data!$I$159,IF(BP$6=Data!$J$160,Data!$I$160,IF(BP$6=Data!$J$161,Data!$I$161,IF(BP$6=Data!$J$162,Data!$I$162,0))))))))))))</f>
        <v>0.05</v>
      </c>
      <c r="BQ129" s="51">
        <f>IF(BQ$6=Data!$J$151,Data!$I$151,IF(BQ$6=Data!$J$152,Data!$I$152,IF(BQ$6=Data!$J$153,Data!$I$153,IF(BQ$6=Data!$J$154,Data!$I$154,IF(BQ$6=Data!$J$155,Data!$I$155,IF(BQ$6=Data!$J$156,Data!$I$156,IF(BQ$6=Data!$J$157,Data!$I$157,IF(BQ$6=Data!$J$158,Data!$I$158,IF(BQ$6=Data!$J$159,Data!$I$159,IF(BQ$6=Data!$J$160,Data!$I$160,IF(BQ$6=Data!$J$161,Data!$I$161,IF(BQ$6=Data!$J$162,Data!$I$162,0))))))))))))</f>
        <v>0</v>
      </c>
      <c r="BR129" s="51">
        <f>IF(BR$6=Data!$J$151,Data!$I$151,IF(BR$6=Data!$J$152,Data!$I$152,IF(BR$6=Data!$J$153,Data!$I$153,IF(BR$6=Data!$J$154,Data!$I$154,IF(BR$6=Data!$J$155,Data!$I$155,IF(BR$6=Data!$J$156,Data!$I$156,IF(BR$6=Data!$J$157,Data!$I$157,IF(BR$6=Data!$J$158,Data!$I$158,IF(BR$6=Data!$J$159,Data!$I$159,IF(BR$6=Data!$J$160,Data!$I$160,IF(BR$6=Data!$J$161,Data!$I$161,IF(BR$6=Data!$J$162,Data!$I$162,0))))))))))))</f>
        <v>0</v>
      </c>
      <c r="BS129" s="51">
        <f>IF(BS$6=Data!$J$151,Data!$I$151,IF(BS$6=Data!$J$152,Data!$I$152,IF(BS$6=Data!$J$153,Data!$I$153,IF(BS$6=Data!$J$154,Data!$I$154,IF(BS$6=Data!$J$155,Data!$I$155,IF(BS$6=Data!$J$156,Data!$I$156,IF(BS$6=Data!$J$157,Data!$I$157,IF(BS$6=Data!$J$158,Data!$I$158,IF(BS$6=Data!$J$159,Data!$I$159,IF(BS$6=Data!$J$160,Data!$I$160,IF(BS$6=Data!$J$161,Data!$I$161,IF(BS$6=Data!$J$162,Data!$I$162,0))))))))))))</f>
        <v>0</v>
      </c>
      <c r="BT129" s="51">
        <f>IF(BT$6=Data!$J$151,Data!$I$151,IF(BT$6=Data!$J$152,Data!$I$152,IF(BT$6=Data!$J$153,Data!$I$153,IF(BT$6=Data!$J$154,Data!$I$154,IF(BT$6=Data!$J$155,Data!$I$155,IF(BT$6=Data!$J$156,Data!$I$156,IF(BT$6=Data!$J$157,Data!$I$157,IF(BT$6=Data!$J$158,Data!$I$158,IF(BT$6=Data!$J$159,Data!$I$159,IF(BT$6=Data!$J$160,Data!$I$160,IF(BT$6=Data!$J$161,Data!$I$161,IF(BT$6=Data!$J$162,Data!$I$162,0))))))))))))</f>
        <v>0</v>
      </c>
      <c r="BU129" s="51">
        <f>IF(BU$6=Data!$J$151,Data!$I$151,IF(BU$6=Data!$J$152,Data!$I$152,IF(BU$6=Data!$J$153,Data!$I$153,IF(BU$6=Data!$J$154,Data!$I$154,IF(BU$6=Data!$J$155,Data!$I$155,IF(BU$6=Data!$J$156,Data!$I$156,IF(BU$6=Data!$J$157,Data!$I$157,IF(BU$6=Data!$J$158,Data!$I$158,IF(BU$6=Data!$J$159,Data!$I$159,IF(BU$6=Data!$J$160,Data!$I$160,IF(BU$6=Data!$J$161,Data!$I$161,IF(BU$6=Data!$J$162,Data!$I$162,0))))))))))))</f>
        <v>0</v>
      </c>
      <c r="BV129" s="51">
        <f>IF(BV$6=Data!$J$151,Data!$I$151,IF(BV$6=Data!$J$152,Data!$I$152,IF(BV$6=Data!$J$153,Data!$I$153,IF(BV$6=Data!$J$154,Data!$I$154,IF(BV$6=Data!$J$155,Data!$I$155,IF(BV$6=Data!$J$156,Data!$I$156,IF(BV$6=Data!$J$157,Data!$I$157,IF(BV$6=Data!$J$158,Data!$I$158,IF(BV$6=Data!$J$159,Data!$I$159,IF(BV$6=Data!$J$160,Data!$I$160,IF(BV$6=Data!$J$161,Data!$I$161,IF(BV$6=Data!$J$162,Data!$I$162,0))))))))))))</f>
        <v>0</v>
      </c>
      <c r="BW129" s="51">
        <f>IF(BW$6=Data!$J$151,Data!$I$151,IF(BW$6=Data!$J$152,Data!$I$152,IF(BW$6=Data!$J$153,Data!$I$153,IF(BW$6=Data!$J$154,Data!$I$154,IF(BW$6=Data!$J$155,Data!$I$155,IF(BW$6=Data!$J$156,Data!$I$156,IF(BW$6=Data!$J$157,Data!$I$157,IF(BW$6=Data!$J$158,Data!$I$158,IF(BW$6=Data!$J$159,Data!$I$159,IF(BW$6=Data!$J$160,Data!$I$160,IF(BW$6=Data!$J$161,Data!$I$161,IF(BW$6=Data!$J$162,Data!$I$162,0))))))))))))</f>
        <v>0</v>
      </c>
      <c r="BX129" s="51">
        <f>IF(BX$6=Data!$J$151,Data!$I$151,IF(BX$6=Data!$J$152,Data!$I$152,IF(BX$6=Data!$J$153,Data!$I$153,IF(BX$6=Data!$J$154,Data!$I$154,IF(BX$6=Data!$J$155,Data!$I$155,IF(BX$6=Data!$J$156,Data!$I$156,IF(BX$6=Data!$J$157,Data!$I$157,IF(BX$6=Data!$J$158,Data!$I$158,IF(BX$6=Data!$J$159,Data!$I$159,IF(BX$6=Data!$J$160,Data!$I$160,IF(BX$6=Data!$J$161,Data!$I$161,IF(BX$6=Data!$J$162,Data!$I$162,0))))))))))))</f>
        <v>0</v>
      </c>
      <c r="BY129" s="51">
        <f>IF(BY$6=Data!$J$151,Data!$I$151,IF(BY$6=Data!$J$152,Data!$I$152,IF(BY$6=Data!$J$153,Data!$I$153,IF(BY$6=Data!$J$154,Data!$I$154,IF(BY$6=Data!$J$155,Data!$I$155,IF(BY$6=Data!$J$156,Data!$I$156,IF(BY$6=Data!$J$157,Data!$I$157,IF(BY$6=Data!$J$158,Data!$I$158,IF(BY$6=Data!$J$159,Data!$I$159,IF(BY$6=Data!$J$160,Data!$I$160,IF(BY$6=Data!$J$161,Data!$I$161,IF(BY$6=Data!$J$162,Data!$I$162,0))))))))))))</f>
        <v>0</v>
      </c>
      <c r="BZ129" s="51">
        <f>IF(BZ$6=Data!$J$151,Data!$I$151,IF(BZ$6=Data!$J$152,Data!$I$152,IF(BZ$6=Data!$J$153,Data!$I$153,IF(BZ$6=Data!$J$154,Data!$I$154,IF(BZ$6=Data!$J$155,Data!$I$155,IF(BZ$6=Data!$J$156,Data!$I$156,IF(BZ$6=Data!$J$157,Data!$I$157,IF(BZ$6=Data!$J$158,Data!$I$158,IF(BZ$6=Data!$J$159,Data!$I$159,IF(BZ$6=Data!$J$160,Data!$I$160,IF(BZ$6=Data!$J$161,Data!$I$161,IF(BZ$6=Data!$J$162,Data!$I$162,0))))))))))))</f>
        <v>0</v>
      </c>
      <c r="CA129" s="51">
        <f>IF(CA$6=Data!$J$151,Data!$I$151,IF(CA$6=Data!$J$152,Data!$I$152,IF(CA$6=Data!$J$153,Data!$I$153,IF(CA$6=Data!$J$154,Data!$I$154,IF(CA$6=Data!$J$155,Data!$I$155,IF(CA$6=Data!$J$156,Data!$I$156,IF(CA$6=Data!$J$157,Data!$I$157,IF(CA$6=Data!$J$158,Data!$I$158,IF(CA$6=Data!$J$159,Data!$I$159,IF(CA$6=Data!$J$160,Data!$I$160,IF(CA$6=Data!$J$161,Data!$I$161,IF(CA$6=Data!$J$162,Data!$I$162,0))))))))))))</f>
        <v>0</v>
      </c>
      <c r="CB129" s="276">
        <f>IF(CB$6=Data!$J$151,Data!$I$151,IF(CB$6=Data!$J$152,Data!$I$152,IF(CB$6=Data!$J$153,Data!$I$153,IF(CB$6=Data!$J$154,Data!$I$154,IF(CB$6=Data!$J$155,Data!$I$155,IF(CB$6=Data!$J$156,Data!$I$156,IF(CB$6=Data!$J$157,Data!$I$157,IF(CB$6=Data!$J$158,Data!$I$158,IF(CB$6=Data!$J$159,Data!$I$159,IF(CB$6=Data!$J$160,Data!$I$160,IF(CB$6=Data!$J$161,Data!$I$161,IF(CB$6=Data!$J$162,Data!$I$162,0))))))))))))</f>
        <v>0.05</v>
      </c>
      <c r="CC129" s="51">
        <f>IF(CC$6=Data!$J$151,Data!$I$151,IF(CC$6=Data!$J$152,Data!$I$152,IF(CC$6=Data!$J$153,Data!$I$153,IF(CC$6=Data!$J$154,Data!$I$154,IF(CC$6=Data!$J$155,Data!$I$155,IF(CC$6=Data!$J$156,Data!$I$156,IF(CC$6=Data!$J$157,Data!$I$157,IF(CC$6=Data!$J$158,Data!$I$158,IF(CC$6=Data!$J$159,Data!$I$159,IF(CC$6=Data!$J$160,Data!$I$160,IF(CC$6=Data!$J$161,Data!$I$161,IF(CC$6=Data!$J$162,Data!$I$162,0))))))))))))</f>
        <v>0</v>
      </c>
      <c r="CD129" s="51">
        <f>IF(CD$6=Data!$J$151,Data!$I$151,IF(CD$6=Data!$J$152,Data!$I$152,IF(CD$6=Data!$J$153,Data!$I$153,IF(CD$6=Data!$J$154,Data!$I$154,IF(CD$6=Data!$J$155,Data!$I$155,IF(CD$6=Data!$J$156,Data!$I$156,IF(CD$6=Data!$J$157,Data!$I$157,IF(CD$6=Data!$J$158,Data!$I$158,IF(CD$6=Data!$J$159,Data!$I$159,IF(CD$6=Data!$J$160,Data!$I$160,IF(CD$6=Data!$J$161,Data!$I$161,IF(CD$6=Data!$J$162,Data!$I$162,0))))))))))))</f>
        <v>0</v>
      </c>
      <c r="CE129" s="51">
        <f>IF(CE$6=Data!$J$151,Data!$I$151,IF(CE$6=Data!$J$152,Data!$I$152,IF(CE$6=Data!$J$153,Data!$I$153,IF(CE$6=Data!$J$154,Data!$I$154,IF(CE$6=Data!$J$155,Data!$I$155,IF(CE$6=Data!$J$156,Data!$I$156,IF(CE$6=Data!$J$157,Data!$I$157,IF(CE$6=Data!$J$158,Data!$I$158,IF(CE$6=Data!$J$159,Data!$I$159,IF(CE$6=Data!$J$160,Data!$I$160,IF(CE$6=Data!$J$161,Data!$I$161,IF(CE$6=Data!$J$162,Data!$I$162,0))))))))))))</f>
        <v>0</v>
      </c>
      <c r="CF129" s="51">
        <f>IF(CF$6=Data!$J$151,Data!$I$151,IF(CF$6=Data!$J$152,Data!$I$152,IF(CF$6=Data!$J$153,Data!$I$153,IF(CF$6=Data!$J$154,Data!$I$154,IF(CF$6=Data!$J$155,Data!$I$155,IF(CF$6=Data!$J$156,Data!$I$156,IF(CF$6=Data!$J$157,Data!$I$157,IF(CF$6=Data!$J$158,Data!$I$158,IF(CF$6=Data!$J$159,Data!$I$159,IF(CF$6=Data!$J$160,Data!$I$160,IF(CF$6=Data!$J$161,Data!$I$161,IF(CF$6=Data!$J$162,Data!$I$162,0))))))))))))</f>
        <v>0</v>
      </c>
      <c r="CG129" s="51">
        <f>IF(CG$6=Data!$J$151,Data!$I$151,IF(CG$6=Data!$J$152,Data!$I$152,IF(CG$6=Data!$J$153,Data!$I$153,IF(CG$6=Data!$J$154,Data!$I$154,IF(CG$6=Data!$J$155,Data!$I$155,IF(CG$6=Data!$J$156,Data!$I$156,IF(CG$6=Data!$J$157,Data!$I$157,IF(CG$6=Data!$J$158,Data!$I$158,IF(CG$6=Data!$J$159,Data!$I$159,IF(CG$6=Data!$J$160,Data!$I$160,IF(CG$6=Data!$J$161,Data!$I$161,IF(CG$6=Data!$J$162,Data!$I$162,0))))))))))))</f>
        <v>0</v>
      </c>
      <c r="CH129" s="51">
        <f>IF(CH$6=Data!$J$151,Data!$I$151,IF(CH$6=Data!$J$152,Data!$I$152,IF(CH$6=Data!$J$153,Data!$I$153,IF(CH$6=Data!$J$154,Data!$I$154,IF(CH$6=Data!$J$155,Data!$I$155,IF(CH$6=Data!$J$156,Data!$I$156,IF(CH$6=Data!$J$157,Data!$I$157,IF(CH$6=Data!$J$158,Data!$I$158,IF(CH$6=Data!$J$159,Data!$I$159,IF(CH$6=Data!$J$160,Data!$I$160,IF(CH$6=Data!$J$161,Data!$I$161,IF(CH$6=Data!$J$162,Data!$I$162,0))))))))))))</f>
        <v>0</v>
      </c>
      <c r="CI129" s="51">
        <f>IF(CI$6=Data!$J$151,Data!$I$151,IF(CI$6=Data!$J$152,Data!$I$152,IF(CI$6=Data!$J$153,Data!$I$153,IF(CI$6=Data!$J$154,Data!$I$154,IF(CI$6=Data!$J$155,Data!$I$155,IF(CI$6=Data!$J$156,Data!$I$156,IF(CI$6=Data!$J$157,Data!$I$157,IF(CI$6=Data!$J$158,Data!$I$158,IF(CI$6=Data!$J$159,Data!$I$159,IF(CI$6=Data!$J$160,Data!$I$160,IF(CI$6=Data!$J$161,Data!$I$161,IF(CI$6=Data!$J$162,Data!$I$162,0))))))))))))</f>
        <v>0</v>
      </c>
      <c r="CJ129" s="51">
        <f>IF(CJ$6=Data!$J$151,Data!$I$151,IF(CJ$6=Data!$J$152,Data!$I$152,IF(CJ$6=Data!$J$153,Data!$I$153,IF(CJ$6=Data!$J$154,Data!$I$154,IF(CJ$6=Data!$J$155,Data!$I$155,IF(CJ$6=Data!$J$156,Data!$I$156,IF(CJ$6=Data!$J$157,Data!$I$157,IF(CJ$6=Data!$J$158,Data!$I$158,IF(CJ$6=Data!$J$159,Data!$I$159,IF(CJ$6=Data!$J$160,Data!$I$160,IF(CJ$6=Data!$J$161,Data!$I$161,IF(CJ$6=Data!$J$162,Data!$I$162,0))))))))))))</f>
        <v>0</v>
      </c>
      <c r="CK129" s="51">
        <f>IF(CK$6=Data!$J$151,Data!$I$151,IF(CK$6=Data!$J$152,Data!$I$152,IF(CK$6=Data!$J$153,Data!$I$153,IF(CK$6=Data!$J$154,Data!$I$154,IF(CK$6=Data!$J$155,Data!$I$155,IF(CK$6=Data!$J$156,Data!$I$156,IF(CK$6=Data!$J$157,Data!$I$157,IF(CK$6=Data!$J$158,Data!$I$158,IF(CK$6=Data!$J$159,Data!$I$159,IF(CK$6=Data!$J$160,Data!$I$160,IF(CK$6=Data!$J$161,Data!$I$161,IF(CK$6=Data!$J$162,Data!$I$162,0))))))))))))</f>
        <v>0</v>
      </c>
      <c r="CL129" s="51">
        <f>IF(CL$6=Data!$J$151,Data!$I$151,IF(CL$6=Data!$J$152,Data!$I$152,IF(CL$6=Data!$J$153,Data!$I$153,IF(CL$6=Data!$J$154,Data!$I$154,IF(CL$6=Data!$J$155,Data!$I$155,IF(CL$6=Data!$J$156,Data!$I$156,IF(CL$6=Data!$J$157,Data!$I$157,IF(CL$6=Data!$J$158,Data!$I$158,IF(CL$6=Data!$J$159,Data!$I$159,IF(CL$6=Data!$J$160,Data!$I$160,IF(CL$6=Data!$J$161,Data!$I$161,IF(CL$6=Data!$J$162,Data!$I$162,0))))))))))))</f>
        <v>0</v>
      </c>
      <c r="CM129" s="51">
        <f>IF(CM$6=Data!$J$151,Data!$I$151,IF(CM$6=Data!$J$152,Data!$I$152,IF(CM$6=Data!$J$153,Data!$I$153,IF(CM$6=Data!$J$154,Data!$I$154,IF(CM$6=Data!$J$155,Data!$I$155,IF(CM$6=Data!$J$156,Data!$I$156,IF(CM$6=Data!$J$157,Data!$I$157,IF(CM$6=Data!$J$158,Data!$I$158,IF(CM$6=Data!$J$159,Data!$I$159,IF(CM$6=Data!$J$160,Data!$I$160,IF(CM$6=Data!$J$161,Data!$I$161,IF(CM$6=Data!$J$162,Data!$I$162,0))))))))))))</f>
        <v>0</v>
      </c>
      <c r="CN129" s="276">
        <f>IF(CN$6=Data!$J$151,Data!$I$151,IF(CN$6=Data!$J$152,Data!$I$152,IF(CN$6=Data!$J$153,Data!$I$153,IF(CN$6=Data!$J$154,Data!$I$154,IF(CN$6=Data!$J$155,Data!$I$155,IF(CN$6=Data!$J$156,Data!$I$156,IF(CN$6=Data!$J$157,Data!$I$157,IF(CN$6=Data!$J$158,Data!$I$158,IF(CN$6=Data!$J$159,Data!$I$159,IF(CN$6=Data!$J$160,Data!$I$160,IF(CN$6=Data!$J$161,Data!$I$161,IF(CN$6=Data!$J$162,Data!$I$162,0))))))))))))</f>
        <v>0.05</v>
      </c>
      <c r="CO129" s="51">
        <f>IF(CO$6=Data!$J$151,Data!$I$151,IF(CO$6=Data!$J$152,Data!$I$152,IF(CO$6=Data!$J$153,Data!$I$153,IF(CO$6=Data!$J$154,Data!$I$154,IF(CO$6=Data!$J$155,Data!$I$155,IF(CO$6=Data!$J$156,Data!$I$156,IF(CO$6=Data!$J$157,Data!$I$157,IF(CO$6=Data!$J$158,Data!$I$158,IF(CO$6=Data!$J$159,Data!$I$159,IF(CO$6=Data!$J$160,Data!$I$160,IF(CO$6=Data!$J$161,Data!$I$161,IF(CO$6=Data!$J$162,Data!$I$162,0))))))))))))</f>
        <v>0</v>
      </c>
      <c r="CP129" s="51">
        <f>IF(CP$6=Data!$J$151,Data!$I$151,IF(CP$6=Data!$J$152,Data!$I$152,IF(CP$6=Data!$J$153,Data!$I$153,IF(CP$6=Data!$J$154,Data!$I$154,IF(CP$6=Data!$J$155,Data!$I$155,IF(CP$6=Data!$J$156,Data!$I$156,IF(CP$6=Data!$J$157,Data!$I$157,IF(CP$6=Data!$J$158,Data!$I$158,IF(CP$6=Data!$J$159,Data!$I$159,IF(CP$6=Data!$J$160,Data!$I$160,IF(CP$6=Data!$J$161,Data!$I$161,IF(CP$6=Data!$J$162,Data!$I$162,0))))))))))))</f>
        <v>0</v>
      </c>
      <c r="CQ129" s="51">
        <f>IF(CQ$6=Data!$J$151,Data!$I$151,IF(CQ$6=Data!$J$152,Data!$I$152,IF(CQ$6=Data!$J$153,Data!$I$153,IF(CQ$6=Data!$J$154,Data!$I$154,IF(CQ$6=Data!$J$155,Data!$I$155,IF(CQ$6=Data!$J$156,Data!$I$156,IF(CQ$6=Data!$J$157,Data!$I$157,IF(CQ$6=Data!$J$158,Data!$I$158,IF(CQ$6=Data!$J$159,Data!$I$159,IF(CQ$6=Data!$J$160,Data!$I$160,IF(CQ$6=Data!$J$161,Data!$I$161,IF(CQ$6=Data!$J$162,Data!$I$162,0))))))))))))</f>
        <v>0</v>
      </c>
      <c r="CR129" s="51">
        <f>IF(CR$6=Data!$J$151,Data!$I$151,IF(CR$6=Data!$J$152,Data!$I$152,IF(CR$6=Data!$J$153,Data!$I$153,IF(CR$6=Data!$J$154,Data!$I$154,IF(CR$6=Data!$J$155,Data!$I$155,IF(CR$6=Data!$J$156,Data!$I$156,IF(CR$6=Data!$J$157,Data!$I$157,IF(CR$6=Data!$J$158,Data!$I$158,IF(CR$6=Data!$J$159,Data!$I$159,IF(CR$6=Data!$J$160,Data!$I$160,IF(CR$6=Data!$J$161,Data!$I$161,IF(CR$6=Data!$J$162,Data!$I$162,0))))))))))))</f>
        <v>0</v>
      </c>
      <c r="CS129" s="51">
        <f>IF(CS$6=Data!$J$151,Data!$I$151,IF(CS$6=Data!$J$152,Data!$I$152,IF(CS$6=Data!$J$153,Data!$I$153,IF(CS$6=Data!$J$154,Data!$I$154,IF(CS$6=Data!$J$155,Data!$I$155,IF(CS$6=Data!$J$156,Data!$I$156,IF(CS$6=Data!$J$157,Data!$I$157,IF(CS$6=Data!$J$158,Data!$I$158,IF(CS$6=Data!$J$159,Data!$I$159,IF(CS$6=Data!$J$160,Data!$I$160,IF(CS$6=Data!$J$161,Data!$I$161,IF(CS$6=Data!$J$162,Data!$I$162,0))))))))))))</f>
        <v>0</v>
      </c>
      <c r="CT129" s="51">
        <f>IF(CT$6=Data!$J$151,Data!$I$151,IF(CT$6=Data!$J$152,Data!$I$152,IF(CT$6=Data!$J$153,Data!$I$153,IF(CT$6=Data!$J$154,Data!$I$154,IF(CT$6=Data!$J$155,Data!$I$155,IF(CT$6=Data!$J$156,Data!$I$156,IF(CT$6=Data!$J$157,Data!$I$157,IF(CT$6=Data!$J$158,Data!$I$158,IF(CT$6=Data!$J$159,Data!$I$159,IF(CT$6=Data!$J$160,Data!$I$160,IF(CT$6=Data!$J$161,Data!$I$161,IF(CT$6=Data!$J$162,Data!$I$162,0))))))))))))</f>
        <v>0</v>
      </c>
      <c r="CU129" s="51">
        <f>IF(CU$6=Data!$J$151,Data!$I$151,IF(CU$6=Data!$J$152,Data!$I$152,IF(CU$6=Data!$J$153,Data!$I$153,IF(CU$6=Data!$J$154,Data!$I$154,IF(CU$6=Data!$J$155,Data!$I$155,IF(CU$6=Data!$J$156,Data!$I$156,IF(CU$6=Data!$J$157,Data!$I$157,IF(CU$6=Data!$J$158,Data!$I$158,IF(CU$6=Data!$J$159,Data!$I$159,IF(CU$6=Data!$J$160,Data!$I$160,IF(CU$6=Data!$J$161,Data!$I$161,IF(CU$6=Data!$J$162,Data!$I$162,0))))))))))))</f>
        <v>0</v>
      </c>
      <c r="CV129" s="51">
        <f>IF(CV$6=Data!$J$151,Data!$I$151,IF(CV$6=Data!$J$152,Data!$I$152,IF(CV$6=Data!$J$153,Data!$I$153,IF(CV$6=Data!$J$154,Data!$I$154,IF(CV$6=Data!$J$155,Data!$I$155,IF(CV$6=Data!$J$156,Data!$I$156,IF(CV$6=Data!$J$157,Data!$I$157,IF(CV$6=Data!$J$158,Data!$I$158,IF(CV$6=Data!$J$159,Data!$I$159,IF(CV$6=Data!$J$160,Data!$I$160,IF(CV$6=Data!$J$161,Data!$I$161,IF(CV$6=Data!$J$162,Data!$I$162,0))))))))))))</f>
        <v>0</v>
      </c>
      <c r="CW129" s="51">
        <f>IF(CW$6=Data!$J$151,Data!$I$151,IF(CW$6=Data!$J$152,Data!$I$152,IF(CW$6=Data!$J$153,Data!$I$153,IF(CW$6=Data!$J$154,Data!$I$154,IF(CW$6=Data!$J$155,Data!$I$155,IF(CW$6=Data!$J$156,Data!$I$156,IF(CW$6=Data!$J$157,Data!$I$157,IF(CW$6=Data!$J$158,Data!$I$158,IF(CW$6=Data!$J$159,Data!$I$159,IF(CW$6=Data!$J$160,Data!$I$160,IF(CW$6=Data!$J$161,Data!$I$161,IF(CW$6=Data!$J$162,Data!$I$162,0))))))))))))</f>
        <v>0</v>
      </c>
      <c r="CX129" s="51">
        <f>IF(CX$6=Data!$J$151,Data!$I$151,IF(CX$6=Data!$J$152,Data!$I$152,IF(CX$6=Data!$J$153,Data!$I$153,IF(CX$6=Data!$J$154,Data!$I$154,IF(CX$6=Data!$J$155,Data!$I$155,IF(CX$6=Data!$J$156,Data!$I$156,IF(CX$6=Data!$J$157,Data!$I$157,IF(CX$6=Data!$J$158,Data!$I$158,IF(CX$6=Data!$J$159,Data!$I$159,IF(CX$6=Data!$J$160,Data!$I$160,IF(CX$6=Data!$J$161,Data!$I$161,IF(CX$6=Data!$J$162,Data!$I$162,0))))))))))))</f>
        <v>0</v>
      </c>
      <c r="CY129" s="51">
        <f>IF(CY$6=Data!$J$151,Data!$I$151,IF(CY$6=Data!$J$152,Data!$I$152,IF(CY$6=Data!$J$153,Data!$I$153,IF(CY$6=Data!$J$154,Data!$I$154,IF(CY$6=Data!$J$155,Data!$I$155,IF(CY$6=Data!$J$156,Data!$I$156,IF(CY$6=Data!$J$157,Data!$I$157,IF(CY$6=Data!$J$158,Data!$I$158,IF(CY$6=Data!$J$159,Data!$I$159,IF(CY$6=Data!$J$160,Data!$I$160,IF(CY$6=Data!$J$161,Data!$I$161,IF(CY$6=Data!$J$162,Data!$I$162,0))))))))))))</f>
        <v>0</v>
      </c>
      <c r="CZ129" s="276">
        <f>IF(CZ$6=Data!$J$151,Data!$I$151,IF(CZ$6=Data!$J$152,Data!$I$152,IF(CZ$6=Data!$J$153,Data!$I$153,IF(CZ$6=Data!$J$154,Data!$I$154,IF(CZ$6=Data!$J$155,Data!$I$155,IF(CZ$6=Data!$J$156,Data!$I$156,IF(CZ$6=Data!$J$157,Data!$I$157,IF(CZ$6=Data!$J$158,Data!$I$158,IF(CZ$6=Data!$J$159,Data!$I$159,IF(CZ$6=Data!$J$160,Data!$I$160,IF(CZ$6=Data!$J$161,Data!$I$161,IF(CZ$6=Data!$J$162,Data!$I$162,0))))))))))))</f>
        <v>0.05</v>
      </c>
      <c r="DA129" s="51">
        <f>IF(DA$6=Data!$J$151,Data!$I$151,IF(DA$6=Data!$J$152,Data!$I$152,IF(DA$6=Data!$J$153,Data!$I$153,IF(DA$6=Data!$J$154,Data!$I$154,IF(DA$6=Data!$J$155,Data!$I$155,IF(DA$6=Data!$J$156,Data!$I$156,IF(DA$6=Data!$J$157,Data!$I$157,IF(DA$6=Data!$J$158,Data!$I$158,IF(DA$6=Data!$J$159,Data!$I$159,IF(DA$6=Data!$J$160,Data!$I$160,IF(DA$6=Data!$J$161,Data!$I$161,IF(DA$6=Data!$J$162,Data!$I$162,0))))))))))))</f>
        <v>0</v>
      </c>
      <c r="DB129" s="51">
        <f>IF(DB$6=Data!$J$151,Data!$I$151,IF(DB$6=Data!$J$152,Data!$I$152,IF(DB$6=Data!$J$153,Data!$I$153,IF(DB$6=Data!$J$154,Data!$I$154,IF(DB$6=Data!$J$155,Data!$I$155,IF(DB$6=Data!$J$156,Data!$I$156,IF(DB$6=Data!$J$157,Data!$I$157,IF(DB$6=Data!$J$158,Data!$I$158,IF(DB$6=Data!$J$159,Data!$I$159,IF(DB$6=Data!$J$160,Data!$I$160,IF(DB$6=Data!$J$161,Data!$I$161,IF(DB$6=Data!$J$162,Data!$I$162,0))))))))))))</f>
        <v>0</v>
      </c>
      <c r="DC129" s="51">
        <f>IF(DC$6=Data!$J$151,Data!$I$151,IF(DC$6=Data!$J$152,Data!$I$152,IF(DC$6=Data!$J$153,Data!$I$153,IF(DC$6=Data!$J$154,Data!$I$154,IF(DC$6=Data!$J$155,Data!$I$155,IF(DC$6=Data!$J$156,Data!$I$156,IF(DC$6=Data!$J$157,Data!$I$157,IF(DC$6=Data!$J$158,Data!$I$158,IF(DC$6=Data!$J$159,Data!$I$159,IF(DC$6=Data!$J$160,Data!$I$160,IF(DC$6=Data!$J$161,Data!$I$161,IF(DC$6=Data!$J$162,Data!$I$162,0))))))))))))</f>
        <v>0</v>
      </c>
      <c r="DD129" s="51">
        <f>IF(DD$6=Data!$J$151,Data!$I$151,IF(DD$6=Data!$J$152,Data!$I$152,IF(DD$6=Data!$J$153,Data!$I$153,IF(DD$6=Data!$J$154,Data!$I$154,IF(DD$6=Data!$J$155,Data!$I$155,IF(DD$6=Data!$J$156,Data!$I$156,IF(DD$6=Data!$J$157,Data!$I$157,IF(DD$6=Data!$J$158,Data!$I$158,IF(DD$6=Data!$J$159,Data!$I$159,IF(DD$6=Data!$J$160,Data!$I$160,IF(DD$6=Data!$J$161,Data!$I$161,IF(DD$6=Data!$J$162,Data!$I$162,0))))))))))))</f>
        <v>0</v>
      </c>
      <c r="DE129" s="51">
        <f>IF(DE$6=Data!$J$151,Data!$I$151,IF(DE$6=Data!$J$152,Data!$I$152,IF(DE$6=Data!$J$153,Data!$I$153,IF(DE$6=Data!$J$154,Data!$I$154,IF(DE$6=Data!$J$155,Data!$I$155,IF(DE$6=Data!$J$156,Data!$I$156,IF(DE$6=Data!$J$157,Data!$I$157,IF(DE$6=Data!$J$158,Data!$I$158,IF(DE$6=Data!$J$159,Data!$I$159,IF(DE$6=Data!$J$160,Data!$I$160,IF(DE$6=Data!$J$161,Data!$I$161,IF(DE$6=Data!$J$162,Data!$I$162,0))))))))))))</f>
        <v>0</v>
      </c>
      <c r="DF129" s="51">
        <f>IF(DF$6=Data!$J$151,Data!$I$151,IF(DF$6=Data!$J$152,Data!$I$152,IF(DF$6=Data!$J$153,Data!$I$153,IF(DF$6=Data!$J$154,Data!$I$154,IF(DF$6=Data!$J$155,Data!$I$155,IF(DF$6=Data!$J$156,Data!$I$156,IF(DF$6=Data!$J$157,Data!$I$157,IF(DF$6=Data!$J$158,Data!$I$158,IF(DF$6=Data!$J$159,Data!$I$159,IF(DF$6=Data!$J$160,Data!$I$160,IF(DF$6=Data!$J$161,Data!$I$161,IF(DF$6=Data!$J$162,Data!$I$162,0))))))))))))</f>
        <v>0</v>
      </c>
      <c r="DG129" s="51">
        <f>IF(DG$6=Data!$J$151,Data!$I$151,IF(DG$6=Data!$J$152,Data!$I$152,IF(DG$6=Data!$J$153,Data!$I$153,IF(DG$6=Data!$J$154,Data!$I$154,IF(DG$6=Data!$J$155,Data!$I$155,IF(DG$6=Data!$J$156,Data!$I$156,IF(DG$6=Data!$J$157,Data!$I$157,IF(DG$6=Data!$J$158,Data!$I$158,IF(DG$6=Data!$J$159,Data!$I$159,IF(DG$6=Data!$J$160,Data!$I$160,IF(DG$6=Data!$J$161,Data!$I$161,IF(DG$6=Data!$J$162,Data!$I$162,0))))))))))))</f>
        <v>0</v>
      </c>
      <c r="DH129" s="51">
        <f>IF(DH$6=Data!$J$151,Data!$I$151,IF(DH$6=Data!$J$152,Data!$I$152,IF(DH$6=Data!$J$153,Data!$I$153,IF(DH$6=Data!$J$154,Data!$I$154,IF(DH$6=Data!$J$155,Data!$I$155,IF(DH$6=Data!$J$156,Data!$I$156,IF(DH$6=Data!$J$157,Data!$I$157,IF(DH$6=Data!$J$158,Data!$I$158,IF(DH$6=Data!$J$159,Data!$I$159,IF(DH$6=Data!$J$160,Data!$I$160,IF(DH$6=Data!$J$161,Data!$I$161,IF(DH$6=Data!$J$162,Data!$I$162,0))))))))))))</f>
        <v>0</v>
      </c>
      <c r="DI129" s="51">
        <f>IF(DI$6=Data!$J$151,Data!$I$151,IF(DI$6=Data!$J$152,Data!$I$152,IF(DI$6=Data!$J$153,Data!$I$153,IF(DI$6=Data!$J$154,Data!$I$154,IF(DI$6=Data!$J$155,Data!$I$155,IF(DI$6=Data!$J$156,Data!$I$156,IF(DI$6=Data!$J$157,Data!$I$157,IF(DI$6=Data!$J$158,Data!$I$158,IF(DI$6=Data!$J$159,Data!$I$159,IF(DI$6=Data!$J$160,Data!$I$160,IF(DI$6=Data!$J$161,Data!$I$161,IF(DI$6=Data!$J$162,Data!$I$162,0))))))))))))</f>
        <v>0</v>
      </c>
      <c r="DJ129" s="51">
        <f>IF(DJ$6=Data!$J$151,Data!$I$151,IF(DJ$6=Data!$J$152,Data!$I$152,IF(DJ$6=Data!$J$153,Data!$I$153,IF(DJ$6=Data!$J$154,Data!$I$154,IF(DJ$6=Data!$J$155,Data!$I$155,IF(DJ$6=Data!$J$156,Data!$I$156,IF(DJ$6=Data!$J$157,Data!$I$157,IF(DJ$6=Data!$J$158,Data!$I$158,IF(DJ$6=Data!$J$159,Data!$I$159,IF(DJ$6=Data!$J$160,Data!$I$160,IF(DJ$6=Data!$J$161,Data!$I$161,IF(DJ$6=Data!$J$162,Data!$I$162,0))))))))))))</f>
        <v>0</v>
      </c>
      <c r="DK129" s="51">
        <f>IF(DK$6=Data!$J$151,Data!$I$151,IF(DK$6=Data!$J$152,Data!$I$152,IF(DK$6=Data!$J$153,Data!$I$153,IF(DK$6=Data!$J$154,Data!$I$154,IF(DK$6=Data!$J$155,Data!$I$155,IF(DK$6=Data!$J$156,Data!$I$156,IF(DK$6=Data!$J$157,Data!$I$157,IF(DK$6=Data!$J$158,Data!$I$158,IF(DK$6=Data!$J$159,Data!$I$159,IF(DK$6=Data!$J$160,Data!$I$160,IF(DK$6=Data!$J$161,Data!$I$161,IF(DK$6=Data!$J$162,Data!$I$162,0))))))))))))</f>
        <v>0</v>
      </c>
      <c r="DL129" s="276">
        <f>IF(DL$6=Data!$J$151,Data!$I$151,IF(DL$6=Data!$J$152,Data!$I$152,IF(DL$6=Data!$J$153,Data!$I$153,IF(DL$6=Data!$J$154,Data!$I$154,IF(DL$6=Data!$J$155,Data!$I$155,IF(DL$6=Data!$J$156,Data!$I$156,IF(DL$6=Data!$J$157,Data!$I$157,IF(DL$6=Data!$J$158,Data!$I$158,IF(DL$6=Data!$J$159,Data!$I$159,IF(DL$6=Data!$J$160,Data!$I$160,IF(DL$6=Data!$J$161,Data!$I$161,IF(DL$6=Data!$J$162,Data!$I$162,0))))))))))))</f>
        <v>0.05</v>
      </c>
      <c r="DM129" s="51">
        <f>IF(DM$6=Data!$J$151,Data!$I$151,IF(DM$6=Data!$J$152,Data!$I$152,IF(DM$6=Data!$J$153,Data!$I$153,IF(DM$6=Data!$J$154,Data!$I$154,IF(DM$6=Data!$J$155,Data!$I$155,IF(DM$6=Data!$J$156,Data!$I$156,IF(DM$6=Data!$J$157,Data!$I$157,IF(DM$6=Data!$J$158,Data!$I$158,IF(DM$6=Data!$J$159,Data!$I$159,IF(DM$6=Data!$J$160,Data!$I$160,IF(DM$6=Data!$J$161,Data!$I$161,IF(DM$6=Data!$J$162,Data!$I$162,0))))))))))))</f>
        <v>0</v>
      </c>
      <c r="DN129" s="51">
        <f>IF(DN$6=Data!$J$151,Data!$I$151,IF(DN$6=Data!$J$152,Data!$I$152,IF(DN$6=Data!$J$153,Data!$I$153,IF(DN$6=Data!$J$154,Data!$I$154,IF(DN$6=Data!$J$155,Data!$I$155,IF(DN$6=Data!$J$156,Data!$I$156,IF(DN$6=Data!$J$157,Data!$I$157,IF(DN$6=Data!$J$158,Data!$I$158,IF(DN$6=Data!$J$159,Data!$I$159,IF(DN$6=Data!$J$160,Data!$I$160,IF(DN$6=Data!$J$161,Data!$I$161,IF(DN$6=Data!$J$162,Data!$I$162,0))))))))))))</f>
        <v>0</v>
      </c>
      <c r="DO129" s="51">
        <f>IF(DO$6=Data!$J$151,Data!$I$151,IF(DO$6=Data!$J$152,Data!$I$152,IF(DO$6=Data!$J$153,Data!$I$153,IF(DO$6=Data!$J$154,Data!$I$154,IF(DO$6=Data!$J$155,Data!$I$155,IF(DO$6=Data!$J$156,Data!$I$156,IF(DO$6=Data!$J$157,Data!$I$157,IF(DO$6=Data!$J$158,Data!$I$158,IF(DO$6=Data!$J$159,Data!$I$159,IF(DO$6=Data!$J$160,Data!$I$160,IF(DO$6=Data!$J$161,Data!$I$161,IF(DO$6=Data!$J$162,Data!$I$162,0))))))))))))</f>
        <v>0</v>
      </c>
      <c r="DP129" s="51">
        <f>IF(DP$6=Data!$J$151,Data!$I$151,IF(DP$6=Data!$J$152,Data!$I$152,IF(DP$6=Data!$J$153,Data!$I$153,IF(DP$6=Data!$J$154,Data!$I$154,IF(DP$6=Data!$J$155,Data!$I$155,IF(DP$6=Data!$J$156,Data!$I$156,IF(DP$6=Data!$J$157,Data!$I$157,IF(DP$6=Data!$J$158,Data!$I$158,IF(DP$6=Data!$J$159,Data!$I$159,IF(DP$6=Data!$J$160,Data!$I$160,IF(DP$6=Data!$J$161,Data!$I$161,IF(DP$6=Data!$J$162,Data!$I$162,0))))))))))))</f>
        <v>0</v>
      </c>
      <c r="DQ129" s="51">
        <f>IF(DQ$6=Data!$J$151,Data!$I$151,IF(DQ$6=Data!$J$152,Data!$I$152,IF(DQ$6=Data!$J$153,Data!$I$153,IF(DQ$6=Data!$J$154,Data!$I$154,IF(DQ$6=Data!$J$155,Data!$I$155,IF(DQ$6=Data!$J$156,Data!$I$156,IF(DQ$6=Data!$J$157,Data!$I$157,IF(DQ$6=Data!$J$158,Data!$I$158,IF(DQ$6=Data!$J$159,Data!$I$159,IF(DQ$6=Data!$J$160,Data!$I$160,IF(DQ$6=Data!$J$161,Data!$I$161,IF(DQ$6=Data!$J$162,Data!$I$162,0))))))))))))</f>
        <v>0</v>
      </c>
      <c r="DR129" s="51">
        <f>IF(DR$6=Data!$J$151,Data!$I$151,IF(DR$6=Data!$J$152,Data!$I$152,IF(DR$6=Data!$J$153,Data!$I$153,IF(DR$6=Data!$J$154,Data!$I$154,IF(DR$6=Data!$J$155,Data!$I$155,IF(DR$6=Data!$J$156,Data!$I$156,IF(DR$6=Data!$J$157,Data!$I$157,IF(DR$6=Data!$J$158,Data!$I$158,IF(DR$6=Data!$J$159,Data!$I$159,IF(DR$6=Data!$J$160,Data!$I$160,IF(DR$6=Data!$J$161,Data!$I$161,IF(DR$6=Data!$J$162,Data!$I$162,0))))))))))))</f>
        <v>0</v>
      </c>
      <c r="DS129" s="51">
        <f>IF(DS$6=Data!$J$151,Data!$I$151,IF(DS$6=Data!$J$152,Data!$I$152,IF(DS$6=Data!$J$153,Data!$I$153,IF(DS$6=Data!$J$154,Data!$I$154,IF(DS$6=Data!$J$155,Data!$I$155,IF(DS$6=Data!$J$156,Data!$I$156,IF(DS$6=Data!$J$157,Data!$I$157,IF(DS$6=Data!$J$158,Data!$I$158,IF(DS$6=Data!$J$159,Data!$I$159,IF(DS$6=Data!$J$160,Data!$I$160,IF(DS$6=Data!$J$161,Data!$I$161,IF(DS$6=Data!$J$162,Data!$I$162,0))))))))))))</f>
        <v>0</v>
      </c>
      <c r="DT129" s="51">
        <f>IF(DT$6=Data!$J$151,Data!$I$151,IF(DT$6=Data!$J$152,Data!$I$152,IF(DT$6=Data!$J$153,Data!$I$153,IF(DT$6=Data!$J$154,Data!$I$154,IF(DT$6=Data!$J$155,Data!$I$155,IF(DT$6=Data!$J$156,Data!$I$156,IF(DT$6=Data!$J$157,Data!$I$157,IF(DT$6=Data!$J$158,Data!$I$158,IF(DT$6=Data!$J$159,Data!$I$159,IF(DT$6=Data!$J$160,Data!$I$160,IF(DT$6=Data!$J$161,Data!$I$161,IF(DT$6=Data!$J$162,Data!$I$162,0))))))))))))</f>
        <v>0</v>
      </c>
      <c r="DU129" s="51">
        <f>IF(DU$6=Data!$J$151,Data!$I$151,IF(DU$6=Data!$J$152,Data!$I$152,IF(DU$6=Data!$J$153,Data!$I$153,IF(DU$6=Data!$J$154,Data!$I$154,IF(DU$6=Data!$J$155,Data!$I$155,IF(DU$6=Data!$J$156,Data!$I$156,IF(DU$6=Data!$J$157,Data!$I$157,IF(DU$6=Data!$J$158,Data!$I$158,IF(DU$6=Data!$J$159,Data!$I$159,IF(DU$6=Data!$J$160,Data!$I$160,IF(DU$6=Data!$J$161,Data!$I$161,IF(DU$6=Data!$J$162,Data!$I$162,0))))))))))))</f>
        <v>0</v>
      </c>
      <c r="DV129" s="51">
        <f>IF(DV$6=Data!$J$151,Data!$I$151,IF(DV$6=Data!$J$152,Data!$I$152,IF(DV$6=Data!$J$153,Data!$I$153,IF(DV$6=Data!$J$154,Data!$I$154,IF(DV$6=Data!$J$155,Data!$I$155,IF(DV$6=Data!$J$156,Data!$I$156,IF(DV$6=Data!$J$157,Data!$I$157,IF(DV$6=Data!$J$158,Data!$I$158,IF(DV$6=Data!$J$159,Data!$I$159,IF(DV$6=Data!$J$160,Data!$I$160,IF(DV$6=Data!$J$161,Data!$I$161,IF(DV$6=Data!$J$162,Data!$I$162,0))))))))))))</f>
        <v>0</v>
      </c>
      <c r="DW129" s="51">
        <f>IF(DW$6=Data!$J$151,Data!$I$151,IF(DW$6=Data!$J$152,Data!$I$152,IF(DW$6=Data!$J$153,Data!$I$153,IF(DW$6=Data!$J$154,Data!$I$154,IF(DW$6=Data!$J$155,Data!$I$155,IF(DW$6=Data!$J$156,Data!$I$156,IF(DW$6=Data!$J$157,Data!$I$157,IF(DW$6=Data!$J$158,Data!$I$158,IF(DW$6=Data!$J$159,Data!$I$159,IF(DW$6=Data!$J$160,Data!$I$160,IF(DW$6=Data!$J$161,Data!$I$161,IF(DW$6=Data!$J$162,Data!$I$162,0))))))))))))</f>
        <v>0</v>
      </c>
    </row>
    <row r="130" spans="3:127" x14ac:dyDescent="0.3">
      <c r="D130" s="85" t="s">
        <v>72</v>
      </c>
      <c r="E130" s="302"/>
      <c r="F130" s="526"/>
      <c r="G130" s="1220">
        <f>IF(G$6=Data!$N$151,Data!$M$151,IF(G$6=Data!$N$152,Data!$M$152,IF(G$6=Data!$N$153,Data!$M$153,IF(G$6=Data!$N$154,Data!$M$154,IF(G$6=Data!$N$155,Data!$M$155,IF(G$6=Data!$N$156,Data!$M$156,IF(G$6=Data!$N$157,Data!$M$157,IF(G$6=Data!$N$158,Data!$M$158,IF(G$6=Data!$N$159,Data!$M$159,IF(G$6=Data!$N$160,Data!$M$160,IF(G$6=Data!$N$161,Data!$M$161,IF(G$6=Data!$N$162,Data!$M$162,0))))))))))))</f>
        <v>0</v>
      </c>
      <c r="H130" s="302">
        <f>IF(H$6=Data!$N$151,Data!$M$151,IF(H$6=Data!$N$152,Data!$M$152,IF(H$6=Data!$N$153,Data!$M$153,IF(H$6=Data!$N$154,Data!$M$154,IF(H$6=Data!$N$155,Data!$M$155,IF(H$6=Data!$N$156,Data!$M$156,IF(H$6=Data!$N$157,Data!$M$157,IF(H$6=Data!$N$158,Data!$M$158,IF(H$6=Data!$N$159,Data!$M$159,IF(H$6=Data!$N$160,Data!$M$160,IF(H$6=Data!$N$161,Data!$M$161,IF(H$6=Data!$N$162,Data!$M$162,0))))))))))))</f>
        <v>0</v>
      </c>
      <c r="I130" s="302">
        <f>IF(I$6=Data!$N$151,Data!$M$151,IF(I$6=Data!$N$152,Data!$M$152,IF(I$6=Data!$N$153,Data!$M$153,IF(I$6=Data!$N$154,Data!$M$154,IF(I$6=Data!$N$155,Data!$M$155,IF(I$6=Data!$N$156,Data!$M$156,IF(I$6=Data!$N$157,Data!$M$157,IF(I$6=Data!$N$158,Data!$M$158,IF(I$6=Data!$N$159,Data!$M$159,IF(I$6=Data!$N$160,Data!$M$160,IF(I$6=Data!$N$161,Data!$M$161,IF(I$6=Data!$N$162,Data!$M$162,0))))))))))))</f>
        <v>0</v>
      </c>
      <c r="J130" s="302">
        <f>IF(J$6=Data!$N$151,Data!$M$151,IF(J$6=Data!$N$152,Data!$M$152,IF(J$6=Data!$N$153,Data!$M$153,IF(J$6=Data!$N$154,Data!$M$154,IF(J$6=Data!$N$155,Data!$M$155,IF(J$6=Data!$N$156,Data!$M$156,IF(J$6=Data!$N$157,Data!$M$157,IF(J$6=Data!$N$158,Data!$M$158,IF(J$6=Data!$N$159,Data!$M$159,IF(J$6=Data!$N$160,Data!$M$160,IF(J$6=Data!$N$161,Data!$M$161,IF(J$6=Data!$N$162,Data!$M$162,0))))))))))))</f>
        <v>0</v>
      </c>
      <c r="K130" s="302">
        <f>IF(K$6=Data!$N$151,Data!$M$151,IF(K$6=Data!$N$152,Data!$M$152,IF(K$6=Data!$N$153,Data!$M$153,IF(K$6=Data!$N$154,Data!$M$154,IF(K$6=Data!$N$155,Data!$M$155,IF(K$6=Data!$N$156,Data!$M$156,IF(K$6=Data!$N$157,Data!$M$157,IF(K$6=Data!$N$158,Data!$M$158,IF(K$6=Data!$N$159,Data!$M$159,IF(K$6=Data!$N$160,Data!$M$160,IF(K$6=Data!$N$161,Data!$M$161,IF(K$6=Data!$N$162,Data!$M$162,0))))))))))))</f>
        <v>0</v>
      </c>
      <c r="L130" s="302">
        <f>IF(L$6=Data!$N$151,Data!$M$151,IF(L$6=Data!$N$152,Data!$M$152,IF(L$6=Data!$N$153,Data!$M$153,IF(L$6=Data!$N$154,Data!$M$154,IF(L$6=Data!$N$155,Data!$M$155,IF(L$6=Data!$N$156,Data!$M$156,IF(L$6=Data!$N$157,Data!$M$157,IF(L$6=Data!$N$158,Data!$M$158,IF(L$6=Data!$N$159,Data!$M$159,IF(L$6=Data!$N$160,Data!$M$160,IF(L$6=Data!$N$161,Data!$M$161,IF(L$6=Data!$N$162,Data!$M$162,0))))))))))))</f>
        <v>0</v>
      </c>
      <c r="M130" s="302">
        <f>IF(M$6=Data!$N$151,Data!$M$151,IF(M$6=Data!$N$152,Data!$M$152,IF(M$6=Data!$N$153,Data!$M$153,IF(M$6=Data!$N$154,Data!$M$154,IF(M$6=Data!$N$155,Data!$M$155,IF(M$6=Data!$N$156,Data!$M$156,IF(M$6=Data!$N$157,Data!$M$157,IF(M$6=Data!$N$158,Data!$M$158,IF(M$6=Data!$N$159,Data!$M$159,IF(M$6=Data!$N$160,Data!$M$160,IF(M$6=Data!$N$161,Data!$M$161,IF(M$6=Data!$N$162,Data!$M$162,0))))))))))))</f>
        <v>0</v>
      </c>
      <c r="N130" s="302">
        <f>IF(N$6=Data!$N$151,Data!$M$151,IF(N$6=Data!$N$152,Data!$M$152,IF(N$6=Data!$N$153,Data!$M$153,IF(N$6=Data!$N$154,Data!$M$154,IF(N$6=Data!$N$155,Data!$M$155,IF(N$6=Data!$N$156,Data!$M$156,IF(N$6=Data!$N$157,Data!$M$157,IF(N$6=Data!$N$158,Data!$M$158,IF(N$6=Data!$N$159,Data!$M$159,IF(N$6=Data!$N$160,Data!$M$160,IF(N$6=Data!$N$161,Data!$M$161,IF(N$6=Data!$N$162,Data!$M$162,0))))))))))))</f>
        <v>0</v>
      </c>
      <c r="O130" s="302">
        <f>IF(O$6=Data!$N$151,Data!$M$151,IF(O$6=Data!$N$152,Data!$M$152,IF(O$6=Data!$N$153,Data!$M$153,IF(O$6=Data!$N$154,Data!$M$154,IF(O$6=Data!$N$155,Data!$M$155,IF(O$6=Data!$N$156,Data!$M$156,IF(O$6=Data!$N$157,Data!$M$157,IF(O$6=Data!$N$158,Data!$M$158,IF(O$6=Data!$N$159,Data!$M$159,IF(O$6=Data!$N$160,Data!$M$160,IF(O$6=Data!$N$161,Data!$M$161,IF(O$6=Data!$N$162,Data!$M$162,0))))))))))))</f>
        <v>0</v>
      </c>
      <c r="P130" s="302">
        <f>IF(P$6=Data!$N$151,Data!$M$151,IF(P$6=Data!$N$152,Data!$M$152,IF(P$6=Data!$N$153,Data!$M$153,IF(P$6=Data!$N$154,Data!$M$154,IF(P$6=Data!$N$155,Data!$M$155,IF(P$6=Data!$N$156,Data!$M$156,IF(P$6=Data!$N$157,Data!$M$157,IF(P$6=Data!$N$158,Data!$M$158,IF(P$6=Data!$N$159,Data!$M$159,IF(P$6=Data!$N$160,Data!$M$160,IF(P$6=Data!$N$161,Data!$M$161,IF(P$6=Data!$N$162,Data!$M$162,0))))))))))))</f>
        <v>0</v>
      </c>
      <c r="Q130" s="302">
        <f>IF(Q$6=Data!$N$151,Data!$M$151,IF(Q$6=Data!$N$152,Data!$M$152,IF(Q$6=Data!$N$153,Data!$M$153,IF(Q$6=Data!$N$154,Data!$M$154,IF(Q$6=Data!$N$155,Data!$M$155,IF(Q$6=Data!$N$156,Data!$M$156,IF(Q$6=Data!$N$157,Data!$M$157,IF(Q$6=Data!$N$158,Data!$M$158,IF(Q$6=Data!$N$159,Data!$M$159,IF(Q$6=Data!$N$160,Data!$M$160,IF(Q$6=Data!$N$161,Data!$M$161,IF(Q$6=Data!$N$162,Data!$M$162,0))))))))))))</f>
        <v>0</v>
      </c>
      <c r="R130" s="302">
        <f>IF(R$6=Data!$N$151,Data!$M$151,IF(R$6=Data!$N$152,Data!$M$152,IF(R$6=Data!$N$153,Data!$M$153,IF(R$6=Data!$N$154,Data!$M$154,IF(R$6=Data!$N$155,Data!$M$155,IF(R$6=Data!$N$156,Data!$M$156,IF(R$6=Data!$N$157,Data!$M$157,IF(R$6=Data!$N$158,Data!$M$158,IF(R$6=Data!$N$159,Data!$M$159,IF(R$6=Data!$N$160,Data!$M$160,IF(R$6=Data!$N$161,Data!$M$161,IF(R$6=Data!$N$162,Data!$M$162,0))))))))))))</f>
        <v>0</v>
      </c>
      <c r="S130" s="302">
        <f>IF(S$6=Data!$N$151,Data!$M$151,IF(S$6=Data!$N$152,Data!$M$152,IF(S$6=Data!$N$153,Data!$M$153,IF(S$6=Data!$N$154,Data!$M$154,IF(S$6=Data!$N$155,Data!$M$155,IF(S$6=Data!$N$156,Data!$M$156,IF(S$6=Data!$N$157,Data!$M$157,IF(S$6=Data!$N$158,Data!$M$158,IF(S$6=Data!$N$159,Data!$M$159,IF(S$6=Data!$N$160,Data!$M$160,IF(S$6=Data!$N$161,Data!$M$161,IF(S$6=Data!$N$162,Data!$M$162,0))))))))))))</f>
        <v>0</v>
      </c>
      <c r="T130" s="303">
        <f>IF(T$6=Data!$N$151,Data!$M$151,IF(T$6=Data!$N$152,Data!$M$152,IF(T$6=Data!$N$153,Data!$M$153,IF(T$6=Data!$N$154,Data!$M$154,IF(T$6=Data!$N$155,Data!$M$155,IF(T$6=Data!$N$156,Data!$M$156,IF(T$6=Data!$N$157,Data!$M$157,IF(T$6=Data!$N$158,Data!$M$158,IF(T$6=Data!$N$159,Data!$M$159,IF(T$6=Data!$N$160,Data!$M$160,IF(T$6=Data!$N$161,Data!$M$161,IF(T$6=Data!$N$162,Data!$M$162,0))))))))))))</f>
        <v>0.05</v>
      </c>
      <c r="U130" s="302">
        <f>IF(U$6=Data!$N$151,Data!$M$151,IF(U$6=Data!$N$152,Data!$M$152,IF(U$6=Data!$N$153,Data!$M$153,IF(U$6=Data!$N$154,Data!$M$154,IF(U$6=Data!$N$155,Data!$M$155,IF(U$6=Data!$N$156,Data!$M$156,IF(U$6=Data!$N$157,Data!$M$157,IF(U$6=Data!$N$158,Data!$M$158,IF(U$6=Data!$N$159,Data!$M$159,IF(U$6=Data!$N$160,Data!$M$160,IF(U$6=Data!$N$161,Data!$M$161,IF(U$6=Data!$N$162,Data!$M$162,0))))))))))))</f>
        <v>0</v>
      </c>
      <c r="V130" s="302">
        <f>IF(V$6=Data!$N$151,Data!$M$151,IF(V$6=Data!$N$152,Data!$M$152,IF(V$6=Data!$N$153,Data!$M$153,IF(V$6=Data!$N$154,Data!$M$154,IF(V$6=Data!$N$155,Data!$M$155,IF(V$6=Data!$N$156,Data!$M$156,IF(V$6=Data!$N$157,Data!$M$157,IF(V$6=Data!$N$158,Data!$M$158,IF(V$6=Data!$N$159,Data!$M$159,IF(V$6=Data!$N$160,Data!$M$160,IF(V$6=Data!$N$161,Data!$M$161,IF(V$6=Data!$N$162,Data!$M$162,0))))))))))))</f>
        <v>0</v>
      </c>
      <c r="W130" s="302">
        <f>IF(W$6=Data!$N$151,Data!$M$151,IF(W$6=Data!$N$152,Data!$M$152,IF(W$6=Data!$N$153,Data!$M$153,IF(W$6=Data!$N$154,Data!$M$154,IF(W$6=Data!$N$155,Data!$M$155,IF(W$6=Data!$N$156,Data!$M$156,IF(W$6=Data!$N$157,Data!$M$157,IF(W$6=Data!$N$158,Data!$M$158,IF(W$6=Data!$N$159,Data!$M$159,IF(W$6=Data!$N$160,Data!$M$160,IF(W$6=Data!$N$161,Data!$M$161,IF(W$6=Data!$N$162,Data!$M$162,0))))))))))))</f>
        <v>0</v>
      </c>
      <c r="X130" s="302">
        <f>IF(X$6=Data!$N$151,Data!$M$151,IF(X$6=Data!$N$152,Data!$M$152,IF(X$6=Data!$N$153,Data!$M$153,IF(X$6=Data!$N$154,Data!$M$154,IF(X$6=Data!$N$155,Data!$M$155,IF(X$6=Data!$N$156,Data!$M$156,IF(X$6=Data!$N$157,Data!$M$157,IF(X$6=Data!$N$158,Data!$M$158,IF(X$6=Data!$N$159,Data!$M$159,IF(X$6=Data!$N$160,Data!$M$160,IF(X$6=Data!$N$161,Data!$M$161,IF(X$6=Data!$N$162,Data!$M$162,0))))))))))))</f>
        <v>0</v>
      </c>
      <c r="Y130" s="302">
        <f>IF(Y$6=Data!$N$151,Data!$M$151,IF(Y$6=Data!$N$152,Data!$M$152,IF(Y$6=Data!$N$153,Data!$M$153,IF(Y$6=Data!$N$154,Data!$M$154,IF(Y$6=Data!$N$155,Data!$M$155,IF(Y$6=Data!$N$156,Data!$M$156,IF(Y$6=Data!$N$157,Data!$M$157,IF(Y$6=Data!$N$158,Data!$M$158,IF(Y$6=Data!$N$159,Data!$M$159,IF(Y$6=Data!$N$160,Data!$M$160,IF(Y$6=Data!$N$161,Data!$M$161,IF(Y$6=Data!$N$162,Data!$M$162,0))))))))))))</f>
        <v>0</v>
      </c>
      <c r="Z130" s="302">
        <f>IF(Z$6=Data!$N$151,Data!$M$151,IF(Z$6=Data!$N$152,Data!$M$152,IF(Z$6=Data!$N$153,Data!$M$153,IF(Z$6=Data!$N$154,Data!$M$154,IF(Z$6=Data!$N$155,Data!$M$155,IF(Z$6=Data!$N$156,Data!$M$156,IF(Z$6=Data!$N$157,Data!$M$157,IF(Z$6=Data!$N$158,Data!$M$158,IF(Z$6=Data!$N$159,Data!$M$159,IF(Z$6=Data!$N$160,Data!$M$160,IF(Z$6=Data!$N$161,Data!$M$161,IF(Z$6=Data!$N$162,Data!$M$162,0))))))))))))</f>
        <v>0</v>
      </c>
      <c r="AA130" s="302">
        <f>IF(AA$6=Data!$N$151,Data!$M$151,IF(AA$6=Data!$N$152,Data!$M$152,IF(AA$6=Data!$N$153,Data!$M$153,IF(AA$6=Data!$N$154,Data!$M$154,IF(AA$6=Data!$N$155,Data!$M$155,IF(AA$6=Data!$N$156,Data!$M$156,IF(AA$6=Data!$N$157,Data!$M$157,IF(AA$6=Data!$N$158,Data!$M$158,IF(AA$6=Data!$N$159,Data!$M$159,IF(AA$6=Data!$N$160,Data!$M$160,IF(AA$6=Data!$N$161,Data!$M$161,IF(AA$6=Data!$N$162,Data!$M$162,0))))))))))))</f>
        <v>0</v>
      </c>
      <c r="AB130" s="302">
        <f>IF(AB$6=Data!$N$151,Data!$M$151,IF(AB$6=Data!$N$152,Data!$M$152,IF(AB$6=Data!$N$153,Data!$M$153,IF(AB$6=Data!$N$154,Data!$M$154,IF(AB$6=Data!$N$155,Data!$M$155,IF(AB$6=Data!$N$156,Data!$M$156,IF(AB$6=Data!$N$157,Data!$M$157,IF(AB$6=Data!$N$158,Data!$M$158,IF(AB$6=Data!$N$159,Data!$M$159,IF(AB$6=Data!$N$160,Data!$M$160,IF(AB$6=Data!$N$161,Data!$M$161,IF(AB$6=Data!$N$162,Data!$M$162,0))))))))))))</f>
        <v>0</v>
      </c>
      <c r="AC130" s="302">
        <f>IF(AC$6=Data!$N$151,Data!$M$151,IF(AC$6=Data!$N$152,Data!$M$152,IF(AC$6=Data!$N$153,Data!$M$153,IF(AC$6=Data!$N$154,Data!$M$154,IF(AC$6=Data!$N$155,Data!$M$155,IF(AC$6=Data!$N$156,Data!$M$156,IF(AC$6=Data!$N$157,Data!$M$157,IF(AC$6=Data!$N$158,Data!$M$158,IF(AC$6=Data!$N$159,Data!$M$159,IF(AC$6=Data!$N$160,Data!$M$160,IF(AC$6=Data!$N$161,Data!$M$161,IF(AC$6=Data!$N$162,Data!$M$162,0))))))))))))</f>
        <v>0</v>
      </c>
      <c r="AD130" s="302">
        <f>IF(AD$6=Data!$N$151,Data!$M$151,IF(AD$6=Data!$N$152,Data!$M$152,IF(AD$6=Data!$N$153,Data!$M$153,IF(AD$6=Data!$N$154,Data!$M$154,IF(AD$6=Data!$N$155,Data!$M$155,IF(AD$6=Data!$N$156,Data!$M$156,IF(AD$6=Data!$N$157,Data!$M$157,IF(AD$6=Data!$N$158,Data!$M$158,IF(AD$6=Data!$N$159,Data!$M$159,IF(AD$6=Data!$N$160,Data!$M$160,IF(AD$6=Data!$N$161,Data!$M$161,IF(AD$6=Data!$N$162,Data!$M$162,0))))))))))))</f>
        <v>0</v>
      </c>
      <c r="AE130" s="302">
        <f>IF(AE$6=Data!$N$151,Data!$M$151,IF(AE$6=Data!$N$152,Data!$M$152,IF(AE$6=Data!$N$153,Data!$M$153,IF(AE$6=Data!$N$154,Data!$M$154,IF(AE$6=Data!$N$155,Data!$M$155,IF(AE$6=Data!$N$156,Data!$M$156,IF(AE$6=Data!$N$157,Data!$M$157,IF(AE$6=Data!$N$158,Data!$M$158,IF(AE$6=Data!$N$159,Data!$M$159,IF(AE$6=Data!$N$160,Data!$M$160,IF(AE$6=Data!$N$161,Data!$M$161,IF(AE$6=Data!$N$162,Data!$M$162,0))))))))))))</f>
        <v>0</v>
      </c>
      <c r="AF130" s="303">
        <f>IF(AF$6=Data!$N$151,Data!$M$151,IF(AF$6=Data!$N$152,Data!$M$152,IF(AF$6=Data!$N$153,Data!$M$153,IF(AF$6=Data!$N$154,Data!$M$154,IF(AF$6=Data!$N$155,Data!$M$155,IF(AF$6=Data!$N$156,Data!$M$156,IF(AF$6=Data!$N$157,Data!$M$157,IF(AF$6=Data!$N$158,Data!$M$158,IF(AF$6=Data!$N$159,Data!$M$159,IF(AF$6=Data!$N$160,Data!$M$160,IF(AF$6=Data!$N$161,Data!$M$161,IF(AF$6=Data!$N$162,Data!$M$162,0))))))))))))</f>
        <v>0.05</v>
      </c>
      <c r="AG130" s="302">
        <f>IF(AG$6=Data!$N$151,Data!$M$151,IF(AG$6=Data!$N$152,Data!$M$152,IF(AG$6=Data!$N$153,Data!$M$153,IF(AG$6=Data!$N$154,Data!$M$154,IF(AG$6=Data!$N$155,Data!$M$155,IF(AG$6=Data!$N$156,Data!$M$156,IF(AG$6=Data!$N$157,Data!$M$157,IF(AG$6=Data!$N$158,Data!$M$158,IF(AG$6=Data!$N$159,Data!$M$159,IF(AG$6=Data!$N$160,Data!$M$160,IF(AG$6=Data!$N$161,Data!$M$161,IF(AG$6=Data!$N$162,Data!$M$162,0))))))))))))</f>
        <v>0</v>
      </c>
      <c r="AH130" s="302">
        <f>IF(AH$6=Data!$N$151,Data!$M$151,IF(AH$6=Data!$N$152,Data!$M$152,IF(AH$6=Data!$N$153,Data!$M$153,IF(AH$6=Data!$N$154,Data!$M$154,IF(AH$6=Data!$N$155,Data!$M$155,IF(AH$6=Data!$N$156,Data!$M$156,IF(AH$6=Data!$N$157,Data!$M$157,IF(AH$6=Data!$N$158,Data!$M$158,IF(AH$6=Data!$N$159,Data!$M$159,IF(AH$6=Data!$N$160,Data!$M$160,IF(AH$6=Data!$N$161,Data!$M$161,IF(AH$6=Data!$N$162,Data!$M$162,0))))))))))))</f>
        <v>0</v>
      </c>
      <c r="AI130" s="302">
        <f>IF(AI$6=Data!$N$151,Data!$M$151,IF(AI$6=Data!$N$152,Data!$M$152,IF(AI$6=Data!$N$153,Data!$M$153,IF(AI$6=Data!$N$154,Data!$M$154,IF(AI$6=Data!$N$155,Data!$M$155,IF(AI$6=Data!$N$156,Data!$M$156,IF(AI$6=Data!$N$157,Data!$M$157,IF(AI$6=Data!$N$158,Data!$M$158,IF(AI$6=Data!$N$159,Data!$M$159,IF(AI$6=Data!$N$160,Data!$M$160,IF(AI$6=Data!$N$161,Data!$M$161,IF(AI$6=Data!$N$162,Data!$M$162,0))))))))))))</f>
        <v>0</v>
      </c>
      <c r="AJ130" s="302">
        <f>IF(AJ$6=Data!$N$151,Data!$M$151,IF(AJ$6=Data!$N$152,Data!$M$152,IF(AJ$6=Data!$N$153,Data!$M$153,IF(AJ$6=Data!$N$154,Data!$M$154,IF(AJ$6=Data!$N$155,Data!$M$155,IF(AJ$6=Data!$N$156,Data!$M$156,IF(AJ$6=Data!$N$157,Data!$M$157,IF(AJ$6=Data!$N$158,Data!$M$158,IF(AJ$6=Data!$N$159,Data!$M$159,IF(AJ$6=Data!$N$160,Data!$M$160,IF(AJ$6=Data!$N$161,Data!$M$161,IF(AJ$6=Data!$N$162,Data!$M$162,0))))))))))))</f>
        <v>0</v>
      </c>
      <c r="AK130" s="302">
        <f>IF(AK$6=Data!$N$151,Data!$M$151,IF(AK$6=Data!$N$152,Data!$M$152,IF(AK$6=Data!$N$153,Data!$M$153,IF(AK$6=Data!$N$154,Data!$M$154,IF(AK$6=Data!$N$155,Data!$M$155,IF(AK$6=Data!$N$156,Data!$M$156,IF(AK$6=Data!$N$157,Data!$M$157,IF(AK$6=Data!$N$158,Data!$M$158,IF(AK$6=Data!$N$159,Data!$M$159,IF(AK$6=Data!$N$160,Data!$M$160,IF(AK$6=Data!$N$161,Data!$M$161,IF(AK$6=Data!$N$162,Data!$M$162,0))))))))))))</f>
        <v>0</v>
      </c>
      <c r="AL130" s="302">
        <f>IF(AL$6=Data!$N$151,Data!$M$151,IF(AL$6=Data!$N$152,Data!$M$152,IF(AL$6=Data!$N$153,Data!$M$153,IF(AL$6=Data!$N$154,Data!$M$154,IF(AL$6=Data!$N$155,Data!$M$155,IF(AL$6=Data!$N$156,Data!$M$156,IF(AL$6=Data!$N$157,Data!$M$157,IF(AL$6=Data!$N$158,Data!$M$158,IF(AL$6=Data!$N$159,Data!$M$159,IF(AL$6=Data!$N$160,Data!$M$160,IF(AL$6=Data!$N$161,Data!$M$161,IF(AL$6=Data!$N$162,Data!$M$162,0))))))))))))</f>
        <v>0</v>
      </c>
      <c r="AM130" s="302">
        <f>IF(AM$6=Data!$N$151,Data!$M$151,IF(AM$6=Data!$N$152,Data!$M$152,IF(AM$6=Data!$N$153,Data!$M$153,IF(AM$6=Data!$N$154,Data!$M$154,IF(AM$6=Data!$N$155,Data!$M$155,IF(AM$6=Data!$N$156,Data!$M$156,IF(AM$6=Data!$N$157,Data!$M$157,IF(AM$6=Data!$N$158,Data!$M$158,IF(AM$6=Data!$N$159,Data!$M$159,IF(AM$6=Data!$N$160,Data!$M$160,IF(AM$6=Data!$N$161,Data!$M$161,IF(AM$6=Data!$N$162,Data!$M$162,0))))))))))))</f>
        <v>0</v>
      </c>
      <c r="AN130" s="302">
        <f>IF(AN$6=Data!$N$151,Data!$M$151,IF(AN$6=Data!$N$152,Data!$M$152,IF(AN$6=Data!$N$153,Data!$M$153,IF(AN$6=Data!$N$154,Data!$M$154,IF(AN$6=Data!$N$155,Data!$M$155,IF(AN$6=Data!$N$156,Data!$M$156,IF(AN$6=Data!$N$157,Data!$M$157,IF(AN$6=Data!$N$158,Data!$M$158,IF(AN$6=Data!$N$159,Data!$M$159,IF(AN$6=Data!$N$160,Data!$M$160,IF(AN$6=Data!$N$161,Data!$M$161,IF(AN$6=Data!$N$162,Data!$M$162,0))))))))))))</f>
        <v>0</v>
      </c>
      <c r="AO130" s="302">
        <f>IF(AO$6=Data!$N$151,Data!$M$151,IF(AO$6=Data!$N$152,Data!$M$152,IF(AO$6=Data!$N$153,Data!$M$153,IF(AO$6=Data!$N$154,Data!$M$154,IF(AO$6=Data!$N$155,Data!$M$155,IF(AO$6=Data!$N$156,Data!$M$156,IF(AO$6=Data!$N$157,Data!$M$157,IF(AO$6=Data!$N$158,Data!$M$158,IF(AO$6=Data!$N$159,Data!$M$159,IF(AO$6=Data!$N$160,Data!$M$160,IF(AO$6=Data!$N$161,Data!$M$161,IF(AO$6=Data!$N$162,Data!$M$162,0))))))))))))</f>
        <v>0</v>
      </c>
      <c r="AP130" s="302">
        <f>IF(AP$6=Data!$N$151,Data!$M$151,IF(AP$6=Data!$N$152,Data!$M$152,IF(AP$6=Data!$N$153,Data!$M$153,IF(AP$6=Data!$N$154,Data!$M$154,IF(AP$6=Data!$N$155,Data!$M$155,IF(AP$6=Data!$N$156,Data!$M$156,IF(AP$6=Data!$N$157,Data!$M$157,IF(AP$6=Data!$N$158,Data!$M$158,IF(AP$6=Data!$N$159,Data!$M$159,IF(AP$6=Data!$N$160,Data!$M$160,IF(AP$6=Data!$N$161,Data!$M$161,IF(AP$6=Data!$N$162,Data!$M$162,0))))))))))))</f>
        <v>0</v>
      </c>
      <c r="AQ130" s="302">
        <f>IF(AQ$6=Data!$N$151,Data!$M$151,IF(AQ$6=Data!$N$152,Data!$M$152,IF(AQ$6=Data!$N$153,Data!$M$153,IF(AQ$6=Data!$N$154,Data!$M$154,IF(AQ$6=Data!$N$155,Data!$M$155,IF(AQ$6=Data!$N$156,Data!$M$156,IF(AQ$6=Data!$N$157,Data!$M$157,IF(AQ$6=Data!$N$158,Data!$M$158,IF(AQ$6=Data!$N$159,Data!$M$159,IF(AQ$6=Data!$N$160,Data!$M$160,IF(AQ$6=Data!$N$161,Data!$M$161,IF(AQ$6=Data!$N$162,Data!$M$162,0))))))))))))</f>
        <v>0</v>
      </c>
      <c r="AR130" s="303">
        <f>IF(AR$6=Data!$N$151,Data!$M$151,IF(AR$6=Data!$N$152,Data!$M$152,IF(AR$6=Data!$N$153,Data!$M$153,IF(AR$6=Data!$N$154,Data!$M$154,IF(AR$6=Data!$N$155,Data!$M$155,IF(AR$6=Data!$N$156,Data!$M$156,IF(AR$6=Data!$N$157,Data!$M$157,IF(AR$6=Data!$N$158,Data!$M$158,IF(AR$6=Data!$N$159,Data!$M$159,IF(AR$6=Data!$N$160,Data!$M$160,IF(AR$6=Data!$N$161,Data!$M$161,IF(AR$6=Data!$N$162,Data!$M$162,0))))))))))))</f>
        <v>0.05</v>
      </c>
      <c r="AS130" s="302">
        <f>IF(AS$6=Data!$N$151,Data!$M$151,IF(AS$6=Data!$N$152,Data!$M$152,IF(AS$6=Data!$N$153,Data!$M$153,IF(AS$6=Data!$N$154,Data!$M$154,IF(AS$6=Data!$N$155,Data!$M$155,IF(AS$6=Data!$N$156,Data!$M$156,IF(AS$6=Data!$N$157,Data!$M$157,IF(AS$6=Data!$N$158,Data!$M$158,IF(AS$6=Data!$N$159,Data!$M$159,IF(AS$6=Data!$N$160,Data!$M$160,IF(AS$6=Data!$N$161,Data!$M$161,IF(AS$6=Data!$N$162,Data!$M$162,0))))))))))))</f>
        <v>0</v>
      </c>
      <c r="AT130" s="302">
        <f>IF(AT$6=Data!$N$151,Data!$M$151,IF(AT$6=Data!$N$152,Data!$M$152,IF(AT$6=Data!$N$153,Data!$M$153,IF(AT$6=Data!$N$154,Data!$M$154,IF(AT$6=Data!$N$155,Data!$M$155,IF(AT$6=Data!$N$156,Data!$M$156,IF(AT$6=Data!$N$157,Data!$M$157,IF(AT$6=Data!$N$158,Data!$M$158,IF(AT$6=Data!$N$159,Data!$M$159,IF(AT$6=Data!$N$160,Data!$M$160,IF(AT$6=Data!$N$161,Data!$M$161,IF(AT$6=Data!$N$162,Data!$M$162,0))))))))))))</f>
        <v>0</v>
      </c>
      <c r="AU130" s="302">
        <f>IF(AU$6=Data!$N$151,Data!$M$151,IF(AU$6=Data!$N$152,Data!$M$152,IF(AU$6=Data!$N$153,Data!$M$153,IF(AU$6=Data!$N$154,Data!$M$154,IF(AU$6=Data!$N$155,Data!$M$155,IF(AU$6=Data!$N$156,Data!$M$156,IF(AU$6=Data!$N$157,Data!$M$157,IF(AU$6=Data!$N$158,Data!$M$158,IF(AU$6=Data!$N$159,Data!$M$159,IF(AU$6=Data!$N$160,Data!$M$160,IF(AU$6=Data!$N$161,Data!$M$161,IF(AU$6=Data!$N$162,Data!$M$162,0))))))))))))</f>
        <v>0</v>
      </c>
      <c r="AV130" s="302">
        <f>IF(AV$6=Data!$N$151,Data!$M$151,IF(AV$6=Data!$N$152,Data!$M$152,IF(AV$6=Data!$N$153,Data!$M$153,IF(AV$6=Data!$N$154,Data!$M$154,IF(AV$6=Data!$N$155,Data!$M$155,IF(AV$6=Data!$N$156,Data!$M$156,IF(AV$6=Data!$N$157,Data!$M$157,IF(AV$6=Data!$N$158,Data!$M$158,IF(AV$6=Data!$N$159,Data!$M$159,IF(AV$6=Data!$N$160,Data!$M$160,IF(AV$6=Data!$N$161,Data!$M$161,IF(AV$6=Data!$N$162,Data!$M$162,0))))))))))))</f>
        <v>0</v>
      </c>
      <c r="AW130" s="302">
        <f>IF(AW$6=Data!$N$151,Data!$M$151,IF(AW$6=Data!$N$152,Data!$M$152,IF(AW$6=Data!$N$153,Data!$M$153,IF(AW$6=Data!$N$154,Data!$M$154,IF(AW$6=Data!$N$155,Data!$M$155,IF(AW$6=Data!$N$156,Data!$M$156,IF(AW$6=Data!$N$157,Data!$M$157,IF(AW$6=Data!$N$158,Data!$M$158,IF(AW$6=Data!$N$159,Data!$M$159,IF(AW$6=Data!$N$160,Data!$M$160,IF(AW$6=Data!$N$161,Data!$M$161,IF(AW$6=Data!$N$162,Data!$M$162,0))))))))))))</f>
        <v>0</v>
      </c>
      <c r="AX130" s="302">
        <f>IF(AX$6=Data!$N$151,Data!$M$151,IF(AX$6=Data!$N$152,Data!$M$152,IF(AX$6=Data!$N$153,Data!$M$153,IF(AX$6=Data!$N$154,Data!$M$154,IF(AX$6=Data!$N$155,Data!$M$155,IF(AX$6=Data!$N$156,Data!$M$156,IF(AX$6=Data!$N$157,Data!$M$157,IF(AX$6=Data!$N$158,Data!$M$158,IF(AX$6=Data!$N$159,Data!$M$159,IF(AX$6=Data!$N$160,Data!$M$160,IF(AX$6=Data!$N$161,Data!$M$161,IF(AX$6=Data!$N$162,Data!$M$162,0))))))))))))</f>
        <v>0</v>
      </c>
      <c r="AY130" s="302">
        <f>IF(AY$6=Data!$N$151,Data!$M$151,IF(AY$6=Data!$N$152,Data!$M$152,IF(AY$6=Data!$N$153,Data!$M$153,IF(AY$6=Data!$N$154,Data!$M$154,IF(AY$6=Data!$N$155,Data!$M$155,IF(AY$6=Data!$N$156,Data!$M$156,IF(AY$6=Data!$N$157,Data!$M$157,IF(AY$6=Data!$N$158,Data!$M$158,IF(AY$6=Data!$N$159,Data!$M$159,IF(AY$6=Data!$N$160,Data!$M$160,IF(AY$6=Data!$N$161,Data!$M$161,IF(AY$6=Data!$N$162,Data!$M$162,0))))))))))))</f>
        <v>0</v>
      </c>
      <c r="AZ130" s="302">
        <f>IF(AZ$6=Data!$N$151,Data!$M$151,IF(AZ$6=Data!$N$152,Data!$M$152,IF(AZ$6=Data!$N$153,Data!$M$153,IF(AZ$6=Data!$N$154,Data!$M$154,IF(AZ$6=Data!$N$155,Data!$M$155,IF(AZ$6=Data!$N$156,Data!$M$156,IF(AZ$6=Data!$N$157,Data!$M$157,IF(AZ$6=Data!$N$158,Data!$M$158,IF(AZ$6=Data!$N$159,Data!$M$159,IF(AZ$6=Data!$N$160,Data!$M$160,IF(AZ$6=Data!$N$161,Data!$M$161,IF(AZ$6=Data!$N$162,Data!$M$162,0))))))))))))</f>
        <v>0</v>
      </c>
      <c r="BA130" s="302">
        <f>IF(BA$6=Data!$N$151,Data!$M$151,IF(BA$6=Data!$N$152,Data!$M$152,IF(BA$6=Data!$N$153,Data!$M$153,IF(BA$6=Data!$N$154,Data!$M$154,IF(BA$6=Data!$N$155,Data!$M$155,IF(BA$6=Data!$N$156,Data!$M$156,IF(BA$6=Data!$N$157,Data!$M$157,IF(BA$6=Data!$N$158,Data!$M$158,IF(BA$6=Data!$N$159,Data!$M$159,IF(BA$6=Data!$N$160,Data!$M$160,IF(BA$6=Data!$N$161,Data!$M$161,IF(BA$6=Data!$N$162,Data!$M$162,0))))))))))))</f>
        <v>0</v>
      </c>
      <c r="BB130" s="302">
        <f>IF(BB$6=Data!$N$151,Data!$M$151,IF(BB$6=Data!$N$152,Data!$M$152,IF(BB$6=Data!$N$153,Data!$M$153,IF(BB$6=Data!$N$154,Data!$M$154,IF(BB$6=Data!$N$155,Data!$M$155,IF(BB$6=Data!$N$156,Data!$M$156,IF(BB$6=Data!$N$157,Data!$M$157,IF(BB$6=Data!$N$158,Data!$M$158,IF(BB$6=Data!$N$159,Data!$M$159,IF(BB$6=Data!$N$160,Data!$M$160,IF(BB$6=Data!$N$161,Data!$M$161,IF(BB$6=Data!$N$162,Data!$M$162,0))))))))))))</f>
        <v>0</v>
      </c>
      <c r="BC130" s="302">
        <f>IF(BC$6=Data!$N$151,Data!$M$151,IF(BC$6=Data!$N$152,Data!$M$152,IF(BC$6=Data!$N$153,Data!$M$153,IF(BC$6=Data!$N$154,Data!$M$154,IF(BC$6=Data!$N$155,Data!$M$155,IF(BC$6=Data!$N$156,Data!$M$156,IF(BC$6=Data!$N$157,Data!$M$157,IF(BC$6=Data!$N$158,Data!$M$158,IF(BC$6=Data!$N$159,Data!$M$159,IF(BC$6=Data!$N$160,Data!$M$160,IF(BC$6=Data!$N$161,Data!$M$161,IF(BC$6=Data!$N$162,Data!$M$162,0))))))))))))</f>
        <v>0</v>
      </c>
      <c r="BD130" s="303">
        <f>IF(BD$6=Data!$N$151,Data!$M$151,IF(BD$6=Data!$N$152,Data!$M$152,IF(BD$6=Data!$N$153,Data!$M$153,IF(BD$6=Data!$N$154,Data!$M$154,IF(BD$6=Data!$N$155,Data!$M$155,IF(BD$6=Data!$N$156,Data!$M$156,IF(BD$6=Data!$N$157,Data!$M$157,IF(BD$6=Data!$N$158,Data!$M$158,IF(BD$6=Data!$N$159,Data!$M$159,IF(BD$6=Data!$N$160,Data!$M$160,IF(BD$6=Data!$N$161,Data!$M$161,IF(BD$6=Data!$N$162,Data!$M$162,0))))))))))))</f>
        <v>0.05</v>
      </c>
      <c r="BE130" s="302">
        <f>IF(BE$6=Data!$N$151,Data!$M$151,IF(BE$6=Data!$N$152,Data!$M$152,IF(BE$6=Data!$N$153,Data!$M$153,IF(BE$6=Data!$N$154,Data!$M$154,IF(BE$6=Data!$N$155,Data!$M$155,IF(BE$6=Data!$N$156,Data!$M$156,IF(BE$6=Data!$N$157,Data!$M$157,IF(BE$6=Data!$N$158,Data!$M$158,IF(BE$6=Data!$N$159,Data!$M$159,IF(BE$6=Data!$N$160,Data!$M$160,IF(BE$6=Data!$N$161,Data!$M$161,IF(BE$6=Data!$N$162,Data!$M$162,0))))))))))))</f>
        <v>0</v>
      </c>
      <c r="BF130" s="302">
        <f>IF(BF$6=Data!$N$151,Data!$M$151,IF(BF$6=Data!$N$152,Data!$M$152,IF(BF$6=Data!$N$153,Data!$M$153,IF(BF$6=Data!$N$154,Data!$M$154,IF(BF$6=Data!$N$155,Data!$M$155,IF(BF$6=Data!$N$156,Data!$M$156,IF(BF$6=Data!$N$157,Data!$M$157,IF(BF$6=Data!$N$158,Data!$M$158,IF(BF$6=Data!$N$159,Data!$M$159,IF(BF$6=Data!$N$160,Data!$M$160,IF(BF$6=Data!$N$161,Data!$M$161,IF(BF$6=Data!$N$162,Data!$M$162,0))))))))))))</f>
        <v>0</v>
      </c>
      <c r="BG130" s="302">
        <f>IF(BG$6=Data!$N$151,Data!$M$151,IF(BG$6=Data!$N$152,Data!$M$152,IF(BG$6=Data!$N$153,Data!$M$153,IF(BG$6=Data!$N$154,Data!$M$154,IF(BG$6=Data!$N$155,Data!$M$155,IF(BG$6=Data!$N$156,Data!$M$156,IF(BG$6=Data!$N$157,Data!$M$157,IF(BG$6=Data!$N$158,Data!$M$158,IF(BG$6=Data!$N$159,Data!$M$159,IF(BG$6=Data!$N$160,Data!$M$160,IF(BG$6=Data!$N$161,Data!$M$161,IF(BG$6=Data!$N$162,Data!$M$162,0))))))))))))</f>
        <v>0</v>
      </c>
      <c r="BH130" s="302">
        <f>IF(BH$6=Data!$N$151,Data!$M$151,IF(BH$6=Data!$N$152,Data!$M$152,IF(BH$6=Data!$N$153,Data!$M$153,IF(BH$6=Data!$N$154,Data!$M$154,IF(BH$6=Data!$N$155,Data!$M$155,IF(BH$6=Data!$N$156,Data!$M$156,IF(BH$6=Data!$N$157,Data!$M$157,IF(BH$6=Data!$N$158,Data!$M$158,IF(BH$6=Data!$N$159,Data!$M$159,IF(BH$6=Data!$N$160,Data!$M$160,IF(BH$6=Data!$N$161,Data!$M$161,IF(BH$6=Data!$N$162,Data!$M$162,0))))))))))))</f>
        <v>0</v>
      </c>
      <c r="BI130" s="302">
        <f>IF(BI$6=Data!$N$151,Data!$M$151,IF(BI$6=Data!$N$152,Data!$M$152,IF(BI$6=Data!$N$153,Data!$M$153,IF(BI$6=Data!$N$154,Data!$M$154,IF(BI$6=Data!$N$155,Data!$M$155,IF(BI$6=Data!$N$156,Data!$M$156,IF(BI$6=Data!$N$157,Data!$M$157,IF(BI$6=Data!$N$158,Data!$M$158,IF(BI$6=Data!$N$159,Data!$M$159,IF(BI$6=Data!$N$160,Data!$M$160,IF(BI$6=Data!$N$161,Data!$M$161,IF(BI$6=Data!$N$162,Data!$M$162,0))))))))))))</f>
        <v>0</v>
      </c>
      <c r="BJ130" s="302">
        <f>IF(BJ$6=Data!$N$151,Data!$M$151,IF(BJ$6=Data!$N$152,Data!$M$152,IF(BJ$6=Data!$N$153,Data!$M$153,IF(BJ$6=Data!$N$154,Data!$M$154,IF(BJ$6=Data!$N$155,Data!$M$155,IF(BJ$6=Data!$N$156,Data!$M$156,IF(BJ$6=Data!$N$157,Data!$M$157,IF(BJ$6=Data!$N$158,Data!$M$158,IF(BJ$6=Data!$N$159,Data!$M$159,IF(BJ$6=Data!$N$160,Data!$M$160,IF(BJ$6=Data!$N$161,Data!$M$161,IF(BJ$6=Data!$N$162,Data!$M$162,0))))))))))))</f>
        <v>0</v>
      </c>
      <c r="BK130" s="302">
        <f>IF(BK$6=Data!$N$151,Data!$M$151,IF(BK$6=Data!$N$152,Data!$M$152,IF(BK$6=Data!$N$153,Data!$M$153,IF(BK$6=Data!$N$154,Data!$M$154,IF(BK$6=Data!$N$155,Data!$M$155,IF(BK$6=Data!$N$156,Data!$M$156,IF(BK$6=Data!$N$157,Data!$M$157,IF(BK$6=Data!$N$158,Data!$M$158,IF(BK$6=Data!$N$159,Data!$M$159,IF(BK$6=Data!$N$160,Data!$M$160,IF(BK$6=Data!$N$161,Data!$M$161,IF(BK$6=Data!$N$162,Data!$M$162,0))))))))))))</f>
        <v>0</v>
      </c>
      <c r="BL130" s="302">
        <f>IF(BL$6=Data!$N$151,Data!$M$151,IF(BL$6=Data!$N$152,Data!$M$152,IF(BL$6=Data!$N$153,Data!$M$153,IF(BL$6=Data!$N$154,Data!$M$154,IF(BL$6=Data!$N$155,Data!$M$155,IF(BL$6=Data!$N$156,Data!$M$156,IF(BL$6=Data!$N$157,Data!$M$157,IF(BL$6=Data!$N$158,Data!$M$158,IF(BL$6=Data!$N$159,Data!$M$159,IF(BL$6=Data!$N$160,Data!$M$160,IF(BL$6=Data!$N$161,Data!$M$161,IF(BL$6=Data!$N$162,Data!$M$162,0))))))))))))</f>
        <v>0</v>
      </c>
      <c r="BM130" s="302">
        <f>IF(BM$6=Data!$N$151,Data!$M$151,IF(BM$6=Data!$N$152,Data!$M$152,IF(BM$6=Data!$N$153,Data!$M$153,IF(BM$6=Data!$N$154,Data!$M$154,IF(BM$6=Data!$N$155,Data!$M$155,IF(BM$6=Data!$N$156,Data!$M$156,IF(BM$6=Data!$N$157,Data!$M$157,IF(BM$6=Data!$N$158,Data!$M$158,IF(BM$6=Data!$N$159,Data!$M$159,IF(BM$6=Data!$N$160,Data!$M$160,IF(BM$6=Data!$N$161,Data!$M$161,IF(BM$6=Data!$N$162,Data!$M$162,0))))))))))))</f>
        <v>0</v>
      </c>
      <c r="BN130" s="302">
        <f>IF(BN$6=Data!$N$151,Data!$M$151,IF(BN$6=Data!$N$152,Data!$M$152,IF(BN$6=Data!$N$153,Data!$M$153,IF(BN$6=Data!$N$154,Data!$M$154,IF(BN$6=Data!$N$155,Data!$M$155,IF(BN$6=Data!$N$156,Data!$M$156,IF(BN$6=Data!$N$157,Data!$M$157,IF(BN$6=Data!$N$158,Data!$M$158,IF(BN$6=Data!$N$159,Data!$M$159,IF(BN$6=Data!$N$160,Data!$M$160,IF(BN$6=Data!$N$161,Data!$M$161,IF(BN$6=Data!$N$162,Data!$M$162,0))))))))))))</f>
        <v>0</v>
      </c>
      <c r="BO130" s="302">
        <f>IF(BO$6=Data!$N$151,Data!$M$151,IF(BO$6=Data!$N$152,Data!$M$152,IF(BO$6=Data!$N$153,Data!$M$153,IF(BO$6=Data!$N$154,Data!$M$154,IF(BO$6=Data!$N$155,Data!$M$155,IF(BO$6=Data!$N$156,Data!$M$156,IF(BO$6=Data!$N$157,Data!$M$157,IF(BO$6=Data!$N$158,Data!$M$158,IF(BO$6=Data!$N$159,Data!$M$159,IF(BO$6=Data!$N$160,Data!$M$160,IF(BO$6=Data!$N$161,Data!$M$161,IF(BO$6=Data!$N$162,Data!$M$162,0))))))))))))</f>
        <v>0</v>
      </c>
      <c r="BP130" s="303">
        <f>IF(BP$6=Data!$N$151,Data!$M$151,IF(BP$6=Data!$N$152,Data!$M$152,IF(BP$6=Data!$N$153,Data!$M$153,IF(BP$6=Data!$N$154,Data!$M$154,IF(BP$6=Data!$N$155,Data!$M$155,IF(BP$6=Data!$N$156,Data!$M$156,IF(BP$6=Data!$N$157,Data!$M$157,IF(BP$6=Data!$N$158,Data!$M$158,IF(BP$6=Data!$N$159,Data!$M$159,IF(BP$6=Data!$N$160,Data!$M$160,IF(BP$6=Data!$N$161,Data!$M$161,IF(BP$6=Data!$N$162,Data!$M$162,0))))))))))))</f>
        <v>0.05</v>
      </c>
      <c r="BQ130" s="302">
        <f>IF(BQ$6=Data!$N$151,Data!$M$151,IF(BQ$6=Data!$N$152,Data!$M$152,IF(BQ$6=Data!$N$153,Data!$M$153,IF(BQ$6=Data!$N$154,Data!$M$154,IF(BQ$6=Data!$N$155,Data!$M$155,IF(BQ$6=Data!$N$156,Data!$M$156,IF(BQ$6=Data!$N$157,Data!$M$157,IF(BQ$6=Data!$N$158,Data!$M$158,IF(BQ$6=Data!$N$159,Data!$M$159,IF(BQ$6=Data!$N$160,Data!$M$160,IF(BQ$6=Data!$N$161,Data!$M$161,IF(BQ$6=Data!$N$162,Data!$M$162,0))))))))))))</f>
        <v>0</v>
      </c>
      <c r="BR130" s="302">
        <f>IF(BR$6=Data!$N$151,Data!$M$151,IF(BR$6=Data!$N$152,Data!$M$152,IF(BR$6=Data!$N$153,Data!$M$153,IF(BR$6=Data!$N$154,Data!$M$154,IF(BR$6=Data!$N$155,Data!$M$155,IF(BR$6=Data!$N$156,Data!$M$156,IF(BR$6=Data!$N$157,Data!$M$157,IF(BR$6=Data!$N$158,Data!$M$158,IF(BR$6=Data!$N$159,Data!$M$159,IF(BR$6=Data!$N$160,Data!$M$160,IF(BR$6=Data!$N$161,Data!$M$161,IF(BR$6=Data!$N$162,Data!$M$162,0))))))))))))</f>
        <v>0</v>
      </c>
      <c r="BS130" s="302">
        <f>IF(BS$6=Data!$N$151,Data!$M$151,IF(BS$6=Data!$N$152,Data!$M$152,IF(BS$6=Data!$N$153,Data!$M$153,IF(BS$6=Data!$N$154,Data!$M$154,IF(BS$6=Data!$N$155,Data!$M$155,IF(BS$6=Data!$N$156,Data!$M$156,IF(BS$6=Data!$N$157,Data!$M$157,IF(BS$6=Data!$N$158,Data!$M$158,IF(BS$6=Data!$N$159,Data!$M$159,IF(BS$6=Data!$N$160,Data!$M$160,IF(BS$6=Data!$N$161,Data!$M$161,IF(BS$6=Data!$N$162,Data!$M$162,0))))))))))))</f>
        <v>0</v>
      </c>
      <c r="BT130" s="302">
        <f>IF(BT$6=Data!$N$151,Data!$M$151,IF(BT$6=Data!$N$152,Data!$M$152,IF(BT$6=Data!$N$153,Data!$M$153,IF(BT$6=Data!$N$154,Data!$M$154,IF(BT$6=Data!$N$155,Data!$M$155,IF(BT$6=Data!$N$156,Data!$M$156,IF(BT$6=Data!$N$157,Data!$M$157,IF(BT$6=Data!$N$158,Data!$M$158,IF(BT$6=Data!$N$159,Data!$M$159,IF(BT$6=Data!$N$160,Data!$M$160,IF(BT$6=Data!$N$161,Data!$M$161,IF(BT$6=Data!$N$162,Data!$M$162,0))))))))))))</f>
        <v>0</v>
      </c>
      <c r="BU130" s="302">
        <f>IF(BU$6=Data!$N$151,Data!$M$151,IF(BU$6=Data!$N$152,Data!$M$152,IF(BU$6=Data!$N$153,Data!$M$153,IF(BU$6=Data!$N$154,Data!$M$154,IF(BU$6=Data!$N$155,Data!$M$155,IF(BU$6=Data!$N$156,Data!$M$156,IF(BU$6=Data!$N$157,Data!$M$157,IF(BU$6=Data!$N$158,Data!$M$158,IF(BU$6=Data!$N$159,Data!$M$159,IF(BU$6=Data!$N$160,Data!$M$160,IF(BU$6=Data!$N$161,Data!$M$161,IF(BU$6=Data!$N$162,Data!$M$162,0))))))))))))</f>
        <v>0</v>
      </c>
      <c r="BV130" s="302">
        <f>IF(BV$6=Data!$N$151,Data!$M$151,IF(BV$6=Data!$N$152,Data!$M$152,IF(BV$6=Data!$N$153,Data!$M$153,IF(BV$6=Data!$N$154,Data!$M$154,IF(BV$6=Data!$N$155,Data!$M$155,IF(BV$6=Data!$N$156,Data!$M$156,IF(BV$6=Data!$N$157,Data!$M$157,IF(BV$6=Data!$N$158,Data!$M$158,IF(BV$6=Data!$N$159,Data!$M$159,IF(BV$6=Data!$N$160,Data!$M$160,IF(BV$6=Data!$N$161,Data!$M$161,IF(BV$6=Data!$N$162,Data!$M$162,0))))))))))))</f>
        <v>0</v>
      </c>
      <c r="BW130" s="302">
        <f>IF(BW$6=Data!$N$151,Data!$M$151,IF(BW$6=Data!$N$152,Data!$M$152,IF(BW$6=Data!$N$153,Data!$M$153,IF(BW$6=Data!$N$154,Data!$M$154,IF(BW$6=Data!$N$155,Data!$M$155,IF(BW$6=Data!$N$156,Data!$M$156,IF(BW$6=Data!$N$157,Data!$M$157,IF(BW$6=Data!$N$158,Data!$M$158,IF(BW$6=Data!$N$159,Data!$M$159,IF(BW$6=Data!$N$160,Data!$M$160,IF(BW$6=Data!$N$161,Data!$M$161,IF(BW$6=Data!$N$162,Data!$M$162,0))))))))))))</f>
        <v>0</v>
      </c>
      <c r="BX130" s="302">
        <f>IF(BX$6=Data!$N$151,Data!$M$151,IF(BX$6=Data!$N$152,Data!$M$152,IF(BX$6=Data!$N$153,Data!$M$153,IF(BX$6=Data!$N$154,Data!$M$154,IF(BX$6=Data!$N$155,Data!$M$155,IF(BX$6=Data!$N$156,Data!$M$156,IF(BX$6=Data!$N$157,Data!$M$157,IF(BX$6=Data!$N$158,Data!$M$158,IF(BX$6=Data!$N$159,Data!$M$159,IF(BX$6=Data!$N$160,Data!$M$160,IF(BX$6=Data!$N$161,Data!$M$161,IF(BX$6=Data!$N$162,Data!$M$162,0))))))))))))</f>
        <v>0</v>
      </c>
      <c r="BY130" s="302">
        <f>IF(BY$6=Data!$N$151,Data!$M$151,IF(BY$6=Data!$N$152,Data!$M$152,IF(BY$6=Data!$N$153,Data!$M$153,IF(BY$6=Data!$N$154,Data!$M$154,IF(BY$6=Data!$N$155,Data!$M$155,IF(BY$6=Data!$N$156,Data!$M$156,IF(BY$6=Data!$N$157,Data!$M$157,IF(BY$6=Data!$N$158,Data!$M$158,IF(BY$6=Data!$N$159,Data!$M$159,IF(BY$6=Data!$N$160,Data!$M$160,IF(BY$6=Data!$N$161,Data!$M$161,IF(BY$6=Data!$N$162,Data!$M$162,0))))))))))))</f>
        <v>0</v>
      </c>
      <c r="BZ130" s="302">
        <f>IF(BZ$6=Data!$N$151,Data!$M$151,IF(BZ$6=Data!$N$152,Data!$M$152,IF(BZ$6=Data!$N$153,Data!$M$153,IF(BZ$6=Data!$N$154,Data!$M$154,IF(BZ$6=Data!$N$155,Data!$M$155,IF(BZ$6=Data!$N$156,Data!$M$156,IF(BZ$6=Data!$N$157,Data!$M$157,IF(BZ$6=Data!$N$158,Data!$M$158,IF(BZ$6=Data!$N$159,Data!$M$159,IF(BZ$6=Data!$N$160,Data!$M$160,IF(BZ$6=Data!$N$161,Data!$M$161,IF(BZ$6=Data!$N$162,Data!$M$162,0))))))))))))</f>
        <v>0</v>
      </c>
      <c r="CA130" s="302">
        <f>IF(CA$6=Data!$N$151,Data!$M$151,IF(CA$6=Data!$N$152,Data!$M$152,IF(CA$6=Data!$N$153,Data!$M$153,IF(CA$6=Data!$N$154,Data!$M$154,IF(CA$6=Data!$N$155,Data!$M$155,IF(CA$6=Data!$N$156,Data!$M$156,IF(CA$6=Data!$N$157,Data!$M$157,IF(CA$6=Data!$N$158,Data!$M$158,IF(CA$6=Data!$N$159,Data!$M$159,IF(CA$6=Data!$N$160,Data!$M$160,IF(CA$6=Data!$N$161,Data!$M$161,IF(CA$6=Data!$N$162,Data!$M$162,0))))))))))))</f>
        <v>0</v>
      </c>
      <c r="CB130" s="303">
        <f>IF(CB$6=Data!$N$151,Data!$M$151,IF(CB$6=Data!$N$152,Data!$M$152,IF(CB$6=Data!$N$153,Data!$M$153,IF(CB$6=Data!$N$154,Data!$M$154,IF(CB$6=Data!$N$155,Data!$M$155,IF(CB$6=Data!$N$156,Data!$M$156,IF(CB$6=Data!$N$157,Data!$M$157,IF(CB$6=Data!$N$158,Data!$M$158,IF(CB$6=Data!$N$159,Data!$M$159,IF(CB$6=Data!$N$160,Data!$M$160,IF(CB$6=Data!$N$161,Data!$M$161,IF(CB$6=Data!$N$162,Data!$M$162,0))))))))))))</f>
        <v>0.05</v>
      </c>
      <c r="CC130" s="302">
        <f>IF(CC$6=Data!$N$151,Data!$M$151,IF(CC$6=Data!$N$152,Data!$M$152,IF(CC$6=Data!$N$153,Data!$M$153,IF(CC$6=Data!$N$154,Data!$M$154,IF(CC$6=Data!$N$155,Data!$M$155,IF(CC$6=Data!$N$156,Data!$M$156,IF(CC$6=Data!$N$157,Data!$M$157,IF(CC$6=Data!$N$158,Data!$M$158,IF(CC$6=Data!$N$159,Data!$M$159,IF(CC$6=Data!$N$160,Data!$M$160,IF(CC$6=Data!$N$161,Data!$M$161,IF(CC$6=Data!$N$162,Data!$M$162,0))))))))))))</f>
        <v>0</v>
      </c>
      <c r="CD130" s="302">
        <f>IF(CD$6=Data!$N$151,Data!$M$151,IF(CD$6=Data!$N$152,Data!$M$152,IF(CD$6=Data!$N$153,Data!$M$153,IF(CD$6=Data!$N$154,Data!$M$154,IF(CD$6=Data!$N$155,Data!$M$155,IF(CD$6=Data!$N$156,Data!$M$156,IF(CD$6=Data!$N$157,Data!$M$157,IF(CD$6=Data!$N$158,Data!$M$158,IF(CD$6=Data!$N$159,Data!$M$159,IF(CD$6=Data!$N$160,Data!$M$160,IF(CD$6=Data!$N$161,Data!$M$161,IF(CD$6=Data!$N$162,Data!$M$162,0))))))))))))</f>
        <v>0</v>
      </c>
      <c r="CE130" s="302">
        <f>IF(CE$6=Data!$N$151,Data!$M$151,IF(CE$6=Data!$N$152,Data!$M$152,IF(CE$6=Data!$N$153,Data!$M$153,IF(CE$6=Data!$N$154,Data!$M$154,IF(CE$6=Data!$N$155,Data!$M$155,IF(CE$6=Data!$N$156,Data!$M$156,IF(CE$6=Data!$N$157,Data!$M$157,IF(CE$6=Data!$N$158,Data!$M$158,IF(CE$6=Data!$N$159,Data!$M$159,IF(CE$6=Data!$N$160,Data!$M$160,IF(CE$6=Data!$N$161,Data!$M$161,IF(CE$6=Data!$N$162,Data!$M$162,0))))))))))))</f>
        <v>0</v>
      </c>
      <c r="CF130" s="302">
        <f>IF(CF$6=Data!$N$151,Data!$M$151,IF(CF$6=Data!$N$152,Data!$M$152,IF(CF$6=Data!$N$153,Data!$M$153,IF(CF$6=Data!$N$154,Data!$M$154,IF(CF$6=Data!$N$155,Data!$M$155,IF(CF$6=Data!$N$156,Data!$M$156,IF(CF$6=Data!$N$157,Data!$M$157,IF(CF$6=Data!$N$158,Data!$M$158,IF(CF$6=Data!$N$159,Data!$M$159,IF(CF$6=Data!$N$160,Data!$M$160,IF(CF$6=Data!$N$161,Data!$M$161,IF(CF$6=Data!$N$162,Data!$M$162,0))))))))))))</f>
        <v>0</v>
      </c>
      <c r="CG130" s="302">
        <f>IF(CG$6=Data!$N$151,Data!$M$151,IF(CG$6=Data!$N$152,Data!$M$152,IF(CG$6=Data!$N$153,Data!$M$153,IF(CG$6=Data!$N$154,Data!$M$154,IF(CG$6=Data!$N$155,Data!$M$155,IF(CG$6=Data!$N$156,Data!$M$156,IF(CG$6=Data!$N$157,Data!$M$157,IF(CG$6=Data!$N$158,Data!$M$158,IF(CG$6=Data!$N$159,Data!$M$159,IF(CG$6=Data!$N$160,Data!$M$160,IF(CG$6=Data!$N$161,Data!$M$161,IF(CG$6=Data!$N$162,Data!$M$162,0))))))))))))</f>
        <v>0</v>
      </c>
      <c r="CH130" s="302">
        <f>IF(CH$6=Data!$N$151,Data!$M$151,IF(CH$6=Data!$N$152,Data!$M$152,IF(CH$6=Data!$N$153,Data!$M$153,IF(CH$6=Data!$N$154,Data!$M$154,IF(CH$6=Data!$N$155,Data!$M$155,IF(CH$6=Data!$N$156,Data!$M$156,IF(CH$6=Data!$N$157,Data!$M$157,IF(CH$6=Data!$N$158,Data!$M$158,IF(CH$6=Data!$N$159,Data!$M$159,IF(CH$6=Data!$N$160,Data!$M$160,IF(CH$6=Data!$N$161,Data!$M$161,IF(CH$6=Data!$N$162,Data!$M$162,0))))))))))))</f>
        <v>0</v>
      </c>
      <c r="CI130" s="302">
        <f>IF(CI$6=Data!$N$151,Data!$M$151,IF(CI$6=Data!$N$152,Data!$M$152,IF(CI$6=Data!$N$153,Data!$M$153,IF(CI$6=Data!$N$154,Data!$M$154,IF(CI$6=Data!$N$155,Data!$M$155,IF(CI$6=Data!$N$156,Data!$M$156,IF(CI$6=Data!$N$157,Data!$M$157,IF(CI$6=Data!$N$158,Data!$M$158,IF(CI$6=Data!$N$159,Data!$M$159,IF(CI$6=Data!$N$160,Data!$M$160,IF(CI$6=Data!$N$161,Data!$M$161,IF(CI$6=Data!$N$162,Data!$M$162,0))))))))))))</f>
        <v>0</v>
      </c>
      <c r="CJ130" s="302">
        <f>IF(CJ$6=Data!$N$151,Data!$M$151,IF(CJ$6=Data!$N$152,Data!$M$152,IF(CJ$6=Data!$N$153,Data!$M$153,IF(CJ$6=Data!$N$154,Data!$M$154,IF(CJ$6=Data!$N$155,Data!$M$155,IF(CJ$6=Data!$N$156,Data!$M$156,IF(CJ$6=Data!$N$157,Data!$M$157,IF(CJ$6=Data!$N$158,Data!$M$158,IF(CJ$6=Data!$N$159,Data!$M$159,IF(CJ$6=Data!$N$160,Data!$M$160,IF(CJ$6=Data!$N$161,Data!$M$161,IF(CJ$6=Data!$N$162,Data!$M$162,0))))))))))))</f>
        <v>0</v>
      </c>
      <c r="CK130" s="302">
        <f>IF(CK$6=Data!$N$151,Data!$M$151,IF(CK$6=Data!$N$152,Data!$M$152,IF(CK$6=Data!$N$153,Data!$M$153,IF(CK$6=Data!$N$154,Data!$M$154,IF(CK$6=Data!$N$155,Data!$M$155,IF(CK$6=Data!$N$156,Data!$M$156,IF(CK$6=Data!$N$157,Data!$M$157,IF(CK$6=Data!$N$158,Data!$M$158,IF(CK$6=Data!$N$159,Data!$M$159,IF(CK$6=Data!$N$160,Data!$M$160,IF(CK$6=Data!$N$161,Data!$M$161,IF(CK$6=Data!$N$162,Data!$M$162,0))))))))))))</f>
        <v>0</v>
      </c>
      <c r="CL130" s="302">
        <f>IF(CL$6=Data!$N$151,Data!$M$151,IF(CL$6=Data!$N$152,Data!$M$152,IF(CL$6=Data!$N$153,Data!$M$153,IF(CL$6=Data!$N$154,Data!$M$154,IF(CL$6=Data!$N$155,Data!$M$155,IF(CL$6=Data!$N$156,Data!$M$156,IF(CL$6=Data!$N$157,Data!$M$157,IF(CL$6=Data!$N$158,Data!$M$158,IF(CL$6=Data!$N$159,Data!$M$159,IF(CL$6=Data!$N$160,Data!$M$160,IF(CL$6=Data!$N$161,Data!$M$161,IF(CL$6=Data!$N$162,Data!$M$162,0))))))))))))</f>
        <v>0</v>
      </c>
      <c r="CM130" s="302">
        <f>IF(CM$6=Data!$N$151,Data!$M$151,IF(CM$6=Data!$N$152,Data!$M$152,IF(CM$6=Data!$N$153,Data!$M$153,IF(CM$6=Data!$N$154,Data!$M$154,IF(CM$6=Data!$N$155,Data!$M$155,IF(CM$6=Data!$N$156,Data!$M$156,IF(CM$6=Data!$N$157,Data!$M$157,IF(CM$6=Data!$N$158,Data!$M$158,IF(CM$6=Data!$N$159,Data!$M$159,IF(CM$6=Data!$N$160,Data!$M$160,IF(CM$6=Data!$N$161,Data!$M$161,IF(CM$6=Data!$N$162,Data!$M$162,0))))))))))))</f>
        <v>0</v>
      </c>
      <c r="CN130" s="303">
        <f>IF(CN$6=Data!$N$151,Data!$M$151,IF(CN$6=Data!$N$152,Data!$M$152,IF(CN$6=Data!$N$153,Data!$M$153,IF(CN$6=Data!$N$154,Data!$M$154,IF(CN$6=Data!$N$155,Data!$M$155,IF(CN$6=Data!$N$156,Data!$M$156,IF(CN$6=Data!$N$157,Data!$M$157,IF(CN$6=Data!$N$158,Data!$M$158,IF(CN$6=Data!$N$159,Data!$M$159,IF(CN$6=Data!$N$160,Data!$M$160,IF(CN$6=Data!$N$161,Data!$M$161,IF(CN$6=Data!$N$162,Data!$M$162,0))))))))))))</f>
        <v>0.05</v>
      </c>
      <c r="CO130" s="302">
        <f>IF(CO$6=Data!$N$151,Data!$M$151,IF(CO$6=Data!$N$152,Data!$M$152,IF(CO$6=Data!$N$153,Data!$M$153,IF(CO$6=Data!$N$154,Data!$M$154,IF(CO$6=Data!$N$155,Data!$M$155,IF(CO$6=Data!$N$156,Data!$M$156,IF(CO$6=Data!$N$157,Data!$M$157,IF(CO$6=Data!$N$158,Data!$M$158,IF(CO$6=Data!$N$159,Data!$M$159,IF(CO$6=Data!$N$160,Data!$M$160,IF(CO$6=Data!$N$161,Data!$M$161,IF(CO$6=Data!$N$162,Data!$M$162,0))))))))))))</f>
        <v>0</v>
      </c>
      <c r="CP130" s="302">
        <f>IF(CP$6=Data!$N$151,Data!$M$151,IF(CP$6=Data!$N$152,Data!$M$152,IF(CP$6=Data!$N$153,Data!$M$153,IF(CP$6=Data!$N$154,Data!$M$154,IF(CP$6=Data!$N$155,Data!$M$155,IF(CP$6=Data!$N$156,Data!$M$156,IF(CP$6=Data!$N$157,Data!$M$157,IF(CP$6=Data!$N$158,Data!$M$158,IF(CP$6=Data!$N$159,Data!$M$159,IF(CP$6=Data!$N$160,Data!$M$160,IF(CP$6=Data!$N$161,Data!$M$161,IF(CP$6=Data!$N$162,Data!$M$162,0))))))))))))</f>
        <v>0</v>
      </c>
      <c r="CQ130" s="302">
        <f>IF(CQ$6=Data!$N$151,Data!$M$151,IF(CQ$6=Data!$N$152,Data!$M$152,IF(CQ$6=Data!$N$153,Data!$M$153,IF(CQ$6=Data!$N$154,Data!$M$154,IF(CQ$6=Data!$N$155,Data!$M$155,IF(CQ$6=Data!$N$156,Data!$M$156,IF(CQ$6=Data!$N$157,Data!$M$157,IF(CQ$6=Data!$N$158,Data!$M$158,IF(CQ$6=Data!$N$159,Data!$M$159,IF(CQ$6=Data!$N$160,Data!$M$160,IF(CQ$6=Data!$N$161,Data!$M$161,IF(CQ$6=Data!$N$162,Data!$M$162,0))))))))))))</f>
        <v>0</v>
      </c>
      <c r="CR130" s="302">
        <f>IF(CR$6=Data!$N$151,Data!$M$151,IF(CR$6=Data!$N$152,Data!$M$152,IF(CR$6=Data!$N$153,Data!$M$153,IF(CR$6=Data!$N$154,Data!$M$154,IF(CR$6=Data!$N$155,Data!$M$155,IF(CR$6=Data!$N$156,Data!$M$156,IF(CR$6=Data!$N$157,Data!$M$157,IF(CR$6=Data!$N$158,Data!$M$158,IF(CR$6=Data!$N$159,Data!$M$159,IF(CR$6=Data!$N$160,Data!$M$160,IF(CR$6=Data!$N$161,Data!$M$161,IF(CR$6=Data!$N$162,Data!$M$162,0))))))))))))</f>
        <v>0</v>
      </c>
      <c r="CS130" s="302">
        <f>IF(CS$6=Data!$N$151,Data!$M$151,IF(CS$6=Data!$N$152,Data!$M$152,IF(CS$6=Data!$N$153,Data!$M$153,IF(CS$6=Data!$N$154,Data!$M$154,IF(CS$6=Data!$N$155,Data!$M$155,IF(CS$6=Data!$N$156,Data!$M$156,IF(CS$6=Data!$N$157,Data!$M$157,IF(CS$6=Data!$N$158,Data!$M$158,IF(CS$6=Data!$N$159,Data!$M$159,IF(CS$6=Data!$N$160,Data!$M$160,IF(CS$6=Data!$N$161,Data!$M$161,IF(CS$6=Data!$N$162,Data!$M$162,0))))))))))))</f>
        <v>0</v>
      </c>
      <c r="CT130" s="302">
        <f>IF(CT$6=Data!$N$151,Data!$M$151,IF(CT$6=Data!$N$152,Data!$M$152,IF(CT$6=Data!$N$153,Data!$M$153,IF(CT$6=Data!$N$154,Data!$M$154,IF(CT$6=Data!$N$155,Data!$M$155,IF(CT$6=Data!$N$156,Data!$M$156,IF(CT$6=Data!$N$157,Data!$M$157,IF(CT$6=Data!$N$158,Data!$M$158,IF(CT$6=Data!$N$159,Data!$M$159,IF(CT$6=Data!$N$160,Data!$M$160,IF(CT$6=Data!$N$161,Data!$M$161,IF(CT$6=Data!$N$162,Data!$M$162,0))))))))))))</f>
        <v>0</v>
      </c>
      <c r="CU130" s="302">
        <f>IF(CU$6=Data!$N$151,Data!$M$151,IF(CU$6=Data!$N$152,Data!$M$152,IF(CU$6=Data!$N$153,Data!$M$153,IF(CU$6=Data!$N$154,Data!$M$154,IF(CU$6=Data!$N$155,Data!$M$155,IF(CU$6=Data!$N$156,Data!$M$156,IF(CU$6=Data!$N$157,Data!$M$157,IF(CU$6=Data!$N$158,Data!$M$158,IF(CU$6=Data!$N$159,Data!$M$159,IF(CU$6=Data!$N$160,Data!$M$160,IF(CU$6=Data!$N$161,Data!$M$161,IF(CU$6=Data!$N$162,Data!$M$162,0))))))))))))</f>
        <v>0</v>
      </c>
      <c r="CV130" s="302">
        <f>IF(CV$6=Data!$N$151,Data!$M$151,IF(CV$6=Data!$N$152,Data!$M$152,IF(CV$6=Data!$N$153,Data!$M$153,IF(CV$6=Data!$N$154,Data!$M$154,IF(CV$6=Data!$N$155,Data!$M$155,IF(CV$6=Data!$N$156,Data!$M$156,IF(CV$6=Data!$N$157,Data!$M$157,IF(CV$6=Data!$N$158,Data!$M$158,IF(CV$6=Data!$N$159,Data!$M$159,IF(CV$6=Data!$N$160,Data!$M$160,IF(CV$6=Data!$N$161,Data!$M$161,IF(CV$6=Data!$N$162,Data!$M$162,0))))))))))))</f>
        <v>0</v>
      </c>
      <c r="CW130" s="302">
        <f>IF(CW$6=Data!$N$151,Data!$M$151,IF(CW$6=Data!$N$152,Data!$M$152,IF(CW$6=Data!$N$153,Data!$M$153,IF(CW$6=Data!$N$154,Data!$M$154,IF(CW$6=Data!$N$155,Data!$M$155,IF(CW$6=Data!$N$156,Data!$M$156,IF(CW$6=Data!$N$157,Data!$M$157,IF(CW$6=Data!$N$158,Data!$M$158,IF(CW$6=Data!$N$159,Data!$M$159,IF(CW$6=Data!$N$160,Data!$M$160,IF(CW$6=Data!$N$161,Data!$M$161,IF(CW$6=Data!$N$162,Data!$M$162,0))))))))))))</f>
        <v>0</v>
      </c>
      <c r="CX130" s="302">
        <f>IF(CX$6=Data!$N$151,Data!$M$151,IF(CX$6=Data!$N$152,Data!$M$152,IF(CX$6=Data!$N$153,Data!$M$153,IF(CX$6=Data!$N$154,Data!$M$154,IF(CX$6=Data!$N$155,Data!$M$155,IF(CX$6=Data!$N$156,Data!$M$156,IF(CX$6=Data!$N$157,Data!$M$157,IF(CX$6=Data!$N$158,Data!$M$158,IF(CX$6=Data!$N$159,Data!$M$159,IF(CX$6=Data!$N$160,Data!$M$160,IF(CX$6=Data!$N$161,Data!$M$161,IF(CX$6=Data!$N$162,Data!$M$162,0))))))))))))</f>
        <v>0</v>
      </c>
      <c r="CY130" s="302">
        <f>IF(CY$6=Data!$N$151,Data!$M$151,IF(CY$6=Data!$N$152,Data!$M$152,IF(CY$6=Data!$N$153,Data!$M$153,IF(CY$6=Data!$N$154,Data!$M$154,IF(CY$6=Data!$N$155,Data!$M$155,IF(CY$6=Data!$N$156,Data!$M$156,IF(CY$6=Data!$N$157,Data!$M$157,IF(CY$6=Data!$N$158,Data!$M$158,IF(CY$6=Data!$N$159,Data!$M$159,IF(CY$6=Data!$N$160,Data!$M$160,IF(CY$6=Data!$N$161,Data!$M$161,IF(CY$6=Data!$N$162,Data!$M$162,0))))))))))))</f>
        <v>0</v>
      </c>
      <c r="CZ130" s="303">
        <f>IF(CZ$6=Data!$N$151,Data!$M$151,IF(CZ$6=Data!$N$152,Data!$M$152,IF(CZ$6=Data!$N$153,Data!$M$153,IF(CZ$6=Data!$N$154,Data!$M$154,IF(CZ$6=Data!$N$155,Data!$M$155,IF(CZ$6=Data!$N$156,Data!$M$156,IF(CZ$6=Data!$N$157,Data!$M$157,IF(CZ$6=Data!$N$158,Data!$M$158,IF(CZ$6=Data!$N$159,Data!$M$159,IF(CZ$6=Data!$N$160,Data!$M$160,IF(CZ$6=Data!$N$161,Data!$M$161,IF(CZ$6=Data!$N$162,Data!$M$162,0))))))))))))</f>
        <v>0.05</v>
      </c>
      <c r="DA130" s="302">
        <f>IF(DA$6=Data!$N$151,Data!$M$151,IF(DA$6=Data!$N$152,Data!$M$152,IF(DA$6=Data!$N$153,Data!$M$153,IF(DA$6=Data!$N$154,Data!$M$154,IF(DA$6=Data!$N$155,Data!$M$155,IF(DA$6=Data!$N$156,Data!$M$156,IF(DA$6=Data!$N$157,Data!$M$157,IF(DA$6=Data!$N$158,Data!$M$158,IF(DA$6=Data!$N$159,Data!$M$159,IF(DA$6=Data!$N$160,Data!$M$160,IF(DA$6=Data!$N$161,Data!$M$161,IF(DA$6=Data!$N$162,Data!$M$162,0))))))))))))</f>
        <v>0</v>
      </c>
      <c r="DB130" s="302">
        <f>IF(DB$6=Data!$N$151,Data!$M$151,IF(DB$6=Data!$N$152,Data!$M$152,IF(DB$6=Data!$N$153,Data!$M$153,IF(DB$6=Data!$N$154,Data!$M$154,IF(DB$6=Data!$N$155,Data!$M$155,IF(DB$6=Data!$N$156,Data!$M$156,IF(DB$6=Data!$N$157,Data!$M$157,IF(DB$6=Data!$N$158,Data!$M$158,IF(DB$6=Data!$N$159,Data!$M$159,IF(DB$6=Data!$N$160,Data!$M$160,IF(DB$6=Data!$N$161,Data!$M$161,IF(DB$6=Data!$N$162,Data!$M$162,0))))))))))))</f>
        <v>0</v>
      </c>
      <c r="DC130" s="302">
        <f>IF(DC$6=Data!$N$151,Data!$M$151,IF(DC$6=Data!$N$152,Data!$M$152,IF(DC$6=Data!$N$153,Data!$M$153,IF(DC$6=Data!$N$154,Data!$M$154,IF(DC$6=Data!$N$155,Data!$M$155,IF(DC$6=Data!$N$156,Data!$M$156,IF(DC$6=Data!$N$157,Data!$M$157,IF(DC$6=Data!$N$158,Data!$M$158,IF(DC$6=Data!$N$159,Data!$M$159,IF(DC$6=Data!$N$160,Data!$M$160,IF(DC$6=Data!$N$161,Data!$M$161,IF(DC$6=Data!$N$162,Data!$M$162,0))))))))))))</f>
        <v>0</v>
      </c>
      <c r="DD130" s="302">
        <f>IF(DD$6=Data!$N$151,Data!$M$151,IF(DD$6=Data!$N$152,Data!$M$152,IF(DD$6=Data!$N$153,Data!$M$153,IF(DD$6=Data!$N$154,Data!$M$154,IF(DD$6=Data!$N$155,Data!$M$155,IF(DD$6=Data!$N$156,Data!$M$156,IF(DD$6=Data!$N$157,Data!$M$157,IF(DD$6=Data!$N$158,Data!$M$158,IF(DD$6=Data!$N$159,Data!$M$159,IF(DD$6=Data!$N$160,Data!$M$160,IF(DD$6=Data!$N$161,Data!$M$161,IF(DD$6=Data!$N$162,Data!$M$162,0))))))))))))</f>
        <v>0</v>
      </c>
      <c r="DE130" s="302">
        <f>IF(DE$6=Data!$N$151,Data!$M$151,IF(DE$6=Data!$N$152,Data!$M$152,IF(DE$6=Data!$N$153,Data!$M$153,IF(DE$6=Data!$N$154,Data!$M$154,IF(DE$6=Data!$N$155,Data!$M$155,IF(DE$6=Data!$N$156,Data!$M$156,IF(DE$6=Data!$N$157,Data!$M$157,IF(DE$6=Data!$N$158,Data!$M$158,IF(DE$6=Data!$N$159,Data!$M$159,IF(DE$6=Data!$N$160,Data!$M$160,IF(DE$6=Data!$N$161,Data!$M$161,IF(DE$6=Data!$N$162,Data!$M$162,0))))))))))))</f>
        <v>0</v>
      </c>
      <c r="DF130" s="302">
        <f>IF(DF$6=Data!$N$151,Data!$M$151,IF(DF$6=Data!$N$152,Data!$M$152,IF(DF$6=Data!$N$153,Data!$M$153,IF(DF$6=Data!$N$154,Data!$M$154,IF(DF$6=Data!$N$155,Data!$M$155,IF(DF$6=Data!$N$156,Data!$M$156,IF(DF$6=Data!$N$157,Data!$M$157,IF(DF$6=Data!$N$158,Data!$M$158,IF(DF$6=Data!$N$159,Data!$M$159,IF(DF$6=Data!$N$160,Data!$M$160,IF(DF$6=Data!$N$161,Data!$M$161,IF(DF$6=Data!$N$162,Data!$M$162,0))))))))))))</f>
        <v>0</v>
      </c>
      <c r="DG130" s="302">
        <f>IF(DG$6=Data!$N$151,Data!$M$151,IF(DG$6=Data!$N$152,Data!$M$152,IF(DG$6=Data!$N$153,Data!$M$153,IF(DG$6=Data!$N$154,Data!$M$154,IF(DG$6=Data!$N$155,Data!$M$155,IF(DG$6=Data!$N$156,Data!$M$156,IF(DG$6=Data!$N$157,Data!$M$157,IF(DG$6=Data!$N$158,Data!$M$158,IF(DG$6=Data!$N$159,Data!$M$159,IF(DG$6=Data!$N$160,Data!$M$160,IF(DG$6=Data!$N$161,Data!$M$161,IF(DG$6=Data!$N$162,Data!$M$162,0))))))))))))</f>
        <v>0</v>
      </c>
      <c r="DH130" s="302">
        <f>IF(DH$6=Data!$N$151,Data!$M$151,IF(DH$6=Data!$N$152,Data!$M$152,IF(DH$6=Data!$N$153,Data!$M$153,IF(DH$6=Data!$N$154,Data!$M$154,IF(DH$6=Data!$N$155,Data!$M$155,IF(DH$6=Data!$N$156,Data!$M$156,IF(DH$6=Data!$N$157,Data!$M$157,IF(DH$6=Data!$N$158,Data!$M$158,IF(DH$6=Data!$N$159,Data!$M$159,IF(DH$6=Data!$N$160,Data!$M$160,IF(DH$6=Data!$N$161,Data!$M$161,IF(DH$6=Data!$N$162,Data!$M$162,0))))))))))))</f>
        <v>0</v>
      </c>
      <c r="DI130" s="302">
        <f>IF(DI$6=Data!$N$151,Data!$M$151,IF(DI$6=Data!$N$152,Data!$M$152,IF(DI$6=Data!$N$153,Data!$M$153,IF(DI$6=Data!$N$154,Data!$M$154,IF(DI$6=Data!$N$155,Data!$M$155,IF(DI$6=Data!$N$156,Data!$M$156,IF(DI$6=Data!$N$157,Data!$M$157,IF(DI$6=Data!$N$158,Data!$M$158,IF(DI$6=Data!$N$159,Data!$M$159,IF(DI$6=Data!$N$160,Data!$M$160,IF(DI$6=Data!$N$161,Data!$M$161,IF(DI$6=Data!$N$162,Data!$M$162,0))))))))))))</f>
        <v>0</v>
      </c>
      <c r="DJ130" s="302">
        <f>IF(DJ$6=Data!$N$151,Data!$M$151,IF(DJ$6=Data!$N$152,Data!$M$152,IF(DJ$6=Data!$N$153,Data!$M$153,IF(DJ$6=Data!$N$154,Data!$M$154,IF(DJ$6=Data!$N$155,Data!$M$155,IF(DJ$6=Data!$N$156,Data!$M$156,IF(DJ$6=Data!$N$157,Data!$M$157,IF(DJ$6=Data!$N$158,Data!$M$158,IF(DJ$6=Data!$N$159,Data!$M$159,IF(DJ$6=Data!$N$160,Data!$M$160,IF(DJ$6=Data!$N$161,Data!$M$161,IF(DJ$6=Data!$N$162,Data!$M$162,0))))))))))))</f>
        <v>0</v>
      </c>
      <c r="DK130" s="302">
        <f>IF(DK$6=Data!$N$151,Data!$M$151,IF(DK$6=Data!$N$152,Data!$M$152,IF(DK$6=Data!$N$153,Data!$M$153,IF(DK$6=Data!$N$154,Data!$M$154,IF(DK$6=Data!$N$155,Data!$M$155,IF(DK$6=Data!$N$156,Data!$M$156,IF(DK$6=Data!$N$157,Data!$M$157,IF(DK$6=Data!$N$158,Data!$M$158,IF(DK$6=Data!$N$159,Data!$M$159,IF(DK$6=Data!$N$160,Data!$M$160,IF(DK$6=Data!$N$161,Data!$M$161,IF(DK$6=Data!$N$162,Data!$M$162,0))))))))))))</f>
        <v>0</v>
      </c>
      <c r="DL130" s="303">
        <f>IF(DL$6=Data!$N$151,Data!$M$151,IF(DL$6=Data!$N$152,Data!$M$152,IF(DL$6=Data!$N$153,Data!$M$153,IF(DL$6=Data!$N$154,Data!$M$154,IF(DL$6=Data!$N$155,Data!$M$155,IF(DL$6=Data!$N$156,Data!$M$156,IF(DL$6=Data!$N$157,Data!$M$157,IF(DL$6=Data!$N$158,Data!$M$158,IF(DL$6=Data!$N$159,Data!$M$159,IF(DL$6=Data!$N$160,Data!$M$160,IF(DL$6=Data!$N$161,Data!$M$161,IF(DL$6=Data!$N$162,Data!$M$162,0))))))))))))</f>
        <v>0.05</v>
      </c>
      <c r="DM130" s="302">
        <f>IF(DM$6=Data!$N$151,Data!$M$151,IF(DM$6=Data!$N$152,Data!$M$152,IF(DM$6=Data!$N$153,Data!$M$153,IF(DM$6=Data!$N$154,Data!$M$154,IF(DM$6=Data!$N$155,Data!$M$155,IF(DM$6=Data!$N$156,Data!$M$156,IF(DM$6=Data!$N$157,Data!$M$157,IF(DM$6=Data!$N$158,Data!$M$158,IF(DM$6=Data!$N$159,Data!$M$159,IF(DM$6=Data!$N$160,Data!$M$160,IF(DM$6=Data!$N$161,Data!$M$161,IF(DM$6=Data!$N$162,Data!$M$162,0))))))))))))</f>
        <v>0</v>
      </c>
      <c r="DN130" s="302">
        <f>IF(DN$6=Data!$N$151,Data!$M$151,IF(DN$6=Data!$N$152,Data!$M$152,IF(DN$6=Data!$N$153,Data!$M$153,IF(DN$6=Data!$N$154,Data!$M$154,IF(DN$6=Data!$N$155,Data!$M$155,IF(DN$6=Data!$N$156,Data!$M$156,IF(DN$6=Data!$N$157,Data!$M$157,IF(DN$6=Data!$N$158,Data!$M$158,IF(DN$6=Data!$N$159,Data!$M$159,IF(DN$6=Data!$N$160,Data!$M$160,IF(DN$6=Data!$N$161,Data!$M$161,IF(DN$6=Data!$N$162,Data!$M$162,0))))))))))))</f>
        <v>0</v>
      </c>
      <c r="DO130" s="302">
        <f>IF(DO$6=Data!$N$151,Data!$M$151,IF(DO$6=Data!$N$152,Data!$M$152,IF(DO$6=Data!$N$153,Data!$M$153,IF(DO$6=Data!$N$154,Data!$M$154,IF(DO$6=Data!$N$155,Data!$M$155,IF(DO$6=Data!$N$156,Data!$M$156,IF(DO$6=Data!$N$157,Data!$M$157,IF(DO$6=Data!$N$158,Data!$M$158,IF(DO$6=Data!$N$159,Data!$M$159,IF(DO$6=Data!$N$160,Data!$M$160,IF(DO$6=Data!$N$161,Data!$M$161,IF(DO$6=Data!$N$162,Data!$M$162,0))))))))))))</f>
        <v>0</v>
      </c>
      <c r="DP130" s="302">
        <f>IF(DP$6=Data!$N$151,Data!$M$151,IF(DP$6=Data!$N$152,Data!$M$152,IF(DP$6=Data!$N$153,Data!$M$153,IF(DP$6=Data!$N$154,Data!$M$154,IF(DP$6=Data!$N$155,Data!$M$155,IF(DP$6=Data!$N$156,Data!$M$156,IF(DP$6=Data!$N$157,Data!$M$157,IF(DP$6=Data!$N$158,Data!$M$158,IF(DP$6=Data!$N$159,Data!$M$159,IF(DP$6=Data!$N$160,Data!$M$160,IF(DP$6=Data!$N$161,Data!$M$161,IF(DP$6=Data!$N$162,Data!$M$162,0))))))))))))</f>
        <v>0</v>
      </c>
      <c r="DQ130" s="302">
        <f>IF(DQ$6=Data!$N$151,Data!$M$151,IF(DQ$6=Data!$N$152,Data!$M$152,IF(DQ$6=Data!$N$153,Data!$M$153,IF(DQ$6=Data!$N$154,Data!$M$154,IF(DQ$6=Data!$N$155,Data!$M$155,IF(DQ$6=Data!$N$156,Data!$M$156,IF(DQ$6=Data!$N$157,Data!$M$157,IF(DQ$6=Data!$N$158,Data!$M$158,IF(DQ$6=Data!$N$159,Data!$M$159,IF(DQ$6=Data!$N$160,Data!$M$160,IF(DQ$6=Data!$N$161,Data!$M$161,IF(DQ$6=Data!$N$162,Data!$M$162,0))))))))))))</f>
        <v>0</v>
      </c>
      <c r="DR130" s="302">
        <f>IF(DR$6=Data!$N$151,Data!$M$151,IF(DR$6=Data!$N$152,Data!$M$152,IF(DR$6=Data!$N$153,Data!$M$153,IF(DR$6=Data!$N$154,Data!$M$154,IF(DR$6=Data!$N$155,Data!$M$155,IF(DR$6=Data!$N$156,Data!$M$156,IF(DR$6=Data!$N$157,Data!$M$157,IF(DR$6=Data!$N$158,Data!$M$158,IF(DR$6=Data!$N$159,Data!$M$159,IF(DR$6=Data!$N$160,Data!$M$160,IF(DR$6=Data!$N$161,Data!$M$161,IF(DR$6=Data!$N$162,Data!$M$162,0))))))))))))</f>
        <v>0</v>
      </c>
      <c r="DS130" s="302">
        <f>IF(DS$6=Data!$N$151,Data!$M$151,IF(DS$6=Data!$N$152,Data!$M$152,IF(DS$6=Data!$N$153,Data!$M$153,IF(DS$6=Data!$N$154,Data!$M$154,IF(DS$6=Data!$N$155,Data!$M$155,IF(DS$6=Data!$N$156,Data!$M$156,IF(DS$6=Data!$N$157,Data!$M$157,IF(DS$6=Data!$N$158,Data!$M$158,IF(DS$6=Data!$N$159,Data!$M$159,IF(DS$6=Data!$N$160,Data!$M$160,IF(DS$6=Data!$N$161,Data!$M$161,IF(DS$6=Data!$N$162,Data!$M$162,0))))))))))))</f>
        <v>0</v>
      </c>
      <c r="DT130" s="302">
        <f>IF(DT$6=Data!$N$151,Data!$M$151,IF(DT$6=Data!$N$152,Data!$M$152,IF(DT$6=Data!$N$153,Data!$M$153,IF(DT$6=Data!$N$154,Data!$M$154,IF(DT$6=Data!$N$155,Data!$M$155,IF(DT$6=Data!$N$156,Data!$M$156,IF(DT$6=Data!$N$157,Data!$M$157,IF(DT$6=Data!$N$158,Data!$M$158,IF(DT$6=Data!$N$159,Data!$M$159,IF(DT$6=Data!$N$160,Data!$M$160,IF(DT$6=Data!$N$161,Data!$M$161,IF(DT$6=Data!$N$162,Data!$M$162,0))))))))))))</f>
        <v>0</v>
      </c>
      <c r="DU130" s="302">
        <f>IF(DU$6=Data!$N$151,Data!$M$151,IF(DU$6=Data!$N$152,Data!$M$152,IF(DU$6=Data!$N$153,Data!$M$153,IF(DU$6=Data!$N$154,Data!$M$154,IF(DU$6=Data!$N$155,Data!$M$155,IF(DU$6=Data!$N$156,Data!$M$156,IF(DU$6=Data!$N$157,Data!$M$157,IF(DU$6=Data!$N$158,Data!$M$158,IF(DU$6=Data!$N$159,Data!$M$159,IF(DU$6=Data!$N$160,Data!$M$160,IF(DU$6=Data!$N$161,Data!$M$161,IF(DU$6=Data!$N$162,Data!$M$162,0))))))))))))</f>
        <v>0</v>
      </c>
      <c r="DV130" s="302">
        <f>IF(DV$6=Data!$N$151,Data!$M$151,IF(DV$6=Data!$N$152,Data!$M$152,IF(DV$6=Data!$N$153,Data!$M$153,IF(DV$6=Data!$N$154,Data!$M$154,IF(DV$6=Data!$N$155,Data!$M$155,IF(DV$6=Data!$N$156,Data!$M$156,IF(DV$6=Data!$N$157,Data!$M$157,IF(DV$6=Data!$N$158,Data!$M$158,IF(DV$6=Data!$N$159,Data!$M$159,IF(DV$6=Data!$N$160,Data!$M$160,IF(DV$6=Data!$N$161,Data!$M$161,IF(DV$6=Data!$N$162,Data!$M$162,0))))))))))))</f>
        <v>0</v>
      </c>
      <c r="DW130" s="302">
        <f>IF(DW$6=Data!$N$151,Data!$M$151,IF(DW$6=Data!$N$152,Data!$M$152,IF(DW$6=Data!$N$153,Data!$M$153,IF(DW$6=Data!$N$154,Data!$M$154,IF(DW$6=Data!$N$155,Data!$M$155,IF(DW$6=Data!$N$156,Data!$M$156,IF(DW$6=Data!$N$157,Data!$M$157,IF(DW$6=Data!$N$158,Data!$M$158,IF(DW$6=Data!$N$159,Data!$M$159,IF(DW$6=Data!$N$160,Data!$M$160,IF(DW$6=Data!$N$161,Data!$M$161,IF(DW$6=Data!$N$162,Data!$M$162,0))))))))))))</f>
        <v>0</v>
      </c>
    </row>
    <row r="131" spans="3:127" s="93" customFormat="1" x14ac:dyDescent="0.3"/>
    <row r="132" spans="3:127" x14ac:dyDescent="0.3">
      <c r="D132" s="120" t="s">
        <v>81</v>
      </c>
      <c r="E132" s="365"/>
      <c r="F132" s="367"/>
      <c r="G132" s="1221">
        <f>Summary!$C$14</f>
        <v>1</v>
      </c>
      <c r="H132" s="1046">
        <f>G132</f>
        <v>1</v>
      </c>
      <c r="I132" s="1046">
        <f>H132</f>
        <v>1</v>
      </c>
      <c r="J132" s="1046">
        <f t="shared" ref="J132:L132" si="1034">I132</f>
        <v>1</v>
      </c>
      <c r="K132" s="1046">
        <f t="shared" si="1034"/>
        <v>1</v>
      </c>
      <c r="L132" s="1046">
        <f t="shared" si="1034"/>
        <v>1</v>
      </c>
      <c r="M132" s="1046">
        <f>L132</f>
        <v>1</v>
      </c>
      <c r="N132" s="1221">
        <f>Summary!$D$14</f>
        <v>1</v>
      </c>
      <c r="O132" s="1046">
        <f t="shared" ref="O132:BO132" si="1035">N132</f>
        <v>1</v>
      </c>
      <c r="P132" s="1046">
        <f t="shared" si="1035"/>
        <v>1</v>
      </c>
      <c r="Q132" s="1046">
        <f t="shared" si="1035"/>
        <v>1</v>
      </c>
      <c r="R132" s="1046">
        <f t="shared" si="1035"/>
        <v>1</v>
      </c>
      <c r="S132" s="1046">
        <f t="shared" si="1035"/>
        <v>1</v>
      </c>
      <c r="T132" s="1221">
        <f>Summary!$E$14</f>
        <v>1</v>
      </c>
      <c r="U132" s="1046">
        <f t="shared" si="1035"/>
        <v>1</v>
      </c>
      <c r="V132" s="1046">
        <f t="shared" si="1035"/>
        <v>1</v>
      </c>
      <c r="W132" s="1046">
        <f t="shared" si="1035"/>
        <v>1</v>
      </c>
      <c r="X132" s="1046">
        <f t="shared" si="1035"/>
        <v>1</v>
      </c>
      <c r="Y132" s="1046">
        <f t="shared" si="1035"/>
        <v>1</v>
      </c>
      <c r="Z132" s="1046">
        <f t="shared" si="1035"/>
        <v>1</v>
      </c>
      <c r="AA132" s="1046">
        <f t="shared" si="1035"/>
        <v>1</v>
      </c>
      <c r="AB132" s="1046">
        <f t="shared" si="1035"/>
        <v>1</v>
      </c>
      <c r="AC132" s="1046">
        <f t="shared" si="1035"/>
        <v>1</v>
      </c>
      <c r="AD132" s="1046">
        <f t="shared" si="1035"/>
        <v>1</v>
      </c>
      <c r="AE132" s="1046">
        <f t="shared" si="1035"/>
        <v>1</v>
      </c>
      <c r="AF132" s="1046">
        <f t="shared" si="1035"/>
        <v>1</v>
      </c>
      <c r="AG132" s="1046">
        <f t="shared" si="1035"/>
        <v>1</v>
      </c>
      <c r="AH132" s="1046">
        <f t="shared" si="1035"/>
        <v>1</v>
      </c>
      <c r="AI132" s="1046">
        <f t="shared" si="1035"/>
        <v>1</v>
      </c>
      <c r="AJ132" s="1046">
        <f t="shared" si="1035"/>
        <v>1</v>
      </c>
      <c r="AK132" s="1046">
        <f t="shared" si="1035"/>
        <v>1</v>
      </c>
      <c r="AL132" s="1046">
        <f t="shared" si="1035"/>
        <v>1</v>
      </c>
      <c r="AM132" s="1046">
        <f t="shared" si="1035"/>
        <v>1</v>
      </c>
      <c r="AN132" s="1046">
        <f t="shared" si="1035"/>
        <v>1</v>
      </c>
      <c r="AO132" s="1046">
        <f t="shared" si="1035"/>
        <v>1</v>
      </c>
      <c r="AP132" s="1046">
        <f t="shared" si="1035"/>
        <v>1</v>
      </c>
      <c r="AQ132" s="1046">
        <f t="shared" si="1035"/>
        <v>1</v>
      </c>
      <c r="AR132" s="1046">
        <f t="shared" si="1035"/>
        <v>1</v>
      </c>
      <c r="AS132" s="1046">
        <f t="shared" si="1035"/>
        <v>1</v>
      </c>
      <c r="AT132" s="1046">
        <f t="shared" si="1035"/>
        <v>1</v>
      </c>
      <c r="AU132" s="1046">
        <f t="shared" si="1035"/>
        <v>1</v>
      </c>
      <c r="AV132" s="1046">
        <f t="shared" si="1035"/>
        <v>1</v>
      </c>
      <c r="AW132" s="1046">
        <f t="shared" si="1035"/>
        <v>1</v>
      </c>
      <c r="AX132" s="1046">
        <f t="shared" si="1035"/>
        <v>1</v>
      </c>
      <c r="AY132" s="1046">
        <f t="shared" si="1035"/>
        <v>1</v>
      </c>
      <c r="AZ132" s="1046">
        <f t="shared" si="1035"/>
        <v>1</v>
      </c>
      <c r="BA132" s="1046">
        <f t="shared" si="1035"/>
        <v>1</v>
      </c>
      <c r="BB132" s="1046">
        <f t="shared" si="1035"/>
        <v>1</v>
      </c>
      <c r="BC132" s="1046">
        <f t="shared" si="1035"/>
        <v>1</v>
      </c>
      <c r="BD132" s="1046">
        <f t="shared" si="1035"/>
        <v>1</v>
      </c>
      <c r="BE132" s="1046">
        <f t="shared" si="1035"/>
        <v>1</v>
      </c>
      <c r="BF132" s="1046">
        <f t="shared" si="1035"/>
        <v>1</v>
      </c>
      <c r="BG132" s="1046">
        <f t="shared" si="1035"/>
        <v>1</v>
      </c>
      <c r="BH132" s="1046">
        <f t="shared" si="1035"/>
        <v>1</v>
      </c>
      <c r="BI132" s="1046">
        <f t="shared" si="1035"/>
        <v>1</v>
      </c>
      <c r="BJ132" s="1046">
        <f t="shared" si="1035"/>
        <v>1</v>
      </c>
      <c r="BK132" s="1046">
        <f t="shared" si="1035"/>
        <v>1</v>
      </c>
      <c r="BL132" s="1046">
        <f t="shared" si="1035"/>
        <v>1</v>
      </c>
      <c r="BM132" s="1046">
        <f t="shared" si="1035"/>
        <v>1</v>
      </c>
      <c r="BN132" s="1046">
        <f t="shared" si="1035"/>
        <v>1</v>
      </c>
      <c r="BO132" s="1046">
        <f t="shared" si="1035"/>
        <v>1</v>
      </c>
      <c r="BP132" s="1046">
        <f t="shared" ref="BP132" si="1036">BO132</f>
        <v>1</v>
      </c>
      <c r="BQ132" s="1046">
        <f t="shared" ref="BQ132" si="1037">BP132</f>
        <v>1</v>
      </c>
      <c r="BR132" s="1046">
        <f t="shared" ref="BR132" si="1038">BQ132</f>
        <v>1</v>
      </c>
      <c r="BS132" s="1046">
        <f t="shared" ref="BS132" si="1039">BR132</f>
        <v>1</v>
      </c>
      <c r="BT132" s="1046">
        <f t="shared" ref="BT132" si="1040">BS132</f>
        <v>1</v>
      </c>
      <c r="BU132" s="1046">
        <f t="shared" ref="BU132" si="1041">BT132</f>
        <v>1</v>
      </c>
      <c r="BV132" s="1046">
        <f t="shared" ref="BV132" si="1042">BU132</f>
        <v>1</v>
      </c>
      <c r="BW132" s="1046">
        <f t="shared" ref="BW132" si="1043">BV132</f>
        <v>1</v>
      </c>
      <c r="BX132" s="1046">
        <f t="shared" ref="BX132" si="1044">BW132</f>
        <v>1</v>
      </c>
      <c r="BY132" s="1046">
        <f t="shared" ref="BY132" si="1045">BX132</f>
        <v>1</v>
      </c>
      <c r="BZ132" s="1046">
        <f t="shared" ref="BZ132" si="1046">BY132</f>
        <v>1</v>
      </c>
      <c r="CA132" s="1046">
        <f t="shared" ref="CA132" si="1047">BZ132</f>
        <v>1</v>
      </c>
      <c r="CB132" s="1046">
        <f t="shared" ref="CB132" si="1048">CA132</f>
        <v>1</v>
      </c>
      <c r="CC132" s="1046">
        <f t="shared" ref="CC132" si="1049">CB132</f>
        <v>1</v>
      </c>
      <c r="CD132" s="1046">
        <f t="shared" ref="CD132" si="1050">CC132</f>
        <v>1</v>
      </c>
      <c r="CE132" s="1046">
        <f t="shared" ref="CE132" si="1051">CD132</f>
        <v>1</v>
      </c>
      <c r="CF132" s="1046">
        <f t="shared" ref="CF132" si="1052">CE132</f>
        <v>1</v>
      </c>
      <c r="CG132" s="1046">
        <f t="shared" ref="CG132" si="1053">CF132</f>
        <v>1</v>
      </c>
      <c r="CH132" s="1046">
        <f t="shared" ref="CH132" si="1054">CG132</f>
        <v>1</v>
      </c>
      <c r="CI132" s="1046">
        <f t="shared" ref="CI132" si="1055">CH132</f>
        <v>1</v>
      </c>
      <c r="CJ132" s="1046">
        <f t="shared" ref="CJ132" si="1056">CI132</f>
        <v>1</v>
      </c>
      <c r="CK132" s="1046">
        <f t="shared" ref="CK132" si="1057">CJ132</f>
        <v>1</v>
      </c>
      <c r="CL132" s="1046">
        <f t="shared" ref="CL132" si="1058">CK132</f>
        <v>1</v>
      </c>
      <c r="CM132" s="1046">
        <f t="shared" ref="CM132" si="1059">CL132</f>
        <v>1</v>
      </c>
      <c r="CN132" s="1046">
        <f t="shared" ref="CN132" si="1060">CM132</f>
        <v>1</v>
      </c>
      <c r="CO132" s="1046">
        <f t="shared" ref="CO132" si="1061">CN132</f>
        <v>1</v>
      </c>
      <c r="CP132" s="1046">
        <f t="shared" ref="CP132" si="1062">CO132</f>
        <v>1</v>
      </c>
      <c r="CQ132" s="1046">
        <f t="shared" ref="CQ132" si="1063">CP132</f>
        <v>1</v>
      </c>
      <c r="CR132" s="1046">
        <f t="shared" ref="CR132" si="1064">CQ132</f>
        <v>1</v>
      </c>
      <c r="CS132" s="1046">
        <f t="shared" ref="CS132" si="1065">CR132</f>
        <v>1</v>
      </c>
      <c r="CT132" s="1046">
        <f t="shared" ref="CT132" si="1066">CS132</f>
        <v>1</v>
      </c>
      <c r="CU132" s="1046">
        <f t="shared" ref="CU132" si="1067">CT132</f>
        <v>1</v>
      </c>
      <c r="CV132" s="1046">
        <f t="shared" ref="CV132" si="1068">CU132</f>
        <v>1</v>
      </c>
      <c r="CW132" s="1046">
        <f t="shared" ref="CW132" si="1069">CV132</f>
        <v>1</v>
      </c>
      <c r="CX132" s="1046">
        <f t="shared" ref="CX132" si="1070">CW132</f>
        <v>1</v>
      </c>
      <c r="CY132" s="1046">
        <f t="shared" ref="CY132" si="1071">CX132</f>
        <v>1</v>
      </c>
      <c r="CZ132" s="1046">
        <f t="shared" ref="CZ132" si="1072">CY132</f>
        <v>1</v>
      </c>
      <c r="DA132" s="1046">
        <f t="shared" ref="DA132" si="1073">CZ132</f>
        <v>1</v>
      </c>
      <c r="DB132" s="1046">
        <f t="shared" ref="DB132" si="1074">DA132</f>
        <v>1</v>
      </c>
      <c r="DC132" s="1046">
        <f t="shared" ref="DC132" si="1075">DB132</f>
        <v>1</v>
      </c>
      <c r="DD132" s="1046">
        <f t="shared" ref="DD132" si="1076">DC132</f>
        <v>1</v>
      </c>
      <c r="DE132" s="1046">
        <f t="shared" ref="DE132" si="1077">DD132</f>
        <v>1</v>
      </c>
      <c r="DF132" s="1046">
        <f t="shared" ref="DF132" si="1078">DE132</f>
        <v>1</v>
      </c>
      <c r="DG132" s="1046">
        <f t="shared" ref="DG132" si="1079">DF132</f>
        <v>1</v>
      </c>
      <c r="DH132" s="1046">
        <f t="shared" ref="DH132" si="1080">DG132</f>
        <v>1</v>
      </c>
      <c r="DI132" s="1046">
        <f t="shared" ref="DI132" si="1081">DH132</f>
        <v>1</v>
      </c>
      <c r="DJ132" s="1046">
        <f t="shared" ref="DJ132" si="1082">DI132</f>
        <v>1</v>
      </c>
      <c r="DK132" s="1046">
        <f t="shared" ref="DK132" si="1083">DJ132</f>
        <v>1</v>
      </c>
      <c r="DL132" s="1046">
        <f t="shared" ref="DL132" si="1084">DK132</f>
        <v>1</v>
      </c>
      <c r="DM132" s="1046">
        <f t="shared" ref="DM132" si="1085">DL132</f>
        <v>1</v>
      </c>
      <c r="DN132" s="1046">
        <f t="shared" ref="DN132" si="1086">DM132</f>
        <v>1</v>
      </c>
      <c r="DO132" s="1046">
        <f t="shared" ref="DO132" si="1087">DN132</f>
        <v>1</v>
      </c>
      <c r="DP132" s="1046">
        <f t="shared" ref="DP132" si="1088">DO132</f>
        <v>1</v>
      </c>
      <c r="DQ132" s="1046">
        <f t="shared" ref="DQ132" si="1089">DP132</f>
        <v>1</v>
      </c>
      <c r="DR132" s="1046">
        <f t="shared" ref="DR132" si="1090">DQ132</f>
        <v>1</v>
      </c>
      <c r="DS132" s="1046">
        <f t="shared" ref="DS132" si="1091">DR132</f>
        <v>1</v>
      </c>
      <c r="DT132" s="1046">
        <f t="shared" ref="DT132" si="1092">DS132</f>
        <v>1</v>
      </c>
      <c r="DU132" s="1046">
        <f t="shared" ref="DU132" si="1093">DT132</f>
        <v>1</v>
      </c>
      <c r="DV132" s="1046">
        <f t="shared" ref="DV132" si="1094">DU132</f>
        <v>1</v>
      </c>
      <c r="DW132" s="1046">
        <f t="shared" ref="DW132" si="1095">DV132</f>
        <v>1</v>
      </c>
    </row>
    <row r="133" spans="3:127" x14ac:dyDescent="0.3">
      <c r="C133" s="1124">
        <f>Summary!$R$3</f>
        <v>0</v>
      </c>
      <c r="D133" s="120" t="s">
        <v>242</v>
      </c>
      <c r="E133" s="365"/>
      <c r="F133" s="367"/>
      <c r="G133" s="1221">
        <f t="shared" ref="G133:J133" si="1096">1-G132</f>
        <v>0</v>
      </c>
      <c r="H133" s="1046">
        <f t="shared" si="1096"/>
        <v>0</v>
      </c>
      <c r="I133" s="1046">
        <f t="shared" si="1096"/>
        <v>0</v>
      </c>
      <c r="J133" s="1046">
        <f t="shared" si="1096"/>
        <v>0</v>
      </c>
      <c r="K133" s="1046">
        <f t="shared" ref="K133:BO133" si="1097">1-K132</f>
        <v>0</v>
      </c>
      <c r="L133" s="1046">
        <f t="shared" si="1097"/>
        <v>0</v>
      </c>
      <c r="M133" s="1046">
        <f t="shared" si="1097"/>
        <v>0</v>
      </c>
      <c r="N133" s="1046">
        <f t="shared" si="1097"/>
        <v>0</v>
      </c>
      <c r="O133" s="1046">
        <f t="shared" si="1097"/>
        <v>0</v>
      </c>
      <c r="P133" s="1046">
        <f t="shared" si="1097"/>
        <v>0</v>
      </c>
      <c r="Q133" s="1046">
        <f t="shared" si="1097"/>
        <v>0</v>
      </c>
      <c r="R133" s="1046">
        <f t="shared" si="1097"/>
        <v>0</v>
      </c>
      <c r="S133" s="1046">
        <f t="shared" si="1097"/>
        <v>0</v>
      </c>
      <c r="T133" s="1046">
        <f t="shared" si="1097"/>
        <v>0</v>
      </c>
      <c r="U133" s="1046">
        <f t="shared" si="1097"/>
        <v>0</v>
      </c>
      <c r="V133" s="1046">
        <f t="shared" si="1097"/>
        <v>0</v>
      </c>
      <c r="W133" s="1046">
        <f t="shared" si="1097"/>
        <v>0</v>
      </c>
      <c r="X133" s="1046">
        <f t="shared" si="1097"/>
        <v>0</v>
      </c>
      <c r="Y133" s="1046">
        <f t="shared" si="1097"/>
        <v>0</v>
      </c>
      <c r="Z133" s="1046">
        <f t="shared" si="1097"/>
        <v>0</v>
      </c>
      <c r="AA133" s="1046">
        <f t="shared" si="1097"/>
        <v>0</v>
      </c>
      <c r="AB133" s="1046">
        <f t="shared" si="1097"/>
        <v>0</v>
      </c>
      <c r="AC133" s="1046">
        <f t="shared" si="1097"/>
        <v>0</v>
      </c>
      <c r="AD133" s="1046">
        <f t="shared" si="1097"/>
        <v>0</v>
      </c>
      <c r="AE133" s="1046">
        <f t="shared" si="1097"/>
        <v>0</v>
      </c>
      <c r="AF133" s="1046">
        <f t="shared" si="1097"/>
        <v>0</v>
      </c>
      <c r="AG133" s="1046">
        <f t="shared" si="1097"/>
        <v>0</v>
      </c>
      <c r="AH133" s="1046">
        <f t="shared" si="1097"/>
        <v>0</v>
      </c>
      <c r="AI133" s="1046">
        <f t="shared" si="1097"/>
        <v>0</v>
      </c>
      <c r="AJ133" s="1046">
        <f t="shared" si="1097"/>
        <v>0</v>
      </c>
      <c r="AK133" s="1046">
        <f t="shared" si="1097"/>
        <v>0</v>
      </c>
      <c r="AL133" s="1046">
        <f t="shared" si="1097"/>
        <v>0</v>
      </c>
      <c r="AM133" s="1046">
        <f t="shared" si="1097"/>
        <v>0</v>
      </c>
      <c r="AN133" s="1046">
        <f t="shared" si="1097"/>
        <v>0</v>
      </c>
      <c r="AO133" s="1046">
        <f t="shared" si="1097"/>
        <v>0</v>
      </c>
      <c r="AP133" s="1046">
        <f t="shared" si="1097"/>
        <v>0</v>
      </c>
      <c r="AQ133" s="1046">
        <f t="shared" si="1097"/>
        <v>0</v>
      </c>
      <c r="AR133" s="1046">
        <f t="shared" si="1097"/>
        <v>0</v>
      </c>
      <c r="AS133" s="1046">
        <f t="shared" si="1097"/>
        <v>0</v>
      </c>
      <c r="AT133" s="1046">
        <f t="shared" si="1097"/>
        <v>0</v>
      </c>
      <c r="AU133" s="1046">
        <f t="shared" si="1097"/>
        <v>0</v>
      </c>
      <c r="AV133" s="1046">
        <f t="shared" si="1097"/>
        <v>0</v>
      </c>
      <c r="AW133" s="1046">
        <f t="shared" si="1097"/>
        <v>0</v>
      </c>
      <c r="AX133" s="1046">
        <f t="shared" si="1097"/>
        <v>0</v>
      </c>
      <c r="AY133" s="1046">
        <f t="shared" si="1097"/>
        <v>0</v>
      </c>
      <c r="AZ133" s="1046">
        <f t="shared" si="1097"/>
        <v>0</v>
      </c>
      <c r="BA133" s="1046">
        <f t="shared" si="1097"/>
        <v>0</v>
      </c>
      <c r="BB133" s="1046">
        <f t="shared" si="1097"/>
        <v>0</v>
      </c>
      <c r="BC133" s="1046">
        <f t="shared" si="1097"/>
        <v>0</v>
      </c>
      <c r="BD133" s="1046">
        <f t="shared" si="1097"/>
        <v>0</v>
      </c>
      <c r="BE133" s="1046">
        <f t="shared" si="1097"/>
        <v>0</v>
      </c>
      <c r="BF133" s="1046">
        <f t="shared" si="1097"/>
        <v>0</v>
      </c>
      <c r="BG133" s="1046">
        <f t="shared" si="1097"/>
        <v>0</v>
      </c>
      <c r="BH133" s="1046">
        <f t="shared" si="1097"/>
        <v>0</v>
      </c>
      <c r="BI133" s="1046">
        <f t="shared" si="1097"/>
        <v>0</v>
      </c>
      <c r="BJ133" s="1046">
        <f t="shared" si="1097"/>
        <v>0</v>
      </c>
      <c r="BK133" s="1046">
        <f t="shared" si="1097"/>
        <v>0</v>
      </c>
      <c r="BL133" s="1046">
        <f t="shared" si="1097"/>
        <v>0</v>
      </c>
      <c r="BM133" s="1046">
        <f t="shared" si="1097"/>
        <v>0</v>
      </c>
      <c r="BN133" s="1046">
        <f t="shared" si="1097"/>
        <v>0</v>
      </c>
      <c r="BO133" s="1046">
        <f t="shared" si="1097"/>
        <v>0</v>
      </c>
      <c r="BP133" s="1046">
        <f t="shared" ref="BP133:CO133" si="1098">1-BP132</f>
        <v>0</v>
      </c>
      <c r="BQ133" s="1046">
        <f t="shared" si="1098"/>
        <v>0</v>
      </c>
      <c r="BR133" s="1046">
        <f t="shared" si="1098"/>
        <v>0</v>
      </c>
      <c r="BS133" s="1046">
        <f t="shared" si="1098"/>
        <v>0</v>
      </c>
      <c r="BT133" s="1046">
        <f t="shared" si="1098"/>
        <v>0</v>
      </c>
      <c r="BU133" s="1046">
        <f t="shared" si="1098"/>
        <v>0</v>
      </c>
      <c r="BV133" s="1046">
        <f t="shared" si="1098"/>
        <v>0</v>
      </c>
      <c r="BW133" s="1046">
        <f t="shared" si="1098"/>
        <v>0</v>
      </c>
      <c r="BX133" s="1046">
        <f t="shared" si="1098"/>
        <v>0</v>
      </c>
      <c r="BY133" s="1046">
        <f t="shared" si="1098"/>
        <v>0</v>
      </c>
      <c r="BZ133" s="1046">
        <f t="shared" si="1098"/>
        <v>0</v>
      </c>
      <c r="CA133" s="1046">
        <f t="shared" si="1098"/>
        <v>0</v>
      </c>
      <c r="CB133" s="1046">
        <f t="shared" si="1098"/>
        <v>0</v>
      </c>
      <c r="CC133" s="1046">
        <f t="shared" si="1098"/>
        <v>0</v>
      </c>
      <c r="CD133" s="1046">
        <f t="shared" si="1098"/>
        <v>0</v>
      </c>
      <c r="CE133" s="1046">
        <f t="shared" si="1098"/>
        <v>0</v>
      </c>
      <c r="CF133" s="1046">
        <f t="shared" si="1098"/>
        <v>0</v>
      </c>
      <c r="CG133" s="1046">
        <f t="shared" si="1098"/>
        <v>0</v>
      </c>
      <c r="CH133" s="1046">
        <f t="shared" si="1098"/>
        <v>0</v>
      </c>
      <c r="CI133" s="1046">
        <f t="shared" si="1098"/>
        <v>0</v>
      </c>
      <c r="CJ133" s="1046">
        <f t="shared" si="1098"/>
        <v>0</v>
      </c>
      <c r="CK133" s="1046">
        <f t="shared" si="1098"/>
        <v>0</v>
      </c>
      <c r="CL133" s="1046">
        <f t="shared" si="1098"/>
        <v>0</v>
      </c>
      <c r="CM133" s="1046">
        <f t="shared" si="1098"/>
        <v>0</v>
      </c>
      <c r="CN133" s="1046">
        <f t="shared" si="1098"/>
        <v>0</v>
      </c>
      <c r="CO133" s="1046">
        <f t="shared" si="1098"/>
        <v>0</v>
      </c>
      <c r="CP133" s="1046">
        <f t="shared" ref="CP133:DW133" si="1099">1-CP132</f>
        <v>0</v>
      </c>
      <c r="CQ133" s="1046">
        <f t="shared" si="1099"/>
        <v>0</v>
      </c>
      <c r="CR133" s="1046">
        <f t="shared" si="1099"/>
        <v>0</v>
      </c>
      <c r="CS133" s="1046">
        <f t="shared" si="1099"/>
        <v>0</v>
      </c>
      <c r="CT133" s="1046">
        <f t="shared" si="1099"/>
        <v>0</v>
      </c>
      <c r="CU133" s="1046">
        <f t="shared" si="1099"/>
        <v>0</v>
      </c>
      <c r="CV133" s="1046">
        <f t="shared" si="1099"/>
        <v>0</v>
      </c>
      <c r="CW133" s="1046">
        <f t="shared" si="1099"/>
        <v>0</v>
      </c>
      <c r="CX133" s="1046">
        <f t="shared" si="1099"/>
        <v>0</v>
      </c>
      <c r="CY133" s="1046">
        <f t="shared" si="1099"/>
        <v>0</v>
      </c>
      <c r="CZ133" s="1046">
        <f t="shared" si="1099"/>
        <v>0</v>
      </c>
      <c r="DA133" s="1046">
        <f t="shared" si="1099"/>
        <v>0</v>
      </c>
      <c r="DB133" s="1046">
        <f t="shared" si="1099"/>
        <v>0</v>
      </c>
      <c r="DC133" s="1046">
        <f t="shared" si="1099"/>
        <v>0</v>
      </c>
      <c r="DD133" s="1046">
        <f t="shared" si="1099"/>
        <v>0</v>
      </c>
      <c r="DE133" s="1046">
        <f t="shared" si="1099"/>
        <v>0</v>
      </c>
      <c r="DF133" s="1046">
        <f t="shared" si="1099"/>
        <v>0</v>
      </c>
      <c r="DG133" s="1046">
        <f t="shared" si="1099"/>
        <v>0</v>
      </c>
      <c r="DH133" s="1046">
        <f t="shared" si="1099"/>
        <v>0</v>
      </c>
      <c r="DI133" s="1046">
        <f t="shared" si="1099"/>
        <v>0</v>
      </c>
      <c r="DJ133" s="1046">
        <f t="shared" si="1099"/>
        <v>0</v>
      </c>
      <c r="DK133" s="1046">
        <f t="shared" si="1099"/>
        <v>0</v>
      </c>
      <c r="DL133" s="1046">
        <f t="shared" si="1099"/>
        <v>0</v>
      </c>
      <c r="DM133" s="1046">
        <f t="shared" si="1099"/>
        <v>0</v>
      </c>
      <c r="DN133" s="1046">
        <f t="shared" si="1099"/>
        <v>0</v>
      </c>
      <c r="DO133" s="1046">
        <f t="shared" si="1099"/>
        <v>0</v>
      </c>
      <c r="DP133" s="1046">
        <f t="shared" si="1099"/>
        <v>0</v>
      </c>
      <c r="DQ133" s="1046">
        <f t="shared" si="1099"/>
        <v>0</v>
      </c>
      <c r="DR133" s="1046">
        <f t="shared" si="1099"/>
        <v>0</v>
      </c>
      <c r="DS133" s="1046">
        <f t="shared" si="1099"/>
        <v>0</v>
      </c>
      <c r="DT133" s="1046">
        <f t="shared" si="1099"/>
        <v>0</v>
      </c>
      <c r="DU133" s="1046">
        <f t="shared" si="1099"/>
        <v>0</v>
      </c>
      <c r="DV133" s="1046">
        <f t="shared" si="1099"/>
        <v>0</v>
      </c>
      <c r="DW133" s="1046">
        <f t="shared" si="1099"/>
        <v>0</v>
      </c>
    </row>
    <row r="134" spans="3:127" s="93" customFormat="1" x14ac:dyDescent="0.3">
      <c r="D134" s="32"/>
    </row>
    <row r="135" spans="3:127" x14ac:dyDescent="0.3">
      <c r="D135" s="120" t="s">
        <v>243</v>
      </c>
      <c r="E135" s="365"/>
      <c r="F135" s="367"/>
      <c r="G135" s="1222">
        <f>H135</f>
        <v>60.999999999999993</v>
      </c>
      <c r="H135" s="364">
        <f t="shared" ref="H135:AM135" si="1100">H40*H132</f>
        <v>60.999999999999993</v>
      </c>
      <c r="I135" s="364">
        <f t="shared" si="1100"/>
        <v>61</v>
      </c>
      <c r="J135" s="364">
        <f t="shared" si="1100"/>
        <v>61</v>
      </c>
      <c r="K135" s="364">
        <f t="shared" si="1100"/>
        <v>61</v>
      </c>
      <c r="L135" s="364">
        <f t="shared" si="1100"/>
        <v>61</v>
      </c>
      <c r="M135" s="364">
        <f t="shared" si="1100"/>
        <v>61</v>
      </c>
      <c r="N135" s="364">
        <f t="shared" si="1100"/>
        <v>61</v>
      </c>
      <c r="O135" s="364">
        <f t="shared" si="1100"/>
        <v>61</v>
      </c>
      <c r="P135" s="364">
        <f t="shared" si="1100"/>
        <v>61</v>
      </c>
      <c r="Q135" s="364">
        <f t="shared" si="1100"/>
        <v>61</v>
      </c>
      <c r="R135" s="364">
        <f t="shared" si="1100"/>
        <v>61</v>
      </c>
      <c r="S135" s="364">
        <f t="shared" si="1100"/>
        <v>61</v>
      </c>
      <c r="T135" s="364">
        <f t="shared" si="1100"/>
        <v>61</v>
      </c>
      <c r="U135" s="364">
        <f t="shared" si="1100"/>
        <v>61</v>
      </c>
      <c r="V135" s="364">
        <f t="shared" si="1100"/>
        <v>61</v>
      </c>
      <c r="W135" s="364">
        <f t="shared" si="1100"/>
        <v>61</v>
      </c>
      <c r="X135" s="364">
        <f t="shared" si="1100"/>
        <v>61</v>
      </c>
      <c r="Y135" s="364">
        <f t="shared" si="1100"/>
        <v>61</v>
      </c>
      <c r="Z135" s="364">
        <f t="shared" si="1100"/>
        <v>61</v>
      </c>
      <c r="AA135" s="364">
        <f t="shared" si="1100"/>
        <v>61</v>
      </c>
      <c r="AB135" s="364">
        <f t="shared" si="1100"/>
        <v>61</v>
      </c>
      <c r="AC135" s="364">
        <f t="shared" si="1100"/>
        <v>61</v>
      </c>
      <c r="AD135" s="364">
        <f t="shared" si="1100"/>
        <v>61</v>
      </c>
      <c r="AE135" s="364">
        <f t="shared" si="1100"/>
        <v>61</v>
      </c>
      <c r="AF135" s="364">
        <f t="shared" si="1100"/>
        <v>61</v>
      </c>
      <c r="AG135" s="364">
        <f t="shared" si="1100"/>
        <v>61</v>
      </c>
      <c r="AH135" s="364">
        <f t="shared" si="1100"/>
        <v>61</v>
      </c>
      <c r="AI135" s="364">
        <f t="shared" si="1100"/>
        <v>61</v>
      </c>
      <c r="AJ135" s="364">
        <f t="shared" si="1100"/>
        <v>61</v>
      </c>
      <c r="AK135" s="364">
        <f t="shared" si="1100"/>
        <v>61</v>
      </c>
      <c r="AL135" s="364">
        <f t="shared" si="1100"/>
        <v>61</v>
      </c>
      <c r="AM135" s="364">
        <f t="shared" si="1100"/>
        <v>61</v>
      </c>
      <c r="AN135" s="364">
        <f t="shared" ref="AN135:BO135" si="1101">AN40*AN132</f>
        <v>61</v>
      </c>
      <c r="AO135" s="364">
        <f t="shared" si="1101"/>
        <v>61</v>
      </c>
      <c r="AP135" s="364">
        <f t="shared" si="1101"/>
        <v>61</v>
      </c>
      <c r="AQ135" s="364">
        <f t="shared" si="1101"/>
        <v>61</v>
      </c>
      <c r="AR135" s="364">
        <f t="shared" si="1101"/>
        <v>61</v>
      </c>
      <c r="AS135" s="364">
        <f t="shared" si="1101"/>
        <v>61</v>
      </c>
      <c r="AT135" s="364">
        <f t="shared" si="1101"/>
        <v>61</v>
      </c>
      <c r="AU135" s="364">
        <f t="shared" si="1101"/>
        <v>61</v>
      </c>
      <c r="AV135" s="364">
        <f t="shared" si="1101"/>
        <v>61</v>
      </c>
      <c r="AW135" s="364">
        <f t="shared" si="1101"/>
        <v>61</v>
      </c>
      <c r="AX135" s="364">
        <f t="shared" si="1101"/>
        <v>61</v>
      </c>
      <c r="AY135" s="364">
        <f t="shared" si="1101"/>
        <v>61</v>
      </c>
      <c r="AZ135" s="364">
        <f t="shared" si="1101"/>
        <v>61</v>
      </c>
      <c r="BA135" s="364">
        <f t="shared" si="1101"/>
        <v>61</v>
      </c>
      <c r="BB135" s="364">
        <f t="shared" si="1101"/>
        <v>61</v>
      </c>
      <c r="BC135" s="364">
        <f t="shared" si="1101"/>
        <v>61</v>
      </c>
      <c r="BD135" s="364">
        <f t="shared" si="1101"/>
        <v>61</v>
      </c>
      <c r="BE135" s="364">
        <f t="shared" si="1101"/>
        <v>61</v>
      </c>
      <c r="BF135" s="364">
        <f t="shared" si="1101"/>
        <v>61</v>
      </c>
      <c r="BG135" s="364">
        <f t="shared" si="1101"/>
        <v>61</v>
      </c>
      <c r="BH135" s="364">
        <f t="shared" si="1101"/>
        <v>61</v>
      </c>
      <c r="BI135" s="364">
        <f t="shared" si="1101"/>
        <v>61</v>
      </c>
      <c r="BJ135" s="364">
        <f t="shared" si="1101"/>
        <v>61</v>
      </c>
      <c r="BK135" s="364">
        <f t="shared" si="1101"/>
        <v>61</v>
      </c>
      <c r="BL135" s="364">
        <f t="shared" si="1101"/>
        <v>61</v>
      </c>
      <c r="BM135" s="364">
        <f t="shared" si="1101"/>
        <v>61</v>
      </c>
      <c r="BN135" s="364">
        <f t="shared" si="1101"/>
        <v>61</v>
      </c>
      <c r="BO135" s="364">
        <f t="shared" si="1101"/>
        <v>61</v>
      </c>
      <c r="BP135" s="364">
        <f t="shared" ref="BP135:CO135" si="1102">BP40*BP132</f>
        <v>61</v>
      </c>
      <c r="BQ135" s="364">
        <f t="shared" si="1102"/>
        <v>61</v>
      </c>
      <c r="BR135" s="364">
        <f t="shared" si="1102"/>
        <v>61</v>
      </c>
      <c r="BS135" s="364">
        <f t="shared" si="1102"/>
        <v>61</v>
      </c>
      <c r="BT135" s="364">
        <f t="shared" si="1102"/>
        <v>61</v>
      </c>
      <c r="BU135" s="364">
        <f t="shared" si="1102"/>
        <v>61</v>
      </c>
      <c r="BV135" s="364">
        <f t="shared" si="1102"/>
        <v>61</v>
      </c>
      <c r="BW135" s="364">
        <f t="shared" si="1102"/>
        <v>61</v>
      </c>
      <c r="BX135" s="364">
        <f t="shared" si="1102"/>
        <v>61</v>
      </c>
      <c r="BY135" s="364">
        <f t="shared" si="1102"/>
        <v>61</v>
      </c>
      <c r="BZ135" s="364">
        <f t="shared" si="1102"/>
        <v>61</v>
      </c>
      <c r="CA135" s="364">
        <f t="shared" si="1102"/>
        <v>61</v>
      </c>
      <c r="CB135" s="364">
        <f t="shared" si="1102"/>
        <v>61</v>
      </c>
      <c r="CC135" s="364">
        <f t="shared" si="1102"/>
        <v>61</v>
      </c>
      <c r="CD135" s="364">
        <f t="shared" si="1102"/>
        <v>61</v>
      </c>
      <c r="CE135" s="364">
        <f t="shared" si="1102"/>
        <v>61</v>
      </c>
      <c r="CF135" s="364">
        <f t="shared" si="1102"/>
        <v>61</v>
      </c>
      <c r="CG135" s="364">
        <f t="shared" si="1102"/>
        <v>61</v>
      </c>
      <c r="CH135" s="364">
        <f t="shared" si="1102"/>
        <v>61</v>
      </c>
      <c r="CI135" s="364">
        <f t="shared" si="1102"/>
        <v>61</v>
      </c>
      <c r="CJ135" s="364">
        <f t="shared" si="1102"/>
        <v>61</v>
      </c>
      <c r="CK135" s="364">
        <f t="shared" si="1102"/>
        <v>61</v>
      </c>
      <c r="CL135" s="364">
        <f t="shared" si="1102"/>
        <v>61</v>
      </c>
      <c r="CM135" s="364">
        <f t="shared" si="1102"/>
        <v>61</v>
      </c>
      <c r="CN135" s="364">
        <f t="shared" si="1102"/>
        <v>61</v>
      </c>
      <c r="CO135" s="364">
        <f t="shared" si="1102"/>
        <v>61</v>
      </c>
      <c r="CP135" s="364">
        <f t="shared" ref="CP135:DW135" si="1103">CP40*CP132</f>
        <v>61</v>
      </c>
      <c r="CQ135" s="364">
        <f t="shared" si="1103"/>
        <v>61</v>
      </c>
      <c r="CR135" s="364">
        <f t="shared" si="1103"/>
        <v>61</v>
      </c>
      <c r="CS135" s="364">
        <f t="shared" si="1103"/>
        <v>61</v>
      </c>
      <c r="CT135" s="364">
        <f t="shared" si="1103"/>
        <v>61</v>
      </c>
      <c r="CU135" s="364">
        <f t="shared" si="1103"/>
        <v>61</v>
      </c>
      <c r="CV135" s="364">
        <f t="shared" si="1103"/>
        <v>61</v>
      </c>
      <c r="CW135" s="364">
        <f t="shared" si="1103"/>
        <v>61</v>
      </c>
      <c r="CX135" s="364">
        <f t="shared" si="1103"/>
        <v>61</v>
      </c>
      <c r="CY135" s="364">
        <f t="shared" si="1103"/>
        <v>61</v>
      </c>
      <c r="CZ135" s="364">
        <f t="shared" si="1103"/>
        <v>61</v>
      </c>
      <c r="DA135" s="364">
        <f t="shared" si="1103"/>
        <v>61</v>
      </c>
      <c r="DB135" s="364">
        <f t="shared" si="1103"/>
        <v>61</v>
      </c>
      <c r="DC135" s="364">
        <f t="shared" si="1103"/>
        <v>61</v>
      </c>
      <c r="DD135" s="364">
        <f t="shared" si="1103"/>
        <v>61</v>
      </c>
      <c r="DE135" s="364">
        <f t="shared" si="1103"/>
        <v>61</v>
      </c>
      <c r="DF135" s="364">
        <f t="shared" si="1103"/>
        <v>61</v>
      </c>
      <c r="DG135" s="364">
        <f t="shared" si="1103"/>
        <v>61</v>
      </c>
      <c r="DH135" s="364">
        <f t="shared" si="1103"/>
        <v>61</v>
      </c>
      <c r="DI135" s="364">
        <f t="shared" si="1103"/>
        <v>61</v>
      </c>
      <c r="DJ135" s="364">
        <f t="shared" si="1103"/>
        <v>61</v>
      </c>
      <c r="DK135" s="364">
        <f t="shared" si="1103"/>
        <v>61</v>
      </c>
      <c r="DL135" s="364">
        <f t="shared" si="1103"/>
        <v>61</v>
      </c>
      <c r="DM135" s="364">
        <f t="shared" si="1103"/>
        <v>61</v>
      </c>
      <c r="DN135" s="364">
        <f t="shared" si="1103"/>
        <v>61</v>
      </c>
      <c r="DO135" s="364">
        <f t="shared" si="1103"/>
        <v>61</v>
      </c>
      <c r="DP135" s="364">
        <f t="shared" si="1103"/>
        <v>61</v>
      </c>
      <c r="DQ135" s="364">
        <f t="shared" si="1103"/>
        <v>61</v>
      </c>
      <c r="DR135" s="364">
        <f t="shared" si="1103"/>
        <v>61</v>
      </c>
      <c r="DS135" s="364">
        <f t="shared" si="1103"/>
        <v>61</v>
      </c>
      <c r="DT135" s="364">
        <f t="shared" si="1103"/>
        <v>61</v>
      </c>
      <c r="DU135" s="364">
        <f t="shared" si="1103"/>
        <v>61</v>
      </c>
      <c r="DV135" s="364">
        <f t="shared" si="1103"/>
        <v>61</v>
      </c>
      <c r="DW135" s="364">
        <f t="shared" si="1103"/>
        <v>61</v>
      </c>
    </row>
    <row r="136" spans="3:127" x14ac:dyDescent="0.3">
      <c r="D136" s="120" t="s">
        <v>244</v>
      </c>
      <c r="E136" s="365"/>
      <c r="F136" s="367"/>
      <c r="G136" s="1222">
        <f>H136</f>
        <v>0</v>
      </c>
      <c r="H136" s="364">
        <f t="shared" ref="H136:AM136" si="1104">H40*H133</f>
        <v>0</v>
      </c>
      <c r="I136" s="364">
        <f t="shared" si="1104"/>
        <v>0</v>
      </c>
      <c r="J136" s="364">
        <f t="shared" si="1104"/>
        <v>0</v>
      </c>
      <c r="K136" s="364">
        <f t="shared" si="1104"/>
        <v>0</v>
      </c>
      <c r="L136" s="364">
        <f t="shared" si="1104"/>
        <v>0</v>
      </c>
      <c r="M136" s="364">
        <f t="shared" si="1104"/>
        <v>0</v>
      </c>
      <c r="N136" s="364">
        <f t="shared" si="1104"/>
        <v>0</v>
      </c>
      <c r="O136" s="364">
        <f t="shared" si="1104"/>
        <v>0</v>
      </c>
      <c r="P136" s="364">
        <f t="shared" si="1104"/>
        <v>0</v>
      </c>
      <c r="Q136" s="364">
        <f t="shared" si="1104"/>
        <v>0</v>
      </c>
      <c r="R136" s="364">
        <f t="shared" si="1104"/>
        <v>0</v>
      </c>
      <c r="S136" s="364">
        <f t="shared" si="1104"/>
        <v>0</v>
      </c>
      <c r="T136" s="364">
        <f t="shared" si="1104"/>
        <v>0</v>
      </c>
      <c r="U136" s="364">
        <f t="shared" si="1104"/>
        <v>0</v>
      </c>
      <c r="V136" s="364">
        <f t="shared" si="1104"/>
        <v>0</v>
      </c>
      <c r="W136" s="364">
        <f t="shared" si="1104"/>
        <v>0</v>
      </c>
      <c r="X136" s="364">
        <f t="shared" si="1104"/>
        <v>0</v>
      </c>
      <c r="Y136" s="364">
        <f t="shared" si="1104"/>
        <v>0</v>
      </c>
      <c r="Z136" s="364">
        <f t="shared" si="1104"/>
        <v>0</v>
      </c>
      <c r="AA136" s="364">
        <f t="shared" si="1104"/>
        <v>0</v>
      </c>
      <c r="AB136" s="364">
        <f t="shared" si="1104"/>
        <v>0</v>
      </c>
      <c r="AC136" s="364">
        <f t="shared" si="1104"/>
        <v>0</v>
      </c>
      <c r="AD136" s="364">
        <f t="shared" si="1104"/>
        <v>0</v>
      </c>
      <c r="AE136" s="364">
        <f t="shared" si="1104"/>
        <v>0</v>
      </c>
      <c r="AF136" s="364">
        <f t="shared" si="1104"/>
        <v>0</v>
      </c>
      <c r="AG136" s="364">
        <f t="shared" si="1104"/>
        <v>0</v>
      </c>
      <c r="AH136" s="364">
        <f t="shared" si="1104"/>
        <v>0</v>
      </c>
      <c r="AI136" s="364">
        <f t="shared" si="1104"/>
        <v>0</v>
      </c>
      <c r="AJ136" s="364">
        <f t="shared" si="1104"/>
        <v>0</v>
      </c>
      <c r="AK136" s="364">
        <f t="shared" si="1104"/>
        <v>0</v>
      </c>
      <c r="AL136" s="364">
        <f t="shared" si="1104"/>
        <v>0</v>
      </c>
      <c r="AM136" s="364">
        <f t="shared" si="1104"/>
        <v>0</v>
      </c>
      <c r="AN136" s="364">
        <f t="shared" ref="AN136:BO136" si="1105">AN40*AN133</f>
        <v>0</v>
      </c>
      <c r="AO136" s="364">
        <f t="shared" si="1105"/>
        <v>0</v>
      </c>
      <c r="AP136" s="364">
        <f t="shared" si="1105"/>
        <v>0</v>
      </c>
      <c r="AQ136" s="364">
        <f t="shared" si="1105"/>
        <v>0</v>
      </c>
      <c r="AR136" s="364">
        <f t="shared" si="1105"/>
        <v>0</v>
      </c>
      <c r="AS136" s="364">
        <f t="shared" si="1105"/>
        <v>0</v>
      </c>
      <c r="AT136" s="364">
        <f t="shared" si="1105"/>
        <v>0</v>
      </c>
      <c r="AU136" s="364">
        <f t="shared" si="1105"/>
        <v>0</v>
      </c>
      <c r="AV136" s="364">
        <f t="shared" si="1105"/>
        <v>0</v>
      </c>
      <c r="AW136" s="364">
        <f t="shared" si="1105"/>
        <v>0</v>
      </c>
      <c r="AX136" s="364">
        <f t="shared" si="1105"/>
        <v>0</v>
      </c>
      <c r="AY136" s="364">
        <f t="shared" si="1105"/>
        <v>0</v>
      </c>
      <c r="AZ136" s="364">
        <f t="shared" si="1105"/>
        <v>0</v>
      </c>
      <c r="BA136" s="364">
        <f t="shared" si="1105"/>
        <v>0</v>
      </c>
      <c r="BB136" s="364">
        <f t="shared" si="1105"/>
        <v>0</v>
      </c>
      <c r="BC136" s="364">
        <f t="shared" si="1105"/>
        <v>0</v>
      </c>
      <c r="BD136" s="364">
        <f t="shared" si="1105"/>
        <v>0</v>
      </c>
      <c r="BE136" s="364">
        <f t="shared" si="1105"/>
        <v>0</v>
      </c>
      <c r="BF136" s="364">
        <f t="shared" si="1105"/>
        <v>0</v>
      </c>
      <c r="BG136" s="364">
        <f t="shared" si="1105"/>
        <v>0</v>
      </c>
      <c r="BH136" s="364">
        <f t="shared" si="1105"/>
        <v>0</v>
      </c>
      <c r="BI136" s="364">
        <f t="shared" si="1105"/>
        <v>0</v>
      </c>
      <c r="BJ136" s="364">
        <f t="shared" si="1105"/>
        <v>0</v>
      </c>
      <c r="BK136" s="364">
        <f t="shared" si="1105"/>
        <v>0</v>
      </c>
      <c r="BL136" s="364">
        <f t="shared" si="1105"/>
        <v>0</v>
      </c>
      <c r="BM136" s="364">
        <f t="shared" si="1105"/>
        <v>0</v>
      </c>
      <c r="BN136" s="364">
        <f t="shared" si="1105"/>
        <v>0</v>
      </c>
      <c r="BO136" s="364">
        <f t="shared" si="1105"/>
        <v>0</v>
      </c>
      <c r="BP136" s="364">
        <f t="shared" ref="BP136:CO136" si="1106">BP40*BP133</f>
        <v>0</v>
      </c>
      <c r="BQ136" s="364">
        <f t="shared" si="1106"/>
        <v>0</v>
      </c>
      <c r="BR136" s="364">
        <f t="shared" si="1106"/>
        <v>0</v>
      </c>
      <c r="BS136" s="364">
        <f t="shared" si="1106"/>
        <v>0</v>
      </c>
      <c r="BT136" s="364">
        <f t="shared" si="1106"/>
        <v>0</v>
      </c>
      <c r="BU136" s="364">
        <f t="shared" si="1106"/>
        <v>0</v>
      </c>
      <c r="BV136" s="364">
        <f t="shared" si="1106"/>
        <v>0</v>
      </c>
      <c r="BW136" s="364">
        <f t="shared" si="1106"/>
        <v>0</v>
      </c>
      <c r="BX136" s="364">
        <f t="shared" si="1106"/>
        <v>0</v>
      </c>
      <c r="BY136" s="364">
        <f t="shared" si="1106"/>
        <v>0</v>
      </c>
      <c r="BZ136" s="364">
        <f t="shared" si="1106"/>
        <v>0</v>
      </c>
      <c r="CA136" s="364">
        <f t="shared" si="1106"/>
        <v>0</v>
      </c>
      <c r="CB136" s="364">
        <f t="shared" si="1106"/>
        <v>0</v>
      </c>
      <c r="CC136" s="364">
        <f t="shared" si="1106"/>
        <v>0</v>
      </c>
      <c r="CD136" s="364">
        <f t="shared" si="1106"/>
        <v>0</v>
      </c>
      <c r="CE136" s="364">
        <f t="shared" si="1106"/>
        <v>0</v>
      </c>
      <c r="CF136" s="364">
        <f t="shared" si="1106"/>
        <v>0</v>
      </c>
      <c r="CG136" s="364">
        <f t="shared" si="1106"/>
        <v>0</v>
      </c>
      <c r="CH136" s="364">
        <f t="shared" si="1106"/>
        <v>0</v>
      </c>
      <c r="CI136" s="364">
        <f t="shared" si="1106"/>
        <v>0</v>
      </c>
      <c r="CJ136" s="364">
        <f t="shared" si="1106"/>
        <v>0</v>
      </c>
      <c r="CK136" s="364">
        <f t="shared" si="1106"/>
        <v>0</v>
      </c>
      <c r="CL136" s="364">
        <f t="shared" si="1106"/>
        <v>0</v>
      </c>
      <c r="CM136" s="364">
        <f t="shared" si="1106"/>
        <v>0</v>
      </c>
      <c r="CN136" s="364">
        <f t="shared" si="1106"/>
        <v>0</v>
      </c>
      <c r="CO136" s="364">
        <f t="shared" si="1106"/>
        <v>0</v>
      </c>
      <c r="CP136" s="364">
        <f t="shared" ref="CP136:DW136" si="1107">CP40*CP133</f>
        <v>0</v>
      </c>
      <c r="CQ136" s="364">
        <f t="shared" si="1107"/>
        <v>0</v>
      </c>
      <c r="CR136" s="364">
        <f t="shared" si="1107"/>
        <v>0</v>
      </c>
      <c r="CS136" s="364">
        <f t="shared" si="1107"/>
        <v>0</v>
      </c>
      <c r="CT136" s="364">
        <f t="shared" si="1107"/>
        <v>0</v>
      </c>
      <c r="CU136" s="364">
        <f t="shared" si="1107"/>
        <v>0</v>
      </c>
      <c r="CV136" s="364">
        <f t="shared" si="1107"/>
        <v>0</v>
      </c>
      <c r="CW136" s="364">
        <f t="shared" si="1107"/>
        <v>0</v>
      </c>
      <c r="CX136" s="364">
        <f t="shared" si="1107"/>
        <v>0</v>
      </c>
      <c r="CY136" s="364">
        <f t="shared" si="1107"/>
        <v>0</v>
      </c>
      <c r="CZ136" s="364">
        <f t="shared" si="1107"/>
        <v>0</v>
      </c>
      <c r="DA136" s="364">
        <f t="shared" si="1107"/>
        <v>0</v>
      </c>
      <c r="DB136" s="364">
        <f t="shared" si="1107"/>
        <v>0</v>
      </c>
      <c r="DC136" s="364">
        <f t="shared" si="1107"/>
        <v>0</v>
      </c>
      <c r="DD136" s="364">
        <f t="shared" si="1107"/>
        <v>0</v>
      </c>
      <c r="DE136" s="364">
        <f t="shared" si="1107"/>
        <v>0</v>
      </c>
      <c r="DF136" s="364">
        <f t="shared" si="1107"/>
        <v>0</v>
      </c>
      <c r="DG136" s="364">
        <f t="shared" si="1107"/>
        <v>0</v>
      </c>
      <c r="DH136" s="364">
        <f t="shared" si="1107"/>
        <v>0</v>
      </c>
      <c r="DI136" s="364">
        <f t="shared" si="1107"/>
        <v>0</v>
      </c>
      <c r="DJ136" s="364">
        <f t="shared" si="1107"/>
        <v>0</v>
      </c>
      <c r="DK136" s="364">
        <f t="shared" si="1107"/>
        <v>0</v>
      </c>
      <c r="DL136" s="364">
        <f t="shared" si="1107"/>
        <v>0</v>
      </c>
      <c r="DM136" s="364">
        <f t="shared" si="1107"/>
        <v>0</v>
      </c>
      <c r="DN136" s="364">
        <f t="shared" si="1107"/>
        <v>0</v>
      </c>
      <c r="DO136" s="364">
        <f t="shared" si="1107"/>
        <v>0</v>
      </c>
      <c r="DP136" s="364">
        <f t="shared" si="1107"/>
        <v>0</v>
      </c>
      <c r="DQ136" s="364">
        <f t="shared" si="1107"/>
        <v>0</v>
      </c>
      <c r="DR136" s="364">
        <f t="shared" si="1107"/>
        <v>0</v>
      </c>
      <c r="DS136" s="364">
        <f t="shared" si="1107"/>
        <v>0</v>
      </c>
      <c r="DT136" s="364">
        <f t="shared" si="1107"/>
        <v>0</v>
      </c>
      <c r="DU136" s="364">
        <f t="shared" si="1107"/>
        <v>0</v>
      </c>
      <c r="DV136" s="364">
        <f t="shared" si="1107"/>
        <v>0</v>
      </c>
      <c r="DW136" s="364">
        <f t="shared" si="1107"/>
        <v>0</v>
      </c>
    </row>
    <row r="137" spans="3:127" s="93" customFormat="1" x14ac:dyDescent="0.3">
      <c r="D137" s="32"/>
    </row>
    <row r="138" spans="3:127" x14ac:dyDescent="0.3">
      <c r="D138" s="120" t="s">
        <v>245</v>
      </c>
      <c r="E138" s="365"/>
      <c r="F138" s="367"/>
      <c r="G138" s="1223">
        <f>Summary!R7</f>
        <v>1.201657458563536</v>
      </c>
      <c r="H138" s="365">
        <f t="shared" ref="H138:W139" si="1108">G138</f>
        <v>1.201657458563536</v>
      </c>
      <c r="I138" s="365">
        <f t="shared" si="1108"/>
        <v>1.201657458563536</v>
      </c>
      <c r="J138" s="365">
        <f t="shared" si="1108"/>
        <v>1.201657458563536</v>
      </c>
      <c r="K138" s="365">
        <f t="shared" si="1108"/>
        <v>1.201657458563536</v>
      </c>
      <c r="L138" s="365">
        <f t="shared" si="1108"/>
        <v>1.201657458563536</v>
      </c>
      <c r="M138" s="365">
        <f t="shared" si="1108"/>
        <v>1.201657458563536</v>
      </c>
      <c r="N138" s="365">
        <f t="shared" si="1108"/>
        <v>1.201657458563536</v>
      </c>
      <c r="O138" s="365">
        <f t="shared" si="1108"/>
        <v>1.201657458563536</v>
      </c>
      <c r="P138" s="365">
        <f t="shared" si="1108"/>
        <v>1.201657458563536</v>
      </c>
      <c r="Q138" s="365">
        <f t="shared" si="1108"/>
        <v>1.201657458563536</v>
      </c>
      <c r="R138" s="365">
        <f t="shared" si="1108"/>
        <v>1.201657458563536</v>
      </c>
      <c r="S138" s="365">
        <f t="shared" si="1108"/>
        <v>1.201657458563536</v>
      </c>
      <c r="T138" s="365">
        <f t="shared" si="1108"/>
        <v>1.201657458563536</v>
      </c>
      <c r="U138" s="365">
        <f t="shared" si="1108"/>
        <v>1.201657458563536</v>
      </c>
      <c r="V138" s="365">
        <f t="shared" si="1108"/>
        <v>1.201657458563536</v>
      </c>
      <c r="W138" s="365">
        <f t="shared" si="1108"/>
        <v>1.201657458563536</v>
      </c>
      <c r="X138" s="365">
        <f t="shared" ref="X138:AM139" si="1109">W138</f>
        <v>1.201657458563536</v>
      </c>
      <c r="Y138" s="365">
        <f t="shared" si="1109"/>
        <v>1.201657458563536</v>
      </c>
      <c r="Z138" s="365">
        <f t="shared" si="1109"/>
        <v>1.201657458563536</v>
      </c>
      <c r="AA138" s="365">
        <f t="shared" si="1109"/>
        <v>1.201657458563536</v>
      </c>
      <c r="AB138" s="365">
        <f t="shared" si="1109"/>
        <v>1.201657458563536</v>
      </c>
      <c r="AC138" s="365">
        <f t="shared" si="1109"/>
        <v>1.201657458563536</v>
      </c>
      <c r="AD138" s="365">
        <f t="shared" si="1109"/>
        <v>1.201657458563536</v>
      </c>
      <c r="AE138" s="365">
        <f t="shared" si="1109"/>
        <v>1.201657458563536</v>
      </c>
      <c r="AF138" s="365">
        <f t="shared" si="1109"/>
        <v>1.201657458563536</v>
      </c>
      <c r="AG138" s="365">
        <f t="shared" si="1109"/>
        <v>1.201657458563536</v>
      </c>
      <c r="AH138" s="365">
        <f t="shared" si="1109"/>
        <v>1.201657458563536</v>
      </c>
      <c r="AI138" s="365">
        <f t="shared" si="1109"/>
        <v>1.201657458563536</v>
      </c>
      <c r="AJ138" s="365">
        <f t="shared" si="1109"/>
        <v>1.201657458563536</v>
      </c>
      <c r="AK138" s="365">
        <f t="shared" si="1109"/>
        <v>1.201657458563536</v>
      </c>
      <c r="AL138" s="365">
        <f t="shared" si="1109"/>
        <v>1.201657458563536</v>
      </c>
      <c r="AM138" s="365">
        <f t="shared" si="1109"/>
        <v>1.201657458563536</v>
      </c>
      <c r="AN138" s="365">
        <f t="shared" ref="AN138:BC139" si="1110">AM138</f>
        <v>1.201657458563536</v>
      </c>
      <c r="AO138" s="365">
        <f t="shared" si="1110"/>
        <v>1.201657458563536</v>
      </c>
      <c r="AP138" s="365">
        <f t="shared" si="1110"/>
        <v>1.201657458563536</v>
      </c>
      <c r="AQ138" s="365">
        <f t="shared" si="1110"/>
        <v>1.201657458563536</v>
      </c>
      <c r="AR138" s="365">
        <f t="shared" si="1110"/>
        <v>1.201657458563536</v>
      </c>
      <c r="AS138" s="365">
        <f t="shared" si="1110"/>
        <v>1.201657458563536</v>
      </c>
      <c r="AT138" s="365">
        <f t="shared" si="1110"/>
        <v>1.201657458563536</v>
      </c>
      <c r="AU138" s="365">
        <f t="shared" si="1110"/>
        <v>1.201657458563536</v>
      </c>
      <c r="AV138" s="365">
        <f t="shared" si="1110"/>
        <v>1.201657458563536</v>
      </c>
      <c r="AW138" s="365">
        <f t="shared" si="1110"/>
        <v>1.201657458563536</v>
      </c>
      <c r="AX138" s="365">
        <f t="shared" si="1110"/>
        <v>1.201657458563536</v>
      </c>
      <c r="AY138" s="365">
        <f t="shared" si="1110"/>
        <v>1.201657458563536</v>
      </c>
      <c r="AZ138" s="365">
        <f t="shared" si="1110"/>
        <v>1.201657458563536</v>
      </c>
      <c r="BA138" s="365">
        <f t="shared" si="1110"/>
        <v>1.201657458563536</v>
      </c>
      <c r="BB138" s="365">
        <f t="shared" si="1110"/>
        <v>1.201657458563536</v>
      </c>
      <c r="BC138" s="365">
        <f t="shared" si="1110"/>
        <v>1.201657458563536</v>
      </c>
      <c r="BD138" s="365">
        <f t="shared" ref="BD138:BO139" si="1111">BC138</f>
        <v>1.201657458563536</v>
      </c>
      <c r="BE138" s="365">
        <f t="shared" si="1111"/>
        <v>1.201657458563536</v>
      </c>
      <c r="BF138" s="365">
        <f t="shared" si="1111"/>
        <v>1.201657458563536</v>
      </c>
      <c r="BG138" s="365">
        <f t="shared" si="1111"/>
        <v>1.201657458563536</v>
      </c>
      <c r="BH138" s="365">
        <f t="shared" si="1111"/>
        <v>1.201657458563536</v>
      </c>
      <c r="BI138" s="365">
        <f t="shared" si="1111"/>
        <v>1.201657458563536</v>
      </c>
      <c r="BJ138" s="365">
        <f t="shared" si="1111"/>
        <v>1.201657458563536</v>
      </c>
      <c r="BK138" s="365">
        <f t="shared" si="1111"/>
        <v>1.201657458563536</v>
      </c>
      <c r="BL138" s="365">
        <f t="shared" si="1111"/>
        <v>1.201657458563536</v>
      </c>
      <c r="BM138" s="365">
        <f t="shared" si="1111"/>
        <v>1.201657458563536</v>
      </c>
      <c r="BN138" s="365">
        <f t="shared" si="1111"/>
        <v>1.201657458563536</v>
      </c>
      <c r="BO138" s="365">
        <f t="shared" si="1111"/>
        <v>1.201657458563536</v>
      </c>
      <c r="BP138" s="365">
        <f t="shared" ref="BP138:BP139" si="1112">BO138</f>
        <v>1.201657458563536</v>
      </c>
      <c r="BQ138" s="365">
        <f t="shared" ref="BQ138:BQ139" si="1113">BP138</f>
        <v>1.201657458563536</v>
      </c>
      <c r="BR138" s="365">
        <f t="shared" ref="BR138:BR139" si="1114">BQ138</f>
        <v>1.201657458563536</v>
      </c>
      <c r="BS138" s="365">
        <f t="shared" ref="BS138:BS139" si="1115">BR138</f>
        <v>1.201657458563536</v>
      </c>
      <c r="BT138" s="365">
        <f t="shared" ref="BT138:BT139" si="1116">BS138</f>
        <v>1.201657458563536</v>
      </c>
      <c r="BU138" s="365">
        <f t="shared" ref="BU138:BU139" si="1117">BT138</f>
        <v>1.201657458563536</v>
      </c>
      <c r="BV138" s="365">
        <f t="shared" ref="BV138:BV139" si="1118">BU138</f>
        <v>1.201657458563536</v>
      </c>
      <c r="BW138" s="365">
        <f t="shared" ref="BW138:BW139" si="1119">BV138</f>
        <v>1.201657458563536</v>
      </c>
      <c r="BX138" s="365">
        <f t="shared" ref="BX138:BX139" si="1120">BW138</f>
        <v>1.201657458563536</v>
      </c>
      <c r="BY138" s="365">
        <f t="shared" ref="BY138:BY139" si="1121">BX138</f>
        <v>1.201657458563536</v>
      </c>
      <c r="BZ138" s="365">
        <f t="shared" ref="BZ138:BZ139" si="1122">BY138</f>
        <v>1.201657458563536</v>
      </c>
      <c r="CA138" s="365">
        <f t="shared" ref="CA138:CA139" si="1123">BZ138</f>
        <v>1.201657458563536</v>
      </c>
      <c r="CB138" s="365">
        <f t="shared" ref="CB138:CB139" si="1124">CA138</f>
        <v>1.201657458563536</v>
      </c>
      <c r="CC138" s="365">
        <f t="shared" ref="CC138:CC139" si="1125">CB138</f>
        <v>1.201657458563536</v>
      </c>
      <c r="CD138" s="365">
        <f t="shared" ref="CD138:CD139" si="1126">CC138</f>
        <v>1.201657458563536</v>
      </c>
      <c r="CE138" s="365">
        <f t="shared" ref="CE138:CE139" si="1127">CD138</f>
        <v>1.201657458563536</v>
      </c>
      <c r="CF138" s="365">
        <f t="shared" ref="CF138:CF139" si="1128">CE138</f>
        <v>1.201657458563536</v>
      </c>
      <c r="CG138" s="365">
        <f t="shared" ref="CG138:CG139" si="1129">CF138</f>
        <v>1.201657458563536</v>
      </c>
      <c r="CH138" s="365">
        <f t="shared" ref="CH138:CH139" si="1130">CG138</f>
        <v>1.201657458563536</v>
      </c>
      <c r="CI138" s="365">
        <f t="shared" ref="CI138:CI139" si="1131">CH138</f>
        <v>1.201657458563536</v>
      </c>
      <c r="CJ138" s="365">
        <f t="shared" ref="CJ138:CJ139" si="1132">CI138</f>
        <v>1.201657458563536</v>
      </c>
      <c r="CK138" s="365">
        <f t="shared" ref="CK138:CK139" si="1133">CJ138</f>
        <v>1.201657458563536</v>
      </c>
      <c r="CL138" s="365">
        <f t="shared" ref="CL138:CL139" si="1134">CK138</f>
        <v>1.201657458563536</v>
      </c>
      <c r="CM138" s="365">
        <f t="shared" ref="CM138:CM139" si="1135">CL138</f>
        <v>1.201657458563536</v>
      </c>
      <c r="CN138" s="365">
        <f t="shared" ref="CN138:CN139" si="1136">CM138</f>
        <v>1.201657458563536</v>
      </c>
      <c r="CO138" s="365">
        <f t="shared" ref="CO138:CO139" si="1137">CN138</f>
        <v>1.201657458563536</v>
      </c>
      <c r="CP138" s="365">
        <f t="shared" ref="CP138:CP139" si="1138">CO138</f>
        <v>1.201657458563536</v>
      </c>
      <c r="CQ138" s="365">
        <f t="shared" ref="CQ138:CQ139" si="1139">CP138</f>
        <v>1.201657458563536</v>
      </c>
      <c r="CR138" s="365">
        <f t="shared" ref="CR138:CR139" si="1140">CQ138</f>
        <v>1.201657458563536</v>
      </c>
      <c r="CS138" s="365">
        <f t="shared" ref="CS138:CS139" si="1141">CR138</f>
        <v>1.201657458563536</v>
      </c>
      <c r="CT138" s="365">
        <f t="shared" ref="CT138:CT139" si="1142">CS138</f>
        <v>1.201657458563536</v>
      </c>
      <c r="CU138" s="365">
        <f t="shared" ref="CU138:CU139" si="1143">CT138</f>
        <v>1.201657458563536</v>
      </c>
      <c r="CV138" s="365">
        <f t="shared" ref="CV138:CV139" si="1144">CU138</f>
        <v>1.201657458563536</v>
      </c>
      <c r="CW138" s="365">
        <f t="shared" ref="CW138:CW139" si="1145">CV138</f>
        <v>1.201657458563536</v>
      </c>
      <c r="CX138" s="365">
        <f t="shared" ref="CX138:CX139" si="1146">CW138</f>
        <v>1.201657458563536</v>
      </c>
      <c r="CY138" s="365">
        <f t="shared" ref="CY138:CY139" si="1147">CX138</f>
        <v>1.201657458563536</v>
      </c>
      <c r="CZ138" s="365">
        <f t="shared" ref="CZ138:CZ139" si="1148">CY138</f>
        <v>1.201657458563536</v>
      </c>
      <c r="DA138" s="365">
        <f t="shared" ref="DA138:DA139" si="1149">CZ138</f>
        <v>1.201657458563536</v>
      </c>
      <c r="DB138" s="365">
        <f t="shared" ref="DB138:DB139" si="1150">DA138</f>
        <v>1.201657458563536</v>
      </c>
      <c r="DC138" s="365">
        <f t="shared" ref="DC138:DC139" si="1151">DB138</f>
        <v>1.201657458563536</v>
      </c>
      <c r="DD138" s="365">
        <f t="shared" ref="DD138:DD139" si="1152">DC138</f>
        <v>1.201657458563536</v>
      </c>
      <c r="DE138" s="365">
        <f t="shared" ref="DE138:DE139" si="1153">DD138</f>
        <v>1.201657458563536</v>
      </c>
      <c r="DF138" s="365">
        <f t="shared" ref="DF138:DF139" si="1154">DE138</f>
        <v>1.201657458563536</v>
      </c>
      <c r="DG138" s="365">
        <f t="shared" ref="DG138:DG139" si="1155">DF138</f>
        <v>1.201657458563536</v>
      </c>
      <c r="DH138" s="365">
        <f t="shared" ref="DH138:DH139" si="1156">DG138</f>
        <v>1.201657458563536</v>
      </c>
      <c r="DI138" s="365">
        <f t="shared" ref="DI138:DI139" si="1157">DH138</f>
        <v>1.201657458563536</v>
      </c>
      <c r="DJ138" s="365">
        <f t="shared" ref="DJ138:DJ139" si="1158">DI138</f>
        <v>1.201657458563536</v>
      </c>
      <c r="DK138" s="365">
        <f t="shared" ref="DK138:DK139" si="1159">DJ138</f>
        <v>1.201657458563536</v>
      </c>
      <c r="DL138" s="365">
        <f t="shared" ref="DL138:DL139" si="1160">DK138</f>
        <v>1.201657458563536</v>
      </c>
      <c r="DM138" s="365">
        <f t="shared" ref="DM138:DM139" si="1161">DL138</f>
        <v>1.201657458563536</v>
      </c>
      <c r="DN138" s="365">
        <f t="shared" ref="DN138:DN139" si="1162">DM138</f>
        <v>1.201657458563536</v>
      </c>
      <c r="DO138" s="365">
        <f t="shared" ref="DO138:DO139" si="1163">DN138</f>
        <v>1.201657458563536</v>
      </c>
      <c r="DP138" s="365">
        <f t="shared" ref="DP138:DP139" si="1164">DO138</f>
        <v>1.201657458563536</v>
      </c>
      <c r="DQ138" s="365">
        <f t="shared" ref="DQ138:DQ139" si="1165">DP138</f>
        <v>1.201657458563536</v>
      </c>
      <c r="DR138" s="365">
        <f t="shared" ref="DR138:DR139" si="1166">DQ138</f>
        <v>1.201657458563536</v>
      </c>
      <c r="DS138" s="365">
        <f t="shared" ref="DS138:DS139" si="1167">DR138</f>
        <v>1.201657458563536</v>
      </c>
      <c r="DT138" s="365">
        <f t="shared" ref="DT138:DT139" si="1168">DS138</f>
        <v>1.201657458563536</v>
      </c>
      <c r="DU138" s="365">
        <f t="shared" ref="DU138:DU139" si="1169">DT138</f>
        <v>1.201657458563536</v>
      </c>
      <c r="DV138" s="365">
        <f t="shared" ref="DV138:DV139" si="1170">DU138</f>
        <v>1.201657458563536</v>
      </c>
      <c r="DW138" s="365">
        <f t="shared" ref="DW138:DW139" si="1171">DV138</f>
        <v>1.201657458563536</v>
      </c>
    </row>
    <row r="139" spans="3:127" x14ac:dyDescent="0.3">
      <c r="D139" s="120" t="s">
        <v>246</v>
      </c>
      <c r="E139" s="365"/>
      <c r="F139" s="367"/>
      <c r="G139" s="1223">
        <f>Summary!R8</f>
        <v>1</v>
      </c>
      <c r="H139" s="365">
        <f t="shared" si="1108"/>
        <v>1</v>
      </c>
      <c r="I139" s="365">
        <f t="shared" si="1108"/>
        <v>1</v>
      </c>
      <c r="J139" s="365">
        <f t="shared" si="1108"/>
        <v>1</v>
      </c>
      <c r="K139" s="365">
        <f t="shared" si="1108"/>
        <v>1</v>
      </c>
      <c r="L139" s="365">
        <f t="shared" si="1108"/>
        <v>1</v>
      </c>
      <c r="M139" s="365">
        <f t="shared" si="1108"/>
        <v>1</v>
      </c>
      <c r="N139" s="365">
        <f t="shared" si="1108"/>
        <v>1</v>
      </c>
      <c r="O139" s="365">
        <f t="shared" si="1108"/>
        <v>1</v>
      </c>
      <c r="P139" s="365">
        <f t="shared" si="1108"/>
        <v>1</v>
      </c>
      <c r="Q139" s="365">
        <f t="shared" si="1108"/>
        <v>1</v>
      </c>
      <c r="R139" s="365">
        <f t="shared" si="1108"/>
        <v>1</v>
      </c>
      <c r="S139" s="365">
        <f t="shared" si="1108"/>
        <v>1</v>
      </c>
      <c r="T139" s="365">
        <f t="shared" si="1108"/>
        <v>1</v>
      </c>
      <c r="U139" s="365">
        <f t="shared" si="1108"/>
        <v>1</v>
      </c>
      <c r="V139" s="365">
        <f t="shared" si="1108"/>
        <v>1</v>
      </c>
      <c r="W139" s="365">
        <f t="shared" si="1108"/>
        <v>1</v>
      </c>
      <c r="X139" s="365">
        <f t="shared" si="1109"/>
        <v>1</v>
      </c>
      <c r="Y139" s="365">
        <f t="shared" si="1109"/>
        <v>1</v>
      </c>
      <c r="Z139" s="365">
        <f t="shared" si="1109"/>
        <v>1</v>
      </c>
      <c r="AA139" s="365">
        <f t="shared" si="1109"/>
        <v>1</v>
      </c>
      <c r="AB139" s="365">
        <f t="shared" si="1109"/>
        <v>1</v>
      </c>
      <c r="AC139" s="365">
        <f t="shared" si="1109"/>
        <v>1</v>
      </c>
      <c r="AD139" s="365">
        <f t="shared" si="1109"/>
        <v>1</v>
      </c>
      <c r="AE139" s="365">
        <f t="shared" si="1109"/>
        <v>1</v>
      </c>
      <c r="AF139" s="365">
        <f t="shared" si="1109"/>
        <v>1</v>
      </c>
      <c r="AG139" s="365">
        <f t="shared" si="1109"/>
        <v>1</v>
      </c>
      <c r="AH139" s="365">
        <f t="shared" si="1109"/>
        <v>1</v>
      </c>
      <c r="AI139" s="365">
        <f t="shared" si="1109"/>
        <v>1</v>
      </c>
      <c r="AJ139" s="365">
        <f t="shared" si="1109"/>
        <v>1</v>
      </c>
      <c r="AK139" s="365">
        <f t="shared" si="1109"/>
        <v>1</v>
      </c>
      <c r="AL139" s="365">
        <f t="shared" si="1109"/>
        <v>1</v>
      </c>
      <c r="AM139" s="365">
        <f t="shared" si="1109"/>
        <v>1</v>
      </c>
      <c r="AN139" s="365">
        <f t="shared" si="1110"/>
        <v>1</v>
      </c>
      <c r="AO139" s="365">
        <f t="shared" si="1110"/>
        <v>1</v>
      </c>
      <c r="AP139" s="365">
        <f t="shared" si="1110"/>
        <v>1</v>
      </c>
      <c r="AQ139" s="365">
        <f t="shared" si="1110"/>
        <v>1</v>
      </c>
      <c r="AR139" s="365">
        <f t="shared" si="1110"/>
        <v>1</v>
      </c>
      <c r="AS139" s="365">
        <f t="shared" si="1110"/>
        <v>1</v>
      </c>
      <c r="AT139" s="365">
        <f t="shared" si="1110"/>
        <v>1</v>
      </c>
      <c r="AU139" s="365">
        <f t="shared" si="1110"/>
        <v>1</v>
      </c>
      <c r="AV139" s="365">
        <f t="shared" si="1110"/>
        <v>1</v>
      </c>
      <c r="AW139" s="365">
        <f t="shared" si="1110"/>
        <v>1</v>
      </c>
      <c r="AX139" s="365">
        <f t="shared" si="1110"/>
        <v>1</v>
      </c>
      <c r="AY139" s="365">
        <f t="shared" si="1110"/>
        <v>1</v>
      </c>
      <c r="AZ139" s="365">
        <f t="shared" si="1110"/>
        <v>1</v>
      </c>
      <c r="BA139" s="365">
        <f t="shared" si="1110"/>
        <v>1</v>
      </c>
      <c r="BB139" s="365">
        <f t="shared" si="1110"/>
        <v>1</v>
      </c>
      <c r="BC139" s="365">
        <f t="shared" si="1110"/>
        <v>1</v>
      </c>
      <c r="BD139" s="365">
        <f t="shared" si="1111"/>
        <v>1</v>
      </c>
      <c r="BE139" s="365">
        <f t="shared" si="1111"/>
        <v>1</v>
      </c>
      <c r="BF139" s="365">
        <f t="shared" si="1111"/>
        <v>1</v>
      </c>
      <c r="BG139" s="365">
        <f t="shared" si="1111"/>
        <v>1</v>
      </c>
      <c r="BH139" s="365">
        <f t="shared" si="1111"/>
        <v>1</v>
      </c>
      <c r="BI139" s="365">
        <f t="shared" si="1111"/>
        <v>1</v>
      </c>
      <c r="BJ139" s="365">
        <f t="shared" si="1111"/>
        <v>1</v>
      </c>
      <c r="BK139" s="365">
        <f t="shared" si="1111"/>
        <v>1</v>
      </c>
      <c r="BL139" s="365">
        <f t="shared" si="1111"/>
        <v>1</v>
      </c>
      <c r="BM139" s="365">
        <f t="shared" si="1111"/>
        <v>1</v>
      </c>
      <c r="BN139" s="365">
        <f t="shared" si="1111"/>
        <v>1</v>
      </c>
      <c r="BO139" s="365">
        <f t="shared" si="1111"/>
        <v>1</v>
      </c>
      <c r="BP139" s="365">
        <f t="shared" si="1112"/>
        <v>1</v>
      </c>
      <c r="BQ139" s="365">
        <f t="shared" si="1113"/>
        <v>1</v>
      </c>
      <c r="BR139" s="365">
        <f t="shared" si="1114"/>
        <v>1</v>
      </c>
      <c r="BS139" s="365">
        <f t="shared" si="1115"/>
        <v>1</v>
      </c>
      <c r="BT139" s="365">
        <f t="shared" si="1116"/>
        <v>1</v>
      </c>
      <c r="BU139" s="365">
        <f t="shared" si="1117"/>
        <v>1</v>
      </c>
      <c r="BV139" s="365">
        <f t="shared" si="1118"/>
        <v>1</v>
      </c>
      <c r="BW139" s="365">
        <f t="shared" si="1119"/>
        <v>1</v>
      </c>
      <c r="BX139" s="365">
        <f t="shared" si="1120"/>
        <v>1</v>
      </c>
      <c r="BY139" s="365">
        <f t="shared" si="1121"/>
        <v>1</v>
      </c>
      <c r="BZ139" s="365">
        <f t="shared" si="1122"/>
        <v>1</v>
      </c>
      <c r="CA139" s="365">
        <f t="shared" si="1123"/>
        <v>1</v>
      </c>
      <c r="CB139" s="365">
        <f t="shared" si="1124"/>
        <v>1</v>
      </c>
      <c r="CC139" s="365">
        <f t="shared" si="1125"/>
        <v>1</v>
      </c>
      <c r="CD139" s="365">
        <f t="shared" si="1126"/>
        <v>1</v>
      </c>
      <c r="CE139" s="365">
        <f t="shared" si="1127"/>
        <v>1</v>
      </c>
      <c r="CF139" s="365">
        <f t="shared" si="1128"/>
        <v>1</v>
      </c>
      <c r="CG139" s="365">
        <f t="shared" si="1129"/>
        <v>1</v>
      </c>
      <c r="CH139" s="365">
        <f t="shared" si="1130"/>
        <v>1</v>
      </c>
      <c r="CI139" s="365">
        <f t="shared" si="1131"/>
        <v>1</v>
      </c>
      <c r="CJ139" s="365">
        <f t="shared" si="1132"/>
        <v>1</v>
      </c>
      <c r="CK139" s="365">
        <f t="shared" si="1133"/>
        <v>1</v>
      </c>
      <c r="CL139" s="365">
        <f t="shared" si="1134"/>
        <v>1</v>
      </c>
      <c r="CM139" s="365">
        <f t="shared" si="1135"/>
        <v>1</v>
      </c>
      <c r="CN139" s="365">
        <f t="shared" si="1136"/>
        <v>1</v>
      </c>
      <c r="CO139" s="365">
        <f t="shared" si="1137"/>
        <v>1</v>
      </c>
      <c r="CP139" s="365">
        <f t="shared" si="1138"/>
        <v>1</v>
      </c>
      <c r="CQ139" s="365">
        <f t="shared" si="1139"/>
        <v>1</v>
      </c>
      <c r="CR139" s="365">
        <f t="shared" si="1140"/>
        <v>1</v>
      </c>
      <c r="CS139" s="365">
        <f t="shared" si="1141"/>
        <v>1</v>
      </c>
      <c r="CT139" s="365">
        <f t="shared" si="1142"/>
        <v>1</v>
      </c>
      <c r="CU139" s="365">
        <f t="shared" si="1143"/>
        <v>1</v>
      </c>
      <c r="CV139" s="365">
        <f t="shared" si="1144"/>
        <v>1</v>
      </c>
      <c r="CW139" s="365">
        <f t="shared" si="1145"/>
        <v>1</v>
      </c>
      <c r="CX139" s="365">
        <f t="shared" si="1146"/>
        <v>1</v>
      </c>
      <c r="CY139" s="365">
        <f t="shared" si="1147"/>
        <v>1</v>
      </c>
      <c r="CZ139" s="365">
        <f t="shared" si="1148"/>
        <v>1</v>
      </c>
      <c r="DA139" s="365">
        <f t="shared" si="1149"/>
        <v>1</v>
      </c>
      <c r="DB139" s="365">
        <f t="shared" si="1150"/>
        <v>1</v>
      </c>
      <c r="DC139" s="365">
        <f t="shared" si="1151"/>
        <v>1</v>
      </c>
      <c r="DD139" s="365">
        <f t="shared" si="1152"/>
        <v>1</v>
      </c>
      <c r="DE139" s="365">
        <f t="shared" si="1153"/>
        <v>1</v>
      </c>
      <c r="DF139" s="365">
        <f t="shared" si="1154"/>
        <v>1</v>
      </c>
      <c r="DG139" s="365">
        <f t="shared" si="1155"/>
        <v>1</v>
      </c>
      <c r="DH139" s="365">
        <f t="shared" si="1156"/>
        <v>1</v>
      </c>
      <c r="DI139" s="365">
        <f t="shared" si="1157"/>
        <v>1</v>
      </c>
      <c r="DJ139" s="365">
        <f t="shared" si="1158"/>
        <v>1</v>
      </c>
      <c r="DK139" s="365">
        <f t="shared" si="1159"/>
        <v>1</v>
      </c>
      <c r="DL139" s="365">
        <f t="shared" si="1160"/>
        <v>1</v>
      </c>
      <c r="DM139" s="365">
        <f t="shared" si="1161"/>
        <v>1</v>
      </c>
      <c r="DN139" s="365">
        <f t="shared" si="1162"/>
        <v>1</v>
      </c>
      <c r="DO139" s="365">
        <f t="shared" si="1163"/>
        <v>1</v>
      </c>
      <c r="DP139" s="365">
        <f t="shared" si="1164"/>
        <v>1</v>
      </c>
      <c r="DQ139" s="365">
        <f t="shared" si="1165"/>
        <v>1</v>
      </c>
      <c r="DR139" s="365">
        <f t="shared" si="1166"/>
        <v>1</v>
      </c>
      <c r="DS139" s="365">
        <f t="shared" si="1167"/>
        <v>1</v>
      </c>
      <c r="DT139" s="365">
        <f t="shared" si="1168"/>
        <v>1</v>
      </c>
      <c r="DU139" s="365">
        <f t="shared" si="1169"/>
        <v>1</v>
      </c>
      <c r="DV139" s="365">
        <f t="shared" si="1170"/>
        <v>1</v>
      </c>
      <c r="DW139" s="365">
        <f t="shared" si="1171"/>
        <v>1</v>
      </c>
    </row>
    <row r="140" spans="3:127" s="93" customFormat="1" x14ac:dyDescent="0.3">
      <c r="D140" s="32"/>
    </row>
    <row r="141" spans="3:127" x14ac:dyDescent="0.3">
      <c r="D141" s="120" t="s">
        <v>247</v>
      </c>
      <c r="E141" s="364"/>
      <c r="F141" s="1224"/>
      <c r="G141" s="1557">
        <f t="shared" ref="G141:I142" si="1172">H141</f>
        <v>50.763218390804596</v>
      </c>
      <c r="H141" s="1558">
        <f t="shared" si="1172"/>
        <v>50.763218390804596</v>
      </c>
      <c r="I141" s="1558">
        <f t="shared" si="1172"/>
        <v>50.763218390804596</v>
      </c>
      <c r="J141" s="798">
        <f t="shared" ref="J141:BS141" si="1173">J135/J138</f>
        <v>50.763218390804596</v>
      </c>
      <c r="K141" s="798">
        <f t="shared" si="1173"/>
        <v>50.763218390804596</v>
      </c>
      <c r="L141" s="798">
        <f t="shared" si="1173"/>
        <v>50.763218390804596</v>
      </c>
      <c r="M141" s="798">
        <f t="shared" si="1173"/>
        <v>50.763218390804596</v>
      </c>
      <c r="N141" s="798">
        <f t="shared" si="1173"/>
        <v>50.763218390804596</v>
      </c>
      <c r="O141" s="798">
        <f t="shared" si="1173"/>
        <v>50.763218390804596</v>
      </c>
      <c r="P141" s="798">
        <f t="shared" si="1173"/>
        <v>50.763218390804596</v>
      </c>
      <c r="Q141" s="798">
        <f t="shared" si="1173"/>
        <v>50.763218390804596</v>
      </c>
      <c r="R141" s="798">
        <f t="shared" si="1173"/>
        <v>50.763218390804596</v>
      </c>
      <c r="S141" s="798">
        <f t="shared" si="1173"/>
        <v>50.763218390804596</v>
      </c>
      <c r="T141" s="798">
        <f t="shared" si="1173"/>
        <v>50.763218390804596</v>
      </c>
      <c r="U141" s="798">
        <f t="shared" si="1173"/>
        <v>50.763218390804596</v>
      </c>
      <c r="V141" s="798">
        <f t="shared" si="1173"/>
        <v>50.763218390804596</v>
      </c>
      <c r="W141" s="798">
        <f t="shared" si="1173"/>
        <v>50.763218390804596</v>
      </c>
      <c r="X141" s="798">
        <f t="shared" si="1173"/>
        <v>50.763218390804596</v>
      </c>
      <c r="Y141" s="798">
        <f t="shared" si="1173"/>
        <v>50.763218390804596</v>
      </c>
      <c r="Z141" s="798">
        <f t="shared" si="1173"/>
        <v>50.763218390804596</v>
      </c>
      <c r="AA141" s="798">
        <f t="shared" si="1173"/>
        <v>50.763218390804596</v>
      </c>
      <c r="AB141" s="798">
        <f t="shared" si="1173"/>
        <v>50.763218390804596</v>
      </c>
      <c r="AC141" s="798">
        <f t="shared" si="1173"/>
        <v>50.763218390804596</v>
      </c>
      <c r="AD141" s="798">
        <f t="shared" si="1173"/>
        <v>50.763218390804596</v>
      </c>
      <c r="AE141" s="798">
        <f t="shared" si="1173"/>
        <v>50.763218390804596</v>
      </c>
      <c r="AF141" s="798">
        <f t="shared" si="1173"/>
        <v>50.763218390804596</v>
      </c>
      <c r="AG141" s="798">
        <f t="shared" si="1173"/>
        <v>50.763218390804596</v>
      </c>
      <c r="AH141" s="798">
        <f t="shared" si="1173"/>
        <v>50.763218390804596</v>
      </c>
      <c r="AI141" s="798">
        <f t="shared" si="1173"/>
        <v>50.763218390804596</v>
      </c>
      <c r="AJ141" s="798">
        <f t="shared" si="1173"/>
        <v>50.763218390804596</v>
      </c>
      <c r="AK141" s="798">
        <f t="shared" si="1173"/>
        <v>50.763218390804596</v>
      </c>
      <c r="AL141" s="798">
        <f t="shared" si="1173"/>
        <v>50.763218390804596</v>
      </c>
      <c r="AM141" s="798">
        <f t="shared" si="1173"/>
        <v>50.763218390804596</v>
      </c>
      <c r="AN141" s="798">
        <f t="shared" si="1173"/>
        <v>50.763218390804596</v>
      </c>
      <c r="AO141" s="798">
        <f t="shared" si="1173"/>
        <v>50.763218390804596</v>
      </c>
      <c r="AP141" s="798">
        <f t="shared" si="1173"/>
        <v>50.763218390804596</v>
      </c>
      <c r="AQ141" s="798">
        <f t="shared" si="1173"/>
        <v>50.763218390804596</v>
      </c>
      <c r="AR141" s="798">
        <f t="shared" si="1173"/>
        <v>50.763218390804596</v>
      </c>
      <c r="AS141" s="798">
        <f t="shared" si="1173"/>
        <v>50.763218390804596</v>
      </c>
      <c r="AT141" s="798">
        <f t="shared" si="1173"/>
        <v>50.763218390804596</v>
      </c>
      <c r="AU141" s="798">
        <f t="shared" si="1173"/>
        <v>50.763218390804596</v>
      </c>
      <c r="AV141" s="798">
        <f t="shared" si="1173"/>
        <v>50.763218390804596</v>
      </c>
      <c r="AW141" s="798">
        <f t="shared" si="1173"/>
        <v>50.763218390804596</v>
      </c>
      <c r="AX141" s="798">
        <f t="shared" si="1173"/>
        <v>50.763218390804596</v>
      </c>
      <c r="AY141" s="798">
        <f t="shared" si="1173"/>
        <v>50.763218390804596</v>
      </c>
      <c r="AZ141" s="798">
        <f t="shared" si="1173"/>
        <v>50.763218390804596</v>
      </c>
      <c r="BA141" s="798">
        <f t="shared" si="1173"/>
        <v>50.763218390804596</v>
      </c>
      <c r="BB141" s="798">
        <f t="shared" si="1173"/>
        <v>50.763218390804596</v>
      </c>
      <c r="BC141" s="798">
        <f t="shared" si="1173"/>
        <v>50.763218390804596</v>
      </c>
      <c r="BD141" s="798">
        <f t="shared" si="1173"/>
        <v>50.763218390804596</v>
      </c>
      <c r="BE141" s="798">
        <f t="shared" si="1173"/>
        <v>50.763218390804596</v>
      </c>
      <c r="BF141" s="798">
        <f t="shared" si="1173"/>
        <v>50.763218390804596</v>
      </c>
      <c r="BG141" s="798">
        <f t="shared" si="1173"/>
        <v>50.763218390804596</v>
      </c>
      <c r="BH141" s="798">
        <f t="shared" si="1173"/>
        <v>50.763218390804596</v>
      </c>
      <c r="BI141" s="798">
        <f t="shared" si="1173"/>
        <v>50.763218390804596</v>
      </c>
      <c r="BJ141" s="798">
        <f t="shared" si="1173"/>
        <v>50.763218390804596</v>
      </c>
      <c r="BK141" s="798">
        <f t="shared" si="1173"/>
        <v>50.763218390804596</v>
      </c>
      <c r="BL141" s="798">
        <f t="shared" si="1173"/>
        <v>50.763218390804596</v>
      </c>
      <c r="BM141" s="798">
        <f t="shared" si="1173"/>
        <v>50.763218390804596</v>
      </c>
      <c r="BN141" s="798">
        <f t="shared" si="1173"/>
        <v>50.763218390804596</v>
      </c>
      <c r="BO141" s="798">
        <f t="shared" si="1173"/>
        <v>50.763218390804596</v>
      </c>
      <c r="BP141" s="798">
        <f t="shared" si="1173"/>
        <v>50.763218390804596</v>
      </c>
      <c r="BQ141" s="798">
        <f t="shared" si="1173"/>
        <v>50.763218390804596</v>
      </c>
      <c r="BR141" s="798">
        <f t="shared" si="1173"/>
        <v>50.763218390804596</v>
      </c>
      <c r="BS141" s="798">
        <f t="shared" si="1173"/>
        <v>50.763218390804596</v>
      </c>
      <c r="BT141" s="798">
        <f t="shared" ref="BT141:DW141" si="1174">BT135/BT138</f>
        <v>50.763218390804596</v>
      </c>
      <c r="BU141" s="798">
        <f t="shared" si="1174"/>
        <v>50.763218390804596</v>
      </c>
      <c r="BV141" s="798">
        <f t="shared" si="1174"/>
        <v>50.763218390804596</v>
      </c>
      <c r="BW141" s="798">
        <f t="shared" si="1174"/>
        <v>50.763218390804596</v>
      </c>
      <c r="BX141" s="798">
        <f t="shared" si="1174"/>
        <v>50.763218390804596</v>
      </c>
      <c r="BY141" s="798">
        <f t="shared" si="1174"/>
        <v>50.763218390804596</v>
      </c>
      <c r="BZ141" s="798">
        <f t="shared" si="1174"/>
        <v>50.763218390804596</v>
      </c>
      <c r="CA141" s="798">
        <f t="shared" si="1174"/>
        <v>50.763218390804596</v>
      </c>
      <c r="CB141" s="798">
        <f t="shared" si="1174"/>
        <v>50.763218390804596</v>
      </c>
      <c r="CC141" s="798">
        <f t="shared" si="1174"/>
        <v>50.763218390804596</v>
      </c>
      <c r="CD141" s="798">
        <f t="shared" si="1174"/>
        <v>50.763218390804596</v>
      </c>
      <c r="CE141" s="798">
        <f t="shared" si="1174"/>
        <v>50.763218390804596</v>
      </c>
      <c r="CF141" s="798">
        <f t="shared" si="1174"/>
        <v>50.763218390804596</v>
      </c>
      <c r="CG141" s="798">
        <f t="shared" si="1174"/>
        <v>50.763218390804596</v>
      </c>
      <c r="CH141" s="798">
        <f t="shared" si="1174"/>
        <v>50.763218390804596</v>
      </c>
      <c r="CI141" s="798">
        <f t="shared" si="1174"/>
        <v>50.763218390804596</v>
      </c>
      <c r="CJ141" s="798">
        <f t="shared" si="1174"/>
        <v>50.763218390804596</v>
      </c>
      <c r="CK141" s="798">
        <f t="shared" si="1174"/>
        <v>50.763218390804596</v>
      </c>
      <c r="CL141" s="798">
        <f t="shared" si="1174"/>
        <v>50.763218390804596</v>
      </c>
      <c r="CM141" s="798">
        <f t="shared" si="1174"/>
        <v>50.763218390804596</v>
      </c>
      <c r="CN141" s="798">
        <f t="shared" si="1174"/>
        <v>50.763218390804596</v>
      </c>
      <c r="CO141" s="798">
        <f t="shared" si="1174"/>
        <v>50.763218390804596</v>
      </c>
      <c r="CP141" s="798">
        <f t="shared" si="1174"/>
        <v>50.763218390804596</v>
      </c>
      <c r="CQ141" s="798">
        <f t="shared" si="1174"/>
        <v>50.763218390804596</v>
      </c>
      <c r="CR141" s="798">
        <f t="shared" si="1174"/>
        <v>50.763218390804596</v>
      </c>
      <c r="CS141" s="798">
        <f t="shared" si="1174"/>
        <v>50.763218390804596</v>
      </c>
      <c r="CT141" s="798">
        <f t="shared" si="1174"/>
        <v>50.763218390804596</v>
      </c>
      <c r="CU141" s="798">
        <f t="shared" si="1174"/>
        <v>50.763218390804596</v>
      </c>
      <c r="CV141" s="798">
        <f t="shared" si="1174"/>
        <v>50.763218390804596</v>
      </c>
      <c r="CW141" s="798">
        <f t="shared" si="1174"/>
        <v>50.763218390804596</v>
      </c>
      <c r="CX141" s="798">
        <f t="shared" si="1174"/>
        <v>50.763218390804596</v>
      </c>
      <c r="CY141" s="798">
        <f t="shared" si="1174"/>
        <v>50.763218390804596</v>
      </c>
      <c r="CZ141" s="798">
        <f t="shared" si="1174"/>
        <v>50.763218390804596</v>
      </c>
      <c r="DA141" s="798">
        <f t="shared" si="1174"/>
        <v>50.763218390804596</v>
      </c>
      <c r="DB141" s="798">
        <f t="shared" si="1174"/>
        <v>50.763218390804596</v>
      </c>
      <c r="DC141" s="798">
        <f t="shared" si="1174"/>
        <v>50.763218390804596</v>
      </c>
      <c r="DD141" s="798">
        <f t="shared" si="1174"/>
        <v>50.763218390804596</v>
      </c>
      <c r="DE141" s="798">
        <f t="shared" si="1174"/>
        <v>50.763218390804596</v>
      </c>
      <c r="DF141" s="798">
        <f t="shared" si="1174"/>
        <v>50.763218390804596</v>
      </c>
      <c r="DG141" s="798">
        <f t="shared" si="1174"/>
        <v>50.763218390804596</v>
      </c>
      <c r="DH141" s="798">
        <f t="shared" si="1174"/>
        <v>50.763218390804596</v>
      </c>
      <c r="DI141" s="798">
        <f t="shared" si="1174"/>
        <v>50.763218390804596</v>
      </c>
      <c r="DJ141" s="798">
        <f t="shared" si="1174"/>
        <v>50.763218390804596</v>
      </c>
      <c r="DK141" s="798">
        <f t="shared" si="1174"/>
        <v>50.763218390804596</v>
      </c>
      <c r="DL141" s="798">
        <f t="shared" si="1174"/>
        <v>50.763218390804596</v>
      </c>
      <c r="DM141" s="798">
        <f t="shared" si="1174"/>
        <v>50.763218390804596</v>
      </c>
      <c r="DN141" s="798">
        <f t="shared" si="1174"/>
        <v>50.763218390804596</v>
      </c>
      <c r="DO141" s="798">
        <f t="shared" si="1174"/>
        <v>50.763218390804596</v>
      </c>
      <c r="DP141" s="798">
        <f t="shared" si="1174"/>
        <v>50.763218390804596</v>
      </c>
      <c r="DQ141" s="798">
        <f t="shared" si="1174"/>
        <v>50.763218390804596</v>
      </c>
      <c r="DR141" s="798">
        <f t="shared" si="1174"/>
        <v>50.763218390804596</v>
      </c>
      <c r="DS141" s="798">
        <f t="shared" si="1174"/>
        <v>50.763218390804596</v>
      </c>
      <c r="DT141" s="798">
        <f t="shared" si="1174"/>
        <v>50.763218390804596</v>
      </c>
      <c r="DU141" s="798">
        <f t="shared" si="1174"/>
        <v>50.763218390804596</v>
      </c>
      <c r="DV141" s="798">
        <f t="shared" si="1174"/>
        <v>50.763218390804596</v>
      </c>
      <c r="DW141" s="798">
        <f t="shared" si="1174"/>
        <v>50.763218390804596</v>
      </c>
    </row>
    <row r="142" spans="3:127" x14ac:dyDescent="0.3">
      <c r="D142" s="120" t="s">
        <v>248</v>
      </c>
      <c r="E142" s="364"/>
      <c r="F142" s="1224"/>
      <c r="G142" s="1557">
        <f t="shared" si="1172"/>
        <v>50.763218390804596</v>
      </c>
      <c r="H142" s="1558">
        <f t="shared" si="1172"/>
        <v>50.763218390804596</v>
      </c>
      <c r="I142" s="1558">
        <f t="shared" si="1172"/>
        <v>50.763218390804596</v>
      </c>
      <c r="J142" s="798">
        <f t="shared" ref="J142:BO142" si="1175">((J146*J132)/J138)+((J146*J133)/J139)</f>
        <v>50.763218390804596</v>
      </c>
      <c r="K142" s="798">
        <f t="shared" si="1175"/>
        <v>50.763218390804596</v>
      </c>
      <c r="L142" s="798">
        <f t="shared" si="1175"/>
        <v>50.763218390804596</v>
      </c>
      <c r="M142" s="798">
        <f t="shared" si="1175"/>
        <v>50.763218390804596</v>
      </c>
      <c r="N142" s="798">
        <f t="shared" si="1175"/>
        <v>50.763218390804596</v>
      </c>
      <c r="O142" s="798">
        <f t="shared" si="1175"/>
        <v>50.763218390804596</v>
      </c>
      <c r="P142" s="798">
        <f t="shared" si="1175"/>
        <v>50.763218390804596</v>
      </c>
      <c r="Q142" s="798">
        <f t="shared" si="1175"/>
        <v>50.763218390804596</v>
      </c>
      <c r="R142" s="798">
        <f t="shared" si="1175"/>
        <v>50.763218390804596</v>
      </c>
      <c r="S142" s="798">
        <f t="shared" si="1175"/>
        <v>50.763218390804596</v>
      </c>
      <c r="T142" s="798">
        <f t="shared" si="1175"/>
        <v>50.763218390804596</v>
      </c>
      <c r="U142" s="798">
        <f t="shared" si="1175"/>
        <v>50.763218390804596</v>
      </c>
      <c r="V142" s="798">
        <f t="shared" si="1175"/>
        <v>50.763218390804596</v>
      </c>
      <c r="W142" s="798">
        <f t="shared" si="1175"/>
        <v>50.763218390804596</v>
      </c>
      <c r="X142" s="798">
        <f t="shared" si="1175"/>
        <v>50.763218390804596</v>
      </c>
      <c r="Y142" s="798">
        <f t="shared" si="1175"/>
        <v>50.763218390804596</v>
      </c>
      <c r="Z142" s="798">
        <f t="shared" si="1175"/>
        <v>50.763218390804596</v>
      </c>
      <c r="AA142" s="798">
        <f t="shared" si="1175"/>
        <v>50.763218390804596</v>
      </c>
      <c r="AB142" s="798">
        <f t="shared" si="1175"/>
        <v>50.763218390804596</v>
      </c>
      <c r="AC142" s="798">
        <f t="shared" si="1175"/>
        <v>50.763218390804596</v>
      </c>
      <c r="AD142" s="798">
        <f t="shared" si="1175"/>
        <v>50.763218390804596</v>
      </c>
      <c r="AE142" s="798">
        <f t="shared" si="1175"/>
        <v>50.763218390804596</v>
      </c>
      <c r="AF142" s="798">
        <f t="shared" si="1175"/>
        <v>50.763218390804596</v>
      </c>
      <c r="AG142" s="798">
        <f t="shared" si="1175"/>
        <v>50.763218390804596</v>
      </c>
      <c r="AH142" s="798">
        <f t="shared" si="1175"/>
        <v>50.763218390804596</v>
      </c>
      <c r="AI142" s="798">
        <f t="shared" si="1175"/>
        <v>50.763218390804596</v>
      </c>
      <c r="AJ142" s="798">
        <f t="shared" si="1175"/>
        <v>50.763218390804596</v>
      </c>
      <c r="AK142" s="798">
        <f t="shared" si="1175"/>
        <v>50.763218390804596</v>
      </c>
      <c r="AL142" s="798">
        <f t="shared" si="1175"/>
        <v>50.763218390804596</v>
      </c>
      <c r="AM142" s="798">
        <f t="shared" si="1175"/>
        <v>50.763218390804596</v>
      </c>
      <c r="AN142" s="798">
        <f t="shared" si="1175"/>
        <v>50.763218390804596</v>
      </c>
      <c r="AO142" s="798">
        <f t="shared" si="1175"/>
        <v>50.763218390804596</v>
      </c>
      <c r="AP142" s="798">
        <f t="shared" si="1175"/>
        <v>50.763218390804596</v>
      </c>
      <c r="AQ142" s="798">
        <f t="shared" si="1175"/>
        <v>50.763218390804596</v>
      </c>
      <c r="AR142" s="798">
        <f t="shared" si="1175"/>
        <v>50.763218390804596</v>
      </c>
      <c r="AS142" s="798">
        <f t="shared" si="1175"/>
        <v>50.763218390804596</v>
      </c>
      <c r="AT142" s="798">
        <f t="shared" si="1175"/>
        <v>50.763218390804596</v>
      </c>
      <c r="AU142" s="798">
        <f t="shared" si="1175"/>
        <v>50.763218390804596</v>
      </c>
      <c r="AV142" s="798">
        <f t="shared" si="1175"/>
        <v>50.763218390804596</v>
      </c>
      <c r="AW142" s="798">
        <f t="shared" si="1175"/>
        <v>50.763218390804596</v>
      </c>
      <c r="AX142" s="798">
        <f t="shared" si="1175"/>
        <v>50.763218390804596</v>
      </c>
      <c r="AY142" s="798">
        <f t="shared" si="1175"/>
        <v>50.763218390804596</v>
      </c>
      <c r="AZ142" s="798">
        <f t="shared" si="1175"/>
        <v>50.763218390804596</v>
      </c>
      <c r="BA142" s="798">
        <f t="shared" si="1175"/>
        <v>50.763218390804596</v>
      </c>
      <c r="BB142" s="798">
        <f t="shared" si="1175"/>
        <v>50.763218390804596</v>
      </c>
      <c r="BC142" s="798">
        <f t="shared" si="1175"/>
        <v>50.763218390804596</v>
      </c>
      <c r="BD142" s="798">
        <f t="shared" si="1175"/>
        <v>50.763218390804596</v>
      </c>
      <c r="BE142" s="798">
        <f t="shared" si="1175"/>
        <v>50.763218390804596</v>
      </c>
      <c r="BF142" s="798">
        <f t="shared" si="1175"/>
        <v>50.763218390804596</v>
      </c>
      <c r="BG142" s="798">
        <f t="shared" si="1175"/>
        <v>50.763218390804596</v>
      </c>
      <c r="BH142" s="798">
        <f t="shared" si="1175"/>
        <v>50.763218390804596</v>
      </c>
      <c r="BI142" s="798">
        <f t="shared" si="1175"/>
        <v>50.763218390804596</v>
      </c>
      <c r="BJ142" s="798">
        <f t="shared" si="1175"/>
        <v>50.763218390804596</v>
      </c>
      <c r="BK142" s="798">
        <f t="shared" si="1175"/>
        <v>50.763218390804596</v>
      </c>
      <c r="BL142" s="798">
        <f t="shared" si="1175"/>
        <v>50.763218390804596</v>
      </c>
      <c r="BM142" s="798">
        <f t="shared" si="1175"/>
        <v>50.763218390804596</v>
      </c>
      <c r="BN142" s="798">
        <f t="shared" si="1175"/>
        <v>50.763218390804596</v>
      </c>
      <c r="BO142" s="798">
        <f t="shared" si="1175"/>
        <v>50.763218390804596</v>
      </c>
      <c r="BP142" s="798">
        <f t="shared" ref="BP142:CO142" si="1176">((BP146*BP132)/BP138)+((BP146*BP133)/BP139)</f>
        <v>50.763218390804596</v>
      </c>
      <c r="BQ142" s="798">
        <f t="shared" si="1176"/>
        <v>50.763218390804596</v>
      </c>
      <c r="BR142" s="798">
        <f t="shared" si="1176"/>
        <v>50.763218390804596</v>
      </c>
      <c r="BS142" s="798">
        <f t="shared" si="1176"/>
        <v>50.763218390804596</v>
      </c>
      <c r="BT142" s="798">
        <f t="shared" si="1176"/>
        <v>50.763218390804596</v>
      </c>
      <c r="BU142" s="798">
        <f t="shared" si="1176"/>
        <v>50.763218390804596</v>
      </c>
      <c r="BV142" s="798">
        <f t="shared" si="1176"/>
        <v>50.763218390804596</v>
      </c>
      <c r="BW142" s="798">
        <f t="shared" si="1176"/>
        <v>50.763218390804596</v>
      </c>
      <c r="BX142" s="798">
        <f t="shared" si="1176"/>
        <v>50.763218390804596</v>
      </c>
      <c r="BY142" s="798">
        <f t="shared" si="1176"/>
        <v>50.763218390804596</v>
      </c>
      <c r="BZ142" s="798">
        <f t="shared" si="1176"/>
        <v>50.763218390804596</v>
      </c>
      <c r="CA142" s="798">
        <f t="shared" si="1176"/>
        <v>50.763218390804596</v>
      </c>
      <c r="CB142" s="798">
        <f t="shared" si="1176"/>
        <v>50.763218390804596</v>
      </c>
      <c r="CC142" s="798">
        <f t="shared" si="1176"/>
        <v>50.763218390804596</v>
      </c>
      <c r="CD142" s="798">
        <f t="shared" si="1176"/>
        <v>50.763218390804596</v>
      </c>
      <c r="CE142" s="798">
        <f t="shared" si="1176"/>
        <v>50.763218390804596</v>
      </c>
      <c r="CF142" s="798">
        <f t="shared" si="1176"/>
        <v>50.763218390804596</v>
      </c>
      <c r="CG142" s="798">
        <f t="shared" si="1176"/>
        <v>50.763218390804596</v>
      </c>
      <c r="CH142" s="798">
        <f t="shared" si="1176"/>
        <v>50.763218390804596</v>
      </c>
      <c r="CI142" s="798">
        <f t="shared" si="1176"/>
        <v>50.763218390804596</v>
      </c>
      <c r="CJ142" s="798">
        <f t="shared" si="1176"/>
        <v>50.763218390804596</v>
      </c>
      <c r="CK142" s="798">
        <f t="shared" si="1176"/>
        <v>50.763218390804596</v>
      </c>
      <c r="CL142" s="798">
        <f t="shared" si="1176"/>
        <v>50.763218390804596</v>
      </c>
      <c r="CM142" s="798">
        <f t="shared" si="1176"/>
        <v>50.763218390804596</v>
      </c>
      <c r="CN142" s="798">
        <f t="shared" si="1176"/>
        <v>50.763218390804596</v>
      </c>
      <c r="CO142" s="798">
        <f t="shared" si="1176"/>
        <v>50.763218390804596</v>
      </c>
      <c r="CP142" s="798">
        <f t="shared" ref="CP142:DW142" si="1177">((CP146*CP132)/CP138)+((CP146*CP133)/CP139)</f>
        <v>50.763218390804596</v>
      </c>
      <c r="CQ142" s="798">
        <f t="shared" si="1177"/>
        <v>50.763218390804596</v>
      </c>
      <c r="CR142" s="798">
        <f t="shared" si="1177"/>
        <v>50.763218390804596</v>
      </c>
      <c r="CS142" s="798">
        <f t="shared" si="1177"/>
        <v>50.763218390804596</v>
      </c>
      <c r="CT142" s="798">
        <f t="shared" si="1177"/>
        <v>50.763218390804596</v>
      </c>
      <c r="CU142" s="798">
        <f t="shared" si="1177"/>
        <v>50.763218390804596</v>
      </c>
      <c r="CV142" s="798">
        <f t="shared" si="1177"/>
        <v>50.763218390804596</v>
      </c>
      <c r="CW142" s="798">
        <f t="shared" si="1177"/>
        <v>50.763218390804596</v>
      </c>
      <c r="CX142" s="798">
        <f t="shared" si="1177"/>
        <v>50.763218390804596</v>
      </c>
      <c r="CY142" s="798">
        <f t="shared" si="1177"/>
        <v>50.763218390804596</v>
      </c>
      <c r="CZ142" s="798">
        <f t="shared" si="1177"/>
        <v>50.763218390804596</v>
      </c>
      <c r="DA142" s="798">
        <f t="shared" si="1177"/>
        <v>50.763218390804596</v>
      </c>
      <c r="DB142" s="798">
        <f t="shared" si="1177"/>
        <v>50.763218390804596</v>
      </c>
      <c r="DC142" s="798">
        <f t="shared" si="1177"/>
        <v>50.763218390804596</v>
      </c>
      <c r="DD142" s="798">
        <f t="shared" si="1177"/>
        <v>50.763218390804596</v>
      </c>
      <c r="DE142" s="798">
        <f t="shared" si="1177"/>
        <v>50.763218390804596</v>
      </c>
      <c r="DF142" s="798">
        <f t="shared" si="1177"/>
        <v>50.763218390804596</v>
      </c>
      <c r="DG142" s="798">
        <f t="shared" si="1177"/>
        <v>50.763218390804596</v>
      </c>
      <c r="DH142" s="798">
        <f t="shared" si="1177"/>
        <v>50.763218390804596</v>
      </c>
      <c r="DI142" s="798">
        <f t="shared" si="1177"/>
        <v>50.763218390804596</v>
      </c>
      <c r="DJ142" s="798">
        <f t="shared" si="1177"/>
        <v>50.763218390804596</v>
      </c>
      <c r="DK142" s="798">
        <f t="shared" si="1177"/>
        <v>50.763218390804596</v>
      </c>
      <c r="DL142" s="798">
        <f t="shared" si="1177"/>
        <v>50.763218390804596</v>
      </c>
      <c r="DM142" s="798">
        <f t="shared" si="1177"/>
        <v>50.763218390804596</v>
      </c>
      <c r="DN142" s="798">
        <f t="shared" si="1177"/>
        <v>50.763218390804596</v>
      </c>
      <c r="DO142" s="798">
        <f t="shared" si="1177"/>
        <v>50.763218390804596</v>
      </c>
      <c r="DP142" s="798">
        <f t="shared" si="1177"/>
        <v>50.763218390804596</v>
      </c>
      <c r="DQ142" s="798">
        <f t="shared" si="1177"/>
        <v>50.763218390804596</v>
      </c>
      <c r="DR142" s="798">
        <f t="shared" si="1177"/>
        <v>50.763218390804596</v>
      </c>
      <c r="DS142" s="798">
        <f t="shared" si="1177"/>
        <v>50.763218390804596</v>
      </c>
      <c r="DT142" s="798">
        <f t="shared" si="1177"/>
        <v>50.763218390804596</v>
      </c>
      <c r="DU142" s="798">
        <f t="shared" si="1177"/>
        <v>50.763218390804596</v>
      </c>
      <c r="DV142" s="798">
        <f t="shared" si="1177"/>
        <v>50.763218390804596</v>
      </c>
      <c r="DW142" s="798">
        <f t="shared" si="1177"/>
        <v>50.763218390804596</v>
      </c>
    </row>
    <row r="144" spans="3:127" x14ac:dyDescent="0.3">
      <c r="C144" s="1225">
        <f>Summary!R9</f>
        <v>1</v>
      </c>
      <c r="D144" s="33" t="s">
        <v>151</v>
      </c>
      <c r="E144" s="1226">
        <f>$C$144*E40</f>
        <v>0</v>
      </c>
      <c r="F144" s="1227">
        <f t="shared" ref="F144:BO144" si="1178">$C$144*F40</f>
        <v>0</v>
      </c>
      <c r="G144" s="1232">
        <f>H144</f>
        <v>60.999999999999993</v>
      </c>
      <c r="H144" s="728">
        <f t="shared" si="1178"/>
        <v>60.999999999999993</v>
      </c>
      <c r="I144" s="728">
        <f t="shared" si="1178"/>
        <v>61</v>
      </c>
      <c r="J144" s="728">
        <f t="shared" si="1178"/>
        <v>61</v>
      </c>
      <c r="K144" s="728">
        <f t="shared" si="1178"/>
        <v>61</v>
      </c>
      <c r="L144" s="728">
        <f t="shared" si="1178"/>
        <v>61</v>
      </c>
      <c r="M144" s="728">
        <f t="shared" si="1178"/>
        <v>61</v>
      </c>
      <c r="N144" s="728">
        <f t="shared" si="1178"/>
        <v>61</v>
      </c>
      <c r="O144" s="728">
        <f t="shared" si="1178"/>
        <v>61</v>
      </c>
      <c r="P144" s="728">
        <f t="shared" si="1178"/>
        <v>61</v>
      </c>
      <c r="Q144" s="728">
        <f t="shared" si="1178"/>
        <v>61</v>
      </c>
      <c r="R144" s="728">
        <f t="shared" si="1178"/>
        <v>61</v>
      </c>
      <c r="S144" s="728">
        <f t="shared" si="1178"/>
        <v>61</v>
      </c>
      <c r="T144" s="728">
        <f t="shared" si="1178"/>
        <v>61</v>
      </c>
      <c r="U144" s="728">
        <f t="shared" si="1178"/>
        <v>61</v>
      </c>
      <c r="V144" s="728">
        <f t="shared" si="1178"/>
        <v>61</v>
      </c>
      <c r="W144" s="728">
        <f t="shared" si="1178"/>
        <v>61</v>
      </c>
      <c r="X144" s="728">
        <f t="shared" si="1178"/>
        <v>61</v>
      </c>
      <c r="Y144" s="728">
        <f t="shared" si="1178"/>
        <v>61</v>
      </c>
      <c r="Z144" s="728">
        <f t="shared" si="1178"/>
        <v>61</v>
      </c>
      <c r="AA144" s="728">
        <f t="shared" si="1178"/>
        <v>61</v>
      </c>
      <c r="AB144" s="728">
        <f t="shared" si="1178"/>
        <v>61</v>
      </c>
      <c r="AC144" s="728">
        <f t="shared" si="1178"/>
        <v>61</v>
      </c>
      <c r="AD144" s="728">
        <f t="shared" si="1178"/>
        <v>61</v>
      </c>
      <c r="AE144" s="728">
        <f t="shared" si="1178"/>
        <v>61</v>
      </c>
      <c r="AF144" s="728">
        <f t="shared" si="1178"/>
        <v>61</v>
      </c>
      <c r="AG144" s="728">
        <f t="shared" si="1178"/>
        <v>61</v>
      </c>
      <c r="AH144" s="728">
        <f t="shared" si="1178"/>
        <v>61</v>
      </c>
      <c r="AI144" s="728">
        <f t="shared" si="1178"/>
        <v>61</v>
      </c>
      <c r="AJ144" s="728">
        <f t="shared" si="1178"/>
        <v>61</v>
      </c>
      <c r="AK144" s="728">
        <f t="shared" si="1178"/>
        <v>61</v>
      </c>
      <c r="AL144" s="728">
        <f t="shared" si="1178"/>
        <v>61</v>
      </c>
      <c r="AM144" s="728">
        <f t="shared" si="1178"/>
        <v>61</v>
      </c>
      <c r="AN144" s="728">
        <f t="shared" si="1178"/>
        <v>61</v>
      </c>
      <c r="AO144" s="728">
        <f t="shared" si="1178"/>
        <v>61</v>
      </c>
      <c r="AP144" s="728">
        <f t="shared" si="1178"/>
        <v>61</v>
      </c>
      <c r="AQ144" s="728">
        <f t="shared" si="1178"/>
        <v>61</v>
      </c>
      <c r="AR144" s="728">
        <f t="shared" si="1178"/>
        <v>61</v>
      </c>
      <c r="AS144" s="728">
        <f t="shared" si="1178"/>
        <v>61</v>
      </c>
      <c r="AT144" s="728">
        <f t="shared" si="1178"/>
        <v>61</v>
      </c>
      <c r="AU144" s="728">
        <f t="shared" si="1178"/>
        <v>61</v>
      </c>
      <c r="AV144" s="728">
        <f t="shared" si="1178"/>
        <v>61</v>
      </c>
      <c r="AW144" s="728">
        <f t="shared" si="1178"/>
        <v>61</v>
      </c>
      <c r="AX144" s="728">
        <f t="shared" si="1178"/>
        <v>61</v>
      </c>
      <c r="AY144" s="728">
        <f t="shared" si="1178"/>
        <v>61</v>
      </c>
      <c r="AZ144" s="728">
        <f t="shared" si="1178"/>
        <v>61</v>
      </c>
      <c r="BA144" s="728">
        <f t="shared" si="1178"/>
        <v>61</v>
      </c>
      <c r="BB144" s="728">
        <f t="shared" si="1178"/>
        <v>61</v>
      </c>
      <c r="BC144" s="728">
        <f t="shared" si="1178"/>
        <v>61</v>
      </c>
      <c r="BD144" s="728">
        <f t="shared" si="1178"/>
        <v>61</v>
      </c>
      <c r="BE144" s="728">
        <f t="shared" si="1178"/>
        <v>61</v>
      </c>
      <c r="BF144" s="728">
        <f t="shared" si="1178"/>
        <v>61</v>
      </c>
      <c r="BG144" s="728">
        <f t="shared" si="1178"/>
        <v>61</v>
      </c>
      <c r="BH144" s="728">
        <f t="shared" si="1178"/>
        <v>61</v>
      </c>
      <c r="BI144" s="728">
        <f t="shared" si="1178"/>
        <v>61</v>
      </c>
      <c r="BJ144" s="728">
        <f t="shared" si="1178"/>
        <v>61</v>
      </c>
      <c r="BK144" s="728">
        <f t="shared" si="1178"/>
        <v>61</v>
      </c>
      <c r="BL144" s="728">
        <f t="shared" si="1178"/>
        <v>61</v>
      </c>
      <c r="BM144" s="728">
        <f t="shared" si="1178"/>
        <v>61</v>
      </c>
      <c r="BN144" s="728">
        <f t="shared" si="1178"/>
        <v>61</v>
      </c>
      <c r="BO144" s="728">
        <f t="shared" si="1178"/>
        <v>61</v>
      </c>
      <c r="BP144" s="728">
        <f t="shared" ref="BP144:CO144" si="1179">$C$144*BP40</f>
        <v>61</v>
      </c>
      <c r="BQ144" s="728">
        <f t="shared" si="1179"/>
        <v>61</v>
      </c>
      <c r="BR144" s="728">
        <f t="shared" si="1179"/>
        <v>61</v>
      </c>
      <c r="BS144" s="728">
        <f t="shared" si="1179"/>
        <v>61</v>
      </c>
      <c r="BT144" s="728">
        <f t="shared" si="1179"/>
        <v>61</v>
      </c>
      <c r="BU144" s="728">
        <f t="shared" si="1179"/>
        <v>61</v>
      </c>
      <c r="BV144" s="728">
        <f t="shared" si="1179"/>
        <v>61</v>
      </c>
      <c r="BW144" s="728">
        <f t="shared" si="1179"/>
        <v>61</v>
      </c>
      <c r="BX144" s="728">
        <f t="shared" si="1179"/>
        <v>61</v>
      </c>
      <c r="BY144" s="728">
        <f t="shared" si="1179"/>
        <v>61</v>
      </c>
      <c r="BZ144" s="728">
        <f t="shared" si="1179"/>
        <v>61</v>
      </c>
      <c r="CA144" s="728">
        <f t="shared" si="1179"/>
        <v>61</v>
      </c>
      <c r="CB144" s="728">
        <f t="shared" si="1179"/>
        <v>61</v>
      </c>
      <c r="CC144" s="728">
        <f t="shared" si="1179"/>
        <v>61</v>
      </c>
      <c r="CD144" s="728">
        <f t="shared" si="1179"/>
        <v>61</v>
      </c>
      <c r="CE144" s="728">
        <f t="shared" si="1179"/>
        <v>61</v>
      </c>
      <c r="CF144" s="728">
        <f t="shared" si="1179"/>
        <v>61</v>
      </c>
      <c r="CG144" s="728">
        <f t="shared" si="1179"/>
        <v>61</v>
      </c>
      <c r="CH144" s="728">
        <f t="shared" si="1179"/>
        <v>61</v>
      </c>
      <c r="CI144" s="728">
        <f t="shared" si="1179"/>
        <v>61</v>
      </c>
      <c r="CJ144" s="728">
        <f t="shared" si="1179"/>
        <v>61</v>
      </c>
      <c r="CK144" s="728">
        <f t="shared" si="1179"/>
        <v>61</v>
      </c>
      <c r="CL144" s="728">
        <f t="shared" si="1179"/>
        <v>61</v>
      </c>
      <c r="CM144" s="728">
        <f t="shared" si="1179"/>
        <v>61</v>
      </c>
      <c r="CN144" s="728">
        <f t="shared" si="1179"/>
        <v>61</v>
      </c>
      <c r="CO144" s="728">
        <f t="shared" si="1179"/>
        <v>61</v>
      </c>
      <c r="CP144" s="728">
        <f t="shared" ref="CP144:DW144" si="1180">$C$144*CP40</f>
        <v>61</v>
      </c>
      <c r="CQ144" s="728">
        <f t="shared" si="1180"/>
        <v>61</v>
      </c>
      <c r="CR144" s="728">
        <f t="shared" si="1180"/>
        <v>61</v>
      </c>
      <c r="CS144" s="728">
        <f t="shared" si="1180"/>
        <v>61</v>
      </c>
      <c r="CT144" s="728">
        <f t="shared" si="1180"/>
        <v>61</v>
      </c>
      <c r="CU144" s="728">
        <f t="shared" si="1180"/>
        <v>61</v>
      </c>
      <c r="CV144" s="728">
        <f t="shared" si="1180"/>
        <v>61</v>
      </c>
      <c r="CW144" s="728">
        <f t="shared" si="1180"/>
        <v>61</v>
      </c>
      <c r="CX144" s="728">
        <f t="shared" si="1180"/>
        <v>61</v>
      </c>
      <c r="CY144" s="728">
        <f t="shared" si="1180"/>
        <v>61</v>
      </c>
      <c r="CZ144" s="728">
        <f t="shared" si="1180"/>
        <v>61</v>
      </c>
      <c r="DA144" s="728">
        <f t="shared" si="1180"/>
        <v>61</v>
      </c>
      <c r="DB144" s="728">
        <f t="shared" si="1180"/>
        <v>61</v>
      </c>
      <c r="DC144" s="728">
        <f t="shared" si="1180"/>
        <v>61</v>
      </c>
      <c r="DD144" s="728">
        <f t="shared" si="1180"/>
        <v>61</v>
      </c>
      <c r="DE144" s="728">
        <f t="shared" si="1180"/>
        <v>61</v>
      </c>
      <c r="DF144" s="728">
        <f t="shared" si="1180"/>
        <v>61</v>
      </c>
      <c r="DG144" s="728">
        <f t="shared" si="1180"/>
        <v>61</v>
      </c>
      <c r="DH144" s="728">
        <f t="shared" si="1180"/>
        <v>61</v>
      </c>
      <c r="DI144" s="728">
        <f t="shared" si="1180"/>
        <v>61</v>
      </c>
      <c r="DJ144" s="728">
        <f t="shared" si="1180"/>
        <v>61</v>
      </c>
      <c r="DK144" s="728">
        <f t="shared" si="1180"/>
        <v>61</v>
      </c>
      <c r="DL144" s="728">
        <f t="shared" si="1180"/>
        <v>61</v>
      </c>
      <c r="DM144" s="728">
        <f t="shared" si="1180"/>
        <v>61</v>
      </c>
      <c r="DN144" s="728">
        <f t="shared" si="1180"/>
        <v>61</v>
      </c>
      <c r="DO144" s="728">
        <f t="shared" si="1180"/>
        <v>61</v>
      </c>
      <c r="DP144" s="728">
        <f t="shared" si="1180"/>
        <v>61</v>
      </c>
      <c r="DQ144" s="728">
        <f t="shared" si="1180"/>
        <v>61</v>
      </c>
      <c r="DR144" s="728">
        <f t="shared" si="1180"/>
        <v>61</v>
      </c>
      <c r="DS144" s="728">
        <f t="shared" si="1180"/>
        <v>61</v>
      </c>
      <c r="DT144" s="728">
        <f t="shared" si="1180"/>
        <v>61</v>
      </c>
      <c r="DU144" s="728">
        <f t="shared" si="1180"/>
        <v>61</v>
      </c>
      <c r="DV144" s="728">
        <f t="shared" si="1180"/>
        <v>61</v>
      </c>
      <c r="DW144" s="728">
        <f t="shared" si="1180"/>
        <v>61</v>
      </c>
    </row>
    <row r="145" spans="3:127" x14ac:dyDescent="0.3">
      <c r="C145" s="1225">
        <f>Summary!R10</f>
        <v>0</v>
      </c>
      <c r="D145" s="33" t="s">
        <v>152</v>
      </c>
      <c r="E145" s="1226">
        <f>$C$145*E40*$C$146</f>
        <v>0</v>
      </c>
      <c r="F145" s="1227">
        <f t="shared" ref="F145:BO145" si="1181">$C$145*F40*$C$146</f>
        <v>0</v>
      </c>
      <c r="G145" s="1232">
        <f>H145</f>
        <v>0</v>
      </c>
      <c r="H145" s="728">
        <f t="shared" si="1181"/>
        <v>0</v>
      </c>
      <c r="I145" s="728">
        <f t="shared" si="1181"/>
        <v>0</v>
      </c>
      <c r="J145" s="728">
        <f t="shared" si="1181"/>
        <v>0</v>
      </c>
      <c r="K145" s="728">
        <f t="shared" si="1181"/>
        <v>0</v>
      </c>
      <c r="L145" s="728">
        <f t="shared" si="1181"/>
        <v>0</v>
      </c>
      <c r="M145" s="728">
        <f t="shared" si="1181"/>
        <v>0</v>
      </c>
      <c r="N145" s="728">
        <f t="shared" si="1181"/>
        <v>0</v>
      </c>
      <c r="O145" s="728">
        <f t="shared" si="1181"/>
        <v>0</v>
      </c>
      <c r="P145" s="728">
        <f t="shared" si="1181"/>
        <v>0</v>
      </c>
      <c r="Q145" s="728">
        <f t="shared" si="1181"/>
        <v>0</v>
      </c>
      <c r="R145" s="728">
        <f t="shared" si="1181"/>
        <v>0</v>
      </c>
      <c r="S145" s="728">
        <f t="shared" si="1181"/>
        <v>0</v>
      </c>
      <c r="T145" s="728">
        <f t="shared" si="1181"/>
        <v>0</v>
      </c>
      <c r="U145" s="728">
        <f t="shared" si="1181"/>
        <v>0</v>
      </c>
      <c r="V145" s="728">
        <f t="shared" si="1181"/>
        <v>0</v>
      </c>
      <c r="W145" s="728">
        <f t="shared" si="1181"/>
        <v>0</v>
      </c>
      <c r="X145" s="728">
        <f t="shared" si="1181"/>
        <v>0</v>
      </c>
      <c r="Y145" s="728">
        <f t="shared" si="1181"/>
        <v>0</v>
      </c>
      <c r="Z145" s="728">
        <f t="shared" si="1181"/>
        <v>0</v>
      </c>
      <c r="AA145" s="728">
        <f t="shared" si="1181"/>
        <v>0</v>
      </c>
      <c r="AB145" s="728">
        <f t="shared" si="1181"/>
        <v>0</v>
      </c>
      <c r="AC145" s="728">
        <f t="shared" si="1181"/>
        <v>0</v>
      </c>
      <c r="AD145" s="728">
        <f t="shared" si="1181"/>
        <v>0</v>
      </c>
      <c r="AE145" s="728">
        <f t="shared" si="1181"/>
        <v>0</v>
      </c>
      <c r="AF145" s="728">
        <f t="shared" si="1181"/>
        <v>0</v>
      </c>
      <c r="AG145" s="728">
        <f t="shared" si="1181"/>
        <v>0</v>
      </c>
      <c r="AH145" s="728">
        <f t="shared" si="1181"/>
        <v>0</v>
      </c>
      <c r="AI145" s="728">
        <f t="shared" si="1181"/>
        <v>0</v>
      </c>
      <c r="AJ145" s="728">
        <f t="shared" si="1181"/>
        <v>0</v>
      </c>
      <c r="AK145" s="728">
        <f t="shared" si="1181"/>
        <v>0</v>
      </c>
      <c r="AL145" s="728">
        <f t="shared" si="1181"/>
        <v>0</v>
      </c>
      <c r="AM145" s="728">
        <f t="shared" si="1181"/>
        <v>0</v>
      </c>
      <c r="AN145" s="728">
        <f t="shared" si="1181"/>
        <v>0</v>
      </c>
      <c r="AO145" s="728">
        <f t="shared" si="1181"/>
        <v>0</v>
      </c>
      <c r="AP145" s="728">
        <f t="shared" si="1181"/>
        <v>0</v>
      </c>
      <c r="AQ145" s="728">
        <f t="shared" si="1181"/>
        <v>0</v>
      </c>
      <c r="AR145" s="728">
        <f t="shared" si="1181"/>
        <v>0</v>
      </c>
      <c r="AS145" s="728">
        <f t="shared" si="1181"/>
        <v>0</v>
      </c>
      <c r="AT145" s="728">
        <f t="shared" si="1181"/>
        <v>0</v>
      </c>
      <c r="AU145" s="728">
        <f t="shared" si="1181"/>
        <v>0</v>
      </c>
      <c r="AV145" s="728">
        <f t="shared" si="1181"/>
        <v>0</v>
      </c>
      <c r="AW145" s="728">
        <f t="shared" si="1181"/>
        <v>0</v>
      </c>
      <c r="AX145" s="728">
        <f t="shared" si="1181"/>
        <v>0</v>
      </c>
      <c r="AY145" s="728">
        <f t="shared" si="1181"/>
        <v>0</v>
      </c>
      <c r="AZ145" s="728">
        <f t="shared" si="1181"/>
        <v>0</v>
      </c>
      <c r="BA145" s="728">
        <f t="shared" si="1181"/>
        <v>0</v>
      </c>
      <c r="BB145" s="728">
        <f t="shared" si="1181"/>
        <v>0</v>
      </c>
      <c r="BC145" s="728">
        <f t="shared" si="1181"/>
        <v>0</v>
      </c>
      <c r="BD145" s="728">
        <f t="shared" si="1181"/>
        <v>0</v>
      </c>
      <c r="BE145" s="728">
        <f t="shared" si="1181"/>
        <v>0</v>
      </c>
      <c r="BF145" s="728">
        <f t="shared" si="1181"/>
        <v>0</v>
      </c>
      <c r="BG145" s="728">
        <f t="shared" si="1181"/>
        <v>0</v>
      </c>
      <c r="BH145" s="728">
        <f t="shared" si="1181"/>
        <v>0</v>
      </c>
      <c r="BI145" s="728">
        <f t="shared" si="1181"/>
        <v>0</v>
      </c>
      <c r="BJ145" s="728">
        <f t="shared" si="1181"/>
        <v>0</v>
      </c>
      <c r="BK145" s="728">
        <f t="shared" si="1181"/>
        <v>0</v>
      </c>
      <c r="BL145" s="728">
        <f t="shared" si="1181"/>
        <v>0</v>
      </c>
      <c r="BM145" s="728">
        <f t="shared" si="1181"/>
        <v>0</v>
      </c>
      <c r="BN145" s="728">
        <f t="shared" si="1181"/>
        <v>0</v>
      </c>
      <c r="BO145" s="728">
        <f t="shared" si="1181"/>
        <v>0</v>
      </c>
      <c r="BP145" s="728">
        <f t="shared" ref="BP145:CO145" si="1182">$C$145*BP40*$C$146</f>
        <v>0</v>
      </c>
      <c r="BQ145" s="728">
        <f t="shared" si="1182"/>
        <v>0</v>
      </c>
      <c r="BR145" s="728">
        <f t="shared" si="1182"/>
        <v>0</v>
      </c>
      <c r="BS145" s="728">
        <f t="shared" si="1182"/>
        <v>0</v>
      </c>
      <c r="BT145" s="728">
        <f t="shared" si="1182"/>
        <v>0</v>
      </c>
      <c r="BU145" s="728">
        <f t="shared" si="1182"/>
        <v>0</v>
      </c>
      <c r="BV145" s="728">
        <f t="shared" si="1182"/>
        <v>0</v>
      </c>
      <c r="BW145" s="728">
        <f t="shared" si="1182"/>
        <v>0</v>
      </c>
      <c r="BX145" s="728">
        <f t="shared" si="1182"/>
        <v>0</v>
      </c>
      <c r="BY145" s="728">
        <f t="shared" si="1182"/>
        <v>0</v>
      </c>
      <c r="BZ145" s="728">
        <f t="shared" si="1182"/>
        <v>0</v>
      </c>
      <c r="CA145" s="728">
        <f t="shared" si="1182"/>
        <v>0</v>
      </c>
      <c r="CB145" s="728">
        <f t="shared" si="1182"/>
        <v>0</v>
      </c>
      <c r="CC145" s="728">
        <f t="shared" si="1182"/>
        <v>0</v>
      </c>
      <c r="CD145" s="728">
        <f t="shared" si="1182"/>
        <v>0</v>
      </c>
      <c r="CE145" s="728">
        <f t="shared" si="1182"/>
        <v>0</v>
      </c>
      <c r="CF145" s="728">
        <f t="shared" si="1182"/>
        <v>0</v>
      </c>
      <c r="CG145" s="728">
        <f t="shared" si="1182"/>
        <v>0</v>
      </c>
      <c r="CH145" s="728">
        <f t="shared" si="1182"/>
        <v>0</v>
      </c>
      <c r="CI145" s="728">
        <f t="shared" si="1182"/>
        <v>0</v>
      </c>
      <c r="CJ145" s="728">
        <f t="shared" si="1182"/>
        <v>0</v>
      </c>
      <c r="CK145" s="728">
        <f t="shared" si="1182"/>
        <v>0</v>
      </c>
      <c r="CL145" s="728">
        <f t="shared" si="1182"/>
        <v>0</v>
      </c>
      <c r="CM145" s="728">
        <f t="shared" si="1182"/>
        <v>0</v>
      </c>
      <c r="CN145" s="728">
        <f t="shared" si="1182"/>
        <v>0</v>
      </c>
      <c r="CO145" s="728">
        <f t="shared" si="1182"/>
        <v>0</v>
      </c>
      <c r="CP145" s="728">
        <f t="shared" ref="CP145:DW145" si="1183">$C$145*CP40*$C$146</f>
        <v>0</v>
      </c>
      <c r="CQ145" s="728">
        <f t="shared" si="1183"/>
        <v>0</v>
      </c>
      <c r="CR145" s="728">
        <f t="shared" si="1183"/>
        <v>0</v>
      </c>
      <c r="CS145" s="728">
        <f t="shared" si="1183"/>
        <v>0</v>
      </c>
      <c r="CT145" s="728">
        <f t="shared" si="1183"/>
        <v>0</v>
      </c>
      <c r="CU145" s="728">
        <f t="shared" si="1183"/>
        <v>0</v>
      </c>
      <c r="CV145" s="728">
        <f t="shared" si="1183"/>
        <v>0</v>
      </c>
      <c r="CW145" s="728">
        <f t="shared" si="1183"/>
        <v>0</v>
      </c>
      <c r="CX145" s="728">
        <f t="shared" si="1183"/>
        <v>0</v>
      </c>
      <c r="CY145" s="728">
        <f t="shared" si="1183"/>
        <v>0</v>
      </c>
      <c r="CZ145" s="728">
        <f t="shared" si="1183"/>
        <v>0</v>
      </c>
      <c r="DA145" s="728">
        <f t="shared" si="1183"/>
        <v>0</v>
      </c>
      <c r="DB145" s="728">
        <f t="shared" si="1183"/>
        <v>0</v>
      </c>
      <c r="DC145" s="728">
        <f t="shared" si="1183"/>
        <v>0</v>
      </c>
      <c r="DD145" s="728">
        <f t="shared" si="1183"/>
        <v>0</v>
      </c>
      <c r="DE145" s="728">
        <f t="shared" si="1183"/>
        <v>0</v>
      </c>
      <c r="DF145" s="728">
        <f t="shared" si="1183"/>
        <v>0</v>
      </c>
      <c r="DG145" s="728">
        <f t="shared" si="1183"/>
        <v>0</v>
      </c>
      <c r="DH145" s="728">
        <f t="shared" si="1183"/>
        <v>0</v>
      </c>
      <c r="DI145" s="728">
        <f t="shared" si="1183"/>
        <v>0</v>
      </c>
      <c r="DJ145" s="728">
        <f t="shared" si="1183"/>
        <v>0</v>
      </c>
      <c r="DK145" s="728">
        <f t="shared" si="1183"/>
        <v>0</v>
      </c>
      <c r="DL145" s="728">
        <f t="shared" si="1183"/>
        <v>0</v>
      </c>
      <c r="DM145" s="728">
        <f t="shared" si="1183"/>
        <v>0</v>
      </c>
      <c r="DN145" s="728">
        <f t="shared" si="1183"/>
        <v>0</v>
      </c>
      <c r="DO145" s="728">
        <f t="shared" si="1183"/>
        <v>0</v>
      </c>
      <c r="DP145" s="728">
        <f t="shared" si="1183"/>
        <v>0</v>
      </c>
      <c r="DQ145" s="728">
        <f t="shared" si="1183"/>
        <v>0</v>
      </c>
      <c r="DR145" s="728">
        <f t="shared" si="1183"/>
        <v>0</v>
      </c>
      <c r="DS145" s="728">
        <f t="shared" si="1183"/>
        <v>0</v>
      </c>
      <c r="DT145" s="728">
        <f t="shared" si="1183"/>
        <v>0</v>
      </c>
      <c r="DU145" s="728">
        <f t="shared" si="1183"/>
        <v>0</v>
      </c>
      <c r="DV145" s="728">
        <f t="shared" si="1183"/>
        <v>0</v>
      </c>
      <c r="DW145" s="728">
        <f t="shared" si="1183"/>
        <v>0</v>
      </c>
    </row>
    <row r="146" spans="3:127" x14ac:dyDescent="0.3">
      <c r="C146" s="1071"/>
      <c r="D146" s="1228" t="s">
        <v>50</v>
      </c>
      <c r="E146" s="1229">
        <f t="shared" ref="E146:AJ146" si="1184">SUM(E144:E145)</f>
        <v>0</v>
      </c>
      <c r="F146" s="1230">
        <f t="shared" si="1184"/>
        <v>0</v>
      </c>
      <c r="G146" s="1232">
        <f t="shared" si="1184"/>
        <v>60.999999999999993</v>
      </c>
      <c r="H146" s="1231">
        <f t="shared" si="1184"/>
        <v>60.999999999999993</v>
      </c>
      <c r="I146" s="1231">
        <f t="shared" si="1184"/>
        <v>61</v>
      </c>
      <c r="J146" s="1231">
        <f t="shared" si="1184"/>
        <v>61</v>
      </c>
      <c r="K146" s="1231">
        <f t="shared" si="1184"/>
        <v>61</v>
      </c>
      <c r="L146" s="1231">
        <f t="shared" si="1184"/>
        <v>61</v>
      </c>
      <c r="M146" s="1231">
        <f t="shared" si="1184"/>
        <v>61</v>
      </c>
      <c r="N146" s="1231">
        <f t="shared" si="1184"/>
        <v>61</v>
      </c>
      <c r="O146" s="1231">
        <f t="shared" si="1184"/>
        <v>61</v>
      </c>
      <c r="P146" s="1231">
        <f t="shared" si="1184"/>
        <v>61</v>
      </c>
      <c r="Q146" s="1231">
        <f t="shared" si="1184"/>
        <v>61</v>
      </c>
      <c r="R146" s="1231">
        <f t="shared" si="1184"/>
        <v>61</v>
      </c>
      <c r="S146" s="1231">
        <f t="shared" si="1184"/>
        <v>61</v>
      </c>
      <c r="T146" s="1231">
        <f t="shared" si="1184"/>
        <v>61</v>
      </c>
      <c r="U146" s="1231">
        <f t="shared" si="1184"/>
        <v>61</v>
      </c>
      <c r="V146" s="1231">
        <f t="shared" si="1184"/>
        <v>61</v>
      </c>
      <c r="W146" s="1231">
        <f t="shared" si="1184"/>
        <v>61</v>
      </c>
      <c r="X146" s="1231">
        <f t="shared" si="1184"/>
        <v>61</v>
      </c>
      <c r="Y146" s="1231">
        <f t="shared" si="1184"/>
        <v>61</v>
      </c>
      <c r="Z146" s="1231">
        <f t="shared" si="1184"/>
        <v>61</v>
      </c>
      <c r="AA146" s="1231">
        <f t="shared" si="1184"/>
        <v>61</v>
      </c>
      <c r="AB146" s="1231">
        <f t="shared" si="1184"/>
        <v>61</v>
      </c>
      <c r="AC146" s="1231">
        <f t="shared" si="1184"/>
        <v>61</v>
      </c>
      <c r="AD146" s="1231">
        <f t="shared" si="1184"/>
        <v>61</v>
      </c>
      <c r="AE146" s="1231">
        <f t="shared" si="1184"/>
        <v>61</v>
      </c>
      <c r="AF146" s="1231">
        <f t="shared" si="1184"/>
        <v>61</v>
      </c>
      <c r="AG146" s="1231">
        <f t="shared" si="1184"/>
        <v>61</v>
      </c>
      <c r="AH146" s="1231">
        <f t="shared" si="1184"/>
        <v>61</v>
      </c>
      <c r="AI146" s="1231">
        <f t="shared" si="1184"/>
        <v>61</v>
      </c>
      <c r="AJ146" s="1231">
        <f t="shared" si="1184"/>
        <v>61</v>
      </c>
      <c r="AK146" s="1231">
        <f t="shared" ref="AK146:BO146" si="1185">SUM(AK144:AK145)</f>
        <v>61</v>
      </c>
      <c r="AL146" s="1231">
        <f t="shared" si="1185"/>
        <v>61</v>
      </c>
      <c r="AM146" s="1231">
        <f t="shared" si="1185"/>
        <v>61</v>
      </c>
      <c r="AN146" s="1231">
        <f t="shared" si="1185"/>
        <v>61</v>
      </c>
      <c r="AO146" s="1231">
        <f t="shared" si="1185"/>
        <v>61</v>
      </c>
      <c r="AP146" s="1231">
        <f t="shared" si="1185"/>
        <v>61</v>
      </c>
      <c r="AQ146" s="1231">
        <f t="shared" si="1185"/>
        <v>61</v>
      </c>
      <c r="AR146" s="1231">
        <f t="shared" si="1185"/>
        <v>61</v>
      </c>
      <c r="AS146" s="1231">
        <f t="shared" si="1185"/>
        <v>61</v>
      </c>
      <c r="AT146" s="1231">
        <f t="shared" si="1185"/>
        <v>61</v>
      </c>
      <c r="AU146" s="1231">
        <f t="shared" si="1185"/>
        <v>61</v>
      </c>
      <c r="AV146" s="1231">
        <f t="shared" si="1185"/>
        <v>61</v>
      </c>
      <c r="AW146" s="1231">
        <f t="shared" si="1185"/>
        <v>61</v>
      </c>
      <c r="AX146" s="1231">
        <f t="shared" si="1185"/>
        <v>61</v>
      </c>
      <c r="AY146" s="1231">
        <f t="shared" si="1185"/>
        <v>61</v>
      </c>
      <c r="AZ146" s="1231">
        <f t="shared" si="1185"/>
        <v>61</v>
      </c>
      <c r="BA146" s="1231">
        <f t="shared" si="1185"/>
        <v>61</v>
      </c>
      <c r="BB146" s="1231">
        <f t="shared" si="1185"/>
        <v>61</v>
      </c>
      <c r="BC146" s="1231">
        <f t="shared" si="1185"/>
        <v>61</v>
      </c>
      <c r="BD146" s="1231">
        <f t="shared" si="1185"/>
        <v>61</v>
      </c>
      <c r="BE146" s="1231">
        <f t="shared" si="1185"/>
        <v>61</v>
      </c>
      <c r="BF146" s="1231">
        <f t="shared" si="1185"/>
        <v>61</v>
      </c>
      <c r="BG146" s="1231">
        <f t="shared" si="1185"/>
        <v>61</v>
      </c>
      <c r="BH146" s="1231">
        <f t="shared" si="1185"/>
        <v>61</v>
      </c>
      <c r="BI146" s="1231">
        <f t="shared" si="1185"/>
        <v>61</v>
      </c>
      <c r="BJ146" s="1231">
        <f t="shared" si="1185"/>
        <v>61</v>
      </c>
      <c r="BK146" s="1231">
        <f t="shared" si="1185"/>
        <v>61</v>
      </c>
      <c r="BL146" s="1231">
        <f t="shared" si="1185"/>
        <v>61</v>
      </c>
      <c r="BM146" s="1231">
        <f t="shared" si="1185"/>
        <v>61</v>
      </c>
      <c r="BN146" s="1231">
        <f t="shared" si="1185"/>
        <v>61</v>
      </c>
      <c r="BO146" s="1231">
        <f t="shared" si="1185"/>
        <v>61</v>
      </c>
      <c r="BP146" s="1231">
        <f t="shared" ref="BP146:CO146" si="1186">SUM(BP144:BP145)</f>
        <v>61</v>
      </c>
      <c r="BQ146" s="1231">
        <f t="shared" si="1186"/>
        <v>61</v>
      </c>
      <c r="BR146" s="1231">
        <f t="shared" si="1186"/>
        <v>61</v>
      </c>
      <c r="BS146" s="1231">
        <f t="shared" si="1186"/>
        <v>61</v>
      </c>
      <c r="BT146" s="1231">
        <f t="shared" si="1186"/>
        <v>61</v>
      </c>
      <c r="BU146" s="1231">
        <f t="shared" si="1186"/>
        <v>61</v>
      </c>
      <c r="BV146" s="1231">
        <f t="shared" si="1186"/>
        <v>61</v>
      </c>
      <c r="BW146" s="1231">
        <f t="shared" si="1186"/>
        <v>61</v>
      </c>
      <c r="BX146" s="1231">
        <f t="shared" si="1186"/>
        <v>61</v>
      </c>
      <c r="BY146" s="1231">
        <f t="shared" si="1186"/>
        <v>61</v>
      </c>
      <c r="BZ146" s="1231">
        <f t="shared" si="1186"/>
        <v>61</v>
      </c>
      <c r="CA146" s="1231">
        <f t="shared" si="1186"/>
        <v>61</v>
      </c>
      <c r="CB146" s="1231">
        <f t="shared" si="1186"/>
        <v>61</v>
      </c>
      <c r="CC146" s="1231">
        <f t="shared" si="1186"/>
        <v>61</v>
      </c>
      <c r="CD146" s="1231">
        <f t="shared" si="1186"/>
        <v>61</v>
      </c>
      <c r="CE146" s="1231">
        <f t="shared" si="1186"/>
        <v>61</v>
      </c>
      <c r="CF146" s="1231">
        <f t="shared" si="1186"/>
        <v>61</v>
      </c>
      <c r="CG146" s="1231">
        <f t="shared" si="1186"/>
        <v>61</v>
      </c>
      <c r="CH146" s="1231">
        <f t="shared" si="1186"/>
        <v>61</v>
      </c>
      <c r="CI146" s="1231">
        <f t="shared" si="1186"/>
        <v>61</v>
      </c>
      <c r="CJ146" s="1231">
        <f t="shared" si="1186"/>
        <v>61</v>
      </c>
      <c r="CK146" s="1231">
        <f t="shared" si="1186"/>
        <v>61</v>
      </c>
      <c r="CL146" s="1231">
        <f t="shared" si="1186"/>
        <v>61</v>
      </c>
      <c r="CM146" s="1231">
        <f t="shared" si="1186"/>
        <v>61</v>
      </c>
      <c r="CN146" s="1231">
        <f t="shared" si="1186"/>
        <v>61</v>
      </c>
      <c r="CO146" s="1231">
        <f t="shared" si="1186"/>
        <v>61</v>
      </c>
      <c r="CP146" s="1231">
        <f t="shared" ref="CP146:DW146" si="1187">SUM(CP144:CP145)</f>
        <v>61</v>
      </c>
      <c r="CQ146" s="1231">
        <f t="shared" si="1187"/>
        <v>61</v>
      </c>
      <c r="CR146" s="1231">
        <f t="shared" si="1187"/>
        <v>61</v>
      </c>
      <c r="CS146" s="1231">
        <f t="shared" si="1187"/>
        <v>61</v>
      </c>
      <c r="CT146" s="1231">
        <f t="shared" si="1187"/>
        <v>61</v>
      </c>
      <c r="CU146" s="1231">
        <f t="shared" si="1187"/>
        <v>61</v>
      </c>
      <c r="CV146" s="1231">
        <f t="shared" si="1187"/>
        <v>61</v>
      </c>
      <c r="CW146" s="1231">
        <f t="shared" si="1187"/>
        <v>61</v>
      </c>
      <c r="CX146" s="1231">
        <f t="shared" si="1187"/>
        <v>61</v>
      </c>
      <c r="CY146" s="1231">
        <f t="shared" si="1187"/>
        <v>61</v>
      </c>
      <c r="CZ146" s="1231">
        <f t="shared" si="1187"/>
        <v>61</v>
      </c>
      <c r="DA146" s="1231">
        <f t="shared" si="1187"/>
        <v>61</v>
      </c>
      <c r="DB146" s="1231">
        <f t="shared" si="1187"/>
        <v>61</v>
      </c>
      <c r="DC146" s="1231">
        <f t="shared" si="1187"/>
        <v>61</v>
      </c>
      <c r="DD146" s="1231">
        <f t="shared" si="1187"/>
        <v>61</v>
      </c>
      <c r="DE146" s="1231">
        <f t="shared" si="1187"/>
        <v>61</v>
      </c>
      <c r="DF146" s="1231">
        <f t="shared" si="1187"/>
        <v>61</v>
      </c>
      <c r="DG146" s="1231">
        <f t="shared" si="1187"/>
        <v>61</v>
      </c>
      <c r="DH146" s="1231">
        <f t="shared" si="1187"/>
        <v>61</v>
      </c>
      <c r="DI146" s="1231">
        <f t="shared" si="1187"/>
        <v>61</v>
      </c>
      <c r="DJ146" s="1231">
        <f t="shared" si="1187"/>
        <v>61</v>
      </c>
      <c r="DK146" s="1231">
        <f t="shared" si="1187"/>
        <v>61</v>
      </c>
      <c r="DL146" s="1231">
        <f t="shared" si="1187"/>
        <v>61</v>
      </c>
      <c r="DM146" s="1231">
        <f t="shared" si="1187"/>
        <v>61</v>
      </c>
      <c r="DN146" s="1231">
        <f t="shared" si="1187"/>
        <v>61</v>
      </c>
      <c r="DO146" s="1231">
        <f t="shared" si="1187"/>
        <v>61</v>
      </c>
      <c r="DP146" s="1231">
        <f t="shared" si="1187"/>
        <v>61</v>
      </c>
      <c r="DQ146" s="1231">
        <f t="shared" si="1187"/>
        <v>61</v>
      </c>
      <c r="DR146" s="1231">
        <f t="shared" si="1187"/>
        <v>61</v>
      </c>
      <c r="DS146" s="1231">
        <f t="shared" si="1187"/>
        <v>61</v>
      </c>
      <c r="DT146" s="1231">
        <f t="shared" si="1187"/>
        <v>61</v>
      </c>
      <c r="DU146" s="1231">
        <f t="shared" si="1187"/>
        <v>61</v>
      </c>
      <c r="DV146" s="1231">
        <f t="shared" si="1187"/>
        <v>61</v>
      </c>
      <c r="DW146" s="1231">
        <f t="shared" si="1187"/>
        <v>61</v>
      </c>
    </row>
    <row r="148" spans="3:127" ht="13.5" thickBot="1" x14ac:dyDescent="0.35"/>
    <row r="149" spans="3:127" x14ac:dyDescent="0.3">
      <c r="D149" s="1594" t="str">
        <f>D4</f>
        <v>India</v>
      </c>
      <c r="E149" s="1595"/>
      <c r="F149" s="1595"/>
      <c r="G149" s="1595"/>
      <c r="H149" s="1595"/>
      <c r="I149" s="1595"/>
      <c r="J149" s="1595"/>
      <c r="K149" s="1595"/>
      <c r="L149" s="1595"/>
      <c r="M149" s="1595"/>
      <c r="N149" s="1596"/>
    </row>
    <row r="150" spans="3:127" x14ac:dyDescent="0.3">
      <c r="D150" s="1589" t="s">
        <v>70</v>
      </c>
      <c r="E150" s="1590"/>
      <c r="F150" s="1591"/>
      <c r="H150" s="1592" t="s">
        <v>71</v>
      </c>
      <c r="I150" s="1590"/>
      <c r="J150" s="1591"/>
      <c r="L150" s="1592" t="s">
        <v>72</v>
      </c>
      <c r="M150" s="1590"/>
      <c r="N150" s="1593"/>
    </row>
    <row r="151" spans="3:127" x14ac:dyDescent="0.3">
      <c r="C151" s="93">
        <v>1</v>
      </c>
      <c r="D151" s="1131">
        <v>1</v>
      </c>
      <c r="E151" s="290">
        <v>0</v>
      </c>
      <c r="F151" s="319">
        <f>'P&amp;L'!$E$17</f>
        <v>46388</v>
      </c>
      <c r="H151" s="318">
        <f t="shared" ref="H151:H161" si="1188">D151</f>
        <v>1</v>
      </c>
      <c r="I151" s="290">
        <v>0</v>
      </c>
      <c r="J151" s="319">
        <f>'P&amp;L'!$E$17</f>
        <v>46388</v>
      </c>
      <c r="L151" s="318">
        <f t="shared" ref="L151:L161" si="1189">H151</f>
        <v>1</v>
      </c>
      <c r="M151" s="290">
        <v>0</v>
      </c>
      <c r="N151" s="322">
        <f>'Rev.'!$F$6</f>
        <v>46388</v>
      </c>
    </row>
    <row r="152" spans="3:127" x14ac:dyDescent="0.3">
      <c r="C152" s="1065">
        <f>C151+1</f>
        <v>2</v>
      </c>
      <c r="D152" s="1132">
        <v>2</v>
      </c>
      <c r="E152" s="1129">
        <f>VLOOKUP($D$149,'Data Master'!$C$90:$M$99,MATCH($C152,'Data Master'!$C$90:$M$90,0),0)</f>
        <v>0.05</v>
      </c>
      <c r="F152" s="1130">
        <f t="shared" ref="F152:F161" si="1190">N152</f>
        <v>46812</v>
      </c>
      <c r="H152" s="320">
        <f t="shared" si="1188"/>
        <v>2</v>
      </c>
      <c r="I152" s="290">
        <f>VLOOKUP($D$149,'Data Master'!$N$90:$X$99,MATCH($C152,'Data Master'!$N$90:$X$90,0),0)</f>
        <v>0.05</v>
      </c>
      <c r="J152" s="321">
        <f t="shared" ref="J152:J161" si="1191">F152</f>
        <v>46812</v>
      </c>
      <c r="L152" s="320">
        <f t="shared" si="1189"/>
        <v>2</v>
      </c>
      <c r="M152" s="1129">
        <f>VLOOKUP($D$149,'Data Master'!$Y$90:$AI$99,MATCH($C152,'Data Master'!$Y$90:$AI$90,0),0)</f>
        <v>0.05</v>
      </c>
      <c r="N152" s="323">
        <f>'Rev.'!$S$6</f>
        <v>46812</v>
      </c>
    </row>
    <row r="153" spans="3:127" x14ac:dyDescent="0.3">
      <c r="C153" s="1065">
        <f>C152+1</f>
        <v>3</v>
      </c>
      <c r="D153" s="1132">
        <v>3</v>
      </c>
      <c r="E153" s="1129">
        <f>VLOOKUP($D$149,'Data Master'!$C$90:$M$99,MATCH($C153,'Data Master'!$C$90:$M$90,0),0)</f>
        <v>0.05</v>
      </c>
      <c r="F153" s="1130">
        <f t="shared" si="1190"/>
        <v>47177</v>
      </c>
      <c r="H153" s="320">
        <f t="shared" si="1188"/>
        <v>3</v>
      </c>
      <c r="I153" s="290">
        <f>VLOOKUP($D$149,'Data Master'!$N$90:$X$99,MATCH($C153,'Data Master'!$N$90:$X$90,0),0)</f>
        <v>0.05</v>
      </c>
      <c r="J153" s="321">
        <f t="shared" si="1191"/>
        <v>47177</v>
      </c>
      <c r="L153" s="320">
        <f t="shared" si="1189"/>
        <v>3</v>
      </c>
      <c r="M153" s="1129">
        <f>VLOOKUP($D$149,'Data Master'!$Y$90:$AI$99,MATCH($C153,'Data Master'!$Y$90:$AI$90,0),0)</f>
        <v>0.05</v>
      </c>
      <c r="N153" s="323">
        <f>'Rev.'!$AE$6</f>
        <v>47177</v>
      </c>
    </row>
    <row r="154" spans="3:127" x14ac:dyDescent="0.3">
      <c r="C154" s="1065">
        <f t="shared" ref="C154:C161" si="1192">C153+1</f>
        <v>4</v>
      </c>
      <c r="D154" s="1132">
        <v>4</v>
      </c>
      <c r="E154" s="1129">
        <f>VLOOKUP($D$149,'Data Master'!$C$90:$M$99,MATCH($C154,'Data Master'!$C$90:$M$90,0),0)</f>
        <v>0.05</v>
      </c>
      <c r="F154" s="1130">
        <f t="shared" si="1190"/>
        <v>47542</v>
      </c>
      <c r="H154" s="320">
        <f t="shared" si="1188"/>
        <v>4</v>
      </c>
      <c r="I154" s="290">
        <f>VLOOKUP($D$149,'Data Master'!$N$90:$X$99,MATCH($C154,'Data Master'!$N$90:$X$90,0),0)</f>
        <v>0.05</v>
      </c>
      <c r="J154" s="321">
        <f t="shared" si="1191"/>
        <v>47542</v>
      </c>
      <c r="L154" s="320">
        <f t="shared" si="1189"/>
        <v>4</v>
      </c>
      <c r="M154" s="1129">
        <f>VLOOKUP($D$149,'Data Master'!$Y$90:$AI$99,MATCH($C154,'Data Master'!$Y$90:$AI$90,0),0)</f>
        <v>0.05</v>
      </c>
      <c r="N154" s="323">
        <f>'Rev.'!$AQ$6</f>
        <v>47542</v>
      </c>
    </row>
    <row r="155" spans="3:127" x14ac:dyDescent="0.3">
      <c r="C155" s="1065">
        <f t="shared" si="1192"/>
        <v>5</v>
      </c>
      <c r="D155" s="1132">
        <v>5</v>
      </c>
      <c r="E155" s="1129">
        <f>VLOOKUP($D$149,'Data Master'!$C$90:$M$99,MATCH($C155,'Data Master'!$C$90:$M$90,0),0)</f>
        <v>0.05</v>
      </c>
      <c r="F155" s="1130">
        <f t="shared" si="1190"/>
        <v>47907</v>
      </c>
      <c r="H155" s="320">
        <f t="shared" si="1188"/>
        <v>5</v>
      </c>
      <c r="I155" s="290">
        <f>VLOOKUP($D$149,'Data Master'!$N$90:$X$99,MATCH($C155,'Data Master'!$N$90:$X$90,0),0)</f>
        <v>0.05</v>
      </c>
      <c r="J155" s="321">
        <f t="shared" si="1191"/>
        <v>47907</v>
      </c>
      <c r="L155" s="320">
        <f t="shared" si="1189"/>
        <v>5</v>
      </c>
      <c r="M155" s="1129">
        <f>VLOOKUP($D$149,'Data Master'!$Y$90:$AI$99,MATCH($C155,'Data Master'!$Y$90:$AI$90,0),0)</f>
        <v>0.05</v>
      </c>
      <c r="N155" s="323">
        <f>'Rev.'!$BC$6</f>
        <v>47907</v>
      </c>
    </row>
    <row r="156" spans="3:127" x14ac:dyDescent="0.3">
      <c r="C156" s="1065">
        <f t="shared" si="1192"/>
        <v>6</v>
      </c>
      <c r="D156" s="1132">
        <v>6</v>
      </c>
      <c r="E156" s="1129">
        <f>VLOOKUP($D$149,'Data Master'!$C$90:$M$99,MATCH($C156,'Data Master'!$C$90:$M$90,0),0)</f>
        <v>0.05</v>
      </c>
      <c r="F156" s="1130">
        <f t="shared" si="1190"/>
        <v>48273</v>
      </c>
      <c r="H156" s="320">
        <f t="shared" si="1188"/>
        <v>6</v>
      </c>
      <c r="I156" s="290">
        <f>VLOOKUP($D$149,'Data Master'!$N$90:$X$99,MATCH($C156,'Data Master'!$N$90:$X$90,0),0)</f>
        <v>0.05</v>
      </c>
      <c r="J156" s="321">
        <f t="shared" si="1191"/>
        <v>48273</v>
      </c>
      <c r="L156" s="320">
        <f t="shared" si="1189"/>
        <v>6</v>
      </c>
      <c r="M156" s="1129">
        <f>VLOOKUP($D$149,'Data Master'!$Y$90:$AI$99,MATCH($C156,'Data Master'!$Y$90:$AI$90,0),0)</f>
        <v>0.05</v>
      </c>
      <c r="N156" s="323">
        <f>'Rev.'!$BO$6</f>
        <v>48273</v>
      </c>
    </row>
    <row r="157" spans="3:127" x14ac:dyDescent="0.3">
      <c r="C157" s="1065">
        <f t="shared" si="1192"/>
        <v>7</v>
      </c>
      <c r="D157" s="1132">
        <v>7</v>
      </c>
      <c r="E157" s="1129">
        <f>VLOOKUP($D$149,'Data Master'!$C$90:$M$99,MATCH($C157,'Data Master'!$C$90:$M$90,0),0)</f>
        <v>0.05</v>
      </c>
      <c r="F157" s="1130">
        <f t="shared" si="1190"/>
        <v>48638</v>
      </c>
      <c r="H157" s="320">
        <f t="shared" si="1188"/>
        <v>7</v>
      </c>
      <c r="I157" s="290">
        <f>VLOOKUP($D$149,'Data Master'!$N$90:$X$99,MATCH($C157,'Data Master'!$N$90:$X$90,0),0)</f>
        <v>0.05</v>
      </c>
      <c r="J157" s="321">
        <f t="shared" si="1191"/>
        <v>48638</v>
      </c>
      <c r="L157" s="320">
        <f t="shared" si="1189"/>
        <v>7</v>
      </c>
      <c r="M157" s="1129">
        <f>VLOOKUP($D$149,'Data Master'!$Y$90:$AI$99,MATCH($C157,'Data Master'!$Y$90:$AI$90,0),0)</f>
        <v>0.05</v>
      </c>
      <c r="N157" s="323">
        <f>'Rev.'!$CA$6</f>
        <v>48638</v>
      </c>
    </row>
    <row r="158" spans="3:127" x14ac:dyDescent="0.3">
      <c r="C158" s="1065">
        <f t="shared" si="1192"/>
        <v>8</v>
      </c>
      <c r="D158" s="1132">
        <v>8</v>
      </c>
      <c r="E158" s="1129">
        <f>VLOOKUP($D$149,'Data Master'!$C$90:$M$99,MATCH($C158,'Data Master'!$C$90:$M$90,0),0)</f>
        <v>0.05</v>
      </c>
      <c r="F158" s="1130">
        <f t="shared" si="1190"/>
        <v>49003</v>
      </c>
      <c r="H158" s="320">
        <f t="shared" si="1188"/>
        <v>8</v>
      </c>
      <c r="I158" s="290">
        <f>VLOOKUP($D$149,'Data Master'!$N$90:$X$99,MATCH($C158,'Data Master'!$N$90:$X$90,0),0)</f>
        <v>0.05</v>
      </c>
      <c r="J158" s="321">
        <f t="shared" si="1191"/>
        <v>49003</v>
      </c>
      <c r="L158" s="320">
        <f t="shared" si="1189"/>
        <v>8</v>
      </c>
      <c r="M158" s="1129">
        <f>VLOOKUP($D$149,'Data Master'!$Y$90:$AI$99,MATCH($C158,'Data Master'!$Y$90:$AI$90,0),0)</f>
        <v>0.05</v>
      </c>
      <c r="N158" s="323">
        <f>'Rev.'!$CM$6</f>
        <v>49003</v>
      </c>
    </row>
    <row r="159" spans="3:127" x14ac:dyDescent="0.3">
      <c r="C159" s="1065">
        <f t="shared" si="1192"/>
        <v>9</v>
      </c>
      <c r="D159" s="1132">
        <v>9</v>
      </c>
      <c r="E159" s="1129">
        <f>VLOOKUP($D$149,'Data Master'!$C$90:$M$99,MATCH($C159,'Data Master'!$C$90:$M$90,0),0)</f>
        <v>0.05</v>
      </c>
      <c r="F159" s="1130">
        <f t="shared" si="1190"/>
        <v>49368</v>
      </c>
      <c r="H159" s="320">
        <f t="shared" si="1188"/>
        <v>9</v>
      </c>
      <c r="I159" s="290">
        <f>VLOOKUP($D$149,'Data Master'!$N$90:$X$99,MATCH($C159,'Data Master'!$N$90:$X$90,0),0)</f>
        <v>0.05</v>
      </c>
      <c r="J159" s="321">
        <f t="shared" si="1191"/>
        <v>49368</v>
      </c>
      <c r="L159" s="320">
        <f t="shared" si="1189"/>
        <v>9</v>
      </c>
      <c r="M159" s="1129">
        <f>VLOOKUP($D$149,'Data Master'!$Y$90:$AI$99,MATCH($C159,'Data Master'!$Y$90:$AI$90,0),0)</f>
        <v>0.05</v>
      </c>
      <c r="N159" s="323">
        <f>'Rev.'!$CY$6</f>
        <v>49368</v>
      </c>
    </row>
    <row r="160" spans="3:127" x14ac:dyDescent="0.3">
      <c r="C160" s="1065">
        <f t="shared" si="1192"/>
        <v>10</v>
      </c>
      <c r="D160" s="1132">
        <v>10</v>
      </c>
      <c r="E160" s="1129">
        <f>VLOOKUP($D$149,'Data Master'!$C$90:$M$99,MATCH($C160,'Data Master'!$C$90:$M$90,0),0)</f>
        <v>0.05</v>
      </c>
      <c r="F160" s="1130">
        <f t="shared" si="1190"/>
        <v>49734</v>
      </c>
      <c r="H160" s="320">
        <f t="shared" si="1188"/>
        <v>10</v>
      </c>
      <c r="I160" s="290">
        <f>VLOOKUP($D$149,'Data Master'!$N$90:$X$99,MATCH($C160,'Data Master'!$N$90:$X$90,0),0)</f>
        <v>0.05</v>
      </c>
      <c r="J160" s="321">
        <f t="shared" si="1191"/>
        <v>49734</v>
      </c>
      <c r="L160" s="320">
        <f t="shared" si="1189"/>
        <v>10</v>
      </c>
      <c r="M160" s="1129">
        <f>VLOOKUP($D$149,'Data Master'!$Y$90:$AI$99,MATCH($C160,'Data Master'!$Y$90:$AI$90,0),0)</f>
        <v>0.05</v>
      </c>
      <c r="N160" s="323">
        <f>'Rev.'!$DK$6</f>
        <v>49734</v>
      </c>
    </row>
    <row r="161" spans="3:134" x14ac:dyDescent="0.3">
      <c r="C161" s="1065">
        <f t="shared" si="1192"/>
        <v>11</v>
      </c>
      <c r="D161" s="1132">
        <v>11</v>
      </c>
      <c r="E161" s="1129" t="e">
        <f>VLOOKUP($D$149,'Data Master'!$C$90:$M$99,MATCH($C161,'Data Master'!$C$90:$M$90,0),0)</f>
        <v>#N/A</v>
      </c>
      <c r="F161" s="1130">
        <f t="shared" si="1190"/>
        <v>50099</v>
      </c>
      <c r="H161" s="320">
        <f t="shared" si="1188"/>
        <v>11</v>
      </c>
      <c r="I161" s="290" t="e">
        <f>VLOOKUP($D$149,'Data Master'!$N$90:$X$99,MATCH($C161,'Data Master'!$N$90:$X$90,0),0)</f>
        <v>#N/A</v>
      </c>
      <c r="J161" s="321">
        <f t="shared" si="1191"/>
        <v>50099</v>
      </c>
      <c r="L161" s="320">
        <f t="shared" si="1189"/>
        <v>11</v>
      </c>
      <c r="M161" s="1129" t="e">
        <f>VLOOKUP($D$149,'Data Master'!$Y$90:$AI$99,MATCH($C161,'Data Master'!$Y$90:$AI$90,0),0)</f>
        <v>#N/A</v>
      </c>
      <c r="N161" s="323">
        <f>EOMONTH(N160,12)</f>
        <v>50099</v>
      </c>
    </row>
    <row r="162" spans="3:134" ht="13.5" thickBot="1" x14ac:dyDescent="0.35">
      <c r="D162" s="1133"/>
      <c r="E162" s="1134"/>
      <c r="F162" s="1135"/>
      <c r="G162" s="1136"/>
      <c r="H162" s="1137"/>
      <c r="I162" s="1134"/>
      <c r="J162" s="1135"/>
      <c r="K162" s="1136"/>
      <c r="L162" s="1137"/>
      <c r="M162" s="1134"/>
      <c r="N162" s="1138"/>
    </row>
    <row r="163" spans="3:134" x14ac:dyDescent="0.3">
      <c r="E163" s="32"/>
      <c r="F163" s="93"/>
      <c r="G163" s="93"/>
      <c r="H163" s="93"/>
      <c r="I163" s="93"/>
      <c r="J163" s="93"/>
      <c r="K163" s="93"/>
      <c r="L163" s="93"/>
      <c r="M163" s="93"/>
      <c r="N163" s="93"/>
    </row>
    <row r="165" spans="3:134" x14ac:dyDescent="0.3">
      <c r="G165" s="14">
        <f>HLOOKUP($D$4,'Data Master'!$D$136:$L$139,2,0)/5</f>
        <v>1</v>
      </c>
      <c r="H165" s="14">
        <f>G165</f>
        <v>1</v>
      </c>
      <c r="I165" s="14">
        <f t="shared" ref="I165:BT165" si="1193">H165</f>
        <v>1</v>
      </c>
      <c r="J165" s="14">
        <f t="shared" si="1193"/>
        <v>1</v>
      </c>
      <c r="K165" s="14">
        <f t="shared" si="1193"/>
        <v>1</v>
      </c>
      <c r="L165" s="14">
        <f t="shared" si="1193"/>
        <v>1</v>
      </c>
      <c r="M165" s="14">
        <f t="shared" si="1193"/>
        <v>1</v>
      </c>
      <c r="N165" s="14">
        <f t="shared" si="1193"/>
        <v>1</v>
      </c>
      <c r="O165" s="14">
        <f t="shared" si="1193"/>
        <v>1</v>
      </c>
      <c r="P165" s="14">
        <f t="shared" si="1193"/>
        <v>1</v>
      </c>
      <c r="Q165" s="14">
        <f t="shared" si="1193"/>
        <v>1</v>
      </c>
      <c r="R165" s="14">
        <f t="shared" si="1193"/>
        <v>1</v>
      </c>
      <c r="S165" s="14">
        <f t="shared" si="1193"/>
        <v>1</v>
      </c>
      <c r="T165" s="14">
        <f t="shared" si="1193"/>
        <v>1</v>
      </c>
      <c r="U165" s="14">
        <f t="shared" si="1193"/>
        <v>1</v>
      </c>
      <c r="V165" s="14">
        <f t="shared" si="1193"/>
        <v>1</v>
      </c>
      <c r="W165" s="14">
        <f t="shared" si="1193"/>
        <v>1</v>
      </c>
      <c r="X165" s="14">
        <f t="shared" si="1193"/>
        <v>1</v>
      </c>
      <c r="Y165" s="14">
        <f t="shared" si="1193"/>
        <v>1</v>
      </c>
      <c r="Z165" s="14">
        <f t="shared" si="1193"/>
        <v>1</v>
      </c>
      <c r="AA165" s="14">
        <f t="shared" si="1193"/>
        <v>1</v>
      </c>
      <c r="AB165" s="14">
        <f t="shared" si="1193"/>
        <v>1</v>
      </c>
      <c r="AC165" s="14">
        <f t="shared" si="1193"/>
        <v>1</v>
      </c>
      <c r="AD165" s="14">
        <f t="shared" si="1193"/>
        <v>1</v>
      </c>
      <c r="AE165" s="14">
        <f t="shared" si="1193"/>
        <v>1</v>
      </c>
      <c r="AF165" s="14">
        <f t="shared" si="1193"/>
        <v>1</v>
      </c>
      <c r="AG165" s="14">
        <f t="shared" si="1193"/>
        <v>1</v>
      </c>
      <c r="AH165" s="14">
        <f t="shared" si="1193"/>
        <v>1</v>
      </c>
      <c r="AI165" s="14">
        <f t="shared" si="1193"/>
        <v>1</v>
      </c>
      <c r="AJ165" s="14">
        <f t="shared" si="1193"/>
        <v>1</v>
      </c>
      <c r="AK165" s="14">
        <f t="shared" si="1193"/>
        <v>1</v>
      </c>
      <c r="AL165" s="14">
        <f t="shared" si="1193"/>
        <v>1</v>
      </c>
      <c r="AM165" s="14">
        <f t="shared" si="1193"/>
        <v>1</v>
      </c>
      <c r="AN165" s="14">
        <f t="shared" si="1193"/>
        <v>1</v>
      </c>
      <c r="AO165" s="14">
        <f t="shared" si="1193"/>
        <v>1</v>
      </c>
      <c r="AP165" s="14">
        <f t="shared" si="1193"/>
        <v>1</v>
      </c>
      <c r="AQ165" s="14">
        <f t="shared" si="1193"/>
        <v>1</v>
      </c>
      <c r="AR165" s="14">
        <f t="shared" si="1193"/>
        <v>1</v>
      </c>
      <c r="AS165" s="14">
        <f t="shared" si="1193"/>
        <v>1</v>
      </c>
      <c r="AT165" s="14">
        <f t="shared" si="1193"/>
        <v>1</v>
      </c>
      <c r="AU165" s="14">
        <f t="shared" si="1193"/>
        <v>1</v>
      </c>
      <c r="AV165" s="14">
        <f t="shared" si="1193"/>
        <v>1</v>
      </c>
      <c r="AW165" s="14">
        <f t="shared" si="1193"/>
        <v>1</v>
      </c>
      <c r="AX165" s="14">
        <f t="shared" si="1193"/>
        <v>1</v>
      </c>
      <c r="AY165" s="14">
        <f t="shared" si="1193"/>
        <v>1</v>
      </c>
      <c r="AZ165" s="14">
        <f t="shared" si="1193"/>
        <v>1</v>
      </c>
      <c r="BA165" s="14">
        <f t="shared" si="1193"/>
        <v>1</v>
      </c>
      <c r="BB165" s="14">
        <f t="shared" si="1193"/>
        <v>1</v>
      </c>
      <c r="BC165" s="14">
        <f t="shared" si="1193"/>
        <v>1</v>
      </c>
      <c r="BD165" s="14">
        <f t="shared" si="1193"/>
        <v>1</v>
      </c>
      <c r="BE165" s="14">
        <f t="shared" si="1193"/>
        <v>1</v>
      </c>
      <c r="BF165" s="14">
        <f t="shared" si="1193"/>
        <v>1</v>
      </c>
      <c r="BG165" s="14">
        <f t="shared" si="1193"/>
        <v>1</v>
      </c>
      <c r="BH165" s="14">
        <f t="shared" si="1193"/>
        <v>1</v>
      </c>
      <c r="BI165" s="14">
        <f t="shared" si="1193"/>
        <v>1</v>
      </c>
      <c r="BJ165" s="14">
        <f t="shared" si="1193"/>
        <v>1</v>
      </c>
      <c r="BK165" s="14">
        <f t="shared" si="1193"/>
        <v>1</v>
      </c>
      <c r="BL165" s="14">
        <f t="shared" si="1193"/>
        <v>1</v>
      </c>
      <c r="BM165" s="14">
        <f t="shared" si="1193"/>
        <v>1</v>
      </c>
      <c r="BN165" s="14">
        <f t="shared" si="1193"/>
        <v>1</v>
      </c>
      <c r="BO165" s="14">
        <f t="shared" si="1193"/>
        <v>1</v>
      </c>
      <c r="BP165" s="14">
        <f t="shared" si="1193"/>
        <v>1</v>
      </c>
      <c r="BQ165" s="14">
        <f t="shared" si="1193"/>
        <v>1</v>
      </c>
      <c r="BR165" s="14">
        <f t="shared" si="1193"/>
        <v>1</v>
      </c>
      <c r="BS165" s="14">
        <f t="shared" si="1193"/>
        <v>1</v>
      </c>
      <c r="BT165" s="14">
        <f t="shared" si="1193"/>
        <v>1</v>
      </c>
      <c r="BU165" s="14">
        <f t="shared" ref="BU165:ED165" si="1194">BT165</f>
        <v>1</v>
      </c>
      <c r="BV165" s="14">
        <f t="shared" si="1194"/>
        <v>1</v>
      </c>
      <c r="BW165" s="14">
        <f t="shared" si="1194"/>
        <v>1</v>
      </c>
      <c r="BX165" s="14">
        <f t="shared" si="1194"/>
        <v>1</v>
      </c>
      <c r="BY165" s="14">
        <f t="shared" si="1194"/>
        <v>1</v>
      </c>
      <c r="BZ165" s="14">
        <f t="shared" si="1194"/>
        <v>1</v>
      </c>
      <c r="CA165" s="14">
        <f t="shared" si="1194"/>
        <v>1</v>
      </c>
      <c r="CB165" s="14">
        <f t="shared" si="1194"/>
        <v>1</v>
      </c>
      <c r="CC165" s="14">
        <f t="shared" si="1194"/>
        <v>1</v>
      </c>
      <c r="CD165" s="14">
        <f t="shared" si="1194"/>
        <v>1</v>
      </c>
      <c r="CE165" s="14">
        <f t="shared" si="1194"/>
        <v>1</v>
      </c>
      <c r="CF165" s="14">
        <f t="shared" si="1194"/>
        <v>1</v>
      </c>
      <c r="CG165" s="14">
        <f t="shared" si="1194"/>
        <v>1</v>
      </c>
      <c r="CH165" s="14">
        <f t="shared" si="1194"/>
        <v>1</v>
      </c>
      <c r="CI165" s="14">
        <f t="shared" si="1194"/>
        <v>1</v>
      </c>
      <c r="CJ165" s="14">
        <f t="shared" si="1194"/>
        <v>1</v>
      </c>
      <c r="CK165" s="14">
        <f t="shared" si="1194"/>
        <v>1</v>
      </c>
      <c r="CL165" s="14">
        <f t="shared" si="1194"/>
        <v>1</v>
      </c>
      <c r="CM165" s="14">
        <f t="shared" si="1194"/>
        <v>1</v>
      </c>
      <c r="CN165" s="14">
        <f t="shared" si="1194"/>
        <v>1</v>
      </c>
      <c r="CO165" s="14">
        <f t="shared" si="1194"/>
        <v>1</v>
      </c>
      <c r="CP165" s="14">
        <f t="shared" si="1194"/>
        <v>1</v>
      </c>
      <c r="CQ165" s="14">
        <f t="shared" si="1194"/>
        <v>1</v>
      </c>
      <c r="CR165" s="14">
        <f t="shared" si="1194"/>
        <v>1</v>
      </c>
      <c r="CS165" s="14">
        <f t="shared" si="1194"/>
        <v>1</v>
      </c>
      <c r="CT165" s="14">
        <f t="shared" si="1194"/>
        <v>1</v>
      </c>
      <c r="CU165" s="14">
        <f t="shared" si="1194"/>
        <v>1</v>
      </c>
      <c r="CV165" s="14">
        <f t="shared" si="1194"/>
        <v>1</v>
      </c>
      <c r="CW165" s="14">
        <f t="shared" si="1194"/>
        <v>1</v>
      </c>
      <c r="CX165" s="14">
        <f t="shared" si="1194"/>
        <v>1</v>
      </c>
      <c r="CY165" s="14">
        <f t="shared" si="1194"/>
        <v>1</v>
      </c>
      <c r="CZ165" s="14">
        <f t="shared" si="1194"/>
        <v>1</v>
      </c>
      <c r="DA165" s="14">
        <f t="shared" si="1194"/>
        <v>1</v>
      </c>
      <c r="DB165" s="14">
        <f t="shared" si="1194"/>
        <v>1</v>
      </c>
      <c r="DC165" s="14">
        <f t="shared" si="1194"/>
        <v>1</v>
      </c>
      <c r="DD165" s="14">
        <f t="shared" si="1194"/>
        <v>1</v>
      </c>
      <c r="DE165" s="14">
        <f t="shared" si="1194"/>
        <v>1</v>
      </c>
      <c r="DF165" s="14">
        <f t="shared" si="1194"/>
        <v>1</v>
      </c>
      <c r="DG165" s="14">
        <f t="shared" si="1194"/>
        <v>1</v>
      </c>
      <c r="DH165" s="14">
        <f t="shared" si="1194"/>
        <v>1</v>
      </c>
      <c r="DI165" s="14">
        <f t="shared" si="1194"/>
        <v>1</v>
      </c>
      <c r="DJ165" s="14">
        <f t="shared" si="1194"/>
        <v>1</v>
      </c>
      <c r="DK165" s="14">
        <f t="shared" si="1194"/>
        <v>1</v>
      </c>
      <c r="DL165" s="14">
        <f t="shared" si="1194"/>
        <v>1</v>
      </c>
      <c r="DM165" s="14">
        <f t="shared" si="1194"/>
        <v>1</v>
      </c>
      <c r="DN165" s="14">
        <f t="shared" si="1194"/>
        <v>1</v>
      </c>
      <c r="DO165" s="14">
        <f t="shared" si="1194"/>
        <v>1</v>
      </c>
      <c r="DP165" s="14">
        <f t="shared" si="1194"/>
        <v>1</v>
      </c>
      <c r="DQ165" s="14">
        <f t="shared" si="1194"/>
        <v>1</v>
      </c>
      <c r="DR165" s="14">
        <f t="shared" si="1194"/>
        <v>1</v>
      </c>
      <c r="DS165" s="14">
        <f t="shared" si="1194"/>
        <v>1</v>
      </c>
      <c r="DT165" s="14">
        <f t="shared" si="1194"/>
        <v>1</v>
      </c>
      <c r="DU165" s="14">
        <f t="shared" si="1194"/>
        <v>1</v>
      </c>
      <c r="DV165" s="14">
        <f t="shared" si="1194"/>
        <v>1</v>
      </c>
      <c r="DW165" s="14">
        <f t="shared" si="1194"/>
        <v>1</v>
      </c>
      <c r="DX165" s="14">
        <f t="shared" si="1194"/>
        <v>1</v>
      </c>
      <c r="DY165" s="14">
        <f t="shared" si="1194"/>
        <v>1</v>
      </c>
      <c r="DZ165" s="14">
        <f t="shared" si="1194"/>
        <v>1</v>
      </c>
      <c r="EA165" s="14">
        <f t="shared" si="1194"/>
        <v>1</v>
      </c>
      <c r="EB165" s="14">
        <f t="shared" si="1194"/>
        <v>1</v>
      </c>
      <c r="EC165" s="14">
        <f t="shared" si="1194"/>
        <v>1</v>
      </c>
      <c r="ED165" s="14">
        <f t="shared" si="1194"/>
        <v>1</v>
      </c>
    </row>
  </sheetData>
  <customSheetViews>
    <customSheetView guid="{8575BA2F-1C78-4E30-AE5C-07AED6245426}" scale="80" showGridLines="0" hiddenRows="1" hiddenColumns="1" topLeftCell="A2">
      <pane xSplit="3" ySplit="6" topLeftCell="E127" activePane="bottomRight" state="frozen"/>
      <selection pane="bottomRight" activeCell="E150" sqref="E150"/>
      <pageMargins left="0" right="0" top="0" bottom="0" header="0" footer="0"/>
      <pageSetup orientation="portrait" r:id="rId1"/>
    </customSheetView>
  </customSheetViews>
  <mergeCells count="4">
    <mergeCell ref="D150:F150"/>
    <mergeCell ref="H150:J150"/>
    <mergeCell ref="L150:N150"/>
    <mergeCell ref="D149:N149"/>
  </mergeCells>
  <phoneticPr fontId="23" type="noConversion"/>
  <conditionalFormatting sqref="D23 D38 G44:AE44 G45 C39:D39 E24:F41 D53:D59 H53:AE59 AG53:AP59 G39:BO39 AG44:AP51 H45:AE51 G24:DW38 G23 D40:D51 G40:DW41">
    <cfRule type="cellIs" dxfId="223" priority="342" stopIfTrue="1" operator="lessThan">
      <formula>0</formula>
    </cfRule>
  </conditionalFormatting>
  <conditionalFormatting sqref="AQ42:AQ43">
    <cfRule type="cellIs" dxfId="222" priority="310" stopIfTrue="1" operator="lessThan">
      <formula>0</formula>
    </cfRule>
  </conditionalFormatting>
  <conditionalFormatting sqref="G42:G43">
    <cfRule type="cellIs" dxfId="221" priority="340" stopIfTrue="1" operator="lessThan">
      <formula>0</formula>
    </cfRule>
  </conditionalFormatting>
  <conditionalFormatting sqref="H42:DW42">
    <cfRule type="cellIs" dxfId="220" priority="337" stopIfTrue="1" operator="lessThan">
      <formula>0</formula>
    </cfRule>
  </conditionalFormatting>
  <conditionalFormatting sqref="H23:AE23 AG23:AP23">
    <cfRule type="cellIs" dxfId="219" priority="338" stopIfTrue="1" operator="lessThan">
      <formula>0</formula>
    </cfRule>
  </conditionalFormatting>
  <conditionalFormatting sqref="O42:AE42 AG42:AP42">
    <cfRule type="cellIs" dxfId="218" priority="333" stopIfTrue="1" operator="lessThan">
      <formula>0</formula>
    </cfRule>
  </conditionalFormatting>
  <conditionalFormatting sqref="G46">
    <cfRule type="cellIs" dxfId="217" priority="335" stopIfTrue="1" operator="lessThan">
      <formula>0</formula>
    </cfRule>
  </conditionalFormatting>
  <conditionalFormatting sqref="G48 G50:G59">
    <cfRule type="cellIs" dxfId="216" priority="334" stopIfTrue="1" operator="lessThan">
      <formula>0</formula>
    </cfRule>
  </conditionalFormatting>
  <conditionalFormatting sqref="O40:AE41 AG40:AP41">
    <cfRule type="cellIs" dxfId="215" priority="332" stopIfTrue="1" operator="lessThan">
      <formula>0</formula>
    </cfRule>
  </conditionalFormatting>
  <conditionalFormatting sqref="AR40:AR41">
    <cfRule type="cellIs" dxfId="214" priority="299" stopIfTrue="1" operator="lessThan">
      <formula>0</formula>
    </cfRule>
  </conditionalFormatting>
  <conditionalFormatting sqref="G47">
    <cfRule type="cellIs" dxfId="213" priority="329" stopIfTrue="1" operator="lessThan">
      <formula>0</formula>
    </cfRule>
  </conditionalFormatting>
  <conditionalFormatting sqref="G49">
    <cfRule type="cellIs" dxfId="212" priority="328" stopIfTrue="1" operator="lessThan">
      <formula>0</formula>
    </cfRule>
  </conditionalFormatting>
  <conditionalFormatting sqref="BE53:BN59 AS53:BC59 AS44:BC51 BE44:BN51">
    <cfRule type="cellIs" dxfId="211" priority="327" stopIfTrue="1" operator="lessThan">
      <formula>0</formula>
    </cfRule>
  </conditionalFormatting>
  <conditionalFormatting sqref="AS23:BC23 BE23:BN23">
    <cfRule type="cellIs" dxfId="210" priority="326" stopIfTrue="1" operator="lessThan">
      <formula>0</formula>
    </cfRule>
  </conditionalFormatting>
  <conditionalFormatting sqref="AS42:BC42 BE42:BN42">
    <cfRule type="cellIs" dxfId="209" priority="325" stopIfTrue="1" operator="lessThan">
      <formula>0</formula>
    </cfRule>
  </conditionalFormatting>
  <conditionalFormatting sqref="AS40:BC41 BE40:BN41">
    <cfRule type="cellIs" dxfId="208" priority="324" stopIfTrue="1" operator="lessThan">
      <formula>0</formula>
    </cfRule>
  </conditionalFormatting>
  <conditionalFormatting sqref="BO44">
    <cfRule type="cellIs" dxfId="207" priority="322" stopIfTrue="1" operator="lessThan">
      <formula>0</formula>
    </cfRule>
  </conditionalFormatting>
  <conditionalFormatting sqref="BO23">
    <cfRule type="cellIs" dxfId="206" priority="321" stopIfTrue="1" operator="lessThan">
      <formula>0</formula>
    </cfRule>
  </conditionalFormatting>
  <conditionalFormatting sqref="BO42:BO43">
    <cfRule type="cellIs" dxfId="205" priority="320" stopIfTrue="1" operator="lessThan">
      <formula>0</formula>
    </cfRule>
  </conditionalFormatting>
  <conditionalFormatting sqref="BO40:BO41">
    <cfRule type="cellIs" dxfId="204" priority="316" stopIfTrue="1" operator="lessThan">
      <formula>0</formula>
    </cfRule>
  </conditionalFormatting>
  <conditionalFormatting sqref="BO45:BO59">
    <cfRule type="cellIs" dxfId="203" priority="313" stopIfTrue="1" operator="lessThan">
      <formula>0</formula>
    </cfRule>
  </conditionalFormatting>
  <conditionalFormatting sqref="AQ44:AQ59">
    <cfRule type="cellIs" dxfId="202" priority="312" stopIfTrue="1" operator="lessThan">
      <formula>0</formula>
    </cfRule>
  </conditionalFormatting>
  <conditionalFormatting sqref="AQ23">
    <cfRule type="cellIs" dxfId="201" priority="311" stopIfTrue="1" operator="lessThan">
      <formula>0</formula>
    </cfRule>
  </conditionalFormatting>
  <conditionalFormatting sqref="AQ40:AQ41">
    <cfRule type="cellIs" dxfId="200" priority="309" stopIfTrue="1" operator="lessThan">
      <formula>0</formula>
    </cfRule>
  </conditionalFormatting>
  <conditionalFormatting sqref="AF44:AF59">
    <cfRule type="cellIs" dxfId="199" priority="307" stopIfTrue="1" operator="lessThan">
      <formula>0</formula>
    </cfRule>
  </conditionalFormatting>
  <conditionalFormatting sqref="AF23">
    <cfRule type="cellIs" dxfId="198" priority="306" stopIfTrue="1" operator="lessThan">
      <formula>0</formula>
    </cfRule>
  </conditionalFormatting>
  <conditionalFormatting sqref="AF42:AF43">
    <cfRule type="cellIs" dxfId="197" priority="305" stopIfTrue="1" operator="lessThan">
      <formula>0</formula>
    </cfRule>
  </conditionalFormatting>
  <conditionalFormatting sqref="AF40:AF41">
    <cfRule type="cellIs" dxfId="196" priority="304" stopIfTrue="1" operator="lessThan">
      <formula>0</formula>
    </cfRule>
  </conditionalFormatting>
  <conditionalFormatting sqref="AR44:AR59">
    <cfRule type="cellIs" dxfId="195" priority="302" stopIfTrue="1" operator="lessThan">
      <formula>0</formula>
    </cfRule>
  </conditionalFormatting>
  <conditionalFormatting sqref="AR23">
    <cfRule type="cellIs" dxfId="194" priority="301" stopIfTrue="1" operator="lessThan">
      <formula>0</formula>
    </cfRule>
  </conditionalFormatting>
  <conditionalFormatting sqref="AR42:AR43">
    <cfRule type="cellIs" dxfId="193" priority="300" stopIfTrue="1" operator="lessThan">
      <formula>0</formula>
    </cfRule>
  </conditionalFormatting>
  <conditionalFormatting sqref="BD44:BD59">
    <cfRule type="cellIs" dxfId="192" priority="297" stopIfTrue="1" operator="lessThan">
      <formula>0</formula>
    </cfRule>
  </conditionalFormatting>
  <conditionalFormatting sqref="BD23">
    <cfRule type="cellIs" dxfId="191" priority="296" stopIfTrue="1" operator="lessThan">
      <formula>0</formula>
    </cfRule>
  </conditionalFormatting>
  <conditionalFormatting sqref="BD42:BD43">
    <cfRule type="cellIs" dxfId="190" priority="295" stopIfTrue="1" operator="lessThan">
      <formula>0</formula>
    </cfRule>
  </conditionalFormatting>
  <conditionalFormatting sqref="BD40:BD41">
    <cfRule type="cellIs" dxfId="189" priority="294" stopIfTrue="1" operator="lessThan">
      <formula>0</formula>
    </cfRule>
  </conditionalFormatting>
  <conditionalFormatting sqref="D66">
    <cfRule type="cellIs" dxfId="188" priority="292" stopIfTrue="1" operator="lessThan">
      <formula>0</formula>
    </cfRule>
  </conditionalFormatting>
  <conditionalFormatting sqref="D24:D37">
    <cfRule type="cellIs" dxfId="187" priority="282" stopIfTrue="1" operator="lessThan">
      <formula>0</formula>
    </cfRule>
  </conditionalFormatting>
  <conditionalFormatting sqref="E53:F59 E44:F51">
    <cfRule type="cellIs" dxfId="186" priority="281" stopIfTrue="1" operator="lessThan">
      <formula>0</formula>
    </cfRule>
  </conditionalFormatting>
  <conditionalFormatting sqref="E42:F42">
    <cfRule type="cellIs" dxfId="185" priority="279" stopIfTrue="1" operator="lessThan">
      <formula>0</formula>
    </cfRule>
  </conditionalFormatting>
  <conditionalFormatting sqref="E23:F23">
    <cfRule type="cellIs" dxfId="184" priority="280" stopIfTrue="1" operator="lessThan">
      <formula>0</formula>
    </cfRule>
  </conditionalFormatting>
  <conditionalFormatting sqref="G128:BO130 BQ128:CA130 CC128:CM130 CO128:CY130 DA128:DK130 DM128:DW130">
    <cfRule type="cellIs" dxfId="183" priority="278" operator="greaterThan">
      <formula>0.001</formula>
    </cfRule>
  </conditionalFormatting>
  <conditionalFormatting sqref="BO63:BO64">
    <cfRule type="cellIs" dxfId="182" priority="246" stopIfTrue="1" operator="lessThan">
      <formula>0</formula>
    </cfRule>
  </conditionalFormatting>
  <conditionalFormatting sqref="AQ63:AQ64">
    <cfRule type="cellIs" dxfId="181" priority="245" stopIfTrue="1" operator="lessThan">
      <formula>0</formula>
    </cfRule>
  </conditionalFormatting>
  <conditionalFormatting sqref="AF63:AF64">
    <cfRule type="cellIs" dxfId="180" priority="244" stopIfTrue="1" operator="lessThan">
      <formula>0</formula>
    </cfRule>
  </conditionalFormatting>
  <conditionalFormatting sqref="AR63:AR64">
    <cfRule type="cellIs" dxfId="179" priority="243" stopIfTrue="1" operator="lessThan">
      <formula>0</formula>
    </cfRule>
  </conditionalFormatting>
  <conditionalFormatting sqref="BD63:BD64">
    <cfRule type="cellIs" dxfId="178" priority="242" stopIfTrue="1" operator="lessThan">
      <formula>0</formula>
    </cfRule>
  </conditionalFormatting>
  <conditionalFormatting sqref="G61:G62">
    <cfRule type="cellIs" dxfId="177" priority="241" stopIfTrue="1" operator="lessThan">
      <formula>0</formula>
    </cfRule>
  </conditionalFormatting>
  <conditionalFormatting sqref="H61:AE62 AG61:AP62">
    <cfRule type="cellIs" dxfId="176" priority="270" stopIfTrue="1" operator="lessThan">
      <formula>0</formula>
    </cfRule>
  </conditionalFormatting>
  <conditionalFormatting sqref="D61:D62">
    <cfRule type="cellIs" dxfId="175" priority="269" stopIfTrue="1" operator="lessThan">
      <formula>0</formula>
    </cfRule>
  </conditionalFormatting>
  <conditionalFormatting sqref="BO61:BO62">
    <cfRule type="cellIs" dxfId="174" priority="266" stopIfTrue="1" operator="lessThan">
      <formula>0</formula>
    </cfRule>
  </conditionalFormatting>
  <conditionalFormatting sqref="AF61:AF62">
    <cfRule type="cellIs" dxfId="173" priority="264" stopIfTrue="1" operator="lessThan">
      <formula>0</formula>
    </cfRule>
  </conditionalFormatting>
  <conditionalFormatting sqref="AR61:AR62">
    <cfRule type="cellIs" dxfId="172" priority="263" stopIfTrue="1" operator="lessThan">
      <formula>0</formula>
    </cfRule>
  </conditionalFormatting>
  <conditionalFormatting sqref="AG60:AP60 H60:AE60">
    <cfRule type="cellIs" dxfId="171" priority="258" stopIfTrue="1" operator="lessThan">
      <formula>0</formula>
    </cfRule>
  </conditionalFormatting>
  <conditionalFormatting sqref="BO60">
    <cfRule type="cellIs" dxfId="170" priority="255" stopIfTrue="1" operator="lessThan">
      <formula>0</formula>
    </cfRule>
  </conditionalFormatting>
  <conditionalFormatting sqref="AQ60">
    <cfRule type="cellIs" dxfId="169" priority="254" stopIfTrue="1" operator="lessThan">
      <formula>0</formula>
    </cfRule>
  </conditionalFormatting>
  <conditionalFormatting sqref="AF60">
    <cfRule type="cellIs" dxfId="168" priority="253" stopIfTrue="1" operator="lessThan">
      <formula>0</formula>
    </cfRule>
  </conditionalFormatting>
  <conditionalFormatting sqref="AR60">
    <cfRule type="cellIs" dxfId="167" priority="252" stopIfTrue="1" operator="lessThan">
      <formula>0</formula>
    </cfRule>
  </conditionalFormatting>
  <conditionalFormatting sqref="BD60">
    <cfRule type="cellIs" dxfId="166" priority="251" stopIfTrue="1" operator="lessThan">
      <formula>0</formula>
    </cfRule>
  </conditionalFormatting>
  <conditionalFormatting sqref="E60:F60">
    <cfRule type="cellIs" dxfId="165" priority="250" stopIfTrue="1" operator="lessThan">
      <formula>0</formula>
    </cfRule>
  </conditionalFormatting>
  <conditionalFormatting sqref="D63:D64">
    <cfRule type="cellIs" dxfId="164" priority="249" stopIfTrue="1" operator="lessThan">
      <formula>0</formula>
    </cfRule>
  </conditionalFormatting>
  <conditionalFormatting sqref="AG63:AP64 H63:AE64">
    <cfRule type="cellIs" dxfId="163" priority="248" stopIfTrue="1" operator="lessThan">
      <formula>0</formula>
    </cfRule>
  </conditionalFormatting>
  <conditionalFormatting sqref="AS63:BC64 BE63:BN64">
    <cfRule type="cellIs" dxfId="162" priority="247" stopIfTrue="1" operator="lessThan">
      <formula>0</formula>
    </cfRule>
  </conditionalFormatting>
  <conditionalFormatting sqref="BE61:BN62 AS61:BC62">
    <cfRule type="cellIs" dxfId="161" priority="268" stopIfTrue="1" operator="lessThan">
      <formula>0</formula>
    </cfRule>
  </conditionalFormatting>
  <conditionalFormatting sqref="AQ61:AQ62">
    <cfRule type="cellIs" dxfId="160" priority="265" stopIfTrue="1" operator="lessThan">
      <formula>0</formula>
    </cfRule>
  </conditionalFormatting>
  <conditionalFormatting sqref="BD61:BD62">
    <cfRule type="cellIs" dxfId="159" priority="262" stopIfTrue="1" operator="lessThan">
      <formula>0</formula>
    </cfRule>
  </conditionalFormatting>
  <conditionalFormatting sqref="E61:F62">
    <cfRule type="cellIs" dxfId="158" priority="261" stopIfTrue="1" operator="lessThan">
      <formula>0</formula>
    </cfRule>
  </conditionalFormatting>
  <conditionalFormatting sqref="E64:F64">
    <cfRule type="cellIs" dxfId="157" priority="260" stopIfTrue="1" operator="lessThan">
      <formula>0</formula>
    </cfRule>
  </conditionalFormatting>
  <conditionalFormatting sqref="E63:F63">
    <cfRule type="cellIs" dxfId="156" priority="259" stopIfTrue="1" operator="lessThan">
      <formula>0</formula>
    </cfRule>
  </conditionalFormatting>
  <conditionalFormatting sqref="D60 G60">
    <cfRule type="cellIs" dxfId="155" priority="257" stopIfTrue="1" operator="lessThan">
      <formula>0</formula>
    </cfRule>
  </conditionalFormatting>
  <conditionalFormatting sqref="AS60:BC60 BE60:BN60">
    <cfRule type="cellIs" dxfId="154" priority="256" stopIfTrue="1" operator="lessThan">
      <formula>0</formula>
    </cfRule>
  </conditionalFormatting>
  <conditionalFormatting sqref="BQ44:BY59 CC44:CJ59 CL44:CL59 CW44:CX59 DH44:DJ59 DS44:DW59 CO44:CU59 DA44:DF59 DM44:DQ59">
    <cfRule type="cellIs" dxfId="153" priority="239" stopIfTrue="1" operator="lessThan">
      <formula>0</formula>
    </cfRule>
  </conditionalFormatting>
  <conditionalFormatting sqref="BQ42:BY43 CC42:CJ43 CL42:CL43 CW42:CX43 DS42:DW43 CO42:CU43 DA42:DF43 DM42:DQ43 DH42:DK43">
    <cfRule type="cellIs" dxfId="152" priority="238" stopIfTrue="1" operator="lessThan">
      <formula>0</formula>
    </cfRule>
  </conditionalFormatting>
  <conditionalFormatting sqref="BQ40:BY41 CC40:CJ41 CL40:CL41 CW40:CX41 DS40:DW41 CO40:CU41 DA40:DF41 DM40:DQ41 DH40:DK41">
    <cfRule type="cellIs" dxfId="151" priority="237" stopIfTrue="1" operator="lessThan">
      <formula>0</formula>
    </cfRule>
  </conditionalFormatting>
  <conditionalFormatting sqref="BQ61:BY62 CC61:CJ62 CL61:CL62 CW61:CX62 DH61:DJ62 DS61:DW62 CO61:CU62 DA61:DF62 DM61:DQ62">
    <cfRule type="cellIs" dxfId="150" priority="230" stopIfTrue="1" operator="lessThan">
      <formula>0</formula>
    </cfRule>
  </conditionalFormatting>
  <conditionalFormatting sqref="DG42:DG43">
    <cfRule type="cellIs" dxfId="149" priority="234" stopIfTrue="1" operator="lessThan">
      <formula>0</formula>
    </cfRule>
  </conditionalFormatting>
  <conditionalFormatting sqref="DG40:DG41 DR40">
    <cfRule type="cellIs" dxfId="148" priority="233" stopIfTrue="1" operator="lessThan">
      <formula>0</formula>
    </cfRule>
  </conditionalFormatting>
  <conditionalFormatting sqref="BQ60:BY60 CC60:CJ60 CL60 CW60:CX60 DS60:DW60 CO60:CU60 DA60:DF60 DM60:DQ60 DH60:DK60">
    <cfRule type="cellIs" dxfId="147" priority="227" stopIfTrue="1" operator="lessThan">
      <formula>0</formula>
    </cfRule>
  </conditionalFormatting>
  <conditionalFormatting sqref="CA42:CA43">
    <cfRule type="cellIs" dxfId="146" priority="221" stopIfTrue="1" operator="lessThan">
      <formula>0</formula>
    </cfRule>
  </conditionalFormatting>
  <conditionalFormatting sqref="BQ63:BY64 CC63:CJ64 CL63:CL64 CW63:CX64 DH63:DJ64 DS63:DW64 CO63:CU64 DA63:DF64 DM63:DQ64">
    <cfRule type="cellIs" dxfId="145" priority="225" stopIfTrue="1" operator="lessThan">
      <formula>0</formula>
    </cfRule>
  </conditionalFormatting>
  <conditionalFormatting sqref="DR63:DR64">
    <cfRule type="cellIs" dxfId="144" priority="151" stopIfTrue="1" operator="lessThan">
      <formula>0</formula>
    </cfRule>
  </conditionalFormatting>
  <conditionalFormatting sqref="CA44:CA59">
    <cfRule type="cellIs" dxfId="143" priority="222" stopIfTrue="1" operator="lessThan">
      <formula>0</formula>
    </cfRule>
  </conditionalFormatting>
  <conditionalFormatting sqref="CA40:CA41">
    <cfRule type="cellIs" dxfId="142" priority="220" stopIfTrue="1" operator="lessThan">
      <formula>0</formula>
    </cfRule>
  </conditionalFormatting>
  <conditionalFormatting sqref="CA63:CA64">
    <cfRule type="cellIs" dxfId="141" priority="208" stopIfTrue="1" operator="lessThan">
      <formula>0</formula>
    </cfRule>
  </conditionalFormatting>
  <conditionalFormatting sqref="CA61:CA62">
    <cfRule type="cellIs" dxfId="140" priority="213" stopIfTrue="1" operator="lessThan">
      <formula>0</formula>
    </cfRule>
  </conditionalFormatting>
  <conditionalFormatting sqref="CA60">
    <cfRule type="cellIs" dxfId="139" priority="210" stopIfTrue="1" operator="lessThan">
      <formula>0</formula>
    </cfRule>
  </conditionalFormatting>
  <conditionalFormatting sqref="BZ44:BZ59">
    <cfRule type="cellIs" dxfId="138" priority="206" stopIfTrue="1" operator="lessThan">
      <formula>0</formula>
    </cfRule>
  </conditionalFormatting>
  <conditionalFormatting sqref="BZ42:BZ43">
    <cfRule type="cellIs" dxfId="137" priority="205" stopIfTrue="1" operator="lessThan">
      <formula>0</formula>
    </cfRule>
  </conditionalFormatting>
  <conditionalFormatting sqref="BZ40:BZ41">
    <cfRule type="cellIs" dxfId="136" priority="204" stopIfTrue="1" operator="lessThan">
      <formula>0</formula>
    </cfRule>
  </conditionalFormatting>
  <conditionalFormatting sqref="BZ63:BZ64">
    <cfRule type="cellIs" dxfId="135" priority="200" stopIfTrue="1" operator="lessThan">
      <formula>0</formula>
    </cfRule>
  </conditionalFormatting>
  <conditionalFormatting sqref="BZ61:BZ62">
    <cfRule type="cellIs" dxfId="134" priority="202" stopIfTrue="1" operator="lessThan">
      <formula>0</formula>
    </cfRule>
  </conditionalFormatting>
  <conditionalFormatting sqref="BZ60">
    <cfRule type="cellIs" dxfId="133" priority="201" stopIfTrue="1" operator="lessThan">
      <formula>0</formula>
    </cfRule>
  </conditionalFormatting>
  <conditionalFormatting sqref="CM44">
    <cfRule type="cellIs" dxfId="132" priority="199" stopIfTrue="1" operator="lessThan">
      <formula>0</formula>
    </cfRule>
  </conditionalFormatting>
  <conditionalFormatting sqref="CM42:CM43">
    <cfRule type="cellIs" dxfId="131" priority="198" stopIfTrue="1" operator="lessThan">
      <formula>0</formula>
    </cfRule>
  </conditionalFormatting>
  <conditionalFormatting sqref="CM40:CM41">
    <cfRule type="cellIs" dxfId="130" priority="197" stopIfTrue="1" operator="lessThan">
      <formula>0</formula>
    </cfRule>
  </conditionalFormatting>
  <conditionalFormatting sqref="CM45:CM59">
    <cfRule type="cellIs" dxfId="129" priority="195" stopIfTrue="1" operator="lessThan">
      <formula>0</formula>
    </cfRule>
  </conditionalFormatting>
  <conditionalFormatting sqref="CM63:CM64">
    <cfRule type="cellIs" dxfId="128" priority="191" stopIfTrue="1" operator="lessThan">
      <formula>0</formula>
    </cfRule>
  </conditionalFormatting>
  <conditionalFormatting sqref="CM61:CM62">
    <cfRule type="cellIs" dxfId="127" priority="193" stopIfTrue="1" operator="lessThan">
      <formula>0</formula>
    </cfRule>
  </conditionalFormatting>
  <conditionalFormatting sqref="CM60">
    <cfRule type="cellIs" dxfId="126" priority="192" stopIfTrue="1" operator="lessThan">
      <formula>0</formula>
    </cfRule>
  </conditionalFormatting>
  <conditionalFormatting sqref="CK44:CK59">
    <cfRule type="cellIs" dxfId="125" priority="190" stopIfTrue="1" operator="lessThan">
      <formula>0</formula>
    </cfRule>
  </conditionalFormatting>
  <conditionalFormatting sqref="CK42:CK43">
    <cfRule type="cellIs" dxfId="124" priority="189" stopIfTrue="1" operator="lessThan">
      <formula>0</formula>
    </cfRule>
  </conditionalFormatting>
  <conditionalFormatting sqref="CK40:CK41">
    <cfRule type="cellIs" dxfId="123" priority="188" stopIfTrue="1" operator="lessThan">
      <formula>0</formula>
    </cfRule>
  </conditionalFormatting>
  <conditionalFormatting sqref="CK63:CK64">
    <cfRule type="cellIs" dxfId="122" priority="184" stopIfTrue="1" operator="lessThan">
      <formula>0</formula>
    </cfRule>
  </conditionalFormatting>
  <conditionalFormatting sqref="CK61:CK62">
    <cfRule type="cellIs" dxfId="121" priority="186" stopIfTrue="1" operator="lessThan">
      <formula>0</formula>
    </cfRule>
  </conditionalFormatting>
  <conditionalFormatting sqref="CK60">
    <cfRule type="cellIs" dxfId="120" priority="185" stopIfTrue="1" operator="lessThan">
      <formula>0</formula>
    </cfRule>
  </conditionalFormatting>
  <conditionalFormatting sqref="CY44">
    <cfRule type="cellIs" dxfId="119" priority="183" stopIfTrue="1" operator="lessThan">
      <formula>0</formula>
    </cfRule>
  </conditionalFormatting>
  <conditionalFormatting sqref="CY42:CY43">
    <cfRule type="cellIs" dxfId="118" priority="182" stopIfTrue="1" operator="lessThan">
      <formula>0</formula>
    </cfRule>
  </conditionalFormatting>
  <conditionalFormatting sqref="CY40:CY41">
    <cfRule type="cellIs" dxfId="117" priority="181" stopIfTrue="1" operator="lessThan">
      <formula>0</formula>
    </cfRule>
  </conditionalFormatting>
  <conditionalFormatting sqref="CY45:CY59">
    <cfRule type="cellIs" dxfId="116" priority="179" stopIfTrue="1" operator="lessThan">
      <formula>0</formula>
    </cfRule>
  </conditionalFormatting>
  <conditionalFormatting sqref="CY63:CY64">
    <cfRule type="cellIs" dxfId="115" priority="175" stopIfTrue="1" operator="lessThan">
      <formula>0</formula>
    </cfRule>
  </conditionalFormatting>
  <conditionalFormatting sqref="CY61:CY62">
    <cfRule type="cellIs" dxfId="114" priority="177" stopIfTrue="1" operator="lessThan">
      <formula>0</formula>
    </cfRule>
  </conditionalFormatting>
  <conditionalFormatting sqref="CY60">
    <cfRule type="cellIs" dxfId="113" priority="176" stopIfTrue="1" operator="lessThan">
      <formula>0</formula>
    </cfRule>
  </conditionalFormatting>
  <conditionalFormatting sqref="CV44:CV59">
    <cfRule type="cellIs" dxfId="112" priority="174" stopIfTrue="1" operator="lessThan">
      <formula>0</formula>
    </cfRule>
  </conditionalFormatting>
  <conditionalFormatting sqref="CV42:CV43">
    <cfRule type="cellIs" dxfId="111" priority="173" stopIfTrue="1" operator="lessThan">
      <formula>0</formula>
    </cfRule>
  </conditionalFormatting>
  <conditionalFormatting sqref="CV40:CV41">
    <cfRule type="cellIs" dxfId="110" priority="172" stopIfTrue="1" operator="lessThan">
      <formula>0</formula>
    </cfRule>
  </conditionalFormatting>
  <conditionalFormatting sqref="CV63:CV64">
    <cfRule type="cellIs" dxfId="109" priority="168" stopIfTrue="1" operator="lessThan">
      <formula>0</formula>
    </cfRule>
  </conditionalFormatting>
  <conditionalFormatting sqref="CV61:CV62">
    <cfRule type="cellIs" dxfId="108" priority="170" stopIfTrue="1" operator="lessThan">
      <formula>0</formula>
    </cfRule>
  </conditionalFormatting>
  <conditionalFormatting sqref="CV60">
    <cfRule type="cellIs" dxfId="107" priority="169" stopIfTrue="1" operator="lessThan">
      <formula>0</formula>
    </cfRule>
  </conditionalFormatting>
  <conditionalFormatting sqref="DG44:DG59">
    <cfRule type="cellIs" dxfId="106" priority="167" stopIfTrue="1" operator="lessThan">
      <formula>0</formula>
    </cfRule>
  </conditionalFormatting>
  <conditionalFormatting sqref="DG63:DG64">
    <cfRule type="cellIs" dxfId="105" priority="163" stopIfTrue="1" operator="lessThan">
      <formula>0</formula>
    </cfRule>
  </conditionalFormatting>
  <conditionalFormatting sqref="DG61:DG62">
    <cfRule type="cellIs" dxfId="104" priority="165" stopIfTrue="1" operator="lessThan">
      <formula>0</formula>
    </cfRule>
  </conditionalFormatting>
  <conditionalFormatting sqref="DG60">
    <cfRule type="cellIs" dxfId="103" priority="164" stopIfTrue="1" operator="lessThan">
      <formula>0</formula>
    </cfRule>
  </conditionalFormatting>
  <conditionalFormatting sqref="DR44:DR59">
    <cfRule type="cellIs" dxfId="102" priority="155" stopIfTrue="1" operator="lessThan">
      <formula>0</formula>
    </cfRule>
  </conditionalFormatting>
  <conditionalFormatting sqref="DR61:DR62">
    <cfRule type="cellIs" dxfId="101" priority="153" stopIfTrue="1" operator="lessThan">
      <formula>0</formula>
    </cfRule>
  </conditionalFormatting>
  <conditionalFormatting sqref="DR60">
    <cfRule type="cellIs" dxfId="100" priority="152" stopIfTrue="1" operator="lessThan">
      <formula>0</formula>
    </cfRule>
  </conditionalFormatting>
  <conditionalFormatting sqref="BP39">
    <cfRule type="cellIs" dxfId="99" priority="150" stopIfTrue="1" operator="lessThan">
      <formula>0</formula>
    </cfRule>
  </conditionalFormatting>
  <conditionalFormatting sqref="BP44:BP59">
    <cfRule type="cellIs" dxfId="98" priority="149" stopIfTrue="1" operator="lessThan">
      <formula>0</formula>
    </cfRule>
  </conditionalFormatting>
  <conditionalFormatting sqref="BP23">
    <cfRule type="cellIs" dxfId="97" priority="148" stopIfTrue="1" operator="lessThan">
      <formula>0</formula>
    </cfRule>
  </conditionalFormatting>
  <conditionalFormatting sqref="BP42:BP43">
    <cfRule type="cellIs" dxfId="96" priority="147" stopIfTrue="1" operator="lessThan">
      <formula>0</formula>
    </cfRule>
  </conditionalFormatting>
  <conditionalFormatting sqref="BP40:BP41">
    <cfRule type="cellIs" dxfId="95" priority="146" stopIfTrue="1" operator="lessThan">
      <formula>0</formula>
    </cfRule>
  </conditionalFormatting>
  <conditionalFormatting sqref="BP128:BP130">
    <cfRule type="cellIs" dxfId="94" priority="144" operator="greaterThan">
      <formula>0.001</formula>
    </cfRule>
  </conditionalFormatting>
  <conditionalFormatting sqref="BP63:BP64">
    <cfRule type="cellIs" dxfId="93" priority="141" stopIfTrue="1" operator="lessThan">
      <formula>0</formula>
    </cfRule>
  </conditionalFormatting>
  <conditionalFormatting sqref="BP60">
    <cfRule type="cellIs" dxfId="92" priority="142" stopIfTrue="1" operator="lessThan">
      <formula>0</formula>
    </cfRule>
  </conditionalFormatting>
  <conditionalFormatting sqref="BP61:BP62">
    <cfRule type="cellIs" dxfId="91" priority="143" stopIfTrue="1" operator="lessThan">
      <formula>0</formula>
    </cfRule>
  </conditionalFormatting>
  <conditionalFormatting sqref="CB39">
    <cfRule type="cellIs" dxfId="90" priority="140" stopIfTrue="1" operator="lessThan">
      <formula>0</formula>
    </cfRule>
  </conditionalFormatting>
  <conditionalFormatting sqref="CB44:CB59">
    <cfRule type="cellIs" dxfId="89" priority="139" stopIfTrue="1" operator="lessThan">
      <formula>0</formula>
    </cfRule>
  </conditionalFormatting>
  <conditionalFormatting sqref="CB23">
    <cfRule type="cellIs" dxfId="88" priority="138" stopIfTrue="1" operator="lessThan">
      <formula>0</formula>
    </cfRule>
  </conditionalFormatting>
  <conditionalFormatting sqref="CB42:CB43">
    <cfRule type="cellIs" dxfId="87" priority="137" stopIfTrue="1" operator="lessThan">
      <formula>0</formula>
    </cfRule>
  </conditionalFormatting>
  <conditionalFormatting sqref="CB40:CB41">
    <cfRule type="cellIs" dxfId="86" priority="136" stopIfTrue="1" operator="lessThan">
      <formula>0</formula>
    </cfRule>
  </conditionalFormatting>
  <conditionalFormatting sqref="CB128:CB130">
    <cfRule type="cellIs" dxfId="85" priority="134" operator="greaterThan">
      <formula>0.001</formula>
    </cfRule>
  </conditionalFormatting>
  <conditionalFormatting sqref="CB63:CB64">
    <cfRule type="cellIs" dxfId="84" priority="131" stopIfTrue="1" operator="lessThan">
      <formula>0</formula>
    </cfRule>
  </conditionalFormatting>
  <conditionalFormatting sqref="CB60">
    <cfRule type="cellIs" dxfId="83" priority="132" stopIfTrue="1" operator="lessThan">
      <formula>0</formula>
    </cfRule>
  </conditionalFormatting>
  <conditionalFormatting sqref="CB61:CB62">
    <cfRule type="cellIs" dxfId="82" priority="133" stopIfTrue="1" operator="lessThan">
      <formula>0</formula>
    </cfRule>
  </conditionalFormatting>
  <conditionalFormatting sqref="CN39">
    <cfRule type="cellIs" dxfId="81" priority="130" stopIfTrue="1" operator="lessThan">
      <formula>0</formula>
    </cfRule>
  </conditionalFormatting>
  <conditionalFormatting sqref="CN44:CN59">
    <cfRule type="cellIs" dxfId="80" priority="129" stopIfTrue="1" operator="lessThan">
      <formula>0</formula>
    </cfRule>
  </conditionalFormatting>
  <conditionalFormatting sqref="CN23">
    <cfRule type="cellIs" dxfId="79" priority="128" stopIfTrue="1" operator="lessThan">
      <formula>0</formula>
    </cfRule>
  </conditionalFormatting>
  <conditionalFormatting sqref="CN42:CN43">
    <cfRule type="cellIs" dxfId="78" priority="127" stopIfTrue="1" operator="lessThan">
      <formula>0</formula>
    </cfRule>
  </conditionalFormatting>
  <conditionalFormatting sqref="CN40:CN41">
    <cfRule type="cellIs" dxfId="77" priority="126" stopIfTrue="1" operator="lessThan">
      <formula>0</formula>
    </cfRule>
  </conditionalFormatting>
  <conditionalFormatting sqref="CN128:CN130">
    <cfRule type="cellIs" dxfId="76" priority="124" operator="greaterThan">
      <formula>0.001</formula>
    </cfRule>
  </conditionalFormatting>
  <conditionalFormatting sqref="CN63:CN64">
    <cfRule type="cellIs" dxfId="75" priority="121" stopIfTrue="1" operator="lessThan">
      <formula>0</formula>
    </cfRule>
  </conditionalFormatting>
  <conditionalFormatting sqref="CN60">
    <cfRule type="cellIs" dxfId="74" priority="122" stopIfTrue="1" operator="lessThan">
      <formula>0</formula>
    </cfRule>
  </conditionalFormatting>
  <conditionalFormatting sqref="CN61:CN62">
    <cfRule type="cellIs" dxfId="73" priority="123" stopIfTrue="1" operator="lessThan">
      <formula>0</formula>
    </cfRule>
  </conditionalFormatting>
  <conditionalFormatting sqref="CZ39">
    <cfRule type="cellIs" dxfId="72" priority="120" stopIfTrue="1" operator="lessThan">
      <formula>0</formula>
    </cfRule>
  </conditionalFormatting>
  <conditionalFormatting sqref="CZ44:CZ59">
    <cfRule type="cellIs" dxfId="71" priority="119" stopIfTrue="1" operator="lessThan">
      <formula>0</formula>
    </cfRule>
  </conditionalFormatting>
  <conditionalFormatting sqref="CZ23">
    <cfRule type="cellIs" dxfId="70" priority="118" stopIfTrue="1" operator="lessThan">
      <formula>0</formula>
    </cfRule>
  </conditionalFormatting>
  <conditionalFormatting sqref="CZ42:CZ43">
    <cfRule type="cellIs" dxfId="69" priority="117" stopIfTrue="1" operator="lessThan">
      <formula>0</formula>
    </cfRule>
  </conditionalFormatting>
  <conditionalFormatting sqref="CZ40:CZ41">
    <cfRule type="cellIs" dxfId="68" priority="116" stopIfTrue="1" operator="lessThan">
      <formula>0</formula>
    </cfRule>
  </conditionalFormatting>
  <conditionalFormatting sqref="CZ128:CZ130">
    <cfRule type="cellIs" dxfId="67" priority="114" operator="greaterThan">
      <formula>0.001</formula>
    </cfRule>
  </conditionalFormatting>
  <conditionalFormatting sqref="CZ63:CZ64">
    <cfRule type="cellIs" dxfId="66" priority="111" stopIfTrue="1" operator="lessThan">
      <formula>0</formula>
    </cfRule>
  </conditionalFormatting>
  <conditionalFormatting sqref="CZ60">
    <cfRule type="cellIs" dxfId="65" priority="112" stopIfTrue="1" operator="lessThan">
      <formula>0</formula>
    </cfRule>
  </conditionalFormatting>
  <conditionalFormatting sqref="CZ61:CZ62">
    <cfRule type="cellIs" dxfId="64" priority="113" stopIfTrue="1" operator="lessThan">
      <formula>0</formula>
    </cfRule>
  </conditionalFormatting>
  <conditionalFormatting sqref="DL39">
    <cfRule type="cellIs" dxfId="63" priority="110" stopIfTrue="1" operator="lessThan">
      <formula>0</formula>
    </cfRule>
  </conditionalFormatting>
  <conditionalFormatting sqref="DL44:DL59">
    <cfRule type="cellIs" dxfId="62" priority="109" stopIfTrue="1" operator="lessThan">
      <formula>0</formula>
    </cfRule>
  </conditionalFormatting>
  <conditionalFormatting sqref="DL23">
    <cfRule type="cellIs" dxfId="61" priority="108" stopIfTrue="1" operator="lessThan">
      <formula>0</formula>
    </cfRule>
  </conditionalFormatting>
  <conditionalFormatting sqref="DL42:DL43">
    <cfRule type="cellIs" dxfId="60" priority="107" stopIfTrue="1" operator="lessThan">
      <formula>0</formula>
    </cfRule>
  </conditionalFormatting>
  <conditionalFormatting sqref="DL40:DL41">
    <cfRule type="cellIs" dxfId="59" priority="106" stopIfTrue="1" operator="lessThan">
      <formula>0</formula>
    </cfRule>
  </conditionalFormatting>
  <conditionalFormatting sqref="DL128:DL130">
    <cfRule type="cellIs" dxfId="58" priority="104" operator="greaterThan">
      <formula>0.001</formula>
    </cfRule>
  </conditionalFormatting>
  <conditionalFormatting sqref="DL63:DL64">
    <cfRule type="cellIs" dxfId="57" priority="101" stopIfTrue="1" operator="lessThan">
      <formula>0</formula>
    </cfRule>
  </conditionalFormatting>
  <conditionalFormatting sqref="DL60">
    <cfRule type="cellIs" dxfId="56" priority="102" stopIfTrue="1" operator="lessThan">
      <formula>0</formula>
    </cfRule>
  </conditionalFormatting>
  <conditionalFormatting sqref="DL61:DL62">
    <cfRule type="cellIs" dxfId="55" priority="103" stopIfTrue="1" operator="lessThan">
      <formula>0</formula>
    </cfRule>
  </conditionalFormatting>
  <conditionalFormatting sqref="AG56:AP56 H56:AE56">
    <cfRule type="cellIs" dxfId="54" priority="100" stopIfTrue="1" operator="lessThan">
      <formula>0</formula>
    </cfRule>
  </conditionalFormatting>
  <conditionalFormatting sqref="AS56:BC56 BE56:BN56">
    <cfRule type="cellIs" dxfId="53" priority="99" stopIfTrue="1" operator="lessThan">
      <formula>0</formula>
    </cfRule>
  </conditionalFormatting>
  <conditionalFormatting sqref="BO56">
    <cfRule type="cellIs" dxfId="52" priority="98" stopIfTrue="1" operator="lessThan">
      <formula>0</formula>
    </cfRule>
  </conditionalFormatting>
  <conditionalFormatting sqref="AQ56">
    <cfRule type="cellIs" dxfId="51" priority="97" stopIfTrue="1" operator="lessThan">
      <formula>0</formula>
    </cfRule>
  </conditionalFormatting>
  <conditionalFormatting sqref="AF56">
    <cfRule type="cellIs" dxfId="50" priority="96" stopIfTrue="1" operator="lessThan">
      <formula>0</formula>
    </cfRule>
  </conditionalFormatting>
  <conditionalFormatting sqref="AR56">
    <cfRule type="cellIs" dxfId="49" priority="95" stopIfTrue="1" operator="lessThan">
      <formula>0</formula>
    </cfRule>
  </conditionalFormatting>
  <conditionalFormatting sqref="BD56">
    <cfRule type="cellIs" dxfId="48" priority="94" stopIfTrue="1" operator="lessThan">
      <formula>0</formula>
    </cfRule>
  </conditionalFormatting>
  <conditionalFormatting sqref="BQ56:BY56 CC56:CJ56 CL56 CW56:CX56 DS56:DW56 CO56:CU56 DA56:DF56 DM56:DQ56 DH56:DK56">
    <cfRule type="cellIs" dxfId="47" priority="93" stopIfTrue="1" operator="lessThan">
      <formula>0</formula>
    </cfRule>
  </conditionalFormatting>
  <conditionalFormatting sqref="CA56">
    <cfRule type="cellIs" dxfId="46" priority="92" stopIfTrue="1" operator="lessThan">
      <formula>0</formula>
    </cfRule>
  </conditionalFormatting>
  <conditionalFormatting sqref="BZ56">
    <cfRule type="cellIs" dxfId="45" priority="91" stopIfTrue="1" operator="lessThan">
      <formula>0</formula>
    </cfRule>
  </conditionalFormatting>
  <conditionalFormatting sqref="CM56">
    <cfRule type="cellIs" dxfId="44" priority="90" stopIfTrue="1" operator="lessThan">
      <formula>0</formula>
    </cfRule>
  </conditionalFormatting>
  <conditionalFormatting sqref="CK56">
    <cfRule type="cellIs" dxfId="43" priority="89" stopIfTrue="1" operator="lessThan">
      <formula>0</formula>
    </cfRule>
  </conditionalFormatting>
  <conditionalFormatting sqref="CY56">
    <cfRule type="cellIs" dxfId="42" priority="88" stopIfTrue="1" operator="lessThan">
      <formula>0</formula>
    </cfRule>
  </conditionalFormatting>
  <conditionalFormatting sqref="CV56">
    <cfRule type="cellIs" dxfId="41" priority="87" stopIfTrue="1" operator="lessThan">
      <formula>0</formula>
    </cfRule>
  </conditionalFormatting>
  <conditionalFormatting sqref="DG56">
    <cfRule type="cellIs" dxfId="40" priority="86" stopIfTrue="1" operator="lessThan">
      <formula>0</formula>
    </cfRule>
  </conditionalFormatting>
  <conditionalFormatting sqref="DR56">
    <cfRule type="cellIs" dxfId="39" priority="84" stopIfTrue="1" operator="lessThan">
      <formula>0</formula>
    </cfRule>
  </conditionalFormatting>
  <conditionalFormatting sqref="BP56">
    <cfRule type="cellIs" dxfId="38" priority="83" stopIfTrue="1" operator="lessThan">
      <formula>0</formula>
    </cfRule>
  </conditionalFormatting>
  <conditionalFormatting sqref="CB56">
    <cfRule type="cellIs" dxfId="37" priority="82" stopIfTrue="1" operator="lessThan">
      <formula>0</formula>
    </cfRule>
  </conditionalFormatting>
  <conditionalFormatting sqref="CN56">
    <cfRule type="cellIs" dxfId="36" priority="81" stopIfTrue="1" operator="lessThan">
      <formula>0</formula>
    </cfRule>
  </conditionalFormatting>
  <conditionalFormatting sqref="CZ56">
    <cfRule type="cellIs" dxfId="35" priority="80" stopIfTrue="1" operator="lessThan">
      <formula>0</formula>
    </cfRule>
  </conditionalFormatting>
  <conditionalFormatting sqref="DL56">
    <cfRule type="cellIs" dxfId="34" priority="79" stopIfTrue="1" operator="lessThan">
      <formula>0</formula>
    </cfRule>
  </conditionalFormatting>
  <conditionalFormatting sqref="G63:G64">
    <cfRule type="cellIs" dxfId="33" priority="54" stopIfTrue="1" operator="lessThan">
      <formula>0</formula>
    </cfRule>
  </conditionalFormatting>
  <conditionalFormatting sqref="D52">
    <cfRule type="cellIs" dxfId="32" priority="53" stopIfTrue="1" operator="lessThan">
      <formula>0</formula>
    </cfRule>
  </conditionalFormatting>
  <conditionalFormatting sqref="E52:F52">
    <cfRule type="cellIs" dxfId="31" priority="46" stopIfTrue="1" operator="lessThan">
      <formula>0</formula>
    </cfRule>
  </conditionalFormatting>
  <conditionalFormatting sqref="AG52:AP52 H52:AE52">
    <cfRule type="cellIs" dxfId="30" priority="27" stopIfTrue="1" operator="lessThan">
      <formula>0</formula>
    </cfRule>
  </conditionalFormatting>
  <conditionalFormatting sqref="AS52:BC52 BE52:BN52">
    <cfRule type="cellIs" dxfId="29" priority="26" stopIfTrue="1" operator="lessThan">
      <formula>0</formula>
    </cfRule>
  </conditionalFormatting>
  <conditionalFormatting sqref="F152:F161">
    <cfRule type="expression" dxfId="28" priority="23" stopIfTrue="1">
      <formula>#REF!="Outlook"</formula>
    </cfRule>
  </conditionalFormatting>
  <conditionalFormatting sqref="N153:N154 N156:N161">
    <cfRule type="expression" dxfId="27" priority="25" stopIfTrue="1">
      <formula>#REF!="Outlook"</formula>
    </cfRule>
  </conditionalFormatting>
  <conditionalFormatting sqref="N152">
    <cfRule type="expression" dxfId="26" priority="24" stopIfTrue="1">
      <formula>#REF!="Outlook"</formula>
    </cfRule>
  </conditionalFormatting>
  <conditionalFormatting sqref="F152:F161">
    <cfRule type="expression" dxfId="25" priority="22" stopIfTrue="1">
      <formula>#REF!="Outlook"</formula>
    </cfRule>
  </conditionalFormatting>
  <conditionalFormatting sqref="N151">
    <cfRule type="expression" dxfId="24" priority="20" stopIfTrue="1">
      <formula>#REF!="Outlook"</formula>
    </cfRule>
  </conditionalFormatting>
  <conditionalFormatting sqref="F151">
    <cfRule type="expression" dxfId="23" priority="21" stopIfTrue="1">
      <formula>#REF!="Outlook"</formula>
    </cfRule>
  </conditionalFormatting>
  <conditionalFormatting sqref="J151">
    <cfRule type="expression" dxfId="22" priority="19" stopIfTrue="1">
      <formula>#REF!="Outlook"</formula>
    </cfRule>
  </conditionalFormatting>
  <conditionalFormatting sqref="N155:N161">
    <cfRule type="expression" dxfId="21" priority="18" stopIfTrue="1">
      <formula>#REF!="Outlook"</formula>
    </cfRule>
  </conditionalFormatting>
  <conditionalFormatting sqref="N162">
    <cfRule type="expression" dxfId="20" priority="17" stopIfTrue="1">
      <formula>#REF!="Outlook"</formula>
    </cfRule>
  </conditionalFormatting>
  <conditionalFormatting sqref="F162">
    <cfRule type="expression" dxfId="19" priority="16" stopIfTrue="1">
      <formula>#REF!="Outlook"</formula>
    </cfRule>
  </conditionalFormatting>
  <conditionalFormatting sqref="F162">
    <cfRule type="expression" dxfId="18" priority="15" stopIfTrue="1">
      <formula>#REF!="Outlook"</formula>
    </cfRule>
  </conditionalFormatting>
  <conditionalFormatting sqref="J162">
    <cfRule type="expression" dxfId="17" priority="14" stopIfTrue="1">
      <formula>#REF!="Outlook"</formula>
    </cfRule>
  </conditionalFormatting>
  <conditionalFormatting sqref="J162">
    <cfRule type="expression" dxfId="16" priority="13" stopIfTrue="1">
      <formula>#REF!="Outlook"</formula>
    </cfRule>
  </conditionalFormatting>
  <conditionalFormatting sqref="J152:J161">
    <cfRule type="expression" dxfId="15" priority="12" stopIfTrue="1">
      <formula>#REF!="Outlook"</formula>
    </cfRule>
  </conditionalFormatting>
  <conditionalFormatting sqref="J152:J161">
    <cfRule type="expression" dxfId="14" priority="11" stopIfTrue="1">
      <formula>#REF!="Outlook"</formula>
    </cfRule>
  </conditionalFormatting>
  <conditionalFormatting sqref="DK44:DK59">
    <cfRule type="cellIs" dxfId="13" priority="10" stopIfTrue="1" operator="lessThan">
      <formula>0</formula>
    </cfRule>
  </conditionalFormatting>
  <conditionalFormatting sqref="DK61:DK62">
    <cfRule type="cellIs" dxfId="12" priority="9" stopIfTrue="1" operator="lessThan">
      <formula>0</formula>
    </cfRule>
  </conditionalFormatting>
  <conditionalFormatting sqref="DK63:DK64">
    <cfRule type="cellIs" dxfId="11" priority="8" stopIfTrue="1" operator="lessThan">
      <formula>0</formula>
    </cfRule>
  </conditionalFormatting>
  <conditionalFormatting sqref="H43:DW43">
    <cfRule type="cellIs" dxfId="10" priority="7" stopIfTrue="1" operator="lessThan">
      <formula>0</formula>
    </cfRule>
  </conditionalFormatting>
  <conditionalFormatting sqref="O43:AE43 AG43:AP43">
    <cfRule type="cellIs" dxfId="9" priority="6" stopIfTrue="1" operator="lessThan">
      <formula>0</formula>
    </cfRule>
  </conditionalFormatting>
  <conditionalFormatting sqref="AS43:BC43 BE43:BN43">
    <cfRule type="cellIs" dxfId="8" priority="5" stopIfTrue="1" operator="lessThan">
      <formula>0</formula>
    </cfRule>
  </conditionalFormatting>
  <conditionalFormatting sqref="E43:F43">
    <cfRule type="cellIs" dxfId="7" priority="4" stopIfTrue="1" operator="lessThan">
      <formula>0</formula>
    </cfRule>
  </conditionalFormatting>
  <conditionalFormatting sqref="DR42:DR43">
    <cfRule type="cellIs" dxfId="6" priority="2" stopIfTrue="1" operator="lessThan">
      <formula>0</formula>
    </cfRule>
  </conditionalFormatting>
  <conditionalFormatting sqref="DR41">
    <cfRule type="cellIs" dxfId="5" priority="1" stopIfTrue="1" operator="lessThan">
      <formula>0</formula>
    </cfRule>
  </conditionalFormatting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E856F-8F04-4D50-B410-56FD50AAE2EA}">
  <sheetPr codeName="Sheet16">
    <tabColor rgb="FFFF0000"/>
  </sheetPr>
  <dimension ref="A2:DT260"/>
  <sheetViews>
    <sheetView showGridLines="0" zoomScale="80" zoomScaleNormal="80" workbookViewId="0">
      <pane xSplit="3" ySplit="3" topLeftCell="D145" activePane="bottomRight" state="frozen"/>
      <selection pane="topRight" activeCell="D1" sqref="D1"/>
      <selection pane="bottomLeft" activeCell="A3" sqref="A3"/>
      <selection pane="bottomRight" activeCell="D166" sqref="D166"/>
    </sheetView>
  </sheetViews>
  <sheetFormatPr defaultColWidth="6.81640625" defaultRowHeight="13" x14ac:dyDescent="0.3"/>
  <cols>
    <col min="1" max="1" width="10.1796875" style="14" bestFit="1" customWidth="1"/>
    <col min="2" max="2" width="22.6328125" style="14" bestFit="1" customWidth="1"/>
    <col min="3" max="3" width="36.6328125" style="32" bestFit="1" customWidth="1"/>
    <col min="4" max="4" width="22.08984375" style="93" customWidth="1"/>
    <col min="5" max="5" width="28.7265625" style="93" customWidth="1"/>
    <col min="6" max="6" width="21.26953125" style="93" bestFit="1" customWidth="1"/>
    <col min="7" max="7" width="39.26953125" style="93" bestFit="1" customWidth="1"/>
    <col min="8" max="8" width="17" style="93" bestFit="1" customWidth="1"/>
    <col min="9" max="9" width="12.1796875" style="93" bestFit="1" customWidth="1"/>
    <col min="10" max="10" width="22.90625" style="93" bestFit="1" customWidth="1"/>
    <col min="11" max="12" width="12.1796875" style="93" bestFit="1" customWidth="1"/>
    <col min="13" max="13" width="21.08984375" style="93" bestFit="1" customWidth="1"/>
    <col min="14" max="14" width="27.81640625" style="93" bestFit="1" customWidth="1"/>
    <col min="15" max="15" width="31.7265625" style="93" bestFit="1" customWidth="1"/>
    <col min="16" max="16" width="31.54296875" style="93" bestFit="1" customWidth="1"/>
    <col min="17" max="17" width="31.90625" style="93" bestFit="1" customWidth="1"/>
    <col min="18" max="18" width="16.81640625" style="93" bestFit="1" customWidth="1"/>
    <col min="19" max="19" width="16.453125" style="93" bestFit="1" customWidth="1"/>
    <col min="20" max="20" width="31.7265625" style="93" bestFit="1" customWidth="1"/>
    <col min="21" max="21" width="11.08984375" style="93" bestFit="1" customWidth="1"/>
    <col min="22" max="22" width="18.1796875" style="93" bestFit="1" customWidth="1"/>
    <col min="23" max="23" width="16" style="93" bestFit="1" customWidth="1"/>
    <col min="24" max="25" width="20.453125" style="93" bestFit="1" customWidth="1"/>
    <col min="26" max="26" width="12.1796875" style="93" bestFit="1" customWidth="1"/>
    <col min="27" max="30" width="11.08984375" style="93" bestFit="1" customWidth="1"/>
    <col min="31" max="31" width="16.26953125" style="93" bestFit="1" customWidth="1"/>
    <col min="32" max="32" width="11.7265625" style="93" bestFit="1" customWidth="1"/>
    <col min="33" max="33" width="15.90625" style="93" bestFit="1" customWidth="1"/>
    <col min="34" max="34" width="35" style="93" bestFit="1" customWidth="1"/>
    <col min="35" max="35" width="11.08984375" style="93" bestFit="1" customWidth="1"/>
    <col min="36" max="36" width="11.7265625" style="93" bestFit="1" customWidth="1"/>
    <col min="37" max="40" width="12.1796875" style="93" bestFit="1" customWidth="1"/>
    <col min="41" max="43" width="11.08984375" style="93" bestFit="1" customWidth="1"/>
    <col min="44" max="44" width="33.1796875" style="93" bestFit="1" customWidth="1"/>
    <col min="45" max="47" width="9.90625" style="93" bestFit="1" customWidth="1"/>
    <col min="48" max="48" width="17" style="93" bestFit="1" customWidth="1"/>
    <col min="49" max="49" width="10.453125" style="93" bestFit="1" customWidth="1"/>
    <col min="50" max="52" width="9.90625" style="93" bestFit="1" customWidth="1"/>
    <col min="53" max="124" width="5.26953125" style="93" bestFit="1" customWidth="1"/>
    <col min="125" max="16384" width="6.81640625" style="14"/>
  </cols>
  <sheetData>
    <row r="2" spans="2:124" ht="13.5" thickBot="1" x14ac:dyDescent="0.35">
      <c r="C2" s="1083" t="str">
        <f>Summary!$C$3</f>
        <v>Backoffice</v>
      </c>
      <c r="D2" s="1054" t="str">
        <f>Summary!$D$3</f>
        <v>L1</v>
      </c>
    </row>
    <row r="3" spans="2:124" x14ac:dyDescent="0.3">
      <c r="C3" s="1096" t="s">
        <v>345</v>
      </c>
      <c r="D3" s="1097">
        <v>1</v>
      </c>
      <c r="E3" s="1097">
        <f>D3+1</f>
        <v>2</v>
      </c>
      <c r="F3" s="1097">
        <f t="shared" ref="F3:BQ3" si="0">E3+1</f>
        <v>3</v>
      </c>
      <c r="G3" s="1097">
        <f t="shared" si="0"/>
        <v>4</v>
      </c>
      <c r="H3" s="1097">
        <f t="shared" si="0"/>
        <v>5</v>
      </c>
      <c r="I3" s="1097">
        <f t="shared" si="0"/>
        <v>6</v>
      </c>
      <c r="J3" s="1097">
        <f t="shared" si="0"/>
        <v>7</v>
      </c>
      <c r="K3" s="1097">
        <f t="shared" si="0"/>
        <v>8</v>
      </c>
      <c r="L3" s="1097">
        <f t="shared" si="0"/>
        <v>9</v>
      </c>
      <c r="M3" s="1097">
        <f t="shared" si="0"/>
        <v>10</v>
      </c>
      <c r="N3" s="1097">
        <f t="shared" si="0"/>
        <v>11</v>
      </c>
      <c r="O3" s="1097">
        <f t="shared" si="0"/>
        <v>12</v>
      </c>
      <c r="P3" s="1097">
        <f t="shared" si="0"/>
        <v>13</v>
      </c>
      <c r="Q3" s="1097">
        <f t="shared" si="0"/>
        <v>14</v>
      </c>
      <c r="R3" s="1097">
        <f t="shared" si="0"/>
        <v>15</v>
      </c>
      <c r="S3" s="1097">
        <f t="shared" si="0"/>
        <v>16</v>
      </c>
      <c r="T3" s="1097">
        <f t="shared" si="0"/>
        <v>17</v>
      </c>
      <c r="U3" s="1097">
        <f t="shared" si="0"/>
        <v>18</v>
      </c>
      <c r="V3" s="1097">
        <f t="shared" si="0"/>
        <v>19</v>
      </c>
      <c r="W3" s="1097">
        <f t="shared" si="0"/>
        <v>20</v>
      </c>
      <c r="X3" s="1097">
        <f t="shared" si="0"/>
        <v>21</v>
      </c>
      <c r="Y3" s="1097">
        <f t="shared" si="0"/>
        <v>22</v>
      </c>
      <c r="Z3" s="1097">
        <f t="shared" si="0"/>
        <v>23</v>
      </c>
      <c r="AA3" s="1097">
        <f t="shared" si="0"/>
        <v>24</v>
      </c>
      <c r="AB3" s="1097">
        <f t="shared" si="0"/>
        <v>25</v>
      </c>
      <c r="AC3" s="1097">
        <f t="shared" si="0"/>
        <v>26</v>
      </c>
      <c r="AD3" s="1097">
        <f t="shared" si="0"/>
        <v>27</v>
      </c>
      <c r="AE3" s="1097">
        <f t="shared" si="0"/>
        <v>28</v>
      </c>
      <c r="AF3" s="1097">
        <f t="shared" si="0"/>
        <v>29</v>
      </c>
      <c r="AG3" s="1097">
        <f t="shared" si="0"/>
        <v>30</v>
      </c>
      <c r="AH3" s="1097">
        <f t="shared" si="0"/>
        <v>31</v>
      </c>
      <c r="AI3" s="1097">
        <f t="shared" si="0"/>
        <v>32</v>
      </c>
      <c r="AJ3" s="1097">
        <f t="shared" si="0"/>
        <v>33</v>
      </c>
      <c r="AK3" s="1097">
        <f t="shared" si="0"/>
        <v>34</v>
      </c>
      <c r="AL3" s="1097">
        <f t="shared" si="0"/>
        <v>35</v>
      </c>
      <c r="AM3" s="1097">
        <f t="shared" si="0"/>
        <v>36</v>
      </c>
      <c r="AN3" s="1097">
        <f t="shared" si="0"/>
        <v>37</v>
      </c>
      <c r="AO3" s="1097">
        <f t="shared" si="0"/>
        <v>38</v>
      </c>
      <c r="AP3" s="1097">
        <f t="shared" si="0"/>
        <v>39</v>
      </c>
      <c r="AQ3" s="1097">
        <f t="shared" si="0"/>
        <v>40</v>
      </c>
      <c r="AR3" s="1097">
        <f t="shared" si="0"/>
        <v>41</v>
      </c>
      <c r="AS3" s="1097">
        <f t="shared" si="0"/>
        <v>42</v>
      </c>
      <c r="AT3" s="1097">
        <f t="shared" si="0"/>
        <v>43</v>
      </c>
      <c r="AU3" s="1097">
        <f t="shared" si="0"/>
        <v>44</v>
      </c>
      <c r="AV3" s="1097">
        <f t="shared" si="0"/>
        <v>45</v>
      </c>
      <c r="AW3" s="1097">
        <f t="shared" si="0"/>
        <v>46</v>
      </c>
      <c r="AX3" s="1097">
        <f t="shared" si="0"/>
        <v>47</v>
      </c>
      <c r="AY3" s="1097">
        <f t="shared" si="0"/>
        <v>48</v>
      </c>
      <c r="AZ3" s="1097">
        <f t="shared" si="0"/>
        <v>49</v>
      </c>
      <c r="BA3" s="1097">
        <f t="shared" si="0"/>
        <v>50</v>
      </c>
      <c r="BB3" s="1097">
        <f t="shared" si="0"/>
        <v>51</v>
      </c>
      <c r="BC3" s="1097">
        <f t="shared" si="0"/>
        <v>52</v>
      </c>
      <c r="BD3" s="1097">
        <f t="shared" si="0"/>
        <v>53</v>
      </c>
      <c r="BE3" s="1097">
        <f t="shared" si="0"/>
        <v>54</v>
      </c>
      <c r="BF3" s="1097">
        <f t="shared" si="0"/>
        <v>55</v>
      </c>
      <c r="BG3" s="1097">
        <f t="shared" si="0"/>
        <v>56</v>
      </c>
      <c r="BH3" s="1097">
        <f t="shared" si="0"/>
        <v>57</v>
      </c>
      <c r="BI3" s="1097">
        <f t="shared" si="0"/>
        <v>58</v>
      </c>
      <c r="BJ3" s="1097">
        <f t="shared" si="0"/>
        <v>59</v>
      </c>
      <c r="BK3" s="1097">
        <f t="shared" si="0"/>
        <v>60</v>
      </c>
      <c r="BL3" s="1097">
        <f t="shared" si="0"/>
        <v>61</v>
      </c>
      <c r="BM3" s="1097">
        <f t="shared" si="0"/>
        <v>62</v>
      </c>
      <c r="BN3" s="1097">
        <f t="shared" si="0"/>
        <v>63</v>
      </c>
      <c r="BO3" s="1097">
        <f t="shared" si="0"/>
        <v>64</v>
      </c>
      <c r="BP3" s="1097">
        <f t="shared" si="0"/>
        <v>65</v>
      </c>
      <c r="BQ3" s="1097">
        <f t="shared" si="0"/>
        <v>66</v>
      </c>
      <c r="BR3" s="1097">
        <f t="shared" ref="BR3:DT3" si="1">BQ3+1</f>
        <v>67</v>
      </c>
      <c r="BS3" s="1097">
        <f t="shared" si="1"/>
        <v>68</v>
      </c>
      <c r="BT3" s="1097">
        <f t="shared" si="1"/>
        <v>69</v>
      </c>
      <c r="BU3" s="1097">
        <f t="shared" si="1"/>
        <v>70</v>
      </c>
      <c r="BV3" s="1097">
        <f t="shared" si="1"/>
        <v>71</v>
      </c>
      <c r="BW3" s="1097">
        <f t="shared" si="1"/>
        <v>72</v>
      </c>
      <c r="BX3" s="1097">
        <f t="shared" si="1"/>
        <v>73</v>
      </c>
      <c r="BY3" s="1097">
        <f t="shared" si="1"/>
        <v>74</v>
      </c>
      <c r="BZ3" s="1097">
        <f t="shared" si="1"/>
        <v>75</v>
      </c>
      <c r="CA3" s="1097">
        <f t="shared" si="1"/>
        <v>76</v>
      </c>
      <c r="CB3" s="1097">
        <f t="shared" si="1"/>
        <v>77</v>
      </c>
      <c r="CC3" s="1097">
        <f t="shared" si="1"/>
        <v>78</v>
      </c>
      <c r="CD3" s="1097">
        <f t="shared" si="1"/>
        <v>79</v>
      </c>
      <c r="CE3" s="1097">
        <f t="shared" si="1"/>
        <v>80</v>
      </c>
      <c r="CF3" s="1097">
        <f t="shared" si="1"/>
        <v>81</v>
      </c>
      <c r="CG3" s="1097">
        <f t="shared" si="1"/>
        <v>82</v>
      </c>
      <c r="CH3" s="1097">
        <f t="shared" si="1"/>
        <v>83</v>
      </c>
      <c r="CI3" s="1097">
        <f t="shared" si="1"/>
        <v>84</v>
      </c>
      <c r="CJ3" s="1097">
        <f t="shared" si="1"/>
        <v>85</v>
      </c>
      <c r="CK3" s="1097">
        <f t="shared" si="1"/>
        <v>86</v>
      </c>
      <c r="CL3" s="1097">
        <f t="shared" si="1"/>
        <v>87</v>
      </c>
      <c r="CM3" s="1097">
        <f t="shared" si="1"/>
        <v>88</v>
      </c>
      <c r="CN3" s="1097">
        <f t="shared" si="1"/>
        <v>89</v>
      </c>
      <c r="CO3" s="1097">
        <f t="shared" si="1"/>
        <v>90</v>
      </c>
      <c r="CP3" s="1097">
        <f t="shared" si="1"/>
        <v>91</v>
      </c>
      <c r="CQ3" s="1097">
        <f t="shared" si="1"/>
        <v>92</v>
      </c>
      <c r="CR3" s="1097">
        <f t="shared" si="1"/>
        <v>93</v>
      </c>
      <c r="CS3" s="1097">
        <f t="shared" si="1"/>
        <v>94</v>
      </c>
      <c r="CT3" s="1097">
        <f t="shared" si="1"/>
        <v>95</v>
      </c>
      <c r="CU3" s="1097">
        <f t="shared" si="1"/>
        <v>96</v>
      </c>
      <c r="CV3" s="1097">
        <f t="shared" si="1"/>
        <v>97</v>
      </c>
      <c r="CW3" s="1097">
        <f t="shared" si="1"/>
        <v>98</v>
      </c>
      <c r="CX3" s="1097">
        <f t="shared" si="1"/>
        <v>99</v>
      </c>
      <c r="CY3" s="1097">
        <f t="shared" si="1"/>
        <v>100</v>
      </c>
      <c r="CZ3" s="1097">
        <f t="shared" si="1"/>
        <v>101</v>
      </c>
      <c r="DA3" s="1097">
        <f t="shared" si="1"/>
        <v>102</v>
      </c>
      <c r="DB3" s="1097">
        <f t="shared" si="1"/>
        <v>103</v>
      </c>
      <c r="DC3" s="1097">
        <f t="shared" si="1"/>
        <v>104</v>
      </c>
      <c r="DD3" s="1097">
        <f t="shared" si="1"/>
        <v>105</v>
      </c>
      <c r="DE3" s="1097">
        <f t="shared" si="1"/>
        <v>106</v>
      </c>
      <c r="DF3" s="1097">
        <f t="shared" si="1"/>
        <v>107</v>
      </c>
      <c r="DG3" s="1097">
        <f t="shared" si="1"/>
        <v>108</v>
      </c>
      <c r="DH3" s="1097">
        <f t="shared" si="1"/>
        <v>109</v>
      </c>
      <c r="DI3" s="1097">
        <f t="shared" si="1"/>
        <v>110</v>
      </c>
      <c r="DJ3" s="1097">
        <f t="shared" si="1"/>
        <v>111</v>
      </c>
      <c r="DK3" s="1097">
        <f t="shared" si="1"/>
        <v>112</v>
      </c>
      <c r="DL3" s="1097">
        <f t="shared" si="1"/>
        <v>113</v>
      </c>
      <c r="DM3" s="1097">
        <f t="shared" si="1"/>
        <v>114</v>
      </c>
      <c r="DN3" s="1097">
        <f t="shared" si="1"/>
        <v>115</v>
      </c>
      <c r="DO3" s="1097">
        <f t="shared" si="1"/>
        <v>116</v>
      </c>
      <c r="DP3" s="1097">
        <f t="shared" si="1"/>
        <v>117</v>
      </c>
      <c r="DQ3" s="1097">
        <f t="shared" si="1"/>
        <v>118</v>
      </c>
      <c r="DR3" s="1097">
        <f t="shared" si="1"/>
        <v>119</v>
      </c>
      <c r="DS3" s="1097">
        <f t="shared" si="1"/>
        <v>120</v>
      </c>
      <c r="DT3" s="1098">
        <f t="shared" si="1"/>
        <v>121</v>
      </c>
    </row>
    <row r="4" spans="2:124" x14ac:dyDescent="0.3">
      <c r="B4" s="1023">
        <v>1</v>
      </c>
      <c r="C4" s="1099" t="s">
        <v>350</v>
      </c>
      <c r="D4" s="1095"/>
      <c r="E4" s="1095"/>
      <c r="F4" s="1095"/>
      <c r="G4" s="1095"/>
      <c r="H4" s="1095"/>
      <c r="I4" s="1095"/>
      <c r="J4" s="1095"/>
      <c r="K4" s="1095"/>
      <c r="L4" s="1095"/>
      <c r="M4" s="1095"/>
      <c r="N4" s="1095"/>
      <c r="O4" s="1095"/>
      <c r="P4" s="1095"/>
      <c r="Q4" s="1095"/>
      <c r="R4" s="1095"/>
      <c r="S4" s="1095"/>
      <c r="T4" s="1095"/>
      <c r="U4" s="1095"/>
      <c r="V4" s="1095"/>
      <c r="W4" s="1095"/>
      <c r="X4" s="1095"/>
      <c r="Y4" s="1095"/>
      <c r="Z4" s="1095"/>
      <c r="AA4" s="1095"/>
      <c r="AB4" s="1095"/>
      <c r="AC4" s="1095"/>
      <c r="AD4" s="1095"/>
      <c r="AE4" s="1095"/>
      <c r="AF4" s="1095"/>
      <c r="AG4" s="1095"/>
      <c r="AH4" s="1095"/>
      <c r="AI4" s="1095"/>
      <c r="AJ4" s="1095"/>
      <c r="AK4" s="1095"/>
      <c r="AL4" s="1095"/>
      <c r="AM4" s="1095"/>
      <c r="AN4" s="1095"/>
      <c r="AO4" s="1095"/>
      <c r="AP4" s="1095"/>
      <c r="AQ4" s="1095"/>
      <c r="AR4" s="1095"/>
      <c r="AS4" s="1095"/>
      <c r="AT4" s="1095"/>
      <c r="AU4" s="1095"/>
      <c r="AV4" s="1095"/>
      <c r="AW4" s="1095"/>
      <c r="AX4" s="1095"/>
      <c r="AY4" s="1095"/>
      <c r="AZ4" s="1095"/>
      <c r="BA4" s="1095"/>
      <c r="BB4" s="1095"/>
      <c r="BC4" s="1095"/>
      <c r="BD4" s="1095"/>
      <c r="BE4" s="1095"/>
      <c r="BF4" s="1095"/>
      <c r="BG4" s="1095"/>
      <c r="BH4" s="1095"/>
      <c r="BI4" s="1095"/>
      <c r="BJ4" s="1095"/>
      <c r="BK4" s="1095"/>
      <c r="BL4" s="1095"/>
      <c r="BM4" s="1095"/>
      <c r="BN4" s="1095"/>
      <c r="BO4" s="1095"/>
      <c r="BP4" s="1095"/>
      <c r="BQ4" s="1095"/>
      <c r="BR4" s="1095"/>
      <c r="BS4" s="1095"/>
      <c r="BT4" s="1095"/>
      <c r="BU4" s="1095"/>
      <c r="BV4" s="1095"/>
      <c r="BW4" s="1095"/>
      <c r="BX4" s="1095"/>
      <c r="BY4" s="1095"/>
      <c r="BZ4" s="1095"/>
      <c r="CA4" s="1095"/>
      <c r="CB4" s="1095"/>
      <c r="CC4" s="1095"/>
      <c r="CD4" s="1095"/>
      <c r="CE4" s="1095"/>
      <c r="CF4" s="1095"/>
      <c r="CG4" s="1095"/>
      <c r="CH4" s="1095"/>
      <c r="CI4" s="1095"/>
      <c r="CJ4" s="1095"/>
      <c r="CK4" s="1095"/>
      <c r="CL4" s="1095"/>
      <c r="CM4" s="1095"/>
      <c r="CN4" s="1095"/>
      <c r="CO4" s="1095"/>
      <c r="CP4" s="1095"/>
      <c r="CQ4" s="1095"/>
      <c r="CR4" s="1095"/>
      <c r="CS4" s="1095"/>
      <c r="CT4" s="1095"/>
      <c r="CU4" s="1095"/>
      <c r="CV4" s="1095"/>
      <c r="CW4" s="1095"/>
      <c r="CX4" s="1095"/>
      <c r="CY4" s="1095"/>
      <c r="CZ4" s="1095"/>
      <c r="DA4" s="1095"/>
      <c r="DB4" s="1095"/>
      <c r="DC4" s="1095"/>
      <c r="DD4" s="1095"/>
      <c r="DE4" s="1095"/>
      <c r="DF4" s="1095"/>
      <c r="DG4" s="1095"/>
      <c r="DH4" s="1095"/>
      <c r="DI4" s="1095"/>
      <c r="DJ4" s="1095"/>
      <c r="DK4" s="1095"/>
      <c r="DL4" s="1095"/>
      <c r="DM4" s="1095"/>
      <c r="DN4" s="1095"/>
      <c r="DO4" s="1095"/>
      <c r="DP4" s="1095"/>
      <c r="DQ4" s="1095"/>
      <c r="DR4" s="1095"/>
      <c r="DS4" s="1095"/>
      <c r="DT4" s="1100"/>
    </row>
    <row r="5" spans="2:124" x14ac:dyDescent="0.3">
      <c r="B5" s="1055" t="str">
        <f>C5&amp;$C$2&amp;$D$2</f>
        <v>USBackofficeL1</v>
      </c>
      <c r="C5" s="1101" t="s">
        <v>44</v>
      </c>
      <c r="D5" s="353">
        <v>8.8122605363984668E-2</v>
      </c>
      <c r="E5" s="353">
        <f>D5</f>
        <v>8.8122605363984668E-2</v>
      </c>
      <c r="F5" s="353">
        <f t="shared" ref="F5:BQ5" si="2">E5</f>
        <v>8.8122605363984668E-2</v>
      </c>
      <c r="G5" s="353">
        <f t="shared" si="2"/>
        <v>8.8122605363984668E-2</v>
      </c>
      <c r="H5" s="353">
        <f t="shared" si="2"/>
        <v>8.8122605363984668E-2</v>
      </c>
      <c r="I5" s="353">
        <f t="shared" si="2"/>
        <v>8.8122605363984668E-2</v>
      </c>
      <c r="J5" s="353">
        <f t="shared" si="2"/>
        <v>8.8122605363984668E-2</v>
      </c>
      <c r="K5" s="353">
        <f t="shared" si="2"/>
        <v>8.8122605363984668E-2</v>
      </c>
      <c r="L5" s="353">
        <f t="shared" si="2"/>
        <v>8.8122605363984668E-2</v>
      </c>
      <c r="M5" s="353">
        <f t="shared" si="2"/>
        <v>8.8122605363984668E-2</v>
      </c>
      <c r="N5" s="353">
        <f t="shared" si="2"/>
        <v>8.8122605363984668E-2</v>
      </c>
      <c r="O5" s="353">
        <f t="shared" si="2"/>
        <v>8.8122605363984668E-2</v>
      </c>
      <c r="P5" s="353">
        <f t="shared" si="2"/>
        <v>8.8122605363984668E-2</v>
      </c>
      <c r="Q5" s="353">
        <f t="shared" si="2"/>
        <v>8.8122605363984668E-2</v>
      </c>
      <c r="R5" s="353">
        <f t="shared" si="2"/>
        <v>8.8122605363984668E-2</v>
      </c>
      <c r="S5" s="353">
        <f t="shared" si="2"/>
        <v>8.8122605363984668E-2</v>
      </c>
      <c r="T5" s="353">
        <f t="shared" si="2"/>
        <v>8.8122605363984668E-2</v>
      </c>
      <c r="U5" s="353">
        <f t="shared" si="2"/>
        <v>8.8122605363984668E-2</v>
      </c>
      <c r="V5" s="353">
        <f t="shared" si="2"/>
        <v>8.8122605363984668E-2</v>
      </c>
      <c r="W5" s="353">
        <f t="shared" si="2"/>
        <v>8.8122605363984668E-2</v>
      </c>
      <c r="X5" s="353">
        <f t="shared" si="2"/>
        <v>8.8122605363984668E-2</v>
      </c>
      <c r="Y5" s="353">
        <f t="shared" si="2"/>
        <v>8.8122605363984668E-2</v>
      </c>
      <c r="Z5" s="353">
        <f t="shared" si="2"/>
        <v>8.8122605363984668E-2</v>
      </c>
      <c r="AA5" s="353">
        <f t="shared" si="2"/>
        <v>8.8122605363984668E-2</v>
      </c>
      <c r="AB5" s="353">
        <f t="shared" si="2"/>
        <v>8.8122605363984668E-2</v>
      </c>
      <c r="AC5" s="353">
        <f t="shared" si="2"/>
        <v>8.8122605363984668E-2</v>
      </c>
      <c r="AD5" s="353">
        <f t="shared" si="2"/>
        <v>8.8122605363984668E-2</v>
      </c>
      <c r="AE5" s="353">
        <f t="shared" si="2"/>
        <v>8.8122605363984668E-2</v>
      </c>
      <c r="AF5" s="353">
        <f t="shared" si="2"/>
        <v>8.8122605363984668E-2</v>
      </c>
      <c r="AG5" s="353">
        <f t="shared" si="2"/>
        <v>8.8122605363984668E-2</v>
      </c>
      <c r="AH5" s="353">
        <f t="shared" si="2"/>
        <v>8.8122605363984668E-2</v>
      </c>
      <c r="AI5" s="353">
        <f t="shared" si="2"/>
        <v>8.8122605363984668E-2</v>
      </c>
      <c r="AJ5" s="353">
        <f t="shared" si="2"/>
        <v>8.8122605363984668E-2</v>
      </c>
      <c r="AK5" s="353">
        <f t="shared" si="2"/>
        <v>8.8122605363984668E-2</v>
      </c>
      <c r="AL5" s="353">
        <f t="shared" si="2"/>
        <v>8.8122605363984668E-2</v>
      </c>
      <c r="AM5" s="353">
        <f t="shared" si="2"/>
        <v>8.8122605363984668E-2</v>
      </c>
      <c r="AN5" s="353">
        <f t="shared" si="2"/>
        <v>8.8122605363984668E-2</v>
      </c>
      <c r="AO5" s="353">
        <f t="shared" si="2"/>
        <v>8.8122605363984668E-2</v>
      </c>
      <c r="AP5" s="353">
        <f t="shared" si="2"/>
        <v>8.8122605363984668E-2</v>
      </c>
      <c r="AQ5" s="353">
        <f t="shared" si="2"/>
        <v>8.8122605363984668E-2</v>
      </c>
      <c r="AR5" s="353">
        <f t="shared" si="2"/>
        <v>8.8122605363984668E-2</v>
      </c>
      <c r="AS5" s="353">
        <f t="shared" si="2"/>
        <v>8.8122605363984668E-2</v>
      </c>
      <c r="AT5" s="353">
        <f t="shared" si="2"/>
        <v>8.8122605363984668E-2</v>
      </c>
      <c r="AU5" s="353">
        <f t="shared" si="2"/>
        <v>8.8122605363984668E-2</v>
      </c>
      <c r="AV5" s="353">
        <f t="shared" si="2"/>
        <v>8.8122605363984668E-2</v>
      </c>
      <c r="AW5" s="353">
        <f t="shared" si="2"/>
        <v>8.8122605363984668E-2</v>
      </c>
      <c r="AX5" s="353">
        <f t="shared" si="2"/>
        <v>8.8122605363984668E-2</v>
      </c>
      <c r="AY5" s="353">
        <f t="shared" si="2"/>
        <v>8.8122605363984668E-2</v>
      </c>
      <c r="AZ5" s="353">
        <f t="shared" si="2"/>
        <v>8.8122605363984668E-2</v>
      </c>
      <c r="BA5" s="353">
        <f t="shared" si="2"/>
        <v>8.8122605363984668E-2</v>
      </c>
      <c r="BB5" s="353">
        <f t="shared" si="2"/>
        <v>8.8122605363984668E-2</v>
      </c>
      <c r="BC5" s="353">
        <f t="shared" si="2"/>
        <v>8.8122605363984668E-2</v>
      </c>
      <c r="BD5" s="353">
        <f t="shared" si="2"/>
        <v>8.8122605363984668E-2</v>
      </c>
      <c r="BE5" s="353">
        <f t="shared" si="2"/>
        <v>8.8122605363984668E-2</v>
      </c>
      <c r="BF5" s="353">
        <f t="shared" si="2"/>
        <v>8.8122605363984668E-2</v>
      </c>
      <c r="BG5" s="353">
        <f t="shared" si="2"/>
        <v>8.8122605363984668E-2</v>
      </c>
      <c r="BH5" s="353">
        <f t="shared" si="2"/>
        <v>8.8122605363984668E-2</v>
      </c>
      <c r="BI5" s="353">
        <f t="shared" si="2"/>
        <v>8.8122605363984668E-2</v>
      </c>
      <c r="BJ5" s="353">
        <f t="shared" si="2"/>
        <v>8.8122605363984668E-2</v>
      </c>
      <c r="BK5" s="353">
        <f t="shared" si="2"/>
        <v>8.8122605363984668E-2</v>
      </c>
      <c r="BL5" s="353">
        <f t="shared" si="2"/>
        <v>8.8122605363984668E-2</v>
      </c>
      <c r="BM5" s="353">
        <f t="shared" si="2"/>
        <v>8.8122605363984668E-2</v>
      </c>
      <c r="BN5" s="353">
        <f t="shared" si="2"/>
        <v>8.8122605363984668E-2</v>
      </c>
      <c r="BO5" s="353">
        <f t="shared" si="2"/>
        <v>8.8122605363984668E-2</v>
      </c>
      <c r="BP5" s="353">
        <f t="shared" si="2"/>
        <v>8.8122605363984668E-2</v>
      </c>
      <c r="BQ5" s="353">
        <f t="shared" si="2"/>
        <v>8.8122605363984668E-2</v>
      </c>
      <c r="BR5" s="353">
        <f t="shared" ref="BR5:DT5" si="3">BQ5</f>
        <v>8.8122605363984668E-2</v>
      </c>
      <c r="BS5" s="353">
        <f t="shared" si="3"/>
        <v>8.8122605363984668E-2</v>
      </c>
      <c r="BT5" s="353">
        <f t="shared" si="3"/>
        <v>8.8122605363984668E-2</v>
      </c>
      <c r="BU5" s="353">
        <f t="shared" si="3"/>
        <v>8.8122605363984668E-2</v>
      </c>
      <c r="BV5" s="353">
        <f t="shared" si="3"/>
        <v>8.8122605363984668E-2</v>
      </c>
      <c r="BW5" s="353">
        <f t="shared" si="3"/>
        <v>8.8122605363984668E-2</v>
      </c>
      <c r="BX5" s="353">
        <f t="shared" si="3"/>
        <v>8.8122605363984668E-2</v>
      </c>
      <c r="BY5" s="353">
        <f t="shared" si="3"/>
        <v>8.8122605363984668E-2</v>
      </c>
      <c r="BZ5" s="353">
        <f t="shared" si="3"/>
        <v>8.8122605363984668E-2</v>
      </c>
      <c r="CA5" s="353">
        <f t="shared" si="3"/>
        <v>8.8122605363984668E-2</v>
      </c>
      <c r="CB5" s="353">
        <f t="shared" si="3"/>
        <v>8.8122605363984668E-2</v>
      </c>
      <c r="CC5" s="353">
        <f t="shared" si="3"/>
        <v>8.8122605363984668E-2</v>
      </c>
      <c r="CD5" s="353">
        <f t="shared" si="3"/>
        <v>8.8122605363984668E-2</v>
      </c>
      <c r="CE5" s="353">
        <f t="shared" si="3"/>
        <v>8.8122605363984668E-2</v>
      </c>
      <c r="CF5" s="353">
        <f t="shared" si="3"/>
        <v>8.8122605363984668E-2</v>
      </c>
      <c r="CG5" s="353">
        <f t="shared" si="3"/>
        <v>8.8122605363984668E-2</v>
      </c>
      <c r="CH5" s="353">
        <f t="shared" si="3"/>
        <v>8.8122605363984668E-2</v>
      </c>
      <c r="CI5" s="353">
        <f t="shared" si="3"/>
        <v>8.8122605363984668E-2</v>
      </c>
      <c r="CJ5" s="353">
        <f t="shared" si="3"/>
        <v>8.8122605363984668E-2</v>
      </c>
      <c r="CK5" s="353">
        <f t="shared" si="3"/>
        <v>8.8122605363984668E-2</v>
      </c>
      <c r="CL5" s="353">
        <f t="shared" si="3"/>
        <v>8.8122605363984668E-2</v>
      </c>
      <c r="CM5" s="353">
        <f t="shared" si="3"/>
        <v>8.8122605363984668E-2</v>
      </c>
      <c r="CN5" s="353">
        <f t="shared" si="3"/>
        <v>8.8122605363984668E-2</v>
      </c>
      <c r="CO5" s="353">
        <f t="shared" si="3"/>
        <v>8.8122605363984668E-2</v>
      </c>
      <c r="CP5" s="353">
        <f t="shared" si="3"/>
        <v>8.8122605363984668E-2</v>
      </c>
      <c r="CQ5" s="353">
        <f t="shared" si="3"/>
        <v>8.8122605363984668E-2</v>
      </c>
      <c r="CR5" s="353">
        <f t="shared" si="3"/>
        <v>8.8122605363984668E-2</v>
      </c>
      <c r="CS5" s="353">
        <f t="shared" si="3"/>
        <v>8.8122605363984668E-2</v>
      </c>
      <c r="CT5" s="353">
        <f t="shared" si="3"/>
        <v>8.8122605363984668E-2</v>
      </c>
      <c r="CU5" s="353">
        <f t="shared" si="3"/>
        <v>8.8122605363984668E-2</v>
      </c>
      <c r="CV5" s="353">
        <f t="shared" si="3"/>
        <v>8.8122605363984668E-2</v>
      </c>
      <c r="CW5" s="353">
        <f t="shared" si="3"/>
        <v>8.8122605363984668E-2</v>
      </c>
      <c r="CX5" s="353">
        <f t="shared" si="3"/>
        <v>8.8122605363984668E-2</v>
      </c>
      <c r="CY5" s="353">
        <f t="shared" si="3"/>
        <v>8.8122605363984668E-2</v>
      </c>
      <c r="CZ5" s="353">
        <f t="shared" si="3"/>
        <v>8.8122605363984668E-2</v>
      </c>
      <c r="DA5" s="353">
        <f t="shared" si="3"/>
        <v>8.8122605363984668E-2</v>
      </c>
      <c r="DB5" s="353">
        <f t="shared" si="3"/>
        <v>8.8122605363984668E-2</v>
      </c>
      <c r="DC5" s="353">
        <f t="shared" si="3"/>
        <v>8.8122605363984668E-2</v>
      </c>
      <c r="DD5" s="353">
        <f t="shared" si="3"/>
        <v>8.8122605363984668E-2</v>
      </c>
      <c r="DE5" s="353">
        <f t="shared" si="3"/>
        <v>8.8122605363984668E-2</v>
      </c>
      <c r="DF5" s="353">
        <f t="shared" si="3"/>
        <v>8.8122605363984668E-2</v>
      </c>
      <c r="DG5" s="353">
        <f t="shared" si="3"/>
        <v>8.8122605363984668E-2</v>
      </c>
      <c r="DH5" s="353">
        <f t="shared" si="3"/>
        <v>8.8122605363984668E-2</v>
      </c>
      <c r="DI5" s="353">
        <f t="shared" si="3"/>
        <v>8.8122605363984668E-2</v>
      </c>
      <c r="DJ5" s="353">
        <f t="shared" si="3"/>
        <v>8.8122605363984668E-2</v>
      </c>
      <c r="DK5" s="353">
        <f t="shared" si="3"/>
        <v>8.8122605363984668E-2</v>
      </c>
      <c r="DL5" s="353">
        <f t="shared" si="3"/>
        <v>8.8122605363984668E-2</v>
      </c>
      <c r="DM5" s="353">
        <f t="shared" si="3"/>
        <v>8.8122605363984668E-2</v>
      </c>
      <c r="DN5" s="353">
        <f t="shared" si="3"/>
        <v>8.8122605363984668E-2</v>
      </c>
      <c r="DO5" s="353">
        <f t="shared" si="3"/>
        <v>8.8122605363984668E-2</v>
      </c>
      <c r="DP5" s="353">
        <f t="shared" si="3"/>
        <v>8.8122605363984668E-2</v>
      </c>
      <c r="DQ5" s="353">
        <f t="shared" si="3"/>
        <v>8.8122605363984668E-2</v>
      </c>
      <c r="DR5" s="353">
        <f t="shared" si="3"/>
        <v>8.8122605363984668E-2</v>
      </c>
      <c r="DS5" s="353">
        <f t="shared" si="3"/>
        <v>8.8122605363984668E-2</v>
      </c>
      <c r="DT5" s="353">
        <f t="shared" si="3"/>
        <v>8.8122605363984668E-2</v>
      </c>
    </row>
    <row r="6" spans="2:124" x14ac:dyDescent="0.3">
      <c r="B6" s="1055" t="str">
        <f t="shared" ref="B6:B13" si="4">C6&amp;$C$2&amp;$D$2</f>
        <v>UKBackofficeL1</v>
      </c>
      <c r="C6" s="1101" t="s">
        <v>29</v>
      </c>
      <c r="D6" s="353">
        <v>0.1111111111111111</v>
      </c>
      <c r="E6" s="353">
        <f t="shared" ref="E6:E13" si="5">D6</f>
        <v>0.1111111111111111</v>
      </c>
      <c r="F6" s="353">
        <f t="shared" ref="F6:BQ6" si="6">E6</f>
        <v>0.1111111111111111</v>
      </c>
      <c r="G6" s="353">
        <f t="shared" si="6"/>
        <v>0.1111111111111111</v>
      </c>
      <c r="H6" s="353">
        <f t="shared" si="6"/>
        <v>0.1111111111111111</v>
      </c>
      <c r="I6" s="353">
        <f t="shared" si="6"/>
        <v>0.1111111111111111</v>
      </c>
      <c r="J6" s="353">
        <f t="shared" si="6"/>
        <v>0.1111111111111111</v>
      </c>
      <c r="K6" s="353">
        <f t="shared" si="6"/>
        <v>0.1111111111111111</v>
      </c>
      <c r="L6" s="353">
        <f t="shared" si="6"/>
        <v>0.1111111111111111</v>
      </c>
      <c r="M6" s="353">
        <f t="shared" si="6"/>
        <v>0.1111111111111111</v>
      </c>
      <c r="N6" s="353">
        <f t="shared" si="6"/>
        <v>0.1111111111111111</v>
      </c>
      <c r="O6" s="353">
        <f t="shared" si="6"/>
        <v>0.1111111111111111</v>
      </c>
      <c r="P6" s="353">
        <f t="shared" si="6"/>
        <v>0.1111111111111111</v>
      </c>
      <c r="Q6" s="353">
        <f t="shared" si="6"/>
        <v>0.1111111111111111</v>
      </c>
      <c r="R6" s="353">
        <f t="shared" si="6"/>
        <v>0.1111111111111111</v>
      </c>
      <c r="S6" s="353">
        <f t="shared" si="6"/>
        <v>0.1111111111111111</v>
      </c>
      <c r="T6" s="353">
        <f t="shared" si="6"/>
        <v>0.1111111111111111</v>
      </c>
      <c r="U6" s="353">
        <f t="shared" si="6"/>
        <v>0.1111111111111111</v>
      </c>
      <c r="V6" s="353">
        <f t="shared" si="6"/>
        <v>0.1111111111111111</v>
      </c>
      <c r="W6" s="353">
        <f t="shared" si="6"/>
        <v>0.1111111111111111</v>
      </c>
      <c r="X6" s="353">
        <f t="shared" si="6"/>
        <v>0.1111111111111111</v>
      </c>
      <c r="Y6" s="353">
        <f t="shared" si="6"/>
        <v>0.1111111111111111</v>
      </c>
      <c r="Z6" s="353">
        <f t="shared" si="6"/>
        <v>0.1111111111111111</v>
      </c>
      <c r="AA6" s="353">
        <f t="shared" si="6"/>
        <v>0.1111111111111111</v>
      </c>
      <c r="AB6" s="353">
        <f t="shared" si="6"/>
        <v>0.1111111111111111</v>
      </c>
      <c r="AC6" s="353">
        <f t="shared" si="6"/>
        <v>0.1111111111111111</v>
      </c>
      <c r="AD6" s="353">
        <f t="shared" si="6"/>
        <v>0.1111111111111111</v>
      </c>
      <c r="AE6" s="353">
        <f t="shared" si="6"/>
        <v>0.1111111111111111</v>
      </c>
      <c r="AF6" s="353">
        <f t="shared" si="6"/>
        <v>0.1111111111111111</v>
      </c>
      <c r="AG6" s="353">
        <f t="shared" si="6"/>
        <v>0.1111111111111111</v>
      </c>
      <c r="AH6" s="353">
        <f t="shared" si="6"/>
        <v>0.1111111111111111</v>
      </c>
      <c r="AI6" s="353">
        <f t="shared" si="6"/>
        <v>0.1111111111111111</v>
      </c>
      <c r="AJ6" s="353">
        <f t="shared" si="6"/>
        <v>0.1111111111111111</v>
      </c>
      <c r="AK6" s="353">
        <f t="shared" si="6"/>
        <v>0.1111111111111111</v>
      </c>
      <c r="AL6" s="353">
        <f t="shared" si="6"/>
        <v>0.1111111111111111</v>
      </c>
      <c r="AM6" s="353">
        <f t="shared" si="6"/>
        <v>0.1111111111111111</v>
      </c>
      <c r="AN6" s="353">
        <f t="shared" si="6"/>
        <v>0.1111111111111111</v>
      </c>
      <c r="AO6" s="353">
        <f t="shared" si="6"/>
        <v>0.1111111111111111</v>
      </c>
      <c r="AP6" s="353">
        <f t="shared" si="6"/>
        <v>0.1111111111111111</v>
      </c>
      <c r="AQ6" s="353">
        <f t="shared" si="6"/>
        <v>0.1111111111111111</v>
      </c>
      <c r="AR6" s="353">
        <f t="shared" si="6"/>
        <v>0.1111111111111111</v>
      </c>
      <c r="AS6" s="353">
        <f t="shared" si="6"/>
        <v>0.1111111111111111</v>
      </c>
      <c r="AT6" s="353">
        <f t="shared" si="6"/>
        <v>0.1111111111111111</v>
      </c>
      <c r="AU6" s="353">
        <f t="shared" si="6"/>
        <v>0.1111111111111111</v>
      </c>
      <c r="AV6" s="353">
        <f t="shared" si="6"/>
        <v>0.1111111111111111</v>
      </c>
      <c r="AW6" s="353">
        <f t="shared" si="6"/>
        <v>0.1111111111111111</v>
      </c>
      <c r="AX6" s="353">
        <f t="shared" si="6"/>
        <v>0.1111111111111111</v>
      </c>
      <c r="AY6" s="353">
        <f t="shared" si="6"/>
        <v>0.1111111111111111</v>
      </c>
      <c r="AZ6" s="353">
        <f t="shared" si="6"/>
        <v>0.1111111111111111</v>
      </c>
      <c r="BA6" s="353">
        <f t="shared" si="6"/>
        <v>0.1111111111111111</v>
      </c>
      <c r="BB6" s="353">
        <f t="shared" si="6"/>
        <v>0.1111111111111111</v>
      </c>
      <c r="BC6" s="353">
        <f t="shared" si="6"/>
        <v>0.1111111111111111</v>
      </c>
      <c r="BD6" s="353">
        <f t="shared" si="6"/>
        <v>0.1111111111111111</v>
      </c>
      <c r="BE6" s="353">
        <f t="shared" si="6"/>
        <v>0.1111111111111111</v>
      </c>
      <c r="BF6" s="353">
        <f t="shared" si="6"/>
        <v>0.1111111111111111</v>
      </c>
      <c r="BG6" s="353">
        <f t="shared" si="6"/>
        <v>0.1111111111111111</v>
      </c>
      <c r="BH6" s="353">
        <f t="shared" si="6"/>
        <v>0.1111111111111111</v>
      </c>
      <c r="BI6" s="353">
        <f t="shared" si="6"/>
        <v>0.1111111111111111</v>
      </c>
      <c r="BJ6" s="353">
        <f t="shared" si="6"/>
        <v>0.1111111111111111</v>
      </c>
      <c r="BK6" s="353">
        <f t="shared" si="6"/>
        <v>0.1111111111111111</v>
      </c>
      <c r="BL6" s="353">
        <f t="shared" si="6"/>
        <v>0.1111111111111111</v>
      </c>
      <c r="BM6" s="353">
        <f t="shared" si="6"/>
        <v>0.1111111111111111</v>
      </c>
      <c r="BN6" s="353">
        <f t="shared" si="6"/>
        <v>0.1111111111111111</v>
      </c>
      <c r="BO6" s="353">
        <f t="shared" si="6"/>
        <v>0.1111111111111111</v>
      </c>
      <c r="BP6" s="353">
        <f t="shared" si="6"/>
        <v>0.1111111111111111</v>
      </c>
      <c r="BQ6" s="353">
        <f t="shared" si="6"/>
        <v>0.1111111111111111</v>
      </c>
      <c r="BR6" s="353">
        <f t="shared" ref="BR6:DT6" si="7">BQ6</f>
        <v>0.1111111111111111</v>
      </c>
      <c r="BS6" s="353">
        <f t="shared" si="7"/>
        <v>0.1111111111111111</v>
      </c>
      <c r="BT6" s="353">
        <f t="shared" si="7"/>
        <v>0.1111111111111111</v>
      </c>
      <c r="BU6" s="353">
        <f t="shared" si="7"/>
        <v>0.1111111111111111</v>
      </c>
      <c r="BV6" s="353">
        <f t="shared" si="7"/>
        <v>0.1111111111111111</v>
      </c>
      <c r="BW6" s="353">
        <f t="shared" si="7"/>
        <v>0.1111111111111111</v>
      </c>
      <c r="BX6" s="353">
        <f t="shared" si="7"/>
        <v>0.1111111111111111</v>
      </c>
      <c r="BY6" s="353">
        <f t="shared" si="7"/>
        <v>0.1111111111111111</v>
      </c>
      <c r="BZ6" s="353">
        <f t="shared" si="7"/>
        <v>0.1111111111111111</v>
      </c>
      <c r="CA6" s="353">
        <f t="shared" si="7"/>
        <v>0.1111111111111111</v>
      </c>
      <c r="CB6" s="353">
        <f t="shared" si="7"/>
        <v>0.1111111111111111</v>
      </c>
      <c r="CC6" s="353">
        <f t="shared" si="7"/>
        <v>0.1111111111111111</v>
      </c>
      <c r="CD6" s="353">
        <f t="shared" si="7"/>
        <v>0.1111111111111111</v>
      </c>
      <c r="CE6" s="353">
        <f t="shared" si="7"/>
        <v>0.1111111111111111</v>
      </c>
      <c r="CF6" s="353">
        <f t="shared" si="7"/>
        <v>0.1111111111111111</v>
      </c>
      <c r="CG6" s="353">
        <f t="shared" si="7"/>
        <v>0.1111111111111111</v>
      </c>
      <c r="CH6" s="353">
        <f t="shared" si="7"/>
        <v>0.1111111111111111</v>
      </c>
      <c r="CI6" s="353">
        <f t="shared" si="7"/>
        <v>0.1111111111111111</v>
      </c>
      <c r="CJ6" s="353">
        <f t="shared" si="7"/>
        <v>0.1111111111111111</v>
      </c>
      <c r="CK6" s="353">
        <f t="shared" si="7"/>
        <v>0.1111111111111111</v>
      </c>
      <c r="CL6" s="353">
        <f t="shared" si="7"/>
        <v>0.1111111111111111</v>
      </c>
      <c r="CM6" s="353">
        <f t="shared" si="7"/>
        <v>0.1111111111111111</v>
      </c>
      <c r="CN6" s="353">
        <f t="shared" si="7"/>
        <v>0.1111111111111111</v>
      </c>
      <c r="CO6" s="353">
        <f t="shared" si="7"/>
        <v>0.1111111111111111</v>
      </c>
      <c r="CP6" s="353">
        <f t="shared" si="7"/>
        <v>0.1111111111111111</v>
      </c>
      <c r="CQ6" s="353">
        <f t="shared" si="7"/>
        <v>0.1111111111111111</v>
      </c>
      <c r="CR6" s="353">
        <f t="shared" si="7"/>
        <v>0.1111111111111111</v>
      </c>
      <c r="CS6" s="353">
        <f t="shared" si="7"/>
        <v>0.1111111111111111</v>
      </c>
      <c r="CT6" s="353">
        <f t="shared" si="7"/>
        <v>0.1111111111111111</v>
      </c>
      <c r="CU6" s="353">
        <f t="shared" si="7"/>
        <v>0.1111111111111111</v>
      </c>
      <c r="CV6" s="353">
        <f t="shared" si="7"/>
        <v>0.1111111111111111</v>
      </c>
      <c r="CW6" s="353">
        <f t="shared" si="7"/>
        <v>0.1111111111111111</v>
      </c>
      <c r="CX6" s="353">
        <f t="shared" si="7"/>
        <v>0.1111111111111111</v>
      </c>
      <c r="CY6" s="353">
        <f t="shared" si="7"/>
        <v>0.1111111111111111</v>
      </c>
      <c r="CZ6" s="353">
        <f t="shared" si="7"/>
        <v>0.1111111111111111</v>
      </c>
      <c r="DA6" s="353">
        <f t="shared" si="7"/>
        <v>0.1111111111111111</v>
      </c>
      <c r="DB6" s="353">
        <f t="shared" si="7"/>
        <v>0.1111111111111111</v>
      </c>
      <c r="DC6" s="353">
        <f t="shared" si="7"/>
        <v>0.1111111111111111</v>
      </c>
      <c r="DD6" s="353">
        <f t="shared" si="7"/>
        <v>0.1111111111111111</v>
      </c>
      <c r="DE6" s="353">
        <f t="shared" si="7"/>
        <v>0.1111111111111111</v>
      </c>
      <c r="DF6" s="353">
        <f t="shared" si="7"/>
        <v>0.1111111111111111</v>
      </c>
      <c r="DG6" s="353">
        <f t="shared" si="7"/>
        <v>0.1111111111111111</v>
      </c>
      <c r="DH6" s="353">
        <f t="shared" si="7"/>
        <v>0.1111111111111111</v>
      </c>
      <c r="DI6" s="353">
        <f t="shared" si="7"/>
        <v>0.1111111111111111</v>
      </c>
      <c r="DJ6" s="353">
        <f t="shared" si="7"/>
        <v>0.1111111111111111</v>
      </c>
      <c r="DK6" s="353">
        <f t="shared" si="7"/>
        <v>0.1111111111111111</v>
      </c>
      <c r="DL6" s="353">
        <f t="shared" si="7"/>
        <v>0.1111111111111111</v>
      </c>
      <c r="DM6" s="353">
        <f t="shared" si="7"/>
        <v>0.1111111111111111</v>
      </c>
      <c r="DN6" s="353">
        <f t="shared" si="7"/>
        <v>0.1111111111111111</v>
      </c>
      <c r="DO6" s="353">
        <f t="shared" si="7"/>
        <v>0.1111111111111111</v>
      </c>
      <c r="DP6" s="353">
        <f t="shared" si="7"/>
        <v>0.1111111111111111</v>
      </c>
      <c r="DQ6" s="353">
        <f t="shared" si="7"/>
        <v>0.1111111111111111</v>
      </c>
      <c r="DR6" s="353">
        <f t="shared" si="7"/>
        <v>0.1111111111111111</v>
      </c>
      <c r="DS6" s="353">
        <f t="shared" si="7"/>
        <v>0.1111111111111111</v>
      </c>
      <c r="DT6" s="353">
        <f t="shared" si="7"/>
        <v>0.1111111111111111</v>
      </c>
    </row>
    <row r="7" spans="2:124" x14ac:dyDescent="0.3">
      <c r="B7" s="1055" t="str">
        <f t="shared" si="4"/>
        <v>MexicoBackofficeL1</v>
      </c>
      <c r="C7" s="1101" t="s">
        <v>74</v>
      </c>
      <c r="D7" s="353">
        <v>3.4482758620689655E-2</v>
      </c>
      <c r="E7" s="353">
        <f t="shared" si="5"/>
        <v>3.4482758620689655E-2</v>
      </c>
      <c r="F7" s="353">
        <f t="shared" ref="F7:BQ7" si="8">E7</f>
        <v>3.4482758620689655E-2</v>
      </c>
      <c r="G7" s="353">
        <f t="shared" si="8"/>
        <v>3.4482758620689655E-2</v>
      </c>
      <c r="H7" s="353">
        <f t="shared" si="8"/>
        <v>3.4482758620689655E-2</v>
      </c>
      <c r="I7" s="353">
        <f t="shared" si="8"/>
        <v>3.4482758620689655E-2</v>
      </c>
      <c r="J7" s="353">
        <f t="shared" si="8"/>
        <v>3.4482758620689655E-2</v>
      </c>
      <c r="K7" s="353">
        <f t="shared" si="8"/>
        <v>3.4482758620689655E-2</v>
      </c>
      <c r="L7" s="353">
        <f t="shared" si="8"/>
        <v>3.4482758620689655E-2</v>
      </c>
      <c r="M7" s="353">
        <f t="shared" si="8"/>
        <v>3.4482758620689655E-2</v>
      </c>
      <c r="N7" s="353">
        <f t="shared" si="8"/>
        <v>3.4482758620689655E-2</v>
      </c>
      <c r="O7" s="353">
        <f t="shared" si="8"/>
        <v>3.4482758620689655E-2</v>
      </c>
      <c r="P7" s="1468">
        <v>8.0500000000000002E-2</v>
      </c>
      <c r="Q7" s="353">
        <f t="shared" si="8"/>
        <v>8.0500000000000002E-2</v>
      </c>
      <c r="R7" s="353">
        <f t="shared" si="8"/>
        <v>8.0500000000000002E-2</v>
      </c>
      <c r="S7" s="353">
        <f t="shared" si="8"/>
        <v>8.0500000000000002E-2</v>
      </c>
      <c r="T7" s="353">
        <f t="shared" si="8"/>
        <v>8.0500000000000002E-2</v>
      </c>
      <c r="U7" s="353">
        <f t="shared" si="8"/>
        <v>8.0500000000000002E-2</v>
      </c>
      <c r="V7" s="353">
        <f t="shared" si="8"/>
        <v>8.0500000000000002E-2</v>
      </c>
      <c r="W7" s="353">
        <f t="shared" si="8"/>
        <v>8.0500000000000002E-2</v>
      </c>
      <c r="X7" s="353">
        <f t="shared" si="8"/>
        <v>8.0500000000000002E-2</v>
      </c>
      <c r="Y7" s="353">
        <f t="shared" si="8"/>
        <v>8.0500000000000002E-2</v>
      </c>
      <c r="Z7" s="353">
        <f t="shared" si="8"/>
        <v>8.0500000000000002E-2</v>
      </c>
      <c r="AA7" s="353">
        <f t="shared" si="8"/>
        <v>8.0500000000000002E-2</v>
      </c>
      <c r="AB7" s="1468">
        <v>8.8099999999999998E-2</v>
      </c>
      <c r="AC7" s="353">
        <f t="shared" si="8"/>
        <v>8.8099999999999998E-2</v>
      </c>
      <c r="AD7" s="353">
        <f t="shared" si="8"/>
        <v>8.8099999999999998E-2</v>
      </c>
      <c r="AE7" s="353">
        <f t="shared" si="8"/>
        <v>8.8099999999999998E-2</v>
      </c>
      <c r="AF7" s="353">
        <f t="shared" si="8"/>
        <v>8.8099999999999998E-2</v>
      </c>
      <c r="AG7" s="353">
        <f t="shared" si="8"/>
        <v>8.8099999999999998E-2</v>
      </c>
      <c r="AH7" s="353">
        <f t="shared" si="8"/>
        <v>8.8099999999999998E-2</v>
      </c>
      <c r="AI7" s="353">
        <f t="shared" si="8"/>
        <v>8.8099999999999998E-2</v>
      </c>
      <c r="AJ7" s="353">
        <f t="shared" si="8"/>
        <v>8.8099999999999998E-2</v>
      </c>
      <c r="AK7" s="353">
        <f t="shared" si="8"/>
        <v>8.8099999999999998E-2</v>
      </c>
      <c r="AL7" s="353">
        <f t="shared" si="8"/>
        <v>8.8099999999999998E-2</v>
      </c>
      <c r="AM7" s="353">
        <f t="shared" si="8"/>
        <v>8.8099999999999998E-2</v>
      </c>
      <c r="AN7" s="1468">
        <v>9.5799999999999996E-2</v>
      </c>
      <c r="AO7" s="353">
        <f t="shared" si="8"/>
        <v>9.5799999999999996E-2</v>
      </c>
      <c r="AP7" s="353">
        <f t="shared" si="8"/>
        <v>9.5799999999999996E-2</v>
      </c>
      <c r="AQ7" s="353">
        <f t="shared" si="8"/>
        <v>9.5799999999999996E-2</v>
      </c>
      <c r="AR7" s="353">
        <f t="shared" si="8"/>
        <v>9.5799999999999996E-2</v>
      </c>
      <c r="AS7" s="353">
        <f t="shared" si="8"/>
        <v>9.5799999999999996E-2</v>
      </c>
      <c r="AT7" s="353">
        <f t="shared" si="8"/>
        <v>9.5799999999999996E-2</v>
      </c>
      <c r="AU7" s="353">
        <f t="shared" si="8"/>
        <v>9.5799999999999996E-2</v>
      </c>
      <c r="AV7" s="353">
        <f t="shared" si="8"/>
        <v>9.5799999999999996E-2</v>
      </c>
      <c r="AW7" s="353">
        <f t="shared" si="8"/>
        <v>9.5799999999999996E-2</v>
      </c>
      <c r="AX7" s="353">
        <f t="shared" si="8"/>
        <v>9.5799999999999996E-2</v>
      </c>
      <c r="AY7" s="353">
        <f t="shared" si="8"/>
        <v>9.5799999999999996E-2</v>
      </c>
      <c r="AZ7" s="1468">
        <v>0.10340000000000001</v>
      </c>
      <c r="BA7" s="353">
        <f t="shared" si="8"/>
        <v>0.10340000000000001</v>
      </c>
      <c r="BB7" s="353">
        <f t="shared" si="8"/>
        <v>0.10340000000000001</v>
      </c>
      <c r="BC7" s="353">
        <f t="shared" si="8"/>
        <v>0.10340000000000001</v>
      </c>
      <c r="BD7" s="353">
        <f t="shared" si="8"/>
        <v>0.10340000000000001</v>
      </c>
      <c r="BE7" s="353">
        <f t="shared" si="8"/>
        <v>0.10340000000000001</v>
      </c>
      <c r="BF7" s="353">
        <f t="shared" si="8"/>
        <v>0.10340000000000001</v>
      </c>
      <c r="BG7" s="353">
        <f t="shared" si="8"/>
        <v>0.10340000000000001</v>
      </c>
      <c r="BH7" s="353">
        <f t="shared" si="8"/>
        <v>0.10340000000000001</v>
      </c>
      <c r="BI7" s="353">
        <f t="shared" si="8"/>
        <v>0.10340000000000001</v>
      </c>
      <c r="BJ7" s="353">
        <f t="shared" si="8"/>
        <v>0.10340000000000001</v>
      </c>
      <c r="BK7" s="353">
        <f t="shared" si="8"/>
        <v>0.10340000000000001</v>
      </c>
      <c r="BL7" s="353">
        <f t="shared" si="8"/>
        <v>0.10340000000000001</v>
      </c>
      <c r="BM7" s="353">
        <f t="shared" si="8"/>
        <v>0.10340000000000001</v>
      </c>
      <c r="BN7" s="353">
        <f t="shared" si="8"/>
        <v>0.10340000000000001</v>
      </c>
      <c r="BO7" s="353">
        <f t="shared" si="8"/>
        <v>0.10340000000000001</v>
      </c>
      <c r="BP7" s="353">
        <f t="shared" si="8"/>
        <v>0.10340000000000001</v>
      </c>
      <c r="BQ7" s="353">
        <f t="shared" si="8"/>
        <v>0.10340000000000001</v>
      </c>
      <c r="BR7" s="353">
        <f t="shared" ref="BR7:DT7" si="9">BQ7</f>
        <v>0.10340000000000001</v>
      </c>
      <c r="BS7" s="353">
        <f t="shared" si="9"/>
        <v>0.10340000000000001</v>
      </c>
      <c r="BT7" s="353">
        <f t="shared" si="9"/>
        <v>0.10340000000000001</v>
      </c>
      <c r="BU7" s="353">
        <f t="shared" si="9"/>
        <v>0.10340000000000001</v>
      </c>
      <c r="BV7" s="353">
        <f t="shared" si="9"/>
        <v>0.10340000000000001</v>
      </c>
      <c r="BW7" s="353">
        <f t="shared" si="9"/>
        <v>0.10340000000000001</v>
      </c>
      <c r="BX7" s="353">
        <f t="shared" si="9"/>
        <v>0.10340000000000001</v>
      </c>
      <c r="BY7" s="353">
        <f t="shared" si="9"/>
        <v>0.10340000000000001</v>
      </c>
      <c r="BZ7" s="353">
        <f t="shared" si="9"/>
        <v>0.10340000000000001</v>
      </c>
      <c r="CA7" s="353">
        <f t="shared" si="9"/>
        <v>0.10340000000000001</v>
      </c>
      <c r="CB7" s="353">
        <f t="shared" si="9"/>
        <v>0.10340000000000001</v>
      </c>
      <c r="CC7" s="353">
        <f t="shared" si="9"/>
        <v>0.10340000000000001</v>
      </c>
      <c r="CD7" s="353">
        <f t="shared" si="9"/>
        <v>0.10340000000000001</v>
      </c>
      <c r="CE7" s="353">
        <f t="shared" si="9"/>
        <v>0.10340000000000001</v>
      </c>
      <c r="CF7" s="353">
        <f t="shared" si="9"/>
        <v>0.10340000000000001</v>
      </c>
      <c r="CG7" s="353">
        <f t="shared" si="9"/>
        <v>0.10340000000000001</v>
      </c>
      <c r="CH7" s="353">
        <f t="shared" si="9"/>
        <v>0.10340000000000001</v>
      </c>
      <c r="CI7" s="353">
        <f t="shared" si="9"/>
        <v>0.10340000000000001</v>
      </c>
      <c r="CJ7" s="353">
        <f t="shared" si="9"/>
        <v>0.10340000000000001</v>
      </c>
      <c r="CK7" s="353">
        <f t="shared" si="9"/>
        <v>0.10340000000000001</v>
      </c>
      <c r="CL7" s="353">
        <f t="shared" si="9"/>
        <v>0.10340000000000001</v>
      </c>
      <c r="CM7" s="353">
        <f t="shared" si="9"/>
        <v>0.10340000000000001</v>
      </c>
      <c r="CN7" s="353">
        <f t="shared" si="9"/>
        <v>0.10340000000000001</v>
      </c>
      <c r="CO7" s="353">
        <f t="shared" si="9"/>
        <v>0.10340000000000001</v>
      </c>
      <c r="CP7" s="353">
        <f t="shared" si="9"/>
        <v>0.10340000000000001</v>
      </c>
      <c r="CQ7" s="353">
        <f t="shared" si="9"/>
        <v>0.10340000000000001</v>
      </c>
      <c r="CR7" s="353">
        <f t="shared" si="9"/>
        <v>0.10340000000000001</v>
      </c>
      <c r="CS7" s="353">
        <f t="shared" si="9"/>
        <v>0.10340000000000001</v>
      </c>
      <c r="CT7" s="353">
        <f t="shared" si="9"/>
        <v>0.10340000000000001</v>
      </c>
      <c r="CU7" s="353">
        <f t="shared" si="9"/>
        <v>0.10340000000000001</v>
      </c>
      <c r="CV7" s="353">
        <f t="shared" si="9"/>
        <v>0.10340000000000001</v>
      </c>
      <c r="CW7" s="353">
        <f t="shared" si="9"/>
        <v>0.10340000000000001</v>
      </c>
      <c r="CX7" s="353">
        <f t="shared" si="9"/>
        <v>0.10340000000000001</v>
      </c>
      <c r="CY7" s="353">
        <f t="shared" si="9"/>
        <v>0.10340000000000001</v>
      </c>
      <c r="CZ7" s="353">
        <f t="shared" si="9"/>
        <v>0.10340000000000001</v>
      </c>
      <c r="DA7" s="353">
        <f t="shared" si="9"/>
        <v>0.10340000000000001</v>
      </c>
      <c r="DB7" s="353">
        <f t="shared" si="9"/>
        <v>0.10340000000000001</v>
      </c>
      <c r="DC7" s="353">
        <f t="shared" si="9"/>
        <v>0.10340000000000001</v>
      </c>
      <c r="DD7" s="353">
        <f t="shared" si="9"/>
        <v>0.10340000000000001</v>
      </c>
      <c r="DE7" s="353">
        <f t="shared" si="9"/>
        <v>0.10340000000000001</v>
      </c>
      <c r="DF7" s="353">
        <f t="shared" si="9"/>
        <v>0.10340000000000001</v>
      </c>
      <c r="DG7" s="353">
        <f t="shared" si="9"/>
        <v>0.10340000000000001</v>
      </c>
      <c r="DH7" s="353">
        <f t="shared" si="9"/>
        <v>0.10340000000000001</v>
      </c>
      <c r="DI7" s="353">
        <f t="shared" si="9"/>
        <v>0.10340000000000001</v>
      </c>
      <c r="DJ7" s="353">
        <f t="shared" si="9"/>
        <v>0.10340000000000001</v>
      </c>
      <c r="DK7" s="353">
        <f t="shared" si="9"/>
        <v>0.10340000000000001</v>
      </c>
      <c r="DL7" s="353">
        <f t="shared" si="9"/>
        <v>0.10340000000000001</v>
      </c>
      <c r="DM7" s="353">
        <f t="shared" si="9"/>
        <v>0.10340000000000001</v>
      </c>
      <c r="DN7" s="353">
        <f t="shared" si="9"/>
        <v>0.10340000000000001</v>
      </c>
      <c r="DO7" s="353">
        <f t="shared" si="9"/>
        <v>0.10340000000000001</v>
      </c>
      <c r="DP7" s="353">
        <f t="shared" si="9"/>
        <v>0.10340000000000001</v>
      </c>
      <c r="DQ7" s="353">
        <f t="shared" si="9"/>
        <v>0.10340000000000001</v>
      </c>
      <c r="DR7" s="353">
        <f t="shared" si="9"/>
        <v>0.10340000000000001</v>
      </c>
      <c r="DS7" s="353">
        <f t="shared" si="9"/>
        <v>0.10340000000000001</v>
      </c>
      <c r="DT7" s="353">
        <f t="shared" si="9"/>
        <v>0.10340000000000001</v>
      </c>
    </row>
    <row r="8" spans="2:124" x14ac:dyDescent="0.3">
      <c r="B8" s="1055" t="str">
        <f t="shared" si="4"/>
        <v>AustraliaBackofficeL1</v>
      </c>
      <c r="C8" s="1101" t="s">
        <v>346</v>
      </c>
      <c r="D8" s="353">
        <v>0.14942528735632185</v>
      </c>
      <c r="E8" s="353">
        <f t="shared" si="5"/>
        <v>0.14942528735632185</v>
      </c>
      <c r="F8" s="353">
        <f t="shared" ref="F8:BQ8" si="10">E8</f>
        <v>0.14942528735632185</v>
      </c>
      <c r="G8" s="353">
        <f t="shared" si="10"/>
        <v>0.14942528735632185</v>
      </c>
      <c r="H8" s="353">
        <f t="shared" si="10"/>
        <v>0.14942528735632185</v>
      </c>
      <c r="I8" s="353">
        <f t="shared" si="10"/>
        <v>0.14942528735632185</v>
      </c>
      <c r="J8" s="353">
        <f t="shared" si="10"/>
        <v>0.14942528735632185</v>
      </c>
      <c r="K8" s="353">
        <f t="shared" si="10"/>
        <v>0.14942528735632185</v>
      </c>
      <c r="L8" s="353">
        <f t="shared" si="10"/>
        <v>0.14942528735632185</v>
      </c>
      <c r="M8" s="353">
        <f t="shared" si="10"/>
        <v>0.14942528735632185</v>
      </c>
      <c r="N8" s="353">
        <f t="shared" si="10"/>
        <v>0.14942528735632185</v>
      </c>
      <c r="O8" s="353">
        <f t="shared" si="10"/>
        <v>0.14942528735632185</v>
      </c>
      <c r="P8" s="353">
        <f t="shared" si="10"/>
        <v>0.14942528735632185</v>
      </c>
      <c r="Q8" s="353">
        <f t="shared" si="10"/>
        <v>0.14942528735632185</v>
      </c>
      <c r="R8" s="353">
        <f t="shared" si="10"/>
        <v>0.14942528735632185</v>
      </c>
      <c r="S8" s="353">
        <f t="shared" si="10"/>
        <v>0.14942528735632185</v>
      </c>
      <c r="T8" s="353">
        <f t="shared" si="10"/>
        <v>0.14942528735632185</v>
      </c>
      <c r="U8" s="353">
        <f t="shared" si="10"/>
        <v>0.14942528735632185</v>
      </c>
      <c r="V8" s="353">
        <f t="shared" si="10"/>
        <v>0.14942528735632185</v>
      </c>
      <c r="W8" s="353">
        <f t="shared" si="10"/>
        <v>0.14942528735632185</v>
      </c>
      <c r="X8" s="353">
        <f t="shared" si="10"/>
        <v>0.14942528735632185</v>
      </c>
      <c r="Y8" s="353">
        <f t="shared" si="10"/>
        <v>0.14942528735632185</v>
      </c>
      <c r="Z8" s="353">
        <f t="shared" si="10"/>
        <v>0.14942528735632185</v>
      </c>
      <c r="AA8" s="353">
        <f t="shared" si="10"/>
        <v>0.14942528735632185</v>
      </c>
      <c r="AB8" s="353">
        <f t="shared" si="10"/>
        <v>0.14942528735632185</v>
      </c>
      <c r="AC8" s="353">
        <f t="shared" si="10"/>
        <v>0.14942528735632185</v>
      </c>
      <c r="AD8" s="353">
        <f t="shared" si="10"/>
        <v>0.14942528735632185</v>
      </c>
      <c r="AE8" s="353">
        <f t="shared" si="10"/>
        <v>0.14942528735632185</v>
      </c>
      <c r="AF8" s="353">
        <f t="shared" si="10"/>
        <v>0.14942528735632185</v>
      </c>
      <c r="AG8" s="353">
        <f t="shared" si="10"/>
        <v>0.14942528735632185</v>
      </c>
      <c r="AH8" s="353">
        <f t="shared" si="10"/>
        <v>0.14942528735632185</v>
      </c>
      <c r="AI8" s="353">
        <f t="shared" si="10"/>
        <v>0.14942528735632185</v>
      </c>
      <c r="AJ8" s="353">
        <f t="shared" si="10"/>
        <v>0.14942528735632185</v>
      </c>
      <c r="AK8" s="353">
        <f t="shared" si="10"/>
        <v>0.14942528735632185</v>
      </c>
      <c r="AL8" s="353">
        <f t="shared" si="10"/>
        <v>0.14942528735632185</v>
      </c>
      <c r="AM8" s="353">
        <f t="shared" si="10"/>
        <v>0.14942528735632185</v>
      </c>
      <c r="AN8" s="353">
        <f t="shared" si="10"/>
        <v>0.14942528735632185</v>
      </c>
      <c r="AO8" s="353">
        <f t="shared" si="10"/>
        <v>0.14942528735632185</v>
      </c>
      <c r="AP8" s="353">
        <f t="shared" si="10"/>
        <v>0.14942528735632185</v>
      </c>
      <c r="AQ8" s="353">
        <f t="shared" si="10"/>
        <v>0.14942528735632185</v>
      </c>
      <c r="AR8" s="353">
        <f t="shared" si="10"/>
        <v>0.14942528735632185</v>
      </c>
      <c r="AS8" s="353">
        <f t="shared" si="10"/>
        <v>0.14942528735632185</v>
      </c>
      <c r="AT8" s="353">
        <f t="shared" si="10"/>
        <v>0.14942528735632185</v>
      </c>
      <c r="AU8" s="353">
        <f t="shared" si="10"/>
        <v>0.14942528735632185</v>
      </c>
      <c r="AV8" s="353">
        <f t="shared" si="10"/>
        <v>0.14942528735632185</v>
      </c>
      <c r="AW8" s="353">
        <f t="shared" si="10"/>
        <v>0.14942528735632185</v>
      </c>
      <c r="AX8" s="353">
        <f t="shared" si="10"/>
        <v>0.14942528735632185</v>
      </c>
      <c r="AY8" s="353">
        <f t="shared" si="10"/>
        <v>0.14942528735632185</v>
      </c>
      <c r="AZ8" s="353">
        <f t="shared" si="10"/>
        <v>0.14942528735632185</v>
      </c>
      <c r="BA8" s="353">
        <f t="shared" si="10"/>
        <v>0.14942528735632185</v>
      </c>
      <c r="BB8" s="353">
        <f t="shared" si="10"/>
        <v>0.14942528735632185</v>
      </c>
      <c r="BC8" s="353">
        <f t="shared" si="10"/>
        <v>0.14942528735632185</v>
      </c>
      <c r="BD8" s="353">
        <f t="shared" si="10"/>
        <v>0.14942528735632185</v>
      </c>
      <c r="BE8" s="353">
        <f t="shared" si="10"/>
        <v>0.14942528735632185</v>
      </c>
      <c r="BF8" s="353">
        <f t="shared" si="10"/>
        <v>0.14942528735632185</v>
      </c>
      <c r="BG8" s="353">
        <f t="shared" si="10"/>
        <v>0.14942528735632185</v>
      </c>
      <c r="BH8" s="353">
        <f t="shared" si="10"/>
        <v>0.14942528735632185</v>
      </c>
      <c r="BI8" s="353">
        <f t="shared" si="10"/>
        <v>0.14942528735632185</v>
      </c>
      <c r="BJ8" s="353">
        <f t="shared" si="10"/>
        <v>0.14942528735632185</v>
      </c>
      <c r="BK8" s="353">
        <f t="shared" si="10"/>
        <v>0.14942528735632185</v>
      </c>
      <c r="BL8" s="353">
        <f t="shared" si="10"/>
        <v>0.14942528735632185</v>
      </c>
      <c r="BM8" s="353">
        <f t="shared" si="10"/>
        <v>0.14942528735632185</v>
      </c>
      <c r="BN8" s="353">
        <f t="shared" si="10"/>
        <v>0.14942528735632185</v>
      </c>
      <c r="BO8" s="353">
        <f t="shared" si="10"/>
        <v>0.14942528735632185</v>
      </c>
      <c r="BP8" s="353">
        <f t="shared" si="10"/>
        <v>0.14942528735632185</v>
      </c>
      <c r="BQ8" s="353">
        <f t="shared" si="10"/>
        <v>0.14942528735632185</v>
      </c>
      <c r="BR8" s="353">
        <f t="shared" ref="BR8:DT8" si="11">BQ8</f>
        <v>0.14942528735632185</v>
      </c>
      <c r="BS8" s="353">
        <f t="shared" si="11"/>
        <v>0.14942528735632185</v>
      </c>
      <c r="BT8" s="353">
        <f t="shared" si="11"/>
        <v>0.14942528735632185</v>
      </c>
      <c r="BU8" s="353">
        <f t="shared" si="11"/>
        <v>0.14942528735632185</v>
      </c>
      <c r="BV8" s="353">
        <f t="shared" si="11"/>
        <v>0.14942528735632185</v>
      </c>
      <c r="BW8" s="353">
        <f t="shared" si="11"/>
        <v>0.14942528735632185</v>
      </c>
      <c r="BX8" s="353">
        <f t="shared" si="11"/>
        <v>0.14942528735632185</v>
      </c>
      <c r="BY8" s="353">
        <f t="shared" si="11"/>
        <v>0.14942528735632185</v>
      </c>
      <c r="BZ8" s="353">
        <f t="shared" si="11"/>
        <v>0.14942528735632185</v>
      </c>
      <c r="CA8" s="353">
        <f t="shared" si="11"/>
        <v>0.14942528735632185</v>
      </c>
      <c r="CB8" s="353">
        <f t="shared" si="11"/>
        <v>0.14942528735632185</v>
      </c>
      <c r="CC8" s="353">
        <f t="shared" si="11"/>
        <v>0.14942528735632185</v>
      </c>
      <c r="CD8" s="353">
        <f t="shared" si="11"/>
        <v>0.14942528735632185</v>
      </c>
      <c r="CE8" s="353">
        <f t="shared" si="11"/>
        <v>0.14942528735632185</v>
      </c>
      <c r="CF8" s="353">
        <f t="shared" si="11"/>
        <v>0.14942528735632185</v>
      </c>
      <c r="CG8" s="353">
        <f t="shared" si="11"/>
        <v>0.14942528735632185</v>
      </c>
      <c r="CH8" s="353">
        <f t="shared" si="11"/>
        <v>0.14942528735632185</v>
      </c>
      <c r="CI8" s="353">
        <f t="shared" si="11"/>
        <v>0.14942528735632185</v>
      </c>
      <c r="CJ8" s="353">
        <f t="shared" si="11"/>
        <v>0.14942528735632185</v>
      </c>
      <c r="CK8" s="353">
        <f t="shared" si="11"/>
        <v>0.14942528735632185</v>
      </c>
      <c r="CL8" s="353">
        <f t="shared" si="11"/>
        <v>0.14942528735632185</v>
      </c>
      <c r="CM8" s="353">
        <f t="shared" si="11"/>
        <v>0.14942528735632185</v>
      </c>
      <c r="CN8" s="353">
        <f t="shared" si="11"/>
        <v>0.14942528735632185</v>
      </c>
      <c r="CO8" s="353">
        <f t="shared" si="11"/>
        <v>0.14942528735632185</v>
      </c>
      <c r="CP8" s="353">
        <f t="shared" si="11"/>
        <v>0.14942528735632185</v>
      </c>
      <c r="CQ8" s="353">
        <f t="shared" si="11"/>
        <v>0.14942528735632185</v>
      </c>
      <c r="CR8" s="353">
        <f t="shared" si="11"/>
        <v>0.14942528735632185</v>
      </c>
      <c r="CS8" s="353">
        <f t="shared" si="11"/>
        <v>0.14942528735632185</v>
      </c>
      <c r="CT8" s="353">
        <f t="shared" si="11"/>
        <v>0.14942528735632185</v>
      </c>
      <c r="CU8" s="353">
        <f t="shared" si="11"/>
        <v>0.14942528735632185</v>
      </c>
      <c r="CV8" s="353">
        <f t="shared" si="11"/>
        <v>0.14942528735632185</v>
      </c>
      <c r="CW8" s="353">
        <f t="shared" si="11"/>
        <v>0.14942528735632185</v>
      </c>
      <c r="CX8" s="353">
        <f t="shared" si="11"/>
        <v>0.14942528735632185</v>
      </c>
      <c r="CY8" s="353">
        <f t="shared" si="11"/>
        <v>0.14942528735632185</v>
      </c>
      <c r="CZ8" s="353">
        <f t="shared" si="11"/>
        <v>0.14942528735632185</v>
      </c>
      <c r="DA8" s="353">
        <f t="shared" si="11"/>
        <v>0.14942528735632185</v>
      </c>
      <c r="DB8" s="353">
        <f t="shared" si="11"/>
        <v>0.14942528735632185</v>
      </c>
      <c r="DC8" s="353">
        <f t="shared" si="11"/>
        <v>0.14942528735632185</v>
      </c>
      <c r="DD8" s="353">
        <f t="shared" si="11"/>
        <v>0.14942528735632185</v>
      </c>
      <c r="DE8" s="353">
        <f t="shared" si="11"/>
        <v>0.14942528735632185</v>
      </c>
      <c r="DF8" s="353">
        <f t="shared" si="11"/>
        <v>0.14942528735632185</v>
      </c>
      <c r="DG8" s="353">
        <f t="shared" si="11"/>
        <v>0.14942528735632185</v>
      </c>
      <c r="DH8" s="353">
        <f t="shared" si="11"/>
        <v>0.14942528735632185</v>
      </c>
      <c r="DI8" s="353">
        <f t="shared" si="11"/>
        <v>0.14942528735632185</v>
      </c>
      <c r="DJ8" s="353">
        <f t="shared" si="11"/>
        <v>0.14942528735632185</v>
      </c>
      <c r="DK8" s="353">
        <f t="shared" si="11"/>
        <v>0.14942528735632185</v>
      </c>
      <c r="DL8" s="353">
        <f t="shared" si="11"/>
        <v>0.14942528735632185</v>
      </c>
      <c r="DM8" s="353">
        <f t="shared" si="11"/>
        <v>0.14942528735632185</v>
      </c>
      <c r="DN8" s="353">
        <f t="shared" si="11"/>
        <v>0.14942528735632185</v>
      </c>
      <c r="DO8" s="353">
        <f t="shared" si="11"/>
        <v>0.14942528735632185</v>
      </c>
      <c r="DP8" s="353">
        <f t="shared" si="11"/>
        <v>0.14942528735632185</v>
      </c>
      <c r="DQ8" s="353">
        <f t="shared" si="11"/>
        <v>0.14942528735632185</v>
      </c>
      <c r="DR8" s="353">
        <f t="shared" si="11"/>
        <v>0.14942528735632185</v>
      </c>
      <c r="DS8" s="353">
        <f t="shared" si="11"/>
        <v>0.14942528735632185</v>
      </c>
      <c r="DT8" s="353">
        <f t="shared" si="11"/>
        <v>0.14942528735632185</v>
      </c>
    </row>
    <row r="9" spans="2:124" x14ac:dyDescent="0.3">
      <c r="B9" s="1055" t="str">
        <f t="shared" si="4"/>
        <v>Trinidad and TobagoBackofficeL1</v>
      </c>
      <c r="C9" s="1101" t="s">
        <v>597</v>
      </c>
      <c r="D9" s="353">
        <v>7.2796934865900387E-2</v>
      </c>
      <c r="E9" s="353">
        <f t="shared" si="5"/>
        <v>7.2796934865900387E-2</v>
      </c>
      <c r="F9" s="353">
        <f t="shared" ref="F9:BQ9" si="12">E9</f>
        <v>7.2796934865900387E-2</v>
      </c>
      <c r="G9" s="353">
        <f t="shared" si="12"/>
        <v>7.2796934865900387E-2</v>
      </c>
      <c r="H9" s="353">
        <f t="shared" si="12"/>
        <v>7.2796934865900387E-2</v>
      </c>
      <c r="I9" s="353">
        <f t="shared" si="12"/>
        <v>7.2796934865900387E-2</v>
      </c>
      <c r="J9" s="353">
        <f t="shared" si="12"/>
        <v>7.2796934865900387E-2</v>
      </c>
      <c r="K9" s="353">
        <f t="shared" si="12"/>
        <v>7.2796934865900387E-2</v>
      </c>
      <c r="L9" s="353">
        <f t="shared" si="12"/>
        <v>7.2796934865900387E-2</v>
      </c>
      <c r="M9" s="353">
        <f t="shared" si="12"/>
        <v>7.2796934865900387E-2</v>
      </c>
      <c r="N9" s="353">
        <f t="shared" si="12"/>
        <v>7.2796934865900387E-2</v>
      </c>
      <c r="O9" s="353">
        <f t="shared" si="12"/>
        <v>7.2796934865900387E-2</v>
      </c>
      <c r="P9" s="353">
        <f t="shared" si="12"/>
        <v>7.2796934865900387E-2</v>
      </c>
      <c r="Q9" s="353">
        <f t="shared" si="12"/>
        <v>7.2796934865900387E-2</v>
      </c>
      <c r="R9" s="353">
        <f t="shared" si="12"/>
        <v>7.2796934865900387E-2</v>
      </c>
      <c r="S9" s="353">
        <f t="shared" si="12"/>
        <v>7.2796934865900387E-2</v>
      </c>
      <c r="T9" s="353">
        <f t="shared" si="12"/>
        <v>7.2796934865900387E-2</v>
      </c>
      <c r="U9" s="353">
        <f t="shared" si="12"/>
        <v>7.2796934865900387E-2</v>
      </c>
      <c r="V9" s="353">
        <f t="shared" si="12"/>
        <v>7.2796934865900387E-2</v>
      </c>
      <c r="W9" s="353">
        <f t="shared" si="12"/>
        <v>7.2796934865900387E-2</v>
      </c>
      <c r="X9" s="353">
        <f t="shared" si="12"/>
        <v>7.2796934865900387E-2</v>
      </c>
      <c r="Y9" s="353">
        <f t="shared" si="12"/>
        <v>7.2796934865900387E-2</v>
      </c>
      <c r="Z9" s="353">
        <f t="shared" si="12"/>
        <v>7.2796934865900387E-2</v>
      </c>
      <c r="AA9" s="353">
        <f t="shared" si="12"/>
        <v>7.2796934865900387E-2</v>
      </c>
      <c r="AB9" s="353">
        <f t="shared" si="12"/>
        <v>7.2796934865900387E-2</v>
      </c>
      <c r="AC9" s="353">
        <f t="shared" si="12"/>
        <v>7.2796934865900387E-2</v>
      </c>
      <c r="AD9" s="353">
        <f t="shared" si="12"/>
        <v>7.2796934865900387E-2</v>
      </c>
      <c r="AE9" s="353">
        <f t="shared" si="12"/>
        <v>7.2796934865900387E-2</v>
      </c>
      <c r="AF9" s="353">
        <f t="shared" si="12"/>
        <v>7.2796934865900387E-2</v>
      </c>
      <c r="AG9" s="353">
        <f t="shared" si="12"/>
        <v>7.2796934865900387E-2</v>
      </c>
      <c r="AH9" s="353">
        <f t="shared" si="12"/>
        <v>7.2796934865900387E-2</v>
      </c>
      <c r="AI9" s="353">
        <f t="shared" si="12"/>
        <v>7.2796934865900387E-2</v>
      </c>
      <c r="AJ9" s="353">
        <f t="shared" si="12"/>
        <v>7.2796934865900387E-2</v>
      </c>
      <c r="AK9" s="353">
        <f t="shared" si="12"/>
        <v>7.2796934865900387E-2</v>
      </c>
      <c r="AL9" s="353">
        <f t="shared" si="12"/>
        <v>7.2796934865900387E-2</v>
      </c>
      <c r="AM9" s="353">
        <f t="shared" si="12"/>
        <v>7.2796934865900387E-2</v>
      </c>
      <c r="AN9" s="353">
        <f t="shared" si="12"/>
        <v>7.2796934865900387E-2</v>
      </c>
      <c r="AO9" s="353">
        <f t="shared" si="12"/>
        <v>7.2796934865900387E-2</v>
      </c>
      <c r="AP9" s="353">
        <f t="shared" si="12"/>
        <v>7.2796934865900387E-2</v>
      </c>
      <c r="AQ9" s="353">
        <f t="shared" si="12"/>
        <v>7.2796934865900387E-2</v>
      </c>
      <c r="AR9" s="353">
        <f t="shared" si="12"/>
        <v>7.2796934865900387E-2</v>
      </c>
      <c r="AS9" s="353">
        <f t="shared" si="12"/>
        <v>7.2796934865900387E-2</v>
      </c>
      <c r="AT9" s="353">
        <f t="shared" si="12"/>
        <v>7.2796934865900387E-2</v>
      </c>
      <c r="AU9" s="353">
        <f t="shared" si="12"/>
        <v>7.2796934865900387E-2</v>
      </c>
      <c r="AV9" s="353">
        <f t="shared" si="12"/>
        <v>7.2796934865900387E-2</v>
      </c>
      <c r="AW9" s="353">
        <f t="shared" si="12"/>
        <v>7.2796934865900387E-2</v>
      </c>
      <c r="AX9" s="353">
        <f t="shared" si="12"/>
        <v>7.2796934865900387E-2</v>
      </c>
      <c r="AY9" s="353">
        <f t="shared" si="12"/>
        <v>7.2796934865900387E-2</v>
      </c>
      <c r="AZ9" s="353">
        <f t="shared" si="12"/>
        <v>7.2796934865900387E-2</v>
      </c>
      <c r="BA9" s="353">
        <f t="shared" si="12"/>
        <v>7.2796934865900387E-2</v>
      </c>
      <c r="BB9" s="353">
        <f t="shared" si="12"/>
        <v>7.2796934865900387E-2</v>
      </c>
      <c r="BC9" s="353">
        <f t="shared" si="12"/>
        <v>7.2796934865900387E-2</v>
      </c>
      <c r="BD9" s="353">
        <f t="shared" si="12"/>
        <v>7.2796934865900387E-2</v>
      </c>
      <c r="BE9" s="353">
        <f t="shared" si="12"/>
        <v>7.2796934865900387E-2</v>
      </c>
      <c r="BF9" s="353">
        <f t="shared" si="12"/>
        <v>7.2796934865900387E-2</v>
      </c>
      <c r="BG9" s="353">
        <f t="shared" si="12"/>
        <v>7.2796934865900387E-2</v>
      </c>
      <c r="BH9" s="353">
        <f t="shared" si="12"/>
        <v>7.2796934865900387E-2</v>
      </c>
      <c r="BI9" s="353">
        <f t="shared" si="12"/>
        <v>7.2796934865900387E-2</v>
      </c>
      <c r="BJ9" s="353">
        <f t="shared" si="12"/>
        <v>7.2796934865900387E-2</v>
      </c>
      <c r="BK9" s="353">
        <f t="shared" si="12"/>
        <v>7.2796934865900387E-2</v>
      </c>
      <c r="BL9" s="353">
        <f t="shared" si="12"/>
        <v>7.2796934865900387E-2</v>
      </c>
      <c r="BM9" s="353">
        <f t="shared" si="12"/>
        <v>7.2796934865900387E-2</v>
      </c>
      <c r="BN9" s="353">
        <f t="shared" si="12"/>
        <v>7.2796934865900387E-2</v>
      </c>
      <c r="BO9" s="353">
        <f t="shared" si="12"/>
        <v>7.2796934865900387E-2</v>
      </c>
      <c r="BP9" s="353">
        <f t="shared" si="12"/>
        <v>7.2796934865900387E-2</v>
      </c>
      <c r="BQ9" s="353">
        <f t="shared" si="12"/>
        <v>7.2796934865900387E-2</v>
      </c>
      <c r="BR9" s="353">
        <f t="shared" ref="BR9:DT9" si="13">BQ9</f>
        <v>7.2796934865900387E-2</v>
      </c>
      <c r="BS9" s="353">
        <f t="shared" si="13"/>
        <v>7.2796934865900387E-2</v>
      </c>
      <c r="BT9" s="353">
        <f t="shared" si="13"/>
        <v>7.2796934865900387E-2</v>
      </c>
      <c r="BU9" s="353">
        <f t="shared" si="13"/>
        <v>7.2796934865900387E-2</v>
      </c>
      <c r="BV9" s="353">
        <f t="shared" si="13"/>
        <v>7.2796934865900387E-2</v>
      </c>
      <c r="BW9" s="353">
        <f t="shared" si="13"/>
        <v>7.2796934865900387E-2</v>
      </c>
      <c r="BX9" s="353">
        <f t="shared" si="13"/>
        <v>7.2796934865900387E-2</v>
      </c>
      <c r="BY9" s="353">
        <f t="shared" si="13"/>
        <v>7.2796934865900387E-2</v>
      </c>
      <c r="BZ9" s="353">
        <f t="shared" si="13"/>
        <v>7.2796934865900387E-2</v>
      </c>
      <c r="CA9" s="353">
        <f t="shared" si="13"/>
        <v>7.2796934865900387E-2</v>
      </c>
      <c r="CB9" s="353">
        <f t="shared" si="13"/>
        <v>7.2796934865900387E-2</v>
      </c>
      <c r="CC9" s="353">
        <f t="shared" si="13"/>
        <v>7.2796934865900387E-2</v>
      </c>
      <c r="CD9" s="353">
        <f t="shared" si="13"/>
        <v>7.2796934865900387E-2</v>
      </c>
      <c r="CE9" s="353">
        <f t="shared" si="13"/>
        <v>7.2796934865900387E-2</v>
      </c>
      <c r="CF9" s="353">
        <f t="shared" si="13"/>
        <v>7.2796934865900387E-2</v>
      </c>
      <c r="CG9" s="353">
        <f t="shared" si="13"/>
        <v>7.2796934865900387E-2</v>
      </c>
      <c r="CH9" s="353">
        <f t="shared" si="13"/>
        <v>7.2796934865900387E-2</v>
      </c>
      <c r="CI9" s="353">
        <f t="shared" si="13"/>
        <v>7.2796934865900387E-2</v>
      </c>
      <c r="CJ9" s="353">
        <f t="shared" si="13"/>
        <v>7.2796934865900387E-2</v>
      </c>
      <c r="CK9" s="353">
        <f t="shared" si="13"/>
        <v>7.2796934865900387E-2</v>
      </c>
      <c r="CL9" s="353">
        <f t="shared" si="13"/>
        <v>7.2796934865900387E-2</v>
      </c>
      <c r="CM9" s="353">
        <f t="shared" si="13"/>
        <v>7.2796934865900387E-2</v>
      </c>
      <c r="CN9" s="353">
        <f t="shared" si="13"/>
        <v>7.2796934865900387E-2</v>
      </c>
      <c r="CO9" s="353">
        <f t="shared" si="13"/>
        <v>7.2796934865900387E-2</v>
      </c>
      <c r="CP9" s="353">
        <f t="shared" si="13"/>
        <v>7.2796934865900387E-2</v>
      </c>
      <c r="CQ9" s="353">
        <f t="shared" si="13"/>
        <v>7.2796934865900387E-2</v>
      </c>
      <c r="CR9" s="353">
        <f t="shared" si="13"/>
        <v>7.2796934865900387E-2</v>
      </c>
      <c r="CS9" s="353">
        <f t="shared" si="13"/>
        <v>7.2796934865900387E-2</v>
      </c>
      <c r="CT9" s="353">
        <f t="shared" si="13"/>
        <v>7.2796934865900387E-2</v>
      </c>
      <c r="CU9" s="353">
        <f t="shared" si="13"/>
        <v>7.2796934865900387E-2</v>
      </c>
      <c r="CV9" s="353">
        <f t="shared" si="13"/>
        <v>7.2796934865900387E-2</v>
      </c>
      <c r="CW9" s="353">
        <f t="shared" si="13"/>
        <v>7.2796934865900387E-2</v>
      </c>
      <c r="CX9" s="353">
        <f t="shared" si="13"/>
        <v>7.2796934865900387E-2</v>
      </c>
      <c r="CY9" s="353">
        <f t="shared" si="13"/>
        <v>7.2796934865900387E-2</v>
      </c>
      <c r="CZ9" s="353">
        <f t="shared" si="13"/>
        <v>7.2796934865900387E-2</v>
      </c>
      <c r="DA9" s="353">
        <f t="shared" si="13"/>
        <v>7.2796934865900387E-2</v>
      </c>
      <c r="DB9" s="353">
        <f t="shared" si="13"/>
        <v>7.2796934865900387E-2</v>
      </c>
      <c r="DC9" s="353">
        <f t="shared" si="13"/>
        <v>7.2796934865900387E-2</v>
      </c>
      <c r="DD9" s="353">
        <f t="shared" si="13"/>
        <v>7.2796934865900387E-2</v>
      </c>
      <c r="DE9" s="353">
        <f t="shared" si="13"/>
        <v>7.2796934865900387E-2</v>
      </c>
      <c r="DF9" s="353">
        <f t="shared" si="13"/>
        <v>7.2796934865900387E-2</v>
      </c>
      <c r="DG9" s="353">
        <f t="shared" si="13"/>
        <v>7.2796934865900387E-2</v>
      </c>
      <c r="DH9" s="353">
        <f t="shared" si="13"/>
        <v>7.2796934865900387E-2</v>
      </c>
      <c r="DI9" s="353">
        <f t="shared" si="13"/>
        <v>7.2796934865900387E-2</v>
      </c>
      <c r="DJ9" s="353">
        <f t="shared" si="13"/>
        <v>7.2796934865900387E-2</v>
      </c>
      <c r="DK9" s="353">
        <f t="shared" si="13"/>
        <v>7.2796934865900387E-2</v>
      </c>
      <c r="DL9" s="353">
        <f t="shared" si="13"/>
        <v>7.2796934865900387E-2</v>
      </c>
      <c r="DM9" s="353">
        <f t="shared" si="13"/>
        <v>7.2796934865900387E-2</v>
      </c>
      <c r="DN9" s="353">
        <f t="shared" si="13"/>
        <v>7.2796934865900387E-2</v>
      </c>
      <c r="DO9" s="353">
        <f t="shared" si="13"/>
        <v>7.2796934865900387E-2</v>
      </c>
      <c r="DP9" s="353">
        <f t="shared" si="13"/>
        <v>7.2796934865900387E-2</v>
      </c>
      <c r="DQ9" s="353">
        <f t="shared" si="13"/>
        <v>7.2796934865900387E-2</v>
      </c>
      <c r="DR9" s="353">
        <f t="shared" si="13"/>
        <v>7.2796934865900387E-2</v>
      </c>
      <c r="DS9" s="353">
        <f t="shared" si="13"/>
        <v>7.2796934865900387E-2</v>
      </c>
      <c r="DT9" s="353">
        <f t="shared" si="13"/>
        <v>7.2796934865900387E-2</v>
      </c>
    </row>
    <row r="10" spans="2:124" x14ac:dyDescent="0.3">
      <c r="B10" s="1055" t="str">
        <f t="shared" si="4"/>
        <v>South AfricaBackofficeL1</v>
      </c>
      <c r="C10" s="1101" t="s">
        <v>347</v>
      </c>
      <c r="D10" s="353">
        <v>0.12260536398467432</v>
      </c>
      <c r="E10" s="353">
        <f t="shared" si="5"/>
        <v>0.12260536398467432</v>
      </c>
      <c r="F10" s="353">
        <f t="shared" ref="F10:BQ10" si="14">E10</f>
        <v>0.12260536398467432</v>
      </c>
      <c r="G10" s="353">
        <f t="shared" si="14"/>
        <v>0.12260536398467432</v>
      </c>
      <c r="H10" s="353">
        <f t="shared" si="14"/>
        <v>0.12260536398467432</v>
      </c>
      <c r="I10" s="353">
        <f t="shared" si="14"/>
        <v>0.12260536398467432</v>
      </c>
      <c r="J10" s="353">
        <f t="shared" si="14"/>
        <v>0.12260536398467432</v>
      </c>
      <c r="K10" s="353">
        <f t="shared" si="14"/>
        <v>0.12260536398467432</v>
      </c>
      <c r="L10" s="353">
        <f t="shared" si="14"/>
        <v>0.12260536398467432</v>
      </c>
      <c r="M10" s="353">
        <f t="shared" si="14"/>
        <v>0.12260536398467432</v>
      </c>
      <c r="N10" s="353">
        <f t="shared" si="14"/>
        <v>0.12260536398467432</v>
      </c>
      <c r="O10" s="353">
        <f t="shared" si="14"/>
        <v>0.12260536398467432</v>
      </c>
      <c r="P10" s="353">
        <f t="shared" si="14"/>
        <v>0.12260536398467432</v>
      </c>
      <c r="Q10" s="353">
        <f t="shared" si="14"/>
        <v>0.12260536398467432</v>
      </c>
      <c r="R10" s="353">
        <f t="shared" si="14"/>
        <v>0.12260536398467432</v>
      </c>
      <c r="S10" s="353">
        <f t="shared" si="14"/>
        <v>0.12260536398467432</v>
      </c>
      <c r="T10" s="353">
        <f t="shared" si="14"/>
        <v>0.12260536398467432</v>
      </c>
      <c r="U10" s="353">
        <f t="shared" si="14"/>
        <v>0.12260536398467432</v>
      </c>
      <c r="V10" s="353">
        <f t="shared" si="14"/>
        <v>0.12260536398467432</v>
      </c>
      <c r="W10" s="353">
        <f t="shared" si="14"/>
        <v>0.12260536398467432</v>
      </c>
      <c r="X10" s="353">
        <f t="shared" si="14"/>
        <v>0.12260536398467432</v>
      </c>
      <c r="Y10" s="353">
        <f t="shared" si="14"/>
        <v>0.12260536398467432</v>
      </c>
      <c r="Z10" s="353">
        <f t="shared" si="14"/>
        <v>0.12260536398467432</v>
      </c>
      <c r="AA10" s="353">
        <f t="shared" si="14"/>
        <v>0.12260536398467432</v>
      </c>
      <c r="AB10" s="353">
        <f t="shared" si="14"/>
        <v>0.12260536398467432</v>
      </c>
      <c r="AC10" s="353">
        <f t="shared" si="14"/>
        <v>0.12260536398467432</v>
      </c>
      <c r="AD10" s="353">
        <f t="shared" si="14"/>
        <v>0.12260536398467432</v>
      </c>
      <c r="AE10" s="353">
        <f t="shared" si="14"/>
        <v>0.12260536398467432</v>
      </c>
      <c r="AF10" s="353">
        <f t="shared" si="14"/>
        <v>0.12260536398467432</v>
      </c>
      <c r="AG10" s="353">
        <f t="shared" si="14"/>
        <v>0.12260536398467432</v>
      </c>
      <c r="AH10" s="353">
        <f t="shared" si="14"/>
        <v>0.12260536398467432</v>
      </c>
      <c r="AI10" s="353">
        <f t="shared" si="14"/>
        <v>0.12260536398467432</v>
      </c>
      <c r="AJ10" s="353">
        <f t="shared" si="14"/>
        <v>0.12260536398467432</v>
      </c>
      <c r="AK10" s="353">
        <f t="shared" si="14"/>
        <v>0.12260536398467432</v>
      </c>
      <c r="AL10" s="353">
        <f t="shared" si="14"/>
        <v>0.12260536398467432</v>
      </c>
      <c r="AM10" s="353">
        <f t="shared" si="14"/>
        <v>0.12260536398467432</v>
      </c>
      <c r="AN10" s="353">
        <f t="shared" si="14"/>
        <v>0.12260536398467432</v>
      </c>
      <c r="AO10" s="353">
        <f t="shared" si="14"/>
        <v>0.12260536398467432</v>
      </c>
      <c r="AP10" s="353">
        <f t="shared" si="14"/>
        <v>0.12260536398467432</v>
      </c>
      <c r="AQ10" s="353">
        <f t="shared" si="14"/>
        <v>0.12260536398467432</v>
      </c>
      <c r="AR10" s="353">
        <f t="shared" si="14"/>
        <v>0.12260536398467432</v>
      </c>
      <c r="AS10" s="353">
        <f t="shared" si="14"/>
        <v>0.12260536398467432</v>
      </c>
      <c r="AT10" s="353">
        <f t="shared" si="14"/>
        <v>0.12260536398467432</v>
      </c>
      <c r="AU10" s="353">
        <f t="shared" si="14"/>
        <v>0.12260536398467432</v>
      </c>
      <c r="AV10" s="353">
        <f t="shared" si="14"/>
        <v>0.12260536398467432</v>
      </c>
      <c r="AW10" s="353">
        <f t="shared" si="14"/>
        <v>0.12260536398467432</v>
      </c>
      <c r="AX10" s="353">
        <f t="shared" si="14"/>
        <v>0.12260536398467432</v>
      </c>
      <c r="AY10" s="353">
        <f t="shared" si="14"/>
        <v>0.12260536398467432</v>
      </c>
      <c r="AZ10" s="353">
        <f t="shared" si="14"/>
        <v>0.12260536398467432</v>
      </c>
      <c r="BA10" s="353">
        <f t="shared" si="14"/>
        <v>0.12260536398467432</v>
      </c>
      <c r="BB10" s="353">
        <f t="shared" si="14"/>
        <v>0.12260536398467432</v>
      </c>
      <c r="BC10" s="353">
        <f t="shared" si="14"/>
        <v>0.12260536398467432</v>
      </c>
      <c r="BD10" s="353">
        <f t="shared" si="14"/>
        <v>0.12260536398467432</v>
      </c>
      <c r="BE10" s="353">
        <f t="shared" si="14"/>
        <v>0.12260536398467432</v>
      </c>
      <c r="BF10" s="353">
        <f t="shared" si="14"/>
        <v>0.12260536398467432</v>
      </c>
      <c r="BG10" s="353">
        <f t="shared" si="14"/>
        <v>0.12260536398467432</v>
      </c>
      <c r="BH10" s="353">
        <f t="shared" si="14"/>
        <v>0.12260536398467432</v>
      </c>
      <c r="BI10" s="353">
        <f t="shared" si="14"/>
        <v>0.12260536398467432</v>
      </c>
      <c r="BJ10" s="353">
        <f t="shared" si="14"/>
        <v>0.12260536398467432</v>
      </c>
      <c r="BK10" s="353">
        <f t="shared" si="14"/>
        <v>0.12260536398467432</v>
      </c>
      <c r="BL10" s="353">
        <f t="shared" si="14"/>
        <v>0.12260536398467432</v>
      </c>
      <c r="BM10" s="353">
        <f t="shared" si="14"/>
        <v>0.12260536398467432</v>
      </c>
      <c r="BN10" s="353">
        <f t="shared" si="14"/>
        <v>0.12260536398467432</v>
      </c>
      <c r="BO10" s="353">
        <f t="shared" si="14"/>
        <v>0.12260536398467432</v>
      </c>
      <c r="BP10" s="353">
        <f t="shared" si="14"/>
        <v>0.12260536398467432</v>
      </c>
      <c r="BQ10" s="353">
        <f t="shared" si="14"/>
        <v>0.12260536398467432</v>
      </c>
      <c r="BR10" s="353">
        <f t="shared" ref="BR10:DT10" si="15">BQ10</f>
        <v>0.12260536398467432</v>
      </c>
      <c r="BS10" s="353">
        <f t="shared" si="15"/>
        <v>0.12260536398467432</v>
      </c>
      <c r="BT10" s="353">
        <f t="shared" si="15"/>
        <v>0.12260536398467432</v>
      </c>
      <c r="BU10" s="353">
        <f t="shared" si="15"/>
        <v>0.12260536398467432</v>
      </c>
      <c r="BV10" s="353">
        <f t="shared" si="15"/>
        <v>0.12260536398467432</v>
      </c>
      <c r="BW10" s="353">
        <f t="shared" si="15"/>
        <v>0.12260536398467432</v>
      </c>
      <c r="BX10" s="353">
        <f t="shared" si="15"/>
        <v>0.12260536398467432</v>
      </c>
      <c r="BY10" s="353">
        <f t="shared" si="15"/>
        <v>0.12260536398467432</v>
      </c>
      <c r="BZ10" s="353">
        <f t="shared" si="15"/>
        <v>0.12260536398467432</v>
      </c>
      <c r="CA10" s="353">
        <f t="shared" si="15"/>
        <v>0.12260536398467432</v>
      </c>
      <c r="CB10" s="353">
        <f t="shared" si="15"/>
        <v>0.12260536398467432</v>
      </c>
      <c r="CC10" s="353">
        <f t="shared" si="15"/>
        <v>0.12260536398467432</v>
      </c>
      <c r="CD10" s="353">
        <f t="shared" si="15"/>
        <v>0.12260536398467432</v>
      </c>
      <c r="CE10" s="353">
        <f t="shared" si="15"/>
        <v>0.12260536398467432</v>
      </c>
      <c r="CF10" s="353">
        <f t="shared" si="15"/>
        <v>0.12260536398467432</v>
      </c>
      <c r="CG10" s="353">
        <f t="shared" si="15"/>
        <v>0.12260536398467432</v>
      </c>
      <c r="CH10" s="353">
        <f t="shared" si="15"/>
        <v>0.12260536398467432</v>
      </c>
      <c r="CI10" s="353">
        <f t="shared" si="15"/>
        <v>0.12260536398467432</v>
      </c>
      <c r="CJ10" s="353">
        <f t="shared" si="15"/>
        <v>0.12260536398467432</v>
      </c>
      <c r="CK10" s="353">
        <f t="shared" si="15"/>
        <v>0.12260536398467432</v>
      </c>
      <c r="CL10" s="353">
        <f t="shared" si="15"/>
        <v>0.12260536398467432</v>
      </c>
      <c r="CM10" s="353">
        <f t="shared" si="15"/>
        <v>0.12260536398467432</v>
      </c>
      <c r="CN10" s="353">
        <f t="shared" si="15"/>
        <v>0.12260536398467432</v>
      </c>
      <c r="CO10" s="353">
        <f t="shared" si="15"/>
        <v>0.12260536398467432</v>
      </c>
      <c r="CP10" s="353">
        <f t="shared" si="15"/>
        <v>0.12260536398467432</v>
      </c>
      <c r="CQ10" s="353">
        <f t="shared" si="15"/>
        <v>0.12260536398467432</v>
      </c>
      <c r="CR10" s="353">
        <f t="shared" si="15"/>
        <v>0.12260536398467432</v>
      </c>
      <c r="CS10" s="353">
        <f t="shared" si="15"/>
        <v>0.12260536398467432</v>
      </c>
      <c r="CT10" s="353">
        <f t="shared" si="15"/>
        <v>0.12260536398467432</v>
      </c>
      <c r="CU10" s="353">
        <f t="shared" si="15"/>
        <v>0.12260536398467432</v>
      </c>
      <c r="CV10" s="353">
        <f t="shared" si="15"/>
        <v>0.12260536398467432</v>
      </c>
      <c r="CW10" s="353">
        <f t="shared" si="15"/>
        <v>0.12260536398467432</v>
      </c>
      <c r="CX10" s="353">
        <f t="shared" si="15"/>
        <v>0.12260536398467432</v>
      </c>
      <c r="CY10" s="353">
        <f t="shared" si="15"/>
        <v>0.12260536398467432</v>
      </c>
      <c r="CZ10" s="353">
        <f t="shared" si="15"/>
        <v>0.12260536398467432</v>
      </c>
      <c r="DA10" s="353">
        <f t="shared" si="15"/>
        <v>0.12260536398467432</v>
      </c>
      <c r="DB10" s="353">
        <f t="shared" si="15"/>
        <v>0.12260536398467432</v>
      </c>
      <c r="DC10" s="353">
        <f t="shared" si="15"/>
        <v>0.12260536398467432</v>
      </c>
      <c r="DD10" s="353">
        <f t="shared" si="15"/>
        <v>0.12260536398467432</v>
      </c>
      <c r="DE10" s="353">
        <f t="shared" si="15"/>
        <v>0.12260536398467432</v>
      </c>
      <c r="DF10" s="353">
        <f t="shared" si="15"/>
        <v>0.12260536398467432</v>
      </c>
      <c r="DG10" s="353">
        <f t="shared" si="15"/>
        <v>0.12260536398467432</v>
      </c>
      <c r="DH10" s="353">
        <f t="shared" si="15"/>
        <v>0.12260536398467432</v>
      </c>
      <c r="DI10" s="353">
        <f t="shared" si="15"/>
        <v>0.12260536398467432</v>
      </c>
      <c r="DJ10" s="353">
        <f t="shared" si="15"/>
        <v>0.12260536398467432</v>
      </c>
      <c r="DK10" s="353">
        <f t="shared" si="15"/>
        <v>0.12260536398467432</v>
      </c>
      <c r="DL10" s="353">
        <f t="shared" si="15"/>
        <v>0.12260536398467432</v>
      </c>
      <c r="DM10" s="353">
        <f t="shared" si="15"/>
        <v>0.12260536398467432</v>
      </c>
      <c r="DN10" s="353">
        <f t="shared" si="15"/>
        <v>0.12260536398467432</v>
      </c>
      <c r="DO10" s="353">
        <f t="shared" si="15"/>
        <v>0.12260536398467432</v>
      </c>
      <c r="DP10" s="353">
        <f t="shared" si="15"/>
        <v>0.12260536398467432</v>
      </c>
      <c r="DQ10" s="353">
        <f t="shared" si="15"/>
        <v>0.12260536398467432</v>
      </c>
      <c r="DR10" s="353">
        <f t="shared" si="15"/>
        <v>0.12260536398467432</v>
      </c>
      <c r="DS10" s="353">
        <f t="shared" si="15"/>
        <v>0.12260536398467432</v>
      </c>
      <c r="DT10" s="353">
        <f t="shared" si="15"/>
        <v>0.12260536398467432</v>
      </c>
    </row>
    <row r="11" spans="2:124" x14ac:dyDescent="0.3">
      <c r="B11" s="1055" t="str">
        <f t="shared" si="4"/>
        <v>RomaniaBackofficeL1</v>
      </c>
      <c r="C11" s="1101" t="s">
        <v>349</v>
      </c>
      <c r="D11" s="353">
        <v>0.14559386973180077</v>
      </c>
      <c r="E11" s="353">
        <f t="shared" si="5"/>
        <v>0.14559386973180077</v>
      </c>
      <c r="F11" s="353">
        <f t="shared" ref="F11:BQ11" si="16">E11</f>
        <v>0.14559386973180077</v>
      </c>
      <c r="G11" s="353">
        <f t="shared" si="16"/>
        <v>0.14559386973180077</v>
      </c>
      <c r="H11" s="353">
        <f t="shared" si="16"/>
        <v>0.14559386973180077</v>
      </c>
      <c r="I11" s="353">
        <f t="shared" si="16"/>
        <v>0.14559386973180077</v>
      </c>
      <c r="J11" s="353">
        <f t="shared" si="16"/>
        <v>0.14559386973180077</v>
      </c>
      <c r="K11" s="353">
        <f t="shared" si="16"/>
        <v>0.14559386973180077</v>
      </c>
      <c r="L11" s="353">
        <f t="shared" si="16"/>
        <v>0.14559386973180077</v>
      </c>
      <c r="M11" s="353">
        <f t="shared" si="16"/>
        <v>0.14559386973180077</v>
      </c>
      <c r="N11" s="353">
        <f t="shared" si="16"/>
        <v>0.14559386973180077</v>
      </c>
      <c r="O11" s="353">
        <f t="shared" si="16"/>
        <v>0.14559386973180077</v>
      </c>
      <c r="P11" s="353">
        <f t="shared" si="16"/>
        <v>0.14559386973180077</v>
      </c>
      <c r="Q11" s="353">
        <f t="shared" si="16"/>
        <v>0.14559386973180077</v>
      </c>
      <c r="R11" s="353">
        <f t="shared" si="16"/>
        <v>0.14559386973180077</v>
      </c>
      <c r="S11" s="353">
        <f t="shared" si="16"/>
        <v>0.14559386973180077</v>
      </c>
      <c r="T11" s="353">
        <f t="shared" si="16"/>
        <v>0.14559386973180077</v>
      </c>
      <c r="U11" s="353">
        <f t="shared" si="16"/>
        <v>0.14559386973180077</v>
      </c>
      <c r="V11" s="353">
        <f t="shared" si="16"/>
        <v>0.14559386973180077</v>
      </c>
      <c r="W11" s="353">
        <f t="shared" si="16"/>
        <v>0.14559386973180077</v>
      </c>
      <c r="X11" s="353">
        <f t="shared" si="16"/>
        <v>0.14559386973180077</v>
      </c>
      <c r="Y11" s="353">
        <f t="shared" si="16"/>
        <v>0.14559386973180077</v>
      </c>
      <c r="Z11" s="353">
        <f t="shared" si="16"/>
        <v>0.14559386973180077</v>
      </c>
      <c r="AA11" s="353">
        <f t="shared" si="16"/>
        <v>0.14559386973180077</v>
      </c>
      <c r="AB11" s="353">
        <f t="shared" si="16"/>
        <v>0.14559386973180077</v>
      </c>
      <c r="AC11" s="353">
        <f t="shared" si="16"/>
        <v>0.14559386973180077</v>
      </c>
      <c r="AD11" s="353">
        <f t="shared" si="16"/>
        <v>0.14559386973180077</v>
      </c>
      <c r="AE11" s="353">
        <f t="shared" si="16"/>
        <v>0.14559386973180077</v>
      </c>
      <c r="AF11" s="353">
        <f t="shared" si="16"/>
        <v>0.14559386973180077</v>
      </c>
      <c r="AG11" s="353">
        <f t="shared" si="16"/>
        <v>0.14559386973180077</v>
      </c>
      <c r="AH11" s="353">
        <f t="shared" si="16"/>
        <v>0.14559386973180077</v>
      </c>
      <c r="AI11" s="353">
        <f t="shared" si="16"/>
        <v>0.14559386973180077</v>
      </c>
      <c r="AJ11" s="353">
        <f t="shared" si="16"/>
        <v>0.14559386973180077</v>
      </c>
      <c r="AK11" s="353">
        <f t="shared" si="16"/>
        <v>0.14559386973180077</v>
      </c>
      <c r="AL11" s="353">
        <f t="shared" si="16"/>
        <v>0.14559386973180077</v>
      </c>
      <c r="AM11" s="353">
        <f t="shared" si="16"/>
        <v>0.14559386973180077</v>
      </c>
      <c r="AN11" s="353">
        <f t="shared" si="16"/>
        <v>0.14559386973180077</v>
      </c>
      <c r="AO11" s="353">
        <f t="shared" si="16"/>
        <v>0.14559386973180077</v>
      </c>
      <c r="AP11" s="353">
        <f t="shared" si="16"/>
        <v>0.14559386973180077</v>
      </c>
      <c r="AQ11" s="353">
        <f t="shared" si="16"/>
        <v>0.14559386973180077</v>
      </c>
      <c r="AR11" s="353">
        <f t="shared" si="16"/>
        <v>0.14559386973180077</v>
      </c>
      <c r="AS11" s="353">
        <f t="shared" si="16"/>
        <v>0.14559386973180077</v>
      </c>
      <c r="AT11" s="353">
        <f t="shared" si="16"/>
        <v>0.14559386973180077</v>
      </c>
      <c r="AU11" s="353">
        <f t="shared" si="16"/>
        <v>0.14559386973180077</v>
      </c>
      <c r="AV11" s="353">
        <f t="shared" si="16"/>
        <v>0.14559386973180077</v>
      </c>
      <c r="AW11" s="353">
        <f t="shared" si="16"/>
        <v>0.14559386973180077</v>
      </c>
      <c r="AX11" s="353">
        <f t="shared" si="16"/>
        <v>0.14559386973180077</v>
      </c>
      <c r="AY11" s="353">
        <f t="shared" si="16"/>
        <v>0.14559386973180077</v>
      </c>
      <c r="AZ11" s="353">
        <f t="shared" si="16"/>
        <v>0.14559386973180077</v>
      </c>
      <c r="BA11" s="353">
        <f t="shared" si="16"/>
        <v>0.14559386973180077</v>
      </c>
      <c r="BB11" s="353">
        <f t="shared" si="16"/>
        <v>0.14559386973180077</v>
      </c>
      <c r="BC11" s="353">
        <f t="shared" si="16"/>
        <v>0.14559386973180077</v>
      </c>
      <c r="BD11" s="353">
        <f t="shared" si="16"/>
        <v>0.14559386973180077</v>
      </c>
      <c r="BE11" s="353">
        <f t="shared" si="16"/>
        <v>0.14559386973180077</v>
      </c>
      <c r="BF11" s="353">
        <f t="shared" si="16"/>
        <v>0.14559386973180077</v>
      </c>
      <c r="BG11" s="353">
        <f t="shared" si="16"/>
        <v>0.14559386973180077</v>
      </c>
      <c r="BH11" s="353">
        <f t="shared" si="16"/>
        <v>0.14559386973180077</v>
      </c>
      <c r="BI11" s="353">
        <f t="shared" si="16"/>
        <v>0.14559386973180077</v>
      </c>
      <c r="BJ11" s="353">
        <f t="shared" si="16"/>
        <v>0.14559386973180077</v>
      </c>
      <c r="BK11" s="353">
        <f t="shared" si="16"/>
        <v>0.14559386973180077</v>
      </c>
      <c r="BL11" s="353">
        <f t="shared" si="16"/>
        <v>0.14559386973180077</v>
      </c>
      <c r="BM11" s="353">
        <f t="shared" si="16"/>
        <v>0.14559386973180077</v>
      </c>
      <c r="BN11" s="353">
        <f t="shared" si="16"/>
        <v>0.14559386973180077</v>
      </c>
      <c r="BO11" s="353">
        <f t="shared" si="16"/>
        <v>0.14559386973180077</v>
      </c>
      <c r="BP11" s="353">
        <f t="shared" si="16"/>
        <v>0.14559386973180077</v>
      </c>
      <c r="BQ11" s="353">
        <f t="shared" si="16"/>
        <v>0.14559386973180077</v>
      </c>
      <c r="BR11" s="353">
        <f t="shared" ref="BR11:DT11" si="17">BQ11</f>
        <v>0.14559386973180077</v>
      </c>
      <c r="BS11" s="353">
        <f t="shared" si="17"/>
        <v>0.14559386973180077</v>
      </c>
      <c r="BT11" s="353">
        <f t="shared" si="17"/>
        <v>0.14559386973180077</v>
      </c>
      <c r="BU11" s="353">
        <f t="shared" si="17"/>
        <v>0.14559386973180077</v>
      </c>
      <c r="BV11" s="353">
        <f t="shared" si="17"/>
        <v>0.14559386973180077</v>
      </c>
      <c r="BW11" s="353">
        <f t="shared" si="17"/>
        <v>0.14559386973180077</v>
      </c>
      <c r="BX11" s="353">
        <f t="shared" si="17"/>
        <v>0.14559386973180077</v>
      </c>
      <c r="BY11" s="353">
        <f t="shared" si="17"/>
        <v>0.14559386973180077</v>
      </c>
      <c r="BZ11" s="353">
        <f t="shared" si="17"/>
        <v>0.14559386973180077</v>
      </c>
      <c r="CA11" s="353">
        <f t="shared" si="17"/>
        <v>0.14559386973180077</v>
      </c>
      <c r="CB11" s="353">
        <f t="shared" si="17"/>
        <v>0.14559386973180077</v>
      </c>
      <c r="CC11" s="353">
        <f t="shared" si="17"/>
        <v>0.14559386973180077</v>
      </c>
      <c r="CD11" s="353">
        <f t="shared" si="17"/>
        <v>0.14559386973180077</v>
      </c>
      <c r="CE11" s="353">
        <f t="shared" si="17"/>
        <v>0.14559386973180077</v>
      </c>
      <c r="CF11" s="353">
        <f t="shared" si="17"/>
        <v>0.14559386973180077</v>
      </c>
      <c r="CG11" s="353">
        <f t="shared" si="17"/>
        <v>0.14559386973180077</v>
      </c>
      <c r="CH11" s="353">
        <f t="shared" si="17"/>
        <v>0.14559386973180077</v>
      </c>
      <c r="CI11" s="353">
        <f t="shared" si="17"/>
        <v>0.14559386973180077</v>
      </c>
      <c r="CJ11" s="353">
        <f t="shared" si="17"/>
        <v>0.14559386973180077</v>
      </c>
      <c r="CK11" s="353">
        <f t="shared" si="17"/>
        <v>0.14559386973180077</v>
      </c>
      <c r="CL11" s="353">
        <f t="shared" si="17"/>
        <v>0.14559386973180077</v>
      </c>
      <c r="CM11" s="353">
        <f t="shared" si="17"/>
        <v>0.14559386973180077</v>
      </c>
      <c r="CN11" s="353">
        <f t="shared" si="17"/>
        <v>0.14559386973180077</v>
      </c>
      <c r="CO11" s="353">
        <f t="shared" si="17"/>
        <v>0.14559386973180077</v>
      </c>
      <c r="CP11" s="353">
        <f t="shared" si="17"/>
        <v>0.14559386973180077</v>
      </c>
      <c r="CQ11" s="353">
        <f t="shared" si="17"/>
        <v>0.14559386973180077</v>
      </c>
      <c r="CR11" s="353">
        <f t="shared" si="17"/>
        <v>0.14559386973180077</v>
      </c>
      <c r="CS11" s="353">
        <f t="shared" si="17"/>
        <v>0.14559386973180077</v>
      </c>
      <c r="CT11" s="353">
        <f t="shared" si="17"/>
        <v>0.14559386973180077</v>
      </c>
      <c r="CU11" s="353">
        <f t="shared" si="17"/>
        <v>0.14559386973180077</v>
      </c>
      <c r="CV11" s="353">
        <f t="shared" si="17"/>
        <v>0.14559386973180077</v>
      </c>
      <c r="CW11" s="353">
        <f t="shared" si="17"/>
        <v>0.14559386973180077</v>
      </c>
      <c r="CX11" s="353">
        <f t="shared" si="17"/>
        <v>0.14559386973180077</v>
      </c>
      <c r="CY11" s="353">
        <f t="shared" si="17"/>
        <v>0.14559386973180077</v>
      </c>
      <c r="CZ11" s="353">
        <f t="shared" si="17"/>
        <v>0.14559386973180077</v>
      </c>
      <c r="DA11" s="353">
        <f t="shared" si="17"/>
        <v>0.14559386973180077</v>
      </c>
      <c r="DB11" s="353">
        <f t="shared" si="17"/>
        <v>0.14559386973180077</v>
      </c>
      <c r="DC11" s="353">
        <f t="shared" si="17"/>
        <v>0.14559386973180077</v>
      </c>
      <c r="DD11" s="353">
        <f t="shared" si="17"/>
        <v>0.14559386973180077</v>
      </c>
      <c r="DE11" s="353">
        <f t="shared" si="17"/>
        <v>0.14559386973180077</v>
      </c>
      <c r="DF11" s="353">
        <f t="shared" si="17"/>
        <v>0.14559386973180077</v>
      </c>
      <c r="DG11" s="353">
        <f t="shared" si="17"/>
        <v>0.14559386973180077</v>
      </c>
      <c r="DH11" s="353">
        <f t="shared" si="17"/>
        <v>0.14559386973180077</v>
      </c>
      <c r="DI11" s="353">
        <f t="shared" si="17"/>
        <v>0.14559386973180077</v>
      </c>
      <c r="DJ11" s="353">
        <f t="shared" si="17"/>
        <v>0.14559386973180077</v>
      </c>
      <c r="DK11" s="353">
        <f t="shared" si="17"/>
        <v>0.14559386973180077</v>
      </c>
      <c r="DL11" s="353">
        <f t="shared" si="17"/>
        <v>0.14559386973180077</v>
      </c>
      <c r="DM11" s="353">
        <f t="shared" si="17"/>
        <v>0.14559386973180077</v>
      </c>
      <c r="DN11" s="353">
        <f t="shared" si="17"/>
        <v>0.14559386973180077</v>
      </c>
      <c r="DO11" s="353">
        <f t="shared" si="17"/>
        <v>0.14559386973180077</v>
      </c>
      <c r="DP11" s="353">
        <f t="shared" si="17"/>
        <v>0.14559386973180077</v>
      </c>
      <c r="DQ11" s="353">
        <f t="shared" si="17"/>
        <v>0.14559386973180077</v>
      </c>
      <c r="DR11" s="353">
        <f t="shared" si="17"/>
        <v>0.14559386973180077</v>
      </c>
      <c r="DS11" s="353">
        <f t="shared" si="17"/>
        <v>0.14559386973180077</v>
      </c>
      <c r="DT11" s="353">
        <f t="shared" si="17"/>
        <v>0.14559386973180077</v>
      </c>
    </row>
    <row r="12" spans="2:124" x14ac:dyDescent="0.3">
      <c r="B12" s="1055" t="str">
        <f t="shared" si="4"/>
        <v>IndiaBackofficeL1</v>
      </c>
      <c r="C12" s="1101" t="s">
        <v>73</v>
      </c>
      <c r="D12" s="353">
        <v>0.15249042145593869</v>
      </c>
      <c r="E12" s="353">
        <f t="shared" si="5"/>
        <v>0.15249042145593869</v>
      </c>
      <c r="F12" s="353">
        <f t="shared" ref="F12:BQ12" si="18">E12</f>
        <v>0.15249042145593869</v>
      </c>
      <c r="G12" s="353">
        <f t="shared" si="18"/>
        <v>0.15249042145593869</v>
      </c>
      <c r="H12" s="353">
        <f t="shared" si="18"/>
        <v>0.15249042145593869</v>
      </c>
      <c r="I12" s="353">
        <f t="shared" si="18"/>
        <v>0.15249042145593869</v>
      </c>
      <c r="J12" s="353">
        <f t="shared" si="18"/>
        <v>0.15249042145593869</v>
      </c>
      <c r="K12" s="353">
        <f t="shared" si="18"/>
        <v>0.15249042145593869</v>
      </c>
      <c r="L12" s="353">
        <f t="shared" si="18"/>
        <v>0.15249042145593869</v>
      </c>
      <c r="M12" s="353">
        <f t="shared" si="18"/>
        <v>0.15249042145593869</v>
      </c>
      <c r="N12" s="353">
        <f t="shared" si="18"/>
        <v>0.15249042145593869</v>
      </c>
      <c r="O12" s="353">
        <f t="shared" si="18"/>
        <v>0.15249042145593869</v>
      </c>
      <c r="P12" s="353">
        <f t="shared" si="18"/>
        <v>0.15249042145593869</v>
      </c>
      <c r="Q12" s="353">
        <f t="shared" si="18"/>
        <v>0.15249042145593869</v>
      </c>
      <c r="R12" s="353">
        <f t="shared" si="18"/>
        <v>0.15249042145593869</v>
      </c>
      <c r="S12" s="353">
        <f t="shared" si="18"/>
        <v>0.15249042145593869</v>
      </c>
      <c r="T12" s="353">
        <f t="shared" si="18"/>
        <v>0.15249042145593869</v>
      </c>
      <c r="U12" s="353">
        <f t="shared" si="18"/>
        <v>0.15249042145593869</v>
      </c>
      <c r="V12" s="353">
        <f t="shared" si="18"/>
        <v>0.15249042145593869</v>
      </c>
      <c r="W12" s="353">
        <f t="shared" si="18"/>
        <v>0.15249042145593869</v>
      </c>
      <c r="X12" s="353">
        <f t="shared" si="18"/>
        <v>0.15249042145593869</v>
      </c>
      <c r="Y12" s="353">
        <f t="shared" si="18"/>
        <v>0.15249042145593869</v>
      </c>
      <c r="Z12" s="353">
        <f t="shared" si="18"/>
        <v>0.15249042145593869</v>
      </c>
      <c r="AA12" s="353">
        <f t="shared" si="18"/>
        <v>0.15249042145593869</v>
      </c>
      <c r="AB12" s="353">
        <f t="shared" si="18"/>
        <v>0.15249042145593869</v>
      </c>
      <c r="AC12" s="353">
        <f t="shared" si="18"/>
        <v>0.15249042145593869</v>
      </c>
      <c r="AD12" s="353">
        <f t="shared" si="18"/>
        <v>0.15249042145593869</v>
      </c>
      <c r="AE12" s="353">
        <f t="shared" si="18"/>
        <v>0.15249042145593869</v>
      </c>
      <c r="AF12" s="353">
        <f t="shared" si="18"/>
        <v>0.15249042145593869</v>
      </c>
      <c r="AG12" s="353">
        <f t="shared" si="18"/>
        <v>0.15249042145593869</v>
      </c>
      <c r="AH12" s="353">
        <f t="shared" si="18"/>
        <v>0.15249042145593869</v>
      </c>
      <c r="AI12" s="353">
        <f t="shared" si="18"/>
        <v>0.15249042145593869</v>
      </c>
      <c r="AJ12" s="353">
        <f t="shared" si="18"/>
        <v>0.15249042145593869</v>
      </c>
      <c r="AK12" s="353">
        <f t="shared" si="18"/>
        <v>0.15249042145593869</v>
      </c>
      <c r="AL12" s="353">
        <f t="shared" si="18"/>
        <v>0.15249042145593869</v>
      </c>
      <c r="AM12" s="353">
        <f t="shared" si="18"/>
        <v>0.15249042145593869</v>
      </c>
      <c r="AN12" s="353">
        <f t="shared" si="18"/>
        <v>0.15249042145593869</v>
      </c>
      <c r="AO12" s="353">
        <f t="shared" si="18"/>
        <v>0.15249042145593869</v>
      </c>
      <c r="AP12" s="353">
        <f t="shared" si="18"/>
        <v>0.15249042145593869</v>
      </c>
      <c r="AQ12" s="353">
        <f t="shared" si="18"/>
        <v>0.15249042145593869</v>
      </c>
      <c r="AR12" s="353">
        <f t="shared" si="18"/>
        <v>0.15249042145593869</v>
      </c>
      <c r="AS12" s="353">
        <f t="shared" si="18"/>
        <v>0.15249042145593869</v>
      </c>
      <c r="AT12" s="353">
        <f t="shared" si="18"/>
        <v>0.15249042145593869</v>
      </c>
      <c r="AU12" s="353">
        <f t="shared" si="18"/>
        <v>0.15249042145593869</v>
      </c>
      <c r="AV12" s="353">
        <f t="shared" si="18"/>
        <v>0.15249042145593869</v>
      </c>
      <c r="AW12" s="353">
        <f t="shared" si="18"/>
        <v>0.15249042145593869</v>
      </c>
      <c r="AX12" s="353">
        <f t="shared" si="18"/>
        <v>0.15249042145593869</v>
      </c>
      <c r="AY12" s="353">
        <f t="shared" si="18"/>
        <v>0.15249042145593869</v>
      </c>
      <c r="AZ12" s="353">
        <f t="shared" si="18"/>
        <v>0.15249042145593869</v>
      </c>
      <c r="BA12" s="353">
        <f t="shared" si="18"/>
        <v>0.15249042145593869</v>
      </c>
      <c r="BB12" s="353">
        <f t="shared" si="18"/>
        <v>0.15249042145593869</v>
      </c>
      <c r="BC12" s="353">
        <f t="shared" si="18"/>
        <v>0.15249042145593869</v>
      </c>
      <c r="BD12" s="353">
        <f t="shared" si="18"/>
        <v>0.15249042145593869</v>
      </c>
      <c r="BE12" s="353">
        <f t="shared" si="18"/>
        <v>0.15249042145593869</v>
      </c>
      <c r="BF12" s="353">
        <f t="shared" si="18"/>
        <v>0.15249042145593869</v>
      </c>
      <c r="BG12" s="353">
        <f t="shared" si="18"/>
        <v>0.15249042145593869</v>
      </c>
      <c r="BH12" s="353">
        <f t="shared" si="18"/>
        <v>0.15249042145593869</v>
      </c>
      <c r="BI12" s="353">
        <f t="shared" si="18"/>
        <v>0.15249042145593869</v>
      </c>
      <c r="BJ12" s="353">
        <f t="shared" si="18"/>
        <v>0.15249042145593869</v>
      </c>
      <c r="BK12" s="353">
        <f t="shared" si="18"/>
        <v>0.15249042145593869</v>
      </c>
      <c r="BL12" s="353">
        <f t="shared" si="18"/>
        <v>0.15249042145593869</v>
      </c>
      <c r="BM12" s="353">
        <f t="shared" si="18"/>
        <v>0.15249042145593869</v>
      </c>
      <c r="BN12" s="353">
        <f t="shared" si="18"/>
        <v>0.15249042145593869</v>
      </c>
      <c r="BO12" s="353">
        <f t="shared" si="18"/>
        <v>0.15249042145593869</v>
      </c>
      <c r="BP12" s="353">
        <f t="shared" si="18"/>
        <v>0.15249042145593869</v>
      </c>
      <c r="BQ12" s="353">
        <f t="shared" si="18"/>
        <v>0.15249042145593869</v>
      </c>
      <c r="BR12" s="353">
        <f t="shared" ref="BR12:DT12" si="19">BQ12</f>
        <v>0.15249042145593869</v>
      </c>
      <c r="BS12" s="353">
        <f t="shared" si="19"/>
        <v>0.15249042145593869</v>
      </c>
      <c r="BT12" s="353">
        <f t="shared" si="19"/>
        <v>0.15249042145593869</v>
      </c>
      <c r="BU12" s="353">
        <f t="shared" si="19"/>
        <v>0.15249042145593869</v>
      </c>
      <c r="BV12" s="353">
        <f t="shared" si="19"/>
        <v>0.15249042145593869</v>
      </c>
      <c r="BW12" s="353">
        <f t="shared" si="19"/>
        <v>0.15249042145593869</v>
      </c>
      <c r="BX12" s="353">
        <f t="shared" si="19"/>
        <v>0.15249042145593869</v>
      </c>
      <c r="BY12" s="353">
        <f t="shared" si="19"/>
        <v>0.15249042145593869</v>
      </c>
      <c r="BZ12" s="353">
        <f t="shared" si="19"/>
        <v>0.15249042145593869</v>
      </c>
      <c r="CA12" s="353">
        <f t="shared" si="19"/>
        <v>0.15249042145593869</v>
      </c>
      <c r="CB12" s="353">
        <f t="shared" si="19"/>
        <v>0.15249042145593869</v>
      </c>
      <c r="CC12" s="353">
        <f t="shared" si="19"/>
        <v>0.15249042145593869</v>
      </c>
      <c r="CD12" s="353">
        <f t="shared" si="19"/>
        <v>0.15249042145593869</v>
      </c>
      <c r="CE12" s="353">
        <f t="shared" si="19"/>
        <v>0.15249042145593869</v>
      </c>
      <c r="CF12" s="353">
        <f t="shared" si="19"/>
        <v>0.15249042145593869</v>
      </c>
      <c r="CG12" s="353">
        <f t="shared" si="19"/>
        <v>0.15249042145593869</v>
      </c>
      <c r="CH12" s="353">
        <f t="shared" si="19"/>
        <v>0.15249042145593869</v>
      </c>
      <c r="CI12" s="353">
        <f t="shared" si="19"/>
        <v>0.15249042145593869</v>
      </c>
      <c r="CJ12" s="353">
        <f t="shared" si="19"/>
        <v>0.15249042145593869</v>
      </c>
      <c r="CK12" s="353">
        <f t="shared" si="19"/>
        <v>0.15249042145593869</v>
      </c>
      <c r="CL12" s="353">
        <f t="shared" si="19"/>
        <v>0.15249042145593869</v>
      </c>
      <c r="CM12" s="353">
        <f t="shared" si="19"/>
        <v>0.15249042145593869</v>
      </c>
      <c r="CN12" s="353">
        <f t="shared" si="19"/>
        <v>0.15249042145593869</v>
      </c>
      <c r="CO12" s="353">
        <f t="shared" si="19"/>
        <v>0.15249042145593869</v>
      </c>
      <c r="CP12" s="353">
        <f t="shared" si="19"/>
        <v>0.15249042145593869</v>
      </c>
      <c r="CQ12" s="353">
        <f t="shared" si="19"/>
        <v>0.15249042145593869</v>
      </c>
      <c r="CR12" s="353">
        <f t="shared" si="19"/>
        <v>0.15249042145593869</v>
      </c>
      <c r="CS12" s="353">
        <f t="shared" si="19"/>
        <v>0.15249042145593869</v>
      </c>
      <c r="CT12" s="353">
        <f t="shared" si="19"/>
        <v>0.15249042145593869</v>
      </c>
      <c r="CU12" s="353">
        <f t="shared" si="19"/>
        <v>0.15249042145593869</v>
      </c>
      <c r="CV12" s="353">
        <f t="shared" si="19"/>
        <v>0.15249042145593869</v>
      </c>
      <c r="CW12" s="353">
        <f t="shared" si="19"/>
        <v>0.15249042145593869</v>
      </c>
      <c r="CX12" s="353">
        <f t="shared" si="19"/>
        <v>0.15249042145593869</v>
      </c>
      <c r="CY12" s="353">
        <f t="shared" si="19"/>
        <v>0.15249042145593869</v>
      </c>
      <c r="CZ12" s="353">
        <f t="shared" si="19"/>
        <v>0.15249042145593869</v>
      </c>
      <c r="DA12" s="353">
        <f t="shared" si="19"/>
        <v>0.15249042145593869</v>
      </c>
      <c r="DB12" s="353">
        <f t="shared" si="19"/>
        <v>0.15249042145593869</v>
      </c>
      <c r="DC12" s="353">
        <f t="shared" si="19"/>
        <v>0.15249042145593869</v>
      </c>
      <c r="DD12" s="353">
        <f t="shared" si="19"/>
        <v>0.15249042145593869</v>
      </c>
      <c r="DE12" s="353">
        <f t="shared" si="19"/>
        <v>0.15249042145593869</v>
      </c>
      <c r="DF12" s="353">
        <f t="shared" si="19"/>
        <v>0.15249042145593869</v>
      </c>
      <c r="DG12" s="353">
        <f t="shared" si="19"/>
        <v>0.15249042145593869</v>
      </c>
      <c r="DH12" s="353">
        <f t="shared" si="19"/>
        <v>0.15249042145593869</v>
      </c>
      <c r="DI12" s="353">
        <f t="shared" si="19"/>
        <v>0.15249042145593869</v>
      </c>
      <c r="DJ12" s="353">
        <f t="shared" si="19"/>
        <v>0.15249042145593869</v>
      </c>
      <c r="DK12" s="353">
        <f t="shared" si="19"/>
        <v>0.15249042145593869</v>
      </c>
      <c r="DL12" s="353">
        <f t="shared" si="19"/>
        <v>0.15249042145593869</v>
      </c>
      <c r="DM12" s="353">
        <f t="shared" si="19"/>
        <v>0.15249042145593869</v>
      </c>
      <c r="DN12" s="353">
        <f t="shared" si="19"/>
        <v>0.15249042145593869</v>
      </c>
      <c r="DO12" s="353">
        <f t="shared" si="19"/>
        <v>0.15249042145593869</v>
      </c>
      <c r="DP12" s="353">
        <f t="shared" si="19"/>
        <v>0.15249042145593869</v>
      </c>
      <c r="DQ12" s="353">
        <f t="shared" si="19"/>
        <v>0.15249042145593869</v>
      </c>
      <c r="DR12" s="353">
        <f t="shared" si="19"/>
        <v>0.15249042145593869</v>
      </c>
      <c r="DS12" s="353">
        <f t="shared" si="19"/>
        <v>0.15249042145593869</v>
      </c>
      <c r="DT12" s="353">
        <f t="shared" si="19"/>
        <v>0.15249042145593869</v>
      </c>
    </row>
    <row r="13" spans="2:124" ht="13.5" thickBot="1" x14ac:dyDescent="0.35">
      <c r="B13" s="1055" t="str">
        <f t="shared" si="4"/>
        <v>PhilippinesBackofficeL1</v>
      </c>
      <c r="C13" s="1103" t="s">
        <v>348</v>
      </c>
      <c r="D13" s="1104">
        <v>0.13793103448275862</v>
      </c>
      <c r="E13" s="1104">
        <f t="shared" si="5"/>
        <v>0.13793103448275862</v>
      </c>
      <c r="F13" s="1104">
        <f t="shared" ref="F13:BQ13" si="20">E13</f>
        <v>0.13793103448275862</v>
      </c>
      <c r="G13" s="1104">
        <f t="shared" si="20"/>
        <v>0.13793103448275862</v>
      </c>
      <c r="H13" s="1104">
        <f t="shared" si="20"/>
        <v>0.13793103448275862</v>
      </c>
      <c r="I13" s="1104">
        <f t="shared" si="20"/>
        <v>0.13793103448275862</v>
      </c>
      <c r="J13" s="1104">
        <f t="shared" si="20"/>
        <v>0.13793103448275862</v>
      </c>
      <c r="K13" s="1104">
        <f t="shared" si="20"/>
        <v>0.13793103448275862</v>
      </c>
      <c r="L13" s="1104">
        <f t="shared" si="20"/>
        <v>0.13793103448275862</v>
      </c>
      <c r="M13" s="1104">
        <f t="shared" si="20"/>
        <v>0.13793103448275862</v>
      </c>
      <c r="N13" s="1104">
        <f t="shared" si="20"/>
        <v>0.13793103448275862</v>
      </c>
      <c r="O13" s="1104">
        <f t="shared" si="20"/>
        <v>0.13793103448275862</v>
      </c>
      <c r="P13" s="1104">
        <f t="shared" si="20"/>
        <v>0.13793103448275862</v>
      </c>
      <c r="Q13" s="1104">
        <f t="shared" si="20"/>
        <v>0.13793103448275862</v>
      </c>
      <c r="R13" s="1104">
        <f t="shared" si="20"/>
        <v>0.13793103448275862</v>
      </c>
      <c r="S13" s="1104">
        <f t="shared" si="20"/>
        <v>0.13793103448275862</v>
      </c>
      <c r="T13" s="1104">
        <f t="shared" si="20"/>
        <v>0.13793103448275862</v>
      </c>
      <c r="U13" s="1104">
        <f t="shared" si="20"/>
        <v>0.13793103448275862</v>
      </c>
      <c r="V13" s="1104">
        <f t="shared" si="20"/>
        <v>0.13793103448275862</v>
      </c>
      <c r="W13" s="1104">
        <f t="shared" si="20"/>
        <v>0.13793103448275862</v>
      </c>
      <c r="X13" s="1104">
        <f t="shared" si="20"/>
        <v>0.13793103448275862</v>
      </c>
      <c r="Y13" s="1104">
        <f t="shared" si="20"/>
        <v>0.13793103448275862</v>
      </c>
      <c r="Z13" s="1104">
        <f t="shared" si="20"/>
        <v>0.13793103448275862</v>
      </c>
      <c r="AA13" s="1104">
        <f t="shared" si="20"/>
        <v>0.13793103448275862</v>
      </c>
      <c r="AB13" s="1104">
        <f t="shared" si="20"/>
        <v>0.13793103448275862</v>
      </c>
      <c r="AC13" s="1104">
        <f t="shared" si="20"/>
        <v>0.13793103448275862</v>
      </c>
      <c r="AD13" s="1104">
        <f t="shared" si="20"/>
        <v>0.13793103448275862</v>
      </c>
      <c r="AE13" s="1104">
        <f t="shared" si="20"/>
        <v>0.13793103448275862</v>
      </c>
      <c r="AF13" s="1104">
        <f t="shared" si="20"/>
        <v>0.13793103448275862</v>
      </c>
      <c r="AG13" s="1104">
        <f t="shared" si="20"/>
        <v>0.13793103448275862</v>
      </c>
      <c r="AH13" s="1104">
        <f t="shared" si="20"/>
        <v>0.13793103448275862</v>
      </c>
      <c r="AI13" s="1104">
        <f t="shared" si="20"/>
        <v>0.13793103448275862</v>
      </c>
      <c r="AJ13" s="1104">
        <f t="shared" si="20"/>
        <v>0.13793103448275862</v>
      </c>
      <c r="AK13" s="1104">
        <f t="shared" si="20"/>
        <v>0.13793103448275862</v>
      </c>
      <c r="AL13" s="1104">
        <f t="shared" si="20"/>
        <v>0.13793103448275862</v>
      </c>
      <c r="AM13" s="1104">
        <f t="shared" si="20"/>
        <v>0.13793103448275862</v>
      </c>
      <c r="AN13" s="1104">
        <f t="shared" si="20"/>
        <v>0.13793103448275862</v>
      </c>
      <c r="AO13" s="1104">
        <f t="shared" si="20"/>
        <v>0.13793103448275862</v>
      </c>
      <c r="AP13" s="1104">
        <f t="shared" si="20"/>
        <v>0.13793103448275862</v>
      </c>
      <c r="AQ13" s="1104">
        <f t="shared" si="20"/>
        <v>0.13793103448275862</v>
      </c>
      <c r="AR13" s="1104">
        <f t="shared" si="20"/>
        <v>0.13793103448275862</v>
      </c>
      <c r="AS13" s="1104">
        <f t="shared" si="20"/>
        <v>0.13793103448275862</v>
      </c>
      <c r="AT13" s="1104">
        <f t="shared" si="20"/>
        <v>0.13793103448275862</v>
      </c>
      <c r="AU13" s="1104">
        <f t="shared" si="20"/>
        <v>0.13793103448275862</v>
      </c>
      <c r="AV13" s="1104">
        <f t="shared" si="20"/>
        <v>0.13793103448275862</v>
      </c>
      <c r="AW13" s="1104">
        <f t="shared" si="20"/>
        <v>0.13793103448275862</v>
      </c>
      <c r="AX13" s="1104">
        <f t="shared" si="20"/>
        <v>0.13793103448275862</v>
      </c>
      <c r="AY13" s="1104">
        <f t="shared" si="20"/>
        <v>0.13793103448275862</v>
      </c>
      <c r="AZ13" s="1104">
        <f t="shared" si="20"/>
        <v>0.13793103448275862</v>
      </c>
      <c r="BA13" s="1104">
        <f t="shared" si="20"/>
        <v>0.13793103448275862</v>
      </c>
      <c r="BB13" s="1104">
        <f t="shared" si="20"/>
        <v>0.13793103448275862</v>
      </c>
      <c r="BC13" s="1104">
        <f t="shared" si="20"/>
        <v>0.13793103448275862</v>
      </c>
      <c r="BD13" s="1104">
        <f t="shared" si="20"/>
        <v>0.13793103448275862</v>
      </c>
      <c r="BE13" s="1104">
        <f t="shared" si="20"/>
        <v>0.13793103448275862</v>
      </c>
      <c r="BF13" s="1104">
        <f t="shared" si="20"/>
        <v>0.13793103448275862</v>
      </c>
      <c r="BG13" s="1104">
        <f t="shared" si="20"/>
        <v>0.13793103448275862</v>
      </c>
      <c r="BH13" s="1104">
        <f t="shared" si="20"/>
        <v>0.13793103448275862</v>
      </c>
      <c r="BI13" s="1104">
        <f t="shared" si="20"/>
        <v>0.13793103448275862</v>
      </c>
      <c r="BJ13" s="1104">
        <f t="shared" si="20"/>
        <v>0.13793103448275862</v>
      </c>
      <c r="BK13" s="1104">
        <f t="shared" si="20"/>
        <v>0.13793103448275862</v>
      </c>
      <c r="BL13" s="1104">
        <f t="shared" si="20"/>
        <v>0.13793103448275862</v>
      </c>
      <c r="BM13" s="1104">
        <f t="shared" si="20"/>
        <v>0.13793103448275862</v>
      </c>
      <c r="BN13" s="1104">
        <f t="shared" si="20"/>
        <v>0.13793103448275862</v>
      </c>
      <c r="BO13" s="1104">
        <f t="shared" si="20"/>
        <v>0.13793103448275862</v>
      </c>
      <c r="BP13" s="1104">
        <f t="shared" si="20"/>
        <v>0.13793103448275862</v>
      </c>
      <c r="BQ13" s="1104">
        <f t="shared" si="20"/>
        <v>0.13793103448275862</v>
      </c>
      <c r="BR13" s="1104">
        <f t="shared" ref="BR13:DT13" si="21">BQ13</f>
        <v>0.13793103448275862</v>
      </c>
      <c r="BS13" s="1104">
        <f t="shared" si="21"/>
        <v>0.13793103448275862</v>
      </c>
      <c r="BT13" s="1104">
        <f t="shared" si="21"/>
        <v>0.13793103448275862</v>
      </c>
      <c r="BU13" s="1104">
        <f t="shared" si="21"/>
        <v>0.13793103448275862</v>
      </c>
      <c r="BV13" s="1104">
        <f t="shared" si="21"/>
        <v>0.13793103448275862</v>
      </c>
      <c r="BW13" s="1104">
        <f t="shared" si="21"/>
        <v>0.13793103448275862</v>
      </c>
      <c r="BX13" s="1104">
        <f t="shared" si="21"/>
        <v>0.13793103448275862</v>
      </c>
      <c r="BY13" s="1104">
        <f t="shared" si="21"/>
        <v>0.13793103448275862</v>
      </c>
      <c r="BZ13" s="1104">
        <f t="shared" si="21"/>
        <v>0.13793103448275862</v>
      </c>
      <c r="CA13" s="1104">
        <f t="shared" si="21"/>
        <v>0.13793103448275862</v>
      </c>
      <c r="CB13" s="1104">
        <f t="shared" si="21"/>
        <v>0.13793103448275862</v>
      </c>
      <c r="CC13" s="1104">
        <f t="shared" si="21"/>
        <v>0.13793103448275862</v>
      </c>
      <c r="CD13" s="1104">
        <f t="shared" si="21"/>
        <v>0.13793103448275862</v>
      </c>
      <c r="CE13" s="1104">
        <f t="shared" si="21"/>
        <v>0.13793103448275862</v>
      </c>
      <c r="CF13" s="1104">
        <f t="shared" si="21"/>
        <v>0.13793103448275862</v>
      </c>
      <c r="CG13" s="1104">
        <f t="shared" si="21"/>
        <v>0.13793103448275862</v>
      </c>
      <c r="CH13" s="1104">
        <f t="shared" si="21"/>
        <v>0.13793103448275862</v>
      </c>
      <c r="CI13" s="1104">
        <f t="shared" si="21"/>
        <v>0.13793103448275862</v>
      </c>
      <c r="CJ13" s="1104">
        <f t="shared" si="21"/>
        <v>0.13793103448275862</v>
      </c>
      <c r="CK13" s="1104">
        <f t="shared" si="21"/>
        <v>0.13793103448275862</v>
      </c>
      <c r="CL13" s="1104">
        <f t="shared" si="21"/>
        <v>0.13793103448275862</v>
      </c>
      <c r="CM13" s="1104">
        <f t="shared" si="21"/>
        <v>0.13793103448275862</v>
      </c>
      <c r="CN13" s="1104">
        <f t="shared" si="21"/>
        <v>0.13793103448275862</v>
      </c>
      <c r="CO13" s="1104">
        <f t="shared" si="21"/>
        <v>0.13793103448275862</v>
      </c>
      <c r="CP13" s="1104">
        <f t="shared" si="21"/>
        <v>0.13793103448275862</v>
      </c>
      <c r="CQ13" s="1104">
        <f t="shared" si="21"/>
        <v>0.13793103448275862</v>
      </c>
      <c r="CR13" s="1104">
        <f t="shared" si="21"/>
        <v>0.13793103448275862</v>
      </c>
      <c r="CS13" s="1104">
        <f t="shared" si="21"/>
        <v>0.13793103448275862</v>
      </c>
      <c r="CT13" s="1104">
        <f t="shared" si="21"/>
        <v>0.13793103448275862</v>
      </c>
      <c r="CU13" s="1104">
        <f t="shared" si="21"/>
        <v>0.13793103448275862</v>
      </c>
      <c r="CV13" s="1104">
        <f t="shared" si="21"/>
        <v>0.13793103448275862</v>
      </c>
      <c r="CW13" s="1104">
        <f t="shared" si="21"/>
        <v>0.13793103448275862</v>
      </c>
      <c r="CX13" s="1104">
        <f t="shared" si="21"/>
        <v>0.13793103448275862</v>
      </c>
      <c r="CY13" s="1104">
        <f t="shared" si="21"/>
        <v>0.13793103448275862</v>
      </c>
      <c r="CZ13" s="1104">
        <f t="shared" si="21"/>
        <v>0.13793103448275862</v>
      </c>
      <c r="DA13" s="1104">
        <f t="shared" si="21"/>
        <v>0.13793103448275862</v>
      </c>
      <c r="DB13" s="1104">
        <f t="shared" si="21"/>
        <v>0.13793103448275862</v>
      </c>
      <c r="DC13" s="1104">
        <f t="shared" si="21"/>
        <v>0.13793103448275862</v>
      </c>
      <c r="DD13" s="1104">
        <f t="shared" si="21"/>
        <v>0.13793103448275862</v>
      </c>
      <c r="DE13" s="1104">
        <f t="shared" si="21"/>
        <v>0.13793103448275862</v>
      </c>
      <c r="DF13" s="1104">
        <f t="shared" si="21"/>
        <v>0.13793103448275862</v>
      </c>
      <c r="DG13" s="1104">
        <f t="shared" si="21"/>
        <v>0.13793103448275862</v>
      </c>
      <c r="DH13" s="1104">
        <f t="shared" si="21"/>
        <v>0.13793103448275862</v>
      </c>
      <c r="DI13" s="1104">
        <f t="shared" si="21"/>
        <v>0.13793103448275862</v>
      </c>
      <c r="DJ13" s="1104">
        <f t="shared" si="21"/>
        <v>0.13793103448275862</v>
      </c>
      <c r="DK13" s="1104">
        <f t="shared" si="21"/>
        <v>0.13793103448275862</v>
      </c>
      <c r="DL13" s="1104">
        <f t="shared" si="21"/>
        <v>0.13793103448275862</v>
      </c>
      <c r="DM13" s="1104">
        <f t="shared" si="21"/>
        <v>0.13793103448275862</v>
      </c>
      <c r="DN13" s="1104">
        <f t="shared" si="21"/>
        <v>0.13793103448275862</v>
      </c>
      <c r="DO13" s="1104">
        <f t="shared" si="21"/>
        <v>0.13793103448275862</v>
      </c>
      <c r="DP13" s="1104">
        <f t="shared" si="21"/>
        <v>0.13793103448275862</v>
      </c>
      <c r="DQ13" s="1104">
        <f t="shared" si="21"/>
        <v>0.13793103448275862</v>
      </c>
      <c r="DR13" s="1104">
        <f t="shared" si="21"/>
        <v>0.13793103448275862</v>
      </c>
      <c r="DS13" s="1104">
        <f t="shared" si="21"/>
        <v>0.13793103448275862</v>
      </c>
      <c r="DT13" s="1104">
        <f t="shared" si="21"/>
        <v>0.13793103448275862</v>
      </c>
    </row>
    <row r="14" spans="2:124" ht="13.5" thickBot="1" x14ac:dyDescent="0.35">
      <c r="C14" s="1087"/>
      <c r="D14" s="1024"/>
      <c r="E14" s="1024"/>
      <c r="F14" s="1024"/>
      <c r="G14" s="1024"/>
      <c r="H14" s="1024"/>
      <c r="I14" s="1024"/>
      <c r="J14" s="1024"/>
      <c r="K14" s="1024"/>
      <c r="L14" s="1024"/>
      <c r="M14" s="1024"/>
      <c r="N14" s="1024"/>
      <c r="O14" s="1024"/>
      <c r="P14" s="1024"/>
      <c r="Q14" s="1024"/>
      <c r="R14" s="1024"/>
      <c r="S14" s="1024"/>
      <c r="T14" s="1024"/>
      <c r="U14" s="1024"/>
      <c r="V14" s="1024"/>
      <c r="W14" s="1024"/>
      <c r="X14" s="1024"/>
      <c r="Y14" s="1024"/>
      <c r="Z14" s="1024"/>
      <c r="AA14" s="1024"/>
      <c r="AB14" s="1024"/>
      <c r="AC14" s="1024"/>
      <c r="AD14" s="1024"/>
      <c r="AE14" s="1024"/>
      <c r="AF14" s="1024"/>
      <c r="AG14" s="1024"/>
      <c r="AH14" s="1024"/>
      <c r="AI14" s="1024"/>
      <c r="AJ14" s="1024"/>
      <c r="AK14" s="1024"/>
      <c r="AL14" s="1024"/>
      <c r="AM14" s="1024"/>
      <c r="AN14" s="1024"/>
      <c r="AO14" s="1024"/>
      <c r="AP14" s="1024"/>
      <c r="AQ14" s="1024"/>
      <c r="AR14" s="1024"/>
      <c r="AS14" s="1024"/>
      <c r="AT14" s="1024"/>
      <c r="AU14" s="1024"/>
      <c r="AV14" s="1024"/>
      <c r="AW14" s="1024"/>
      <c r="AX14" s="1024"/>
      <c r="AY14" s="1024"/>
      <c r="AZ14" s="1024"/>
      <c r="BA14" s="1024"/>
      <c r="BB14" s="1024"/>
      <c r="BC14" s="1024"/>
      <c r="BD14" s="1024"/>
      <c r="BE14" s="1024"/>
      <c r="BF14" s="1024"/>
      <c r="BG14" s="1024"/>
      <c r="BH14" s="1024"/>
      <c r="BI14" s="1024"/>
      <c r="BJ14" s="1024"/>
      <c r="BK14" s="1024"/>
      <c r="BL14" s="1024"/>
      <c r="BM14" s="1024"/>
      <c r="BN14" s="1024"/>
      <c r="BO14" s="1024"/>
      <c r="BP14" s="1024"/>
      <c r="BQ14" s="1024"/>
      <c r="BR14" s="1024"/>
      <c r="BS14" s="1024"/>
      <c r="BT14" s="1024"/>
      <c r="BU14" s="1024"/>
      <c r="BV14" s="1024"/>
      <c r="BW14" s="1024"/>
      <c r="BX14" s="1024"/>
      <c r="BY14" s="1024"/>
      <c r="BZ14" s="1024"/>
      <c r="CA14" s="1024"/>
      <c r="CB14" s="1024"/>
      <c r="CC14" s="1024"/>
      <c r="CD14" s="1024"/>
      <c r="CE14" s="1024"/>
      <c r="CF14" s="1024"/>
      <c r="CG14" s="1024"/>
      <c r="CH14" s="1024"/>
      <c r="CI14" s="1024"/>
      <c r="CJ14" s="1024"/>
      <c r="CK14" s="1024"/>
      <c r="CL14" s="1024"/>
      <c r="CM14" s="1024"/>
      <c r="CN14" s="1024"/>
      <c r="CO14" s="1024"/>
      <c r="CP14" s="1024"/>
      <c r="CQ14" s="1024"/>
      <c r="CR14" s="1024"/>
      <c r="CS14" s="1024"/>
      <c r="CT14" s="1024"/>
      <c r="CU14" s="1024"/>
      <c r="CV14" s="1024"/>
      <c r="CW14" s="1024"/>
      <c r="CX14" s="1024"/>
      <c r="CY14" s="1024"/>
      <c r="CZ14" s="1024"/>
      <c r="DA14" s="1024"/>
      <c r="DB14" s="1024"/>
      <c r="DC14" s="1024"/>
      <c r="DD14" s="1024"/>
      <c r="DE14" s="1024"/>
      <c r="DF14" s="1024"/>
      <c r="DG14" s="1024"/>
      <c r="DH14" s="1024"/>
      <c r="DI14" s="1024"/>
      <c r="DJ14" s="1024"/>
      <c r="DK14" s="1024"/>
      <c r="DL14" s="1024"/>
      <c r="DM14" s="1024"/>
      <c r="DN14" s="1024"/>
      <c r="DO14" s="1024"/>
      <c r="DP14" s="1024"/>
      <c r="DQ14" s="1024"/>
      <c r="DR14" s="1024"/>
      <c r="DS14" s="1024"/>
      <c r="DT14" s="1024"/>
    </row>
    <row r="15" spans="2:124" ht="13.5" thickBot="1" x14ac:dyDescent="0.35">
      <c r="B15" s="1022">
        <f>B4+1</f>
        <v>2</v>
      </c>
      <c r="C15" s="1088" t="s">
        <v>268</v>
      </c>
      <c r="D15" s="1025"/>
      <c r="E15" s="1025"/>
      <c r="F15" s="1025"/>
      <c r="G15" s="1025"/>
      <c r="H15" s="1025"/>
      <c r="I15" s="1025"/>
      <c r="J15" s="1025"/>
      <c r="K15" s="1025"/>
      <c r="L15" s="1025"/>
      <c r="M15" s="1025"/>
      <c r="N15" s="1025"/>
      <c r="O15" s="1025"/>
      <c r="P15" s="1025"/>
      <c r="Q15" s="1025"/>
      <c r="R15" s="1025"/>
      <c r="S15" s="1025"/>
      <c r="T15" s="1025"/>
      <c r="U15" s="1025"/>
      <c r="V15" s="1025"/>
      <c r="W15" s="1025"/>
      <c r="X15" s="1025"/>
      <c r="Y15" s="1025"/>
      <c r="Z15" s="1025"/>
      <c r="AA15" s="1025"/>
      <c r="AB15" s="1025"/>
      <c r="AC15" s="1025"/>
      <c r="AD15" s="1025"/>
      <c r="AE15" s="1025"/>
      <c r="AF15" s="1025"/>
      <c r="AG15" s="1025"/>
      <c r="AH15" s="1025"/>
      <c r="AI15" s="1025"/>
      <c r="AJ15" s="1025"/>
      <c r="AK15" s="1025"/>
      <c r="AL15" s="1025"/>
      <c r="AM15" s="1025"/>
      <c r="AN15" s="1025"/>
      <c r="AO15" s="1025"/>
      <c r="AP15" s="1025"/>
      <c r="AQ15" s="1025"/>
      <c r="AR15" s="1025"/>
      <c r="AS15" s="1025"/>
      <c r="AT15" s="1025"/>
      <c r="AU15" s="1025"/>
      <c r="AV15" s="1025"/>
      <c r="AW15" s="1025"/>
      <c r="AX15" s="1025"/>
      <c r="AY15" s="1025"/>
      <c r="AZ15" s="1025"/>
      <c r="BA15" s="1025"/>
      <c r="BB15" s="1025"/>
      <c r="BC15" s="1025"/>
      <c r="BD15" s="1025"/>
      <c r="BE15" s="1025"/>
      <c r="BF15" s="1025"/>
      <c r="BG15" s="1025"/>
      <c r="BH15" s="1025"/>
      <c r="BI15" s="1025"/>
      <c r="BJ15" s="1025"/>
      <c r="BK15" s="1025"/>
      <c r="BL15" s="1025"/>
      <c r="BM15" s="1025"/>
      <c r="BN15" s="1025"/>
      <c r="BO15" s="1025"/>
      <c r="BP15" s="1025"/>
      <c r="BQ15" s="1025"/>
      <c r="BR15" s="1025"/>
      <c r="BS15" s="1025"/>
      <c r="BT15" s="1025"/>
      <c r="BU15" s="1025"/>
      <c r="BV15" s="1025"/>
      <c r="BW15" s="1025"/>
      <c r="BX15" s="1025"/>
      <c r="BY15" s="1025"/>
      <c r="BZ15" s="1025"/>
      <c r="CA15" s="1025"/>
      <c r="CB15" s="1025"/>
      <c r="CC15" s="1025"/>
      <c r="CD15" s="1025"/>
      <c r="CE15" s="1025"/>
      <c r="CF15" s="1025"/>
      <c r="CG15" s="1025"/>
      <c r="CH15" s="1025"/>
      <c r="CI15" s="1025"/>
      <c r="CJ15" s="1025"/>
      <c r="CK15" s="1025"/>
      <c r="CL15" s="1025"/>
      <c r="CM15" s="1025"/>
      <c r="CN15" s="1025"/>
      <c r="CO15" s="1025"/>
      <c r="CP15" s="1025"/>
      <c r="CQ15" s="1025"/>
      <c r="CR15" s="1025"/>
      <c r="CS15" s="1025"/>
      <c r="CT15" s="1025"/>
      <c r="CU15" s="1025"/>
      <c r="CV15" s="1025"/>
      <c r="CW15" s="1025"/>
      <c r="CX15" s="1025"/>
      <c r="CY15" s="1025"/>
      <c r="CZ15" s="1025"/>
      <c r="DA15" s="1025"/>
      <c r="DB15" s="1025"/>
      <c r="DC15" s="1025"/>
      <c r="DD15" s="1025"/>
      <c r="DE15" s="1025"/>
      <c r="DF15" s="1025"/>
      <c r="DG15" s="1025"/>
      <c r="DH15" s="1025"/>
      <c r="DI15" s="1025"/>
      <c r="DJ15" s="1025"/>
      <c r="DK15" s="1025"/>
      <c r="DL15" s="1025"/>
      <c r="DM15" s="1025"/>
      <c r="DN15" s="1025"/>
      <c r="DO15" s="1025"/>
      <c r="DP15" s="1025"/>
      <c r="DQ15" s="1025"/>
      <c r="DR15" s="1025"/>
      <c r="DS15" s="1025"/>
      <c r="DT15" s="1026"/>
    </row>
    <row r="16" spans="2:124" x14ac:dyDescent="0.3">
      <c r="B16" s="1055" t="str">
        <f>C16&amp;$C$2&amp;$D$2</f>
        <v>USBackofficeL1</v>
      </c>
      <c r="C16" s="1108" t="str">
        <f>C5</f>
        <v>US</v>
      </c>
      <c r="D16" s="1106">
        <v>0.11187739463601533</v>
      </c>
      <c r="E16" s="1106">
        <f>D16</f>
        <v>0.11187739463601533</v>
      </c>
      <c r="F16" s="1106">
        <f t="shared" ref="F16:BQ16" si="22">E16</f>
        <v>0.11187739463601533</v>
      </c>
      <c r="G16" s="1106">
        <f t="shared" si="22"/>
        <v>0.11187739463601533</v>
      </c>
      <c r="H16" s="1106">
        <f t="shared" si="22"/>
        <v>0.11187739463601533</v>
      </c>
      <c r="I16" s="1106">
        <f t="shared" si="22"/>
        <v>0.11187739463601533</v>
      </c>
      <c r="J16" s="1106">
        <f t="shared" si="22"/>
        <v>0.11187739463601533</v>
      </c>
      <c r="K16" s="1106">
        <f t="shared" si="22"/>
        <v>0.11187739463601533</v>
      </c>
      <c r="L16" s="1106">
        <f t="shared" si="22"/>
        <v>0.11187739463601533</v>
      </c>
      <c r="M16" s="1106">
        <f t="shared" si="22"/>
        <v>0.11187739463601533</v>
      </c>
      <c r="N16" s="1106">
        <f t="shared" si="22"/>
        <v>0.11187739463601533</v>
      </c>
      <c r="O16" s="1106">
        <f t="shared" si="22"/>
        <v>0.11187739463601533</v>
      </c>
      <c r="P16" s="1106">
        <f t="shared" si="22"/>
        <v>0.11187739463601533</v>
      </c>
      <c r="Q16" s="1106">
        <f t="shared" si="22"/>
        <v>0.11187739463601533</v>
      </c>
      <c r="R16" s="1106">
        <f t="shared" si="22"/>
        <v>0.11187739463601533</v>
      </c>
      <c r="S16" s="1106">
        <f t="shared" si="22"/>
        <v>0.11187739463601533</v>
      </c>
      <c r="T16" s="1106">
        <f t="shared" si="22"/>
        <v>0.11187739463601533</v>
      </c>
      <c r="U16" s="1106">
        <f t="shared" si="22"/>
        <v>0.11187739463601533</v>
      </c>
      <c r="V16" s="1106">
        <f t="shared" si="22"/>
        <v>0.11187739463601533</v>
      </c>
      <c r="W16" s="1106">
        <f t="shared" si="22"/>
        <v>0.11187739463601533</v>
      </c>
      <c r="X16" s="1106">
        <f t="shared" si="22"/>
        <v>0.11187739463601533</v>
      </c>
      <c r="Y16" s="1106">
        <f t="shared" si="22"/>
        <v>0.11187739463601533</v>
      </c>
      <c r="Z16" s="1106">
        <f t="shared" si="22"/>
        <v>0.11187739463601533</v>
      </c>
      <c r="AA16" s="1106">
        <f t="shared" si="22"/>
        <v>0.11187739463601533</v>
      </c>
      <c r="AB16" s="1106">
        <f t="shared" si="22"/>
        <v>0.11187739463601533</v>
      </c>
      <c r="AC16" s="1106">
        <f t="shared" si="22"/>
        <v>0.11187739463601533</v>
      </c>
      <c r="AD16" s="1106">
        <f t="shared" si="22"/>
        <v>0.11187739463601533</v>
      </c>
      <c r="AE16" s="1106">
        <f t="shared" si="22"/>
        <v>0.11187739463601533</v>
      </c>
      <c r="AF16" s="1106">
        <f t="shared" si="22"/>
        <v>0.11187739463601533</v>
      </c>
      <c r="AG16" s="1106">
        <f t="shared" si="22"/>
        <v>0.11187739463601533</v>
      </c>
      <c r="AH16" s="1106">
        <f t="shared" si="22"/>
        <v>0.11187739463601533</v>
      </c>
      <c r="AI16" s="1106">
        <f t="shared" si="22"/>
        <v>0.11187739463601533</v>
      </c>
      <c r="AJ16" s="1106">
        <f t="shared" si="22"/>
        <v>0.11187739463601533</v>
      </c>
      <c r="AK16" s="1106">
        <f t="shared" si="22"/>
        <v>0.11187739463601533</v>
      </c>
      <c r="AL16" s="1106">
        <f t="shared" si="22"/>
        <v>0.11187739463601533</v>
      </c>
      <c r="AM16" s="1106">
        <f t="shared" si="22"/>
        <v>0.11187739463601533</v>
      </c>
      <c r="AN16" s="1106">
        <f t="shared" si="22"/>
        <v>0.11187739463601533</v>
      </c>
      <c r="AO16" s="1106">
        <f t="shared" si="22"/>
        <v>0.11187739463601533</v>
      </c>
      <c r="AP16" s="1106">
        <f t="shared" si="22"/>
        <v>0.11187739463601533</v>
      </c>
      <c r="AQ16" s="1106">
        <f t="shared" si="22"/>
        <v>0.11187739463601533</v>
      </c>
      <c r="AR16" s="1106">
        <f t="shared" si="22"/>
        <v>0.11187739463601533</v>
      </c>
      <c r="AS16" s="1106">
        <f t="shared" si="22"/>
        <v>0.11187739463601533</v>
      </c>
      <c r="AT16" s="1106">
        <f t="shared" si="22"/>
        <v>0.11187739463601533</v>
      </c>
      <c r="AU16" s="1106">
        <f t="shared" si="22"/>
        <v>0.11187739463601533</v>
      </c>
      <c r="AV16" s="1106">
        <f t="shared" si="22"/>
        <v>0.11187739463601533</v>
      </c>
      <c r="AW16" s="1106">
        <f t="shared" si="22"/>
        <v>0.11187739463601533</v>
      </c>
      <c r="AX16" s="1106">
        <f t="shared" si="22"/>
        <v>0.11187739463601533</v>
      </c>
      <c r="AY16" s="1106">
        <f t="shared" si="22"/>
        <v>0.11187739463601533</v>
      </c>
      <c r="AZ16" s="1106">
        <f t="shared" si="22"/>
        <v>0.11187739463601533</v>
      </c>
      <c r="BA16" s="1106">
        <f t="shared" si="22"/>
        <v>0.11187739463601533</v>
      </c>
      <c r="BB16" s="1106">
        <f t="shared" si="22"/>
        <v>0.11187739463601533</v>
      </c>
      <c r="BC16" s="1106">
        <f t="shared" si="22"/>
        <v>0.11187739463601533</v>
      </c>
      <c r="BD16" s="1106">
        <f t="shared" si="22"/>
        <v>0.11187739463601533</v>
      </c>
      <c r="BE16" s="1106">
        <f t="shared" si="22"/>
        <v>0.11187739463601533</v>
      </c>
      <c r="BF16" s="1106">
        <f t="shared" si="22"/>
        <v>0.11187739463601533</v>
      </c>
      <c r="BG16" s="1106">
        <f t="shared" si="22"/>
        <v>0.11187739463601533</v>
      </c>
      <c r="BH16" s="1106">
        <f t="shared" si="22"/>
        <v>0.11187739463601533</v>
      </c>
      <c r="BI16" s="1106">
        <f t="shared" si="22"/>
        <v>0.11187739463601533</v>
      </c>
      <c r="BJ16" s="1106">
        <f t="shared" si="22"/>
        <v>0.11187739463601533</v>
      </c>
      <c r="BK16" s="1106">
        <f t="shared" si="22"/>
        <v>0.11187739463601533</v>
      </c>
      <c r="BL16" s="1106">
        <f t="shared" si="22"/>
        <v>0.11187739463601533</v>
      </c>
      <c r="BM16" s="1106">
        <f t="shared" si="22"/>
        <v>0.11187739463601533</v>
      </c>
      <c r="BN16" s="1106">
        <f t="shared" si="22"/>
        <v>0.11187739463601533</v>
      </c>
      <c r="BO16" s="1106">
        <f t="shared" si="22"/>
        <v>0.11187739463601533</v>
      </c>
      <c r="BP16" s="1106">
        <f t="shared" si="22"/>
        <v>0.11187739463601533</v>
      </c>
      <c r="BQ16" s="1106">
        <f t="shared" si="22"/>
        <v>0.11187739463601533</v>
      </c>
      <c r="BR16" s="1106">
        <f t="shared" ref="BR16:DT16" si="23">BQ16</f>
        <v>0.11187739463601533</v>
      </c>
      <c r="BS16" s="1106">
        <f t="shared" si="23"/>
        <v>0.11187739463601533</v>
      </c>
      <c r="BT16" s="1106">
        <f t="shared" si="23"/>
        <v>0.11187739463601533</v>
      </c>
      <c r="BU16" s="1106">
        <f t="shared" si="23"/>
        <v>0.11187739463601533</v>
      </c>
      <c r="BV16" s="1106">
        <f t="shared" si="23"/>
        <v>0.11187739463601533</v>
      </c>
      <c r="BW16" s="1106">
        <f t="shared" si="23"/>
        <v>0.11187739463601533</v>
      </c>
      <c r="BX16" s="1106">
        <f t="shared" si="23"/>
        <v>0.11187739463601533</v>
      </c>
      <c r="BY16" s="1106">
        <f t="shared" si="23"/>
        <v>0.11187739463601533</v>
      </c>
      <c r="BZ16" s="1106">
        <f t="shared" si="23"/>
        <v>0.11187739463601533</v>
      </c>
      <c r="CA16" s="1106">
        <f t="shared" si="23"/>
        <v>0.11187739463601533</v>
      </c>
      <c r="CB16" s="1106">
        <f t="shared" si="23"/>
        <v>0.11187739463601533</v>
      </c>
      <c r="CC16" s="1106">
        <f t="shared" si="23"/>
        <v>0.11187739463601533</v>
      </c>
      <c r="CD16" s="1106">
        <f t="shared" si="23"/>
        <v>0.11187739463601533</v>
      </c>
      <c r="CE16" s="1106">
        <f t="shared" si="23"/>
        <v>0.11187739463601533</v>
      </c>
      <c r="CF16" s="1106">
        <f t="shared" si="23"/>
        <v>0.11187739463601533</v>
      </c>
      <c r="CG16" s="1106">
        <f t="shared" si="23"/>
        <v>0.11187739463601533</v>
      </c>
      <c r="CH16" s="1106">
        <f t="shared" si="23"/>
        <v>0.11187739463601533</v>
      </c>
      <c r="CI16" s="1106">
        <f t="shared" si="23"/>
        <v>0.11187739463601533</v>
      </c>
      <c r="CJ16" s="1106">
        <f t="shared" si="23"/>
        <v>0.11187739463601533</v>
      </c>
      <c r="CK16" s="1106">
        <f t="shared" si="23"/>
        <v>0.11187739463601533</v>
      </c>
      <c r="CL16" s="1106">
        <f t="shared" si="23"/>
        <v>0.11187739463601533</v>
      </c>
      <c r="CM16" s="1106">
        <f t="shared" si="23"/>
        <v>0.11187739463601533</v>
      </c>
      <c r="CN16" s="1106">
        <f t="shared" si="23"/>
        <v>0.11187739463601533</v>
      </c>
      <c r="CO16" s="1106">
        <f t="shared" si="23"/>
        <v>0.11187739463601533</v>
      </c>
      <c r="CP16" s="1106">
        <f t="shared" si="23"/>
        <v>0.11187739463601533</v>
      </c>
      <c r="CQ16" s="1106">
        <f t="shared" si="23"/>
        <v>0.11187739463601533</v>
      </c>
      <c r="CR16" s="1106">
        <f t="shared" si="23"/>
        <v>0.11187739463601533</v>
      </c>
      <c r="CS16" s="1106">
        <f t="shared" si="23"/>
        <v>0.11187739463601533</v>
      </c>
      <c r="CT16" s="1106">
        <f t="shared" si="23"/>
        <v>0.11187739463601533</v>
      </c>
      <c r="CU16" s="1106">
        <f t="shared" si="23"/>
        <v>0.11187739463601533</v>
      </c>
      <c r="CV16" s="1106">
        <f t="shared" si="23"/>
        <v>0.11187739463601533</v>
      </c>
      <c r="CW16" s="1106">
        <f t="shared" si="23"/>
        <v>0.11187739463601533</v>
      </c>
      <c r="CX16" s="1106">
        <f t="shared" si="23"/>
        <v>0.11187739463601533</v>
      </c>
      <c r="CY16" s="1106">
        <f t="shared" si="23"/>
        <v>0.11187739463601533</v>
      </c>
      <c r="CZ16" s="1106">
        <f t="shared" si="23"/>
        <v>0.11187739463601533</v>
      </c>
      <c r="DA16" s="1106">
        <f t="shared" si="23"/>
        <v>0.11187739463601533</v>
      </c>
      <c r="DB16" s="1106">
        <f t="shared" si="23"/>
        <v>0.11187739463601533</v>
      </c>
      <c r="DC16" s="1106">
        <f t="shared" si="23"/>
        <v>0.11187739463601533</v>
      </c>
      <c r="DD16" s="1106">
        <f t="shared" si="23"/>
        <v>0.11187739463601533</v>
      </c>
      <c r="DE16" s="1106">
        <f t="shared" si="23"/>
        <v>0.11187739463601533</v>
      </c>
      <c r="DF16" s="1106">
        <f t="shared" si="23"/>
        <v>0.11187739463601533</v>
      </c>
      <c r="DG16" s="1106">
        <f t="shared" si="23"/>
        <v>0.11187739463601533</v>
      </c>
      <c r="DH16" s="1106">
        <f t="shared" si="23"/>
        <v>0.11187739463601533</v>
      </c>
      <c r="DI16" s="1106">
        <f t="shared" si="23"/>
        <v>0.11187739463601533</v>
      </c>
      <c r="DJ16" s="1106">
        <f t="shared" si="23"/>
        <v>0.11187739463601533</v>
      </c>
      <c r="DK16" s="1106">
        <f t="shared" si="23"/>
        <v>0.11187739463601533</v>
      </c>
      <c r="DL16" s="1106">
        <f t="shared" si="23"/>
        <v>0.11187739463601533</v>
      </c>
      <c r="DM16" s="1106">
        <f t="shared" si="23"/>
        <v>0.11187739463601533</v>
      </c>
      <c r="DN16" s="1106">
        <f t="shared" si="23"/>
        <v>0.11187739463601533</v>
      </c>
      <c r="DO16" s="1106">
        <f t="shared" si="23"/>
        <v>0.11187739463601533</v>
      </c>
      <c r="DP16" s="1106">
        <f t="shared" si="23"/>
        <v>0.11187739463601533</v>
      </c>
      <c r="DQ16" s="1106">
        <f t="shared" si="23"/>
        <v>0.11187739463601533</v>
      </c>
      <c r="DR16" s="1106">
        <f t="shared" si="23"/>
        <v>0.11187739463601533</v>
      </c>
      <c r="DS16" s="1106">
        <f t="shared" si="23"/>
        <v>0.11187739463601533</v>
      </c>
      <c r="DT16" s="1107">
        <f t="shared" si="23"/>
        <v>0.11187739463601533</v>
      </c>
    </row>
    <row r="17" spans="1:124" x14ac:dyDescent="0.3">
      <c r="B17" s="1055" t="str">
        <f t="shared" ref="B17:B24" si="24">C17&amp;$C$2&amp;$D$2</f>
        <v>UKBackofficeL1</v>
      </c>
      <c r="C17" s="1101" t="str">
        <f t="shared" ref="C17:C24" si="25">C6</f>
        <v>UK</v>
      </c>
      <c r="D17" s="353">
        <v>0.13908045977011493</v>
      </c>
      <c r="E17" s="353">
        <f t="shared" ref="E17:BP17" si="26">D17</f>
        <v>0.13908045977011493</v>
      </c>
      <c r="F17" s="353">
        <f t="shared" si="26"/>
        <v>0.13908045977011493</v>
      </c>
      <c r="G17" s="353">
        <f t="shared" si="26"/>
        <v>0.13908045977011493</v>
      </c>
      <c r="H17" s="353">
        <f t="shared" si="26"/>
        <v>0.13908045977011493</v>
      </c>
      <c r="I17" s="353">
        <f t="shared" si="26"/>
        <v>0.13908045977011493</v>
      </c>
      <c r="J17" s="353">
        <f t="shared" si="26"/>
        <v>0.13908045977011493</v>
      </c>
      <c r="K17" s="353">
        <f t="shared" si="26"/>
        <v>0.13908045977011493</v>
      </c>
      <c r="L17" s="353">
        <f t="shared" si="26"/>
        <v>0.13908045977011493</v>
      </c>
      <c r="M17" s="353">
        <f t="shared" si="26"/>
        <v>0.13908045977011493</v>
      </c>
      <c r="N17" s="353">
        <f t="shared" si="26"/>
        <v>0.13908045977011493</v>
      </c>
      <c r="O17" s="353">
        <f t="shared" si="26"/>
        <v>0.13908045977011493</v>
      </c>
      <c r="P17" s="353">
        <f t="shared" si="26"/>
        <v>0.13908045977011493</v>
      </c>
      <c r="Q17" s="353">
        <f t="shared" si="26"/>
        <v>0.13908045977011493</v>
      </c>
      <c r="R17" s="353">
        <f t="shared" si="26"/>
        <v>0.13908045977011493</v>
      </c>
      <c r="S17" s="353">
        <f t="shared" si="26"/>
        <v>0.13908045977011493</v>
      </c>
      <c r="T17" s="353">
        <f t="shared" si="26"/>
        <v>0.13908045977011493</v>
      </c>
      <c r="U17" s="353">
        <f t="shared" si="26"/>
        <v>0.13908045977011493</v>
      </c>
      <c r="V17" s="353">
        <f t="shared" si="26"/>
        <v>0.13908045977011493</v>
      </c>
      <c r="W17" s="353">
        <f t="shared" si="26"/>
        <v>0.13908045977011493</v>
      </c>
      <c r="X17" s="353">
        <f t="shared" si="26"/>
        <v>0.13908045977011493</v>
      </c>
      <c r="Y17" s="353">
        <f t="shared" si="26"/>
        <v>0.13908045977011493</v>
      </c>
      <c r="Z17" s="353">
        <f t="shared" si="26"/>
        <v>0.13908045977011493</v>
      </c>
      <c r="AA17" s="353">
        <f t="shared" si="26"/>
        <v>0.13908045977011493</v>
      </c>
      <c r="AB17" s="353">
        <f t="shared" si="26"/>
        <v>0.13908045977011493</v>
      </c>
      <c r="AC17" s="353">
        <f t="shared" si="26"/>
        <v>0.13908045977011493</v>
      </c>
      <c r="AD17" s="353">
        <f t="shared" si="26"/>
        <v>0.13908045977011493</v>
      </c>
      <c r="AE17" s="353">
        <f t="shared" si="26"/>
        <v>0.13908045977011493</v>
      </c>
      <c r="AF17" s="353">
        <f t="shared" si="26"/>
        <v>0.13908045977011493</v>
      </c>
      <c r="AG17" s="353">
        <f t="shared" si="26"/>
        <v>0.13908045977011493</v>
      </c>
      <c r="AH17" s="353">
        <f t="shared" si="26"/>
        <v>0.13908045977011493</v>
      </c>
      <c r="AI17" s="353">
        <f t="shared" si="26"/>
        <v>0.13908045977011493</v>
      </c>
      <c r="AJ17" s="353">
        <f t="shared" si="26"/>
        <v>0.13908045977011493</v>
      </c>
      <c r="AK17" s="353">
        <f t="shared" si="26"/>
        <v>0.13908045977011493</v>
      </c>
      <c r="AL17" s="353">
        <f t="shared" si="26"/>
        <v>0.13908045977011493</v>
      </c>
      <c r="AM17" s="353">
        <f t="shared" si="26"/>
        <v>0.13908045977011493</v>
      </c>
      <c r="AN17" s="353">
        <f t="shared" si="26"/>
        <v>0.13908045977011493</v>
      </c>
      <c r="AO17" s="353">
        <f t="shared" si="26"/>
        <v>0.13908045977011493</v>
      </c>
      <c r="AP17" s="353">
        <f t="shared" si="26"/>
        <v>0.13908045977011493</v>
      </c>
      <c r="AQ17" s="353">
        <f t="shared" si="26"/>
        <v>0.13908045977011493</v>
      </c>
      <c r="AR17" s="353">
        <f t="shared" si="26"/>
        <v>0.13908045977011493</v>
      </c>
      <c r="AS17" s="353">
        <f t="shared" si="26"/>
        <v>0.13908045977011493</v>
      </c>
      <c r="AT17" s="353">
        <f t="shared" si="26"/>
        <v>0.13908045977011493</v>
      </c>
      <c r="AU17" s="353">
        <f t="shared" si="26"/>
        <v>0.13908045977011493</v>
      </c>
      <c r="AV17" s="353">
        <f t="shared" si="26"/>
        <v>0.13908045977011493</v>
      </c>
      <c r="AW17" s="353">
        <f t="shared" si="26"/>
        <v>0.13908045977011493</v>
      </c>
      <c r="AX17" s="353">
        <f t="shared" si="26"/>
        <v>0.13908045977011493</v>
      </c>
      <c r="AY17" s="353">
        <f t="shared" si="26"/>
        <v>0.13908045977011493</v>
      </c>
      <c r="AZ17" s="353">
        <f t="shared" si="26"/>
        <v>0.13908045977011493</v>
      </c>
      <c r="BA17" s="353">
        <f t="shared" si="26"/>
        <v>0.13908045977011493</v>
      </c>
      <c r="BB17" s="353">
        <f t="shared" si="26"/>
        <v>0.13908045977011493</v>
      </c>
      <c r="BC17" s="353">
        <f t="shared" si="26"/>
        <v>0.13908045977011493</v>
      </c>
      <c r="BD17" s="353">
        <f t="shared" si="26"/>
        <v>0.13908045977011493</v>
      </c>
      <c r="BE17" s="353">
        <f t="shared" si="26"/>
        <v>0.13908045977011493</v>
      </c>
      <c r="BF17" s="353">
        <f t="shared" si="26"/>
        <v>0.13908045977011493</v>
      </c>
      <c r="BG17" s="353">
        <f t="shared" si="26"/>
        <v>0.13908045977011493</v>
      </c>
      <c r="BH17" s="353">
        <f t="shared" si="26"/>
        <v>0.13908045977011493</v>
      </c>
      <c r="BI17" s="353">
        <f t="shared" si="26"/>
        <v>0.13908045977011493</v>
      </c>
      <c r="BJ17" s="353">
        <f t="shared" si="26"/>
        <v>0.13908045977011493</v>
      </c>
      <c r="BK17" s="353">
        <f t="shared" si="26"/>
        <v>0.13908045977011493</v>
      </c>
      <c r="BL17" s="353">
        <f t="shared" si="26"/>
        <v>0.13908045977011493</v>
      </c>
      <c r="BM17" s="353">
        <f t="shared" si="26"/>
        <v>0.13908045977011493</v>
      </c>
      <c r="BN17" s="353">
        <f t="shared" si="26"/>
        <v>0.13908045977011493</v>
      </c>
      <c r="BO17" s="353">
        <f t="shared" si="26"/>
        <v>0.13908045977011493</v>
      </c>
      <c r="BP17" s="353">
        <f t="shared" si="26"/>
        <v>0.13908045977011493</v>
      </c>
      <c r="BQ17" s="353">
        <f t="shared" ref="BQ17:DT17" si="27">BP17</f>
        <v>0.13908045977011493</v>
      </c>
      <c r="BR17" s="353">
        <f t="shared" si="27"/>
        <v>0.13908045977011493</v>
      </c>
      <c r="BS17" s="353">
        <f t="shared" si="27"/>
        <v>0.13908045977011493</v>
      </c>
      <c r="BT17" s="353">
        <f t="shared" si="27"/>
        <v>0.13908045977011493</v>
      </c>
      <c r="BU17" s="353">
        <f t="shared" si="27"/>
        <v>0.13908045977011493</v>
      </c>
      <c r="BV17" s="353">
        <f t="shared" si="27"/>
        <v>0.13908045977011493</v>
      </c>
      <c r="BW17" s="353">
        <f t="shared" si="27"/>
        <v>0.13908045977011493</v>
      </c>
      <c r="BX17" s="353">
        <f t="shared" si="27"/>
        <v>0.13908045977011493</v>
      </c>
      <c r="BY17" s="353">
        <f t="shared" si="27"/>
        <v>0.13908045977011493</v>
      </c>
      <c r="BZ17" s="353">
        <f t="shared" si="27"/>
        <v>0.13908045977011493</v>
      </c>
      <c r="CA17" s="353">
        <f t="shared" si="27"/>
        <v>0.13908045977011493</v>
      </c>
      <c r="CB17" s="353">
        <f t="shared" si="27"/>
        <v>0.13908045977011493</v>
      </c>
      <c r="CC17" s="353">
        <f t="shared" si="27"/>
        <v>0.13908045977011493</v>
      </c>
      <c r="CD17" s="353">
        <f t="shared" si="27"/>
        <v>0.13908045977011493</v>
      </c>
      <c r="CE17" s="353">
        <f t="shared" si="27"/>
        <v>0.13908045977011493</v>
      </c>
      <c r="CF17" s="353">
        <f t="shared" si="27"/>
        <v>0.13908045977011493</v>
      </c>
      <c r="CG17" s="353">
        <f t="shared" si="27"/>
        <v>0.13908045977011493</v>
      </c>
      <c r="CH17" s="353">
        <f t="shared" si="27"/>
        <v>0.13908045977011493</v>
      </c>
      <c r="CI17" s="353">
        <f t="shared" si="27"/>
        <v>0.13908045977011493</v>
      </c>
      <c r="CJ17" s="353">
        <f t="shared" si="27"/>
        <v>0.13908045977011493</v>
      </c>
      <c r="CK17" s="353">
        <f t="shared" si="27"/>
        <v>0.13908045977011493</v>
      </c>
      <c r="CL17" s="353">
        <f t="shared" si="27"/>
        <v>0.13908045977011493</v>
      </c>
      <c r="CM17" s="353">
        <f t="shared" si="27"/>
        <v>0.13908045977011493</v>
      </c>
      <c r="CN17" s="353">
        <f t="shared" si="27"/>
        <v>0.13908045977011493</v>
      </c>
      <c r="CO17" s="353">
        <f t="shared" si="27"/>
        <v>0.13908045977011493</v>
      </c>
      <c r="CP17" s="353">
        <f t="shared" si="27"/>
        <v>0.13908045977011493</v>
      </c>
      <c r="CQ17" s="353">
        <f t="shared" si="27"/>
        <v>0.13908045977011493</v>
      </c>
      <c r="CR17" s="353">
        <f t="shared" si="27"/>
        <v>0.13908045977011493</v>
      </c>
      <c r="CS17" s="353">
        <f t="shared" si="27"/>
        <v>0.13908045977011493</v>
      </c>
      <c r="CT17" s="353">
        <f t="shared" si="27"/>
        <v>0.13908045977011493</v>
      </c>
      <c r="CU17" s="353">
        <f t="shared" si="27"/>
        <v>0.13908045977011493</v>
      </c>
      <c r="CV17" s="353">
        <f t="shared" si="27"/>
        <v>0.13908045977011493</v>
      </c>
      <c r="CW17" s="353">
        <f t="shared" si="27"/>
        <v>0.13908045977011493</v>
      </c>
      <c r="CX17" s="353">
        <f t="shared" si="27"/>
        <v>0.13908045977011493</v>
      </c>
      <c r="CY17" s="353">
        <f t="shared" si="27"/>
        <v>0.13908045977011493</v>
      </c>
      <c r="CZ17" s="353">
        <f t="shared" si="27"/>
        <v>0.13908045977011493</v>
      </c>
      <c r="DA17" s="353">
        <f t="shared" si="27"/>
        <v>0.13908045977011493</v>
      </c>
      <c r="DB17" s="353">
        <f t="shared" si="27"/>
        <v>0.13908045977011493</v>
      </c>
      <c r="DC17" s="353">
        <f t="shared" si="27"/>
        <v>0.13908045977011493</v>
      </c>
      <c r="DD17" s="353">
        <f t="shared" si="27"/>
        <v>0.13908045977011493</v>
      </c>
      <c r="DE17" s="353">
        <f t="shared" si="27"/>
        <v>0.13908045977011493</v>
      </c>
      <c r="DF17" s="353">
        <f t="shared" si="27"/>
        <v>0.13908045977011493</v>
      </c>
      <c r="DG17" s="353">
        <f t="shared" si="27"/>
        <v>0.13908045977011493</v>
      </c>
      <c r="DH17" s="353">
        <f t="shared" si="27"/>
        <v>0.13908045977011493</v>
      </c>
      <c r="DI17" s="353">
        <f t="shared" si="27"/>
        <v>0.13908045977011493</v>
      </c>
      <c r="DJ17" s="353">
        <f t="shared" si="27"/>
        <v>0.13908045977011493</v>
      </c>
      <c r="DK17" s="353">
        <f t="shared" si="27"/>
        <v>0.13908045977011493</v>
      </c>
      <c r="DL17" s="353">
        <f t="shared" si="27"/>
        <v>0.13908045977011493</v>
      </c>
      <c r="DM17" s="353">
        <f t="shared" si="27"/>
        <v>0.13908045977011493</v>
      </c>
      <c r="DN17" s="353">
        <f t="shared" si="27"/>
        <v>0.13908045977011493</v>
      </c>
      <c r="DO17" s="353">
        <f t="shared" si="27"/>
        <v>0.13908045977011493</v>
      </c>
      <c r="DP17" s="353">
        <f t="shared" si="27"/>
        <v>0.13908045977011493</v>
      </c>
      <c r="DQ17" s="353">
        <f t="shared" si="27"/>
        <v>0.13908045977011493</v>
      </c>
      <c r="DR17" s="353">
        <f t="shared" si="27"/>
        <v>0.13908045977011493</v>
      </c>
      <c r="DS17" s="353">
        <f t="shared" si="27"/>
        <v>0.13908045977011493</v>
      </c>
      <c r="DT17" s="1102">
        <f t="shared" si="27"/>
        <v>0.13908045977011493</v>
      </c>
    </row>
    <row r="18" spans="1:124" x14ac:dyDescent="0.3">
      <c r="B18" s="1055" t="str">
        <f t="shared" si="24"/>
        <v>MexicoBackofficeL1</v>
      </c>
      <c r="C18" s="1101" t="str">
        <f t="shared" si="25"/>
        <v>Mexico</v>
      </c>
      <c r="D18" s="353">
        <v>5.6628352490421453E-2</v>
      </c>
      <c r="E18" s="353">
        <f t="shared" ref="E18:BP18" si="28">D18</f>
        <v>5.6628352490421453E-2</v>
      </c>
      <c r="F18" s="353">
        <f t="shared" si="28"/>
        <v>5.6628352490421453E-2</v>
      </c>
      <c r="G18" s="353">
        <f t="shared" si="28"/>
        <v>5.6628352490421453E-2</v>
      </c>
      <c r="H18" s="353">
        <f t="shared" si="28"/>
        <v>5.6628352490421453E-2</v>
      </c>
      <c r="I18" s="353">
        <f t="shared" si="28"/>
        <v>5.6628352490421453E-2</v>
      </c>
      <c r="J18" s="353">
        <f t="shared" si="28"/>
        <v>5.6628352490421453E-2</v>
      </c>
      <c r="K18" s="353">
        <f t="shared" si="28"/>
        <v>5.6628352490421453E-2</v>
      </c>
      <c r="L18" s="353">
        <f t="shared" si="28"/>
        <v>5.6628352490421453E-2</v>
      </c>
      <c r="M18" s="353">
        <f t="shared" si="28"/>
        <v>5.6628352490421453E-2</v>
      </c>
      <c r="N18" s="353">
        <f t="shared" si="28"/>
        <v>5.6628352490421453E-2</v>
      </c>
      <c r="O18" s="353">
        <f t="shared" si="28"/>
        <v>5.6628352490421453E-2</v>
      </c>
      <c r="P18" s="353">
        <f t="shared" si="28"/>
        <v>5.6628352490421453E-2</v>
      </c>
      <c r="Q18" s="353">
        <f t="shared" si="28"/>
        <v>5.6628352490421453E-2</v>
      </c>
      <c r="R18" s="353">
        <f t="shared" si="28"/>
        <v>5.6628352490421453E-2</v>
      </c>
      <c r="S18" s="353">
        <f t="shared" si="28"/>
        <v>5.6628352490421453E-2</v>
      </c>
      <c r="T18" s="353">
        <f t="shared" si="28"/>
        <v>5.6628352490421453E-2</v>
      </c>
      <c r="U18" s="353">
        <f t="shared" si="28"/>
        <v>5.6628352490421453E-2</v>
      </c>
      <c r="V18" s="353">
        <f t="shared" si="28"/>
        <v>5.6628352490421453E-2</v>
      </c>
      <c r="W18" s="353">
        <f t="shared" si="28"/>
        <v>5.6628352490421453E-2</v>
      </c>
      <c r="X18" s="353">
        <f t="shared" si="28"/>
        <v>5.6628352490421453E-2</v>
      </c>
      <c r="Y18" s="353">
        <f t="shared" si="28"/>
        <v>5.6628352490421453E-2</v>
      </c>
      <c r="Z18" s="353">
        <f t="shared" si="28"/>
        <v>5.6628352490421453E-2</v>
      </c>
      <c r="AA18" s="353">
        <f t="shared" si="28"/>
        <v>5.6628352490421453E-2</v>
      </c>
      <c r="AB18" s="353">
        <f t="shared" si="28"/>
        <v>5.6628352490421453E-2</v>
      </c>
      <c r="AC18" s="353">
        <f t="shared" si="28"/>
        <v>5.6628352490421453E-2</v>
      </c>
      <c r="AD18" s="353">
        <f t="shared" si="28"/>
        <v>5.6628352490421453E-2</v>
      </c>
      <c r="AE18" s="353">
        <f t="shared" si="28"/>
        <v>5.6628352490421453E-2</v>
      </c>
      <c r="AF18" s="353">
        <f t="shared" si="28"/>
        <v>5.6628352490421453E-2</v>
      </c>
      <c r="AG18" s="353">
        <f t="shared" si="28"/>
        <v>5.6628352490421453E-2</v>
      </c>
      <c r="AH18" s="353">
        <f t="shared" si="28"/>
        <v>5.6628352490421453E-2</v>
      </c>
      <c r="AI18" s="353">
        <f t="shared" si="28"/>
        <v>5.6628352490421453E-2</v>
      </c>
      <c r="AJ18" s="353">
        <f t="shared" si="28"/>
        <v>5.6628352490421453E-2</v>
      </c>
      <c r="AK18" s="353">
        <f t="shared" si="28"/>
        <v>5.6628352490421453E-2</v>
      </c>
      <c r="AL18" s="353">
        <f t="shared" si="28"/>
        <v>5.6628352490421453E-2</v>
      </c>
      <c r="AM18" s="353">
        <f t="shared" si="28"/>
        <v>5.6628352490421453E-2</v>
      </c>
      <c r="AN18" s="353">
        <f t="shared" si="28"/>
        <v>5.6628352490421453E-2</v>
      </c>
      <c r="AO18" s="353">
        <f t="shared" si="28"/>
        <v>5.6628352490421453E-2</v>
      </c>
      <c r="AP18" s="353">
        <f t="shared" si="28"/>
        <v>5.6628352490421453E-2</v>
      </c>
      <c r="AQ18" s="353">
        <f t="shared" si="28"/>
        <v>5.6628352490421453E-2</v>
      </c>
      <c r="AR18" s="353">
        <f t="shared" si="28"/>
        <v>5.6628352490421453E-2</v>
      </c>
      <c r="AS18" s="353">
        <f t="shared" si="28"/>
        <v>5.6628352490421453E-2</v>
      </c>
      <c r="AT18" s="353">
        <f t="shared" si="28"/>
        <v>5.6628352490421453E-2</v>
      </c>
      <c r="AU18" s="353">
        <f t="shared" si="28"/>
        <v>5.6628352490421453E-2</v>
      </c>
      <c r="AV18" s="353">
        <f t="shared" si="28"/>
        <v>5.6628352490421453E-2</v>
      </c>
      <c r="AW18" s="353">
        <f t="shared" si="28"/>
        <v>5.6628352490421453E-2</v>
      </c>
      <c r="AX18" s="353">
        <f t="shared" si="28"/>
        <v>5.6628352490421453E-2</v>
      </c>
      <c r="AY18" s="353">
        <f t="shared" si="28"/>
        <v>5.6628352490421453E-2</v>
      </c>
      <c r="AZ18" s="353">
        <f t="shared" si="28"/>
        <v>5.6628352490421453E-2</v>
      </c>
      <c r="BA18" s="353">
        <f t="shared" si="28"/>
        <v>5.6628352490421453E-2</v>
      </c>
      <c r="BB18" s="353">
        <f t="shared" si="28"/>
        <v>5.6628352490421453E-2</v>
      </c>
      <c r="BC18" s="353">
        <f t="shared" si="28"/>
        <v>5.6628352490421453E-2</v>
      </c>
      <c r="BD18" s="353">
        <f t="shared" si="28"/>
        <v>5.6628352490421453E-2</v>
      </c>
      <c r="BE18" s="353">
        <f t="shared" si="28"/>
        <v>5.6628352490421453E-2</v>
      </c>
      <c r="BF18" s="353">
        <f t="shared" si="28"/>
        <v>5.6628352490421453E-2</v>
      </c>
      <c r="BG18" s="353">
        <f t="shared" si="28"/>
        <v>5.6628352490421453E-2</v>
      </c>
      <c r="BH18" s="353">
        <f t="shared" si="28"/>
        <v>5.6628352490421453E-2</v>
      </c>
      <c r="BI18" s="353">
        <f t="shared" si="28"/>
        <v>5.6628352490421453E-2</v>
      </c>
      <c r="BJ18" s="353">
        <f t="shared" si="28"/>
        <v>5.6628352490421453E-2</v>
      </c>
      <c r="BK18" s="353">
        <f t="shared" si="28"/>
        <v>5.6628352490421453E-2</v>
      </c>
      <c r="BL18" s="353">
        <f t="shared" si="28"/>
        <v>5.6628352490421453E-2</v>
      </c>
      <c r="BM18" s="353">
        <f t="shared" si="28"/>
        <v>5.6628352490421453E-2</v>
      </c>
      <c r="BN18" s="353">
        <f t="shared" si="28"/>
        <v>5.6628352490421453E-2</v>
      </c>
      <c r="BO18" s="353">
        <f t="shared" si="28"/>
        <v>5.6628352490421453E-2</v>
      </c>
      <c r="BP18" s="353">
        <f t="shared" si="28"/>
        <v>5.6628352490421453E-2</v>
      </c>
      <c r="BQ18" s="353">
        <f t="shared" ref="BQ18:DT18" si="29">BP18</f>
        <v>5.6628352490421453E-2</v>
      </c>
      <c r="BR18" s="353">
        <f t="shared" si="29"/>
        <v>5.6628352490421453E-2</v>
      </c>
      <c r="BS18" s="353">
        <f t="shared" si="29"/>
        <v>5.6628352490421453E-2</v>
      </c>
      <c r="BT18" s="353">
        <f t="shared" si="29"/>
        <v>5.6628352490421453E-2</v>
      </c>
      <c r="BU18" s="353">
        <f t="shared" si="29"/>
        <v>5.6628352490421453E-2</v>
      </c>
      <c r="BV18" s="353">
        <f t="shared" si="29"/>
        <v>5.6628352490421453E-2</v>
      </c>
      <c r="BW18" s="353">
        <f t="shared" si="29"/>
        <v>5.6628352490421453E-2</v>
      </c>
      <c r="BX18" s="353">
        <f t="shared" si="29"/>
        <v>5.6628352490421453E-2</v>
      </c>
      <c r="BY18" s="353">
        <f t="shared" si="29"/>
        <v>5.6628352490421453E-2</v>
      </c>
      <c r="BZ18" s="353">
        <f t="shared" si="29"/>
        <v>5.6628352490421453E-2</v>
      </c>
      <c r="CA18" s="353">
        <f t="shared" si="29"/>
        <v>5.6628352490421453E-2</v>
      </c>
      <c r="CB18" s="353">
        <f t="shared" si="29"/>
        <v>5.6628352490421453E-2</v>
      </c>
      <c r="CC18" s="353">
        <f t="shared" si="29"/>
        <v>5.6628352490421453E-2</v>
      </c>
      <c r="CD18" s="353">
        <f t="shared" si="29"/>
        <v>5.6628352490421453E-2</v>
      </c>
      <c r="CE18" s="353">
        <f t="shared" si="29"/>
        <v>5.6628352490421453E-2</v>
      </c>
      <c r="CF18" s="353">
        <f t="shared" si="29"/>
        <v>5.6628352490421453E-2</v>
      </c>
      <c r="CG18" s="353">
        <f t="shared" si="29"/>
        <v>5.6628352490421453E-2</v>
      </c>
      <c r="CH18" s="353">
        <f t="shared" si="29"/>
        <v>5.6628352490421453E-2</v>
      </c>
      <c r="CI18" s="353">
        <f t="shared" si="29"/>
        <v>5.6628352490421453E-2</v>
      </c>
      <c r="CJ18" s="353">
        <f t="shared" si="29"/>
        <v>5.6628352490421453E-2</v>
      </c>
      <c r="CK18" s="353">
        <f t="shared" si="29"/>
        <v>5.6628352490421453E-2</v>
      </c>
      <c r="CL18" s="353">
        <f t="shared" si="29"/>
        <v>5.6628352490421453E-2</v>
      </c>
      <c r="CM18" s="353">
        <f t="shared" si="29"/>
        <v>5.6628352490421453E-2</v>
      </c>
      <c r="CN18" s="353">
        <f t="shared" si="29"/>
        <v>5.6628352490421453E-2</v>
      </c>
      <c r="CO18" s="353">
        <f t="shared" si="29"/>
        <v>5.6628352490421453E-2</v>
      </c>
      <c r="CP18" s="353">
        <f t="shared" si="29"/>
        <v>5.6628352490421453E-2</v>
      </c>
      <c r="CQ18" s="353">
        <f t="shared" si="29"/>
        <v>5.6628352490421453E-2</v>
      </c>
      <c r="CR18" s="353">
        <f t="shared" si="29"/>
        <v>5.6628352490421453E-2</v>
      </c>
      <c r="CS18" s="353">
        <f t="shared" si="29"/>
        <v>5.6628352490421453E-2</v>
      </c>
      <c r="CT18" s="353">
        <f t="shared" si="29"/>
        <v>5.6628352490421453E-2</v>
      </c>
      <c r="CU18" s="353">
        <f t="shared" si="29"/>
        <v>5.6628352490421453E-2</v>
      </c>
      <c r="CV18" s="353">
        <f t="shared" si="29"/>
        <v>5.6628352490421453E-2</v>
      </c>
      <c r="CW18" s="353">
        <f t="shared" si="29"/>
        <v>5.6628352490421453E-2</v>
      </c>
      <c r="CX18" s="353">
        <f t="shared" si="29"/>
        <v>5.6628352490421453E-2</v>
      </c>
      <c r="CY18" s="353">
        <f t="shared" si="29"/>
        <v>5.6628352490421453E-2</v>
      </c>
      <c r="CZ18" s="353">
        <f t="shared" si="29"/>
        <v>5.6628352490421453E-2</v>
      </c>
      <c r="DA18" s="353">
        <f t="shared" si="29"/>
        <v>5.6628352490421453E-2</v>
      </c>
      <c r="DB18" s="353">
        <f t="shared" si="29"/>
        <v>5.6628352490421453E-2</v>
      </c>
      <c r="DC18" s="353">
        <f t="shared" si="29"/>
        <v>5.6628352490421453E-2</v>
      </c>
      <c r="DD18" s="353">
        <f t="shared" si="29"/>
        <v>5.6628352490421453E-2</v>
      </c>
      <c r="DE18" s="353">
        <f t="shared" si="29"/>
        <v>5.6628352490421453E-2</v>
      </c>
      <c r="DF18" s="353">
        <f t="shared" si="29"/>
        <v>5.6628352490421453E-2</v>
      </c>
      <c r="DG18" s="353">
        <f t="shared" si="29"/>
        <v>5.6628352490421453E-2</v>
      </c>
      <c r="DH18" s="353">
        <f t="shared" si="29"/>
        <v>5.6628352490421453E-2</v>
      </c>
      <c r="DI18" s="353">
        <f t="shared" si="29"/>
        <v>5.6628352490421453E-2</v>
      </c>
      <c r="DJ18" s="353">
        <f t="shared" si="29"/>
        <v>5.6628352490421453E-2</v>
      </c>
      <c r="DK18" s="353">
        <f t="shared" si="29"/>
        <v>5.6628352490421453E-2</v>
      </c>
      <c r="DL18" s="353">
        <f t="shared" si="29"/>
        <v>5.6628352490421453E-2</v>
      </c>
      <c r="DM18" s="353">
        <f t="shared" si="29"/>
        <v>5.6628352490421453E-2</v>
      </c>
      <c r="DN18" s="353">
        <f t="shared" si="29"/>
        <v>5.6628352490421453E-2</v>
      </c>
      <c r="DO18" s="353">
        <f t="shared" si="29"/>
        <v>5.6628352490421453E-2</v>
      </c>
      <c r="DP18" s="353">
        <f t="shared" si="29"/>
        <v>5.6628352490421453E-2</v>
      </c>
      <c r="DQ18" s="353">
        <f t="shared" si="29"/>
        <v>5.6628352490421453E-2</v>
      </c>
      <c r="DR18" s="353">
        <f t="shared" si="29"/>
        <v>5.6628352490421453E-2</v>
      </c>
      <c r="DS18" s="353">
        <f t="shared" si="29"/>
        <v>5.6628352490421453E-2</v>
      </c>
      <c r="DT18" s="1102">
        <f t="shared" si="29"/>
        <v>5.6628352490421453E-2</v>
      </c>
    </row>
    <row r="19" spans="1:124" x14ac:dyDescent="0.3">
      <c r="B19" s="1055" t="str">
        <f t="shared" si="24"/>
        <v>AustraliaBackofficeL1</v>
      </c>
      <c r="C19" s="1101" t="str">
        <f t="shared" si="25"/>
        <v>Australia</v>
      </c>
      <c r="D19" s="353">
        <v>6.8965517241379309E-2</v>
      </c>
      <c r="E19" s="353">
        <f t="shared" ref="E19:BP19" si="30">D19</f>
        <v>6.8965517241379309E-2</v>
      </c>
      <c r="F19" s="353">
        <f t="shared" si="30"/>
        <v>6.8965517241379309E-2</v>
      </c>
      <c r="G19" s="353">
        <f t="shared" si="30"/>
        <v>6.8965517241379309E-2</v>
      </c>
      <c r="H19" s="353">
        <f t="shared" si="30"/>
        <v>6.8965517241379309E-2</v>
      </c>
      <c r="I19" s="353">
        <f t="shared" si="30"/>
        <v>6.8965517241379309E-2</v>
      </c>
      <c r="J19" s="353">
        <f t="shared" si="30"/>
        <v>6.8965517241379309E-2</v>
      </c>
      <c r="K19" s="353">
        <f t="shared" si="30"/>
        <v>6.8965517241379309E-2</v>
      </c>
      <c r="L19" s="353">
        <f t="shared" si="30"/>
        <v>6.8965517241379309E-2</v>
      </c>
      <c r="M19" s="353">
        <f t="shared" si="30"/>
        <v>6.8965517241379309E-2</v>
      </c>
      <c r="N19" s="353">
        <f t="shared" si="30"/>
        <v>6.8965517241379309E-2</v>
      </c>
      <c r="O19" s="353">
        <f t="shared" si="30"/>
        <v>6.8965517241379309E-2</v>
      </c>
      <c r="P19" s="353">
        <f t="shared" si="30"/>
        <v>6.8965517241379309E-2</v>
      </c>
      <c r="Q19" s="353">
        <f t="shared" si="30"/>
        <v>6.8965517241379309E-2</v>
      </c>
      <c r="R19" s="353">
        <f t="shared" si="30"/>
        <v>6.8965517241379309E-2</v>
      </c>
      <c r="S19" s="353">
        <f t="shared" si="30"/>
        <v>6.8965517241379309E-2</v>
      </c>
      <c r="T19" s="353">
        <f t="shared" si="30"/>
        <v>6.8965517241379309E-2</v>
      </c>
      <c r="U19" s="353">
        <f t="shared" si="30"/>
        <v>6.8965517241379309E-2</v>
      </c>
      <c r="V19" s="353">
        <f t="shared" si="30"/>
        <v>6.8965517241379309E-2</v>
      </c>
      <c r="W19" s="353">
        <f t="shared" si="30"/>
        <v>6.8965517241379309E-2</v>
      </c>
      <c r="X19" s="353">
        <f t="shared" si="30"/>
        <v>6.8965517241379309E-2</v>
      </c>
      <c r="Y19" s="353">
        <f t="shared" si="30"/>
        <v>6.8965517241379309E-2</v>
      </c>
      <c r="Z19" s="353">
        <f t="shared" si="30"/>
        <v>6.8965517241379309E-2</v>
      </c>
      <c r="AA19" s="353">
        <f t="shared" si="30"/>
        <v>6.8965517241379309E-2</v>
      </c>
      <c r="AB19" s="353">
        <f t="shared" si="30"/>
        <v>6.8965517241379309E-2</v>
      </c>
      <c r="AC19" s="353">
        <f t="shared" si="30"/>
        <v>6.8965517241379309E-2</v>
      </c>
      <c r="AD19" s="353">
        <f t="shared" si="30"/>
        <v>6.8965517241379309E-2</v>
      </c>
      <c r="AE19" s="353">
        <f t="shared" si="30"/>
        <v>6.8965517241379309E-2</v>
      </c>
      <c r="AF19" s="353">
        <f t="shared" si="30"/>
        <v>6.8965517241379309E-2</v>
      </c>
      <c r="AG19" s="353">
        <f t="shared" si="30"/>
        <v>6.8965517241379309E-2</v>
      </c>
      <c r="AH19" s="353">
        <f t="shared" si="30"/>
        <v>6.8965517241379309E-2</v>
      </c>
      <c r="AI19" s="353">
        <f t="shared" si="30"/>
        <v>6.8965517241379309E-2</v>
      </c>
      <c r="AJ19" s="353">
        <f t="shared" si="30"/>
        <v>6.8965517241379309E-2</v>
      </c>
      <c r="AK19" s="353">
        <f t="shared" si="30"/>
        <v>6.8965517241379309E-2</v>
      </c>
      <c r="AL19" s="353">
        <f t="shared" si="30"/>
        <v>6.8965517241379309E-2</v>
      </c>
      <c r="AM19" s="353">
        <f t="shared" si="30"/>
        <v>6.8965517241379309E-2</v>
      </c>
      <c r="AN19" s="353">
        <f t="shared" si="30"/>
        <v>6.8965517241379309E-2</v>
      </c>
      <c r="AO19" s="353">
        <f t="shared" si="30"/>
        <v>6.8965517241379309E-2</v>
      </c>
      <c r="AP19" s="353">
        <f t="shared" si="30"/>
        <v>6.8965517241379309E-2</v>
      </c>
      <c r="AQ19" s="353">
        <f t="shared" si="30"/>
        <v>6.8965517241379309E-2</v>
      </c>
      <c r="AR19" s="353">
        <f t="shared" si="30"/>
        <v>6.8965517241379309E-2</v>
      </c>
      <c r="AS19" s="353">
        <f t="shared" si="30"/>
        <v>6.8965517241379309E-2</v>
      </c>
      <c r="AT19" s="353">
        <f t="shared" si="30"/>
        <v>6.8965517241379309E-2</v>
      </c>
      <c r="AU19" s="353">
        <f t="shared" si="30"/>
        <v>6.8965517241379309E-2</v>
      </c>
      <c r="AV19" s="353">
        <f t="shared" si="30"/>
        <v>6.8965517241379309E-2</v>
      </c>
      <c r="AW19" s="353">
        <f t="shared" si="30"/>
        <v>6.8965517241379309E-2</v>
      </c>
      <c r="AX19" s="353">
        <f t="shared" si="30"/>
        <v>6.8965517241379309E-2</v>
      </c>
      <c r="AY19" s="353">
        <f t="shared" si="30"/>
        <v>6.8965517241379309E-2</v>
      </c>
      <c r="AZ19" s="353">
        <f t="shared" si="30"/>
        <v>6.8965517241379309E-2</v>
      </c>
      <c r="BA19" s="353">
        <f t="shared" si="30"/>
        <v>6.8965517241379309E-2</v>
      </c>
      <c r="BB19" s="353">
        <f t="shared" si="30"/>
        <v>6.8965517241379309E-2</v>
      </c>
      <c r="BC19" s="353">
        <f t="shared" si="30"/>
        <v>6.8965517241379309E-2</v>
      </c>
      <c r="BD19" s="353">
        <f t="shared" si="30"/>
        <v>6.8965517241379309E-2</v>
      </c>
      <c r="BE19" s="353">
        <f t="shared" si="30"/>
        <v>6.8965517241379309E-2</v>
      </c>
      <c r="BF19" s="353">
        <f t="shared" si="30"/>
        <v>6.8965517241379309E-2</v>
      </c>
      <c r="BG19" s="353">
        <f t="shared" si="30"/>
        <v>6.8965517241379309E-2</v>
      </c>
      <c r="BH19" s="353">
        <f t="shared" si="30"/>
        <v>6.8965517241379309E-2</v>
      </c>
      <c r="BI19" s="353">
        <f t="shared" si="30"/>
        <v>6.8965517241379309E-2</v>
      </c>
      <c r="BJ19" s="353">
        <f t="shared" si="30"/>
        <v>6.8965517241379309E-2</v>
      </c>
      <c r="BK19" s="353">
        <f t="shared" si="30"/>
        <v>6.8965517241379309E-2</v>
      </c>
      <c r="BL19" s="353">
        <f t="shared" si="30"/>
        <v>6.8965517241379309E-2</v>
      </c>
      <c r="BM19" s="353">
        <f t="shared" si="30"/>
        <v>6.8965517241379309E-2</v>
      </c>
      <c r="BN19" s="353">
        <f t="shared" si="30"/>
        <v>6.8965517241379309E-2</v>
      </c>
      <c r="BO19" s="353">
        <f t="shared" si="30"/>
        <v>6.8965517241379309E-2</v>
      </c>
      <c r="BP19" s="353">
        <f t="shared" si="30"/>
        <v>6.8965517241379309E-2</v>
      </c>
      <c r="BQ19" s="353">
        <f t="shared" ref="BQ19:DT19" si="31">BP19</f>
        <v>6.8965517241379309E-2</v>
      </c>
      <c r="BR19" s="353">
        <f t="shared" si="31"/>
        <v>6.8965517241379309E-2</v>
      </c>
      <c r="BS19" s="353">
        <f t="shared" si="31"/>
        <v>6.8965517241379309E-2</v>
      </c>
      <c r="BT19" s="353">
        <f t="shared" si="31"/>
        <v>6.8965517241379309E-2</v>
      </c>
      <c r="BU19" s="353">
        <f t="shared" si="31"/>
        <v>6.8965517241379309E-2</v>
      </c>
      <c r="BV19" s="353">
        <f t="shared" si="31"/>
        <v>6.8965517241379309E-2</v>
      </c>
      <c r="BW19" s="353">
        <f t="shared" si="31"/>
        <v>6.8965517241379309E-2</v>
      </c>
      <c r="BX19" s="353">
        <f t="shared" si="31"/>
        <v>6.8965517241379309E-2</v>
      </c>
      <c r="BY19" s="353">
        <f t="shared" si="31"/>
        <v>6.8965517241379309E-2</v>
      </c>
      <c r="BZ19" s="353">
        <f t="shared" si="31"/>
        <v>6.8965517241379309E-2</v>
      </c>
      <c r="CA19" s="353">
        <f t="shared" si="31"/>
        <v>6.8965517241379309E-2</v>
      </c>
      <c r="CB19" s="353">
        <f t="shared" si="31"/>
        <v>6.8965517241379309E-2</v>
      </c>
      <c r="CC19" s="353">
        <f t="shared" si="31"/>
        <v>6.8965517241379309E-2</v>
      </c>
      <c r="CD19" s="353">
        <f t="shared" si="31"/>
        <v>6.8965517241379309E-2</v>
      </c>
      <c r="CE19" s="353">
        <f t="shared" si="31"/>
        <v>6.8965517241379309E-2</v>
      </c>
      <c r="CF19" s="353">
        <f t="shared" si="31"/>
        <v>6.8965517241379309E-2</v>
      </c>
      <c r="CG19" s="353">
        <f t="shared" si="31"/>
        <v>6.8965517241379309E-2</v>
      </c>
      <c r="CH19" s="353">
        <f t="shared" si="31"/>
        <v>6.8965517241379309E-2</v>
      </c>
      <c r="CI19" s="353">
        <f t="shared" si="31"/>
        <v>6.8965517241379309E-2</v>
      </c>
      <c r="CJ19" s="353">
        <f t="shared" si="31"/>
        <v>6.8965517241379309E-2</v>
      </c>
      <c r="CK19" s="353">
        <f t="shared" si="31"/>
        <v>6.8965517241379309E-2</v>
      </c>
      <c r="CL19" s="353">
        <f t="shared" si="31"/>
        <v>6.8965517241379309E-2</v>
      </c>
      <c r="CM19" s="353">
        <f t="shared" si="31"/>
        <v>6.8965517241379309E-2</v>
      </c>
      <c r="CN19" s="353">
        <f t="shared" si="31"/>
        <v>6.8965517241379309E-2</v>
      </c>
      <c r="CO19" s="353">
        <f t="shared" si="31"/>
        <v>6.8965517241379309E-2</v>
      </c>
      <c r="CP19" s="353">
        <f t="shared" si="31"/>
        <v>6.8965517241379309E-2</v>
      </c>
      <c r="CQ19" s="353">
        <f t="shared" si="31"/>
        <v>6.8965517241379309E-2</v>
      </c>
      <c r="CR19" s="353">
        <f t="shared" si="31"/>
        <v>6.8965517241379309E-2</v>
      </c>
      <c r="CS19" s="353">
        <f t="shared" si="31"/>
        <v>6.8965517241379309E-2</v>
      </c>
      <c r="CT19" s="353">
        <f t="shared" si="31"/>
        <v>6.8965517241379309E-2</v>
      </c>
      <c r="CU19" s="353">
        <f t="shared" si="31"/>
        <v>6.8965517241379309E-2</v>
      </c>
      <c r="CV19" s="353">
        <f t="shared" si="31"/>
        <v>6.8965517241379309E-2</v>
      </c>
      <c r="CW19" s="353">
        <f t="shared" si="31"/>
        <v>6.8965517241379309E-2</v>
      </c>
      <c r="CX19" s="353">
        <f t="shared" si="31"/>
        <v>6.8965517241379309E-2</v>
      </c>
      <c r="CY19" s="353">
        <f t="shared" si="31"/>
        <v>6.8965517241379309E-2</v>
      </c>
      <c r="CZ19" s="353">
        <f t="shared" si="31"/>
        <v>6.8965517241379309E-2</v>
      </c>
      <c r="DA19" s="353">
        <f t="shared" si="31"/>
        <v>6.8965517241379309E-2</v>
      </c>
      <c r="DB19" s="353">
        <f t="shared" si="31"/>
        <v>6.8965517241379309E-2</v>
      </c>
      <c r="DC19" s="353">
        <f t="shared" si="31"/>
        <v>6.8965517241379309E-2</v>
      </c>
      <c r="DD19" s="353">
        <f t="shared" si="31"/>
        <v>6.8965517241379309E-2</v>
      </c>
      <c r="DE19" s="353">
        <f t="shared" si="31"/>
        <v>6.8965517241379309E-2</v>
      </c>
      <c r="DF19" s="353">
        <f t="shared" si="31"/>
        <v>6.8965517241379309E-2</v>
      </c>
      <c r="DG19" s="353">
        <f t="shared" si="31"/>
        <v>6.8965517241379309E-2</v>
      </c>
      <c r="DH19" s="353">
        <f t="shared" si="31"/>
        <v>6.8965517241379309E-2</v>
      </c>
      <c r="DI19" s="353">
        <f t="shared" si="31"/>
        <v>6.8965517241379309E-2</v>
      </c>
      <c r="DJ19" s="353">
        <f t="shared" si="31"/>
        <v>6.8965517241379309E-2</v>
      </c>
      <c r="DK19" s="353">
        <f t="shared" si="31"/>
        <v>6.8965517241379309E-2</v>
      </c>
      <c r="DL19" s="353">
        <f t="shared" si="31"/>
        <v>6.8965517241379309E-2</v>
      </c>
      <c r="DM19" s="353">
        <f t="shared" si="31"/>
        <v>6.8965517241379309E-2</v>
      </c>
      <c r="DN19" s="353">
        <f t="shared" si="31"/>
        <v>6.8965517241379309E-2</v>
      </c>
      <c r="DO19" s="353">
        <f t="shared" si="31"/>
        <v>6.8965517241379309E-2</v>
      </c>
      <c r="DP19" s="353">
        <f t="shared" si="31"/>
        <v>6.8965517241379309E-2</v>
      </c>
      <c r="DQ19" s="353">
        <f t="shared" si="31"/>
        <v>6.8965517241379309E-2</v>
      </c>
      <c r="DR19" s="353">
        <f t="shared" si="31"/>
        <v>6.8965517241379309E-2</v>
      </c>
      <c r="DS19" s="353">
        <f t="shared" si="31"/>
        <v>6.8965517241379309E-2</v>
      </c>
      <c r="DT19" s="1102">
        <f t="shared" si="31"/>
        <v>6.8965517241379309E-2</v>
      </c>
    </row>
    <row r="20" spans="1:124" x14ac:dyDescent="0.3">
      <c r="B20" s="1055" t="str">
        <f t="shared" si="24"/>
        <v>Trinidad and TobagoBackofficeL1</v>
      </c>
      <c r="C20" s="1101" t="str">
        <f t="shared" si="25"/>
        <v>Trinidad and Tobago</v>
      </c>
      <c r="D20" s="353">
        <v>3.8314176245210725E-2</v>
      </c>
      <c r="E20" s="353">
        <f t="shared" ref="E20:BP20" si="32">D20</f>
        <v>3.8314176245210725E-2</v>
      </c>
      <c r="F20" s="353">
        <f t="shared" si="32"/>
        <v>3.8314176245210725E-2</v>
      </c>
      <c r="G20" s="353">
        <f t="shared" si="32"/>
        <v>3.8314176245210725E-2</v>
      </c>
      <c r="H20" s="353">
        <f t="shared" si="32"/>
        <v>3.8314176245210725E-2</v>
      </c>
      <c r="I20" s="353">
        <f t="shared" si="32"/>
        <v>3.8314176245210725E-2</v>
      </c>
      <c r="J20" s="353">
        <f t="shared" si="32"/>
        <v>3.8314176245210725E-2</v>
      </c>
      <c r="K20" s="353">
        <f t="shared" si="32"/>
        <v>3.8314176245210725E-2</v>
      </c>
      <c r="L20" s="353">
        <f t="shared" si="32"/>
        <v>3.8314176245210725E-2</v>
      </c>
      <c r="M20" s="353">
        <f t="shared" si="32"/>
        <v>3.8314176245210725E-2</v>
      </c>
      <c r="N20" s="353">
        <f t="shared" si="32"/>
        <v>3.8314176245210725E-2</v>
      </c>
      <c r="O20" s="353">
        <f t="shared" si="32"/>
        <v>3.8314176245210725E-2</v>
      </c>
      <c r="P20" s="353">
        <f t="shared" si="32"/>
        <v>3.8314176245210725E-2</v>
      </c>
      <c r="Q20" s="353">
        <f t="shared" si="32"/>
        <v>3.8314176245210725E-2</v>
      </c>
      <c r="R20" s="353">
        <f t="shared" si="32"/>
        <v>3.8314176245210725E-2</v>
      </c>
      <c r="S20" s="353">
        <f t="shared" si="32"/>
        <v>3.8314176245210725E-2</v>
      </c>
      <c r="T20" s="353">
        <f t="shared" si="32"/>
        <v>3.8314176245210725E-2</v>
      </c>
      <c r="U20" s="353">
        <f t="shared" si="32"/>
        <v>3.8314176245210725E-2</v>
      </c>
      <c r="V20" s="353">
        <f t="shared" si="32"/>
        <v>3.8314176245210725E-2</v>
      </c>
      <c r="W20" s="353">
        <f t="shared" si="32"/>
        <v>3.8314176245210725E-2</v>
      </c>
      <c r="X20" s="353">
        <f t="shared" si="32"/>
        <v>3.8314176245210725E-2</v>
      </c>
      <c r="Y20" s="353">
        <f t="shared" si="32"/>
        <v>3.8314176245210725E-2</v>
      </c>
      <c r="Z20" s="353">
        <f t="shared" si="32"/>
        <v>3.8314176245210725E-2</v>
      </c>
      <c r="AA20" s="353">
        <f t="shared" si="32"/>
        <v>3.8314176245210725E-2</v>
      </c>
      <c r="AB20" s="353">
        <f t="shared" si="32"/>
        <v>3.8314176245210725E-2</v>
      </c>
      <c r="AC20" s="353">
        <f t="shared" si="32"/>
        <v>3.8314176245210725E-2</v>
      </c>
      <c r="AD20" s="353">
        <f t="shared" si="32"/>
        <v>3.8314176245210725E-2</v>
      </c>
      <c r="AE20" s="353">
        <f t="shared" si="32"/>
        <v>3.8314176245210725E-2</v>
      </c>
      <c r="AF20" s="353">
        <f t="shared" si="32"/>
        <v>3.8314176245210725E-2</v>
      </c>
      <c r="AG20" s="353">
        <f t="shared" si="32"/>
        <v>3.8314176245210725E-2</v>
      </c>
      <c r="AH20" s="353">
        <f t="shared" si="32"/>
        <v>3.8314176245210725E-2</v>
      </c>
      <c r="AI20" s="353">
        <f t="shared" si="32"/>
        <v>3.8314176245210725E-2</v>
      </c>
      <c r="AJ20" s="353">
        <f t="shared" si="32"/>
        <v>3.8314176245210725E-2</v>
      </c>
      <c r="AK20" s="353">
        <f t="shared" si="32"/>
        <v>3.8314176245210725E-2</v>
      </c>
      <c r="AL20" s="353">
        <f t="shared" si="32"/>
        <v>3.8314176245210725E-2</v>
      </c>
      <c r="AM20" s="353">
        <f t="shared" si="32"/>
        <v>3.8314176245210725E-2</v>
      </c>
      <c r="AN20" s="353">
        <f t="shared" si="32"/>
        <v>3.8314176245210725E-2</v>
      </c>
      <c r="AO20" s="353">
        <f t="shared" si="32"/>
        <v>3.8314176245210725E-2</v>
      </c>
      <c r="AP20" s="353">
        <f t="shared" si="32"/>
        <v>3.8314176245210725E-2</v>
      </c>
      <c r="AQ20" s="353">
        <f t="shared" si="32"/>
        <v>3.8314176245210725E-2</v>
      </c>
      <c r="AR20" s="353">
        <f t="shared" si="32"/>
        <v>3.8314176245210725E-2</v>
      </c>
      <c r="AS20" s="353">
        <f t="shared" si="32"/>
        <v>3.8314176245210725E-2</v>
      </c>
      <c r="AT20" s="353">
        <f t="shared" si="32"/>
        <v>3.8314176245210725E-2</v>
      </c>
      <c r="AU20" s="353">
        <f t="shared" si="32"/>
        <v>3.8314176245210725E-2</v>
      </c>
      <c r="AV20" s="353">
        <f t="shared" si="32"/>
        <v>3.8314176245210725E-2</v>
      </c>
      <c r="AW20" s="353">
        <f t="shared" si="32"/>
        <v>3.8314176245210725E-2</v>
      </c>
      <c r="AX20" s="353">
        <f t="shared" si="32"/>
        <v>3.8314176245210725E-2</v>
      </c>
      <c r="AY20" s="353">
        <f t="shared" si="32"/>
        <v>3.8314176245210725E-2</v>
      </c>
      <c r="AZ20" s="353">
        <f t="shared" si="32"/>
        <v>3.8314176245210725E-2</v>
      </c>
      <c r="BA20" s="353">
        <f t="shared" si="32"/>
        <v>3.8314176245210725E-2</v>
      </c>
      <c r="BB20" s="353">
        <f t="shared" si="32"/>
        <v>3.8314176245210725E-2</v>
      </c>
      <c r="BC20" s="353">
        <f t="shared" si="32"/>
        <v>3.8314176245210725E-2</v>
      </c>
      <c r="BD20" s="353">
        <f t="shared" si="32"/>
        <v>3.8314176245210725E-2</v>
      </c>
      <c r="BE20" s="353">
        <f t="shared" si="32"/>
        <v>3.8314176245210725E-2</v>
      </c>
      <c r="BF20" s="353">
        <f t="shared" si="32"/>
        <v>3.8314176245210725E-2</v>
      </c>
      <c r="BG20" s="353">
        <f t="shared" si="32"/>
        <v>3.8314176245210725E-2</v>
      </c>
      <c r="BH20" s="353">
        <f t="shared" si="32"/>
        <v>3.8314176245210725E-2</v>
      </c>
      <c r="BI20" s="353">
        <f t="shared" si="32"/>
        <v>3.8314176245210725E-2</v>
      </c>
      <c r="BJ20" s="353">
        <f t="shared" si="32"/>
        <v>3.8314176245210725E-2</v>
      </c>
      <c r="BK20" s="353">
        <f t="shared" si="32"/>
        <v>3.8314176245210725E-2</v>
      </c>
      <c r="BL20" s="353">
        <f t="shared" si="32"/>
        <v>3.8314176245210725E-2</v>
      </c>
      <c r="BM20" s="353">
        <f t="shared" si="32"/>
        <v>3.8314176245210725E-2</v>
      </c>
      <c r="BN20" s="353">
        <f t="shared" si="32"/>
        <v>3.8314176245210725E-2</v>
      </c>
      <c r="BO20" s="353">
        <f t="shared" si="32"/>
        <v>3.8314176245210725E-2</v>
      </c>
      <c r="BP20" s="353">
        <f t="shared" si="32"/>
        <v>3.8314176245210725E-2</v>
      </c>
      <c r="BQ20" s="353">
        <f t="shared" ref="BQ20:DT20" si="33">BP20</f>
        <v>3.8314176245210725E-2</v>
      </c>
      <c r="BR20" s="353">
        <f t="shared" si="33"/>
        <v>3.8314176245210725E-2</v>
      </c>
      <c r="BS20" s="353">
        <f t="shared" si="33"/>
        <v>3.8314176245210725E-2</v>
      </c>
      <c r="BT20" s="353">
        <f t="shared" si="33"/>
        <v>3.8314176245210725E-2</v>
      </c>
      <c r="BU20" s="353">
        <f t="shared" si="33"/>
        <v>3.8314176245210725E-2</v>
      </c>
      <c r="BV20" s="353">
        <f t="shared" si="33"/>
        <v>3.8314176245210725E-2</v>
      </c>
      <c r="BW20" s="353">
        <f t="shared" si="33"/>
        <v>3.8314176245210725E-2</v>
      </c>
      <c r="BX20" s="353">
        <f t="shared" si="33"/>
        <v>3.8314176245210725E-2</v>
      </c>
      <c r="BY20" s="353">
        <f t="shared" si="33"/>
        <v>3.8314176245210725E-2</v>
      </c>
      <c r="BZ20" s="353">
        <f t="shared" si="33"/>
        <v>3.8314176245210725E-2</v>
      </c>
      <c r="CA20" s="353">
        <f t="shared" si="33"/>
        <v>3.8314176245210725E-2</v>
      </c>
      <c r="CB20" s="353">
        <f t="shared" si="33"/>
        <v>3.8314176245210725E-2</v>
      </c>
      <c r="CC20" s="353">
        <f t="shared" si="33"/>
        <v>3.8314176245210725E-2</v>
      </c>
      <c r="CD20" s="353">
        <f t="shared" si="33"/>
        <v>3.8314176245210725E-2</v>
      </c>
      <c r="CE20" s="353">
        <f t="shared" si="33"/>
        <v>3.8314176245210725E-2</v>
      </c>
      <c r="CF20" s="353">
        <f t="shared" si="33"/>
        <v>3.8314176245210725E-2</v>
      </c>
      <c r="CG20" s="353">
        <f t="shared" si="33"/>
        <v>3.8314176245210725E-2</v>
      </c>
      <c r="CH20" s="353">
        <f t="shared" si="33"/>
        <v>3.8314176245210725E-2</v>
      </c>
      <c r="CI20" s="353">
        <f t="shared" si="33"/>
        <v>3.8314176245210725E-2</v>
      </c>
      <c r="CJ20" s="353">
        <f t="shared" si="33"/>
        <v>3.8314176245210725E-2</v>
      </c>
      <c r="CK20" s="353">
        <f t="shared" si="33"/>
        <v>3.8314176245210725E-2</v>
      </c>
      <c r="CL20" s="353">
        <f t="shared" si="33"/>
        <v>3.8314176245210725E-2</v>
      </c>
      <c r="CM20" s="353">
        <f t="shared" si="33"/>
        <v>3.8314176245210725E-2</v>
      </c>
      <c r="CN20" s="353">
        <f t="shared" si="33"/>
        <v>3.8314176245210725E-2</v>
      </c>
      <c r="CO20" s="353">
        <f t="shared" si="33"/>
        <v>3.8314176245210725E-2</v>
      </c>
      <c r="CP20" s="353">
        <f t="shared" si="33"/>
        <v>3.8314176245210725E-2</v>
      </c>
      <c r="CQ20" s="353">
        <f t="shared" si="33"/>
        <v>3.8314176245210725E-2</v>
      </c>
      <c r="CR20" s="353">
        <f t="shared" si="33"/>
        <v>3.8314176245210725E-2</v>
      </c>
      <c r="CS20" s="353">
        <f t="shared" si="33"/>
        <v>3.8314176245210725E-2</v>
      </c>
      <c r="CT20" s="353">
        <f t="shared" si="33"/>
        <v>3.8314176245210725E-2</v>
      </c>
      <c r="CU20" s="353">
        <f t="shared" si="33"/>
        <v>3.8314176245210725E-2</v>
      </c>
      <c r="CV20" s="353">
        <f t="shared" si="33"/>
        <v>3.8314176245210725E-2</v>
      </c>
      <c r="CW20" s="353">
        <f t="shared" si="33"/>
        <v>3.8314176245210725E-2</v>
      </c>
      <c r="CX20" s="353">
        <f t="shared" si="33"/>
        <v>3.8314176245210725E-2</v>
      </c>
      <c r="CY20" s="353">
        <f t="shared" si="33"/>
        <v>3.8314176245210725E-2</v>
      </c>
      <c r="CZ20" s="353">
        <f t="shared" si="33"/>
        <v>3.8314176245210725E-2</v>
      </c>
      <c r="DA20" s="353">
        <f t="shared" si="33"/>
        <v>3.8314176245210725E-2</v>
      </c>
      <c r="DB20" s="353">
        <f t="shared" si="33"/>
        <v>3.8314176245210725E-2</v>
      </c>
      <c r="DC20" s="353">
        <f t="shared" si="33"/>
        <v>3.8314176245210725E-2</v>
      </c>
      <c r="DD20" s="353">
        <f t="shared" si="33"/>
        <v>3.8314176245210725E-2</v>
      </c>
      <c r="DE20" s="353">
        <f t="shared" si="33"/>
        <v>3.8314176245210725E-2</v>
      </c>
      <c r="DF20" s="353">
        <f t="shared" si="33"/>
        <v>3.8314176245210725E-2</v>
      </c>
      <c r="DG20" s="353">
        <f t="shared" si="33"/>
        <v>3.8314176245210725E-2</v>
      </c>
      <c r="DH20" s="353">
        <f t="shared" si="33"/>
        <v>3.8314176245210725E-2</v>
      </c>
      <c r="DI20" s="353">
        <f t="shared" si="33"/>
        <v>3.8314176245210725E-2</v>
      </c>
      <c r="DJ20" s="353">
        <f t="shared" si="33"/>
        <v>3.8314176245210725E-2</v>
      </c>
      <c r="DK20" s="353">
        <f t="shared" si="33"/>
        <v>3.8314176245210725E-2</v>
      </c>
      <c r="DL20" s="353">
        <f t="shared" si="33"/>
        <v>3.8314176245210725E-2</v>
      </c>
      <c r="DM20" s="353">
        <f t="shared" si="33"/>
        <v>3.8314176245210725E-2</v>
      </c>
      <c r="DN20" s="353">
        <f t="shared" si="33"/>
        <v>3.8314176245210725E-2</v>
      </c>
      <c r="DO20" s="353">
        <f t="shared" si="33"/>
        <v>3.8314176245210725E-2</v>
      </c>
      <c r="DP20" s="353">
        <f t="shared" si="33"/>
        <v>3.8314176245210725E-2</v>
      </c>
      <c r="DQ20" s="353">
        <f t="shared" si="33"/>
        <v>3.8314176245210725E-2</v>
      </c>
      <c r="DR20" s="353">
        <f t="shared" si="33"/>
        <v>3.8314176245210725E-2</v>
      </c>
      <c r="DS20" s="353">
        <f t="shared" si="33"/>
        <v>3.8314176245210725E-2</v>
      </c>
      <c r="DT20" s="1102">
        <f t="shared" si="33"/>
        <v>3.8314176245210725E-2</v>
      </c>
    </row>
    <row r="21" spans="1:124" x14ac:dyDescent="0.3">
      <c r="B21" s="1055" t="str">
        <f t="shared" si="24"/>
        <v>South AfricaBackofficeL1</v>
      </c>
      <c r="C21" s="1101" t="str">
        <f t="shared" si="25"/>
        <v>South Africa</v>
      </c>
      <c r="D21" s="353">
        <v>3.8314176245210725E-2</v>
      </c>
      <c r="E21" s="353">
        <f t="shared" ref="E21:BP21" si="34">D21</f>
        <v>3.8314176245210725E-2</v>
      </c>
      <c r="F21" s="353">
        <f t="shared" si="34"/>
        <v>3.8314176245210725E-2</v>
      </c>
      <c r="G21" s="353">
        <f t="shared" si="34"/>
        <v>3.8314176245210725E-2</v>
      </c>
      <c r="H21" s="353">
        <f t="shared" si="34"/>
        <v>3.8314176245210725E-2</v>
      </c>
      <c r="I21" s="353">
        <f t="shared" si="34"/>
        <v>3.8314176245210725E-2</v>
      </c>
      <c r="J21" s="353">
        <f t="shared" si="34"/>
        <v>3.8314176245210725E-2</v>
      </c>
      <c r="K21" s="353">
        <f t="shared" si="34"/>
        <v>3.8314176245210725E-2</v>
      </c>
      <c r="L21" s="353">
        <f t="shared" si="34"/>
        <v>3.8314176245210725E-2</v>
      </c>
      <c r="M21" s="353">
        <f t="shared" si="34"/>
        <v>3.8314176245210725E-2</v>
      </c>
      <c r="N21" s="353">
        <f t="shared" si="34"/>
        <v>3.8314176245210725E-2</v>
      </c>
      <c r="O21" s="353">
        <f t="shared" si="34"/>
        <v>3.8314176245210725E-2</v>
      </c>
      <c r="P21" s="353">
        <f t="shared" si="34"/>
        <v>3.8314176245210725E-2</v>
      </c>
      <c r="Q21" s="353">
        <f t="shared" si="34"/>
        <v>3.8314176245210725E-2</v>
      </c>
      <c r="R21" s="353">
        <f t="shared" si="34"/>
        <v>3.8314176245210725E-2</v>
      </c>
      <c r="S21" s="353">
        <f t="shared" si="34"/>
        <v>3.8314176245210725E-2</v>
      </c>
      <c r="T21" s="353">
        <f t="shared" si="34"/>
        <v>3.8314176245210725E-2</v>
      </c>
      <c r="U21" s="353">
        <f t="shared" si="34"/>
        <v>3.8314176245210725E-2</v>
      </c>
      <c r="V21" s="353">
        <f t="shared" si="34"/>
        <v>3.8314176245210725E-2</v>
      </c>
      <c r="W21" s="353">
        <f t="shared" si="34"/>
        <v>3.8314176245210725E-2</v>
      </c>
      <c r="X21" s="353">
        <f t="shared" si="34"/>
        <v>3.8314176245210725E-2</v>
      </c>
      <c r="Y21" s="353">
        <f t="shared" si="34"/>
        <v>3.8314176245210725E-2</v>
      </c>
      <c r="Z21" s="353">
        <f t="shared" si="34"/>
        <v>3.8314176245210725E-2</v>
      </c>
      <c r="AA21" s="353">
        <f t="shared" si="34"/>
        <v>3.8314176245210725E-2</v>
      </c>
      <c r="AB21" s="353">
        <f t="shared" si="34"/>
        <v>3.8314176245210725E-2</v>
      </c>
      <c r="AC21" s="353">
        <f t="shared" si="34"/>
        <v>3.8314176245210725E-2</v>
      </c>
      <c r="AD21" s="353">
        <f t="shared" si="34"/>
        <v>3.8314176245210725E-2</v>
      </c>
      <c r="AE21" s="353">
        <f t="shared" si="34"/>
        <v>3.8314176245210725E-2</v>
      </c>
      <c r="AF21" s="353">
        <f t="shared" si="34"/>
        <v>3.8314176245210725E-2</v>
      </c>
      <c r="AG21" s="353">
        <f t="shared" si="34"/>
        <v>3.8314176245210725E-2</v>
      </c>
      <c r="AH21" s="353">
        <f t="shared" si="34"/>
        <v>3.8314176245210725E-2</v>
      </c>
      <c r="AI21" s="353">
        <f t="shared" si="34"/>
        <v>3.8314176245210725E-2</v>
      </c>
      <c r="AJ21" s="353">
        <f t="shared" si="34"/>
        <v>3.8314176245210725E-2</v>
      </c>
      <c r="AK21" s="353">
        <f t="shared" si="34"/>
        <v>3.8314176245210725E-2</v>
      </c>
      <c r="AL21" s="353">
        <f t="shared" si="34"/>
        <v>3.8314176245210725E-2</v>
      </c>
      <c r="AM21" s="353">
        <f t="shared" si="34"/>
        <v>3.8314176245210725E-2</v>
      </c>
      <c r="AN21" s="353">
        <f t="shared" si="34"/>
        <v>3.8314176245210725E-2</v>
      </c>
      <c r="AO21" s="353">
        <f t="shared" si="34"/>
        <v>3.8314176245210725E-2</v>
      </c>
      <c r="AP21" s="353">
        <f t="shared" si="34"/>
        <v>3.8314176245210725E-2</v>
      </c>
      <c r="AQ21" s="353">
        <f t="shared" si="34"/>
        <v>3.8314176245210725E-2</v>
      </c>
      <c r="AR21" s="353">
        <f t="shared" si="34"/>
        <v>3.8314176245210725E-2</v>
      </c>
      <c r="AS21" s="353">
        <f t="shared" si="34"/>
        <v>3.8314176245210725E-2</v>
      </c>
      <c r="AT21" s="353">
        <f t="shared" si="34"/>
        <v>3.8314176245210725E-2</v>
      </c>
      <c r="AU21" s="353">
        <f t="shared" si="34"/>
        <v>3.8314176245210725E-2</v>
      </c>
      <c r="AV21" s="353">
        <f t="shared" si="34"/>
        <v>3.8314176245210725E-2</v>
      </c>
      <c r="AW21" s="353">
        <f t="shared" si="34"/>
        <v>3.8314176245210725E-2</v>
      </c>
      <c r="AX21" s="353">
        <f t="shared" si="34"/>
        <v>3.8314176245210725E-2</v>
      </c>
      <c r="AY21" s="353">
        <f t="shared" si="34"/>
        <v>3.8314176245210725E-2</v>
      </c>
      <c r="AZ21" s="353">
        <f t="shared" si="34"/>
        <v>3.8314176245210725E-2</v>
      </c>
      <c r="BA21" s="353">
        <f t="shared" si="34"/>
        <v>3.8314176245210725E-2</v>
      </c>
      <c r="BB21" s="353">
        <f t="shared" si="34"/>
        <v>3.8314176245210725E-2</v>
      </c>
      <c r="BC21" s="353">
        <f t="shared" si="34"/>
        <v>3.8314176245210725E-2</v>
      </c>
      <c r="BD21" s="353">
        <f t="shared" si="34"/>
        <v>3.8314176245210725E-2</v>
      </c>
      <c r="BE21" s="353">
        <f t="shared" si="34"/>
        <v>3.8314176245210725E-2</v>
      </c>
      <c r="BF21" s="353">
        <f t="shared" si="34"/>
        <v>3.8314176245210725E-2</v>
      </c>
      <c r="BG21" s="353">
        <f t="shared" si="34"/>
        <v>3.8314176245210725E-2</v>
      </c>
      <c r="BH21" s="353">
        <f t="shared" si="34"/>
        <v>3.8314176245210725E-2</v>
      </c>
      <c r="BI21" s="353">
        <f t="shared" si="34"/>
        <v>3.8314176245210725E-2</v>
      </c>
      <c r="BJ21" s="353">
        <f t="shared" si="34"/>
        <v>3.8314176245210725E-2</v>
      </c>
      <c r="BK21" s="353">
        <f t="shared" si="34"/>
        <v>3.8314176245210725E-2</v>
      </c>
      <c r="BL21" s="353">
        <f t="shared" si="34"/>
        <v>3.8314176245210725E-2</v>
      </c>
      <c r="BM21" s="353">
        <f t="shared" si="34"/>
        <v>3.8314176245210725E-2</v>
      </c>
      <c r="BN21" s="353">
        <f t="shared" si="34"/>
        <v>3.8314176245210725E-2</v>
      </c>
      <c r="BO21" s="353">
        <f t="shared" si="34"/>
        <v>3.8314176245210725E-2</v>
      </c>
      <c r="BP21" s="353">
        <f t="shared" si="34"/>
        <v>3.8314176245210725E-2</v>
      </c>
      <c r="BQ21" s="353">
        <f t="shared" ref="BQ21:DT21" si="35">BP21</f>
        <v>3.8314176245210725E-2</v>
      </c>
      <c r="BR21" s="353">
        <f t="shared" si="35"/>
        <v>3.8314176245210725E-2</v>
      </c>
      <c r="BS21" s="353">
        <f t="shared" si="35"/>
        <v>3.8314176245210725E-2</v>
      </c>
      <c r="BT21" s="353">
        <f t="shared" si="35"/>
        <v>3.8314176245210725E-2</v>
      </c>
      <c r="BU21" s="353">
        <f t="shared" si="35"/>
        <v>3.8314176245210725E-2</v>
      </c>
      <c r="BV21" s="353">
        <f t="shared" si="35"/>
        <v>3.8314176245210725E-2</v>
      </c>
      <c r="BW21" s="353">
        <f t="shared" si="35"/>
        <v>3.8314176245210725E-2</v>
      </c>
      <c r="BX21" s="353">
        <f t="shared" si="35"/>
        <v>3.8314176245210725E-2</v>
      </c>
      <c r="BY21" s="353">
        <f t="shared" si="35"/>
        <v>3.8314176245210725E-2</v>
      </c>
      <c r="BZ21" s="353">
        <f t="shared" si="35"/>
        <v>3.8314176245210725E-2</v>
      </c>
      <c r="CA21" s="353">
        <f t="shared" si="35"/>
        <v>3.8314176245210725E-2</v>
      </c>
      <c r="CB21" s="353">
        <f t="shared" si="35"/>
        <v>3.8314176245210725E-2</v>
      </c>
      <c r="CC21" s="353">
        <f t="shared" si="35"/>
        <v>3.8314176245210725E-2</v>
      </c>
      <c r="CD21" s="353">
        <f t="shared" si="35"/>
        <v>3.8314176245210725E-2</v>
      </c>
      <c r="CE21" s="353">
        <f t="shared" si="35"/>
        <v>3.8314176245210725E-2</v>
      </c>
      <c r="CF21" s="353">
        <f t="shared" si="35"/>
        <v>3.8314176245210725E-2</v>
      </c>
      <c r="CG21" s="353">
        <f t="shared" si="35"/>
        <v>3.8314176245210725E-2</v>
      </c>
      <c r="CH21" s="353">
        <f t="shared" si="35"/>
        <v>3.8314176245210725E-2</v>
      </c>
      <c r="CI21" s="353">
        <f t="shared" si="35"/>
        <v>3.8314176245210725E-2</v>
      </c>
      <c r="CJ21" s="353">
        <f t="shared" si="35"/>
        <v>3.8314176245210725E-2</v>
      </c>
      <c r="CK21" s="353">
        <f t="shared" si="35"/>
        <v>3.8314176245210725E-2</v>
      </c>
      <c r="CL21" s="353">
        <f t="shared" si="35"/>
        <v>3.8314176245210725E-2</v>
      </c>
      <c r="CM21" s="353">
        <f t="shared" si="35"/>
        <v>3.8314176245210725E-2</v>
      </c>
      <c r="CN21" s="353">
        <f t="shared" si="35"/>
        <v>3.8314176245210725E-2</v>
      </c>
      <c r="CO21" s="353">
        <f t="shared" si="35"/>
        <v>3.8314176245210725E-2</v>
      </c>
      <c r="CP21" s="353">
        <f t="shared" si="35"/>
        <v>3.8314176245210725E-2</v>
      </c>
      <c r="CQ21" s="353">
        <f t="shared" si="35"/>
        <v>3.8314176245210725E-2</v>
      </c>
      <c r="CR21" s="353">
        <f t="shared" si="35"/>
        <v>3.8314176245210725E-2</v>
      </c>
      <c r="CS21" s="353">
        <f t="shared" si="35"/>
        <v>3.8314176245210725E-2</v>
      </c>
      <c r="CT21" s="353">
        <f t="shared" si="35"/>
        <v>3.8314176245210725E-2</v>
      </c>
      <c r="CU21" s="353">
        <f t="shared" si="35"/>
        <v>3.8314176245210725E-2</v>
      </c>
      <c r="CV21" s="353">
        <f t="shared" si="35"/>
        <v>3.8314176245210725E-2</v>
      </c>
      <c r="CW21" s="353">
        <f t="shared" si="35"/>
        <v>3.8314176245210725E-2</v>
      </c>
      <c r="CX21" s="353">
        <f t="shared" si="35"/>
        <v>3.8314176245210725E-2</v>
      </c>
      <c r="CY21" s="353">
        <f t="shared" si="35"/>
        <v>3.8314176245210725E-2</v>
      </c>
      <c r="CZ21" s="353">
        <f t="shared" si="35"/>
        <v>3.8314176245210725E-2</v>
      </c>
      <c r="DA21" s="353">
        <f t="shared" si="35"/>
        <v>3.8314176245210725E-2</v>
      </c>
      <c r="DB21" s="353">
        <f t="shared" si="35"/>
        <v>3.8314176245210725E-2</v>
      </c>
      <c r="DC21" s="353">
        <f t="shared" si="35"/>
        <v>3.8314176245210725E-2</v>
      </c>
      <c r="DD21" s="353">
        <f t="shared" si="35"/>
        <v>3.8314176245210725E-2</v>
      </c>
      <c r="DE21" s="353">
        <f t="shared" si="35"/>
        <v>3.8314176245210725E-2</v>
      </c>
      <c r="DF21" s="353">
        <f t="shared" si="35"/>
        <v>3.8314176245210725E-2</v>
      </c>
      <c r="DG21" s="353">
        <f t="shared" si="35"/>
        <v>3.8314176245210725E-2</v>
      </c>
      <c r="DH21" s="353">
        <f t="shared" si="35"/>
        <v>3.8314176245210725E-2</v>
      </c>
      <c r="DI21" s="353">
        <f t="shared" si="35"/>
        <v>3.8314176245210725E-2</v>
      </c>
      <c r="DJ21" s="353">
        <f t="shared" si="35"/>
        <v>3.8314176245210725E-2</v>
      </c>
      <c r="DK21" s="353">
        <f t="shared" si="35"/>
        <v>3.8314176245210725E-2</v>
      </c>
      <c r="DL21" s="353">
        <f t="shared" si="35"/>
        <v>3.8314176245210725E-2</v>
      </c>
      <c r="DM21" s="353">
        <f t="shared" si="35"/>
        <v>3.8314176245210725E-2</v>
      </c>
      <c r="DN21" s="353">
        <f t="shared" si="35"/>
        <v>3.8314176245210725E-2</v>
      </c>
      <c r="DO21" s="353">
        <f t="shared" si="35"/>
        <v>3.8314176245210725E-2</v>
      </c>
      <c r="DP21" s="353">
        <f t="shared" si="35"/>
        <v>3.8314176245210725E-2</v>
      </c>
      <c r="DQ21" s="353">
        <f t="shared" si="35"/>
        <v>3.8314176245210725E-2</v>
      </c>
      <c r="DR21" s="353">
        <f t="shared" si="35"/>
        <v>3.8314176245210725E-2</v>
      </c>
      <c r="DS21" s="353">
        <f t="shared" si="35"/>
        <v>3.8314176245210725E-2</v>
      </c>
      <c r="DT21" s="1102">
        <f t="shared" si="35"/>
        <v>3.8314176245210725E-2</v>
      </c>
    </row>
    <row r="22" spans="1:124" x14ac:dyDescent="0.3">
      <c r="B22" s="1055" t="str">
        <f t="shared" si="24"/>
        <v>RomaniaBackofficeL1</v>
      </c>
      <c r="C22" s="1101" t="str">
        <f t="shared" si="25"/>
        <v>Romania</v>
      </c>
      <c r="D22" s="353">
        <v>5.4980842911877395E-2</v>
      </c>
      <c r="E22" s="353">
        <f t="shared" ref="E22:BP22" si="36">D22</f>
        <v>5.4980842911877395E-2</v>
      </c>
      <c r="F22" s="353">
        <f t="shared" si="36"/>
        <v>5.4980842911877395E-2</v>
      </c>
      <c r="G22" s="353">
        <f t="shared" si="36"/>
        <v>5.4980842911877395E-2</v>
      </c>
      <c r="H22" s="353">
        <f t="shared" si="36"/>
        <v>5.4980842911877395E-2</v>
      </c>
      <c r="I22" s="353">
        <f t="shared" si="36"/>
        <v>5.4980842911877395E-2</v>
      </c>
      <c r="J22" s="353">
        <f t="shared" si="36"/>
        <v>5.4980842911877395E-2</v>
      </c>
      <c r="K22" s="353">
        <f t="shared" si="36"/>
        <v>5.4980842911877395E-2</v>
      </c>
      <c r="L22" s="353">
        <f t="shared" si="36"/>
        <v>5.4980842911877395E-2</v>
      </c>
      <c r="M22" s="353">
        <f t="shared" si="36"/>
        <v>5.4980842911877395E-2</v>
      </c>
      <c r="N22" s="353">
        <f t="shared" si="36"/>
        <v>5.4980842911877395E-2</v>
      </c>
      <c r="O22" s="353">
        <f t="shared" si="36"/>
        <v>5.4980842911877395E-2</v>
      </c>
      <c r="P22" s="353">
        <f t="shared" si="36"/>
        <v>5.4980842911877395E-2</v>
      </c>
      <c r="Q22" s="353">
        <f t="shared" si="36"/>
        <v>5.4980842911877395E-2</v>
      </c>
      <c r="R22" s="353">
        <f t="shared" si="36"/>
        <v>5.4980842911877395E-2</v>
      </c>
      <c r="S22" s="353">
        <f t="shared" si="36"/>
        <v>5.4980842911877395E-2</v>
      </c>
      <c r="T22" s="353">
        <f t="shared" si="36"/>
        <v>5.4980842911877395E-2</v>
      </c>
      <c r="U22" s="353">
        <f t="shared" si="36"/>
        <v>5.4980842911877395E-2</v>
      </c>
      <c r="V22" s="353">
        <f t="shared" si="36"/>
        <v>5.4980842911877395E-2</v>
      </c>
      <c r="W22" s="353">
        <f t="shared" si="36"/>
        <v>5.4980842911877395E-2</v>
      </c>
      <c r="X22" s="353">
        <f t="shared" si="36"/>
        <v>5.4980842911877395E-2</v>
      </c>
      <c r="Y22" s="353">
        <f t="shared" si="36"/>
        <v>5.4980842911877395E-2</v>
      </c>
      <c r="Z22" s="353">
        <f t="shared" si="36"/>
        <v>5.4980842911877395E-2</v>
      </c>
      <c r="AA22" s="353">
        <f t="shared" si="36"/>
        <v>5.4980842911877395E-2</v>
      </c>
      <c r="AB22" s="353">
        <f t="shared" si="36"/>
        <v>5.4980842911877395E-2</v>
      </c>
      <c r="AC22" s="353">
        <f t="shared" si="36"/>
        <v>5.4980842911877395E-2</v>
      </c>
      <c r="AD22" s="353">
        <f t="shared" si="36"/>
        <v>5.4980842911877395E-2</v>
      </c>
      <c r="AE22" s="353">
        <f t="shared" si="36"/>
        <v>5.4980842911877395E-2</v>
      </c>
      <c r="AF22" s="353">
        <f t="shared" si="36"/>
        <v>5.4980842911877395E-2</v>
      </c>
      <c r="AG22" s="353">
        <f t="shared" si="36"/>
        <v>5.4980842911877395E-2</v>
      </c>
      <c r="AH22" s="353">
        <f t="shared" si="36"/>
        <v>5.4980842911877395E-2</v>
      </c>
      <c r="AI22" s="353">
        <f t="shared" si="36"/>
        <v>5.4980842911877395E-2</v>
      </c>
      <c r="AJ22" s="353">
        <f t="shared" si="36"/>
        <v>5.4980842911877395E-2</v>
      </c>
      <c r="AK22" s="353">
        <f t="shared" si="36"/>
        <v>5.4980842911877395E-2</v>
      </c>
      <c r="AL22" s="353">
        <f t="shared" si="36"/>
        <v>5.4980842911877395E-2</v>
      </c>
      <c r="AM22" s="353">
        <f t="shared" si="36"/>
        <v>5.4980842911877395E-2</v>
      </c>
      <c r="AN22" s="353">
        <f t="shared" si="36"/>
        <v>5.4980842911877395E-2</v>
      </c>
      <c r="AO22" s="353">
        <f t="shared" si="36"/>
        <v>5.4980842911877395E-2</v>
      </c>
      <c r="AP22" s="353">
        <f t="shared" si="36"/>
        <v>5.4980842911877395E-2</v>
      </c>
      <c r="AQ22" s="353">
        <f t="shared" si="36"/>
        <v>5.4980842911877395E-2</v>
      </c>
      <c r="AR22" s="353">
        <f t="shared" si="36"/>
        <v>5.4980842911877395E-2</v>
      </c>
      <c r="AS22" s="353">
        <f t="shared" si="36"/>
        <v>5.4980842911877395E-2</v>
      </c>
      <c r="AT22" s="353">
        <f t="shared" si="36"/>
        <v>5.4980842911877395E-2</v>
      </c>
      <c r="AU22" s="353">
        <f t="shared" si="36"/>
        <v>5.4980842911877395E-2</v>
      </c>
      <c r="AV22" s="353">
        <f t="shared" si="36"/>
        <v>5.4980842911877395E-2</v>
      </c>
      <c r="AW22" s="353">
        <f t="shared" si="36"/>
        <v>5.4980842911877395E-2</v>
      </c>
      <c r="AX22" s="353">
        <f t="shared" si="36"/>
        <v>5.4980842911877395E-2</v>
      </c>
      <c r="AY22" s="353">
        <f t="shared" si="36"/>
        <v>5.4980842911877395E-2</v>
      </c>
      <c r="AZ22" s="353">
        <f t="shared" si="36"/>
        <v>5.4980842911877395E-2</v>
      </c>
      <c r="BA22" s="353">
        <f t="shared" si="36"/>
        <v>5.4980842911877395E-2</v>
      </c>
      <c r="BB22" s="353">
        <f t="shared" si="36"/>
        <v>5.4980842911877395E-2</v>
      </c>
      <c r="BC22" s="353">
        <f t="shared" si="36"/>
        <v>5.4980842911877395E-2</v>
      </c>
      <c r="BD22" s="353">
        <f t="shared" si="36"/>
        <v>5.4980842911877395E-2</v>
      </c>
      <c r="BE22" s="353">
        <f t="shared" si="36"/>
        <v>5.4980842911877395E-2</v>
      </c>
      <c r="BF22" s="353">
        <f t="shared" si="36"/>
        <v>5.4980842911877395E-2</v>
      </c>
      <c r="BG22" s="353">
        <f t="shared" si="36"/>
        <v>5.4980842911877395E-2</v>
      </c>
      <c r="BH22" s="353">
        <f t="shared" si="36"/>
        <v>5.4980842911877395E-2</v>
      </c>
      <c r="BI22" s="353">
        <f t="shared" si="36"/>
        <v>5.4980842911877395E-2</v>
      </c>
      <c r="BJ22" s="353">
        <f t="shared" si="36"/>
        <v>5.4980842911877395E-2</v>
      </c>
      <c r="BK22" s="353">
        <f t="shared" si="36"/>
        <v>5.4980842911877395E-2</v>
      </c>
      <c r="BL22" s="353">
        <f t="shared" si="36"/>
        <v>5.4980842911877395E-2</v>
      </c>
      <c r="BM22" s="353">
        <f t="shared" si="36"/>
        <v>5.4980842911877395E-2</v>
      </c>
      <c r="BN22" s="353">
        <f t="shared" si="36"/>
        <v>5.4980842911877395E-2</v>
      </c>
      <c r="BO22" s="353">
        <f t="shared" si="36"/>
        <v>5.4980842911877395E-2</v>
      </c>
      <c r="BP22" s="353">
        <f t="shared" si="36"/>
        <v>5.4980842911877395E-2</v>
      </c>
      <c r="BQ22" s="353">
        <f t="shared" ref="BQ22:DT22" si="37">BP22</f>
        <v>5.4980842911877395E-2</v>
      </c>
      <c r="BR22" s="353">
        <f t="shared" si="37"/>
        <v>5.4980842911877395E-2</v>
      </c>
      <c r="BS22" s="353">
        <f t="shared" si="37"/>
        <v>5.4980842911877395E-2</v>
      </c>
      <c r="BT22" s="353">
        <f t="shared" si="37"/>
        <v>5.4980842911877395E-2</v>
      </c>
      <c r="BU22" s="353">
        <f t="shared" si="37"/>
        <v>5.4980842911877395E-2</v>
      </c>
      <c r="BV22" s="353">
        <f t="shared" si="37"/>
        <v>5.4980842911877395E-2</v>
      </c>
      <c r="BW22" s="353">
        <f t="shared" si="37"/>
        <v>5.4980842911877395E-2</v>
      </c>
      <c r="BX22" s="353">
        <f t="shared" si="37"/>
        <v>5.4980842911877395E-2</v>
      </c>
      <c r="BY22" s="353">
        <f t="shared" si="37"/>
        <v>5.4980842911877395E-2</v>
      </c>
      <c r="BZ22" s="353">
        <f t="shared" si="37"/>
        <v>5.4980842911877395E-2</v>
      </c>
      <c r="CA22" s="353">
        <f t="shared" si="37"/>
        <v>5.4980842911877395E-2</v>
      </c>
      <c r="CB22" s="353">
        <f t="shared" si="37"/>
        <v>5.4980842911877395E-2</v>
      </c>
      <c r="CC22" s="353">
        <f t="shared" si="37"/>
        <v>5.4980842911877395E-2</v>
      </c>
      <c r="CD22" s="353">
        <f t="shared" si="37"/>
        <v>5.4980842911877395E-2</v>
      </c>
      <c r="CE22" s="353">
        <f t="shared" si="37"/>
        <v>5.4980842911877395E-2</v>
      </c>
      <c r="CF22" s="353">
        <f t="shared" si="37"/>
        <v>5.4980842911877395E-2</v>
      </c>
      <c r="CG22" s="353">
        <f t="shared" si="37"/>
        <v>5.4980842911877395E-2</v>
      </c>
      <c r="CH22" s="353">
        <f t="shared" si="37"/>
        <v>5.4980842911877395E-2</v>
      </c>
      <c r="CI22" s="353">
        <f t="shared" si="37"/>
        <v>5.4980842911877395E-2</v>
      </c>
      <c r="CJ22" s="353">
        <f t="shared" si="37"/>
        <v>5.4980842911877395E-2</v>
      </c>
      <c r="CK22" s="353">
        <f t="shared" si="37"/>
        <v>5.4980842911877395E-2</v>
      </c>
      <c r="CL22" s="353">
        <f t="shared" si="37"/>
        <v>5.4980842911877395E-2</v>
      </c>
      <c r="CM22" s="353">
        <f t="shared" si="37"/>
        <v>5.4980842911877395E-2</v>
      </c>
      <c r="CN22" s="353">
        <f t="shared" si="37"/>
        <v>5.4980842911877395E-2</v>
      </c>
      <c r="CO22" s="353">
        <f t="shared" si="37"/>
        <v>5.4980842911877395E-2</v>
      </c>
      <c r="CP22" s="353">
        <f t="shared" si="37"/>
        <v>5.4980842911877395E-2</v>
      </c>
      <c r="CQ22" s="353">
        <f t="shared" si="37"/>
        <v>5.4980842911877395E-2</v>
      </c>
      <c r="CR22" s="353">
        <f t="shared" si="37"/>
        <v>5.4980842911877395E-2</v>
      </c>
      <c r="CS22" s="353">
        <f t="shared" si="37"/>
        <v>5.4980842911877395E-2</v>
      </c>
      <c r="CT22" s="353">
        <f t="shared" si="37"/>
        <v>5.4980842911877395E-2</v>
      </c>
      <c r="CU22" s="353">
        <f t="shared" si="37"/>
        <v>5.4980842911877395E-2</v>
      </c>
      <c r="CV22" s="353">
        <f t="shared" si="37"/>
        <v>5.4980842911877395E-2</v>
      </c>
      <c r="CW22" s="353">
        <f t="shared" si="37"/>
        <v>5.4980842911877395E-2</v>
      </c>
      <c r="CX22" s="353">
        <f t="shared" si="37"/>
        <v>5.4980842911877395E-2</v>
      </c>
      <c r="CY22" s="353">
        <f t="shared" si="37"/>
        <v>5.4980842911877395E-2</v>
      </c>
      <c r="CZ22" s="353">
        <f t="shared" si="37"/>
        <v>5.4980842911877395E-2</v>
      </c>
      <c r="DA22" s="353">
        <f t="shared" si="37"/>
        <v>5.4980842911877395E-2</v>
      </c>
      <c r="DB22" s="353">
        <f t="shared" si="37"/>
        <v>5.4980842911877395E-2</v>
      </c>
      <c r="DC22" s="353">
        <f t="shared" si="37"/>
        <v>5.4980842911877395E-2</v>
      </c>
      <c r="DD22" s="353">
        <f t="shared" si="37"/>
        <v>5.4980842911877395E-2</v>
      </c>
      <c r="DE22" s="353">
        <f t="shared" si="37"/>
        <v>5.4980842911877395E-2</v>
      </c>
      <c r="DF22" s="353">
        <f t="shared" si="37"/>
        <v>5.4980842911877395E-2</v>
      </c>
      <c r="DG22" s="353">
        <f t="shared" si="37"/>
        <v>5.4980842911877395E-2</v>
      </c>
      <c r="DH22" s="353">
        <f t="shared" si="37"/>
        <v>5.4980842911877395E-2</v>
      </c>
      <c r="DI22" s="353">
        <f t="shared" si="37"/>
        <v>5.4980842911877395E-2</v>
      </c>
      <c r="DJ22" s="353">
        <f t="shared" si="37"/>
        <v>5.4980842911877395E-2</v>
      </c>
      <c r="DK22" s="353">
        <f t="shared" si="37"/>
        <v>5.4980842911877395E-2</v>
      </c>
      <c r="DL22" s="353">
        <f t="shared" si="37"/>
        <v>5.4980842911877395E-2</v>
      </c>
      <c r="DM22" s="353">
        <f t="shared" si="37"/>
        <v>5.4980842911877395E-2</v>
      </c>
      <c r="DN22" s="353">
        <f t="shared" si="37"/>
        <v>5.4980842911877395E-2</v>
      </c>
      <c r="DO22" s="353">
        <f t="shared" si="37"/>
        <v>5.4980842911877395E-2</v>
      </c>
      <c r="DP22" s="353">
        <f t="shared" si="37"/>
        <v>5.4980842911877395E-2</v>
      </c>
      <c r="DQ22" s="353">
        <f t="shared" si="37"/>
        <v>5.4980842911877395E-2</v>
      </c>
      <c r="DR22" s="353">
        <f t="shared" si="37"/>
        <v>5.4980842911877395E-2</v>
      </c>
      <c r="DS22" s="353">
        <f t="shared" si="37"/>
        <v>5.4980842911877395E-2</v>
      </c>
      <c r="DT22" s="1102">
        <f t="shared" si="37"/>
        <v>5.4980842911877395E-2</v>
      </c>
    </row>
    <row r="23" spans="1:124" x14ac:dyDescent="0.3">
      <c r="B23" s="1055" t="str">
        <f t="shared" si="24"/>
        <v>IndiaBackofficeL1</v>
      </c>
      <c r="C23" s="1101" t="str">
        <f t="shared" si="25"/>
        <v>India</v>
      </c>
      <c r="D23" s="353">
        <v>1.532567049808429E-2</v>
      </c>
      <c r="E23" s="353">
        <f t="shared" ref="E23:BP23" si="38">D23</f>
        <v>1.532567049808429E-2</v>
      </c>
      <c r="F23" s="353">
        <f t="shared" si="38"/>
        <v>1.532567049808429E-2</v>
      </c>
      <c r="G23" s="353">
        <f t="shared" si="38"/>
        <v>1.532567049808429E-2</v>
      </c>
      <c r="H23" s="353">
        <f t="shared" si="38"/>
        <v>1.532567049808429E-2</v>
      </c>
      <c r="I23" s="353">
        <f t="shared" si="38"/>
        <v>1.532567049808429E-2</v>
      </c>
      <c r="J23" s="353">
        <f t="shared" si="38"/>
        <v>1.532567049808429E-2</v>
      </c>
      <c r="K23" s="353">
        <f t="shared" si="38"/>
        <v>1.532567049808429E-2</v>
      </c>
      <c r="L23" s="353">
        <f t="shared" si="38"/>
        <v>1.532567049808429E-2</v>
      </c>
      <c r="M23" s="353">
        <f t="shared" si="38"/>
        <v>1.532567049808429E-2</v>
      </c>
      <c r="N23" s="353">
        <f t="shared" si="38"/>
        <v>1.532567049808429E-2</v>
      </c>
      <c r="O23" s="353">
        <f t="shared" si="38"/>
        <v>1.532567049808429E-2</v>
      </c>
      <c r="P23" s="353">
        <f t="shared" si="38"/>
        <v>1.532567049808429E-2</v>
      </c>
      <c r="Q23" s="353">
        <f t="shared" si="38"/>
        <v>1.532567049808429E-2</v>
      </c>
      <c r="R23" s="353">
        <f t="shared" si="38"/>
        <v>1.532567049808429E-2</v>
      </c>
      <c r="S23" s="353">
        <f t="shared" si="38"/>
        <v>1.532567049808429E-2</v>
      </c>
      <c r="T23" s="353">
        <f t="shared" si="38"/>
        <v>1.532567049808429E-2</v>
      </c>
      <c r="U23" s="353">
        <f t="shared" si="38"/>
        <v>1.532567049808429E-2</v>
      </c>
      <c r="V23" s="353">
        <f t="shared" si="38"/>
        <v>1.532567049808429E-2</v>
      </c>
      <c r="W23" s="353">
        <f t="shared" si="38"/>
        <v>1.532567049808429E-2</v>
      </c>
      <c r="X23" s="353">
        <f t="shared" si="38"/>
        <v>1.532567049808429E-2</v>
      </c>
      <c r="Y23" s="353">
        <f t="shared" si="38"/>
        <v>1.532567049808429E-2</v>
      </c>
      <c r="Z23" s="353">
        <f t="shared" si="38"/>
        <v>1.532567049808429E-2</v>
      </c>
      <c r="AA23" s="353">
        <f t="shared" si="38"/>
        <v>1.532567049808429E-2</v>
      </c>
      <c r="AB23" s="353">
        <f t="shared" si="38"/>
        <v>1.532567049808429E-2</v>
      </c>
      <c r="AC23" s="353">
        <f t="shared" si="38"/>
        <v>1.532567049808429E-2</v>
      </c>
      <c r="AD23" s="353">
        <f t="shared" si="38"/>
        <v>1.532567049808429E-2</v>
      </c>
      <c r="AE23" s="353">
        <f t="shared" si="38"/>
        <v>1.532567049808429E-2</v>
      </c>
      <c r="AF23" s="353">
        <f t="shared" si="38"/>
        <v>1.532567049808429E-2</v>
      </c>
      <c r="AG23" s="353">
        <f t="shared" si="38"/>
        <v>1.532567049808429E-2</v>
      </c>
      <c r="AH23" s="353">
        <f t="shared" si="38"/>
        <v>1.532567049808429E-2</v>
      </c>
      <c r="AI23" s="353">
        <f t="shared" si="38"/>
        <v>1.532567049808429E-2</v>
      </c>
      <c r="AJ23" s="353">
        <f t="shared" si="38"/>
        <v>1.532567049808429E-2</v>
      </c>
      <c r="AK23" s="353">
        <f t="shared" si="38"/>
        <v>1.532567049808429E-2</v>
      </c>
      <c r="AL23" s="353">
        <f t="shared" si="38"/>
        <v>1.532567049808429E-2</v>
      </c>
      <c r="AM23" s="353">
        <f t="shared" si="38"/>
        <v>1.532567049808429E-2</v>
      </c>
      <c r="AN23" s="353">
        <f t="shared" si="38"/>
        <v>1.532567049808429E-2</v>
      </c>
      <c r="AO23" s="353">
        <f t="shared" si="38"/>
        <v>1.532567049808429E-2</v>
      </c>
      <c r="AP23" s="353">
        <f t="shared" si="38"/>
        <v>1.532567049808429E-2</v>
      </c>
      <c r="AQ23" s="353">
        <f t="shared" si="38"/>
        <v>1.532567049808429E-2</v>
      </c>
      <c r="AR23" s="353">
        <f t="shared" si="38"/>
        <v>1.532567049808429E-2</v>
      </c>
      <c r="AS23" s="353">
        <f t="shared" si="38"/>
        <v>1.532567049808429E-2</v>
      </c>
      <c r="AT23" s="353">
        <f t="shared" si="38"/>
        <v>1.532567049808429E-2</v>
      </c>
      <c r="AU23" s="353">
        <f t="shared" si="38"/>
        <v>1.532567049808429E-2</v>
      </c>
      <c r="AV23" s="353">
        <f t="shared" si="38"/>
        <v>1.532567049808429E-2</v>
      </c>
      <c r="AW23" s="353">
        <f t="shared" si="38"/>
        <v>1.532567049808429E-2</v>
      </c>
      <c r="AX23" s="353">
        <f t="shared" si="38"/>
        <v>1.532567049808429E-2</v>
      </c>
      <c r="AY23" s="353">
        <f t="shared" si="38"/>
        <v>1.532567049808429E-2</v>
      </c>
      <c r="AZ23" s="353">
        <f t="shared" si="38"/>
        <v>1.532567049808429E-2</v>
      </c>
      <c r="BA23" s="353">
        <f t="shared" si="38"/>
        <v>1.532567049808429E-2</v>
      </c>
      <c r="BB23" s="353">
        <f t="shared" si="38"/>
        <v>1.532567049808429E-2</v>
      </c>
      <c r="BC23" s="353">
        <f t="shared" si="38"/>
        <v>1.532567049808429E-2</v>
      </c>
      <c r="BD23" s="353">
        <f t="shared" si="38"/>
        <v>1.532567049808429E-2</v>
      </c>
      <c r="BE23" s="353">
        <f t="shared" si="38"/>
        <v>1.532567049808429E-2</v>
      </c>
      <c r="BF23" s="353">
        <f t="shared" si="38"/>
        <v>1.532567049808429E-2</v>
      </c>
      <c r="BG23" s="353">
        <f t="shared" si="38"/>
        <v>1.532567049808429E-2</v>
      </c>
      <c r="BH23" s="353">
        <f t="shared" si="38"/>
        <v>1.532567049808429E-2</v>
      </c>
      <c r="BI23" s="353">
        <f t="shared" si="38"/>
        <v>1.532567049808429E-2</v>
      </c>
      <c r="BJ23" s="353">
        <f t="shared" si="38"/>
        <v>1.532567049808429E-2</v>
      </c>
      <c r="BK23" s="353">
        <f t="shared" si="38"/>
        <v>1.532567049808429E-2</v>
      </c>
      <c r="BL23" s="353">
        <f t="shared" si="38"/>
        <v>1.532567049808429E-2</v>
      </c>
      <c r="BM23" s="353">
        <f t="shared" si="38"/>
        <v>1.532567049808429E-2</v>
      </c>
      <c r="BN23" s="353">
        <f t="shared" si="38"/>
        <v>1.532567049808429E-2</v>
      </c>
      <c r="BO23" s="353">
        <f t="shared" si="38"/>
        <v>1.532567049808429E-2</v>
      </c>
      <c r="BP23" s="353">
        <f t="shared" si="38"/>
        <v>1.532567049808429E-2</v>
      </c>
      <c r="BQ23" s="353">
        <f t="shared" ref="BQ23:DT23" si="39">BP23</f>
        <v>1.532567049808429E-2</v>
      </c>
      <c r="BR23" s="353">
        <f t="shared" si="39"/>
        <v>1.532567049808429E-2</v>
      </c>
      <c r="BS23" s="353">
        <f t="shared" si="39"/>
        <v>1.532567049808429E-2</v>
      </c>
      <c r="BT23" s="353">
        <f t="shared" si="39"/>
        <v>1.532567049808429E-2</v>
      </c>
      <c r="BU23" s="353">
        <f t="shared" si="39"/>
        <v>1.532567049808429E-2</v>
      </c>
      <c r="BV23" s="353">
        <f t="shared" si="39"/>
        <v>1.532567049808429E-2</v>
      </c>
      <c r="BW23" s="353">
        <f t="shared" si="39"/>
        <v>1.532567049808429E-2</v>
      </c>
      <c r="BX23" s="353">
        <f t="shared" si="39"/>
        <v>1.532567049808429E-2</v>
      </c>
      <c r="BY23" s="353">
        <f t="shared" si="39"/>
        <v>1.532567049808429E-2</v>
      </c>
      <c r="BZ23" s="353">
        <f t="shared" si="39"/>
        <v>1.532567049808429E-2</v>
      </c>
      <c r="CA23" s="353">
        <f t="shared" si="39"/>
        <v>1.532567049808429E-2</v>
      </c>
      <c r="CB23" s="353">
        <f t="shared" si="39"/>
        <v>1.532567049808429E-2</v>
      </c>
      <c r="CC23" s="353">
        <f t="shared" si="39"/>
        <v>1.532567049808429E-2</v>
      </c>
      <c r="CD23" s="353">
        <f t="shared" si="39"/>
        <v>1.532567049808429E-2</v>
      </c>
      <c r="CE23" s="353">
        <f t="shared" si="39"/>
        <v>1.532567049808429E-2</v>
      </c>
      <c r="CF23" s="353">
        <f t="shared" si="39"/>
        <v>1.532567049808429E-2</v>
      </c>
      <c r="CG23" s="353">
        <f t="shared" si="39"/>
        <v>1.532567049808429E-2</v>
      </c>
      <c r="CH23" s="353">
        <f t="shared" si="39"/>
        <v>1.532567049808429E-2</v>
      </c>
      <c r="CI23" s="353">
        <f t="shared" si="39"/>
        <v>1.532567049808429E-2</v>
      </c>
      <c r="CJ23" s="353">
        <f t="shared" si="39"/>
        <v>1.532567049808429E-2</v>
      </c>
      <c r="CK23" s="353">
        <f t="shared" si="39"/>
        <v>1.532567049808429E-2</v>
      </c>
      <c r="CL23" s="353">
        <f t="shared" si="39"/>
        <v>1.532567049808429E-2</v>
      </c>
      <c r="CM23" s="353">
        <f t="shared" si="39"/>
        <v>1.532567049808429E-2</v>
      </c>
      <c r="CN23" s="353">
        <f t="shared" si="39"/>
        <v>1.532567049808429E-2</v>
      </c>
      <c r="CO23" s="353">
        <f t="shared" si="39"/>
        <v>1.532567049808429E-2</v>
      </c>
      <c r="CP23" s="353">
        <f t="shared" si="39"/>
        <v>1.532567049808429E-2</v>
      </c>
      <c r="CQ23" s="353">
        <f t="shared" si="39"/>
        <v>1.532567049808429E-2</v>
      </c>
      <c r="CR23" s="353">
        <f t="shared" si="39"/>
        <v>1.532567049808429E-2</v>
      </c>
      <c r="CS23" s="353">
        <f t="shared" si="39"/>
        <v>1.532567049808429E-2</v>
      </c>
      <c r="CT23" s="353">
        <f t="shared" si="39"/>
        <v>1.532567049808429E-2</v>
      </c>
      <c r="CU23" s="353">
        <f t="shared" si="39"/>
        <v>1.532567049808429E-2</v>
      </c>
      <c r="CV23" s="353">
        <f t="shared" si="39"/>
        <v>1.532567049808429E-2</v>
      </c>
      <c r="CW23" s="353">
        <f t="shared" si="39"/>
        <v>1.532567049808429E-2</v>
      </c>
      <c r="CX23" s="353">
        <f t="shared" si="39"/>
        <v>1.532567049808429E-2</v>
      </c>
      <c r="CY23" s="353">
        <f t="shared" si="39"/>
        <v>1.532567049808429E-2</v>
      </c>
      <c r="CZ23" s="353">
        <f t="shared" si="39"/>
        <v>1.532567049808429E-2</v>
      </c>
      <c r="DA23" s="353">
        <f t="shared" si="39"/>
        <v>1.532567049808429E-2</v>
      </c>
      <c r="DB23" s="353">
        <f t="shared" si="39"/>
        <v>1.532567049808429E-2</v>
      </c>
      <c r="DC23" s="353">
        <f t="shared" si="39"/>
        <v>1.532567049808429E-2</v>
      </c>
      <c r="DD23" s="353">
        <f t="shared" si="39"/>
        <v>1.532567049808429E-2</v>
      </c>
      <c r="DE23" s="353">
        <f t="shared" si="39"/>
        <v>1.532567049808429E-2</v>
      </c>
      <c r="DF23" s="353">
        <f t="shared" si="39"/>
        <v>1.532567049808429E-2</v>
      </c>
      <c r="DG23" s="353">
        <f t="shared" si="39"/>
        <v>1.532567049808429E-2</v>
      </c>
      <c r="DH23" s="353">
        <f t="shared" si="39"/>
        <v>1.532567049808429E-2</v>
      </c>
      <c r="DI23" s="353">
        <f t="shared" si="39"/>
        <v>1.532567049808429E-2</v>
      </c>
      <c r="DJ23" s="353">
        <f t="shared" si="39"/>
        <v>1.532567049808429E-2</v>
      </c>
      <c r="DK23" s="353">
        <f t="shared" si="39"/>
        <v>1.532567049808429E-2</v>
      </c>
      <c r="DL23" s="353">
        <f t="shared" si="39"/>
        <v>1.532567049808429E-2</v>
      </c>
      <c r="DM23" s="353">
        <f t="shared" si="39"/>
        <v>1.532567049808429E-2</v>
      </c>
      <c r="DN23" s="353">
        <f t="shared" si="39"/>
        <v>1.532567049808429E-2</v>
      </c>
      <c r="DO23" s="353">
        <f t="shared" si="39"/>
        <v>1.532567049808429E-2</v>
      </c>
      <c r="DP23" s="353">
        <f t="shared" si="39"/>
        <v>1.532567049808429E-2</v>
      </c>
      <c r="DQ23" s="353">
        <f t="shared" si="39"/>
        <v>1.532567049808429E-2</v>
      </c>
      <c r="DR23" s="353">
        <f t="shared" si="39"/>
        <v>1.532567049808429E-2</v>
      </c>
      <c r="DS23" s="353">
        <f t="shared" si="39"/>
        <v>1.532567049808429E-2</v>
      </c>
      <c r="DT23" s="1102">
        <f t="shared" si="39"/>
        <v>1.532567049808429E-2</v>
      </c>
    </row>
    <row r="24" spans="1:124" ht="13.5" thickBot="1" x14ac:dyDescent="0.35">
      <c r="B24" s="1055" t="str">
        <f t="shared" si="24"/>
        <v>PhilippinesBackofficeL1</v>
      </c>
      <c r="C24" s="1103" t="str">
        <f t="shared" si="25"/>
        <v>Philippines</v>
      </c>
      <c r="D24" s="1104">
        <v>1.9157088122605363E-2</v>
      </c>
      <c r="E24" s="1104">
        <f t="shared" ref="E24:BP24" si="40">D24</f>
        <v>1.9157088122605363E-2</v>
      </c>
      <c r="F24" s="1104">
        <f t="shared" si="40"/>
        <v>1.9157088122605363E-2</v>
      </c>
      <c r="G24" s="1104">
        <f t="shared" si="40"/>
        <v>1.9157088122605363E-2</v>
      </c>
      <c r="H24" s="1104">
        <f t="shared" si="40"/>
        <v>1.9157088122605363E-2</v>
      </c>
      <c r="I24" s="1104">
        <f t="shared" si="40"/>
        <v>1.9157088122605363E-2</v>
      </c>
      <c r="J24" s="1104">
        <f t="shared" si="40"/>
        <v>1.9157088122605363E-2</v>
      </c>
      <c r="K24" s="1104">
        <f t="shared" si="40"/>
        <v>1.9157088122605363E-2</v>
      </c>
      <c r="L24" s="1104">
        <f t="shared" si="40"/>
        <v>1.9157088122605363E-2</v>
      </c>
      <c r="M24" s="1104">
        <f t="shared" si="40"/>
        <v>1.9157088122605363E-2</v>
      </c>
      <c r="N24" s="1104">
        <f t="shared" si="40"/>
        <v>1.9157088122605363E-2</v>
      </c>
      <c r="O24" s="1104">
        <f t="shared" si="40"/>
        <v>1.9157088122605363E-2</v>
      </c>
      <c r="P24" s="1104">
        <f t="shared" si="40"/>
        <v>1.9157088122605363E-2</v>
      </c>
      <c r="Q24" s="1104">
        <f t="shared" si="40"/>
        <v>1.9157088122605363E-2</v>
      </c>
      <c r="R24" s="1104">
        <f t="shared" si="40"/>
        <v>1.9157088122605363E-2</v>
      </c>
      <c r="S24" s="1104">
        <f t="shared" si="40"/>
        <v>1.9157088122605363E-2</v>
      </c>
      <c r="T24" s="1104">
        <f t="shared" si="40"/>
        <v>1.9157088122605363E-2</v>
      </c>
      <c r="U24" s="1104">
        <f t="shared" si="40"/>
        <v>1.9157088122605363E-2</v>
      </c>
      <c r="V24" s="1104">
        <f t="shared" si="40"/>
        <v>1.9157088122605363E-2</v>
      </c>
      <c r="W24" s="1104">
        <f t="shared" si="40"/>
        <v>1.9157088122605363E-2</v>
      </c>
      <c r="X24" s="1104">
        <f t="shared" si="40"/>
        <v>1.9157088122605363E-2</v>
      </c>
      <c r="Y24" s="1104">
        <f t="shared" si="40"/>
        <v>1.9157088122605363E-2</v>
      </c>
      <c r="Z24" s="1104">
        <f t="shared" si="40"/>
        <v>1.9157088122605363E-2</v>
      </c>
      <c r="AA24" s="1104">
        <f t="shared" si="40"/>
        <v>1.9157088122605363E-2</v>
      </c>
      <c r="AB24" s="1104">
        <f t="shared" si="40"/>
        <v>1.9157088122605363E-2</v>
      </c>
      <c r="AC24" s="1104">
        <f t="shared" si="40"/>
        <v>1.9157088122605363E-2</v>
      </c>
      <c r="AD24" s="1104">
        <f t="shared" si="40"/>
        <v>1.9157088122605363E-2</v>
      </c>
      <c r="AE24" s="1104">
        <f t="shared" si="40"/>
        <v>1.9157088122605363E-2</v>
      </c>
      <c r="AF24" s="1104">
        <f t="shared" si="40"/>
        <v>1.9157088122605363E-2</v>
      </c>
      <c r="AG24" s="1104">
        <f t="shared" si="40"/>
        <v>1.9157088122605363E-2</v>
      </c>
      <c r="AH24" s="1104">
        <f t="shared" si="40"/>
        <v>1.9157088122605363E-2</v>
      </c>
      <c r="AI24" s="1104">
        <f t="shared" si="40"/>
        <v>1.9157088122605363E-2</v>
      </c>
      <c r="AJ24" s="1104">
        <f t="shared" si="40"/>
        <v>1.9157088122605363E-2</v>
      </c>
      <c r="AK24" s="1104">
        <f t="shared" si="40"/>
        <v>1.9157088122605363E-2</v>
      </c>
      <c r="AL24" s="1104">
        <f t="shared" si="40"/>
        <v>1.9157088122605363E-2</v>
      </c>
      <c r="AM24" s="1104">
        <f t="shared" si="40"/>
        <v>1.9157088122605363E-2</v>
      </c>
      <c r="AN24" s="1104">
        <f t="shared" si="40"/>
        <v>1.9157088122605363E-2</v>
      </c>
      <c r="AO24" s="1104">
        <f t="shared" si="40"/>
        <v>1.9157088122605363E-2</v>
      </c>
      <c r="AP24" s="1104">
        <f t="shared" si="40"/>
        <v>1.9157088122605363E-2</v>
      </c>
      <c r="AQ24" s="1104">
        <f t="shared" si="40"/>
        <v>1.9157088122605363E-2</v>
      </c>
      <c r="AR24" s="1104">
        <f t="shared" si="40"/>
        <v>1.9157088122605363E-2</v>
      </c>
      <c r="AS24" s="1104">
        <f t="shared" si="40"/>
        <v>1.9157088122605363E-2</v>
      </c>
      <c r="AT24" s="1104">
        <f t="shared" si="40"/>
        <v>1.9157088122605363E-2</v>
      </c>
      <c r="AU24" s="1104">
        <f t="shared" si="40"/>
        <v>1.9157088122605363E-2</v>
      </c>
      <c r="AV24" s="1104">
        <f t="shared" si="40"/>
        <v>1.9157088122605363E-2</v>
      </c>
      <c r="AW24" s="1104">
        <f t="shared" si="40"/>
        <v>1.9157088122605363E-2</v>
      </c>
      <c r="AX24" s="1104">
        <f t="shared" si="40"/>
        <v>1.9157088122605363E-2</v>
      </c>
      <c r="AY24" s="1104">
        <f t="shared" si="40"/>
        <v>1.9157088122605363E-2</v>
      </c>
      <c r="AZ24" s="1104">
        <f t="shared" si="40"/>
        <v>1.9157088122605363E-2</v>
      </c>
      <c r="BA24" s="1104">
        <f t="shared" si="40"/>
        <v>1.9157088122605363E-2</v>
      </c>
      <c r="BB24" s="1104">
        <f t="shared" si="40"/>
        <v>1.9157088122605363E-2</v>
      </c>
      <c r="BC24" s="1104">
        <f t="shared" si="40"/>
        <v>1.9157088122605363E-2</v>
      </c>
      <c r="BD24" s="1104">
        <f t="shared" si="40"/>
        <v>1.9157088122605363E-2</v>
      </c>
      <c r="BE24" s="1104">
        <f t="shared" si="40"/>
        <v>1.9157088122605363E-2</v>
      </c>
      <c r="BF24" s="1104">
        <f t="shared" si="40"/>
        <v>1.9157088122605363E-2</v>
      </c>
      <c r="BG24" s="1104">
        <f t="shared" si="40"/>
        <v>1.9157088122605363E-2</v>
      </c>
      <c r="BH24" s="1104">
        <f t="shared" si="40"/>
        <v>1.9157088122605363E-2</v>
      </c>
      <c r="BI24" s="1104">
        <f t="shared" si="40"/>
        <v>1.9157088122605363E-2</v>
      </c>
      <c r="BJ24" s="1104">
        <f t="shared" si="40"/>
        <v>1.9157088122605363E-2</v>
      </c>
      <c r="BK24" s="1104">
        <f t="shared" si="40"/>
        <v>1.9157088122605363E-2</v>
      </c>
      <c r="BL24" s="1104">
        <f t="shared" si="40"/>
        <v>1.9157088122605363E-2</v>
      </c>
      <c r="BM24" s="1104">
        <f t="shared" si="40"/>
        <v>1.9157088122605363E-2</v>
      </c>
      <c r="BN24" s="1104">
        <f t="shared" si="40"/>
        <v>1.9157088122605363E-2</v>
      </c>
      <c r="BO24" s="1104">
        <f t="shared" si="40"/>
        <v>1.9157088122605363E-2</v>
      </c>
      <c r="BP24" s="1104">
        <f t="shared" si="40"/>
        <v>1.9157088122605363E-2</v>
      </c>
      <c r="BQ24" s="1104">
        <f t="shared" ref="BQ24:DT24" si="41">BP24</f>
        <v>1.9157088122605363E-2</v>
      </c>
      <c r="BR24" s="1104">
        <f t="shared" si="41"/>
        <v>1.9157088122605363E-2</v>
      </c>
      <c r="BS24" s="1104">
        <f t="shared" si="41"/>
        <v>1.9157088122605363E-2</v>
      </c>
      <c r="BT24" s="1104">
        <f t="shared" si="41"/>
        <v>1.9157088122605363E-2</v>
      </c>
      <c r="BU24" s="1104">
        <f t="shared" si="41"/>
        <v>1.9157088122605363E-2</v>
      </c>
      <c r="BV24" s="1104">
        <f t="shared" si="41"/>
        <v>1.9157088122605363E-2</v>
      </c>
      <c r="BW24" s="1104">
        <f t="shared" si="41"/>
        <v>1.9157088122605363E-2</v>
      </c>
      <c r="BX24" s="1104">
        <f t="shared" si="41"/>
        <v>1.9157088122605363E-2</v>
      </c>
      <c r="BY24" s="1104">
        <f t="shared" si="41"/>
        <v>1.9157088122605363E-2</v>
      </c>
      <c r="BZ24" s="1104">
        <f t="shared" si="41"/>
        <v>1.9157088122605363E-2</v>
      </c>
      <c r="CA24" s="1104">
        <f t="shared" si="41"/>
        <v>1.9157088122605363E-2</v>
      </c>
      <c r="CB24" s="1104">
        <f t="shared" si="41"/>
        <v>1.9157088122605363E-2</v>
      </c>
      <c r="CC24" s="1104">
        <f t="shared" si="41"/>
        <v>1.9157088122605363E-2</v>
      </c>
      <c r="CD24" s="1104">
        <f t="shared" si="41"/>
        <v>1.9157088122605363E-2</v>
      </c>
      <c r="CE24" s="1104">
        <f t="shared" si="41"/>
        <v>1.9157088122605363E-2</v>
      </c>
      <c r="CF24" s="1104">
        <f t="shared" si="41"/>
        <v>1.9157088122605363E-2</v>
      </c>
      <c r="CG24" s="1104">
        <f t="shared" si="41"/>
        <v>1.9157088122605363E-2</v>
      </c>
      <c r="CH24" s="1104">
        <f t="shared" si="41"/>
        <v>1.9157088122605363E-2</v>
      </c>
      <c r="CI24" s="1104">
        <f t="shared" si="41"/>
        <v>1.9157088122605363E-2</v>
      </c>
      <c r="CJ24" s="1104">
        <f t="shared" si="41"/>
        <v>1.9157088122605363E-2</v>
      </c>
      <c r="CK24" s="1104">
        <f t="shared" si="41"/>
        <v>1.9157088122605363E-2</v>
      </c>
      <c r="CL24" s="1104">
        <f t="shared" si="41"/>
        <v>1.9157088122605363E-2</v>
      </c>
      <c r="CM24" s="1104">
        <f t="shared" si="41"/>
        <v>1.9157088122605363E-2</v>
      </c>
      <c r="CN24" s="1104">
        <f t="shared" si="41"/>
        <v>1.9157088122605363E-2</v>
      </c>
      <c r="CO24" s="1104">
        <f t="shared" si="41"/>
        <v>1.9157088122605363E-2</v>
      </c>
      <c r="CP24" s="1104">
        <f t="shared" si="41"/>
        <v>1.9157088122605363E-2</v>
      </c>
      <c r="CQ24" s="1104">
        <f t="shared" si="41"/>
        <v>1.9157088122605363E-2</v>
      </c>
      <c r="CR24" s="1104">
        <f t="shared" si="41"/>
        <v>1.9157088122605363E-2</v>
      </c>
      <c r="CS24" s="1104">
        <f t="shared" si="41"/>
        <v>1.9157088122605363E-2</v>
      </c>
      <c r="CT24" s="1104">
        <f t="shared" si="41"/>
        <v>1.9157088122605363E-2</v>
      </c>
      <c r="CU24" s="1104">
        <f t="shared" si="41"/>
        <v>1.9157088122605363E-2</v>
      </c>
      <c r="CV24" s="1104">
        <f t="shared" si="41"/>
        <v>1.9157088122605363E-2</v>
      </c>
      <c r="CW24" s="1104">
        <f t="shared" si="41"/>
        <v>1.9157088122605363E-2</v>
      </c>
      <c r="CX24" s="1104">
        <f t="shared" si="41"/>
        <v>1.9157088122605363E-2</v>
      </c>
      <c r="CY24" s="1104">
        <f t="shared" si="41"/>
        <v>1.9157088122605363E-2</v>
      </c>
      <c r="CZ24" s="1104">
        <f t="shared" si="41"/>
        <v>1.9157088122605363E-2</v>
      </c>
      <c r="DA24" s="1104">
        <f t="shared" si="41"/>
        <v>1.9157088122605363E-2</v>
      </c>
      <c r="DB24" s="1104">
        <f t="shared" si="41"/>
        <v>1.9157088122605363E-2</v>
      </c>
      <c r="DC24" s="1104">
        <f t="shared" si="41"/>
        <v>1.9157088122605363E-2</v>
      </c>
      <c r="DD24" s="1104">
        <f t="shared" si="41"/>
        <v>1.9157088122605363E-2</v>
      </c>
      <c r="DE24" s="1104">
        <f t="shared" si="41"/>
        <v>1.9157088122605363E-2</v>
      </c>
      <c r="DF24" s="1104">
        <f t="shared" si="41"/>
        <v>1.9157088122605363E-2</v>
      </c>
      <c r="DG24" s="1104">
        <f t="shared" si="41"/>
        <v>1.9157088122605363E-2</v>
      </c>
      <c r="DH24" s="1104">
        <f t="shared" si="41"/>
        <v>1.9157088122605363E-2</v>
      </c>
      <c r="DI24" s="1104">
        <f t="shared" si="41"/>
        <v>1.9157088122605363E-2</v>
      </c>
      <c r="DJ24" s="1104">
        <f t="shared" si="41"/>
        <v>1.9157088122605363E-2</v>
      </c>
      <c r="DK24" s="1104">
        <f t="shared" si="41"/>
        <v>1.9157088122605363E-2</v>
      </c>
      <c r="DL24" s="1104">
        <f t="shared" si="41"/>
        <v>1.9157088122605363E-2</v>
      </c>
      <c r="DM24" s="1104">
        <f t="shared" si="41"/>
        <v>1.9157088122605363E-2</v>
      </c>
      <c r="DN24" s="1104">
        <f t="shared" si="41"/>
        <v>1.9157088122605363E-2</v>
      </c>
      <c r="DO24" s="1104">
        <f t="shared" si="41"/>
        <v>1.9157088122605363E-2</v>
      </c>
      <c r="DP24" s="1104">
        <f t="shared" si="41"/>
        <v>1.9157088122605363E-2</v>
      </c>
      <c r="DQ24" s="1104">
        <f t="shared" si="41"/>
        <v>1.9157088122605363E-2</v>
      </c>
      <c r="DR24" s="1104">
        <f t="shared" si="41"/>
        <v>1.9157088122605363E-2</v>
      </c>
      <c r="DS24" s="1104">
        <f t="shared" si="41"/>
        <v>1.9157088122605363E-2</v>
      </c>
      <c r="DT24" s="1105">
        <f t="shared" si="41"/>
        <v>1.9157088122605363E-2</v>
      </c>
    </row>
    <row r="25" spans="1:124" ht="13.5" thickBot="1" x14ac:dyDescent="0.35">
      <c r="C25" s="1089"/>
      <c r="D25" s="1027"/>
      <c r="E25" s="1027"/>
      <c r="F25" s="1027"/>
      <c r="G25" s="1027"/>
      <c r="H25" s="1027"/>
      <c r="I25" s="1027"/>
      <c r="J25" s="1027"/>
      <c r="K25" s="1027"/>
      <c r="L25" s="1027"/>
      <c r="M25" s="1027"/>
      <c r="N25" s="1027"/>
      <c r="O25" s="1027"/>
      <c r="P25" s="1027"/>
      <c r="Q25" s="1027"/>
      <c r="R25" s="1027"/>
      <c r="S25" s="1027"/>
      <c r="T25" s="1027"/>
      <c r="U25" s="1027"/>
      <c r="V25" s="1027"/>
      <c r="W25" s="1027"/>
      <c r="X25" s="1027"/>
      <c r="Y25" s="1027"/>
      <c r="Z25" s="1027"/>
      <c r="AA25" s="1027"/>
      <c r="AB25" s="1027"/>
      <c r="AC25" s="1027"/>
      <c r="AD25" s="1027"/>
      <c r="AE25" s="1027"/>
      <c r="AF25" s="1027"/>
      <c r="AG25" s="1027"/>
      <c r="AH25" s="1027"/>
      <c r="AI25" s="1027"/>
      <c r="AJ25" s="1027"/>
      <c r="AK25" s="1027"/>
      <c r="AL25" s="1027"/>
      <c r="AM25" s="1027"/>
      <c r="AN25" s="1027"/>
      <c r="AO25" s="1027"/>
      <c r="AP25" s="1027"/>
      <c r="AQ25" s="1027"/>
      <c r="AR25" s="1027"/>
      <c r="AS25" s="1027"/>
      <c r="AT25" s="1027"/>
      <c r="AU25" s="1027"/>
      <c r="AV25" s="1027"/>
      <c r="AW25" s="1027"/>
      <c r="AX25" s="1027"/>
      <c r="AY25" s="1027"/>
      <c r="AZ25" s="1027"/>
      <c r="BA25" s="1027"/>
      <c r="BB25" s="1027"/>
      <c r="BC25" s="1027"/>
      <c r="BD25" s="1027"/>
      <c r="BE25" s="1027"/>
      <c r="BF25" s="1027"/>
      <c r="BG25" s="1027"/>
      <c r="BH25" s="1027"/>
      <c r="BI25" s="1027"/>
      <c r="BJ25" s="1027"/>
      <c r="BK25" s="1027"/>
      <c r="BL25" s="1027"/>
      <c r="BM25" s="1027"/>
      <c r="BN25" s="1027"/>
      <c r="BO25" s="1027"/>
      <c r="BP25" s="1027"/>
      <c r="BQ25" s="1027"/>
      <c r="BR25" s="1027"/>
      <c r="BS25" s="1027"/>
      <c r="BT25" s="1027"/>
      <c r="BU25" s="1027"/>
      <c r="BV25" s="1027"/>
      <c r="BW25" s="1027"/>
      <c r="BX25" s="1027"/>
      <c r="BY25" s="1027"/>
      <c r="BZ25" s="1027"/>
      <c r="CA25" s="1027"/>
      <c r="CB25" s="1027"/>
      <c r="CC25" s="1027"/>
      <c r="CD25" s="1027"/>
      <c r="CE25" s="1027"/>
      <c r="CF25" s="1027"/>
      <c r="CG25" s="1027"/>
      <c r="CH25" s="1027"/>
      <c r="CI25" s="1027"/>
      <c r="CJ25" s="1027"/>
      <c r="CK25" s="1027"/>
      <c r="CL25" s="1027"/>
      <c r="CM25" s="1027"/>
      <c r="CN25" s="1027"/>
      <c r="CO25" s="1027"/>
      <c r="CP25" s="1027"/>
      <c r="CQ25" s="1027"/>
      <c r="CR25" s="1027"/>
      <c r="CS25" s="1027"/>
      <c r="CT25" s="1027"/>
      <c r="CU25" s="1027"/>
      <c r="CV25" s="1027"/>
      <c r="CW25" s="1027"/>
      <c r="CX25" s="1027"/>
      <c r="CY25" s="1027"/>
      <c r="CZ25" s="1027"/>
      <c r="DA25" s="1027"/>
      <c r="DB25" s="1027"/>
      <c r="DC25" s="1027"/>
      <c r="DD25" s="1027"/>
      <c r="DE25" s="1027"/>
      <c r="DF25" s="1027"/>
      <c r="DG25" s="1027"/>
      <c r="DH25" s="1027"/>
      <c r="DI25" s="1027"/>
      <c r="DJ25" s="1027"/>
      <c r="DK25" s="1027"/>
      <c r="DL25" s="1027"/>
      <c r="DM25" s="1027"/>
      <c r="DN25" s="1027"/>
      <c r="DO25" s="1027"/>
      <c r="DP25" s="1027"/>
      <c r="DQ25" s="1027"/>
      <c r="DR25" s="1027"/>
      <c r="DS25" s="1027"/>
      <c r="DT25" s="1027"/>
    </row>
    <row r="26" spans="1:124" ht="13.5" thickBot="1" x14ac:dyDescent="0.35">
      <c r="A26" s="14" t="str">
        <f>Summary!D3</f>
        <v>L1</v>
      </c>
      <c r="B26" s="1023">
        <f>B15+1</f>
        <v>3</v>
      </c>
      <c r="C26" s="1088" t="s">
        <v>52</v>
      </c>
      <c r="D26" s="1027"/>
      <c r="E26" s="1027"/>
      <c r="F26" s="1027"/>
      <c r="G26" s="1027"/>
      <c r="H26" s="1027"/>
      <c r="I26" s="1027"/>
      <c r="J26" s="1027"/>
      <c r="K26" s="1027"/>
      <c r="L26" s="1027"/>
      <c r="M26" s="1027"/>
      <c r="N26" s="1027"/>
      <c r="O26" s="1027"/>
      <c r="P26" s="1027"/>
      <c r="Q26" s="1027"/>
      <c r="R26" s="1027"/>
      <c r="S26" s="1027"/>
      <c r="T26" s="1027"/>
      <c r="U26" s="1027"/>
      <c r="V26" s="1027"/>
      <c r="W26" s="1027"/>
      <c r="X26" s="1027"/>
      <c r="Y26" s="1027"/>
      <c r="Z26" s="1027"/>
      <c r="AA26" s="1027"/>
      <c r="AB26" s="1027"/>
      <c r="AC26" s="1027"/>
      <c r="AD26" s="1027"/>
      <c r="AE26" s="1027"/>
      <c r="AF26" s="1027"/>
      <c r="AG26" s="1027"/>
      <c r="AH26" s="1027"/>
      <c r="AI26" s="1027"/>
      <c r="AJ26" s="1027"/>
      <c r="AK26" s="1027"/>
      <c r="AL26" s="1027"/>
      <c r="AM26" s="1027"/>
      <c r="AN26" s="1027"/>
      <c r="AO26" s="1027"/>
      <c r="AP26" s="1027"/>
      <c r="AQ26" s="1027"/>
      <c r="AR26" s="1027"/>
      <c r="AS26" s="1027"/>
      <c r="AT26" s="1027"/>
      <c r="AU26" s="1027"/>
      <c r="AV26" s="1027"/>
      <c r="AW26" s="1027"/>
      <c r="AX26" s="1027"/>
      <c r="AY26" s="1027"/>
      <c r="AZ26" s="1027"/>
      <c r="BA26" s="1027"/>
      <c r="BB26" s="1027"/>
      <c r="BC26" s="1027"/>
      <c r="BD26" s="1027"/>
      <c r="BE26" s="1027"/>
      <c r="BF26" s="1027"/>
      <c r="BG26" s="1027"/>
      <c r="BH26" s="1027"/>
      <c r="BI26" s="1027"/>
      <c r="BJ26" s="1027"/>
      <c r="BK26" s="1027"/>
      <c r="BL26" s="1027"/>
      <c r="BM26" s="1027"/>
      <c r="BN26" s="1027"/>
      <c r="BO26" s="1027"/>
      <c r="BP26" s="1027"/>
      <c r="BQ26" s="1027"/>
      <c r="BR26" s="1027"/>
      <c r="BS26" s="1027"/>
      <c r="BT26" s="1027"/>
      <c r="BU26" s="1027"/>
      <c r="BV26" s="1027"/>
      <c r="BW26" s="1027"/>
      <c r="BX26" s="1027"/>
      <c r="BY26" s="1027"/>
      <c r="BZ26" s="1027"/>
      <c r="CA26" s="1027"/>
      <c r="CB26" s="1027"/>
      <c r="CC26" s="1027"/>
      <c r="CD26" s="1027"/>
      <c r="CE26" s="1027"/>
      <c r="CF26" s="1027"/>
      <c r="CG26" s="1027"/>
      <c r="CH26" s="1027"/>
      <c r="CI26" s="1027"/>
      <c r="CJ26" s="1027"/>
      <c r="CK26" s="1027"/>
      <c r="CL26" s="1027"/>
      <c r="CM26" s="1027"/>
      <c r="CN26" s="1027"/>
      <c r="CO26" s="1027"/>
      <c r="CP26" s="1027"/>
      <c r="CQ26" s="1027"/>
      <c r="CR26" s="1027"/>
      <c r="CS26" s="1027"/>
      <c r="CT26" s="1027"/>
      <c r="CU26" s="1027"/>
      <c r="CV26" s="1027"/>
      <c r="CW26" s="1027"/>
      <c r="CX26" s="1027"/>
      <c r="CY26" s="1027"/>
      <c r="CZ26" s="1027"/>
      <c r="DA26" s="1027"/>
      <c r="DB26" s="1027"/>
      <c r="DC26" s="1027"/>
      <c r="DD26" s="1027"/>
      <c r="DE26" s="1027"/>
      <c r="DF26" s="1027"/>
      <c r="DG26" s="1027"/>
      <c r="DH26" s="1027"/>
      <c r="DI26" s="1027"/>
      <c r="DJ26" s="1027"/>
      <c r="DK26" s="1027"/>
      <c r="DL26" s="1027"/>
      <c r="DM26" s="1027"/>
      <c r="DN26" s="1027"/>
      <c r="DO26" s="1027"/>
      <c r="DP26" s="1027"/>
      <c r="DQ26" s="1027"/>
      <c r="DR26" s="1027"/>
      <c r="DS26" s="1027"/>
      <c r="DT26" s="1028"/>
    </row>
    <row r="27" spans="1:124" x14ac:dyDescent="0.3">
      <c r="A27" s="14" t="str">
        <f>Data!$B$3</f>
        <v>BackofficeL1</v>
      </c>
      <c r="B27" s="1055" t="str">
        <f>C27&amp;$C$2&amp;$D$2</f>
        <v>USBackofficeL1</v>
      </c>
      <c r="C27" s="1108" t="str">
        <f>C16</f>
        <v>US</v>
      </c>
      <c r="D27" s="1568">
        <f>IF($A$26="L1",90%,85%)</f>
        <v>0.9</v>
      </c>
      <c r="E27" s="1109">
        <f>D27</f>
        <v>0.9</v>
      </c>
      <c r="F27" s="1109">
        <f t="shared" ref="F27:BQ27" si="42">E27</f>
        <v>0.9</v>
      </c>
      <c r="G27" s="1109">
        <f t="shared" si="42"/>
        <v>0.9</v>
      </c>
      <c r="H27" s="1109">
        <f t="shared" si="42"/>
        <v>0.9</v>
      </c>
      <c r="I27" s="1109">
        <f t="shared" si="42"/>
        <v>0.9</v>
      </c>
      <c r="J27" s="1109">
        <f t="shared" si="42"/>
        <v>0.9</v>
      </c>
      <c r="K27" s="1109">
        <f t="shared" si="42"/>
        <v>0.9</v>
      </c>
      <c r="L27" s="1109">
        <f t="shared" si="42"/>
        <v>0.9</v>
      </c>
      <c r="M27" s="1109">
        <f t="shared" si="42"/>
        <v>0.9</v>
      </c>
      <c r="N27" s="1109">
        <f t="shared" si="42"/>
        <v>0.9</v>
      </c>
      <c r="O27" s="1109">
        <f t="shared" si="42"/>
        <v>0.9</v>
      </c>
      <c r="P27" s="1109">
        <f t="shared" si="42"/>
        <v>0.9</v>
      </c>
      <c r="Q27" s="1109">
        <f t="shared" si="42"/>
        <v>0.9</v>
      </c>
      <c r="R27" s="1109">
        <f t="shared" si="42"/>
        <v>0.9</v>
      </c>
      <c r="S27" s="1109">
        <f t="shared" si="42"/>
        <v>0.9</v>
      </c>
      <c r="T27" s="1109">
        <f t="shared" si="42"/>
        <v>0.9</v>
      </c>
      <c r="U27" s="1109">
        <f t="shared" si="42"/>
        <v>0.9</v>
      </c>
      <c r="V27" s="1109">
        <f t="shared" si="42"/>
        <v>0.9</v>
      </c>
      <c r="W27" s="1109">
        <f t="shared" si="42"/>
        <v>0.9</v>
      </c>
      <c r="X27" s="1109">
        <f t="shared" si="42"/>
        <v>0.9</v>
      </c>
      <c r="Y27" s="1109">
        <f t="shared" si="42"/>
        <v>0.9</v>
      </c>
      <c r="Z27" s="1109">
        <f t="shared" si="42"/>
        <v>0.9</v>
      </c>
      <c r="AA27" s="1109">
        <f t="shared" si="42"/>
        <v>0.9</v>
      </c>
      <c r="AB27" s="1109">
        <f t="shared" si="42"/>
        <v>0.9</v>
      </c>
      <c r="AC27" s="1109">
        <f t="shared" si="42"/>
        <v>0.9</v>
      </c>
      <c r="AD27" s="1109">
        <f t="shared" si="42"/>
        <v>0.9</v>
      </c>
      <c r="AE27" s="1109">
        <f t="shared" si="42"/>
        <v>0.9</v>
      </c>
      <c r="AF27" s="1109">
        <f t="shared" si="42"/>
        <v>0.9</v>
      </c>
      <c r="AG27" s="1109">
        <f t="shared" si="42"/>
        <v>0.9</v>
      </c>
      <c r="AH27" s="1109">
        <f t="shared" si="42"/>
        <v>0.9</v>
      </c>
      <c r="AI27" s="1109">
        <f t="shared" si="42"/>
        <v>0.9</v>
      </c>
      <c r="AJ27" s="1109">
        <f t="shared" si="42"/>
        <v>0.9</v>
      </c>
      <c r="AK27" s="1109">
        <f t="shared" si="42"/>
        <v>0.9</v>
      </c>
      <c r="AL27" s="1109">
        <f t="shared" si="42"/>
        <v>0.9</v>
      </c>
      <c r="AM27" s="1109">
        <f t="shared" si="42"/>
        <v>0.9</v>
      </c>
      <c r="AN27" s="1109">
        <f t="shared" si="42"/>
        <v>0.9</v>
      </c>
      <c r="AO27" s="1109">
        <f t="shared" si="42"/>
        <v>0.9</v>
      </c>
      <c r="AP27" s="1109">
        <f t="shared" si="42"/>
        <v>0.9</v>
      </c>
      <c r="AQ27" s="1109">
        <f t="shared" si="42"/>
        <v>0.9</v>
      </c>
      <c r="AR27" s="1109">
        <f t="shared" si="42"/>
        <v>0.9</v>
      </c>
      <c r="AS27" s="1109">
        <f t="shared" si="42"/>
        <v>0.9</v>
      </c>
      <c r="AT27" s="1109">
        <f t="shared" si="42"/>
        <v>0.9</v>
      </c>
      <c r="AU27" s="1109">
        <f t="shared" si="42"/>
        <v>0.9</v>
      </c>
      <c r="AV27" s="1109">
        <f t="shared" si="42"/>
        <v>0.9</v>
      </c>
      <c r="AW27" s="1109">
        <f t="shared" si="42"/>
        <v>0.9</v>
      </c>
      <c r="AX27" s="1109">
        <f t="shared" si="42"/>
        <v>0.9</v>
      </c>
      <c r="AY27" s="1109">
        <f t="shared" si="42"/>
        <v>0.9</v>
      </c>
      <c r="AZ27" s="1109">
        <f t="shared" si="42"/>
        <v>0.9</v>
      </c>
      <c r="BA27" s="1109">
        <f t="shared" si="42"/>
        <v>0.9</v>
      </c>
      <c r="BB27" s="1109">
        <f t="shared" si="42"/>
        <v>0.9</v>
      </c>
      <c r="BC27" s="1109">
        <f t="shared" si="42"/>
        <v>0.9</v>
      </c>
      <c r="BD27" s="1109">
        <f t="shared" si="42"/>
        <v>0.9</v>
      </c>
      <c r="BE27" s="1109">
        <f t="shared" si="42"/>
        <v>0.9</v>
      </c>
      <c r="BF27" s="1109">
        <f t="shared" si="42"/>
        <v>0.9</v>
      </c>
      <c r="BG27" s="1109">
        <f t="shared" si="42"/>
        <v>0.9</v>
      </c>
      <c r="BH27" s="1109">
        <f t="shared" si="42"/>
        <v>0.9</v>
      </c>
      <c r="BI27" s="1109">
        <f t="shared" si="42"/>
        <v>0.9</v>
      </c>
      <c r="BJ27" s="1109">
        <f t="shared" si="42"/>
        <v>0.9</v>
      </c>
      <c r="BK27" s="1109">
        <f t="shared" si="42"/>
        <v>0.9</v>
      </c>
      <c r="BL27" s="1109">
        <f t="shared" si="42"/>
        <v>0.9</v>
      </c>
      <c r="BM27" s="1109">
        <f t="shared" si="42"/>
        <v>0.9</v>
      </c>
      <c r="BN27" s="1109">
        <f t="shared" si="42"/>
        <v>0.9</v>
      </c>
      <c r="BO27" s="1109">
        <f t="shared" si="42"/>
        <v>0.9</v>
      </c>
      <c r="BP27" s="1109">
        <f t="shared" si="42"/>
        <v>0.9</v>
      </c>
      <c r="BQ27" s="1109">
        <f t="shared" si="42"/>
        <v>0.9</v>
      </c>
      <c r="BR27" s="1109">
        <f t="shared" ref="BR27:DT27" si="43">BQ27</f>
        <v>0.9</v>
      </c>
      <c r="BS27" s="1109">
        <f t="shared" si="43"/>
        <v>0.9</v>
      </c>
      <c r="BT27" s="1109">
        <f t="shared" si="43"/>
        <v>0.9</v>
      </c>
      <c r="BU27" s="1109">
        <f t="shared" si="43"/>
        <v>0.9</v>
      </c>
      <c r="BV27" s="1109">
        <f t="shared" si="43"/>
        <v>0.9</v>
      </c>
      <c r="BW27" s="1109">
        <f t="shared" si="43"/>
        <v>0.9</v>
      </c>
      <c r="BX27" s="1109">
        <f t="shared" si="43"/>
        <v>0.9</v>
      </c>
      <c r="BY27" s="1109">
        <f t="shared" si="43"/>
        <v>0.9</v>
      </c>
      <c r="BZ27" s="1109">
        <f t="shared" si="43"/>
        <v>0.9</v>
      </c>
      <c r="CA27" s="1109">
        <f t="shared" si="43"/>
        <v>0.9</v>
      </c>
      <c r="CB27" s="1109">
        <f t="shared" si="43"/>
        <v>0.9</v>
      </c>
      <c r="CC27" s="1109">
        <f t="shared" si="43"/>
        <v>0.9</v>
      </c>
      <c r="CD27" s="1109">
        <f t="shared" si="43"/>
        <v>0.9</v>
      </c>
      <c r="CE27" s="1109">
        <f t="shared" si="43"/>
        <v>0.9</v>
      </c>
      <c r="CF27" s="1109">
        <f t="shared" si="43"/>
        <v>0.9</v>
      </c>
      <c r="CG27" s="1109">
        <f t="shared" si="43"/>
        <v>0.9</v>
      </c>
      <c r="CH27" s="1109">
        <f t="shared" si="43"/>
        <v>0.9</v>
      </c>
      <c r="CI27" s="1109">
        <f t="shared" si="43"/>
        <v>0.9</v>
      </c>
      <c r="CJ27" s="1109">
        <f t="shared" si="43"/>
        <v>0.9</v>
      </c>
      <c r="CK27" s="1109">
        <f t="shared" si="43"/>
        <v>0.9</v>
      </c>
      <c r="CL27" s="1109">
        <f t="shared" si="43"/>
        <v>0.9</v>
      </c>
      <c r="CM27" s="1109">
        <f t="shared" si="43"/>
        <v>0.9</v>
      </c>
      <c r="CN27" s="1109">
        <f t="shared" si="43"/>
        <v>0.9</v>
      </c>
      <c r="CO27" s="1109">
        <f t="shared" si="43"/>
        <v>0.9</v>
      </c>
      <c r="CP27" s="1109">
        <f t="shared" si="43"/>
        <v>0.9</v>
      </c>
      <c r="CQ27" s="1109">
        <f t="shared" si="43"/>
        <v>0.9</v>
      </c>
      <c r="CR27" s="1109">
        <f t="shared" si="43"/>
        <v>0.9</v>
      </c>
      <c r="CS27" s="1109">
        <f t="shared" si="43"/>
        <v>0.9</v>
      </c>
      <c r="CT27" s="1109">
        <f t="shared" si="43"/>
        <v>0.9</v>
      </c>
      <c r="CU27" s="1109">
        <f t="shared" si="43"/>
        <v>0.9</v>
      </c>
      <c r="CV27" s="1109">
        <f t="shared" si="43"/>
        <v>0.9</v>
      </c>
      <c r="CW27" s="1109">
        <f t="shared" si="43"/>
        <v>0.9</v>
      </c>
      <c r="CX27" s="1109">
        <f t="shared" si="43"/>
        <v>0.9</v>
      </c>
      <c r="CY27" s="1109">
        <f t="shared" si="43"/>
        <v>0.9</v>
      </c>
      <c r="CZ27" s="1109">
        <f t="shared" si="43"/>
        <v>0.9</v>
      </c>
      <c r="DA27" s="1109">
        <f t="shared" si="43"/>
        <v>0.9</v>
      </c>
      <c r="DB27" s="1109">
        <f t="shared" si="43"/>
        <v>0.9</v>
      </c>
      <c r="DC27" s="1109">
        <f t="shared" si="43"/>
        <v>0.9</v>
      </c>
      <c r="DD27" s="1109">
        <f t="shared" si="43"/>
        <v>0.9</v>
      </c>
      <c r="DE27" s="1109">
        <f t="shared" si="43"/>
        <v>0.9</v>
      </c>
      <c r="DF27" s="1109">
        <f t="shared" si="43"/>
        <v>0.9</v>
      </c>
      <c r="DG27" s="1109">
        <f t="shared" si="43"/>
        <v>0.9</v>
      </c>
      <c r="DH27" s="1109">
        <f t="shared" si="43"/>
        <v>0.9</v>
      </c>
      <c r="DI27" s="1109">
        <f t="shared" si="43"/>
        <v>0.9</v>
      </c>
      <c r="DJ27" s="1109">
        <f t="shared" si="43"/>
        <v>0.9</v>
      </c>
      <c r="DK27" s="1109">
        <f t="shared" si="43"/>
        <v>0.9</v>
      </c>
      <c r="DL27" s="1109">
        <f t="shared" si="43"/>
        <v>0.9</v>
      </c>
      <c r="DM27" s="1109">
        <f t="shared" si="43"/>
        <v>0.9</v>
      </c>
      <c r="DN27" s="1109">
        <f t="shared" si="43"/>
        <v>0.9</v>
      </c>
      <c r="DO27" s="1109">
        <f t="shared" si="43"/>
        <v>0.9</v>
      </c>
      <c r="DP27" s="1109">
        <f t="shared" si="43"/>
        <v>0.9</v>
      </c>
      <c r="DQ27" s="1109">
        <f t="shared" si="43"/>
        <v>0.9</v>
      </c>
      <c r="DR27" s="1109">
        <f t="shared" si="43"/>
        <v>0.9</v>
      </c>
      <c r="DS27" s="1109">
        <f t="shared" si="43"/>
        <v>0.9</v>
      </c>
      <c r="DT27" s="1110">
        <f t="shared" si="43"/>
        <v>0.9</v>
      </c>
    </row>
    <row r="28" spans="1:124" x14ac:dyDescent="0.3">
      <c r="A28" s="14" t="str">
        <f>Data!$B$1</f>
        <v>India</v>
      </c>
      <c r="B28" s="1055" t="str">
        <f t="shared" ref="B28:B35" si="44">C28&amp;$C$2&amp;$D$2</f>
        <v>UKBackofficeL1</v>
      </c>
      <c r="C28" s="1101" t="str">
        <f t="shared" ref="C28:C35" si="45">C17</f>
        <v>UK</v>
      </c>
      <c r="D28" s="1568">
        <f>IF($A$26="L1",90%,85%)</f>
        <v>0.9</v>
      </c>
      <c r="E28" s="1046">
        <f t="shared" ref="E28:BP28" si="46">D28</f>
        <v>0.9</v>
      </c>
      <c r="F28" s="1046">
        <f t="shared" si="46"/>
        <v>0.9</v>
      </c>
      <c r="G28" s="1046">
        <f t="shared" si="46"/>
        <v>0.9</v>
      </c>
      <c r="H28" s="1046">
        <f t="shared" si="46"/>
        <v>0.9</v>
      </c>
      <c r="I28" s="1046">
        <f t="shared" si="46"/>
        <v>0.9</v>
      </c>
      <c r="J28" s="1046">
        <f t="shared" si="46"/>
        <v>0.9</v>
      </c>
      <c r="K28" s="1046">
        <f t="shared" si="46"/>
        <v>0.9</v>
      </c>
      <c r="L28" s="1046">
        <f t="shared" si="46"/>
        <v>0.9</v>
      </c>
      <c r="M28" s="1046">
        <f t="shared" si="46"/>
        <v>0.9</v>
      </c>
      <c r="N28" s="1046">
        <f t="shared" si="46"/>
        <v>0.9</v>
      </c>
      <c r="O28" s="1046">
        <f t="shared" si="46"/>
        <v>0.9</v>
      </c>
      <c r="P28" s="1046">
        <f t="shared" si="46"/>
        <v>0.9</v>
      </c>
      <c r="Q28" s="1046">
        <f t="shared" si="46"/>
        <v>0.9</v>
      </c>
      <c r="R28" s="1046">
        <f t="shared" si="46"/>
        <v>0.9</v>
      </c>
      <c r="S28" s="1046">
        <f t="shared" si="46"/>
        <v>0.9</v>
      </c>
      <c r="T28" s="1046">
        <f t="shared" si="46"/>
        <v>0.9</v>
      </c>
      <c r="U28" s="1046">
        <f t="shared" si="46"/>
        <v>0.9</v>
      </c>
      <c r="V28" s="1046">
        <f t="shared" si="46"/>
        <v>0.9</v>
      </c>
      <c r="W28" s="1046">
        <f t="shared" si="46"/>
        <v>0.9</v>
      </c>
      <c r="X28" s="1046">
        <f t="shared" si="46"/>
        <v>0.9</v>
      </c>
      <c r="Y28" s="1046">
        <f t="shared" si="46"/>
        <v>0.9</v>
      </c>
      <c r="Z28" s="1046">
        <f t="shared" si="46"/>
        <v>0.9</v>
      </c>
      <c r="AA28" s="1046">
        <f t="shared" si="46"/>
        <v>0.9</v>
      </c>
      <c r="AB28" s="1046">
        <f t="shared" si="46"/>
        <v>0.9</v>
      </c>
      <c r="AC28" s="1046">
        <f t="shared" si="46"/>
        <v>0.9</v>
      </c>
      <c r="AD28" s="1046">
        <f t="shared" si="46"/>
        <v>0.9</v>
      </c>
      <c r="AE28" s="1046">
        <f t="shared" si="46"/>
        <v>0.9</v>
      </c>
      <c r="AF28" s="1046">
        <f t="shared" si="46"/>
        <v>0.9</v>
      </c>
      <c r="AG28" s="1046">
        <f t="shared" si="46"/>
        <v>0.9</v>
      </c>
      <c r="AH28" s="1046">
        <f t="shared" si="46"/>
        <v>0.9</v>
      </c>
      <c r="AI28" s="1046">
        <f t="shared" si="46"/>
        <v>0.9</v>
      </c>
      <c r="AJ28" s="1046">
        <f t="shared" si="46"/>
        <v>0.9</v>
      </c>
      <c r="AK28" s="1046">
        <f t="shared" si="46"/>
        <v>0.9</v>
      </c>
      <c r="AL28" s="1046">
        <f t="shared" si="46"/>
        <v>0.9</v>
      </c>
      <c r="AM28" s="1046">
        <f t="shared" si="46"/>
        <v>0.9</v>
      </c>
      <c r="AN28" s="1046">
        <f t="shared" si="46"/>
        <v>0.9</v>
      </c>
      <c r="AO28" s="1046">
        <f t="shared" si="46"/>
        <v>0.9</v>
      </c>
      <c r="AP28" s="1046">
        <f t="shared" si="46"/>
        <v>0.9</v>
      </c>
      <c r="AQ28" s="1046">
        <f t="shared" si="46"/>
        <v>0.9</v>
      </c>
      <c r="AR28" s="1046">
        <f t="shared" si="46"/>
        <v>0.9</v>
      </c>
      <c r="AS28" s="1046">
        <f t="shared" si="46"/>
        <v>0.9</v>
      </c>
      <c r="AT28" s="1046">
        <f t="shared" si="46"/>
        <v>0.9</v>
      </c>
      <c r="AU28" s="1046">
        <f t="shared" si="46"/>
        <v>0.9</v>
      </c>
      <c r="AV28" s="1046">
        <f t="shared" si="46"/>
        <v>0.9</v>
      </c>
      <c r="AW28" s="1046">
        <f t="shared" si="46"/>
        <v>0.9</v>
      </c>
      <c r="AX28" s="1046">
        <f t="shared" si="46"/>
        <v>0.9</v>
      </c>
      <c r="AY28" s="1046">
        <f t="shared" si="46"/>
        <v>0.9</v>
      </c>
      <c r="AZ28" s="1046">
        <f t="shared" si="46"/>
        <v>0.9</v>
      </c>
      <c r="BA28" s="1046">
        <f t="shared" si="46"/>
        <v>0.9</v>
      </c>
      <c r="BB28" s="1046">
        <f t="shared" si="46"/>
        <v>0.9</v>
      </c>
      <c r="BC28" s="1046">
        <f t="shared" si="46"/>
        <v>0.9</v>
      </c>
      <c r="BD28" s="1046">
        <f t="shared" si="46"/>
        <v>0.9</v>
      </c>
      <c r="BE28" s="1046">
        <f t="shared" si="46"/>
        <v>0.9</v>
      </c>
      <c r="BF28" s="1046">
        <f t="shared" si="46"/>
        <v>0.9</v>
      </c>
      <c r="BG28" s="1046">
        <f t="shared" si="46"/>
        <v>0.9</v>
      </c>
      <c r="BH28" s="1046">
        <f t="shared" si="46"/>
        <v>0.9</v>
      </c>
      <c r="BI28" s="1046">
        <f t="shared" si="46"/>
        <v>0.9</v>
      </c>
      <c r="BJ28" s="1046">
        <f t="shared" si="46"/>
        <v>0.9</v>
      </c>
      <c r="BK28" s="1046">
        <f t="shared" si="46"/>
        <v>0.9</v>
      </c>
      <c r="BL28" s="1046">
        <f t="shared" si="46"/>
        <v>0.9</v>
      </c>
      <c r="BM28" s="1046">
        <f t="shared" si="46"/>
        <v>0.9</v>
      </c>
      <c r="BN28" s="1046">
        <f t="shared" si="46"/>
        <v>0.9</v>
      </c>
      <c r="BO28" s="1046">
        <f t="shared" si="46"/>
        <v>0.9</v>
      </c>
      <c r="BP28" s="1046">
        <f t="shared" si="46"/>
        <v>0.9</v>
      </c>
      <c r="BQ28" s="1046">
        <f t="shared" ref="BQ28:DT28" si="47">BP28</f>
        <v>0.9</v>
      </c>
      <c r="BR28" s="1046">
        <f t="shared" si="47"/>
        <v>0.9</v>
      </c>
      <c r="BS28" s="1046">
        <f t="shared" si="47"/>
        <v>0.9</v>
      </c>
      <c r="BT28" s="1046">
        <f t="shared" si="47"/>
        <v>0.9</v>
      </c>
      <c r="BU28" s="1046">
        <f t="shared" si="47"/>
        <v>0.9</v>
      </c>
      <c r="BV28" s="1046">
        <f t="shared" si="47"/>
        <v>0.9</v>
      </c>
      <c r="BW28" s="1046">
        <f t="shared" si="47"/>
        <v>0.9</v>
      </c>
      <c r="BX28" s="1046">
        <f t="shared" si="47"/>
        <v>0.9</v>
      </c>
      <c r="BY28" s="1046">
        <f t="shared" si="47"/>
        <v>0.9</v>
      </c>
      <c r="BZ28" s="1046">
        <f t="shared" si="47"/>
        <v>0.9</v>
      </c>
      <c r="CA28" s="1046">
        <f t="shared" si="47"/>
        <v>0.9</v>
      </c>
      <c r="CB28" s="1046">
        <f t="shared" si="47"/>
        <v>0.9</v>
      </c>
      <c r="CC28" s="1046">
        <f t="shared" si="47"/>
        <v>0.9</v>
      </c>
      <c r="CD28" s="1046">
        <f t="shared" si="47"/>
        <v>0.9</v>
      </c>
      <c r="CE28" s="1046">
        <f t="shared" si="47"/>
        <v>0.9</v>
      </c>
      <c r="CF28" s="1046">
        <f t="shared" si="47"/>
        <v>0.9</v>
      </c>
      <c r="CG28" s="1046">
        <f t="shared" si="47"/>
        <v>0.9</v>
      </c>
      <c r="CH28" s="1046">
        <f t="shared" si="47"/>
        <v>0.9</v>
      </c>
      <c r="CI28" s="1046">
        <f t="shared" si="47"/>
        <v>0.9</v>
      </c>
      <c r="CJ28" s="1046">
        <f t="shared" si="47"/>
        <v>0.9</v>
      </c>
      <c r="CK28" s="1046">
        <f t="shared" si="47"/>
        <v>0.9</v>
      </c>
      <c r="CL28" s="1046">
        <f t="shared" si="47"/>
        <v>0.9</v>
      </c>
      <c r="CM28" s="1046">
        <f t="shared" si="47"/>
        <v>0.9</v>
      </c>
      <c r="CN28" s="1046">
        <f t="shared" si="47"/>
        <v>0.9</v>
      </c>
      <c r="CO28" s="1046">
        <f t="shared" si="47"/>
        <v>0.9</v>
      </c>
      <c r="CP28" s="1046">
        <f t="shared" si="47"/>
        <v>0.9</v>
      </c>
      <c r="CQ28" s="1046">
        <f t="shared" si="47"/>
        <v>0.9</v>
      </c>
      <c r="CR28" s="1046">
        <f t="shared" si="47"/>
        <v>0.9</v>
      </c>
      <c r="CS28" s="1046">
        <f t="shared" si="47"/>
        <v>0.9</v>
      </c>
      <c r="CT28" s="1046">
        <f t="shared" si="47"/>
        <v>0.9</v>
      </c>
      <c r="CU28" s="1046">
        <f t="shared" si="47"/>
        <v>0.9</v>
      </c>
      <c r="CV28" s="1046">
        <f t="shared" si="47"/>
        <v>0.9</v>
      </c>
      <c r="CW28" s="1046">
        <f t="shared" si="47"/>
        <v>0.9</v>
      </c>
      <c r="CX28" s="1046">
        <f t="shared" si="47"/>
        <v>0.9</v>
      </c>
      <c r="CY28" s="1046">
        <f t="shared" si="47"/>
        <v>0.9</v>
      </c>
      <c r="CZ28" s="1046">
        <f t="shared" si="47"/>
        <v>0.9</v>
      </c>
      <c r="DA28" s="1046">
        <f t="shared" si="47"/>
        <v>0.9</v>
      </c>
      <c r="DB28" s="1046">
        <f t="shared" si="47"/>
        <v>0.9</v>
      </c>
      <c r="DC28" s="1046">
        <f t="shared" si="47"/>
        <v>0.9</v>
      </c>
      <c r="DD28" s="1046">
        <f t="shared" si="47"/>
        <v>0.9</v>
      </c>
      <c r="DE28" s="1046">
        <f t="shared" si="47"/>
        <v>0.9</v>
      </c>
      <c r="DF28" s="1046">
        <f t="shared" si="47"/>
        <v>0.9</v>
      </c>
      <c r="DG28" s="1046">
        <f t="shared" si="47"/>
        <v>0.9</v>
      </c>
      <c r="DH28" s="1046">
        <f t="shared" si="47"/>
        <v>0.9</v>
      </c>
      <c r="DI28" s="1046">
        <f t="shared" si="47"/>
        <v>0.9</v>
      </c>
      <c r="DJ28" s="1046">
        <f t="shared" si="47"/>
        <v>0.9</v>
      </c>
      <c r="DK28" s="1046">
        <f t="shared" si="47"/>
        <v>0.9</v>
      </c>
      <c r="DL28" s="1046">
        <f t="shared" si="47"/>
        <v>0.9</v>
      </c>
      <c r="DM28" s="1046">
        <f t="shared" si="47"/>
        <v>0.9</v>
      </c>
      <c r="DN28" s="1046">
        <f t="shared" si="47"/>
        <v>0.9</v>
      </c>
      <c r="DO28" s="1046">
        <f t="shared" si="47"/>
        <v>0.9</v>
      </c>
      <c r="DP28" s="1046">
        <f t="shared" si="47"/>
        <v>0.9</v>
      </c>
      <c r="DQ28" s="1046">
        <f t="shared" si="47"/>
        <v>0.9</v>
      </c>
      <c r="DR28" s="1046">
        <f t="shared" si="47"/>
        <v>0.9</v>
      </c>
      <c r="DS28" s="1046">
        <f t="shared" si="47"/>
        <v>0.9</v>
      </c>
      <c r="DT28" s="1111">
        <f t="shared" si="47"/>
        <v>0.9</v>
      </c>
    </row>
    <row r="29" spans="1:124" x14ac:dyDescent="0.3">
      <c r="B29" s="1055" t="str">
        <f t="shared" si="44"/>
        <v>MexicoBackofficeL1</v>
      </c>
      <c r="C29" s="1101" t="str">
        <f t="shared" si="45"/>
        <v>Mexico</v>
      </c>
      <c r="D29" s="1046">
        <v>0.85</v>
      </c>
      <c r="E29" s="1046">
        <f t="shared" ref="E29:BP29" si="48">D29</f>
        <v>0.85</v>
      </c>
      <c r="F29" s="1046">
        <f t="shared" si="48"/>
        <v>0.85</v>
      </c>
      <c r="G29" s="1046">
        <f t="shared" si="48"/>
        <v>0.85</v>
      </c>
      <c r="H29" s="1046">
        <f t="shared" si="48"/>
        <v>0.85</v>
      </c>
      <c r="I29" s="1046">
        <f t="shared" si="48"/>
        <v>0.85</v>
      </c>
      <c r="J29" s="1046">
        <f t="shared" si="48"/>
        <v>0.85</v>
      </c>
      <c r="K29" s="1046">
        <f t="shared" si="48"/>
        <v>0.85</v>
      </c>
      <c r="L29" s="1046">
        <f t="shared" si="48"/>
        <v>0.85</v>
      </c>
      <c r="M29" s="1046">
        <f t="shared" si="48"/>
        <v>0.85</v>
      </c>
      <c r="N29" s="1046">
        <f t="shared" si="48"/>
        <v>0.85</v>
      </c>
      <c r="O29" s="1046">
        <f t="shared" si="48"/>
        <v>0.85</v>
      </c>
      <c r="P29" s="1046">
        <f t="shared" si="48"/>
        <v>0.85</v>
      </c>
      <c r="Q29" s="1046">
        <f t="shared" si="48"/>
        <v>0.85</v>
      </c>
      <c r="R29" s="1046">
        <f t="shared" si="48"/>
        <v>0.85</v>
      </c>
      <c r="S29" s="1046">
        <f t="shared" si="48"/>
        <v>0.85</v>
      </c>
      <c r="T29" s="1046">
        <f t="shared" si="48"/>
        <v>0.85</v>
      </c>
      <c r="U29" s="1046">
        <f t="shared" si="48"/>
        <v>0.85</v>
      </c>
      <c r="V29" s="1046">
        <f t="shared" si="48"/>
        <v>0.85</v>
      </c>
      <c r="W29" s="1046">
        <f t="shared" si="48"/>
        <v>0.85</v>
      </c>
      <c r="X29" s="1046">
        <f t="shared" si="48"/>
        <v>0.85</v>
      </c>
      <c r="Y29" s="1046">
        <f t="shared" si="48"/>
        <v>0.85</v>
      </c>
      <c r="Z29" s="1046">
        <f t="shared" si="48"/>
        <v>0.85</v>
      </c>
      <c r="AA29" s="1046">
        <f t="shared" si="48"/>
        <v>0.85</v>
      </c>
      <c r="AB29" s="1046">
        <f t="shared" si="48"/>
        <v>0.85</v>
      </c>
      <c r="AC29" s="1046">
        <f t="shared" si="48"/>
        <v>0.85</v>
      </c>
      <c r="AD29" s="1046">
        <f t="shared" si="48"/>
        <v>0.85</v>
      </c>
      <c r="AE29" s="1046">
        <f t="shared" si="48"/>
        <v>0.85</v>
      </c>
      <c r="AF29" s="1046">
        <f t="shared" si="48"/>
        <v>0.85</v>
      </c>
      <c r="AG29" s="1046">
        <f t="shared" si="48"/>
        <v>0.85</v>
      </c>
      <c r="AH29" s="1046">
        <f t="shared" si="48"/>
        <v>0.85</v>
      </c>
      <c r="AI29" s="1046">
        <f t="shared" si="48"/>
        <v>0.85</v>
      </c>
      <c r="AJ29" s="1046">
        <f t="shared" si="48"/>
        <v>0.85</v>
      </c>
      <c r="AK29" s="1046">
        <f t="shared" si="48"/>
        <v>0.85</v>
      </c>
      <c r="AL29" s="1046">
        <f t="shared" si="48"/>
        <v>0.85</v>
      </c>
      <c r="AM29" s="1046">
        <f t="shared" si="48"/>
        <v>0.85</v>
      </c>
      <c r="AN29" s="1046">
        <f t="shared" si="48"/>
        <v>0.85</v>
      </c>
      <c r="AO29" s="1046">
        <f t="shared" si="48"/>
        <v>0.85</v>
      </c>
      <c r="AP29" s="1046">
        <f t="shared" si="48"/>
        <v>0.85</v>
      </c>
      <c r="AQ29" s="1046">
        <f t="shared" si="48"/>
        <v>0.85</v>
      </c>
      <c r="AR29" s="1046">
        <f t="shared" si="48"/>
        <v>0.85</v>
      </c>
      <c r="AS29" s="1046">
        <f t="shared" si="48"/>
        <v>0.85</v>
      </c>
      <c r="AT29" s="1046">
        <f t="shared" si="48"/>
        <v>0.85</v>
      </c>
      <c r="AU29" s="1046">
        <f t="shared" si="48"/>
        <v>0.85</v>
      </c>
      <c r="AV29" s="1046">
        <f t="shared" si="48"/>
        <v>0.85</v>
      </c>
      <c r="AW29" s="1046">
        <f t="shared" si="48"/>
        <v>0.85</v>
      </c>
      <c r="AX29" s="1046">
        <f t="shared" si="48"/>
        <v>0.85</v>
      </c>
      <c r="AY29" s="1046">
        <f t="shared" si="48"/>
        <v>0.85</v>
      </c>
      <c r="AZ29" s="1046">
        <f t="shared" si="48"/>
        <v>0.85</v>
      </c>
      <c r="BA29" s="1046">
        <f t="shared" si="48"/>
        <v>0.85</v>
      </c>
      <c r="BB29" s="1046">
        <f t="shared" si="48"/>
        <v>0.85</v>
      </c>
      <c r="BC29" s="1046">
        <f t="shared" si="48"/>
        <v>0.85</v>
      </c>
      <c r="BD29" s="1046">
        <f t="shared" si="48"/>
        <v>0.85</v>
      </c>
      <c r="BE29" s="1046">
        <f t="shared" si="48"/>
        <v>0.85</v>
      </c>
      <c r="BF29" s="1046">
        <f t="shared" si="48"/>
        <v>0.85</v>
      </c>
      <c r="BG29" s="1046">
        <f t="shared" si="48"/>
        <v>0.85</v>
      </c>
      <c r="BH29" s="1046">
        <f t="shared" si="48"/>
        <v>0.85</v>
      </c>
      <c r="BI29" s="1046">
        <f t="shared" si="48"/>
        <v>0.85</v>
      </c>
      <c r="BJ29" s="1046">
        <f t="shared" si="48"/>
        <v>0.85</v>
      </c>
      <c r="BK29" s="1046">
        <f t="shared" si="48"/>
        <v>0.85</v>
      </c>
      <c r="BL29" s="1046">
        <f t="shared" si="48"/>
        <v>0.85</v>
      </c>
      <c r="BM29" s="1046">
        <f t="shared" si="48"/>
        <v>0.85</v>
      </c>
      <c r="BN29" s="1046">
        <f t="shared" si="48"/>
        <v>0.85</v>
      </c>
      <c r="BO29" s="1046">
        <f t="shared" si="48"/>
        <v>0.85</v>
      </c>
      <c r="BP29" s="1046">
        <f t="shared" si="48"/>
        <v>0.85</v>
      </c>
      <c r="BQ29" s="1046">
        <f t="shared" ref="BQ29:DT29" si="49">BP29</f>
        <v>0.85</v>
      </c>
      <c r="BR29" s="1046">
        <f t="shared" si="49"/>
        <v>0.85</v>
      </c>
      <c r="BS29" s="1046">
        <f t="shared" si="49"/>
        <v>0.85</v>
      </c>
      <c r="BT29" s="1046">
        <f t="shared" si="49"/>
        <v>0.85</v>
      </c>
      <c r="BU29" s="1046">
        <f t="shared" si="49"/>
        <v>0.85</v>
      </c>
      <c r="BV29" s="1046">
        <f t="shared" si="49"/>
        <v>0.85</v>
      </c>
      <c r="BW29" s="1046">
        <f t="shared" si="49"/>
        <v>0.85</v>
      </c>
      <c r="BX29" s="1046">
        <f t="shared" si="49"/>
        <v>0.85</v>
      </c>
      <c r="BY29" s="1046">
        <f t="shared" si="49"/>
        <v>0.85</v>
      </c>
      <c r="BZ29" s="1046">
        <f t="shared" si="49"/>
        <v>0.85</v>
      </c>
      <c r="CA29" s="1046">
        <f t="shared" si="49"/>
        <v>0.85</v>
      </c>
      <c r="CB29" s="1046">
        <f t="shared" si="49"/>
        <v>0.85</v>
      </c>
      <c r="CC29" s="1046">
        <f t="shared" si="49"/>
        <v>0.85</v>
      </c>
      <c r="CD29" s="1046">
        <f t="shared" si="49"/>
        <v>0.85</v>
      </c>
      <c r="CE29" s="1046">
        <f t="shared" si="49"/>
        <v>0.85</v>
      </c>
      <c r="CF29" s="1046">
        <f t="shared" si="49"/>
        <v>0.85</v>
      </c>
      <c r="CG29" s="1046">
        <f t="shared" si="49"/>
        <v>0.85</v>
      </c>
      <c r="CH29" s="1046">
        <f t="shared" si="49"/>
        <v>0.85</v>
      </c>
      <c r="CI29" s="1046">
        <f t="shared" si="49"/>
        <v>0.85</v>
      </c>
      <c r="CJ29" s="1046">
        <f t="shared" si="49"/>
        <v>0.85</v>
      </c>
      <c r="CK29" s="1046">
        <f t="shared" si="49"/>
        <v>0.85</v>
      </c>
      <c r="CL29" s="1046">
        <f t="shared" si="49"/>
        <v>0.85</v>
      </c>
      <c r="CM29" s="1046">
        <f t="shared" si="49"/>
        <v>0.85</v>
      </c>
      <c r="CN29" s="1046">
        <f t="shared" si="49"/>
        <v>0.85</v>
      </c>
      <c r="CO29" s="1046">
        <f t="shared" si="49"/>
        <v>0.85</v>
      </c>
      <c r="CP29" s="1046">
        <f t="shared" si="49"/>
        <v>0.85</v>
      </c>
      <c r="CQ29" s="1046">
        <f t="shared" si="49"/>
        <v>0.85</v>
      </c>
      <c r="CR29" s="1046">
        <f t="shared" si="49"/>
        <v>0.85</v>
      </c>
      <c r="CS29" s="1046">
        <f t="shared" si="49"/>
        <v>0.85</v>
      </c>
      <c r="CT29" s="1046">
        <f t="shared" si="49"/>
        <v>0.85</v>
      </c>
      <c r="CU29" s="1046">
        <f t="shared" si="49"/>
        <v>0.85</v>
      </c>
      <c r="CV29" s="1046">
        <f t="shared" si="49"/>
        <v>0.85</v>
      </c>
      <c r="CW29" s="1046">
        <f t="shared" si="49"/>
        <v>0.85</v>
      </c>
      <c r="CX29" s="1046">
        <f t="shared" si="49"/>
        <v>0.85</v>
      </c>
      <c r="CY29" s="1046">
        <f t="shared" si="49"/>
        <v>0.85</v>
      </c>
      <c r="CZ29" s="1046">
        <f t="shared" si="49"/>
        <v>0.85</v>
      </c>
      <c r="DA29" s="1046">
        <f t="shared" si="49"/>
        <v>0.85</v>
      </c>
      <c r="DB29" s="1046">
        <f t="shared" si="49"/>
        <v>0.85</v>
      </c>
      <c r="DC29" s="1046">
        <f t="shared" si="49"/>
        <v>0.85</v>
      </c>
      <c r="DD29" s="1046">
        <f t="shared" si="49"/>
        <v>0.85</v>
      </c>
      <c r="DE29" s="1046">
        <f t="shared" si="49"/>
        <v>0.85</v>
      </c>
      <c r="DF29" s="1046">
        <f t="shared" si="49"/>
        <v>0.85</v>
      </c>
      <c r="DG29" s="1046">
        <f t="shared" si="49"/>
        <v>0.85</v>
      </c>
      <c r="DH29" s="1046">
        <f t="shared" si="49"/>
        <v>0.85</v>
      </c>
      <c r="DI29" s="1046">
        <f t="shared" si="49"/>
        <v>0.85</v>
      </c>
      <c r="DJ29" s="1046">
        <f t="shared" si="49"/>
        <v>0.85</v>
      </c>
      <c r="DK29" s="1046">
        <f t="shared" si="49"/>
        <v>0.85</v>
      </c>
      <c r="DL29" s="1046">
        <f t="shared" si="49"/>
        <v>0.85</v>
      </c>
      <c r="DM29" s="1046">
        <f t="shared" si="49"/>
        <v>0.85</v>
      </c>
      <c r="DN29" s="1046">
        <f t="shared" si="49"/>
        <v>0.85</v>
      </c>
      <c r="DO29" s="1046">
        <f t="shared" si="49"/>
        <v>0.85</v>
      </c>
      <c r="DP29" s="1046">
        <f t="shared" si="49"/>
        <v>0.85</v>
      </c>
      <c r="DQ29" s="1046">
        <f t="shared" si="49"/>
        <v>0.85</v>
      </c>
      <c r="DR29" s="1046">
        <f t="shared" si="49"/>
        <v>0.85</v>
      </c>
      <c r="DS29" s="1046">
        <f t="shared" si="49"/>
        <v>0.85</v>
      </c>
      <c r="DT29" s="1111">
        <f t="shared" si="49"/>
        <v>0.85</v>
      </c>
    </row>
    <row r="30" spans="1:124" x14ac:dyDescent="0.3">
      <c r="B30" s="1055" t="str">
        <f t="shared" si="44"/>
        <v>AustraliaBackofficeL1</v>
      </c>
      <c r="C30" s="1101" t="str">
        <f t="shared" si="45"/>
        <v>Australia</v>
      </c>
      <c r="D30" s="1568">
        <f>IF($A$26="L1",90%,85%)</f>
        <v>0.9</v>
      </c>
      <c r="E30" s="1046">
        <f t="shared" ref="E30:BP30" si="50">D30</f>
        <v>0.9</v>
      </c>
      <c r="F30" s="1046">
        <f t="shared" si="50"/>
        <v>0.9</v>
      </c>
      <c r="G30" s="1046">
        <f t="shared" si="50"/>
        <v>0.9</v>
      </c>
      <c r="H30" s="1046">
        <f t="shared" si="50"/>
        <v>0.9</v>
      </c>
      <c r="I30" s="1046">
        <f t="shared" si="50"/>
        <v>0.9</v>
      </c>
      <c r="J30" s="1046">
        <f t="shared" si="50"/>
        <v>0.9</v>
      </c>
      <c r="K30" s="1046">
        <f t="shared" si="50"/>
        <v>0.9</v>
      </c>
      <c r="L30" s="1046">
        <f t="shared" si="50"/>
        <v>0.9</v>
      </c>
      <c r="M30" s="1046">
        <f t="shared" si="50"/>
        <v>0.9</v>
      </c>
      <c r="N30" s="1046">
        <f t="shared" si="50"/>
        <v>0.9</v>
      </c>
      <c r="O30" s="1046">
        <f t="shared" si="50"/>
        <v>0.9</v>
      </c>
      <c r="P30" s="1046">
        <f t="shared" si="50"/>
        <v>0.9</v>
      </c>
      <c r="Q30" s="1046">
        <f t="shared" si="50"/>
        <v>0.9</v>
      </c>
      <c r="R30" s="1046">
        <f t="shared" si="50"/>
        <v>0.9</v>
      </c>
      <c r="S30" s="1046">
        <f t="shared" si="50"/>
        <v>0.9</v>
      </c>
      <c r="T30" s="1046">
        <f t="shared" si="50"/>
        <v>0.9</v>
      </c>
      <c r="U30" s="1046">
        <f t="shared" si="50"/>
        <v>0.9</v>
      </c>
      <c r="V30" s="1046">
        <f t="shared" si="50"/>
        <v>0.9</v>
      </c>
      <c r="W30" s="1046">
        <f t="shared" si="50"/>
        <v>0.9</v>
      </c>
      <c r="X30" s="1046">
        <f t="shared" si="50"/>
        <v>0.9</v>
      </c>
      <c r="Y30" s="1046">
        <f t="shared" si="50"/>
        <v>0.9</v>
      </c>
      <c r="Z30" s="1046">
        <f t="shared" si="50"/>
        <v>0.9</v>
      </c>
      <c r="AA30" s="1046">
        <f t="shared" si="50"/>
        <v>0.9</v>
      </c>
      <c r="AB30" s="1046">
        <f t="shared" si="50"/>
        <v>0.9</v>
      </c>
      <c r="AC30" s="1046">
        <f t="shared" si="50"/>
        <v>0.9</v>
      </c>
      <c r="AD30" s="1046">
        <f t="shared" si="50"/>
        <v>0.9</v>
      </c>
      <c r="AE30" s="1046">
        <f t="shared" si="50"/>
        <v>0.9</v>
      </c>
      <c r="AF30" s="1046">
        <f t="shared" si="50"/>
        <v>0.9</v>
      </c>
      <c r="AG30" s="1046">
        <f t="shared" si="50"/>
        <v>0.9</v>
      </c>
      <c r="AH30" s="1046">
        <f t="shared" si="50"/>
        <v>0.9</v>
      </c>
      <c r="AI30" s="1046">
        <f t="shared" si="50"/>
        <v>0.9</v>
      </c>
      <c r="AJ30" s="1046">
        <f t="shared" si="50"/>
        <v>0.9</v>
      </c>
      <c r="AK30" s="1046">
        <f t="shared" si="50"/>
        <v>0.9</v>
      </c>
      <c r="AL30" s="1046">
        <f t="shared" si="50"/>
        <v>0.9</v>
      </c>
      <c r="AM30" s="1046">
        <f t="shared" si="50"/>
        <v>0.9</v>
      </c>
      <c r="AN30" s="1046">
        <f t="shared" si="50"/>
        <v>0.9</v>
      </c>
      <c r="AO30" s="1046">
        <f t="shared" si="50"/>
        <v>0.9</v>
      </c>
      <c r="AP30" s="1046">
        <f t="shared" si="50"/>
        <v>0.9</v>
      </c>
      <c r="AQ30" s="1046">
        <f t="shared" si="50"/>
        <v>0.9</v>
      </c>
      <c r="AR30" s="1046">
        <f t="shared" si="50"/>
        <v>0.9</v>
      </c>
      <c r="AS30" s="1046">
        <f t="shared" si="50"/>
        <v>0.9</v>
      </c>
      <c r="AT30" s="1046">
        <f t="shared" si="50"/>
        <v>0.9</v>
      </c>
      <c r="AU30" s="1046">
        <f t="shared" si="50"/>
        <v>0.9</v>
      </c>
      <c r="AV30" s="1046">
        <f t="shared" si="50"/>
        <v>0.9</v>
      </c>
      <c r="AW30" s="1046">
        <f t="shared" si="50"/>
        <v>0.9</v>
      </c>
      <c r="AX30" s="1046">
        <f t="shared" si="50"/>
        <v>0.9</v>
      </c>
      <c r="AY30" s="1046">
        <f t="shared" si="50"/>
        <v>0.9</v>
      </c>
      <c r="AZ30" s="1046">
        <f t="shared" si="50"/>
        <v>0.9</v>
      </c>
      <c r="BA30" s="1046">
        <f t="shared" si="50"/>
        <v>0.9</v>
      </c>
      <c r="BB30" s="1046">
        <f t="shared" si="50"/>
        <v>0.9</v>
      </c>
      <c r="BC30" s="1046">
        <f t="shared" si="50"/>
        <v>0.9</v>
      </c>
      <c r="BD30" s="1046">
        <f t="shared" si="50"/>
        <v>0.9</v>
      </c>
      <c r="BE30" s="1046">
        <f t="shared" si="50"/>
        <v>0.9</v>
      </c>
      <c r="BF30" s="1046">
        <f t="shared" si="50"/>
        <v>0.9</v>
      </c>
      <c r="BG30" s="1046">
        <f t="shared" si="50"/>
        <v>0.9</v>
      </c>
      <c r="BH30" s="1046">
        <f t="shared" si="50"/>
        <v>0.9</v>
      </c>
      <c r="BI30" s="1046">
        <f t="shared" si="50"/>
        <v>0.9</v>
      </c>
      <c r="BJ30" s="1046">
        <f t="shared" si="50"/>
        <v>0.9</v>
      </c>
      <c r="BK30" s="1046">
        <f t="shared" si="50"/>
        <v>0.9</v>
      </c>
      <c r="BL30" s="1046">
        <f t="shared" si="50"/>
        <v>0.9</v>
      </c>
      <c r="BM30" s="1046">
        <f t="shared" si="50"/>
        <v>0.9</v>
      </c>
      <c r="BN30" s="1046">
        <f t="shared" si="50"/>
        <v>0.9</v>
      </c>
      <c r="BO30" s="1046">
        <f t="shared" si="50"/>
        <v>0.9</v>
      </c>
      <c r="BP30" s="1046">
        <f t="shared" si="50"/>
        <v>0.9</v>
      </c>
      <c r="BQ30" s="1046">
        <f t="shared" ref="BQ30:DT30" si="51">BP30</f>
        <v>0.9</v>
      </c>
      <c r="BR30" s="1046">
        <f t="shared" si="51"/>
        <v>0.9</v>
      </c>
      <c r="BS30" s="1046">
        <f t="shared" si="51"/>
        <v>0.9</v>
      </c>
      <c r="BT30" s="1046">
        <f t="shared" si="51"/>
        <v>0.9</v>
      </c>
      <c r="BU30" s="1046">
        <f t="shared" si="51"/>
        <v>0.9</v>
      </c>
      <c r="BV30" s="1046">
        <f t="shared" si="51"/>
        <v>0.9</v>
      </c>
      <c r="BW30" s="1046">
        <f t="shared" si="51"/>
        <v>0.9</v>
      </c>
      <c r="BX30" s="1046">
        <f t="shared" si="51"/>
        <v>0.9</v>
      </c>
      <c r="BY30" s="1046">
        <f t="shared" si="51"/>
        <v>0.9</v>
      </c>
      <c r="BZ30" s="1046">
        <f t="shared" si="51"/>
        <v>0.9</v>
      </c>
      <c r="CA30" s="1046">
        <f t="shared" si="51"/>
        <v>0.9</v>
      </c>
      <c r="CB30" s="1046">
        <f t="shared" si="51"/>
        <v>0.9</v>
      </c>
      <c r="CC30" s="1046">
        <f t="shared" si="51"/>
        <v>0.9</v>
      </c>
      <c r="CD30" s="1046">
        <f t="shared" si="51"/>
        <v>0.9</v>
      </c>
      <c r="CE30" s="1046">
        <f t="shared" si="51"/>
        <v>0.9</v>
      </c>
      <c r="CF30" s="1046">
        <f t="shared" si="51"/>
        <v>0.9</v>
      </c>
      <c r="CG30" s="1046">
        <f t="shared" si="51"/>
        <v>0.9</v>
      </c>
      <c r="CH30" s="1046">
        <f t="shared" si="51"/>
        <v>0.9</v>
      </c>
      <c r="CI30" s="1046">
        <f t="shared" si="51"/>
        <v>0.9</v>
      </c>
      <c r="CJ30" s="1046">
        <f t="shared" si="51"/>
        <v>0.9</v>
      </c>
      <c r="CK30" s="1046">
        <f t="shared" si="51"/>
        <v>0.9</v>
      </c>
      <c r="CL30" s="1046">
        <f t="shared" si="51"/>
        <v>0.9</v>
      </c>
      <c r="CM30" s="1046">
        <f t="shared" si="51"/>
        <v>0.9</v>
      </c>
      <c r="CN30" s="1046">
        <f t="shared" si="51"/>
        <v>0.9</v>
      </c>
      <c r="CO30" s="1046">
        <f t="shared" si="51"/>
        <v>0.9</v>
      </c>
      <c r="CP30" s="1046">
        <f t="shared" si="51"/>
        <v>0.9</v>
      </c>
      <c r="CQ30" s="1046">
        <f t="shared" si="51"/>
        <v>0.9</v>
      </c>
      <c r="CR30" s="1046">
        <f t="shared" si="51"/>
        <v>0.9</v>
      </c>
      <c r="CS30" s="1046">
        <f t="shared" si="51"/>
        <v>0.9</v>
      </c>
      <c r="CT30" s="1046">
        <f t="shared" si="51"/>
        <v>0.9</v>
      </c>
      <c r="CU30" s="1046">
        <f t="shared" si="51"/>
        <v>0.9</v>
      </c>
      <c r="CV30" s="1046">
        <f t="shared" si="51"/>
        <v>0.9</v>
      </c>
      <c r="CW30" s="1046">
        <f t="shared" si="51"/>
        <v>0.9</v>
      </c>
      <c r="CX30" s="1046">
        <f t="shared" si="51"/>
        <v>0.9</v>
      </c>
      <c r="CY30" s="1046">
        <f t="shared" si="51"/>
        <v>0.9</v>
      </c>
      <c r="CZ30" s="1046">
        <f t="shared" si="51"/>
        <v>0.9</v>
      </c>
      <c r="DA30" s="1046">
        <f t="shared" si="51"/>
        <v>0.9</v>
      </c>
      <c r="DB30" s="1046">
        <f t="shared" si="51"/>
        <v>0.9</v>
      </c>
      <c r="DC30" s="1046">
        <f t="shared" si="51"/>
        <v>0.9</v>
      </c>
      <c r="DD30" s="1046">
        <f t="shared" si="51"/>
        <v>0.9</v>
      </c>
      <c r="DE30" s="1046">
        <f t="shared" si="51"/>
        <v>0.9</v>
      </c>
      <c r="DF30" s="1046">
        <f t="shared" si="51"/>
        <v>0.9</v>
      </c>
      <c r="DG30" s="1046">
        <f t="shared" si="51"/>
        <v>0.9</v>
      </c>
      <c r="DH30" s="1046">
        <f t="shared" si="51"/>
        <v>0.9</v>
      </c>
      <c r="DI30" s="1046">
        <f t="shared" si="51"/>
        <v>0.9</v>
      </c>
      <c r="DJ30" s="1046">
        <f t="shared" si="51"/>
        <v>0.9</v>
      </c>
      <c r="DK30" s="1046">
        <f t="shared" si="51"/>
        <v>0.9</v>
      </c>
      <c r="DL30" s="1046">
        <f t="shared" si="51"/>
        <v>0.9</v>
      </c>
      <c r="DM30" s="1046">
        <f t="shared" si="51"/>
        <v>0.9</v>
      </c>
      <c r="DN30" s="1046">
        <f t="shared" si="51"/>
        <v>0.9</v>
      </c>
      <c r="DO30" s="1046">
        <f t="shared" si="51"/>
        <v>0.9</v>
      </c>
      <c r="DP30" s="1046">
        <f t="shared" si="51"/>
        <v>0.9</v>
      </c>
      <c r="DQ30" s="1046">
        <f t="shared" si="51"/>
        <v>0.9</v>
      </c>
      <c r="DR30" s="1046">
        <f t="shared" si="51"/>
        <v>0.9</v>
      </c>
      <c r="DS30" s="1046">
        <f t="shared" si="51"/>
        <v>0.9</v>
      </c>
      <c r="DT30" s="1111">
        <f t="shared" si="51"/>
        <v>0.9</v>
      </c>
    </row>
    <row r="31" spans="1:124" x14ac:dyDescent="0.3">
      <c r="B31" s="1055" t="str">
        <f t="shared" si="44"/>
        <v>Trinidad and TobagoBackofficeL1</v>
      </c>
      <c r="C31" s="1101" t="str">
        <f t="shared" si="45"/>
        <v>Trinidad and Tobago</v>
      </c>
      <c r="D31" s="1568">
        <f>IF($A$26="L1",90%,85%)</f>
        <v>0.9</v>
      </c>
      <c r="E31" s="1046">
        <f t="shared" ref="E31:BP31" si="52">D31</f>
        <v>0.9</v>
      </c>
      <c r="F31" s="1046">
        <f t="shared" si="52"/>
        <v>0.9</v>
      </c>
      <c r="G31" s="1046">
        <f t="shared" si="52"/>
        <v>0.9</v>
      </c>
      <c r="H31" s="1046">
        <f t="shared" si="52"/>
        <v>0.9</v>
      </c>
      <c r="I31" s="1046">
        <f t="shared" si="52"/>
        <v>0.9</v>
      </c>
      <c r="J31" s="1046">
        <f t="shared" si="52"/>
        <v>0.9</v>
      </c>
      <c r="K31" s="1046">
        <f t="shared" si="52"/>
        <v>0.9</v>
      </c>
      <c r="L31" s="1046">
        <f t="shared" si="52"/>
        <v>0.9</v>
      </c>
      <c r="M31" s="1046">
        <f t="shared" si="52"/>
        <v>0.9</v>
      </c>
      <c r="N31" s="1046">
        <f t="shared" si="52"/>
        <v>0.9</v>
      </c>
      <c r="O31" s="1046">
        <f t="shared" si="52"/>
        <v>0.9</v>
      </c>
      <c r="P31" s="1046">
        <f t="shared" si="52"/>
        <v>0.9</v>
      </c>
      <c r="Q31" s="1046">
        <f t="shared" si="52"/>
        <v>0.9</v>
      </c>
      <c r="R31" s="1046">
        <f t="shared" si="52"/>
        <v>0.9</v>
      </c>
      <c r="S31" s="1046">
        <f t="shared" si="52"/>
        <v>0.9</v>
      </c>
      <c r="T31" s="1046">
        <f t="shared" si="52"/>
        <v>0.9</v>
      </c>
      <c r="U31" s="1046">
        <f t="shared" si="52"/>
        <v>0.9</v>
      </c>
      <c r="V31" s="1046">
        <f t="shared" si="52"/>
        <v>0.9</v>
      </c>
      <c r="W31" s="1046">
        <f t="shared" si="52"/>
        <v>0.9</v>
      </c>
      <c r="X31" s="1046">
        <f t="shared" si="52"/>
        <v>0.9</v>
      </c>
      <c r="Y31" s="1046">
        <f t="shared" si="52"/>
        <v>0.9</v>
      </c>
      <c r="Z31" s="1046">
        <f t="shared" si="52"/>
        <v>0.9</v>
      </c>
      <c r="AA31" s="1046">
        <f t="shared" si="52"/>
        <v>0.9</v>
      </c>
      <c r="AB31" s="1046">
        <f t="shared" si="52"/>
        <v>0.9</v>
      </c>
      <c r="AC31" s="1046">
        <f t="shared" si="52"/>
        <v>0.9</v>
      </c>
      <c r="AD31" s="1046">
        <f t="shared" si="52"/>
        <v>0.9</v>
      </c>
      <c r="AE31" s="1046">
        <f t="shared" si="52"/>
        <v>0.9</v>
      </c>
      <c r="AF31" s="1046">
        <f t="shared" si="52"/>
        <v>0.9</v>
      </c>
      <c r="AG31" s="1046">
        <f t="shared" si="52"/>
        <v>0.9</v>
      </c>
      <c r="AH31" s="1046">
        <f t="shared" si="52"/>
        <v>0.9</v>
      </c>
      <c r="AI31" s="1046">
        <f t="shared" si="52"/>
        <v>0.9</v>
      </c>
      <c r="AJ31" s="1046">
        <f t="shared" si="52"/>
        <v>0.9</v>
      </c>
      <c r="AK31" s="1046">
        <f t="shared" si="52"/>
        <v>0.9</v>
      </c>
      <c r="AL31" s="1046">
        <f t="shared" si="52"/>
        <v>0.9</v>
      </c>
      <c r="AM31" s="1046">
        <f t="shared" si="52"/>
        <v>0.9</v>
      </c>
      <c r="AN31" s="1046">
        <f t="shared" si="52"/>
        <v>0.9</v>
      </c>
      <c r="AO31" s="1046">
        <f t="shared" si="52"/>
        <v>0.9</v>
      </c>
      <c r="AP31" s="1046">
        <f t="shared" si="52"/>
        <v>0.9</v>
      </c>
      <c r="AQ31" s="1046">
        <f t="shared" si="52"/>
        <v>0.9</v>
      </c>
      <c r="AR31" s="1046">
        <f t="shared" si="52"/>
        <v>0.9</v>
      </c>
      <c r="AS31" s="1046">
        <f t="shared" si="52"/>
        <v>0.9</v>
      </c>
      <c r="AT31" s="1046">
        <f t="shared" si="52"/>
        <v>0.9</v>
      </c>
      <c r="AU31" s="1046">
        <f t="shared" si="52"/>
        <v>0.9</v>
      </c>
      <c r="AV31" s="1046">
        <f t="shared" si="52"/>
        <v>0.9</v>
      </c>
      <c r="AW31" s="1046">
        <f t="shared" si="52"/>
        <v>0.9</v>
      </c>
      <c r="AX31" s="1046">
        <f t="shared" si="52"/>
        <v>0.9</v>
      </c>
      <c r="AY31" s="1046">
        <f t="shared" si="52"/>
        <v>0.9</v>
      </c>
      <c r="AZ31" s="1046">
        <f t="shared" si="52"/>
        <v>0.9</v>
      </c>
      <c r="BA31" s="1046">
        <f t="shared" si="52"/>
        <v>0.9</v>
      </c>
      <c r="BB31" s="1046">
        <f t="shared" si="52"/>
        <v>0.9</v>
      </c>
      <c r="BC31" s="1046">
        <f t="shared" si="52"/>
        <v>0.9</v>
      </c>
      <c r="BD31" s="1046">
        <f t="shared" si="52"/>
        <v>0.9</v>
      </c>
      <c r="BE31" s="1046">
        <f t="shared" si="52"/>
        <v>0.9</v>
      </c>
      <c r="BF31" s="1046">
        <f t="shared" si="52"/>
        <v>0.9</v>
      </c>
      <c r="BG31" s="1046">
        <f t="shared" si="52"/>
        <v>0.9</v>
      </c>
      <c r="BH31" s="1046">
        <f t="shared" si="52"/>
        <v>0.9</v>
      </c>
      <c r="BI31" s="1046">
        <f t="shared" si="52"/>
        <v>0.9</v>
      </c>
      <c r="BJ31" s="1046">
        <f t="shared" si="52"/>
        <v>0.9</v>
      </c>
      <c r="BK31" s="1046">
        <f t="shared" si="52"/>
        <v>0.9</v>
      </c>
      <c r="BL31" s="1046">
        <f t="shared" si="52"/>
        <v>0.9</v>
      </c>
      <c r="BM31" s="1046">
        <f t="shared" si="52"/>
        <v>0.9</v>
      </c>
      <c r="BN31" s="1046">
        <f t="shared" si="52"/>
        <v>0.9</v>
      </c>
      <c r="BO31" s="1046">
        <f t="shared" si="52"/>
        <v>0.9</v>
      </c>
      <c r="BP31" s="1046">
        <f t="shared" si="52"/>
        <v>0.9</v>
      </c>
      <c r="BQ31" s="1046">
        <f t="shared" ref="BQ31:DT31" si="53">BP31</f>
        <v>0.9</v>
      </c>
      <c r="BR31" s="1046">
        <f t="shared" si="53"/>
        <v>0.9</v>
      </c>
      <c r="BS31" s="1046">
        <f t="shared" si="53"/>
        <v>0.9</v>
      </c>
      <c r="BT31" s="1046">
        <f t="shared" si="53"/>
        <v>0.9</v>
      </c>
      <c r="BU31" s="1046">
        <f t="shared" si="53"/>
        <v>0.9</v>
      </c>
      <c r="BV31" s="1046">
        <f t="shared" si="53"/>
        <v>0.9</v>
      </c>
      <c r="BW31" s="1046">
        <f t="shared" si="53"/>
        <v>0.9</v>
      </c>
      <c r="BX31" s="1046">
        <f t="shared" si="53"/>
        <v>0.9</v>
      </c>
      <c r="BY31" s="1046">
        <f t="shared" si="53"/>
        <v>0.9</v>
      </c>
      <c r="BZ31" s="1046">
        <f t="shared" si="53"/>
        <v>0.9</v>
      </c>
      <c r="CA31" s="1046">
        <f t="shared" si="53"/>
        <v>0.9</v>
      </c>
      <c r="CB31" s="1046">
        <f t="shared" si="53"/>
        <v>0.9</v>
      </c>
      <c r="CC31" s="1046">
        <f t="shared" si="53"/>
        <v>0.9</v>
      </c>
      <c r="CD31" s="1046">
        <f t="shared" si="53"/>
        <v>0.9</v>
      </c>
      <c r="CE31" s="1046">
        <f t="shared" si="53"/>
        <v>0.9</v>
      </c>
      <c r="CF31" s="1046">
        <f t="shared" si="53"/>
        <v>0.9</v>
      </c>
      <c r="CG31" s="1046">
        <f t="shared" si="53"/>
        <v>0.9</v>
      </c>
      <c r="CH31" s="1046">
        <f t="shared" si="53"/>
        <v>0.9</v>
      </c>
      <c r="CI31" s="1046">
        <f t="shared" si="53"/>
        <v>0.9</v>
      </c>
      <c r="CJ31" s="1046">
        <f t="shared" si="53"/>
        <v>0.9</v>
      </c>
      <c r="CK31" s="1046">
        <f t="shared" si="53"/>
        <v>0.9</v>
      </c>
      <c r="CL31" s="1046">
        <f t="shared" si="53"/>
        <v>0.9</v>
      </c>
      <c r="CM31" s="1046">
        <f t="shared" si="53"/>
        <v>0.9</v>
      </c>
      <c r="CN31" s="1046">
        <f t="shared" si="53"/>
        <v>0.9</v>
      </c>
      <c r="CO31" s="1046">
        <f t="shared" si="53"/>
        <v>0.9</v>
      </c>
      <c r="CP31" s="1046">
        <f t="shared" si="53"/>
        <v>0.9</v>
      </c>
      <c r="CQ31" s="1046">
        <f t="shared" si="53"/>
        <v>0.9</v>
      </c>
      <c r="CR31" s="1046">
        <f t="shared" si="53"/>
        <v>0.9</v>
      </c>
      <c r="CS31" s="1046">
        <f t="shared" si="53"/>
        <v>0.9</v>
      </c>
      <c r="CT31" s="1046">
        <f t="shared" si="53"/>
        <v>0.9</v>
      </c>
      <c r="CU31" s="1046">
        <f t="shared" si="53"/>
        <v>0.9</v>
      </c>
      <c r="CV31" s="1046">
        <f t="shared" si="53"/>
        <v>0.9</v>
      </c>
      <c r="CW31" s="1046">
        <f t="shared" si="53"/>
        <v>0.9</v>
      </c>
      <c r="CX31" s="1046">
        <f t="shared" si="53"/>
        <v>0.9</v>
      </c>
      <c r="CY31" s="1046">
        <f t="shared" si="53"/>
        <v>0.9</v>
      </c>
      <c r="CZ31" s="1046">
        <f t="shared" si="53"/>
        <v>0.9</v>
      </c>
      <c r="DA31" s="1046">
        <f t="shared" si="53"/>
        <v>0.9</v>
      </c>
      <c r="DB31" s="1046">
        <f t="shared" si="53"/>
        <v>0.9</v>
      </c>
      <c r="DC31" s="1046">
        <f t="shared" si="53"/>
        <v>0.9</v>
      </c>
      <c r="DD31" s="1046">
        <f t="shared" si="53"/>
        <v>0.9</v>
      </c>
      <c r="DE31" s="1046">
        <f t="shared" si="53"/>
        <v>0.9</v>
      </c>
      <c r="DF31" s="1046">
        <f t="shared" si="53"/>
        <v>0.9</v>
      </c>
      <c r="DG31" s="1046">
        <f t="shared" si="53"/>
        <v>0.9</v>
      </c>
      <c r="DH31" s="1046">
        <f t="shared" si="53"/>
        <v>0.9</v>
      </c>
      <c r="DI31" s="1046">
        <f t="shared" si="53"/>
        <v>0.9</v>
      </c>
      <c r="DJ31" s="1046">
        <f t="shared" si="53"/>
        <v>0.9</v>
      </c>
      <c r="DK31" s="1046">
        <f t="shared" si="53"/>
        <v>0.9</v>
      </c>
      <c r="DL31" s="1046">
        <f t="shared" si="53"/>
        <v>0.9</v>
      </c>
      <c r="DM31" s="1046">
        <f t="shared" si="53"/>
        <v>0.9</v>
      </c>
      <c r="DN31" s="1046">
        <f t="shared" si="53"/>
        <v>0.9</v>
      </c>
      <c r="DO31" s="1046">
        <f t="shared" si="53"/>
        <v>0.9</v>
      </c>
      <c r="DP31" s="1046">
        <f t="shared" si="53"/>
        <v>0.9</v>
      </c>
      <c r="DQ31" s="1046">
        <f t="shared" si="53"/>
        <v>0.9</v>
      </c>
      <c r="DR31" s="1046">
        <f t="shared" si="53"/>
        <v>0.9</v>
      </c>
      <c r="DS31" s="1046">
        <f t="shared" si="53"/>
        <v>0.9</v>
      </c>
      <c r="DT31" s="1111">
        <f t="shared" si="53"/>
        <v>0.9</v>
      </c>
    </row>
    <row r="32" spans="1:124" x14ac:dyDescent="0.3">
      <c r="B32" s="1055" t="str">
        <f t="shared" si="44"/>
        <v>South AfricaBackofficeL1</v>
      </c>
      <c r="C32" s="1101" t="str">
        <f t="shared" si="45"/>
        <v>South Africa</v>
      </c>
      <c r="D32" s="1568">
        <f>IF($A$26="L1",90%,85%)</f>
        <v>0.9</v>
      </c>
      <c r="E32" s="1046">
        <f t="shared" ref="E32:BP32" si="54">D32</f>
        <v>0.9</v>
      </c>
      <c r="F32" s="1046">
        <f t="shared" si="54"/>
        <v>0.9</v>
      </c>
      <c r="G32" s="1046">
        <f t="shared" si="54"/>
        <v>0.9</v>
      </c>
      <c r="H32" s="1046">
        <f t="shared" si="54"/>
        <v>0.9</v>
      </c>
      <c r="I32" s="1046">
        <f t="shared" si="54"/>
        <v>0.9</v>
      </c>
      <c r="J32" s="1046">
        <f t="shared" si="54"/>
        <v>0.9</v>
      </c>
      <c r="K32" s="1046">
        <f t="shared" si="54"/>
        <v>0.9</v>
      </c>
      <c r="L32" s="1046">
        <f t="shared" si="54"/>
        <v>0.9</v>
      </c>
      <c r="M32" s="1046">
        <f t="shared" si="54"/>
        <v>0.9</v>
      </c>
      <c r="N32" s="1046">
        <f t="shared" si="54"/>
        <v>0.9</v>
      </c>
      <c r="O32" s="1046">
        <f t="shared" si="54"/>
        <v>0.9</v>
      </c>
      <c r="P32" s="1046">
        <f t="shared" si="54"/>
        <v>0.9</v>
      </c>
      <c r="Q32" s="1046">
        <f t="shared" si="54"/>
        <v>0.9</v>
      </c>
      <c r="R32" s="1046">
        <f t="shared" si="54"/>
        <v>0.9</v>
      </c>
      <c r="S32" s="1046">
        <f t="shared" si="54"/>
        <v>0.9</v>
      </c>
      <c r="T32" s="1046">
        <f t="shared" si="54"/>
        <v>0.9</v>
      </c>
      <c r="U32" s="1046">
        <f t="shared" si="54"/>
        <v>0.9</v>
      </c>
      <c r="V32" s="1046">
        <f t="shared" si="54"/>
        <v>0.9</v>
      </c>
      <c r="W32" s="1046">
        <f t="shared" si="54"/>
        <v>0.9</v>
      </c>
      <c r="X32" s="1046">
        <f t="shared" si="54"/>
        <v>0.9</v>
      </c>
      <c r="Y32" s="1046">
        <f t="shared" si="54"/>
        <v>0.9</v>
      </c>
      <c r="Z32" s="1046">
        <f t="shared" si="54"/>
        <v>0.9</v>
      </c>
      <c r="AA32" s="1046">
        <f t="shared" si="54"/>
        <v>0.9</v>
      </c>
      <c r="AB32" s="1046">
        <f t="shared" si="54"/>
        <v>0.9</v>
      </c>
      <c r="AC32" s="1046">
        <f t="shared" si="54"/>
        <v>0.9</v>
      </c>
      <c r="AD32" s="1046">
        <f t="shared" si="54"/>
        <v>0.9</v>
      </c>
      <c r="AE32" s="1046">
        <f t="shared" si="54"/>
        <v>0.9</v>
      </c>
      <c r="AF32" s="1046">
        <f t="shared" si="54"/>
        <v>0.9</v>
      </c>
      <c r="AG32" s="1046">
        <f t="shared" si="54"/>
        <v>0.9</v>
      </c>
      <c r="AH32" s="1046">
        <f t="shared" si="54"/>
        <v>0.9</v>
      </c>
      <c r="AI32" s="1046">
        <f t="shared" si="54"/>
        <v>0.9</v>
      </c>
      <c r="AJ32" s="1046">
        <f t="shared" si="54"/>
        <v>0.9</v>
      </c>
      <c r="AK32" s="1046">
        <f t="shared" si="54"/>
        <v>0.9</v>
      </c>
      <c r="AL32" s="1046">
        <f t="shared" si="54"/>
        <v>0.9</v>
      </c>
      <c r="AM32" s="1046">
        <f t="shared" si="54"/>
        <v>0.9</v>
      </c>
      <c r="AN32" s="1046">
        <f t="shared" si="54"/>
        <v>0.9</v>
      </c>
      <c r="AO32" s="1046">
        <f t="shared" si="54"/>
        <v>0.9</v>
      </c>
      <c r="AP32" s="1046">
        <f t="shared" si="54"/>
        <v>0.9</v>
      </c>
      <c r="AQ32" s="1046">
        <f t="shared" si="54"/>
        <v>0.9</v>
      </c>
      <c r="AR32" s="1046">
        <f t="shared" si="54"/>
        <v>0.9</v>
      </c>
      <c r="AS32" s="1046">
        <f t="shared" si="54"/>
        <v>0.9</v>
      </c>
      <c r="AT32" s="1046">
        <f t="shared" si="54"/>
        <v>0.9</v>
      </c>
      <c r="AU32" s="1046">
        <f t="shared" si="54"/>
        <v>0.9</v>
      </c>
      <c r="AV32" s="1046">
        <f t="shared" si="54"/>
        <v>0.9</v>
      </c>
      <c r="AW32" s="1046">
        <f t="shared" si="54"/>
        <v>0.9</v>
      </c>
      <c r="AX32" s="1046">
        <f t="shared" si="54"/>
        <v>0.9</v>
      </c>
      <c r="AY32" s="1046">
        <f t="shared" si="54"/>
        <v>0.9</v>
      </c>
      <c r="AZ32" s="1046">
        <f t="shared" si="54"/>
        <v>0.9</v>
      </c>
      <c r="BA32" s="1046">
        <f t="shared" si="54"/>
        <v>0.9</v>
      </c>
      <c r="BB32" s="1046">
        <f t="shared" si="54"/>
        <v>0.9</v>
      </c>
      <c r="BC32" s="1046">
        <f t="shared" si="54"/>
        <v>0.9</v>
      </c>
      <c r="BD32" s="1046">
        <f t="shared" si="54"/>
        <v>0.9</v>
      </c>
      <c r="BE32" s="1046">
        <f t="shared" si="54"/>
        <v>0.9</v>
      </c>
      <c r="BF32" s="1046">
        <f t="shared" si="54"/>
        <v>0.9</v>
      </c>
      <c r="BG32" s="1046">
        <f t="shared" si="54"/>
        <v>0.9</v>
      </c>
      <c r="BH32" s="1046">
        <f t="shared" si="54"/>
        <v>0.9</v>
      </c>
      <c r="BI32" s="1046">
        <f t="shared" si="54"/>
        <v>0.9</v>
      </c>
      <c r="BJ32" s="1046">
        <f t="shared" si="54"/>
        <v>0.9</v>
      </c>
      <c r="BK32" s="1046">
        <f t="shared" si="54"/>
        <v>0.9</v>
      </c>
      <c r="BL32" s="1046">
        <f t="shared" si="54"/>
        <v>0.9</v>
      </c>
      <c r="BM32" s="1046">
        <f t="shared" si="54"/>
        <v>0.9</v>
      </c>
      <c r="BN32" s="1046">
        <f t="shared" si="54"/>
        <v>0.9</v>
      </c>
      <c r="BO32" s="1046">
        <f t="shared" si="54"/>
        <v>0.9</v>
      </c>
      <c r="BP32" s="1046">
        <f t="shared" si="54"/>
        <v>0.9</v>
      </c>
      <c r="BQ32" s="1046">
        <f t="shared" ref="BQ32:DT32" si="55">BP32</f>
        <v>0.9</v>
      </c>
      <c r="BR32" s="1046">
        <f t="shared" si="55"/>
        <v>0.9</v>
      </c>
      <c r="BS32" s="1046">
        <f t="shared" si="55"/>
        <v>0.9</v>
      </c>
      <c r="BT32" s="1046">
        <f t="shared" si="55"/>
        <v>0.9</v>
      </c>
      <c r="BU32" s="1046">
        <f t="shared" si="55"/>
        <v>0.9</v>
      </c>
      <c r="BV32" s="1046">
        <f t="shared" si="55"/>
        <v>0.9</v>
      </c>
      <c r="BW32" s="1046">
        <f t="shared" si="55"/>
        <v>0.9</v>
      </c>
      <c r="BX32" s="1046">
        <f t="shared" si="55"/>
        <v>0.9</v>
      </c>
      <c r="BY32" s="1046">
        <f t="shared" si="55"/>
        <v>0.9</v>
      </c>
      <c r="BZ32" s="1046">
        <f t="shared" si="55"/>
        <v>0.9</v>
      </c>
      <c r="CA32" s="1046">
        <f t="shared" si="55"/>
        <v>0.9</v>
      </c>
      <c r="CB32" s="1046">
        <f t="shared" si="55"/>
        <v>0.9</v>
      </c>
      <c r="CC32" s="1046">
        <f t="shared" si="55"/>
        <v>0.9</v>
      </c>
      <c r="CD32" s="1046">
        <f t="shared" si="55"/>
        <v>0.9</v>
      </c>
      <c r="CE32" s="1046">
        <f t="shared" si="55"/>
        <v>0.9</v>
      </c>
      <c r="CF32" s="1046">
        <f t="shared" si="55"/>
        <v>0.9</v>
      </c>
      <c r="CG32" s="1046">
        <f t="shared" si="55"/>
        <v>0.9</v>
      </c>
      <c r="CH32" s="1046">
        <f t="shared" si="55"/>
        <v>0.9</v>
      </c>
      <c r="CI32" s="1046">
        <f t="shared" si="55"/>
        <v>0.9</v>
      </c>
      <c r="CJ32" s="1046">
        <f t="shared" si="55"/>
        <v>0.9</v>
      </c>
      <c r="CK32" s="1046">
        <f t="shared" si="55"/>
        <v>0.9</v>
      </c>
      <c r="CL32" s="1046">
        <f t="shared" si="55"/>
        <v>0.9</v>
      </c>
      <c r="CM32" s="1046">
        <f t="shared" si="55"/>
        <v>0.9</v>
      </c>
      <c r="CN32" s="1046">
        <f t="shared" si="55"/>
        <v>0.9</v>
      </c>
      <c r="CO32" s="1046">
        <f t="shared" si="55"/>
        <v>0.9</v>
      </c>
      <c r="CP32" s="1046">
        <f t="shared" si="55"/>
        <v>0.9</v>
      </c>
      <c r="CQ32" s="1046">
        <f t="shared" si="55"/>
        <v>0.9</v>
      </c>
      <c r="CR32" s="1046">
        <f t="shared" si="55"/>
        <v>0.9</v>
      </c>
      <c r="CS32" s="1046">
        <f t="shared" si="55"/>
        <v>0.9</v>
      </c>
      <c r="CT32" s="1046">
        <f t="shared" si="55"/>
        <v>0.9</v>
      </c>
      <c r="CU32" s="1046">
        <f t="shared" si="55"/>
        <v>0.9</v>
      </c>
      <c r="CV32" s="1046">
        <f t="shared" si="55"/>
        <v>0.9</v>
      </c>
      <c r="CW32" s="1046">
        <f t="shared" si="55"/>
        <v>0.9</v>
      </c>
      <c r="CX32" s="1046">
        <f t="shared" si="55"/>
        <v>0.9</v>
      </c>
      <c r="CY32" s="1046">
        <f t="shared" si="55"/>
        <v>0.9</v>
      </c>
      <c r="CZ32" s="1046">
        <f t="shared" si="55"/>
        <v>0.9</v>
      </c>
      <c r="DA32" s="1046">
        <f t="shared" si="55"/>
        <v>0.9</v>
      </c>
      <c r="DB32" s="1046">
        <f t="shared" si="55"/>
        <v>0.9</v>
      </c>
      <c r="DC32" s="1046">
        <f t="shared" si="55"/>
        <v>0.9</v>
      </c>
      <c r="DD32" s="1046">
        <f t="shared" si="55"/>
        <v>0.9</v>
      </c>
      <c r="DE32" s="1046">
        <f t="shared" si="55"/>
        <v>0.9</v>
      </c>
      <c r="DF32" s="1046">
        <f t="shared" si="55"/>
        <v>0.9</v>
      </c>
      <c r="DG32" s="1046">
        <f t="shared" si="55"/>
        <v>0.9</v>
      </c>
      <c r="DH32" s="1046">
        <f t="shared" si="55"/>
        <v>0.9</v>
      </c>
      <c r="DI32" s="1046">
        <f t="shared" si="55"/>
        <v>0.9</v>
      </c>
      <c r="DJ32" s="1046">
        <f t="shared" si="55"/>
        <v>0.9</v>
      </c>
      <c r="DK32" s="1046">
        <f t="shared" si="55"/>
        <v>0.9</v>
      </c>
      <c r="DL32" s="1046">
        <f t="shared" si="55"/>
        <v>0.9</v>
      </c>
      <c r="DM32" s="1046">
        <f t="shared" si="55"/>
        <v>0.9</v>
      </c>
      <c r="DN32" s="1046">
        <f t="shared" si="55"/>
        <v>0.9</v>
      </c>
      <c r="DO32" s="1046">
        <f t="shared" si="55"/>
        <v>0.9</v>
      </c>
      <c r="DP32" s="1046">
        <f t="shared" si="55"/>
        <v>0.9</v>
      </c>
      <c r="DQ32" s="1046">
        <f t="shared" si="55"/>
        <v>0.9</v>
      </c>
      <c r="DR32" s="1046">
        <f t="shared" si="55"/>
        <v>0.9</v>
      </c>
      <c r="DS32" s="1046">
        <f t="shared" si="55"/>
        <v>0.9</v>
      </c>
      <c r="DT32" s="1111">
        <f t="shared" si="55"/>
        <v>0.9</v>
      </c>
    </row>
    <row r="33" spans="2:124" x14ac:dyDescent="0.3">
      <c r="B33" s="1055" t="str">
        <f t="shared" si="44"/>
        <v>RomaniaBackofficeL1</v>
      </c>
      <c r="C33" s="1101" t="str">
        <f t="shared" si="45"/>
        <v>Romania</v>
      </c>
      <c r="D33" s="1046">
        <v>0.9</v>
      </c>
      <c r="E33" s="1046">
        <f t="shared" ref="E33:BP33" si="56">D33</f>
        <v>0.9</v>
      </c>
      <c r="F33" s="1046">
        <f t="shared" si="56"/>
        <v>0.9</v>
      </c>
      <c r="G33" s="1046">
        <f t="shared" si="56"/>
        <v>0.9</v>
      </c>
      <c r="H33" s="1046">
        <f t="shared" si="56"/>
        <v>0.9</v>
      </c>
      <c r="I33" s="1046">
        <f t="shared" si="56"/>
        <v>0.9</v>
      </c>
      <c r="J33" s="1046">
        <f t="shared" si="56"/>
        <v>0.9</v>
      </c>
      <c r="K33" s="1046">
        <f t="shared" si="56"/>
        <v>0.9</v>
      </c>
      <c r="L33" s="1046">
        <f t="shared" si="56"/>
        <v>0.9</v>
      </c>
      <c r="M33" s="1046">
        <f t="shared" si="56"/>
        <v>0.9</v>
      </c>
      <c r="N33" s="1046">
        <f t="shared" si="56"/>
        <v>0.9</v>
      </c>
      <c r="O33" s="1046">
        <f t="shared" si="56"/>
        <v>0.9</v>
      </c>
      <c r="P33" s="1046">
        <f t="shared" si="56"/>
        <v>0.9</v>
      </c>
      <c r="Q33" s="1046">
        <f t="shared" si="56"/>
        <v>0.9</v>
      </c>
      <c r="R33" s="1046">
        <f t="shared" si="56"/>
        <v>0.9</v>
      </c>
      <c r="S33" s="1046">
        <f t="shared" si="56"/>
        <v>0.9</v>
      </c>
      <c r="T33" s="1046">
        <f t="shared" si="56"/>
        <v>0.9</v>
      </c>
      <c r="U33" s="1046">
        <f t="shared" si="56"/>
        <v>0.9</v>
      </c>
      <c r="V33" s="1046">
        <f t="shared" si="56"/>
        <v>0.9</v>
      </c>
      <c r="W33" s="1046">
        <f t="shared" si="56"/>
        <v>0.9</v>
      </c>
      <c r="X33" s="1046">
        <f t="shared" si="56"/>
        <v>0.9</v>
      </c>
      <c r="Y33" s="1046">
        <f t="shared" si="56"/>
        <v>0.9</v>
      </c>
      <c r="Z33" s="1046">
        <f t="shared" si="56"/>
        <v>0.9</v>
      </c>
      <c r="AA33" s="1046">
        <f t="shared" si="56"/>
        <v>0.9</v>
      </c>
      <c r="AB33" s="1046">
        <f t="shared" si="56"/>
        <v>0.9</v>
      </c>
      <c r="AC33" s="1046">
        <f t="shared" si="56"/>
        <v>0.9</v>
      </c>
      <c r="AD33" s="1046">
        <f t="shared" si="56"/>
        <v>0.9</v>
      </c>
      <c r="AE33" s="1046">
        <f t="shared" si="56"/>
        <v>0.9</v>
      </c>
      <c r="AF33" s="1046">
        <f t="shared" si="56"/>
        <v>0.9</v>
      </c>
      <c r="AG33" s="1046">
        <f t="shared" si="56"/>
        <v>0.9</v>
      </c>
      <c r="AH33" s="1046">
        <f t="shared" si="56"/>
        <v>0.9</v>
      </c>
      <c r="AI33" s="1046">
        <f t="shared" si="56"/>
        <v>0.9</v>
      </c>
      <c r="AJ33" s="1046">
        <f t="shared" si="56"/>
        <v>0.9</v>
      </c>
      <c r="AK33" s="1046">
        <f t="shared" si="56"/>
        <v>0.9</v>
      </c>
      <c r="AL33" s="1046">
        <f t="shared" si="56"/>
        <v>0.9</v>
      </c>
      <c r="AM33" s="1046">
        <f t="shared" si="56"/>
        <v>0.9</v>
      </c>
      <c r="AN33" s="1046">
        <f t="shared" si="56"/>
        <v>0.9</v>
      </c>
      <c r="AO33" s="1046">
        <f t="shared" si="56"/>
        <v>0.9</v>
      </c>
      <c r="AP33" s="1046">
        <f t="shared" si="56"/>
        <v>0.9</v>
      </c>
      <c r="AQ33" s="1046">
        <f t="shared" si="56"/>
        <v>0.9</v>
      </c>
      <c r="AR33" s="1046">
        <f t="shared" si="56"/>
        <v>0.9</v>
      </c>
      <c r="AS33" s="1046">
        <f t="shared" si="56"/>
        <v>0.9</v>
      </c>
      <c r="AT33" s="1046">
        <f t="shared" si="56"/>
        <v>0.9</v>
      </c>
      <c r="AU33" s="1046">
        <f t="shared" si="56"/>
        <v>0.9</v>
      </c>
      <c r="AV33" s="1046">
        <f t="shared" si="56"/>
        <v>0.9</v>
      </c>
      <c r="AW33" s="1046">
        <f t="shared" si="56"/>
        <v>0.9</v>
      </c>
      <c r="AX33" s="1046">
        <f t="shared" si="56"/>
        <v>0.9</v>
      </c>
      <c r="AY33" s="1046">
        <f t="shared" si="56"/>
        <v>0.9</v>
      </c>
      <c r="AZ33" s="1046">
        <f t="shared" si="56"/>
        <v>0.9</v>
      </c>
      <c r="BA33" s="1046">
        <f t="shared" si="56"/>
        <v>0.9</v>
      </c>
      <c r="BB33" s="1046">
        <f t="shared" si="56"/>
        <v>0.9</v>
      </c>
      <c r="BC33" s="1046">
        <f t="shared" si="56"/>
        <v>0.9</v>
      </c>
      <c r="BD33" s="1046">
        <f t="shared" si="56"/>
        <v>0.9</v>
      </c>
      <c r="BE33" s="1046">
        <f t="shared" si="56"/>
        <v>0.9</v>
      </c>
      <c r="BF33" s="1046">
        <f t="shared" si="56"/>
        <v>0.9</v>
      </c>
      <c r="BG33" s="1046">
        <f t="shared" si="56"/>
        <v>0.9</v>
      </c>
      <c r="BH33" s="1046">
        <f t="shared" si="56"/>
        <v>0.9</v>
      </c>
      <c r="BI33" s="1046">
        <f t="shared" si="56"/>
        <v>0.9</v>
      </c>
      <c r="BJ33" s="1046">
        <f t="shared" si="56"/>
        <v>0.9</v>
      </c>
      <c r="BK33" s="1046">
        <f t="shared" si="56"/>
        <v>0.9</v>
      </c>
      <c r="BL33" s="1046">
        <f t="shared" si="56"/>
        <v>0.9</v>
      </c>
      <c r="BM33" s="1046">
        <f t="shared" si="56"/>
        <v>0.9</v>
      </c>
      <c r="BN33" s="1046">
        <f t="shared" si="56"/>
        <v>0.9</v>
      </c>
      <c r="BO33" s="1046">
        <f t="shared" si="56"/>
        <v>0.9</v>
      </c>
      <c r="BP33" s="1046">
        <f t="shared" si="56"/>
        <v>0.9</v>
      </c>
      <c r="BQ33" s="1046">
        <f t="shared" ref="BQ33:DT33" si="57">BP33</f>
        <v>0.9</v>
      </c>
      <c r="BR33" s="1046">
        <f t="shared" si="57"/>
        <v>0.9</v>
      </c>
      <c r="BS33" s="1046">
        <f t="shared" si="57"/>
        <v>0.9</v>
      </c>
      <c r="BT33" s="1046">
        <f t="shared" si="57"/>
        <v>0.9</v>
      </c>
      <c r="BU33" s="1046">
        <f t="shared" si="57"/>
        <v>0.9</v>
      </c>
      <c r="BV33" s="1046">
        <f t="shared" si="57"/>
        <v>0.9</v>
      </c>
      <c r="BW33" s="1046">
        <f t="shared" si="57"/>
        <v>0.9</v>
      </c>
      <c r="BX33" s="1046">
        <f t="shared" si="57"/>
        <v>0.9</v>
      </c>
      <c r="BY33" s="1046">
        <f t="shared" si="57"/>
        <v>0.9</v>
      </c>
      <c r="BZ33" s="1046">
        <f t="shared" si="57"/>
        <v>0.9</v>
      </c>
      <c r="CA33" s="1046">
        <f t="shared" si="57"/>
        <v>0.9</v>
      </c>
      <c r="CB33" s="1046">
        <f t="shared" si="57"/>
        <v>0.9</v>
      </c>
      <c r="CC33" s="1046">
        <f t="shared" si="57"/>
        <v>0.9</v>
      </c>
      <c r="CD33" s="1046">
        <f t="shared" si="57"/>
        <v>0.9</v>
      </c>
      <c r="CE33" s="1046">
        <f t="shared" si="57"/>
        <v>0.9</v>
      </c>
      <c r="CF33" s="1046">
        <f t="shared" si="57"/>
        <v>0.9</v>
      </c>
      <c r="CG33" s="1046">
        <f t="shared" si="57"/>
        <v>0.9</v>
      </c>
      <c r="CH33" s="1046">
        <f t="shared" si="57"/>
        <v>0.9</v>
      </c>
      <c r="CI33" s="1046">
        <f t="shared" si="57"/>
        <v>0.9</v>
      </c>
      <c r="CJ33" s="1046">
        <f t="shared" si="57"/>
        <v>0.9</v>
      </c>
      <c r="CK33" s="1046">
        <f t="shared" si="57"/>
        <v>0.9</v>
      </c>
      <c r="CL33" s="1046">
        <f t="shared" si="57"/>
        <v>0.9</v>
      </c>
      <c r="CM33" s="1046">
        <f t="shared" si="57"/>
        <v>0.9</v>
      </c>
      <c r="CN33" s="1046">
        <f t="shared" si="57"/>
        <v>0.9</v>
      </c>
      <c r="CO33" s="1046">
        <f t="shared" si="57"/>
        <v>0.9</v>
      </c>
      <c r="CP33" s="1046">
        <f t="shared" si="57"/>
        <v>0.9</v>
      </c>
      <c r="CQ33" s="1046">
        <f t="shared" si="57"/>
        <v>0.9</v>
      </c>
      <c r="CR33" s="1046">
        <f t="shared" si="57"/>
        <v>0.9</v>
      </c>
      <c r="CS33" s="1046">
        <f t="shared" si="57"/>
        <v>0.9</v>
      </c>
      <c r="CT33" s="1046">
        <f t="shared" si="57"/>
        <v>0.9</v>
      </c>
      <c r="CU33" s="1046">
        <f t="shared" si="57"/>
        <v>0.9</v>
      </c>
      <c r="CV33" s="1046">
        <f t="shared" si="57"/>
        <v>0.9</v>
      </c>
      <c r="CW33" s="1046">
        <f t="shared" si="57"/>
        <v>0.9</v>
      </c>
      <c r="CX33" s="1046">
        <f t="shared" si="57"/>
        <v>0.9</v>
      </c>
      <c r="CY33" s="1046">
        <f t="shared" si="57"/>
        <v>0.9</v>
      </c>
      <c r="CZ33" s="1046">
        <f t="shared" si="57"/>
        <v>0.9</v>
      </c>
      <c r="DA33" s="1046">
        <f t="shared" si="57"/>
        <v>0.9</v>
      </c>
      <c r="DB33" s="1046">
        <f t="shared" si="57"/>
        <v>0.9</v>
      </c>
      <c r="DC33" s="1046">
        <f t="shared" si="57"/>
        <v>0.9</v>
      </c>
      <c r="DD33" s="1046">
        <f t="shared" si="57"/>
        <v>0.9</v>
      </c>
      <c r="DE33" s="1046">
        <f t="shared" si="57"/>
        <v>0.9</v>
      </c>
      <c r="DF33" s="1046">
        <f t="shared" si="57"/>
        <v>0.9</v>
      </c>
      <c r="DG33" s="1046">
        <f t="shared" si="57"/>
        <v>0.9</v>
      </c>
      <c r="DH33" s="1046">
        <f t="shared" si="57"/>
        <v>0.9</v>
      </c>
      <c r="DI33" s="1046">
        <f t="shared" si="57"/>
        <v>0.9</v>
      </c>
      <c r="DJ33" s="1046">
        <f t="shared" si="57"/>
        <v>0.9</v>
      </c>
      <c r="DK33" s="1046">
        <f t="shared" si="57"/>
        <v>0.9</v>
      </c>
      <c r="DL33" s="1046">
        <f t="shared" si="57"/>
        <v>0.9</v>
      </c>
      <c r="DM33" s="1046">
        <f t="shared" si="57"/>
        <v>0.9</v>
      </c>
      <c r="DN33" s="1046">
        <f t="shared" si="57"/>
        <v>0.9</v>
      </c>
      <c r="DO33" s="1046">
        <f t="shared" si="57"/>
        <v>0.9</v>
      </c>
      <c r="DP33" s="1046">
        <f t="shared" si="57"/>
        <v>0.9</v>
      </c>
      <c r="DQ33" s="1046">
        <f t="shared" si="57"/>
        <v>0.9</v>
      </c>
      <c r="DR33" s="1046">
        <f t="shared" si="57"/>
        <v>0.9</v>
      </c>
      <c r="DS33" s="1046">
        <f t="shared" si="57"/>
        <v>0.9</v>
      </c>
      <c r="DT33" s="1111">
        <f t="shared" si="57"/>
        <v>0.9</v>
      </c>
    </row>
    <row r="34" spans="2:124" x14ac:dyDescent="0.3">
      <c r="B34" s="1055" t="str">
        <f t="shared" si="44"/>
        <v>IndiaBackofficeL1</v>
      </c>
      <c r="C34" s="1101" t="str">
        <f t="shared" si="45"/>
        <v>India</v>
      </c>
      <c r="D34" s="1568">
        <f>IF(AND($A$28="India",$A$27="BackofficeL1"),90%,85%)</f>
        <v>0.9</v>
      </c>
      <c r="E34" s="1046">
        <f t="shared" ref="E34:BP34" si="58">D34</f>
        <v>0.9</v>
      </c>
      <c r="F34" s="1046">
        <f t="shared" si="58"/>
        <v>0.9</v>
      </c>
      <c r="G34" s="1046">
        <f t="shared" si="58"/>
        <v>0.9</v>
      </c>
      <c r="H34" s="1046">
        <f t="shared" si="58"/>
        <v>0.9</v>
      </c>
      <c r="I34" s="1046">
        <f t="shared" si="58"/>
        <v>0.9</v>
      </c>
      <c r="J34" s="1046">
        <f t="shared" si="58"/>
        <v>0.9</v>
      </c>
      <c r="K34" s="1046">
        <f t="shared" si="58"/>
        <v>0.9</v>
      </c>
      <c r="L34" s="1046">
        <f t="shared" si="58"/>
        <v>0.9</v>
      </c>
      <c r="M34" s="1046">
        <f t="shared" si="58"/>
        <v>0.9</v>
      </c>
      <c r="N34" s="1046">
        <f t="shared" si="58"/>
        <v>0.9</v>
      </c>
      <c r="O34" s="1046">
        <f t="shared" si="58"/>
        <v>0.9</v>
      </c>
      <c r="P34" s="1046">
        <f t="shared" si="58"/>
        <v>0.9</v>
      </c>
      <c r="Q34" s="1046">
        <f t="shared" si="58"/>
        <v>0.9</v>
      </c>
      <c r="R34" s="1046">
        <f t="shared" si="58"/>
        <v>0.9</v>
      </c>
      <c r="S34" s="1046">
        <f t="shared" si="58"/>
        <v>0.9</v>
      </c>
      <c r="T34" s="1046">
        <f t="shared" si="58"/>
        <v>0.9</v>
      </c>
      <c r="U34" s="1046">
        <f t="shared" si="58"/>
        <v>0.9</v>
      </c>
      <c r="V34" s="1046">
        <f t="shared" si="58"/>
        <v>0.9</v>
      </c>
      <c r="W34" s="1046">
        <f t="shared" si="58"/>
        <v>0.9</v>
      </c>
      <c r="X34" s="1046">
        <f t="shared" si="58"/>
        <v>0.9</v>
      </c>
      <c r="Y34" s="1046">
        <f t="shared" si="58"/>
        <v>0.9</v>
      </c>
      <c r="Z34" s="1046">
        <f t="shared" si="58"/>
        <v>0.9</v>
      </c>
      <c r="AA34" s="1046">
        <f t="shared" si="58"/>
        <v>0.9</v>
      </c>
      <c r="AB34" s="1046">
        <f t="shared" si="58"/>
        <v>0.9</v>
      </c>
      <c r="AC34" s="1046">
        <f t="shared" si="58"/>
        <v>0.9</v>
      </c>
      <c r="AD34" s="1046">
        <f t="shared" si="58"/>
        <v>0.9</v>
      </c>
      <c r="AE34" s="1046">
        <f t="shared" si="58"/>
        <v>0.9</v>
      </c>
      <c r="AF34" s="1046">
        <f t="shared" si="58"/>
        <v>0.9</v>
      </c>
      <c r="AG34" s="1046">
        <f t="shared" si="58"/>
        <v>0.9</v>
      </c>
      <c r="AH34" s="1046">
        <f t="shared" si="58"/>
        <v>0.9</v>
      </c>
      <c r="AI34" s="1046">
        <f t="shared" si="58"/>
        <v>0.9</v>
      </c>
      <c r="AJ34" s="1046">
        <f t="shared" si="58"/>
        <v>0.9</v>
      </c>
      <c r="AK34" s="1046">
        <f t="shared" si="58"/>
        <v>0.9</v>
      </c>
      <c r="AL34" s="1046">
        <f t="shared" si="58"/>
        <v>0.9</v>
      </c>
      <c r="AM34" s="1046">
        <f t="shared" si="58"/>
        <v>0.9</v>
      </c>
      <c r="AN34" s="1046">
        <f t="shared" si="58"/>
        <v>0.9</v>
      </c>
      <c r="AO34" s="1046">
        <f t="shared" si="58"/>
        <v>0.9</v>
      </c>
      <c r="AP34" s="1046">
        <f t="shared" si="58"/>
        <v>0.9</v>
      </c>
      <c r="AQ34" s="1046">
        <f t="shared" si="58"/>
        <v>0.9</v>
      </c>
      <c r="AR34" s="1046">
        <f t="shared" si="58"/>
        <v>0.9</v>
      </c>
      <c r="AS34" s="1046">
        <f t="shared" si="58"/>
        <v>0.9</v>
      </c>
      <c r="AT34" s="1046">
        <f t="shared" si="58"/>
        <v>0.9</v>
      </c>
      <c r="AU34" s="1046">
        <f t="shared" si="58"/>
        <v>0.9</v>
      </c>
      <c r="AV34" s="1046">
        <f t="shared" si="58"/>
        <v>0.9</v>
      </c>
      <c r="AW34" s="1046">
        <f t="shared" si="58"/>
        <v>0.9</v>
      </c>
      <c r="AX34" s="1046">
        <f t="shared" si="58"/>
        <v>0.9</v>
      </c>
      <c r="AY34" s="1046">
        <f t="shared" si="58"/>
        <v>0.9</v>
      </c>
      <c r="AZ34" s="1046">
        <f t="shared" si="58"/>
        <v>0.9</v>
      </c>
      <c r="BA34" s="1046">
        <f t="shared" si="58"/>
        <v>0.9</v>
      </c>
      <c r="BB34" s="1046">
        <f t="shared" si="58"/>
        <v>0.9</v>
      </c>
      <c r="BC34" s="1046">
        <f t="shared" si="58"/>
        <v>0.9</v>
      </c>
      <c r="BD34" s="1046">
        <f t="shared" si="58"/>
        <v>0.9</v>
      </c>
      <c r="BE34" s="1046">
        <f t="shared" si="58"/>
        <v>0.9</v>
      </c>
      <c r="BF34" s="1046">
        <f t="shared" si="58"/>
        <v>0.9</v>
      </c>
      <c r="BG34" s="1046">
        <f t="shared" si="58"/>
        <v>0.9</v>
      </c>
      <c r="BH34" s="1046">
        <f t="shared" si="58"/>
        <v>0.9</v>
      </c>
      <c r="BI34" s="1046">
        <f t="shared" si="58"/>
        <v>0.9</v>
      </c>
      <c r="BJ34" s="1046">
        <f t="shared" si="58"/>
        <v>0.9</v>
      </c>
      <c r="BK34" s="1046">
        <f t="shared" si="58"/>
        <v>0.9</v>
      </c>
      <c r="BL34" s="1046">
        <f t="shared" si="58"/>
        <v>0.9</v>
      </c>
      <c r="BM34" s="1046">
        <f t="shared" si="58"/>
        <v>0.9</v>
      </c>
      <c r="BN34" s="1046">
        <f t="shared" si="58"/>
        <v>0.9</v>
      </c>
      <c r="BO34" s="1046">
        <f t="shared" si="58"/>
        <v>0.9</v>
      </c>
      <c r="BP34" s="1046">
        <f t="shared" si="58"/>
        <v>0.9</v>
      </c>
      <c r="BQ34" s="1046">
        <f t="shared" ref="BQ34:DT34" si="59">BP34</f>
        <v>0.9</v>
      </c>
      <c r="BR34" s="1046">
        <f t="shared" si="59"/>
        <v>0.9</v>
      </c>
      <c r="BS34" s="1046">
        <f t="shared" si="59"/>
        <v>0.9</v>
      </c>
      <c r="BT34" s="1046">
        <f t="shared" si="59"/>
        <v>0.9</v>
      </c>
      <c r="BU34" s="1046">
        <f t="shared" si="59"/>
        <v>0.9</v>
      </c>
      <c r="BV34" s="1046">
        <f t="shared" si="59"/>
        <v>0.9</v>
      </c>
      <c r="BW34" s="1046">
        <f t="shared" si="59"/>
        <v>0.9</v>
      </c>
      <c r="BX34" s="1046">
        <f t="shared" si="59"/>
        <v>0.9</v>
      </c>
      <c r="BY34" s="1046">
        <f t="shared" si="59"/>
        <v>0.9</v>
      </c>
      <c r="BZ34" s="1046">
        <f t="shared" si="59"/>
        <v>0.9</v>
      </c>
      <c r="CA34" s="1046">
        <f t="shared" si="59"/>
        <v>0.9</v>
      </c>
      <c r="CB34" s="1046">
        <f t="shared" si="59"/>
        <v>0.9</v>
      </c>
      <c r="CC34" s="1046">
        <f t="shared" si="59"/>
        <v>0.9</v>
      </c>
      <c r="CD34" s="1046">
        <f t="shared" si="59"/>
        <v>0.9</v>
      </c>
      <c r="CE34" s="1046">
        <f t="shared" si="59"/>
        <v>0.9</v>
      </c>
      <c r="CF34" s="1046">
        <f t="shared" si="59"/>
        <v>0.9</v>
      </c>
      <c r="CG34" s="1046">
        <f t="shared" si="59"/>
        <v>0.9</v>
      </c>
      <c r="CH34" s="1046">
        <f t="shared" si="59"/>
        <v>0.9</v>
      </c>
      <c r="CI34" s="1046">
        <f t="shared" si="59"/>
        <v>0.9</v>
      </c>
      <c r="CJ34" s="1046">
        <f t="shared" si="59"/>
        <v>0.9</v>
      </c>
      <c r="CK34" s="1046">
        <f t="shared" si="59"/>
        <v>0.9</v>
      </c>
      <c r="CL34" s="1046">
        <f t="shared" si="59"/>
        <v>0.9</v>
      </c>
      <c r="CM34" s="1046">
        <f t="shared" si="59"/>
        <v>0.9</v>
      </c>
      <c r="CN34" s="1046">
        <f t="shared" si="59"/>
        <v>0.9</v>
      </c>
      <c r="CO34" s="1046">
        <f t="shared" si="59"/>
        <v>0.9</v>
      </c>
      <c r="CP34" s="1046">
        <f t="shared" si="59"/>
        <v>0.9</v>
      </c>
      <c r="CQ34" s="1046">
        <f t="shared" si="59"/>
        <v>0.9</v>
      </c>
      <c r="CR34" s="1046">
        <f t="shared" si="59"/>
        <v>0.9</v>
      </c>
      <c r="CS34" s="1046">
        <f t="shared" si="59"/>
        <v>0.9</v>
      </c>
      <c r="CT34" s="1046">
        <f t="shared" si="59"/>
        <v>0.9</v>
      </c>
      <c r="CU34" s="1046">
        <f t="shared" si="59"/>
        <v>0.9</v>
      </c>
      <c r="CV34" s="1046">
        <f t="shared" si="59"/>
        <v>0.9</v>
      </c>
      <c r="CW34" s="1046">
        <f t="shared" si="59"/>
        <v>0.9</v>
      </c>
      <c r="CX34" s="1046">
        <f t="shared" si="59"/>
        <v>0.9</v>
      </c>
      <c r="CY34" s="1046">
        <f t="shared" si="59"/>
        <v>0.9</v>
      </c>
      <c r="CZ34" s="1046">
        <f t="shared" si="59"/>
        <v>0.9</v>
      </c>
      <c r="DA34" s="1046">
        <f t="shared" si="59"/>
        <v>0.9</v>
      </c>
      <c r="DB34" s="1046">
        <f t="shared" si="59"/>
        <v>0.9</v>
      </c>
      <c r="DC34" s="1046">
        <f t="shared" si="59"/>
        <v>0.9</v>
      </c>
      <c r="DD34" s="1046">
        <f t="shared" si="59"/>
        <v>0.9</v>
      </c>
      <c r="DE34" s="1046">
        <f t="shared" si="59"/>
        <v>0.9</v>
      </c>
      <c r="DF34" s="1046">
        <f t="shared" si="59"/>
        <v>0.9</v>
      </c>
      <c r="DG34" s="1046">
        <f t="shared" si="59"/>
        <v>0.9</v>
      </c>
      <c r="DH34" s="1046">
        <f t="shared" si="59"/>
        <v>0.9</v>
      </c>
      <c r="DI34" s="1046">
        <f t="shared" si="59"/>
        <v>0.9</v>
      </c>
      <c r="DJ34" s="1046">
        <f t="shared" si="59"/>
        <v>0.9</v>
      </c>
      <c r="DK34" s="1046">
        <f t="shared" si="59"/>
        <v>0.9</v>
      </c>
      <c r="DL34" s="1046">
        <f t="shared" si="59"/>
        <v>0.9</v>
      </c>
      <c r="DM34" s="1046">
        <f t="shared" si="59"/>
        <v>0.9</v>
      </c>
      <c r="DN34" s="1046">
        <f t="shared" si="59"/>
        <v>0.9</v>
      </c>
      <c r="DO34" s="1046">
        <f t="shared" si="59"/>
        <v>0.9</v>
      </c>
      <c r="DP34" s="1046">
        <f t="shared" si="59"/>
        <v>0.9</v>
      </c>
      <c r="DQ34" s="1046">
        <f t="shared" si="59"/>
        <v>0.9</v>
      </c>
      <c r="DR34" s="1046">
        <f t="shared" si="59"/>
        <v>0.9</v>
      </c>
      <c r="DS34" s="1046">
        <f t="shared" si="59"/>
        <v>0.9</v>
      </c>
      <c r="DT34" s="1111">
        <f t="shared" si="59"/>
        <v>0.9</v>
      </c>
    </row>
    <row r="35" spans="2:124" ht="13.5" thickBot="1" x14ac:dyDescent="0.35">
      <c r="B35" s="1055" t="str">
        <f t="shared" si="44"/>
        <v>PhilippinesBackofficeL1</v>
      </c>
      <c r="C35" s="1103" t="str">
        <f t="shared" si="45"/>
        <v>Philippines</v>
      </c>
      <c r="D35" s="1568">
        <f>IF(AND($A$28="India",$A$27="BackofficeL1"),90%,85%)</f>
        <v>0.9</v>
      </c>
      <c r="E35" s="1112">
        <f t="shared" ref="E35:BP35" si="60">D35</f>
        <v>0.9</v>
      </c>
      <c r="F35" s="1112">
        <f t="shared" si="60"/>
        <v>0.9</v>
      </c>
      <c r="G35" s="1112">
        <f t="shared" si="60"/>
        <v>0.9</v>
      </c>
      <c r="H35" s="1112">
        <f t="shared" si="60"/>
        <v>0.9</v>
      </c>
      <c r="I35" s="1112">
        <f t="shared" si="60"/>
        <v>0.9</v>
      </c>
      <c r="J35" s="1112">
        <f t="shared" si="60"/>
        <v>0.9</v>
      </c>
      <c r="K35" s="1112">
        <f t="shared" si="60"/>
        <v>0.9</v>
      </c>
      <c r="L35" s="1112">
        <f t="shared" si="60"/>
        <v>0.9</v>
      </c>
      <c r="M35" s="1112">
        <f t="shared" si="60"/>
        <v>0.9</v>
      </c>
      <c r="N35" s="1112">
        <f t="shared" si="60"/>
        <v>0.9</v>
      </c>
      <c r="O35" s="1112">
        <f t="shared" si="60"/>
        <v>0.9</v>
      </c>
      <c r="P35" s="1112">
        <f t="shared" si="60"/>
        <v>0.9</v>
      </c>
      <c r="Q35" s="1112">
        <f t="shared" si="60"/>
        <v>0.9</v>
      </c>
      <c r="R35" s="1112">
        <f t="shared" si="60"/>
        <v>0.9</v>
      </c>
      <c r="S35" s="1112">
        <f t="shared" si="60"/>
        <v>0.9</v>
      </c>
      <c r="T35" s="1112">
        <f t="shared" si="60"/>
        <v>0.9</v>
      </c>
      <c r="U35" s="1112">
        <f t="shared" si="60"/>
        <v>0.9</v>
      </c>
      <c r="V35" s="1112">
        <f t="shared" si="60"/>
        <v>0.9</v>
      </c>
      <c r="W35" s="1112">
        <f t="shared" si="60"/>
        <v>0.9</v>
      </c>
      <c r="X35" s="1112">
        <f t="shared" si="60"/>
        <v>0.9</v>
      </c>
      <c r="Y35" s="1112">
        <f t="shared" si="60"/>
        <v>0.9</v>
      </c>
      <c r="Z35" s="1112">
        <f t="shared" si="60"/>
        <v>0.9</v>
      </c>
      <c r="AA35" s="1112">
        <f t="shared" si="60"/>
        <v>0.9</v>
      </c>
      <c r="AB35" s="1112">
        <f t="shared" si="60"/>
        <v>0.9</v>
      </c>
      <c r="AC35" s="1112">
        <f t="shared" si="60"/>
        <v>0.9</v>
      </c>
      <c r="AD35" s="1112">
        <f t="shared" si="60"/>
        <v>0.9</v>
      </c>
      <c r="AE35" s="1112">
        <f t="shared" si="60"/>
        <v>0.9</v>
      </c>
      <c r="AF35" s="1112">
        <f t="shared" si="60"/>
        <v>0.9</v>
      </c>
      <c r="AG35" s="1112">
        <f t="shared" si="60"/>
        <v>0.9</v>
      </c>
      <c r="AH35" s="1112">
        <f t="shared" si="60"/>
        <v>0.9</v>
      </c>
      <c r="AI35" s="1112">
        <f t="shared" si="60"/>
        <v>0.9</v>
      </c>
      <c r="AJ35" s="1112">
        <f t="shared" si="60"/>
        <v>0.9</v>
      </c>
      <c r="AK35" s="1112">
        <f t="shared" si="60"/>
        <v>0.9</v>
      </c>
      <c r="AL35" s="1112">
        <f t="shared" si="60"/>
        <v>0.9</v>
      </c>
      <c r="AM35" s="1112">
        <f t="shared" si="60"/>
        <v>0.9</v>
      </c>
      <c r="AN35" s="1112">
        <f t="shared" si="60"/>
        <v>0.9</v>
      </c>
      <c r="AO35" s="1112">
        <f t="shared" si="60"/>
        <v>0.9</v>
      </c>
      <c r="AP35" s="1112">
        <f t="shared" si="60"/>
        <v>0.9</v>
      </c>
      <c r="AQ35" s="1112">
        <f t="shared" si="60"/>
        <v>0.9</v>
      </c>
      <c r="AR35" s="1112">
        <f t="shared" si="60"/>
        <v>0.9</v>
      </c>
      <c r="AS35" s="1112">
        <f t="shared" si="60"/>
        <v>0.9</v>
      </c>
      <c r="AT35" s="1112">
        <f t="shared" si="60"/>
        <v>0.9</v>
      </c>
      <c r="AU35" s="1112">
        <f t="shared" si="60"/>
        <v>0.9</v>
      </c>
      <c r="AV35" s="1112">
        <f t="shared" si="60"/>
        <v>0.9</v>
      </c>
      <c r="AW35" s="1112">
        <f t="shared" si="60"/>
        <v>0.9</v>
      </c>
      <c r="AX35" s="1112">
        <f t="shared" si="60"/>
        <v>0.9</v>
      </c>
      <c r="AY35" s="1112">
        <f t="shared" si="60"/>
        <v>0.9</v>
      </c>
      <c r="AZ35" s="1112">
        <f t="shared" si="60"/>
        <v>0.9</v>
      </c>
      <c r="BA35" s="1112">
        <f t="shared" si="60"/>
        <v>0.9</v>
      </c>
      <c r="BB35" s="1112">
        <f t="shared" si="60"/>
        <v>0.9</v>
      </c>
      <c r="BC35" s="1112">
        <f t="shared" si="60"/>
        <v>0.9</v>
      </c>
      <c r="BD35" s="1112">
        <f t="shared" si="60"/>
        <v>0.9</v>
      </c>
      <c r="BE35" s="1112">
        <f t="shared" si="60"/>
        <v>0.9</v>
      </c>
      <c r="BF35" s="1112">
        <f t="shared" si="60"/>
        <v>0.9</v>
      </c>
      <c r="BG35" s="1112">
        <f t="shared" si="60"/>
        <v>0.9</v>
      </c>
      <c r="BH35" s="1112">
        <f t="shared" si="60"/>
        <v>0.9</v>
      </c>
      <c r="BI35" s="1112">
        <f t="shared" si="60"/>
        <v>0.9</v>
      </c>
      <c r="BJ35" s="1112">
        <f t="shared" si="60"/>
        <v>0.9</v>
      </c>
      <c r="BK35" s="1112">
        <f t="shared" si="60"/>
        <v>0.9</v>
      </c>
      <c r="BL35" s="1112">
        <f t="shared" si="60"/>
        <v>0.9</v>
      </c>
      <c r="BM35" s="1112">
        <f t="shared" si="60"/>
        <v>0.9</v>
      </c>
      <c r="BN35" s="1112">
        <f t="shared" si="60"/>
        <v>0.9</v>
      </c>
      <c r="BO35" s="1112">
        <f t="shared" si="60"/>
        <v>0.9</v>
      </c>
      <c r="BP35" s="1112">
        <f t="shared" si="60"/>
        <v>0.9</v>
      </c>
      <c r="BQ35" s="1112">
        <f t="shared" ref="BQ35:DT35" si="61">BP35</f>
        <v>0.9</v>
      </c>
      <c r="BR35" s="1112">
        <f t="shared" si="61"/>
        <v>0.9</v>
      </c>
      <c r="BS35" s="1112">
        <f t="shared" si="61"/>
        <v>0.9</v>
      </c>
      <c r="BT35" s="1112">
        <f t="shared" si="61"/>
        <v>0.9</v>
      </c>
      <c r="BU35" s="1112">
        <f t="shared" si="61"/>
        <v>0.9</v>
      </c>
      <c r="BV35" s="1112">
        <f t="shared" si="61"/>
        <v>0.9</v>
      </c>
      <c r="BW35" s="1112">
        <f t="shared" si="61"/>
        <v>0.9</v>
      </c>
      <c r="BX35" s="1112">
        <f t="shared" si="61"/>
        <v>0.9</v>
      </c>
      <c r="BY35" s="1112">
        <f t="shared" si="61"/>
        <v>0.9</v>
      </c>
      <c r="BZ35" s="1112">
        <f t="shared" si="61"/>
        <v>0.9</v>
      </c>
      <c r="CA35" s="1112">
        <f t="shared" si="61"/>
        <v>0.9</v>
      </c>
      <c r="CB35" s="1112">
        <f t="shared" si="61"/>
        <v>0.9</v>
      </c>
      <c r="CC35" s="1112">
        <f t="shared" si="61"/>
        <v>0.9</v>
      </c>
      <c r="CD35" s="1112">
        <f t="shared" si="61"/>
        <v>0.9</v>
      </c>
      <c r="CE35" s="1112">
        <f t="shared" si="61"/>
        <v>0.9</v>
      </c>
      <c r="CF35" s="1112">
        <f t="shared" si="61"/>
        <v>0.9</v>
      </c>
      <c r="CG35" s="1112">
        <f t="shared" si="61"/>
        <v>0.9</v>
      </c>
      <c r="CH35" s="1112">
        <f t="shared" si="61"/>
        <v>0.9</v>
      </c>
      <c r="CI35" s="1112">
        <f t="shared" si="61"/>
        <v>0.9</v>
      </c>
      <c r="CJ35" s="1112">
        <f t="shared" si="61"/>
        <v>0.9</v>
      </c>
      <c r="CK35" s="1112">
        <f t="shared" si="61"/>
        <v>0.9</v>
      </c>
      <c r="CL35" s="1112">
        <f t="shared" si="61"/>
        <v>0.9</v>
      </c>
      <c r="CM35" s="1112">
        <f t="shared" si="61"/>
        <v>0.9</v>
      </c>
      <c r="CN35" s="1112">
        <f t="shared" si="61"/>
        <v>0.9</v>
      </c>
      <c r="CO35" s="1112">
        <f t="shared" si="61"/>
        <v>0.9</v>
      </c>
      <c r="CP35" s="1112">
        <f t="shared" si="61"/>
        <v>0.9</v>
      </c>
      <c r="CQ35" s="1112">
        <f t="shared" si="61"/>
        <v>0.9</v>
      </c>
      <c r="CR35" s="1112">
        <f t="shared" si="61"/>
        <v>0.9</v>
      </c>
      <c r="CS35" s="1112">
        <f t="shared" si="61"/>
        <v>0.9</v>
      </c>
      <c r="CT35" s="1112">
        <f t="shared" si="61"/>
        <v>0.9</v>
      </c>
      <c r="CU35" s="1112">
        <f t="shared" si="61"/>
        <v>0.9</v>
      </c>
      <c r="CV35" s="1112">
        <f t="shared" si="61"/>
        <v>0.9</v>
      </c>
      <c r="CW35" s="1112">
        <f t="shared" si="61"/>
        <v>0.9</v>
      </c>
      <c r="CX35" s="1112">
        <f t="shared" si="61"/>
        <v>0.9</v>
      </c>
      <c r="CY35" s="1112">
        <f t="shared" si="61"/>
        <v>0.9</v>
      </c>
      <c r="CZ35" s="1112">
        <f t="shared" si="61"/>
        <v>0.9</v>
      </c>
      <c r="DA35" s="1112">
        <f t="shared" si="61"/>
        <v>0.9</v>
      </c>
      <c r="DB35" s="1112">
        <f t="shared" si="61"/>
        <v>0.9</v>
      </c>
      <c r="DC35" s="1112">
        <f t="shared" si="61"/>
        <v>0.9</v>
      </c>
      <c r="DD35" s="1112">
        <f t="shared" si="61"/>
        <v>0.9</v>
      </c>
      <c r="DE35" s="1112">
        <f t="shared" si="61"/>
        <v>0.9</v>
      </c>
      <c r="DF35" s="1112">
        <f t="shared" si="61"/>
        <v>0.9</v>
      </c>
      <c r="DG35" s="1112">
        <f t="shared" si="61"/>
        <v>0.9</v>
      </c>
      <c r="DH35" s="1112">
        <f t="shared" si="61"/>
        <v>0.9</v>
      </c>
      <c r="DI35" s="1112">
        <f t="shared" si="61"/>
        <v>0.9</v>
      </c>
      <c r="DJ35" s="1112">
        <f t="shared" si="61"/>
        <v>0.9</v>
      </c>
      <c r="DK35" s="1112">
        <f t="shared" si="61"/>
        <v>0.9</v>
      </c>
      <c r="DL35" s="1112">
        <f t="shared" si="61"/>
        <v>0.9</v>
      </c>
      <c r="DM35" s="1112">
        <f t="shared" si="61"/>
        <v>0.9</v>
      </c>
      <c r="DN35" s="1112">
        <f t="shared" si="61"/>
        <v>0.9</v>
      </c>
      <c r="DO35" s="1112">
        <f t="shared" si="61"/>
        <v>0.9</v>
      </c>
      <c r="DP35" s="1112">
        <f t="shared" si="61"/>
        <v>0.9</v>
      </c>
      <c r="DQ35" s="1112">
        <f t="shared" si="61"/>
        <v>0.9</v>
      </c>
      <c r="DR35" s="1112">
        <f t="shared" si="61"/>
        <v>0.9</v>
      </c>
      <c r="DS35" s="1112">
        <f t="shared" si="61"/>
        <v>0.9</v>
      </c>
      <c r="DT35" s="1113">
        <f t="shared" si="61"/>
        <v>0.9</v>
      </c>
    </row>
    <row r="36" spans="2:124" ht="13.5" thickBot="1" x14ac:dyDescent="0.35">
      <c r="DT36" s="642"/>
    </row>
    <row r="37" spans="2:124" ht="13.5" thickBot="1" x14ac:dyDescent="0.35">
      <c r="B37" s="1023">
        <f>B26+1</f>
        <v>4</v>
      </c>
      <c r="C37" s="1088" t="s">
        <v>53</v>
      </c>
      <c r="D37" s="1029"/>
      <c r="E37" s="1029"/>
      <c r="F37" s="1029"/>
      <c r="G37" s="1029"/>
      <c r="H37" s="1029"/>
      <c r="I37" s="1029"/>
      <c r="J37" s="1029"/>
      <c r="K37" s="1029"/>
      <c r="L37" s="1029"/>
      <c r="M37" s="1029"/>
      <c r="N37" s="1029"/>
      <c r="O37" s="1029"/>
      <c r="P37" s="1029"/>
      <c r="Q37" s="1029"/>
      <c r="R37" s="1029"/>
      <c r="S37" s="1029"/>
      <c r="T37" s="1029"/>
      <c r="U37" s="1029"/>
      <c r="V37" s="1029"/>
      <c r="W37" s="1029"/>
      <c r="X37" s="1029"/>
      <c r="Y37" s="1029"/>
      <c r="Z37" s="1029"/>
      <c r="AA37" s="1029"/>
      <c r="AB37" s="1029"/>
      <c r="AC37" s="1029"/>
      <c r="AD37" s="1029"/>
      <c r="AE37" s="1029"/>
      <c r="AF37" s="1029"/>
      <c r="AG37" s="1029"/>
      <c r="AH37" s="1029"/>
      <c r="AI37" s="1029"/>
      <c r="AJ37" s="1029"/>
      <c r="AK37" s="1029"/>
      <c r="AL37" s="1029"/>
      <c r="AM37" s="1029"/>
      <c r="AN37" s="1029"/>
      <c r="AO37" s="1029"/>
      <c r="AP37" s="1029"/>
      <c r="AQ37" s="1029"/>
      <c r="AR37" s="1029"/>
      <c r="AS37" s="1029"/>
      <c r="AT37" s="1029"/>
      <c r="AU37" s="1029"/>
      <c r="AV37" s="1029"/>
      <c r="AW37" s="1029"/>
      <c r="AX37" s="1029"/>
      <c r="AY37" s="1029"/>
      <c r="AZ37" s="1029"/>
      <c r="BA37" s="1029"/>
      <c r="BB37" s="1029"/>
      <c r="BC37" s="1029"/>
      <c r="BD37" s="1029"/>
      <c r="BE37" s="1029"/>
      <c r="BF37" s="1029"/>
      <c r="BG37" s="1029"/>
      <c r="BH37" s="1029"/>
      <c r="BI37" s="1029"/>
      <c r="BJ37" s="1029"/>
      <c r="BK37" s="1029"/>
      <c r="BL37" s="1029"/>
      <c r="BM37" s="1029"/>
      <c r="BN37" s="1029"/>
      <c r="BO37" s="1029"/>
      <c r="BP37" s="1029"/>
      <c r="BQ37" s="1029"/>
      <c r="BR37" s="1029"/>
      <c r="BS37" s="1029"/>
      <c r="BT37" s="1029"/>
      <c r="BU37" s="1029"/>
      <c r="BV37" s="1029"/>
      <c r="BW37" s="1029"/>
      <c r="BX37" s="1029"/>
      <c r="BY37" s="1029"/>
      <c r="BZ37" s="1029"/>
      <c r="CA37" s="1029"/>
      <c r="CB37" s="1029"/>
      <c r="CC37" s="1029"/>
      <c r="CD37" s="1029"/>
      <c r="CE37" s="1029"/>
      <c r="CF37" s="1029"/>
      <c r="CG37" s="1029"/>
      <c r="CH37" s="1029"/>
      <c r="CI37" s="1029"/>
      <c r="CJ37" s="1029"/>
      <c r="CK37" s="1029"/>
      <c r="CL37" s="1029"/>
      <c r="CM37" s="1029"/>
      <c r="CN37" s="1029"/>
      <c r="CO37" s="1029"/>
      <c r="CP37" s="1029"/>
      <c r="CQ37" s="1029"/>
      <c r="CR37" s="1029"/>
      <c r="CS37" s="1029"/>
      <c r="CT37" s="1029"/>
      <c r="CU37" s="1029"/>
      <c r="CV37" s="1029"/>
      <c r="CW37" s="1029"/>
      <c r="CX37" s="1029"/>
      <c r="CY37" s="1029"/>
      <c r="CZ37" s="1029"/>
      <c r="DA37" s="1029"/>
      <c r="DB37" s="1029"/>
      <c r="DC37" s="1029"/>
      <c r="DD37" s="1029"/>
      <c r="DE37" s="1029"/>
      <c r="DF37" s="1029"/>
      <c r="DG37" s="1029"/>
      <c r="DH37" s="1029"/>
      <c r="DI37" s="1029"/>
      <c r="DJ37" s="1029"/>
      <c r="DK37" s="1029"/>
      <c r="DL37" s="1029"/>
      <c r="DM37" s="1029"/>
      <c r="DN37" s="1029"/>
      <c r="DO37" s="1029"/>
      <c r="DP37" s="1029"/>
      <c r="DQ37" s="1029"/>
      <c r="DR37" s="1029"/>
      <c r="DS37" s="1029"/>
      <c r="DT37" s="1030"/>
    </row>
    <row r="38" spans="2:124" x14ac:dyDescent="0.3">
      <c r="B38" s="1055" t="str">
        <f>C38&amp;$C$2&amp;$D$2</f>
        <v>USBackofficeL1</v>
      </c>
      <c r="C38" s="1108" t="str">
        <f>C27</f>
        <v>US</v>
      </c>
      <c r="D38" s="1470">
        <v>0.1</v>
      </c>
      <c r="E38" s="1106">
        <f>D38</f>
        <v>0.1</v>
      </c>
      <c r="F38" s="1106">
        <f t="shared" ref="F38:I38" si="62">E38</f>
        <v>0.1</v>
      </c>
      <c r="G38" s="1106">
        <f t="shared" si="62"/>
        <v>0.1</v>
      </c>
      <c r="H38" s="1106">
        <f t="shared" si="62"/>
        <v>0.1</v>
      </c>
      <c r="I38" s="1106">
        <f t="shared" si="62"/>
        <v>0.1</v>
      </c>
      <c r="J38" s="1470">
        <v>7.0000000000000007E-2</v>
      </c>
      <c r="K38" s="1106">
        <f>J38</f>
        <v>7.0000000000000007E-2</v>
      </c>
      <c r="L38" s="1106">
        <f t="shared" ref="L38:O38" si="63">K38</f>
        <v>7.0000000000000007E-2</v>
      </c>
      <c r="M38" s="1106">
        <f t="shared" si="63"/>
        <v>7.0000000000000007E-2</v>
      </c>
      <c r="N38" s="1106">
        <f t="shared" si="63"/>
        <v>7.0000000000000007E-2</v>
      </c>
      <c r="O38" s="1106">
        <f t="shared" si="63"/>
        <v>7.0000000000000007E-2</v>
      </c>
      <c r="P38" s="1470">
        <v>0.05</v>
      </c>
      <c r="Q38" s="1106">
        <f>P38</f>
        <v>0.05</v>
      </c>
      <c r="R38" s="1106">
        <f t="shared" ref="R38:CC39" si="64">Q38</f>
        <v>0.05</v>
      </c>
      <c r="S38" s="1106">
        <f t="shared" si="64"/>
        <v>0.05</v>
      </c>
      <c r="T38" s="1106">
        <f t="shared" si="64"/>
        <v>0.05</v>
      </c>
      <c r="U38" s="1106">
        <f t="shared" si="64"/>
        <v>0.05</v>
      </c>
      <c r="V38" s="1106">
        <f t="shared" si="64"/>
        <v>0.05</v>
      </c>
      <c r="W38" s="1106">
        <f t="shared" si="64"/>
        <v>0.05</v>
      </c>
      <c r="X38" s="1106">
        <f t="shared" si="64"/>
        <v>0.05</v>
      </c>
      <c r="Y38" s="1106">
        <f t="shared" si="64"/>
        <v>0.05</v>
      </c>
      <c r="Z38" s="1106">
        <f t="shared" si="64"/>
        <v>0.05</v>
      </c>
      <c r="AA38" s="1106">
        <f t="shared" si="64"/>
        <v>0.05</v>
      </c>
      <c r="AB38" s="1106">
        <f t="shared" si="64"/>
        <v>0.05</v>
      </c>
      <c r="AC38" s="1106">
        <f t="shared" si="64"/>
        <v>0.05</v>
      </c>
      <c r="AD38" s="1106">
        <f t="shared" si="64"/>
        <v>0.05</v>
      </c>
      <c r="AE38" s="1106">
        <f t="shared" si="64"/>
        <v>0.05</v>
      </c>
      <c r="AF38" s="1106">
        <f t="shared" si="64"/>
        <v>0.05</v>
      </c>
      <c r="AG38" s="1106">
        <f t="shared" si="64"/>
        <v>0.05</v>
      </c>
      <c r="AH38" s="1106">
        <f t="shared" si="64"/>
        <v>0.05</v>
      </c>
      <c r="AI38" s="1106">
        <f t="shared" si="64"/>
        <v>0.05</v>
      </c>
      <c r="AJ38" s="1106">
        <f t="shared" si="64"/>
        <v>0.05</v>
      </c>
      <c r="AK38" s="1106">
        <f t="shared" si="64"/>
        <v>0.05</v>
      </c>
      <c r="AL38" s="1106">
        <f t="shared" si="64"/>
        <v>0.05</v>
      </c>
      <c r="AM38" s="1106">
        <f t="shared" si="64"/>
        <v>0.05</v>
      </c>
      <c r="AN38" s="1106">
        <f t="shared" si="64"/>
        <v>0.05</v>
      </c>
      <c r="AO38" s="1106">
        <f t="shared" si="64"/>
        <v>0.05</v>
      </c>
      <c r="AP38" s="1106">
        <f t="shared" si="64"/>
        <v>0.05</v>
      </c>
      <c r="AQ38" s="1106">
        <f t="shared" si="64"/>
        <v>0.05</v>
      </c>
      <c r="AR38" s="1106">
        <f t="shared" si="64"/>
        <v>0.05</v>
      </c>
      <c r="AS38" s="1106">
        <f t="shared" si="64"/>
        <v>0.05</v>
      </c>
      <c r="AT38" s="1106">
        <f t="shared" si="64"/>
        <v>0.05</v>
      </c>
      <c r="AU38" s="1106">
        <f t="shared" si="64"/>
        <v>0.05</v>
      </c>
      <c r="AV38" s="1106">
        <f t="shared" si="64"/>
        <v>0.05</v>
      </c>
      <c r="AW38" s="1106">
        <f t="shared" si="64"/>
        <v>0.05</v>
      </c>
      <c r="AX38" s="1106">
        <f t="shared" si="64"/>
        <v>0.05</v>
      </c>
      <c r="AY38" s="1106">
        <f t="shared" si="64"/>
        <v>0.05</v>
      </c>
      <c r="AZ38" s="1106">
        <f t="shared" si="64"/>
        <v>0.05</v>
      </c>
      <c r="BA38" s="1106">
        <f t="shared" si="64"/>
        <v>0.05</v>
      </c>
      <c r="BB38" s="1106">
        <f t="shared" si="64"/>
        <v>0.05</v>
      </c>
      <c r="BC38" s="1106">
        <f t="shared" si="64"/>
        <v>0.05</v>
      </c>
      <c r="BD38" s="1106">
        <f t="shared" si="64"/>
        <v>0.05</v>
      </c>
      <c r="BE38" s="1106">
        <f t="shared" si="64"/>
        <v>0.05</v>
      </c>
      <c r="BF38" s="1106">
        <f t="shared" si="64"/>
        <v>0.05</v>
      </c>
      <c r="BG38" s="1106">
        <f t="shared" si="64"/>
        <v>0.05</v>
      </c>
      <c r="BH38" s="1106">
        <f t="shared" si="64"/>
        <v>0.05</v>
      </c>
      <c r="BI38" s="1106">
        <f t="shared" si="64"/>
        <v>0.05</v>
      </c>
      <c r="BJ38" s="1106">
        <f t="shared" si="64"/>
        <v>0.05</v>
      </c>
      <c r="BK38" s="1106">
        <f t="shared" si="64"/>
        <v>0.05</v>
      </c>
      <c r="BL38" s="1106">
        <f t="shared" si="64"/>
        <v>0.05</v>
      </c>
      <c r="BM38" s="1106">
        <f t="shared" si="64"/>
        <v>0.05</v>
      </c>
      <c r="BN38" s="1106">
        <f t="shared" si="64"/>
        <v>0.05</v>
      </c>
      <c r="BO38" s="1106">
        <f t="shared" si="64"/>
        <v>0.05</v>
      </c>
      <c r="BP38" s="1106">
        <f t="shared" si="64"/>
        <v>0.05</v>
      </c>
      <c r="BQ38" s="1106">
        <f t="shared" si="64"/>
        <v>0.05</v>
      </c>
      <c r="BR38" s="1106">
        <f t="shared" si="64"/>
        <v>0.05</v>
      </c>
      <c r="BS38" s="1106">
        <f t="shared" si="64"/>
        <v>0.05</v>
      </c>
      <c r="BT38" s="1106">
        <f t="shared" si="64"/>
        <v>0.05</v>
      </c>
      <c r="BU38" s="1106">
        <f t="shared" si="64"/>
        <v>0.05</v>
      </c>
      <c r="BV38" s="1106">
        <f t="shared" si="64"/>
        <v>0.05</v>
      </c>
      <c r="BW38" s="1106">
        <f t="shared" si="64"/>
        <v>0.05</v>
      </c>
      <c r="BX38" s="1106">
        <f t="shared" si="64"/>
        <v>0.05</v>
      </c>
      <c r="BY38" s="1106">
        <f t="shared" si="64"/>
        <v>0.05</v>
      </c>
      <c r="BZ38" s="1106">
        <f t="shared" si="64"/>
        <v>0.05</v>
      </c>
      <c r="CA38" s="1106">
        <f t="shared" si="64"/>
        <v>0.05</v>
      </c>
      <c r="CB38" s="1106">
        <f t="shared" si="64"/>
        <v>0.05</v>
      </c>
      <c r="CC38" s="1106">
        <f t="shared" si="64"/>
        <v>0.05</v>
      </c>
      <c r="CD38" s="1106">
        <f t="shared" ref="CD38:DT42" si="65">CC38</f>
        <v>0.05</v>
      </c>
      <c r="CE38" s="1106">
        <f t="shared" si="65"/>
        <v>0.05</v>
      </c>
      <c r="CF38" s="1106">
        <f t="shared" si="65"/>
        <v>0.05</v>
      </c>
      <c r="CG38" s="1106">
        <f t="shared" si="65"/>
        <v>0.05</v>
      </c>
      <c r="CH38" s="1106">
        <f t="shared" si="65"/>
        <v>0.05</v>
      </c>
      <c r="CI38" s="1106">
        <f t="shared" si="65"/>
        <v>0.05</v>
      </c>
      <c r="CJ38" s="1106">
        <f t="shared" si="65"/>
        <v>0.05</v>
      </c>
      <c r="CK38" s="1106">
        <f t="shared" si="65"/>
        <v>0.05</v>
      </c>
      <c r="CL38" s="1106">
        <f t="shared" si="65"/>
        <v>0.05</v>
      </c>
      <c r="CM38" s="1106">
        <f t="shared" si="65"/>
        <v>0.05</v>
      </c>
      <c r="CN38" s="1106">
        <f t="shared" si="65"/>
        <v>0.05</v>
      </c>
      <c r="CO38" s="1106">
        <f t="shared" si="65"/>
        <v>0.05</v>
      </c>
      <c r="CP38" s="1106">
        <f t="shared" si="65"/>
        <v>0.05</v>
      </c>
      <c r="CQ38" s="1106">
        <f t="shared" si="65"/>
        <v>0.05</v>
      </c>
      <c r="CR38" s="1106">
        <f t="shared" si="65"/>
        <v>0.05</v>
      </c>
      <c r="CS38" s="1106">
        <f t="shared" si="65"/>
        <v>0.05</v>
      </c>
      <c r="CT38" s="1106">
        <f t="shared" si="65"/>
        <v>0.05</v>
      </c>
      <c r="CU38" s="1106">
        <f t="shared" si="65"/>
        <v>0.05</v>
      </c>
      <c r="CV38" s="1106">
        <f t="shared" si="65"/>
        <v>0.05</v>
      </c>
      <c r="CW38" s="1106">
        <f t="shared" si="65"/>
        <v>0.05</v>
      </c>
      <c r="CX38" s="1106">
        <f t="shared" si="65"/>
        <v>0.05</v>
      </c>
      <c r="CY38" s="1106">
        <f t="shared" si="65"/>
        <v>0.05</v>
      </c>
      <c r="CZ38" s="1106">
        <f t="shared" si="65"/>
        <v>0.05</v>
      </c>
      <c r="DA38" s="1106">
        <f t="shared" si="65"/>
        <v>0.05</v>
      </c>
      <c r="DB38" s="1106">
        <f t="shared" si="65"/>
        <v>0.05</v>
      </c>
      <c r="DC38" s="1106">
        <f t="shared" si="65"/>
        <v>0.05</v>
      </c>
      <c r="DD38" s="1106">
        <f t="shared" si="65"/>
        <v>0.05</v>
      </c>
      <c r="DE38" s="1106">
        <f t="shared" si="65"/>
        <v>0.05</v>
      </c>
      <c r="DF38" s="1106">
        <f t="shared" si="65"/>
        <v>0.05</v>
      </c>
      <c r="DG38" s="1106">
        <f t="shared" si="65"/>
        <v>0.05</v>
      </c>
      <c r="DH38" s="1106">
        <f t="shared" si="65"/>
        <v>0.05</v>
      </c>
      <c r="DI38" s="1106">
        <f t="shared" si="65"/>
        <v>0.05</v>
      </c>
      <c r="DJ38" s="1106">
        <f t="shared" si="65"/>
        <v>0.05</v>
      </c>
      <c r="DK38" s="1106">
        <f t="shared" si="65"/>
        <v>0.05</v>
      </c>
      <c r="DL38" s="1106">
        <f t="shared" si="65"/>
        <v>0.05</v>
      </c>
      <c r="DM38" s="1106">
        <f t="shared" si="65"/>
        <v>0.05</v>
      </c>
      <c r="DN38" s="1106">
        <f t="shared" si="65"/>
        <v>0.05</v>
      </c>
      <c r="DO38" s="1106">
        <f t="shared" si="65"/>
        <v>0.05</v>
      </c>
      <c r="DP38" s="1106">
        <f t="shared" si="65"/>
        <v>0.05</v>
      </c>
      <c r="DQ38" s="1106">
        <f t="shared" si="65"/>
        <v>0.05</v>
      </c>
      <c r="DR38" s="1106">
        <f t="shared" si="65"/>
        <v>0.05</v>
      </c>
      <c r="DS38" s="1106">
        <f t="shared" si="65"/>
        <v>0.05</v>
      </c>
      <c r="DT38" s="1107">
        <f t="shared" si="65"/>
        <v>0.05</v>
      </c>
    </row>
    <row r="39" spans="2:124" x14ac:dyDescent="0.3">
      <c r="B39" s="1055" t="str">
        <f t="shared" ref="B39:B46" si="66">C39&amp;$C$2&amp;$D$2</f>
        <v>UKBackofficeL1</v>
      </c>
      <c r="C39" s="1101" t="str">
        <f t="shared" ref="C39:C46" si="67">C28</f>
        <v>UK</v>
      </c>
      <c r="D39" s="1468">
        <v>0.05</v>
      </c>
      <c r="E39" s="353">
        <f t="shared" ref="E39:I46" si="68">D39</f>
        <v>0.05</v>
      </c>
      <c r="F39" s="353">
        <f t="shared" si="68"/>
        <v>0.05</v>
      </c>
      <c r="G39" s="353">
        <f t="shared" si="68"/>
        <v>0.05</v>
      </c>
      <c r="H39" s="353">
        <f t="shared" si="68"/>
        <v>0.05</v>
      </c>
      <c r="I39" s="353">
        <f t="shared" si="68"/>
        <v>0.05</v>
      </c>
      <c r="J39" s="1468">
        <v>0.04</v>
      </c>
      <c r="K39" s="353">
        <f t="shared" ref="K39:O46" si="69">J39</f>
        <v>0.04</v>
      </c>
      <c r="L39" s="353">
        <f t="shared" si="69"/>
        <v>0.04</v>
      </c>
      <c r="M39" s="353">
        <f t="shared" si="69"/>
        <v>0.04</v>
      </c>
      <c r="N39" s="353">
        <f t="shared" si="69"/>
        <v>0.04</v>
      </c>
      <c r="O39" s="353">
        <f t="shared" si="69"/>
        <v>0.04</v>
      </c>
      <c r="P39" s="1468">
        <v>0.04</v>
      </c>
      <c r="Q39" s="353">
        <f t="shared" ref="Q39:AF46" si="70">P39</f>
        <v>0.04</v>
      </c>
      <c r="R39" s="353">
        <f t="shared" si="70"/>
        <v>0.04</v>
      </c>
      <c r="S39" s="353">
        <f t="shared" si="70"/>
        <v>0.04</v>
      </c>
      <c r="T39" s="353">
        <f t="shared" si="70"/>
        <v>0.04</v>
      </c>
      <c r="U39" s="353">
        <f t="shared" si="70"/>
        <v>0.04</v>
      </c>
      <c r="V39" s="353">
        <f t="shared" si="70"/>
        <v>0.04</v>
      </c>
      <c r="W39" s="353">
        <f t="shared" si="70"/>
        <v>0.04</v>
      </c>
      <c r="X39" s="353">
        <f t="shared" si="70"/>
        <v>0.04</v>
      </c>
      <c r="Y39" s="353">
        <f t="shared" si="70"/>
        <v>0.04</v>
      </c>
      <c r="Z39" s="353">
        <f t="shared" si="70"/>
        <v>0.04</v>
      </c>
      <c r="AA39" s="353">
        <f t="shared" si="70"/>
        <v>0.04</v>
      </c>
      <c r="AB39" s="353">
        <f t="shared" si="70"/>
        <v>0.04</v>
      </c>
      <c r="AC39" s="353">
        <f t="shared" si="70"/>
        <v>0.04</v>
      </c>
      <c r="AD39" s="353">
        <f t="shared" si="70"/>
        <v>0.04</v>
      </c>
      <c r="AE39" s="353">
        <f t="shared" si="70"/>
        <v>0.04</v>
      </c>
      <c r="AF39" s="353">
        <f t="shared" si="70"/>
        <v>0.04</v>
      </c>
      <c r="AG39" s="353">
        <f t="shared" si="64"/>
        <v>0.04</v>
      </c>
      <c r="AH39" s="353">
        <f t="shared" si="64"/>
        <v>0.04</v>
      </c>
      <c r="AI39" s="353">
        <f t="shared" si="64"/>
        <v>0.04</v>
      </c>
      <c r="AJ39" s="353">
        <f t="shared" si="64"/>
        <v>0.04</v>
      </c>
      <c r="AK39" s="353">
        <f t="shared" si="64"/>
        <v>0.04</v>
      </c>
      <c r="AL39" s="353">
        <f t="shared" si="64"/>
        <v>0.04</v>
      </c>
      <c r="AM39" s="353">
        <f t="shared" si="64"/>
        <v>0.04</v>
      </c>
      <c r="AN39" s="353">
        <f t="shared" si="64"/>
        <v>0.04</v>
      </c>
      <c r="AO39" s="353">
        <f t="shared" si="64"/>
        <v>0.04</v>
      </c>
      <c r="AP39" s="353">
        <f t="shared" si="64"/>
        <v>0.04</v>
      </c>
      <c r="AQ39" s="353">
        <f t="shared" si="64"/>
        <v>0.04</v>
      </c>
      <c r="AR39" s="353">
        <f t="shared" si="64"/>
        <v>0.04</v>
      </c>
      <c r="AS39" s="353">
        <f t="shared" si="64"/>
        <v>0.04</v>
      </c>
      <c r="AT39" s="353">
        <f t="shared" si="64"/>
        <v>0.04</v>
      </c>
      <c r="AU39" s="353">
        <f t="shared" si="64"/>
        <v>0.04</v>
      </c>
      <c r="AV39" s="353">
        <f t="shared" si="64"/>
        <v>0.04</v>
      </c>
      <c r="AW39" s="353">
        <f t="shared" si="64"/>
        <v>0.04</v>
      </c>
      <c r="AX39" s="353">
        <f t="shared" si="64"/>
        <v>0.04</v>
      </c>
      <c r="AY39" s="353">
        <f t="shared" si="64"/>
        <v>0.04</v>
      </c>
      <c r="AZ39" s="353">
        <f t="shared" si="64"/>
        <v>0.04</v>
      </c>
      <c r="BA39" s="353">
        <f t="shared" si="64"/>
        <v>0.04</v>
      </c>
      <c r="BB39" s="353">
        <f t="shared" si="64"/>
        <v>0.04</v>
      </c>
      <c r="BC39" s="353">
        <f t="shared" si="64"/>
        <v>0.04</v>
      </c>
      <c r="BD39" s="353">
        <f t="shared" si="64"/>
        <v>0.04</v>
      </c>
      <c r="BE39" s="353">
        <f t="shared" si="64"/>
        <v>0.04</v>
      </c>
      <c r="BF39" s="353">
        <f t="shared" si="64"/>
        <v>0.04</v>
      </c>
      <c r="BG39" s="353">
        <f t="shared" si="64"/>
        <v>0.04</v>
      </c>
      <c r="BH39" s="353">
        <f t="shared" si="64"/>
        <v>0.04</v>
      </c>
      <c r="BI39" s="353">
        <f t="shared" si="64"/>
        <v>0.04</v>
      </c>
      <c r="BJ39" s="353">
        <f t="shared" si="64"/>
        <v>0.04</v>
      </c>
      <c r="BK39" s="353">
        <f t="shared" si="64"/>
        <v>0.04</v>
      </c>
      <c r="BL39" s="353">
        <f t="shared" si="64"/>
        <v>0.04</v>
      </c>
      <c r="BM39" s="353">
        <f t="shared" si="64"/>
        <v>0.04</v>
      </c>
      <c r="BN39" s="353">
        <f t="shared" si="64"/>
        <v>0.04</v>
      </c>
      <c r="BO39" s="353">
        <f t="shared" si="64"/>
        <v>0.04</v>
      </c>
      <c r="BP39" s="353">
        <f t="shared" si="64"/>
        <v>0.04</v>
      </c>
      <c r="BQ39" s="353">
        <f t="shared" si="64"/>
        <v>0.04</v>
      </c>
      <c r="BR39" s="353">
        <f t="shared" si="64"/>
        <v>0.04</v>
      </c>
      <c r="BS39" s="353">
        <f t="shared" si="64"/>
        <v>0.04</v>
      </c>
      <c r="BT39" s="353">
        <f t="shared" si="64"/>
        <v>0.04</v>
      </c>
      <c r="BU39" s="353">
        <f t="shared" si="64"/>
        <v>0.04</v>
      </c>
      <c r="BV39" s="353">
        <f t="shared" si="64"/>
        <v>0.04</v>
      </c>
      <c r="BW39" s="353">
        <f t="shared" si="64"/>
        <v>0.04</v>
      </c>
      <c r="BX39" s="353">
        <f t="shared" si="64"/>
        <v>0.04</v>
      </c>
      <c r="BY39" s="353">
        <f t="shared" si="64"/>
        <v>0.04</v>
      </c>
      <c r="BZ39" s="353">
        <f t="shared" si="64"/>
        <v>0.04</v>
      </c>
      <c r="CA39" s="353">
        <f t="shared" si="64"/>
        <v>0.04</v>
      </c>
      <c r="CB39" s="353">
        <f t="shared" si="64"/>
        <v>0.04</v>
      </c>
      <c r="CC39" s="353">
        <f t="shared" si="64"/>
        <v>0.04</v>
      </c>
      <c r="CD39" s="353">
        <f t="shared" si="65"/>
        <v>0.04</v>
      </c>
      <c r="CE39" s="353">
        <f t="shared" si="65"/>
        <v>0.04</v>
      </c>
      <c r="CF39" s="353">
        <f t="shared" si="65"/>
        <v>0.04</v>
      </c>
      <c r="CG39" s="353">
        <f t="shared" si="65"/>
        <v>0.04</v>
      </c>
      <c r="CH39" s="353">
        <f t="shared" si="65"/>
        <v>0.04</v>
      </c>
      <c r="CI39" s="353">
        <f t="shared" si="65"/>
        <v>0.04</v>
      </c>
      <c r="CJ39" s="353">
        <f t="shared" si="65"/>
        <v>0.04</v>
      </c>
      <c r="CK39" s="353">
        <f t="shared" si="65"/>
        <v>0.04</v>
      </c>
      <c r="CL39" s="353">
        <f t="shared" si="65"/>
        <v>0.04</v>
      </c>
      <c r="CM39" s="353">
        <f t="shared" si="65"/>
        <v>0.04</v>
      </c>
      <c r="CN39" s="353">
        <f t="shared" si="65"/>
        <v>0.04</v>
      </c>
      <c r="CO39" s="353">
        <f t="shared" si="65"/>
        <v>0.04</v>
      </c>
      <c r="CP39" s="353">
        <f t="shared" si="65"/>
        <v>0.04</v>
      </c>
      <c r="CQ39" s="353">
        <f t="shared" si="65"/>
        <v>0.04</v>
      </c>
      <c r="CR39" s="353">
        <f t="shared" si="65"/>
        <v>0.04</v>
      </c>
      <c r="CS39" s="353">
        <f t="shared" si="65"/>
        <v>0.04</v>
      </c>
      <c r="CT39" s="353">
        <f t="shared" si="65"/>
        <v>0.04</v>
      </c>
      <c r="CU39" s="353">
        <f t="shared" si="65"/>
        <v>0.04</v>
      </c>
      <c r="CV39" s="353">
        <f t="shared" si="65"/>
        <v>0.04</v>
      </c>
      <c r="CW39" s="353">
        <f t="shared" si="65"/>
        <v>0.04</v>
      </c>
      <c r="CX39" s="353">
        <f t="shared" si="65"/>
        <v>0.04</v>
      </c>
      <c r="CY39" s="353">
        <f t="shared" si="65"/>
        <v>0.04</v>
      </c>
      <c r="CZ39" s="353">
        <f t="shared" si="65"/>
        <v>0.04</v>
      </c>
      <c r="DA39" s="353">
        <f t="shared" si="65"/>
        <v>0.04</v>
      </c>
      <c r="DB39" s="353">
        <f t="shared" si="65"/>
        <v>0.04</v>
      </c>
      <c r="DC39" s="353">
        <f t="shared" si="65"/>
        <v>0.04</v>
      </c>
      <c r="DD39" s="353">
        <f t="shared" si="65"/>
        <v>0.04</v>
      </c>
      <c r="DE39" s="353">
        <f t="shared" si="65"/>
        <v>0.04</v>
      </c>
      <c r="DF39" s="353">
        <f t="shared" si="65"/>
        <v>0.04</v>
      </c>
      <c r="DG39" s="353">
        <f t="shared" si="65"/>
        <v>0.04</v>
      </c>
      <c r="DH39" s="353">
        <f t="shared" si="65"/>
        <v>0.04</v>
      </c>
      <c r="DI39" s="353">
        <f t="shared" si="65"/>
        <v>0.04</v>
      </c>
      <c r="DJ39" s="353">
        <f t="shared" si="65"/>
        <v>0.04</v>
      </c>
      <c r="DK39" s="353">
        <f t="shared" si="65"/>
        <v>0.04</v>
      </c>
      <c r="DL39" s="353">
        <f t="shared" si="65"/>
        <v>0.04</v>
      </c>
      <c r="DM39" s="353">
        <f t="shared" si="65"/>
        <v>0.04</v>
      </c>
      <c r="DN39" s="353">
        <f t="shared" si="65"/>
        <v>0.04</v>
      </c>
      <c r="DO39" s="353">
        <f t="shared" si="65"/>
        <v>0.04</v>
      </c>
      <c r="DP39" s="353">
        <f t="shared" si="65"/>
        <v>0.04</v>
      </c>
      <c r="DQ39" s="353">
        <f t="shared" si="65"/>
        <v>0.04</v>
      </c>
      <c r="DR39" s="353">
        <f t="shared" si="65"/>
        <v>0.04</v>
      </c>
      <c r="DS39" s="353">
        <f t="shared" si="65"/>
        <v>0.04</v>
      </c>
      <c r="DT39" s="1102">
        <f t="shared" si="65"/>
        <v>0.04</v>
      </c>
    </row>
    <row r="40" spans="2:124" x14ac:dyDescent="0.3">
      <c r="B40" s="1055" t="str">
        <f t="shared" si="66"/>
        <v>MexicoBackofficeL1</v>
      </c>
      <c r="C40" s="1101" t="str">
        <f t="shared" si="67"/>
        <v>Mexico</v>
      </c>
      <c r="D40" s="1468">
        <v>0.1</v>
      </c>
      <c r="E40" s="353">
        <f t="shared" si="68"/>
        <v>0.1</v>
      </c>
      <c r="F40" s="353">
        <f t="shared" si="68"/>
        <v>0.1</v>
      </c>
      <c r="G40" s="353">
        <f t="shared" si="68"/>
        <v>0.1</v>
      </c>
      <c r="H40" s="353">
        <f t="shared" si="68"/>
        <v>0.1</v>
      </c>
      <c r="I40" s="353">
        <f t="shared" si="68"/>
        <v>0.1</v>
      </c>
      <c r="J40" s="1468">
        <v>0.1</v>
      </c>
      <c r="K40" s="353">
        <f t="shared" si="69"/>
        <v>0.1</v>
      </c>
      <c r="L40" s="353">
        <f t="shared" si="69"/>
        <v>0.1</v>
      </c>
      <c r="M40" s="353">
        <f t="shared" si="69"/>
        <v>0.1</v>
      </c>
      <c r="N40" s="353">
        <f t="shared" si="69"/>
        <v>0.1</v>
      </c>
      <c r="O40" s="353">
        <f t="shared" si="69"/>
        <v>0.1</v>
      </c>
      <c r="P40" s="1468">
        <v>0.08</v>
      </c>
      <c r="Q40" s="353">
        <f t="shared" si="70"/>
        <v>0.08</v>
      </c>
      <c r="R40" s="353">
        <f t="shared" ref="R40:CC43" si="71">Q40</f>
        <v>0.08</v>
      </c>
      <c r="S40" s="353">
        <f t="shared" si="71"/>
        <v>0.08</v>
      </c>
      <c r="T40" s="353">
        <f t="shared" si="71"/>
        <v>0.08</v>
      </c>
      <c r="U40" s="353">
        <f t="shared" si="71"/>
        <v>0.08</v>
      </c>
      <c r="V40" s="353">
        <f t="shared" si="71"/>
        <v>0.08</v>
      </c>
      <c r="W40" s="353">
        <f t="shared" si="71"/>
        <v>0.08</v>
      </c>
      <c r="X40" s="353">
        <f t="shared" si="71"/>
        <v>0.08</v>
      </c>
      <c r="Y40" s="353">
        <f t="shared" si="71"/>
        <v>0.08</v>
      </c>
      <c r="Z40" s="353">
        <f t="shared" si="71"/>
        <v>0.08</v>
      </c>
      <c r="AA40" s="353">
        <f t="shared" si="71"/>
        <v>0.08</v>
      </c>
      <c r="AB40" s="353">
        <f t="shared" si="71"/>
        <v>0.08</v>
      </c>
      <c r="AC40" s="353">
        <f t="shared" si="71"/>
        <v>0.08</v>
      </c>
      <c r="AD40" s="353">
        <f t="shared" si="71"/>
        <v>0.08</v>
      </c>
      <c r="AE40" s="353">
        <f t="shared" si="71"/>
        <v>0.08</v>
      </c>
      <c r="AF40" s="353">
        <f t="shared" si="71"/>
        <v>0.08</v>
      </c>
      <c r="AG40" s="353">
        <f t="shared" si="71"/>
        <v>0.08</v>
      </c>
      <c r="AH40" s="353">
        <f t="shared" si="71"/>
        <v>0.08</v>
      </c>
      <c r="AI40" s="353">
        <f t="shared" si="71"/>
        <v>0.08</v>
      </c>
      <c r="AJ40" s="353">
        <f t="shared" si="71"/>
        <v>0.08</v>
      </c>
      <c r="AK40" s="353">
        <f t="shared" si="71"/>
        <v>0.08</v>
      </c>
      <c r="AL40" s="353">
        <f t="shared" si="71"/>
        <v>0.08</v>
      </c>
      <c r="AM40" s="353">
        <f t="shared" si="71"/>
        <v>0.08</v>
      </c>
      <c r="AN40" s="353">
        <f t="shared" si="71"/>
        <v>0.08</v>
      </c>
      <c r="AO40" s="353">
        <f t="shared" si="71"/>
        <v>0.08</v>
      </c>
      <c r="AP40" s="353">
        <f t="shared" si="71"/>
        <v>0.08</v>
      </c>
      <c r="AQ40" s="353">
        <f t="shared" si="71"/>
        <v>0.08</v>
      </c>
      <c r="AR40" s="353">
        <f t="shared" si="71"/>
        <v>0.08</v>
      </c>
      <c r="AS40" s="353">
        <f t="shared" si="71"/>
        <v>0.08</v>
      </c>
      <c r="AT40" s="353">
        <f t="shared" si="71"/>
        <v>0.08</v>
      </c>
      <c r="AU40" s="353">
        <f t="shared" si="71"/>
        <v>0.08</v>
      </c>
      <c r="AV40" s="353">
        <f t="shared" si="71"/>
        <v>0.08</v>
      </c>
      <c r="AW40" s="353">
        <f t="shared" si="71"/>
        <v>0.08</v>
      </c>
      <c r="AX40" s="353">
        <f t="shared" si="71"/>
        <v>0.08</v>
      </c>
      <c r="AY40" s="353">
        <f t="shared" si="71"/>
        <v>0.08</v>
      </c>
      <c r="AZ40" s="353">
        <f t="shared" si="71"/>
        <v>0.08</v>
      </c>
      <c r="BA40" s="353">
        <f t="shared" si="71"/>
        <v>0.08</v>
      </c>
      <c r="BB40" s="353">
        <f t="shared" si="71"/>
        <v>0.08</v>
      </c>
      <c r="BC40" s="353">
        <f t="shared" si="71"/>
        <v>0.08</v>
      </c>
      <c r="BD40" s="353">
        <f t="shared" si="71"/>
        <v>0.08</v>
      </c>
      <c r="BE40" s="353">
        <f t="shared" si="71"/>
        <v>0.08</v>
      </c>
      <c r="BF40" s="353">
        <f t="shared" si="71"/>
        <v>0.08</v>
      </c>
      <c r="BG40" s="353">
        <f t="shared" si="71"/>
        <v>0.08</v>
      </c>
      <c r="BH40" s="353">
        <f t="shared" si="71"/>
        <v>0.08</v>
      </c>
      <c r="BI40" s="353">
        <f t="shared" si="71"/>
        <v>0.08</v>
      </c>
      <c r="BJ40" s="353">
        <f t="shared" si="71"/>
        <v>0.08</v>
      </c>
      <c r="BK40" s="353">
        <f t="shared" si="71"/>
        <v>0.08</v>
      </c>
      <c r="BL40" s="353">
        <f t="shared" si="71"/>
        <v>0.08</v>
      </c>
      <c r="BM40" s="353">
        <f t="shared" si="71"/>
        <v>0.08</v>
      </c>
      <c r="BN40" s="353">
        <f t="shared" si="71"/>
        <v>0.08</v>
      </c>
      <c r="BO40" s="353">
        <f t="shared" si="71"/>
        <v>0.08</v>
      </c>
      <c r="BP40" s="353">
        <f t="shared" si="71"/>
        <v>0.08</v>
      </c>
      <c r="BQ40" s="353">
        <f t="shared" si="71"/>
        <v>0.08</v>
      </c>
      <c r="BR40" s="353">
        <f t="shared" si="71"/>
        <v>0.08</v>
      </c>
      <c r="BS40" s="353">
        <f t="shared" si="71"/>
        <v>0.08</v>
      </c>
      <c r="BT40" s="353">
        <f t="shared" si="71"/>
        <v>0.08</v>
      </c>
      <c r="BU40" s="353">
        <f t="shared" si="71"/>
        <v>0.08</v>
      </c>
      <c r="BV40" s="353">
        <f t="shared" si="71"/>
        <v>0.08</v>
      </c>
      <c r="BW40" s="353">
        <f t="shared" si="71"/>
        <v>0.08</v>
      </c>
      <c r="BX40" s="353">
        <f t="shared" si="71"/>
        <v>0.08</v>
      </c>
      <c r="BY40" s="353">
        <f t="shared" si="71"/>
        <v>0.08</v>
      </c>
      <c r="BZ40" s="353">
        <f t="shared" si="71"/>
        <v>0.08</v>
      </c>
      <c r="CA40" s="353">
        <f t="shared" si="71"/>
        <v>0.08</v>
      </c>
      <c r="CB40" s="353">
        <f t="shared" si="71"/>
        <v>0.08</v>
      </c>
      <c r="CC40" s="353">
        <f t="shared" si="71"/>
        <v>0.08</v>
      </c>
      <c r="CD40" s="353">
        <f t="shared" si="65"/>
        <v>0.08</v>
      </c>
      <c r="CE40" s="353">
        <f t="shared" si="65"/>
        <v>0.08</v>
      </c>
      <c r="CF40" s="353">
        <f t="shared" si="65"/>
        <v>0.08</v>
      </c>
      <c r="CG40" s="353">
        <f t="shared" si="65"/>
        <v>0.08</v>
      </c>
      <c r="CH40" s="353">
        <f t="shared" si="65"/>
        <v>0.08</v>
      </c>
      <c r="CI40" s="353">
        <f t="shared" si="65"/>
        <v>0.08</v>
      </c>
      <c r="CJ40" s="353">
        <f t="shared" si="65"/>
        <v>0.08</v>
      </c>
      <c r="CK40" s="353">
        <f t="shared" si="65"/>
        <v>0.08</v>
      </c>
      <c r="CL40" s="353">
        <f t="shared" si="65"/>
        <v>0.08</v>
      </c>
      <c r="CM40" s="353">
        <f t="shared" si="65"/>
        <v>0.08</v>
      </c>
      <c r="CN40" s="353">
        <f t="shared" si="65"/>
        <v>0.08</v>
      </c>
      <c r="CO40" s="353">
        <f t="shared" si="65"/>
        <v>0.08</v>
      </c>
      <c r="CP40" s="353">
        <f t="shared" si="65"/>
        <v>0.08</v>
      </c>
      <c r="CQ40" s="353">
        <f t="shared" si="65"/>
        <v>0.08</v>
      </c>
      <c r="CR40" s="353">
        <f t="shared" si="65"/>
        <v>0.08</v>
      </c>
      <c r="CS40" s="353">
        <f t="shared" si="65"/>
        <v>0.08</v>
      </c>
      <c r="CT40" s="353">
        <f t="shared" si="65"/>
        <v>0.08</v>
      </c>
      <c r="CU40" s="353">
        <f t="shared" si="65"/>
        <v>0.08</v>
      </c>
      <c r="CV40" s="353">
        <f t="shared" si="65"/>
        <v>0.08</v>
      </c>
      <c r="CW40" s="353">
        <f t="shared" si="65"/>
        <v>0.08</v>
      </c>
      <c r="CX40" s="353">
        <f t="shared" si="65"/>
        <v>0.08</v>
      </c>
      <c r="CY40" s="353">
        <f t="shared" si="65"/>
        <v>0.08</v>
      </c>
      <c r="CZ40" s="353">
        <f t="shared" si="65"/>
        <v>0.08</v>
      </c>
      <c r="DA40" s="353">
        <f t="shared" si="65"/>
        <v>0.08</v>
      </c>
      <c r="DB40" s="353">
        <f t="shared" si="65"/>
        <v>0.08</v>
      </c>
      <c r="DC40" s="353">
        <f t="shared" si="65"/>
        <v>0.08</v>
      </c>
      <c r="DD40" s="353">
        <f t="shared" si="65"/>
        <v>0.08</v>
      </c>
      <c r="DE40" s="353">
        <f t="shared" si="65"/>
        <v>0.08</v>
      </c>
      <c r="DF40" s="353">
        <f t="shared" si="65"/>
        <v>0.08</v>
      </c>
      <c r="DG40" s="353">
        <f t="shared" si="65"/>
        <v>0.08</v>
      </c>
      <c r="DH40" s="353">
        <f t="shared" si="65"/>
        <v>0.08</v>
      </c>
      <c r="DI40" s="353">
        <f t="shared" si="65"/>
        <v>0.08</v>
      </c>
      <c r="DJ40" s="353">
        <f t="shared" si="65"/>
        <v>0.08</v>
      </c>
      <c r="DK40" s="353">
        <f t="shared" si="65"/>
        <v>0.08</v>
      </c>
      <c r="DL40" s="353">
        <f t="shared" si="65"/>
        <v>0.08</v>
      </c>
      <c r="DM40" s="353">
        <f t="shared" si="65"/>
        <v>0.08</v>
      </c>
      <c r="DN40" s="353">
        <f t="shared" si="65"/>
        <v>0.08</v>
      </c>
      <c r="DO40" s="353">
        <f t="shared" si="65"/>
        <v>0.08</v>
      </c>
      <c r="DP40" s="353">
        <f t="shared" si="65"/>
        <v>0.08</v>
      </c>
      <c r="DQ40" s="353">
        <f t="shared" si="65"/>
        <v>0.08</v>
      </c>
      <c r="DR40" s="353">
        <f t="shared" si="65"/>
        <v>0.08</v>
      </c>
      <c r="DS40" s="353">
        <f t="shared" si="65"/>
        <v>0.08</v>
      </c>
      <c r="DT40" s="1102">
        <f t="shared" si="65"/>
        <v>0.08</v>
      </c>
    </row>
    <row r="41" spans="2:124" x14ac:dyDescent="0.3">
      <c r="B41" s="1055" t="str">
        <f t="shared" si="66"/>
        <v>AustraliaBackofficeL1</v>
      </c>
      <c r="C41" s="1101" t="str">
        <f t="shared" si="67"/>
        <v>Australia</v>
      </c>
      <c r="D41" s="1468">
        <v>7.0000000000000007E-2</v>
      </c>
      <c r="E41" s="353">
        <f t="shared" si="68"/>
        <v>7.0000000000000007E-2</v>
      </c>
      <c r="F41" s="353">
        <f t="shared" si="68"/>
        <v>7.0000000000000007E-2</v>
      </c>
      <c r="G41" s="353">
        <f t="shared" si="68"/>
        <v>7.0000000000000007E-2</v>
      </c>
      <c r="H41" s="353">
        <f t="shared" si="68"/>
        <v>7.0000000000000007E-2</v>
      </c>
      <c r="I41" s="353">
        <f t="shared" si="68"/>
        <v>7.0000000000000007E-2</v>
      </c>
      <c r="J41" s="1468">
        <v>7.0000000000000007E-2</v>
      </c>
      <c r="K41" s="353">
        <f t="shared" si="69"/>
        <v>7.0000000000000007E-2</v>
      </c>
      <c r="L41" s="353">
        <f t="shared" si="69"/>
        <v>7.0000000000000007E-2</v>
      </c>
      <c r="M41" s="353">
        <f t="shared" si="69"/>
        <v>7.0000000000000007E-2</v>
      </c>
      <c r="N41" s="353">
        <f t="shared" si="69"/>
        <v>7.0000000000000007E-2</v>
      </c>
      <c r="O41" s="353">
        <f t="shared" si="69"/>
        <v>7.0000000000000007E-2</v>
      </c>
      <c r="P41" s="1468">
        <v>0.06</v>
      </c>
      <c r="Q41" s="353">
        <f t="shared" si="70"/>
        <v>0.06</v>
      </c>
      <c r="R41" s="353">
        <f t="shared" si="71"/>
        <v>0.06</v>
      </c>
      <c r="S41" s="353">
        <f t="shared" si="71"/>
        <v>0.06</v>
      </c>
      <c r="T41" s="353">
        <f t="shared" si="71"/>
        <v>0.06</v>
      </c>
      <c r="U41" s="353">
        <f t="shared" si="71"/>
        <v>0.06</v>
      </c>
      <c r="V41" s="353">
        <f t="shared" si="71"/>
        <v>0.06</v>
      </c>
      <c r="W41" s="353">
        <f t="shared" si="71"/>
        <v>0.06</v>
      </c>
      <c r="X41" s="353">
        <f t="shared" si="71"/>
        <v>0.06</v>
      </c>
      <c r="Y41" s="353">
        <f t="shared" si="71"/>
        <v>0.06</v>
      </c>
      <c r="Z41" s="353">
        <f t="shared" si="71"/>
        <v>0.06</v>
      </c>
      <c r="AA41" s="353">
        <f t="shared" si="71"/>
        <v>0.06</v>
      </c>
      <c r="AB41" s="1468">
        <v>0.05</v>
      </c>
      <c r="AC41" s="353">
        <f t="shared" si="71"/>
        <v>0.05</v>
      </c>
      <c r="AD41" s="353">
        <f t="shared" si="71"/>
        <v>0.05</v>
      </c>
      <c r="AE41" s="353">
        <f t="shared" si="71"/>
        <v>0.05</v>
      </c>
      <c r="AF41" s="353">
        <f t="shared" si="71"/>
        <v>0.05</v>
      </c>
      <c r="AG41" s="353">
        <f t="shared" si="71"/>
        <v>0.05</v>
      </c>
      <c r="AH41" s="353">
        <f t="shared" si="71"/>
        <v>0.05</v>
      </c>
      <c r="AI41" s="353">
        <f t="shared" si="71"/>
        <v>0.05</v>
      </c>
      <c r="AJ41" s="353">
        <f t="shared" si="71"/>
        <v>0.05</v>
      </c>
      <c r="AK41" s="353">
        <f t="shared" si="71"/>
        <v>0.05</v>
      </c>
      <c r="AL41" s="353">
        <f t="shared" si="71"/>
        <v>0.05</v>
      </c>
      <c r="AM41" s="353">
        <f t="shared" si="71"/>
        <v>0.05</v>
      </c>
      <c r="AN41" s="353">
        <f t="shared" si="71"/>
        <v>0.05</v>
      </c>
      <c r="AO41" s="353">
        <f t="shared" si="71"/>
        <v>0.05</v>
      </c>
      <c r="AP41" s="353">
        <f t="shared" si="71"/>
        <v>0.05</v>
      </c>
      <c r="AQ41" s="353">
        <f t="shared" si="71"/>
        <v>0.05</v>
      </c>
      <c r="AR41" s="353">
        <f t="shared" si="71"/>
        <v>0.05</v>
      </c>
      <c r="AS41" s="353">
        <f t="shared" si="71"/>
        <v>0.05</v>
      </c>
      <c r="AT41" s="353">
        <f t="shared" si="71"/>
        <v>0.05</v>
      </c>
      <c r="AU41" s="353">
        <f t="shared" si="71"/>
        <v>0.05</v>
      </c>
      <c r="AV41" s="353">
        <f t="shared" si="71"/>
        <v>0.05</v>
      </c>
      <c r="AW41" s="353">
        <f t="shared" si="71"/>
        <v>0.05</v>
      </c>
      <c r="AX41" s="353">
        <f t="shared" si="71"/>
        <v>0.05</v>
      </c>
      <c r="AY41" s="353">
        <f t="shared" si="71"/>
        <v>0.05</v>
      </c>
      <c r="AZ41" s="353">
        <f t="shared" si="71"/>
        <v>0.05</v>
      </c>
      <c r="BA41" s="353">
        <f t="shared" si="71"/>
        <v>0.05</v>
      </c>
      <c r="BB41" s="353">
        <f t="shared" si="71"/>
        <v>0.05</v>
      </c>
      <c r="BC41" s="353">
        <f t="shared" si="71"/>
        <v>0.05</v>
      </c>
      <c r="BD41" s="353">
        <f t="shared" si="71"/>
        <v>0.05</v>
      </c>
      <c r="BE41" s="353">
        <f t="shared" si="71"/>
        <v>0.05</v>
      </c>
      <c r="BF41" s="353">
        <f t="shared" si="71"/>
        <v>0.05</v>
      </c>
      <c r="BG41" s="353">
        <f t="shared" si="71"/>
        <v>0.05</v>
      </c>
      <c r="BH41" s="353">
        <f t="shared" si="71"/>
        <v>0.05</v>
      </c>
      <c r="BI41" s="353">
        <f t="shared" si="71"/>
        <v>0.05</v>
      </c>
      <c r="BJ41" s="353">
        <f t="shared" si="71"/>
        <v>0.05</v>
      </c>
      <c r="BK41" s="353">
        <f t="shared" si="71"/>
        <v>0.05</v>
      </c>
      <c r="BL41" s="353">
        <f t="shared" si="71"/>
        <v>0.05</v>
      </c>
      <c r="BM41" s="353">
        <f t="shared" si="71"/>
        <v>0.05</v>
      </c>
      <c r="BN41" s="353">
        <f t="shared" si="71"/>
        <v>0.05</v>
      </c>
      <c r="BO41" s="353">
        <f t="shared" si="71"/>
        <v>0.05</v>
      </c>
      <c r="BP41" s="353">
        <f t="shared" si="71"/>
        <v>0.05</v>
      </c>
      <c r="BQ41" s="353">
        <f t="shared" si="71"/>
        <v>0.05</v>
      </c>
      <c r="BR41" s="353">
        <f t="shared" si="71"/>
        <v>0.05</v>
      </c>
      <c r="BS41" s="353">
        <f t="shared" si="71"/>
        <v>0.05</v>
      </c>
      <c r="BT41" s="353">
        <f t="shared" si="71"/>
        <v>0.05</v>
      </c>
      <c r="BU41" s="353">
        <f t="shared" si="71"/>
        <v>0.05</v>
      </c>
      <c r="BV41" s="353">
        <f t="shared" si="71"/>
        <v>0.05</v>
      </c>
      <c r="BW41" s="353">
        <f t="shared" si="71"/>
        <v>0.05</v>
      </c>
      <c r="BX41" s="353">
        <f t="shared" si="71"/>
        <v>0.05</v>
      </c>
      <c r="BY41" s="353">
        <f t="shared" si="71"/>
        <v>0.05</v>
      </c>
      <c r="BZ41" s="353">
        <f t="shared" si="71"/>
        <v>0.05</v>
      </c>
      <c r="CA41" s="353">
        <f t="shared" si="71"/>
        <v>0.05</v>
      </c>
      <c r="CB41" s="353">
        <f t="shared" si="71"/>
        <v>0.05</v>
      </c>
      <c r="CC41" s="353">
        <f t="shared" si="71"/>
        <v>0.05</v>
      </c>
      <c r="CD41" s="353">
        <f t="shared" si="65"/>
        <v>0.05</v>
      </c>
      <c r="CE41" s="353">
        <f t="shared" si="65"/>
        <v>0.05</v>
      </c>
      <c r="CF41" s="353">
        <f t="shared" si="65"/>
        <v>0.05</v>
      </c>
      <c r="CG41" s="353">
        <f t="shared" si="65"/>
        <v>0.05</v>
      </c>
      <c r="CH41" s="353">
        <f t="shared" si="65"/>
        <v>0.05</v>
      </c>
      <c r="CI41" s="353">
        <f t="shared" si="65"/>
        <v>0.05</v>
      </c>
      <c r="CJ41" s="353">
        <f t="shared" si="65"/>
        <v>0.05</v>
      </c>
      <c r="CK41" s="353">
        <f t="shared" si="65"/>
        <v>0.05</v>
      </c>
      <c r="CL41" s="353">
        <f t="shared" si="65"/>
        <v>0.05</v>
      </c>
      <c r="CM41" s="353">
        <f t="shared" si="65"/>
        <v>0.05</v>
      </c>
      <c r="CN41" s="353">
        <f t="shared" si="65"/>
        <v>0.05</v>
      </c>
      <c r="CO41" s="353">
        <f t="shared" si="65"/>
        <v>0.05</v>
      </c>
      <c r="CP41" s="353">
        <f t="shared" si="65"/>
        <v>0.05</v>
      </c>
      <c r="CQ41" s="353">
        <f t="shared" si="65"/>
        <v>0.05</v>
      </c>
      <c r="CR41" s="353">
        <f t="shared" si="65"/>
        <v>0.05</v>
      </c>
      <c r="CS41" s="353">
        <f t="shared" si="65"/>
        <v>0.05</v>
      </c>
      <c r="CT41" s="353">
        <f t="shared" si="65"/>
        <v>0.05</v>
      </c>
      <c r="CU41" s="353">
        <f t="shared" si="65"/>
        <v>0.05</v>
      </c>
      <c r="CV41" s="353">
        <f t="shared" si="65"/>
        <v>0.05</v>
      </c>
      <c r="CW41" s="353">
        <f t="shared" si="65"/>
        <v>0.05</v>
      </c>
      <c r="CX41" s="353">
        <f t="shared" si="65"/>
        <v>0.05</v>
      </c>
      <c r="CY41" s="353">
        <f t="shared" si="65"/>
        <v>0.05</v>
      </c>
      <c r="CZ41" s="353">
        <f t="shared" si="65"/>
        <v>0.05</v>
      </c>
      <c r="DA41" s="353">
        <f t="shared" si="65"/>
        <v>0.05</v>
      </c>
      <c r="DB41" s="353">
        <f t="shared" si="65"/>
        <v>0.05</v>
      </c>
      <c r="DC41" s="353">
        <f t="shared" si="65"/>
        <v>0.05</v>
      </c>
      <c r="DD41" s="353">
        <f t="shared" si="65"/>
        <v>0.05</v>
      </c>
      <c r="DE41" s="353">
        <f t="shared" si="65"/>
        <v>0.05</v>
      </c>
      <c r="DF41" s="353">
        <f t="shared" si="65"/>
        <v>0.05</v>
      </c>
      <c r="DG41" s="353">
        <f t="shared" si="65"/>
        <v>0.05</v>
      </c>
      <c r="DH41" s="353">
        <f t="shared" si="65"/>
        <v>0.05</v>
      </c>
      <c r="DI41" s="353">
        <f t="shared" si="65"/>
        <v>0.05</v>
      </c>
      <c r="DJ41" s="353">
        <f t="shared" si="65"/>
        <v>0.05</v>
      </c>
      <c r="DK41" s="353">
        <f t="shared" si="65"/>
        <v>0.05</v>
      </c>
      <c r="DL41" s="353">
        <f t="shared" si="65"/>
        <v>0.05</v>
      </c>
      <c r="DM41" s="353">
        <f t="shared" si="65"/>
        <v>0.05</v>
      </c>
      <c r="DN41" s="353">
        <f t="shared" si="65"/>
        <v>0.05</v>
      </c>
      <c r="DO41" s="353">
        <f t="shared" si="65"/>
        <v>0.05</v>
      </c>
      <c r="DP41" s="353">
        <f t="shared" si="65"/>
        <v>0.05</v>
      </c>
      <c r="DQ41" s="353">
        <f t="shared" si="65"/>
        <v>0.05</v>
      </c>
      <c r="DR41" s="353">
        <f t="shared" si="65"/>
        <v>0.05</v>
      </c>
      <c r="DS41" s="353">
        <f t="shared" si="65"/>
        <v>0.05</v>
      </c>
      <c r="DT41" s="1102">
        <f t="shared" si="65"/>
        <v>0.05</v>
      </c>
    </row>
    <row r="42" spans="2:124" x14ac:dyDescent="0.3">
      <c r="B42" s="1055" t="str">
        <f t="shared" si="66"/>
        <v>Trinidad and TobagoBackofficeL1</v>
      </c>
      <c r="C42" s="1101" t="str">
        <f t="shared" si="67"/>
        <v>Trinidad and Tobago</v>
      </c>
      <c r="D42" s="1468">
        <v>0.06</v>
      </c>
      <c r="E42" s="353">
        <f t="shared" si="68"/>
        <v>0.06</v>
      </c>
      <c r="F42" s="353">
        <f t="shared" si="68"/>
        <v>0.06</v>
      </c>
      <c r="G42" s="353">
        <f t="shared" si="68"/>
        <v>0.06</v>
      </c>
      <c r="H42" s="353">
        <f t="shared" si="68"/>
        <v>0.06</v>
      </c>
      <c r="I42" s="353">
        <f t="shared" si="68"/>
        <v>0.06</v>
      </c>
      <c r="J42" s="1468">
        <v>0.05</v>
      </c>
      <c r="K42" s="353">
        <f t="shared" si="69"/>
        <v>0.05</v>
      </c>
      <c r="L42" s="353">
        <f t="shared" si="69"/>
        <v>0.05</v>
      </c>
      <c r="M42" s="353">
        <f t="shared" si="69"/>
        <v>0.05</v>
      </c>
      <c r="N42" s="353">
        <f t="shared" si="69"/>
        <v>0.05</v>
      </c>
      <c r="O42" s="353">
        <f t="shared" si="69"/>
        <v>0.05</v>
      </c>
      <c r="P42" s="1468">
        <v>0.05</v>
      </c>
      <c r="Q42" s="353">
        <f t="shared" si="70"/>
        <v>0.05</v>
      </c>
      <c r="R42" s="353">
        <f t="shared" si="71"/>
        <v>0.05</v>
      </c>
      <c r="S42" s="353">
        <f t="shared" si="71"/>
        <v>0.05</v>
      </c>
      <c r="T42" s="353">
        <f t="shared" si="71"/>
        <v>0.05</v>
      </c>
      <c r="U42" s="353">
        <f t="shared" si="71"/>
        <v>0.05</v>
      </c>
      <c r="V42" s="353">
        <f t="shared" si="71"/>
        <v>0.05</v>
      </c>
      <c r="W42" s="353">
        <f t="shared" si="71"/>
        <v>0.05</v>
      </c>
      <c r="X42" s="353">
        <f t="shared" si="71"/>
        <v>0.05</v>
      </c>
      <c r="Y42" s="353">
        <f t="shared" si="71"/>
        <v>0.05</v>
      </c>
      <c r="Z42" s="353">
        <f t="shared" si="71"/>
        <v>0.05</v>
      </c>
      <c r="AA42" s="353">
        <f t="shared" si="71"/>
        <v>0.05</v>
      </c>
      <c r="AB42" s="353">
        <f t="shared" si="71"/>
        <v>0.05</v>
      </c>
      <c r="AC42" s="353">
        <f t="shared" si="71"/>
        <v>0.05</v>
      </c>
      <c r="AD42" s="353">
        <f t="shared" si="71"/>
        <v>0.05</v>
      </c>
      <c r="AE42" s="353">
        <f t="shared" si="71"/>
        <v>0.05</v>
      </c>
      <c r="AF42" s="353">
        <f t="shared" si="71"/>
        <v>0.05</v>
      </c>
      <c r="AG42" s="353">
        <f t="shared" si="71"/>
        <v>0.05</v>
      </c>
      <c r="AH42" s="353">
        <f t="shared" si="71"/>
        <v>0.05</v>
      </c>
      <c r="AI42" s="353">
        <f t="shared" si="71"/>
        <v>0.05</v>
      </c>
      <c r="AJ42" s="353">
        <f t="shared" si="71"/>
        <v>0.05</v>
      </c>
      <c r="AK42" s="353">
        <f t="shared" si="71"/>
        <v>0.05</v>
      </c>
      <c r="AL42" s="353">
        <f t="shared" si="71"/>
        <v>0.05</v>
      </c>
      <c r="AM42" s="353">
        <f t="shared" si="71"/>
        <v>0.05</v>
      </c>
      <c r="AN42" s="353">
        <f t="shared" si="71"/>
        <v>0.05</v>
      </c>
      <c r="AO42" s="353">
        <f t="shared" si="71"/>
        <v>0.05</v>
      </c>
      <c r="AP42" s="353">
        <f t="shared" si="71"/>
        <v>0.05</v>
      </c>
      <c r="AQ42" s="353">
        <f t="shared" si="71"/>
        <v>0.05</v>
      </c>
      <c r="AR42" s="353">
        <f t="shared" si="71"/>
        <v>0.05</v>
      </c>
      <c r="AS42" s="353">
        <f t="shared" si="71"/>
        <v>0.05</v>
      </c>
      <c r="AT42" s="353">
        <f t="shared" si="71"/>
        <v>0.05</v>
      </c>
      <c r="AU42" s="353">
        <f t="shared" si="71"/>
        <v>0.05</v>
      </c>
      <c r="AV42" s="353">
        <f t="shared" si="71"/>
        <v>0.05</v>
      </c>
      <c r="AW42" s="353">
        <f t="shared" si="71"/>
        <v>0.05</v>
      </c>
      <c r="AX42" s="353">
        <f t="shared" si="71"/>
        <v>0.05</v>
      </c>
      <c r="AY42" s="353">
        <f t="shared" si="71"/>
        <v>0.05</v>
      </c>
      <c r="AZ42" s="353">
        <f t="shared" si="71"/>
        <v>0.05</v>
      </c>
      <c r="BA42" s="353">
        <f t="shared" si="71"/>
        <v>0.05</v>
      </c>
      <c r="BB42" s="353">
        <f t="shared" si="71"/>
        <v>0.05</v>
      </c>
      <c r="BC42" s="353">
        <f t="shared" si="71"/>
        <v>0.05</v>
      </c>
      <c r="BD42" s="353">
        <f t="shared" si="71"/>
        <v>0.05</v>
      </c>
      <c r="BE42" s="353">
        <f t="shared" si="71"/>
        <v>0.05</v>
      </c>
      <c r="BF42" s="353">
        <f t="shared" si="71"/>
        <v>0.05</v>
      </c>
      <c r="BG42" s="353">
        <f t="shared" si="71"/>
        <v>0.05</v>
      </c>
      <c r="BH42" s="353">
        <f t="shared" si="71"/>
        <v>0.05</v>
      </c>
      <c r="BI42" s="353">
        <f t="shared" si="71"/>
        <v>0.05</v>
      </c>
      <c r="BJ42" s="353">
        <f t="shared" si="71"/>
        <v>0.05</v>
      </c>
      <c r="BK42" s="353">
        <f t="shared" si="71"/>
        <v>0.05</v>
      </c>
      <c r="BL42" s="353">
        <f t="shared" si="71"/>
        <v>0.05</v>
      </c>
      <c r="BM42" s="353">
        <f t="shared" si="71"/>
        <v>0.05</v>
      </c>
      <c r="BN42" s="353">
        <f t="shared" si="71"/>
        <v>0.05</v>
      </c>
      <c r="BO42" s="353">
        <f t="shared" si="71"/>
        <v>0.05</v>
      </c>
      <c r="BP42" s="353">
        <f t="shared" si="71"/>
        <v>0.05</v>
      </c>
      <c r="BQ42" s="353">
        <f t="shared" si="71"/>
        <v>0.05</v>
      </c>
      <c r="BR42" s="353">
        <f t="shared" si="71"/>
        <v>0.05</v>
      </c>
      <c r="BS42" s="353">
        <f t="shared" si="71"/>
        <v>0.05</v>
      </c>
      <c r="BT42" s="353">
        <f t="shared" si="71"/>
        <v>0.05</v>
      </c>
      <c r="BU42" s="353">
        <f t="shared" si="71"/>
        <v>0.05</v>
      </c>
      <c r="BV42" s="353">
        <f t="shared" si="71"/>
        <v>0.05</v>
      </c>
      <c r="BW42" s="353">
        <f t="shared" si="71"/>
        <v>0.05</v>
      </c>
      <c r="BX42" s="353">
        <f t="shared" si="71"/>
        <v>0.05</v>
      </c>
      <c r="BY42" s="353">
        <f t="shared" si="71"/>
        <v>0.05</v>
      </c>
      <c r="BZ42" s="353">
        <f t="shared" si="71"/>
        <v>0.05</v>
      </c>
      <c r="CA42" s="353">
        <f t="shared" si="71"/>
        <v>0.05</v>
      </c>
      <c r="CB42" s="353">
        <f t="shared" si="71"/>
        <v>0.05</v>
      </c>
      <c r="CC42" s="353">
        <f t="shared" si="71"/>
        <v>0.05</v>
      </c>
      <c r="CD42" s="353">
        <f t="shared" si="65"/>
        <v>0.05</v>
      </c>
      <c r="CE42" s="353">
        <f t="shared" si="65"/>
        <v>0.05</v>
      </c>
      <c r="CF42" s="353">
        <f t="shared" si="65"/>
        <v>0.05</v>
      </c>
      <c r="CG42" s="353">
        <f t="shared" si="65"/>
        <v>0.05</v>
      </c>
      <c r="CH42" s="353">
        <f t="shared" si="65"/>
        <v>0.05</v>
      </c>
      <c r="CI42" s="353">
        <f t="shared" si="65"/>
        <v>0.05</v>
      </c>
      <c r="CJ42" s="353">
        <f t="shared" si="65"/>
        <v>0.05</v>
      </c>
      <c r="CK42" s="353">
        <f t="shared" si="65"/>
        <v>0.05</v>
      </c>
      <c r="CL42" s="353">
        <f t="shared" si="65"/>
        <v>0.05</v>
      </c>
      <c r="CM42" s="353">
        <f t="shared" si="65"/>
        <v>0.05</v>
      </c>
      <c r="CN42" s="353">
        <f t="shared" si="65"/>
        <v>0.05</v>
      </c>
      <c r="CO42" s="353">
        <f t="shared" si="65"/>
        <v>0.05</v>
      </c>
      <c r="CP42" s="353">
        <f t="shared" si="65"/>
        <v>0.05</v>
      </c>
      <c r="CQ42" s="353">
        <f t="shared" si="65"/>
        <v>0.05</v>
      </c>
      <c r="CR42" s="353">
        <f t="shared" si="65"/>
        <v>0.05</v>
      </c>
      <c r="CS42" s="353">
        <f t="shared" si="65"/>
        <v>0.05</v>
      </c>
      <c r="CT42" s="353">
        <f t="shared" si="65"/>
        <v>0.05</v>
      </c>
      <c r="CU42" s="353">
        <f t="shared" si="65"/>
        <v>0.05</v>
      </c>
      <c r="CV42" s="353">
        <f t="shared" si="65"/>
        <v>0.05</v>
      </c>
      <c r="CW42" s="353">
        <f t="shared" si="65"/>
        <v>0.05</v>
      </c>
      <c r="CX42" s="353">
        <f t="shared" si="65"/>
        <v>0.05</v>
      </c>
      <c r="CY42" s="353">
        <f t="shared" si="65"/>
        <v>0.05</v>
      </c>
      <c r="CZ42" s="353">
        <f t="shared" si="65"/>
        <v>0.05</v>
      </c>
      <c r="DA42" s="353">
        <f t="shared" si="65"/>
        <v>0.05</v>
      </c>
      <c r="DB42" s="353">
        <f t="shared" si="65"/>
        <v>0.05</v>
      </c>
      <c r="DC42" s="353">
        <f t="shared" si="65"/>
        <v>0.05</v>
      </c>
      <c r="DD42" s="353">
        <f t="shared" si="65"/>
        <v>0.05</v>
      </c>
      <c r="DE42" s="353">
        <f t="shared" si="65"/>
        <v>0.05</v>
      </c>
      <c r="DF42" s="353">
        <f t="shared" si="65"/>
        <v>0.05</v>
      </c>
      <c r="DG42" s="353">
        <f t="shared" si="65"/>
        <v>0.05</v>
      </c>
      <c r="DH42" s="353">
        <f t="shared" si="65"/>
        <v>0.05</v>
      </c>
      <c r="DI42" s="353">
        <f t="shared" si="65"/>
        <v>0.05</v>
      </c>
      <c r="DJ42" s="353">
        <f t="shared" si="65"/>
        <v>0.05</v>
      </c>
      <c r="DK42" s="353">
        <f t="shared" si="65"/>
        <v>0.05</v>
      </c>
      <c r="DL42" s="353">
        <f t="shared" si="65"/>
        <v>0.05</v>
      </c>
      <c r="DM42" s="353">
        <f t="shared" si="65"/>
        <v>0.05</v>
      </c>
      <c r="DN42" s="353">
        <f t="shared" si="65"/>
        <v>0.05</v>
      </c>
      <c r="DO42" s="353">
        <f t="shared" si="65"/>
        <v>0.05</v>
      </c>
      <c r="DP42" s="353">
        <f t="shared" si="65"/>
        <v>0.05</v>
      </c>
      <c r="DQ42" s="353">
        <f t="shared" si="65"/>
        <v>0.05</v>
      </c>
      <c r="DR42" s="353">
        <f t="shared" si="65"/>
        <v>0.05</v>
      </c>
      <c r="DS42" s="353">
        <f t="shared" si="65"/>
        <v>0.05</v>
      </c>
      <c r="DT42" s="1102">
        <f t="shared" si="65"/>
        <v>0.05</v>
      </c>
    </row>
    <row r="43" spans="2:124" x14ac:dyDescent="0.3">
      <c r="B43" s="1055" t="str">
        <f t="shared" si="66"/>
        <v>South AfricaBackofficeL1</v>
      </c>
      <c r="C43" s="1101" t="str">
        <f t="shared" si="67"/>
        <v>South Africa</v>
      </c>
      <c r="D43" s="1468">
        <v>0.06</v>
      </c>
      <c r="E43" s="353">
        <f t="shared" si="68"/>
        <v>0.06</v>
      </c>
      <c r="F43" s="353">
        <f t="shared" si="68"/>
        <v>0.06</v>
      </c>
      <c r="G43" s="353">
        <f t="shared" si="68"/>
        <v>0.06</v>
      </c>
      <c r="H43" s="353">
        <f t="shared" si="68"/>
        <v>0.06</v>
      </c>
      <c r="I43" s="353">
        <f t="shared" si="68"/>
        <v>0.06</v>
      </c>
      <c r="J43" s="1468">
        <v>0.06</v>
      </c>
      <c r="K43" s="353">
        <f t="shared" si="69"/>
        <v>0.06</v>
      </c>
      <c r="L43" s="353">
        <f t="shared" si="69"/>
        <v>0.06</v>
      </c>
      <c r="M43" s="353">
        <f t="shared" si="69"/>
        <v>0.06</v>
      </c>
      <c r="N43" s="353">
        <f t="shared" si="69"/>
        <v>0.06</v>
      </c>
      <c r="O43" s="353">
        <f t="shared" si="69"/>
        <v>0.06</v>
      </c>
      <c r="P43" s="1468">
        <v>0.05</v>
      </c>
      <c r="Q43" s="353">
        <f t="shared" si="70"/>
        <v>0.05</v>
      </c>
      <c r="R43" s="353">
        <f t="shared" si="71"/>
        <v>0.05</v>
      </c>
      <c r="S43" s="353">
        <f t="shared" si="71"/>
        <v>0.05</v>
      </c>
      <c r="T43" s="353">
        <f t="shared" si="71"/>
        <v>0.05</v>
      </c>
      <c r="U43" s="353">
        <f t="shared" si="71"/>
        <v>0.05</v>
      </c>
      <c r="V43" s="353">
        <f t="shared" si="71"/>
        <v>0.05</v>
      </c>
      <c r="W43" s="353">
        <f t="shared" si="71"/>
        <v>0.05</v>
      </c>
      <c r="X43" s="353">
        <f t="shared" si="71"/>
        <v>0.05</v>
      </c>
      <c r="Y43" s="353">
        <f t="shared" si="71"/>
        <v>0.05</v>
      </c>
      <c r="Z43" s="353">
        <f t="shared" si="71"/>
        <v>0.05</v>
      </c>
      <c r="AA43" s="353">
        <f t="shared" si="71"/>
        <v>0.05</v>
      </c>
      <c r="AB43" s="353">
        <f t="shared" si="71"/>
        <v>0.05</v>
      </c>
      <c r="AC43" s="353">
        <f t="shared" si="71"/>
        <v>0.05</v>
      </c>
      <c r="AD43" s="353">
        <f t="shared" si="71"/>
        <v>0.05</v>
      </c>
      <c r="AE43" s="353">
        <f t="shared" si="71"/>
        <v>0.05</v>
      </c>
      <c r="AF43" s="353">
        <f t="shared" si="71"/>
        <v>0.05</v>
      </c>
      <c r="AG43" s="353">
        <f t="shared" si="71"/>
        <v>0.05</v>
      </c>
      <c r="AH43" s="353">
        <f t="shared" si="71"/>
        <v>0.05</v>
      </c>
      <c r="AI43" s="353">
        <f t="shared" si="71"/>
        <v>0.05</v>
      </c>
      <c r="AJ43" s="353">
        <f t="shared" si="71"/>
        <v>0.05</v>
      </c>
      <c r="AK43" s="353">
        <f t="shared" si="71"/>
        <v>0.05</v>
      </c>
      <c r="AL43" s="353">
        <f t="shared" si="71"/>
        <v>0.05</v>
      </c>
      <c r="AM43" s="353">
        <f t="shared" si="71"/>
        <v>0.05</v>
      </c>
      <c r="AN43" s="353">
        <f t="shared" si="71"/>
        <v>0.05</v>
      </c>
      <c r="AO43" s="353">
        <f t="shared" si="71"/>
        <v>0.05</v>
      </c>
      <c r="AP43" s="353">
        <f t="shared" si="71"/>
        <v>0.05</v>
      </c>
      <c r="AQ43" s="353">
        <f t="shared" si="71"/>
        <v>0.05</v>
      </c>
      <c r="AR43" s="353">
        <f t="shared" si="71"/>
        <v>0.05</v>
      </c>
      <c r="AS43" s="353">
        <f t="shared" si="71"/>
        <v>0.05</v>
      </c>
      <c r="AT43" s="353">
        <f t="shared" si="71"/>
        <v>0.05</v>
      </c>
      <c r="AU43" s="353">
        <f t="shared" si="71"/>
        <v>0.05</v>
      </c>
      <c r="AV43" s="353">
        <f t="shared" si="71"/>
        <v>0.05</v>
      </c>
      <c r="AW43" s="353">
        <f t="shared" si="71"/>
        <v>0.05</v>
      </c>
      <c r="AX43" s="353">
        <f t="shared" si="71"/>
        <v>0.05</v>
      </c>
      <c r="AY43" s="353">
        <f t="shared" si="71"/>
        <v>0.05</v>
      </c>
      <c r="AZ43" s="353">
        <f t="shared" si="71"/>
        <v>0.05</v>
      </c>
      <c r="BA43" s="353">
        <f t="shared" si="71"/>
        <v>0.05</v>
      </c>
      <c r="BB43" s="353">
        <f t="shared" si="71"/>
        <v>0.05</v>
      </c>
      <c r="BC43" s="353">
        <f t="shared" si="71"/>
        <v>0.05</v>
      </c>
      <c r="BD43" s="353">
        <f t="shared" si="71"/>
        <v>0.05</v>
      </c>
      <c r="BE43" s="353">
        <f t="shared" si="71"/>
        <v>0.05</v>
      </c>
      <c r="BF43" s="353">
        <f t="shared" si="71"/>
        <v>0.05</v>
      </c>
      <c r="BG43" s="353">
        <f t="shared" si="71"/>
        <v>0.05</v>
      </c>
      <c r="BH43" s="353">
        <f t="shared" si="71"/>
        <v>0.05</v>
      </c>
      <c r="BI43" s="353">
        <f t="shared" si="71"/>
        <v>0.05</v>
      </c>
      <c r="BJ43" s="353">
        <f t="shared" si="71"/>
        <v>0.05</v>
      </c>
      <c r="BK43" s="353">
        <f t="shared" si="71"/>
        <v>0.05</v>
      </c>
      <c r="BL43" s="353">
        <f t="shared" si="71"/>
        <v>0.05</v>
      </c>
      <c r="BM43" s="353">
        <f t="shared" si="71"/>
        <v>0.05</v>
      </c>
      <c r="BN43" s="353">
        <f t="shared" si="71"/>
        <v>0.05</v>
      </c>
      <c r="BO43" s="353">
        <f t="shared" si="71"/>
        <v>0.05</v>
      </c>
      <c r="BP43" s="353">
        <f t="shared" si="71"/>
        <v>0.05</v>
      </c>
      <c r="BQ43" s="353">
        <f t="shared" si="71"/>
        <v>0.05</v>
      </c>
      <c r="BR43" s="353">
        <f t="shared" si="71"/>
        <v>0.05</v>
      </c>
      <c r="BS43" s="353">
        <f t="shared" si="71"/>
        <v>0.05</v>
      </c>
      <c r="BT43" s="353">
        <f t="shared" si="71"/>
        <v>0.05</v>
      </c>
      <c r="BU43" s="353">
        <f t="shared" si="71"/>
        <v>0.05</v>
      </c>
      <c r="BV43" s="353">
        <f t="shared" si="71"/>
        <v>0.05</v>
      </c>
      <c r="BW43" s="353">
        <f t="shared" si="71"/>
        <v>0.05</v>
      </c>
      <c r="BX43" s="353">
        <f t="shared" si="71"/>
        <v>0.05</v>
      </c>
      <c r="BY43" s="353">
        <f t="shared" si="71"/>
        <v>0.05</v>
      </c>
      <c r="BZ43" s="353">
        <f t="shared" si="71"/>
        <v>0.05</v>
      </c>
      <c r="CA43" s="353">
        <f t="shared" si="71"/>
        <v>0.05</v>
      </c>
      <c r="CB43" s="353">
        <f t="shared" si="71"/>
        <v>0.05</v>
      </c>
      <c r="CC43" s="353">
        <f t="shared" ref="CC43:DT46" si="72">CB43</f>
        <v>0.05</v>
      </c>
      <c r="CD43" s="353">
        <f t="shared" si="72"/>
        <v>0.05</v>
      </c>
      <c r="CE43" s="353">
        <f t="shared" si="72"/>
        <v>0.05</v>
      </c>
      <c r="CF43" s="353">
        <f t="shared" si="72"/>
        <v>0.05</v>
      </c>
      <c r="CG43" s="353">
        <f t="shared" si="72"/>
        <v>0.05</v>
      </c>
      <c r="CH43" s="353">
        <f t="shared" si="72"/>
        <v>0.05</v>
      </c>
      <c r="CI43" s="353">
        <f t="shared" si="72"/>
        <v>0.05</v>
      </c>
      <c r="CJ43" s="353">
        <f t="shared" si="72"/>
        <v>0.05</v>
      </c>
      <c r="CK43" s="353">
        <f t="shared" si="72"/>
        <v>0.05</v>
      </c>
      <c r="CL43" s="353">
        <f t="shared" si="72"/>
        <v>0.05</v>
      </c>
      <c r="CM43" s="353">
        <f t="shared" si="72"/>
        <v>0.05</v>
      </c>
      <c r="CN43" s="353">
        <f t="shared" si="72"/>
        <v>0.05</v>
      </c>
      <c r="CO43" s="353">
        <f t="shared" si="72"/>
        <v>0.05</v>
      </c>
      <c r="CP43" s="353">
        <f t="shared" si="72"/>
        <v>0.05</v>
      </c>
      <c r="CQ43" s="353">
        <f t="shared" si="72"/>
        <v>0.05</v>
      </c>
      <c r="CR43" s="353">
        <f t="shared" si="72"/>
        <v>0.05</v>
      </c>
      <c r="CS43" s="353">
        <f t="shared" si="72"/>
        <v>0.05</v>
      </c>
      <c r="CT43" s="353">
        <f t="shared" si="72"/>
        <v>0.05</v>
      </c>
      <c r="CU43" s="353">
        <f t="shared" si="72"/>
        <v>0.05</v>
      </c>
      <c r="CV43" s="353">
        <f t="shared" si="72"/>
        <v>0.05</v>
      </c>
      <c r="CW43" s="353">
        <f t="shared" si="72"/>
        <v>0.05</v>
      </c>
      <c r="CX43" s="353">
        <f t="shared" si="72"/>
        <v>0.05</v>
      </c>
      <c r="CY43" s="353">
        <f t="shared" si="72"/>
        <v>0.05</v>
      </c>
      <c r="CZ43" s="353">
        <f t="shared" si="72"/>
        <v>0.05</v>
      </c>
      <c r="DA43" s="353">
        <f t="shared" si="72"/>
        <v>0.05</v>
      </c>
      <c r="DB43" s="353">
        <f t="shared" si="72"/>
        <v>0.05</v>
      </c>
      <c r="DC43" s="353">
        <f t="shared" si="72"/>
        <v>0.05</v>
      </c>
      <c r="DD43" s="353">
        <f t="shared" si="72"/>
        <v>0.05</v>
      </c>
      <c r="DE43" s="353">
        <f t="shared" si="72"/>
        <v>0.05</v>
      </c>
      <c r="DF43" s="353">
        <f t="shared" si="72"/>
        <v>0.05</v>
      </c>
      <c r="DG43" s="353">
        <f t="shared" si="72"/>
        <v>0.05</v>
      </c>
      <c r="DH43" s="353">
        <f t="shared" si="72"/>
        <v>0.05</v>
      </c>
      <c r="DI43" s="353">
        <f t="shared" si="72"/>
        <v>0.05</v>
      </c>
      <c r="DJ43" s="353">
        <f t="shared" si="72"/>
        <v>0.05</v>
      </c>
      <c r="DK43" s="353">
        <f t="shared" si="72"/>
        <v>0.05</v>
      </c>
      <c r="DL43" s="353">
        <f t="shared" si="72"/>
        <v>0.05</v>
      </c>
      <c r="DM43" s="353">
        <f t="shared" si="72"/>
        <v>0.05</v>
      </c>
      <c r="DN43" s="353">
        <f t="shared" si="72"/>
        <v>0.05</v>
      </c>
      <c r="DO43" s="353">
        <f t="shared" si="72"/>
        <v>0.05</v>
      </c>
      <c r="DP43" s="353">
        <f t="shared" si="72"/>
        <v>0.05</v>
      </c>
      <c r="DQ43" s="353">
        <f t="shared" si="72"/>
        <v>0.05</v>
      </c>
      <c r="DR43" s="353">
        <f t="shared" si="72"/>
        <v>0.05</v>
      </c>
      <c r="DS43" s="353">
        <f t="shared" si="72"/>
        <v>0.05</v>
      </c>
      <c r="DT43" s="1102">
        <f t="shared" si="72"/>
        <v>0.05</v>
      </c>
    </row>
    <row r="44" spans="2:124" x14ac:dyDescent="0.3">
      <c r="B44" s="1055" t="str">
        <f t="shared" si="66"/>
        <v>RomaniaBackofficeL1</v>
      </c>
      <c r="C44" s="1101" t="str">
        <f t="shared" si="67"/>
        <v>Romania</v>
      </c>
      <c r="D44" s="1468">
        <v>0.06</v>
      </c>
      <c r="E44" s="353">
        <f t="shared" si="68"/>
        <v>0.06</v>
      </c>
      <c r="F44" s="353">
        <f t="shared" si="68"/>
        <v>0.06</v>
      </c>
      <c r="G44" s="353">
        <f t="shared" si="68"/>
        <v>0.06</v>
      </c>
      <c r="H44" s="353">
        <f t="shared" si="68"/>
        <v>0.06</v>
      </c>
      <c r="I44" s="353">
        <f t="shared" si="68"/>
        <v>0.06</v>
      </c>
      <c r="J44" s="1468">
        <v>0.05</v>
      </c>
      <c r="K44" s="353">
        <f t="shared" si="69"/>
        <v>0.05</v>
      </c>
      <c r="L44" s="353">
        <f t="shared" si="69"/>
        <v>0.05</v>
      </c>
      <c r="M44" s="353">
        <f t="shared" si="69"/>
        <v>0.05</v>
      </c>
      <c r="N44" s="353">
        <f t="shared" si="69"/>
        <v>0.05</v>
      </c>
      <c r="O44" s="353">
        <f t="shared" si="69"/>
        <v>0.05</v>
      </c>
      <c r="P44" s="1468">
        <v>0.05</v>
      </c>
      <c r="Q44" s="353">
        <f t="shared" si="70"/>
        <v>0.05</v>
      </c>
      <c r="R44" s="353">
        <f t="shared" ref="R44:CC46" si="73">Q44</f>
        <v>0.05</v>
      </c>
      <c r="S44" s="353">
        <f t="shared" si="73"/>
        <v>0.05</v>
      </c>
      <c r="T44" s="353">
        <f t="shared" si="73"/>
        <v>0.05</v>
      </c>
      <c r="U44" s="353">
        <f t="shared" si="73"/>
        <v>0.05</v>
      </c>
      <c r="V44" s="353">
        <f t="shared" si="73"/>
        <v>0.05</v>
      </c>
      <c r="W44" s="353">
        <f t="shared" si="73"/>
        <v>0.05</v>
      </c>
      <c r="X44" s="353">
        <f t="shared" si="73"/>
        <v>0.05</v>
      </c>
      <c r="Y44" s="353">
        <f t="shared" si="73"/>
        <v>0.05</v>
      </c>
      <c r="Z44" s="353">
        <f t="shared" si="73"/>
        <v>0.05</v>
      </c>
      <c r="AA44" s="353">
        <f t="shared" si="73"/>
        <v>0.05</v>
      </c>
      <c r="AB44" s="353">
        <f t="shared" si="73"/>
        <v>0.05</v>
      </c>
      <c r="AC44" s="353">
        <f t="shared" si="73"/>
        <v>0.05</v>
      </c>
      <c r="AD44" s="353">
        <f t="shared" si="73"/>
        <v>0.05</v>
      </c>
      <c r="AE44" s="353">
        <f t="shared" si="73"/>
        <v>0.05</v>
      </c>
      <c r="AF44" s="353">
        <f t="shared" si="73"/>
        <v>0.05</v>
      </c>
      <c r="AG44" s="353">
        <f t="shared" si="73"/>
        <v>0.05</v>
      </c>
      <c r="AH44" s="353">
        <f t="shared" si="73"/>
        <v>0.05</v>
      </c>
      <c r="AI44" s="353">
        <f t="shared" si="73"/>
        <v>0.05</v>
      </c>
      <c r="AJ44" s="353">
        <f t="shared" si="73"/>
        <v>0.05</v>
      </c>
      <c r="AK44" s="353">
        <f t="shared" si="73"/>
        <v>0.05</v>
      </c>
      <c r="AL44" s="353">
        <f t="shared" si="73"/>
        <v>0.05</v>
      </c>
      <c r="AM44" s="353">
        <f t="shared" si="73"/>
        <v>0.05</v>
      </c>
      <c r="AN44" s="353">
        <f t="shared" si="73"/>
        <v>0.05</v>
      </c>
      <c r="AO44" s="353">
        <f t="shared" si="73"/>
        <v>0.05</v>
      </c>
      <c r="AP44" s="353">
        <f t="shared" si="73"/>
        <v>0.05</v>
      </c>
      <c r="AQ44" s="353">
        <f t="shared" si="73"/>
        <v>0.05</v>
      </c>
      <c r="AR44" s="353">
        <f t="shared" si="73"/>
        <v>0.05</v>
      </c>
      <c r="AS44" s="353">
        <f t="shared" si="73"/>
        <v>0.05</v>
      </c>
      <c r="AT44" s="353">
        <f t="shared" si="73"/>
        <v>0.05</v>
      </c>
      <c r="AU44" s="353">
        <f t="shared" si="73"/>
        <v>0.05</v>
      </c>
      <c r="AV44" s="353">
        <f t="shared" si="73"/>
        <v>0.05</v>
      </c>
      <c r="AW44" s="353">
        <f t="shared" si="73"/>
        <v>0.05</v>
      </c>
      <c r="AX44" s="353">
        <f t="shared" si="73"/>
        <v>0.05</v>
      </c>
      <c r="AY44" s="353">
        <f t="shared" si="73"/>
        <v>0.05</v>
      </c>
      <c r="AZ44" s="353">
        <f t="shared" si="73"/>
        <v>0.05</v>
      </c>
      <c r="BA44" s="353">
        <f t="shared" si="73"/>
        <v>0.05</v>
      </c>
      <c r="BB44" s="353">
        <f t="shared" si="73"/>
        <v>0.05</v>
      </c>
      <c r="BC44" s="353">
        <f t="shared" si="73"/>
        <v>0.05</v>
      </c>
      <c r="BD44" s="353">
        <f t="shared" si="73"/>
        <v>0.05</v>
      </c>
      <c r="BE44" s="353">
        <f t="shared" si="73"/>
        <v>0.05</v>
      </c>
      <c r="BF44" s="353">
        <f t="shared" si="73"/>
        <v>0.05</v>
      </c>
      <c r="BG44" s="353">
        <f t="shared" si="73"/>
        <v>0.05</v>
      </c>
      <c r="BH44" s="353">
        <f t="shared" si="73"/>
        <v>0.05</v>
      </c>
      <c r="BI44" s="353">
        <f t="shared" si="73"/>
        <v>0.05</v>
      </c>
      <c r="BJ44" s="353">
        <f t="shared" si="73"/>
        <v>0.05</v>
      </c>
      <c r="BK44" s="353">
        <f t="shared" si="73"/>
        <v>0.05</v>
      </c>
      <c r="BL44" s="353">
        <f t="shared" si="73"/>
        <v>0.05</v>
      </c>
      <c r="BM44" s="353">
        <f t="shared" si="73"/>
        <v>0.05</v>
      </c>
      <c r="BN44" s="353">
        <f t="shared" si="73"/>
        <v>0.05</v>
      </c>
      <c r="BO44" s="353">
        <f t="shared" si="73"/>
        <v>0.05</v>
      </c>
      <c r="BP44" s="353">
        <f t="shared" si="73"/>
        <v>0.05</v>
      </c>
      <c r="BQ44" s="353">
        <f t="shared" si="73"/>
        <v>0.05</v>
      </c>
      <c r="BR44" s="353">
        <f t="shared" si="73"/>
        <v>0.05</v>
      </c>
      <c r="BS44" s="353">
        <f t="shared" si="73"/>
        <v>0.05</v>
      </c>
      <c r="BT44" s="353">
        <f t="shared" si="73"/>
        <v>0.05</v>
      </c>
      <c r="BU44" s="353">
        <f t="shared" si="73"/>
        <v>0.05</v>
      </c>
      <c r="BV44" s="353">
        <f t="shared" si="73"/>
        <v>0.05</v>
      </c>
      <c r="BW44" s="353">
        <f t="shared" si="73"/>
        <v>0.05</v>
      </c>
      <c r="BX44" s="353">
        <f t="shared" si="73"/>
        <v>0.05</v>
      </c>
      <c r="BY44" s="353">
        <f t="shared" si="73"/>
        <v>0.05</v>
      </c>
      <c r="BZ44" s="353">
        <f t="shared" si="73"/>
        <v>0.05</v>
      </c>
      <c r="CA44" s="353">
        <f t="shared" si="73"/>
        <v>0.05</v>
      </c>
      <c r="CB44" s="353">
        <f t="shared" si="73"/>
        <v>0.05</v>
      </c>
      <c r="CC44" s="353">
        <f t="shared" si="73"/>
        <v>0.05</v>
      </c>
      <c r="CD44" s="353">
        <f t="shared" si="72"/>
        <v>0.05</v>
      </c>
      <c r="CE44" s="353">
        <f t="shared" si="72"/>
        <v>0.05</v>
      </c>
      <c r="CF44" s="353">
        <f t="shared" si="72"/>
        <v>0.05</v>
      </c>
      <c r="CG44" s="353">
        <f t="shared" si="72"/>
        <v>0.05</v>
      </c>
      <c r="CH44" s="353">
        <f t="shared" si="72"/>
        <v>0.05</v>
      </c>
      <c r="CI44" s="353">
        <f t="shared" si="72"/>
        <v>0.05</v>
      </c>
      <c r="CJ44" s="353">
        <f t="shared" si="72"/>
        <v>0.05</v>
      </c>
      <c r="CK44" s="353">
        <f t="shared" si="72"/>
        <v>0.05</v>
      </c>
      <c r="CL44" s="353">
        <f t="shared" si="72"/>
        <v>0.05</v>
      </c>
      <c r="CM44" s="353">
        <f t="shared" si="72"/>
        <v>0.05</v>
      </c>
      <c r="CN44" s="353">
        <f t="shared" si="72"/>
        <v>0.05</v>
      </c>
      <c r="CO44" s="353">
        <f t="shared" si="72"/>
        <v>0.05</v>
      </c>
      <c r="CP44" s="353">
        <f t="shared" si="72"/>
        <v>0.05</v>
      </c>
      <c r="CQ44" s="353">
        <f t="shared" si="72"/>
        <v>0.05</v>
      </c>
      <c r="CR44" s="353">
        <f t="shared" si="72"/>
        <v>0.05</v>
      </c>
      <c r="CS44" s="353">
        <f t="shared" si="72"/>
        <v>0.05</v>
      </c>
      <c r="CT44" s="353">
        <f t="shared" si="72"/>
        <v>0.05</v>
      </c>
      <c r="CU44" s="353">
        <f t="shared" si="72"/>
        <v>0.05</v>
      </c>
      <c r="CV44" s="353">
        <f t="shared" si="72"/>
        <v>0.05</v>
      </c>
      <c r="CW44" s="353">
        <f t="shared" si="72"/>
        <v>0.05</v>
      </c>
      <c r="CX44" s="353">
        <f t="shared" si="72"/>
        <v>0.05</v>
      </c>
      <c r="CY44" s="353">
        <f t="shared" si="72"/>
        <v>0.05</v>
      </c>
      <c r="CZ44" s="353">
        <f t="shared" si="72"/>
        <v>0.05</v>
      </c>
      <c r="DA44" s="353">
        <f t="shared" si="72"/>
        <v>0.05</v>
      </c>
      <c r="DB44" s="353">
        <f t="shared" si="72"/>
        <v>0.05</v>
      </c>
      <c r="DC44" s="353">
        <f t="shared" si="72"/>
        <v>0.05</v>
      </c>
      <c r="DD44" s="353">
        <f t="shared" si="72"/>
        <v>0.05</v>
      </c>
      <c r="DE44" s="353">
        <f t="shared" si="72"/>
        <v>0.05</v>
      </c>
      <c r="DF44" s="353">
        <f t="shared" si="72"/>
        <v>0.05</v>
      </c>
      <c r="DG44" s="353">
        <f t="shared" si="72"/>
        <v>0.05</v>
      </c>
      <c r="DH44" s="353">
        <f t="shared" si="72"/>
        <v>0.05</v>
      </c>
      <c r="DI44" s="353">
        <f t="shared" si="72"/>
        <v>0.05</v>
      </c>
      <c r="DJ44" s="353">
        <f t="shared" si="72"/>
        <v>0.05</v>
      </c>
      <c r="DK44" s="353">
        <f t="shared" si="72"/>
        <v>0.05</v>
      </c>
      <c r="DL44" s="353">
        <f t="shared" si="72"/>
        <v>0.05</v>
      </c>
      <c r="DM44" s="353">
        <f t="shared" si="72"/>
        <v>0.05</v>
      </c>
      <c r="DN44" s="353">
        <f t="shared" si="72"/>
        <v>0.05</v>
      </c>
      <c r="DO44" s="353">
        <f t="shared" si="72"/>
        <v>0.05</v>
      </c>
      <c r="DP44" s="353">
        <f t="shared" si="72"/>
        <v>0.05</v>
      </c>
      <c r="DQ44" s="353">
        <f t="shared" si="72"/>
        <v>0.05</v>
      </c>
      <c r="DR44" s="353">
        <f t="shared" si="72"/>
        <v>0.05</v>
      </c>
      <c r="DS44" s="353">
        <f t="shared" si="72"/>
        <v>0.05</v>
      </c>
      <c r="DT44" s="1102">
        <f t="shared" si="72"/>
        <v>0.05</v>
      </c>
    </row>
    <row r="45" spans="2:124" x14ac:dyDescent="0.3">
      <c r="B45" s="1055" t="str">
        <f t="shared" si="66"/>
        <v>IndiaBackofficeL1</v>
      </c>
      <c r="C45" s="1101" t="str">
        <f t="shared" si="67"/>
        <v>India</v>
      </c>
      <c r="D45" s="1468">
        <v>5.5E-2</v>
      </c>
      <c r="E45" s="353">
        <f t="shared" si="68"/>
        <v>5.5E-2</v>
      </c>
      <c r="F45" s="353">
        <f t="shared" si="68"/>
        <v>5.5E-2</v>
      </c>
      <c r="G45" s="353">
        <f t="shared" si="68"/>
        <v>5.5E-2</v>
      </c>
      <c r="H45" s="353">
        <f t="shared" si="68"/>
        <v>5.5E-2</v>
      </c>
      <c r="I45" s="353">
        <f t="shared" si="68"/>
        <v>5.5E-2</v>
      </c>
      <c r="J45" s="1468">
        <v>4.4999999999999998E-2</v>
      </c>
      <c r="K45" s="353">
        <f t="shared" si="69"/>
        <v>4.4999999999999998E-2</v>
      </c>
      <c r="L45" s="353">
        <f t="shared" si="69"/>
        <v>4.4999999999999998E-2</v>
      </c>
      <c r="M45" s="353">
        <f t="shared" si="69"/>
        <v>4.4999999999999998E-2</v>
      </c>
      <c r="N45" s="353">
        <f t="shared" si="69"/>
        <v>4.4999999999999998E-2</v>
      </c>
      <c r="O45" s="353">
        <f t="shared" si="69"/>
        <v>4.4999999999999998E-2</v>
      </c>
      <c r="P45" s="1468">
        <v>0.04</v>
      </c>
      <c r="Q45" s="353">
        <f t="shared" si="70"/>
        <v>0.04</v>
      </c>
      <c r="R45" s="353">
        <f t="shared" si="73"/>
        <v>0.04</v>
      </c>
      <c r="S45" s="353">
        <f t="shared" si="73"/>
        <v>0.04</v>
      </c>
      <c r="T45" s="353">
        <f t="shared" si="73"/>
        <v>0.04</v>
      </c>
      <c r="U45" s="353">
        <f t="shared" si="73"/>
        <v>0.04</v>
      </c>
      <c r="V45" s="353">
        <f t="shared" si="73"/>
        <v>0.04</v>
      </c>
      <c r="W45" s="353">
        <f t="shared" si="73"/>
        <v>0.04</v>
      </c>
      <c r="X45" s="353">
        <f t="shared" si="73"/>
        <v>0.04</v>
      </c>
      <c r="Y45" s="353">
        <f t="shared" si="73"/>
        <v>0.04</v>
      </c>
      <c r="Z45" s="353">
        <f t="shared" si="73"/>
        <v>0.04</v>
      </c>
      <c r="AA45" s="353">
        <f t="shared" si="73"/>
        <v>0.04</v>
      </c>
      <c r="AB45" s="353">
        <f t="shared" si="73"/>
        <v>0.04</v>
      </c>
      <c r="AC45" s="353">
        <f t="shared" si="73"/>
        <v>0.04</v>
      </c>
      <c r="AD45" s="353">
        <f t="shared" si="73"/>
        <v>0.04</v>
      </c>
      <c r="AE45" s="353">
        <f t="shared" si="73"/>
        <v>0.04</v>
      </c>
      <c r="AF45" s="353">
        <f t="shared" si="73"/>
        <v>0.04</v>
      </c>
      <c r="AG45" s="353">
        <f t="shared" si="73"/>
        <v>0.04</v>
      </c>
      <c r="AH45" s="353">
        <f t="shared" si="73"/>
        <v>0.04</v>
      </c>
      <c r="AI45" s="353">
        <f t="shared" si="73"/>
        <v>0.04</v>
      </c>
      <c r="AJ45" s="353">
        <f t="shared" si="73"/>
        <v>0.04</v>
      </c>
      <c r="AK45" s="353">
        <f t="shared" si="73"/>
        <v>0.04</v>
      </c>
      <c r="AL45" s="353">
        <f t="shared" si="73"/>
        <v>0.04</v>
      </c>
      <c r="AM45" s="353">
        <f t="shared" si="73"/>
        <v>0.04</v>
      </c>
      <c r="AN45" s="353">
        <f t="shared" si="73"/>
        <v>0.04</v>
      </c>
      <c r="AO45" s="353">
        <f t="shared" si="73"/>
        <v>0.04</v>
      </c>
      <c r="AP45" s="353">
        <f t="shared" si="73"/>
        <v>0.04</v>
      </c>
      <c r="AQ45" s="353">
        <f t="shared" si="73"/>
        <v>0.04</v>
      </c>
      <c r="AR45" s="353">
        <f t="shared" si="73"/>
        <v>0.04</v>
      </c>
      <c r="AS45" s="353">
        <f t="shared" si="73"/>
        <v>0.04</v>
      </c>
      <c r="AT45" s="353">
        <f t="shared" si="73"/>
        <v>0.04</v>
      </c>
      <c r="AU45" s="353">
        <f t="shared" si="73"/>
        <v>0.04</v>
      </c>
      <c r="AV45" s="353">
        <f t="shared" si="73"/>
        <v>0.04</v>
      </c>
      <c r="AW45" s="353">
        <f t="shared" si="73"/>
        <v>0.04</v>
      </c>
      <c r="AX45" s="353">
        <f t="shared" si="73"/>
        <v>0.04</v>
      </c>
      <c r="AY45" s="353">
        <f t="shared" si="73"/>
        <v>0.04</v>
      </c>
      <c r="AZ45" s="353">
        <f t="shared" si="73"/>
        <v>0.04</v>
      </c>
      <c r="BA45" s="353">
        <f t="shared" si="73"/>
        <v>0.04</v>
      </c>
      <c r="BB45" s="353">
        <f t="shared" si="73"/>
        <v>0.04</v>
      </c>
      <c r="BC45" s="353">
        <f t="shared" si="73"/>
        <v>0.04</v>
      </c>
      <c r="BD45" s="353">
        <f t="shared" si="73"/>
        <v>0.04</v>
      </c>
      <c r="BE45" s="353">
        <f t="shared" si="73"/>
        <v>0.04</v>
      </c>
      <c r="BF45" s="353">
        <f t="shared" si="73"/>
        <v>0.04</v>
      </c>
      <c r="BG45" s="353">
        <f t="shared" si="73"/>
        <v>0.04</v>
      </c>
      <c r="BH45" s="353">
        <f t="shared" si="73"/>
        <v>0.04</v>
      </c>
      <c r="BI45" s="353">
        <f t="shared" si="73"/>
        <v>0.04</v>
      </c>
      <c r="BJ45" s="353">
        <f t="shared" si="73"/>
        <v>0.04</v>
      </c>
      <c r="BK45" s="353">
        <f t="shared" si="73"/>
        <v>0.04</v>
      </c>
      <c r="BL45" s="353">
        <f t="shared" si="73"/>
        <v>0.04</v>
      </c>
      <c r="BM45" s="353">
        <f t="shared" si="73"/>
        <v>0.04</v>
      </c>
      <c r="BN45" s="353">
        <f t="shared" si="73"/>
        <v>0.04</v>
      </c>
      <c r="BO45" s="353">
        <f t="shared" si="73"/>
        <v>0.04</v>
      </c>
      <c r="BP45" s="353">
        <f t="shared" si="73"/>
        <v>0.04</v>
      </c>
      <c r="BQ45" s="353">
        <f t="shared" si="73"/>
        <v>0.04</v>
      </c>
      <c r="BR45" s="353">
        <f t="shared" si="73"/>
        <v>0.04</v>
      </c>
      <c r="BS45" s="353">
        <f t="shared" si="73"/>
        <v>0.04</v>
      </c>
      <c r="BT45" s="353">
        <f t="shared" si="73"/>
        <v>0.04</v>
      </c>
      <c r="BU45" s="353">
        <f t="shared" si="73"/>
        <v>0.04</v>
      </c>
      <c r="BV45" s="353">
        <f t="shared" si="73"/>
        <v>0.04</v>
      </c>
      <c r="BW45" s="353">
        <f t="shared" si="73"/>
        <v>0.04</v>
      </c>
      <c r="BX45" s="353">
        <f t="shared" si="73"/>
        <v>0.04</v>
      </c>
      <c r="BY45" s="353">
        <f t="shared" si="73"/>
        <v>0.04</v>
      </c>
      <c r="BZ45" s="353">
        <f t="shared" si="73"/>
        <v>0.04</v>
      </c>
      <c r="CA45" s="353">
        <f t="shared" si="73"/>
        <v>0.04</v>
      </c>
      <c r="CB45" s="353">
        <f t="shared" si="73"/>
        <v>0.04</v>
      </c>
      <c r="CC45" s="353">
        <f t="shared" si="73"/>
        <v>0.04</v>
      </c>
      <c r="CD45" s="353">
        <f t="shared" si="72"/>
        <v>0.04</v>
      </c>
      <c r="CE45" s="353">
        <f t="shared" si="72"/>
        <v>0.04</v>
      </c>
      <c r="CF45" s="353">
        <f t="shared" si="72"/>
        <v>0.04</v>
      </c>
      <c r="CG45" s="353">
        <f t="shared" si="72"/>
        <v>0.04</v>
      </c>
      <c r="CH45" s="353">
        <f t="shared" si="72"/>
        <v>0.04</v>
      </c>
      <c r="CI45" s="353">
        <f t="shared" si="72"/>
        <v>0.04</v>
      </c>
      <c r="CJ45" s="353">
        <f t="shared" si="72"/>
        <v>0.04</v>
      </c>
      <c r="CK45" s="353">
        <f t="shared" si="72"/>
        <v>0.04</v>
      </c>
      <c r="CL45" s="353">
        <f t="shared" si="72"/>
        <v>0.04</v>
      </c>
      <c r="CM45" s="353">
        <f t="shared" si="72"/>
        <v>0.04</v>
      </c>
      <c r="CN45" s="353">
        <f t="shared" si="72"/>
        <v>0.04</v>
      </c>
      <c r="CO45" s="353">
        <f t="shared" si="72"/>
        <v>0.04</v>
      </c>
      <c r="CP45" s="353">
        <f t="shared" si="72"/>
        <v>0.04</v>
      </c>
      <c r="CQ45" s="353">
        <f t="shared" si="72"/>
        <v>0.04</v>
      </c>
      <c r="CR45" s="353">
        <f t="shared" si="72"/>
        <v>0.04</v>
      </c>
      <c r="CS45" s="353">
        <f t="shared" si="72"/>
        <v>0.04</v>
      </c>
      <c r="CT45" s="353">
        <f t="shared" si="72"/>
        <v>0.04</v>
      </c>
      <c r="CU45" s="353">
        <f t="shared" si="72"/>
        <v>0.04</v>
      </c>
      <c r="CV45" s="353">
        <f t="shared" si="72"/>
        <v>0.04</v>
      </c>
      <c r="CW45" s="353">
        <f t="shared" si="72"/>
        <v>0.04</v>
      </c>
      <c r="CX45" s="353">
        <f t="shared" si="72"/>
        <v>0.04</v>
      </c>
      <c r="CY45" s="353">
        <f t="shared" si="72"/>
        <v>0.04</v>
      </c>
      <c r="CZ45" s="353">
        <f t="shared" si="72"/>
        <v>0.04</v>
      </c>
      <c r="DA45" s="353">
        <f t="shared" si="72"/>
        <v>0.04</v>
      </c>
      <c r="DB45" s="353">
        <f t="shared" si="72"/>
        <v>0.04</v>
      </c>
      <c r="DC45" s="353">
        <f t="shared" si="72"/>
        <v>0.04</v>
      </c>
      <c r="DD45" s="353">
        <f t="shared" si="72"/>
        <v>0.04</v>
      </c>
      <c r="DE45" s="353">
        <f t="shared" si="72"/>
        <v>0.04</v>
      </c>
      <c r="DF45" s="353">
        <f t="shared" si="72"/>
        <v>0.04</v>
      </c>
      <c r="DG45" s="353">
        <f t="shared" si="72"/>
        <v>0.04</v>
      </c>
      <c r="DH45" s="353">
        <f t="shared" si="72"/>
        <v>0.04</v>
      </c>
      <c r="DI45" s="353">
        <f t="shared" si="72"/>
        <v>0.04</v>
      </c>
      <c r="DJ45" s="353">
        <f t="shared" si="72"/>
        <v>0.04</v>
      </c>
      <c r="DK45" s="353">
        <f t="shared" si="72"/>
        <v>0.04</v>
      </c>
      <c r="DL45" s="353">
        <f t="shared" si="72"/>
        <v>0.04</v>
      </c>
      <c r="DM45" s="353">
        <f t="shared" si="72"/>
        <v>0.04</v>
      </c>
      <c r="DN45" s="353">
        <f t="shared" si="72"/>
        <v>0.04</v>
      </c>
      <c r="DO45" s="353">
        <f t="shared" si="72"/>
        <v>0.04</v>
      </c>
      <c r="DP45" s="353">
        <f t="shared" si="72"/>
        <v>0.04</v>
      </c>
      <c r="DQ45" s="353">
        <f t="shared" si="72"/>
        <v>0.04</v>
      </c>
      <c r="DR45" s="353">
        <f t="shared" si="72"/>
        <v>0.04</v>
      </c>
      <c r="DS45" s="353">
        <f t="shared" si="72"/>
        <v>0.04</v>
      </c>
      <c r="DT45" s="1102">
        <f t="shared" si="72"/>
        <v>0.04</v>
      </c>
    </row>
    <row r="46" spans="2:124" ht="13.5" thickBot="1" x14ac:dyDescent="0.35">
      <c r="B46" s="1055" t="str">
        <f t="shared" si="66"/>
        <v>PhilippinesBackofficeL1</v>
      </c>
      <c r="C46" s="1103" t="str">
        <f t="shared" si="67"/>
        <v>Philippines</v>
      </c>
      <c r="D46" s="1469">
        <v>0.05</v>
      </c>
      <c r="E46" s="1104">
        <f t="shared" si="68"/>
        <v>0.05</v>
      </c>
      <c r="F46" s="1104">
        <f t="shared" si="68"/>
        <v>0.05</v>
      </c>
      <c r="G46" s="1104">
        <f t="shared" si="68"/>
        <v>0.05</v>
      </c>
      <c r="H46" s="1104">
        <f t="shared" si="68"/>
        <v>0.05</v>
      </c>
      <c r="I46" s="1104">
        <f t="shared" si="68"/>
        <v>0.05</v>
      </c>
      <c r="J46" s="1469">
        <v>4.4999999999999998E-2</v>
      </c>
      <c r="K46" s="1104">
        <f t="shared" si="69"/>
        <v>4.4999999999999998E-2</v>
      </c>
      <c r="L46" s="1104">
        <f t="shared" si="69"/>
        <v>4.4999999999999998E-2</v>
      </c>
      <c r="M46" s="1104">
        <f t="shared" si="69"/>
        <v>4.4999999999999998E-2</v>
      </c>
      <c r="N46" s="1104">
        <f t="shared" si="69"/>
        <v>4.4999999999999998E-2</v>
      </c>
      <c r="O46" s="1104">
        <f t="shared" si="69"/>
        <v>4.4999999999999998E-2</v>
      </c>
      <c r="P46" s="1469">
        <v>0.04</v>
      </c>
      <c r="Q46" s="1104">
        <f t="shared" si="70"/>
        <v>0.04</v>
      </c>
      <c r="R46" s="1104">
        <f t="shared" si="73"/>
        <v>0.04</v>
      </c>
      <c r="S46" s="1104">
        <f t="shared" si="73"/>
        <v>0.04</v>
      </c>
      <c r="T46" s="1104">
        <f t="shared" si="73"/>
        <v>0.04</v>
      </c>
      <c r="U46" s="1104">
        <f t="shared" si="73"/>
        <v>0.04</v>
      </c>
      <c r="V46" s="1104">
        <f t="shared" si="73"/>
        <v>0.04</v>
      </c>
      <c r="W46" s="1104">
        <f t="shared" si="73"/>
        <v>0.04</v>
      </c>
      <c r="X46" s="1104">
        <f t="shared" si="73"/>
        <v>0.04</v>
      </c>
      <c r="Y46" s="1104">
        <f t="shared" si="73"/>
        <v>0.04</v>
      </c>
      <c r="Z46" s="1104">
        <f t="shared" si="73"/>
        <v>0.04</v>
      </c>
      <c r="AA46" s="1104">
        <f t="shared" si="73"/>
        <v>0.04</v>
      </c>
      <c r="AB46" s="1104">
        <f t="shared" si="73"/>
        <v>0.04</v>
      </c>
      <c r="AC46" s="1104">
        <f t="shared" si="73"/>
        <v>0.04</v>
      </c>
      <c r="AD46" s="1104">
        <f t="shared" si="73"/>
        <v>0.04</v>
      </c>
      <c r="AE46" s="1104">
        <f t="shared" si="73"/>
        <v>0.04</v>
      </c>
      <c r="AF46" s="1104">
        <f t="shared" si="73"/>
        <v>0.04</v>
      </c>
      <c r="AG46" s="1104">
        <f t="shared" si="73"/>
        <v>0.04</v>
      </c>
      <c r="AH46" s="1104">
        <f t="shared" si="73"/>
        <v>0.04</v>
      </c>
      <c r="AI46" s="1104">
        <f t="shared" si="73"/>
        <v>0.04</v>
      </c>
      <c r="AJ46" s="1104">
        <f t="shared" si="73"/>
        <v>0.04</v>
      </c>
      <c r="AK46" s="1104">
        <f t="shared" si="73"/>
        <v>0.04</v>
      </c>
      <c r="AL46" s="1104">
        <f t="shared" si="73"/>
        <v>0.04</v>
      </c>
      <c r="AM46" s="1104">
        <f t="shared" si="73"/>
        <v>0.04</v>
      </c>
      <c r="AN46" s="1104">
        <f t="shared" si="73"/>
        <v>0.04</v>
      </c>
      <c r="AO46" s="1104">
        <f t="shared" si="73"/>
        <v>0.04</v>
      </c>
      <c r="AP46" s="1104">
        <f t="shared" si="73"/>
        <v>0.04</v>
      </c>
      <c r="AQ46" s="1104">
        <f t="shared" si="73"/>
        <v>0.04</v>
      </c>
      <c r="AR46" s="1104">
        <f t="shared" si="73"/>
        <v>0.04</v>
      </c>
      <c r="AS46" s="1104">
        <f t="shared" si="73"/>
        <v>0.04</v>
      </c>
      <c r="AT46" s="1104">
        <f t="shared" si="73"/>
        <v>0.04</v>
      </c>
      <c r="AU46" s="1104">
        <f t="shared" si="73"/>
        <v>0.04</v>
      </c>
      <c r="AV46" s="1104">
        <f t="shared" si="73"/>
        <v>0.04</v>
      </c>
      <c r="AW46" s="1104">
        <f t="shared" si="73"/>
        <v>0.04</v>
      </c>
      <c r="AX46" s="1104">
        <f t="shared" si="73"/>
        <v>0.04</v>
      </c>
      <c r="AY46" s="1104">
        <f t="shared" si="73"/>
        <v>0.04</v>
      </c>
      <c r="AZ46" s="1104">
        <f t="shared" si="73"/>
        <v>0.04</v>
      </c>
      <c r="BA46" s="1104">
        <f t="shared" si="73"/>
        <v>0.04</v>
      </c>
      <c r="BB46" s="1104">
        <f t="shared" si="73"/>
        <v>0.04</v>
      </c>
      <c r="BC46" s="1104">
        <f t="shared" si="73"/>
        <v>0.04</v>
      </c>
      <c r="BD46" s="1104">
        <f t="shared" si="73"/>
        <v>0.04</v>
      </c>
      <c r="BE46" s="1104">
        <f t="shared" si="73"/>
        <v>0.04</v>
      </c>
      <c r="BF46" s="1104">
        <f t="shared" si="73"/>
        <v>0.04</v>
      </c>
      <c r="BG46" s="1104">
        <f t="shared" si="73"/>
        <v>0.04</v>
      </c>
      <c r="BH46" s="1104">
        <f t="shared" si="73"/>
        <v>0.04</v>
      </c>
      <c r="BI46" s="1104">
        <f t="shared" si="73"/>
        <v>0.04</v>
      </c>
      <c r="BJ46" s="1104">
        <f t="shared" si="73"/>
        <v>0.04</v>
      </c>
      <c r="BK46" s="1104">
        <f t="shared" si="73"/>
        <v>0.04</v>
      </c>
      <c r="BL46" s="1104">
        <f t="shared" si="73"/>
        <v>0.04</v>
      </c>
      <c r="BM46" s="1104">
        <f t="shared" si="73"/>
        <v>0.04</v>
      </c>
      <c r="BN46" s="1104">
        <f t="shared" si="73"/>
        <v>0.04</v>
      </c>
      <c r="BO46" s="1104">
        <f t="shared" si="73"/>
        <v>0.04</v>
      </c>
      <c r="BP46" s="1104">
        <f t="shared" si="73"/>
        <v>0.04</v>
      </c>
      <c r="BQ46" s="1104">
        <f t="shared" si="73"/>
        <v>0.04</v>
      </c>
      <c r="BR46" s="1104">
        <f t="shared" si="73"/>
        <v>0.04</v>
      </c>
      <c r="BS46" s="1104">
        <f t="shared" si="73"/>
        <v>0.04</v>
      </c>
      <c r="BT46" s="1104">
        <f t="shared" si="73"/>
        <v>0.04</v>
      </c>
      <c r="BU46" s="1104">
        <f t="shared" si="73"/>
        <v>0.04</v>
      </c>
      <c r="BV46" s="1104">
        <f t="shared" si="73"/>
        <v>0.04</v>
      </c>
      <c r="BW46" s="1104">
        <f t="shared" si="73"/>
        <v>0.04</v>
      </c>
      <c r="BX46" s="1104">
        <f t="shared" si="73"/>
        <v>0.04</v>
      </c>
      <c r="BY46" s="1104">
        <f t="shared" si="73"/>
        <v>0.04</v>
      </c>
      <c r="BZ46" s="1104">
        <f t="shared" si="73"/>
        <v>0.04</v>
      </c>
      <c r="CA46" s="1104">
        <f t="shared" si="73"/>
        <v>0.04</v>
      </c>
      <c r="CB46" s="1104">
        <f t="shared" si="73"/>
        <v>0.04</v>
      </c>
      <c r="CC46" s="1104">
        <f t="shared" si="73"/>
        <v>0.04</v>
      </c>
      <c r="CD46" s="1104">
        <f t="shared" si="72"/>
        <v>0.04</v>
      </c>
      <c r="CE46" s="1104">
        <f t="shared" si="72"/>
        <v>0.04</v>
      </c>
      <c r="CF46" s="1104">
        <f t="shared" si="72"/>
        <v>0.04</v>
      </c>
      <c r="CG46" s="1104">
        <f t="shared" si="72"/>
        <v>0.04</v>
      </c>
      <c r="CH46" s="1104">
        <f t="shared" si="72"/>
        <v>0.04</v>
      </c>
      <c r="CI46" s="1104">
        <f t="shared" si="72"/>
        <v>0.04</v>
      </c>
      <c r="CJ46" s="1104">
        <f t="shared" si="72"/>
        <v>0.04</v>
      </c>
      <c r="CK46" s="1104">
        <f t="shared" si="72"/>
        <v>0.04</v>
      </c>
      <c r="CL46" s="1104">
        <f t="shared" si="72"/>
        <v>0.04</v>
      </c>
      <c r="CM46" s="1104">
        <f t="shared" si="72"/>
        <v>0.04</v>
      </c>
      <c r="CN46" s="1104">
        <f t="shared" si="72"/>
        <v>0.04</v>
      </c>
      <c r="CO46" s="1104">
        <f t="shared" si="72"/>
        <v>0.04</v>
      </c>
      <c r="CP46" s="1104">
        <f t="shared" si="72"/>
        <v>0.04</v>
      </c>
      <c r="CQ46" s="1104">
        <f t="shared" si="72"/>
        <v>0.04</v>
      </c>
      <c r="CR46" s="1104">
        <f t="shared" si="72"/>
        <v>0.04</v>
      </c>
      <c r="CS46" s="1104">
        <f t="shared" si="72"/>
        <v>0.04</v>
      </c>
      <c r="CT46" s="1104">
        <f t="shared" si="72"/>
        <v>0.04</v>
      </c>
      <c r="CU46" s="1104">
        <f t="shared" si="72"/>
        <v>0.04</v>
      </c>
      <c r="CV46" s="1104">
        <f t="shared" si="72"/>
        <v>0.04</v>
      </c>
      <c r="CW46" s="1104">
        <f t="shared" si="72"/>
        <v>0.04</v>
      </c>
      <c r="CX46" s="1104">
        <f t="shared" si="72"/>
        <v>0.04</v>
      </c>
      <c r="CY46" s="1104">
        <f t="shared" si="72"/>
        <v>0.04</v>
      </c>
      <c r="CZ46" s="1104">
        <f t="shared" si="72"/>
        <v>0.04</v>
      </c>
      <c r="DA46" s="1104">
        <f t="shared" si="72"/>
        <v>0.04</v>
      </c>
      <c r="DB46" s="1104">
        <f t="shared" si="72"/>
        <v>0.04</v>
      </c>
      <c r="DC46" s="1104">
        <f t="shared" si="72"/>
        <v>0.04</v>
      </c>
      <c r="DD46" s="1104">
        <f t="shared" si="72"/>
        <v>0.04</v>
      </c>
      <c r="DE46" s="1104">
        <f t="shared" si="72"/>
        <v>0.04</v>
      </c>
      <c r="DF46" s="1104">
        <f t="shared" si="72"/>
        <v>0.04</v>
      </c>
      <c r="DG46" s="1104">
        <f t="shared" si="72"/>
        <v>0.04</v>
      </c>
      <c r="DH46" s="1104">
        <f t="shared" si="72"/>
        <v>0.04</v>
      </c>
      <c r="DI46" s="1104">
        <f t="shared" si="72"/>
        <v>0.04</v>
      </c>
      <c r="DJ46" s="1104">
        <f t="shared" si="72"/>
        <v>0.04</v>
      </c>
      <c r="DK46" s="1104">
        <f t="shared" si="72"/>
        <v>0.04</v>
      </c>
      <c r="DL46" s="1104">
        <f t="shared" si="72"/>
        <v>0.04</v>
      </c>
      <c r="DM46" s="1104">
        <f t="shared" si="72"/>
        <v>0.04</v>
      </c>
      <c r="DN46" s="1104">
        <f t="shared" si="72"/>
        <v>0.04</v>
      </c>
      <c r="DO46" s="1104">
        <f t="shared" si="72"/>
        <v>0.04</v>
      </c>
      <c r="DP46" s="1104">
        <f t="shared" si="72"/>
        <v>0.04</v>
      </c>
      <c r="DQ46" s="1104">
        <f t="shared" si="72"/>
        <v>0.04</v>
      </c>
      <c r="DR46" s="1104">
        <f t="shared" si="72"/>
        <v>0.04</v>
      </c>
      <c r="DS46" s="1104">
        <f t="shared" si="72"/>
        <v>0.04</v>
      </c>
      <c r="DT46" s="1105">
        <f t="shared" si="72"/>
        <v>0.04</v>
      </c>
    </row>
    <row r="47" spans="2:124" ht="13.5" thickBot="1" x14ac:dyDescent="0.35">
      <c r="B47" s="844"/>
      <c r="D47" s="1043" t="s">
        <v>667</v>
      </c>
      <c r="E47" s="769"/>
      <c r="F47" s="769"/>
      <c r="G47" s="769"/>
      <c r="H47" s="769"/>
      <c r="I47" s="769"/>
      <c r="J47" s="769"/>
      <c r="K47" s="769"/>
      <c r="L47" s="769"/>
      <c r="M47" s="769"/>
      <c r="N47" s="1043" t="s">
        <v>668</v>
      </c>
      <c r="O47" s="769">
        <f>'Data Master'!E47</f>
        <v>0</v>
      </c>
      <c r="P47" s="769">
        <f>'Data Master'!F47</f>
        <v>0</v>
      </c>
      <c r="Q47" s="769">
        <f>'Data Master'!G47</f>
        <v>0</v>
      </c>
      <c r="R47" s="769">
        <f>'Data Master'!H47</f>
        <v>0</v>
      </c>
      <c r="S47" s="769">
        <f>'Data Master'!I47</f>
        <v>0</v>
      </c>
      <c r="T47" s="769">
        <f>'Data Master'!J47</f>
        <v>0</v>
      </c>
      <c r="U47" s="769">
        <f>'Data Master'!K47</f>
        <v>0</v>
      </c>
      <c r="V47" s="769">
        <f>'Data Master'!L47</f>
        <v>0</v>
      </c>
      <c r="W47" s="769"/>
      <c r="X47" s="1043" t="s">
        <v>669</v>
      </c>
      <c r="Y47" s="769">
        <f>'Data Master'!O47</f>
        <v>0</v>
      </c>
      <c r="Z47" s="769">
        <f>'Data Master'!P47</f>
        <v>0</v>
      </c>
      <c r="AA47" s="769">
        <f>'Data Master'!Q47</f>
        <v>0</v>
      </c>
      <c r="AB47" s="769">
        <f>'Data Master'!R47</f>
        <v>0</v>
      </c>
      <c r="AC47" s="769">
        <f>'Data Master'!S47</f>
        <v>0</v>
      </c>
      <c r="AD47" s="769">
        <f>'Data Master'!T47</f>
        <v>0</v>
      </c>
      <c r="AE47" s="769">
        <f>'Data Master'!U47</f>
        <v>0</v>
      </c>
      <c r="AF47" s="769">
        <f>'Data Master'!V47</f>
        <v>0</v>
      </c>
      <c r="AG47" s="769"/>
      <c r="AH47" s="1043" t="s">
        <v>671</v>
      </c>
      <c r="AI47" s="769">
        <f>'Data Master'!Y47</f>
        <v>0</v>
      </c>
      <c r="AJ47" s="769">
        <f>'Data Master'!Z47</f>
        <v>0</v>
      </c>
      <c r="AK47" s="769">
        <f>'Data Master'!AA47</f>
        <v>0</v>
      </c>
      <c r="AL47" s="769">
        <f>'Data Master'!AB47</f>
        <v>0</v>
      </c>
      <c r="AM47" s="769">
        <f>'Data Master'!AC47</f>
        <v>0</v>
      </c>
      <c r="AN47" s="769">
        <f>'Data Master'!AD47</f>
        <v>0</v>
      </c>
      <c r="AO47" s="769">
        <f>'Data Master'!AE47</f>
        <v>0</v>
      </c>
      <c r="AP47" s="769">
        <f>'Data Master'!AF47</f>
        <v>0</v>
      </c>
      <c r="AQ47" s="769"/>
      <c r="AR47" s="1044" t="s">
        <v>670</v>
      </c>
      <c r="AS47" s="769">
        <f>'Data Master'!AI47</f>
        <v>0</v>
      </c>
      <c r="AT47" s="769">
        <f>'Data Master'!AJ47</f>
        <v>0</v>
      </c>
      <c r="AU47" s="769">
        <f>'Data Master'!AK47</f>
        <v>0</v>
      </c>
      <c r="AV47" s="769">
        <f>'Data Master'!AL47</f>
        <v>0</v>
      </c>
      <c r="AW47" s="769">
        <f>'Data Master'!AM47</f>
        <v>0</v>
      </c>
      <c r="AX47" s="769">
        <f>'Data Master'!AN47</f>
        <v>0</v>
      </c>
      <c r="AY47" s="769">
        <f>'Data Master'!AO47</f>
        <v>0</v>
      </c>
      <c r="AZ47" s="769">
        <f>'Data Master'!AP47</f>
        <v>0</v>
      </c>
      <c r="BA47" s="769"/>
      <c r="BB47" s="769"/>
      <c r="BC47" s="769"/>
      <c r="BD47" s="769"/>
      <c r="BE47" s="769"/>
      <c r="BF47" s="769"/>
      <c r="BG47" s="769"/>
      <c r="BH47" s="769"/>
      <c r="BI47" s="769"/>
      <c r="BJ47" s="769"/>
      <c r="BK47" s="769"/>
      <c r="BL47" s="769"/>
      <c r="BM47" s="769"/>
      <c r="BN47" s="769"/>
      <c r="BO47" s="769"/>
      <c r="BP47" s="769"/>
      <c r="BQ47" s="769"/>
      <c r="BR47" s="769"/>
      <c r="BS47" s="769"/>
      <c r="BT47" s="769"/>
      <c r="BU47" s="769"/>
      <c r="BV47" s="769"/>
      <c r="BW47" s="769"/>
      <c r="BX47" s="769"/>
      <c r="BY47" s="769"/>
      <c r="BZ47" s="769"/>
      <c r="CA47" s="769"/>
      <c r="CB47" s="769"/>
      <c r="CC47" s="769"/>
      <c r="CD47" s="769"/>
      <c r="CE47" s="769"/>
      <c r="CF47" s="769"/>
      <c r="CG47" s="769"/>
      <c r="CH47" s="769"/>
      <c r="CI47" s="769"/>
      <c r="CJ47" s="769"/>
      <c r="CK47" s="769"/>
      <c r="CL47" s="769"/>
      <c r="CM47" s="769"/>
      <c r="CN47" s="769"/>
      <c r="CO47" s="769"/>
      <c r="CP47" s="769"/>
      <c r="CQ47" s="769"/>
      <c r="CR47" s="769"/>
      <c r="CS47" s="769"/>
      <c r="CT47" s="769"/>
      <c r="CU47" s="769"/>
      <c r="CV47" s="769"/>
      <c r="CW47" s="769"/>
      <c r="CX47" s="769"/>
      <c r="CY47" s="769"/>
      <c r="CZ47" s="769"/>
      <c r="DA47" s="769"/>
      <c r="DB47" s="769"/>
      <c r="DC47" s="769"/>
      <c r="DD47" s="769"/>
      <c r="DE47" s="769"/>
      <c r="DF47" s="769"/>
      <c r="DG47" s="769"/>
      <c r="DH47" s="769"/>
      <c r="DI47" s="769"/>
      <c r="DJ47" s="769"/>
      <c r="DK47" s="769"/>
      <c r="DL47" s="769"/>
      <c r="DM47" s="769"/>
      <c r="DN47" s="769"/>
      <c r="DO47" s="769"/>
      <c r="DP47" s="769"/>
      <c r="DQ47" s="769"/>
      <c r="DR47" s="769"/>
      <c r="DS47" s="769"/>
      <c r="DT47" s="769"/>
    </row>
    <row r="48" spans="2:124" ht="13.5" thickBot="1" x14ac:dyDescent="0.35">
      <c r="B48" s="1023">
        <f>B37+1</f>
        <v>5</v>
      </c>
      <c r="C48" s="1088" t="s">
        <v>386</v>
      </c>
      <c r="D48" s="1031" t="str">
        <f t="array" ref="D48:L48">TRANSPOSE(C5:C13)</f>
        <v>US</v>
      </c>
      <c r="E48" s="1031" t="str">
        <v>UK</v>
      </c>
      <c r="F48" s="1031" t="str">
        <v>Mexico</v>
      </c>
      <c r="G48" s="1031" t="str">
        <v>Australia</v>
      </c>
      <c r="H48" s="1031" t="str">
        <v>Trinidad and Tobago</v>
      </c>
      <c r="I48" s="1031" t="str">
        <v>South Africa</v>
      </c>
      <c r="J48" s="1031" t="str">
        <v>Romania</v>
      </c>
      <c r="K48" s="1031" t="str">
        <v>India</v>
      </c>
      <c r="L48" s="1032" t="str">
        <v>Philippines</v>
      </c>
      <c r="N48" s="1031" t="str">
        <f>'Data Master'!D48</f>
        <v>US</v>
      </c>
      <c r="O48" s="1031" t="str">
        <f>'Data Master'!E48</f>
        <v>UK</v>
      </c>
      <c r="P48" s="1031" t="str">
        <f>'Data Master'!F48</f>
        <v>Mexico</v>
      </c>
      <c r="Q48" s="1031" t="str">
        <f>'Data Master'!G48</f>
        <v>Australia</v>
      </c>
      <c r="R48" s="1031" t="str">
        <f>'Data Master'!H48</f>
        <v>Trinidad and Tobago</v>
      </c>
      <c r="S48" s="1031" t="str">
        <f>'Data Master'!I48</f>
        <v>South Africa</v>
      </c>
      <c r="T48" s="1031" t="str">
        <f>'Data Master'!J48</f>
        <v>Romania</v>
      </c>
      <c r="U48" s="1031" t="str">
        <f>'Data Master'!K48</f>
        <v>India</v>
      </c>
      <c r="V48" s="1032" t="str">
        <f>'Data Master'!L48</f>
        <v>Philippines</v>
      </c>
      <c r="X48" s="1031" t="str">
        <f>'Data Master'!N48</f>
        <v>US</v>
      </c>
      <c r="Y48" s="1031" t="str">
        <f>'Data Master'!O48</f>
        <v>UK</v>
      </c>
      <c r="Z48" s="1031" t="str">
        <f>'Data Master'!P48</f>
        <v>Mexico</v>
      </c>
      <c r="AA48" s="1031" t="str">
        <f>'Data Master'!Q48</f>
        <v>Australia</v>
      </c>
      <c r="AB48" s="1031" t="str">
        <f>'Data Master'!R48</f>
        <v>Trinidad and Tobago</v>
      </c>
      <c r="AC48" s="1031" t="str">
        <f>'Data Master'!S48</f>
        <v>South Africa</v>
      </c>
      <c r="AD48" s="1031" t="str">
        <f>'Data Master'!T48</f>
        <v>Romania</v>
      </c>
      <c r="AE48" s="1031" t="str">
        <f>'Data Master'!U48</f>
        <v>India</v>
      </c>
      <c r="AF48" s="1032" t="str">
        <f>'Data Master'!V48</f>
        <v>Philippines</v>
      </c>
      <c r="AH48" s="1031" t="str">
        <f>'Data Master'!X48</f>
        <v>US</v>
      </c>
      <c r="AI48" s="1031" t="str">
        <f>'Data Master'!Y48</f>
        <v>UK</v>
      </c>
      <c r="AJ48" s="1031" t="str">
        <f>'Data Master'!Z48</f>
        <v>Mexico</v>
      </c>
      <c r="AK48" s="1031" t="str">
        <f>'Data Master'!AA48</f>
        <v>Australia</v>
      </c>
      <c r="AL48" s="1031" t="str">
        <f>'Data Master'!AB48</f>
        <v>Trinidad and Tobago</v>
      </c>
      <c r="AM48" s="1031" t="str">
        <f>'Data Master'!AC48</f>
        <v>South Africa</v>
      </c>
      <c r="AN48" s="1031" t="str">
        <f>'Data Master'!AD48</f>
        <v>Romania</v>
      </c>
      <c r="AO48" s="1031" t="str">
        <f>'Data Master'!AE48</f>
        <v>India</v>
      </c>
      <c r="AP48" s="1032" t="str">
        <f>'Data Master'!AF48</f>
        <v>Philippines</v>
      </c>
      <c r="AR48" s="1031" t="str">
        <f>'Data Master'!AH48</f>
        <v>US</v>
      </c>
      <c r="AS48" s="1031" t="str">
        <f>'Data Master'!AI48</f>
        <v>UK</v>
      </c>
      <c r="AT48" s="1031" t="str">
        <f>'Data Master'!AJ48</f>
        <v>Mexico</v>
      </c>
      <c r="AU48" s="1031" t="str">
        <f>'Data Master'!AK48</f>
        <v>Australia</v>
      </c>
      <c r="AV48" s="1031" t="str">
        <f>'Data Master'!AL48</f>
        <v>Trinidad and Tobago</v>
      </c>
      <c r="AW48" s="1031" t="str">
        <f>'Data Master'!AM48</f>
        <v>South Africa</v>
      </c>
      <c r="AX48" s="1031" t="str">
        <f>'Data Master'!AN48</f>
        <v>Romania</v>
      </c>
      <c r="AY48" s="1031" t="str">
        <f>'Data Master'!AO48</f>
        <v>India</v>
      </c>
      <c r="AZ48" s="1032" t="str">
        <f>'Data Master'!AP48</f>
        <v>Philippines</v>
      </c>
    </row>
    <row r="49" spans="2:52" x14ac:dyDescent="0.3">
      <c r="B49" s="1056">
        <v>2</v>
      </c>
      <c r="C49" s="1114" t="s">
        <v>204</v>
      </c>
      <c r="D49" s="1115">
        <v>18</v>
      </c>
      <c r="E49" s="1115">
        <v>18</v>
      </c>
      <c r="F49" s="1115">
        <v>18</v>
      </c>
      <c r="G49" s="1115">
        <v>18</v>
      </c>
      <c r="H49" s="1115">
        <v>18</v>
      </c>
      <c r="I49" s="1115">
        <v>15</v>
      </c>
      <c r="J49" s="1115">
        <v>18</v>
      </c>
      <c r="K49" s="1115">
        <v>18</v>
      </c>
      <c r="L49" s="1116">
        <v>18</v>
      </c>
      <c r="N49" s="1115">
        <f>'Data Master'!D49</f>
        <v>18</v>
      </c>
      <c r="O49" s="1115">
        <f>'Data Master'!E49</f>
        <v>18</v>
      </c>
      <c r="P49" s="1115">
        <f>'Data Master'!F49</f>
        <v>18</v>
      </c>
      <c r="Q49" s="1115">
        <f>'Data Master'!G49</f>
        <v>18</v>
      </c>
      <c r="R49" s="1115">
        <f>'Data Master'!H49</f>
        <v>18</v>
      </c>
      <c r="S49" s="1115">
        <f>'Data Master'!I49</f>
        <v>15</v>
      </c>
      <c r="T49" s="1115">
        <f>'Data Master'!J49</f>
        <v>18</v>
      </c>
      <c r="U49" s="1115">
        <f>'Data Master'!K49</f>
        <v>18</v>
      </c>
      <c r="V49" s="1116">
        <f>'Data Master'!L49</f>
        <v>18</v>
      </c>
      <c r="X49" s="1115">
        <f>'Data Master'!N49</f>
        <v>18</v>
      </c>
      <c r="Y49" s="1115">
        <f>'Data Master'!O49</f>
        <v>18</v>
      </c>
      <c r="Z49" s="1115">
        <f>'Data Master'!P49</f>
        <v>18</v>
      </c>
      <c r="AA49" s="1115">
        <f>'Data Master'!Q49</f>
        <v>18</v>
      </c>
      <c r="AB49" s="1115">
        <f>'Data Master'!R49</f>
        <v>18</v>
      </c>
      <c r="AC49" s="1115">
        <f>'Data Master'!S49</f>
        <v>15</v>
      </c>
      <c r="AD49" s="1115">
        <f>'Data Master'!T49</f>
        <v>18</v>
      </c>
      <c r="AE49" s="1115">
        <f>'Data Master'!U49</f>
        <v>18</v>
      </c>
      <c r="AF49" s="1116">
        <f>'Data Master'!V49</f>
        <v>18</v>
      </c>
      <c r="AH49" s="1115">
        <f>'Data Master'!X49</f>
        <v>18</v>
      </c>
      <c r="AI49" s="1115">
        <f>'Data Master'!Y49</f>
        <v>18</v>
      </c>
      <c r="AJ49" s="1115">
        <f>'Data Master'!Z49</f>
        <v>18</v>
      </c>
      <c r="AK49" s="1115">
        <f>'Data Master'!AA49</f>
        <v>18</v>
      </c>
      <c r="AL49" s="1115">
        <f>'Data Master'!AB49</f>
        <v>18</v>
      </c>
      <c r="AM49" s="1115">
        <f>'Data Master'!AC49</f>
        <v>15</v>
      </c>
      <c r="AN49" s="1115">
        <f>'Data Master'!AD49</f>
        <v>18</v>
      </c>
      <c r="AO49" s="1115">
        <f>'Data Master'!AE49</f>
        <v>18</v>
      </c>
      <c r="AP49" s="1116">
        <f>'Data Master'!AF49</f>
        <v>18</v>
      </c>
      <c r="AR49" s="1115">
        <f>'Data Master'!AH49</f>
        <v>18</v>
      </c>
      <c r="AS49" s="1115">
        <f>'Data Master'!AI49</f>
        <v>18</v>
      </c>
      <c r="AT49" s="1115">
        <f>'Data Master'!AJ49</f>
        <v>18</v>
      </c>
      <c r="AU49" s="1115">
        <f>'Data Master'!AK49</f>
        <v>18</v>
      </c>
      <c r="AV49" s="1115">
        <f>'Data Master'!AL49</f>
        <v>18</v>
      </c>
      <c r="AW49" s="1115">
        <f>'Data Master'!AM49</f>
        <v>15</v>
      </c>
      <c r="AX49" s="1115">
        <f>'Data Master'!AN49</f>
        <v>18</v>
      </c>
      <c r="AY49" s="1115">
        <f>'Data Master'!AO49</f>
        <v>18</v>
      </c>
      <c r="AZ49" s="1116">
        <f>'Data Master'!AP49</f>
        <v>18</v>
      </c>
    </row>
    <row r="50" spans="2:52" x14ac:dyDescent="0.3">
      <c r="B50" s="1056">
        <f>B49+1</f>
        <v>3</v>
      </c>
      <c r="C50" s="1117" t="s">
        <v>267</v>
      </c>
      <c r="D50" s="1118">
        <v>10000000</v>
      </c>
      <c r="E50" s="1118">
        <v>10000000</v>
      </c>
      <c r="F50" s="1118">
        <v>10000000</v>
      </c>
      <c r="G50" s="1118">
        <v>10000000</v>
      </c>
      <c r="H50" s="1118">
        <v>10000000</v>
      </c>
      <c r="I50" s="1118">
        <v>10000000</v>
      </c>
      <c r="J50" s="1118">
        <v>10000000</v>
      </c>
      <c r="K50" s="1118">
        <v>10000000</v>
      </c>
      <c r="L50" s="1119">
        <v>10000000</v>
      </c>
      <c r="N50" s="1118">
        <f>'Data Master'!D50</f>
        <v>10000000</v>
      </c>
      <c r="O50" s="1118">
        <f>'Data Master'!E50</f>
        <v>10000000</v>
      </c>
      <c r="P50" s="1118">
        <f>'Data Master'!F50</f>
        <v>10000000</v>
      </c>
      <c r="Q50" s="1118">
        <f>'Data Master'!G50</f>
        <v>10000000</v>
      </c>
      <c r="R50" s="1118">
        <f>'Data Master'!H50</f>
        <v>10000000</v>
      </c>
      <c r="S50" s="1118">
        <f>'Data Master'!I50</f>
        <v>10000000</v>
      </c>
      <c r="T50" s="1118">
        <f>'Data Master'!J50</f>
        <v>10000000</v>
      </c>
      <c r="U50" s="1118">
        <f>'Data Master'!K50</f>
        <v>10000000</v>
      </c>
      <c r="V50" s="1119">
        <f>'Data Master'!L50</f>
        <v>10000000</v>
      </c>
      <c r="X50" s="1118">
        <f>'Data Master'!N50</f>
        <v>10000000</v>
      </c>
      <c r="Y50" s="1118">
        <f>'Data Master'!O50</f>
        <v>10000000</v>
      </c>
      <c r="Z50" s="1118">
        <f>'Data Master'!P50</f>
        <v>10000000</v>
      </c>
      <c r="AA50" s="1118">
        <f>'Data Master'!Q50</f>
        <v>10000000</v>
      </c>
      <c r="AB50" s="1118">
        <f>'Data Master'!R50</f>
        <v>10000000</v>
      </c>
      <c r="AC50" s="1118">
        <f>'Data Master'!S50</f>
        <v>10000000</v>
      </c>
      <c r="AD50" s="1118">
        <f>'Data Master'!T50</f>
        <v>10000000</v>
      </c>
      <c r="AE50" s="1118">
        <f>'Data Master'!U50</f>
        <v>10000000</v>
      </c>
      <c r="AF50" s="1119">
        <f>'Data Master'!V50</f>
        <v>10000000</v>
      </c>
      <c r="AH50" s="1118">
        <f>'Data Master'!X50</f>
        <v>10000000</v>
      </c>
      <c r="AI50" s="1118">
        <f>'Data Master'!Y50</f>
        <v>10000000</v>
      </c>
      <c r="AJ50" s="1118">
        <f>'Data Master'!Z50</f>
        <v>10000000</v>
      </c>
      <c r="AK50" s="1118">
        <f>'Data Master'!AA50</f>
        <v>10000000</v>
      </c>
      <c r="AL50" s="1118">
        <f>'Data Master'!AB50</f>
        <v>10000000</v>
      </c>
      <c r="AM50" s="1118">
        <f>'Data Master'!AC50</f>
        <v>10000000</v>
      </c>
      <c r="AN50" s="1118">
        <f>'Data Master'!AD50</f>
        <v>10000000</v>
      </c>
      <c r="AO50" s="1118">
        <f>'Data Master'!AE50</f>
        <v>10000000</v>
      </c>
      <c r="AP50" s="1119">
        <f>'Data Master'!AF50</f>
        <v>10000000</v>
      </c>
      <c r="AR50" s="1118">
        <f>'Data Master'!AH50</f>
        <v>10000000</v>
      </c>
      <c r="AS50" s="1118">
        <f>'Data Master'!AI50</f>
        <v>10000000</v>
      </c>
      <c r="AT50" s="1118">
        <f>'Data Master'!AJ50</f>
        <v>10000000</v>
      </c>
      <c r="AU50" s="1118">
        <f>'Data Master'!AK50</f>
        <v>10000000</v>
      </c>
      <c r="AV50" s="1118">
        <f>'Data Master'!AL50</f>
        <v>10000000</v>
      </c>
      <c r="AW50" s="1118">
        <f>'Data Master'!AM50</f>
        <v>10000000</v>
      </c>
      <c r="AX50" s="1118">
        <f>'Data Master'!AN50</f>
        <v>10000000</v>
      </c>
      <c r="AY50" s="1118">
        <f>'Data Master'!AO50</f>
        <v>10000000</v>
      </c>
      <c r="AZ50" s="1119">
        <f>'Data Master'!AP50</f>
        <v>10000000</v>
      </c>
    </row>
    <row r="51" spans="2:52" x14ac:dyDescent="0.3">
      <c r="B51" s="1056">
        <f t="shared" ref="B51:B63" si="74">B50+1</f>
        <v>4</v>
      </c>
      <c r="C51" s="1117" t="s">
        <v>205</v>
      </c>
      <c r="D51" s="1118">
        <v>120</v>
      </c>
      <c r="E51" s="1118">
        <v>120</v>
      </c>
      <c r="F51" s="1118">
        <v>120</v>
      </c>
      <c r="G51" s="1118">
        <v>120</v>
      </c>
      <c r="H51" s="1118">
        <v>120</v>
      </c>
      <c r="I51" s="1118">
        <v>120</v>
      </c>
      <c r="J51" s="1118">
        <v>120</v>
      </c>
      <c r="K51" s="1118">
        <v>120</v>
      </c>
      <c r="L51" s="1119">
        <v>120</v>
      </c>
      <c r="N51" s="1118">
        <f>'Data Master'!D51</f>
        <v>120</v>
      </c>
      <c r="O51" s="1118">
        <f>'Data Master'!E51</f>
        <v>120</v>
      </c>
      <c r="P51" s="1118">
        <f>'Data Master'!F51</f>
        <v>120</v>
      </c>
      <c r="Q51" s="1118">
        <f>'Data Master'!G51</f>
        <v>120</v>
      </c>
      <c r="R51" s="1118">
        <f>'Data Master'!H51</f>
        <v>120</v>
      </c>
      <c r="S51" s="1118">
        <f>'Data Master'!I51</f>
        <v>120</v>
      </c>
      <c r="T51" s="1118">
        <f>'Data Master'!J51</f>
        <v>120</v>
      </c>
      <c r="U51" s="1118">
        <f>'Data Master'!K51</f>
        <v>120</v>
      </c>
      <c r="V51" s="1119">
        <f>'Data Master'!L51</f>
        <v>120</v>
      </c>
      <c r="X51" s="1118">
        <f>'Data Master'!N51</f>
        <v>120</v>
      </c>
      <c r="Y51" s="1118">
        <f>'Data Master'!O51</f>
        <v>120</v>
      </c>
      <c r="Z51" s="1118">
        <f>'Data Master'!P51</f>
        <v>120</v>
      </c>
      <c r="AA51" s="1118">
        <f>'Data Master'!Q51</f>
        <v>120</v>
      </c>
      <c r="AB51" s="1118">
        <f>'Data Master'!R51</f>
        <v>120</v>
      </c>
      <c r="AC51" s="1118">
        <f>'Data Master'!S51</f>
        <v>120</v>
      </c>
      <c r="AD51" s="1118">
        <f>'Data Master'!T51</f>
        <v>120</v>
      </c>
      <c r="AE51" s="1118">
        <f>'Data Master'!U51</f>
        <v>120</v>
      </c>
      <c r="AF51" s="1119">
        <f>'Data Master'!V51</f>
        <v>120</v>
      </c>
      <c r="AH51" s="1118">
        <f>'Data Master'!X51</f>
        <v>120</v>
      </c>
      <c r="AI51" s="1118">
        <f>'Data Master'!Y51</f>
        <v>120</v>
      </c>
      <c r="AJ51" s="1118">
        <f>'Data Master'!Z51</f>
        <v>120</v>
      </c>
      <c r="AK51" s="1118">
        <f>'Data Master'!AA51</f>
        <v>120</v>
      </c>
      <c r="AL51" s="1118">
        <f>'Data Master'!AB51</f>
        <v>120</v>
      </c>
      <c r="AM51" s="1118">
        <f>'Data Master'!AC51</f>
        <v>120</v>
      </c>
      <c r="AN51" s="1118">
        <f>'Data Master'!AD51</f>
        <v>120</v>
      </c>
      <c r="AO51" s="1118">
        <f>'Data Master'!AE51</f>
        <v>120</v>
      </c>
      <c r="AP51" s="1119">
        <f>'Data Master'!AF51</f>
        <v>120</v>
      </c>
      <c r="AR51" s="1118">
        <f>'Data Master'!AH51</f>
        <v>120</v>
      </c>
      <c r="AS51" s="1118">
        <f>'Data Master'!AI51</f>
        <v>120</v>
      </c>
      <c r="AT51" s="1118">
        <f>'Data Master'!AJ51</f>
        <v>120</v>
      </c>
      <c r="AU51" s="1118">
        <f>'Data Master'!AK51</f>
        <v>120</v>
      </c>
      <c r="AV51" s="1118">
        <f>'Data Master'!AL51</f>
        <v>120</v>
      </c>
      <c r="AW51" s="1118">
        <f>'Data Master'!AM51</f>
        <v>120</v>
      </c>
      <c r="AX51" s="1118">
        <f>'Data Master'!AN51</f>
        <v>120</v>
      </c>
      <c r="AY51" s="1118">
        <f>'Data Master'!AO51</f>
        <v>120</v>
      </c>
      <c r="AZ51" s="1119">
        <f>'Data Master'!AP51</f>
        <v>120</v>
      </c>
    </row>
    <row r="52" spans="2:52" x14ac:dyDescent="0.3">
      <c r="B52" s="1056">
        <f t="shared" si="74"/>
        <v>5</v>
      </c>
      <c r="C52" s="1117" t="s">
        <v>250</v>
      </c>
      <c r="D52" s="1118">
        <v>10000000</v>
      </c>
      <c r="E52" s="1118">
        <v>10000000</v>
      </c>
      <c r="F52" s="1118">
        <v>10000000</v>
      </c>
      <c r="G52" s="1118">
        <v>10000000</v>
      </c>
      <c r="H52" s="1118">
        <v>10000000</v>
      </c>
      <c r="I52" s="1118">
        <v>10000000</v>
      </c>
      <c r="J52" s="1118">
        <v>10000000</v>
      </c>
      <c r="K52" s="1118">
        <v>10000000</v>
      </c>
      <c r="L52" s="1119">
        <v>10000000</v>
      </c>
      <c r="N52" s="1118">
        <f>'Data Master'!D52</f>
        <v>10000000</v>
      </c>
      <c r="O52" s="1118">
        <f>'Data Master'!E52</f>
        <v>10000000</v>
      </c>
      <c r="P52" s="1118">
        <f>'Data Master'!F52</f>
        <v>10000000</v>
      </c>
      <c r="Q52" s="1118">
        <f>'Data Master'!G52</f>
        <v>10000000</v>
      </c>
      <c r="R52" s="1118">
        <f>'Data Master'!H52</f>
        <v>10000000</v>
      </c>
      <c r="S52" s="1118">
        <f>'Data Master'!I52</f>
        <v>10000000</v>
      </c>
      <c r="T52" s="1118">
        <f>'Data Master'!J52</f>
        <v>10000000</v>
      </c>
      <c r="U52" s="1118">
        <f>'Data Master'!K52</f>
        <v>10000000</v>
      </c>
      <c r="V52" s="1119">
        <f>'Data Master'!L52</f>
        <v>10000000</v>
      </c>
      <c r="X52" s="1118">
        <f>'Data Master'!N52</f>
        <v>10000000</v>
      </c>
      <c r="Y52" s="1118">
        <f>'Data Master'!O52</f>
        <v>10000000</v>
      </c>
      <c r="Z52" s="1118">
        <f>'Data Master'!P52</f>
        <v>10000000</v>
      </c>
      <c r="AA52" s="1118">
        <f>'Data Master'!Q52</f>
        <v>10000000</v>
      </c>
      <c r="AB52" s="1118">
        <f>'Data Master'!R52</f>
        <v>10000000</v>
      </c>
      <c r="AC52" s="1118">
        <f>'Data Master'!S52</f>
        <v>10000000</v>
      </c>
      <c r="AD52" s="1118">
        <f>'Data Master'!T52</f>
        <v>10000000</v>
      </c>
      <c r="AE52" s="1118">
        <f>'Data Master'!U52</f>
        <v>10000000</v>
      </c>
      <c r="AF52" s="1119">
        <f>'Data Master'!V52</f>
        <v>10000000</v>
      </c>
      <c r="AH52" s="1118">
        <f>'Data Master'!X52</f>
        <v>10000000</v>
      </c>
      <c r="AI52" s="1118">
        <f>'Data Master'!Y52</f>
        <v>10000000</v>
      </c>
      <c r="AJ52" s="1118">
        <f>'Data Master'!Z52</f>
        <v>10000000</v>
      </c>
      <c r="AK52" s="1118">
        <f>'Data Master'!AA52</f>
        <v>10000000</v>
      </c>
      <c r="AL52" s="1118">
        <f>'Data Master'!AB52</f>
        <v>10000000</v>
      </c>
      <c r="AM52" s="1118">
        <f>'Data Master'!AC52</f>
        <v>10000000</v>
      </c>
      <c r="AN52" s="1118">
        <f>'Data Master'!AD52</f>
        <v>10000000</v>
      </c>
      <c r="AO52" s="1118">
        <f>'Data Master'!AE52</f>
        <v>10000000</v>
      </c>
      <c r="AP52" s="1119">
        <f>'Data Master'!AF52</f>
        <v>10000000</v>
      </c>
      <c r="AR52" s="1118">
        <f>'Data Master'!AH52</f>
        <v>10000000</v>
      </c>
      <c r="AS52" s="1118">
        <f>'Data Master'!AI52</f>
        <v>10000000</v>
      </c>
      <c r="AT52" s="1118">
        <f>'Data Master'!AJ52</f>
        <v>10000000</v>
      </c>
      <c r="AU52" s="1118">
        <f>'Data Master'!AK52</f>
        <v>10000000</v>
      </c>
      <c r="AV52" s="1118">
        <f>'Data Master'!AL52</f>
        <v>10000000</v>
      </c>
      <c r="AW52" s="1118">
        <f>'Data Master'!AM52</f>
        <v>10000000</v>
      </c>
      <c r="AX52" s="1118">
        <f>'Data Master'!AN52</f>
        <v>10000000</v>
      </c>
      <c r="AY52" s="1118">
        <f>'Data Master'!AO52</f>
        <v>10000000</v>
      </c>
      <c r="AZ52" s="1119">
        <f>'Data Master'!AP52</f>
        <v>10000000</v>
      </c>
    </row>
    <row r="53" spans="2:52" x14ac:dyDescent="0.3">
      <c r="B53" s="1056">
        <f t="shared" si="74"/>
        <v>6</v>
      </c>
      <c r="C53" s="1117" t="s">
        <v>371</v>
      </c>
      <c r="D53" s="1118">
        <v>480</v>
      </c>
      <c r="E53" s="1118">
        <v>480</v>
      </c>
      <c r="F53" s="1118">
        <v>480</v>
      </c>
      <c r="G53" s="1118">
        <v>480</v>
      </c>
      <c r="H53" s="1118">
        <v>480</v>
      </c>
      <c r="I53" s="1118">
        <v>480</v>
      </c>
      <c r="J53" s="1118">
        <v>480</v>
      </c>
      <c r="K53" s="1118">
        <v>480</v>
      </c>
      <c r="L53" s="1119">
        <v>480</v>
      </c>
      <c r="N53" s="1118">
        <f>'Data Master'!D53</f>
        <v>480</v>
      </c>
      <c r="O53" s="1118">
        <f>'Data Master'!E53</f>
        <v>480</v>
      </c>
      <c r="P53" s="1118">
        <f>'Data Master'!F53</f>
        <v>480</v>
      </c>
      <c r="Q53" s="1118">
        <f>'Data Master'!G53</f>
        <v>480</v>
      </c>
      <c r="R53" s="1118">
        <f>'Data Master'!H53</f>
        <v>480</v>
      </c>
      <c r="S53" s="1118">
        <f>'Data Master'!I53</f>
        <v>480</v>
      </c>
      <c r="T53" s="1118">
        <f>'Data Master'!J53</f>
        <v>480</v>
      </c>
      <c r="U53" s="1118">
        <f>'Data Master'!K53</f>
        <v>480</v>
      </c>
      <c r="V53" s="1119">
        <f>'Data Master'!L53</f>
        <v>480</v>
      </c>
      <c r="X53" s="1118">
        <f>'Data Master'!N53</f>
        <v>480</v>
      </c>
      <c r="Y53" s="1118">
        <f>'Data Master'!O53</f>
        <v>480</v>
      </c>
      <c r="Z53" s="1118">
        <f>'Data Master'!P53</f>
        <v>480</v>
      </c>
      <c r="AA53" s="1118">
        <f>'Data Master'!Q53</f>
        <v>480</v>
      </c>
      <c r="AB53" s="1118">
        <f>'Data Master'!R53</f>
        <v>480</v>
      </c>
      <c r="AC53" s="1118">
        <f>'Data Master'!S53</f>
        <v>480</v>
      </c>
      <c r="AD53" s="1118">
        <f>'Data Master'!T53</f>
        <v>480</v>
      </c>
      <c r="AE53" s="1118">
        <f>'Data Master'!U53</f>
        <v>480</v>
      </c>
      <c r="AF53" s="1119">
        <f>'Data Master'!V53</f>
        <v>480</v>
      </c>
      <c r="AH53" s="1118">
        <f>'Data Master'!X53</f>
        <v>480</v>
      </c>
      <c r="AI53" s="1118">
        <f>'Data Master'!Y53</f>
        <v>480</v>
      </c>
      <c r="AJ53" s="1118">
        <f>'Data Master'!Z53</f>
        <v>480</v>
      </c>
      <c r="AK53" s="1118">
        <f>'Data Master'!AA53</f>
        <v>480</v>
      </c>
      <c r="AL53" s="1118">
        <f>'Data Master'!AB53</f>
        <v>480</v>
      </c>
      <c r="AM53" s="1118">
        <f>'Data Master'!AC53</f>
        <v>480</v>
      </c>
      <c r="AN53" s="1118">
        <f>'Data Master'!AD53</f>
        <v>480</v>
      </c>
      <c r="AO53" s="1118">
        <f>'Data Master'!AE53</f>
        <v>480</v>
      </c>
      <c r="AP53" s="1119">
        <f>'Data Master'!AF53</f>
        <v>480</v>
      </c>
      <c r="AR53" s="1118">
        <f>'Data Master'!AH53</f>
        <v>480</v>
      </c>
      <c r="AS53" s="1118">
        <f>'Data Master'!AI53</f>
        <v>480</v>
      </c>
      <c r="AT53" s="1118">
        <f>'Data Master'!AJ53</f>
        <v>480</v>
      </c>
      <c r="AU53" s="1118">
        <f>'Data Master'!AK53</f>
        <v>480</v>
      </c>
      <c r="AV53" s="1118">
        <f>'Data Master'!AL53</f>
        <v>480</v>
      </c>
      <c r="AW53" s="1118">
        <f>'Data Master'!AM53</f>
        <v>480</v>
      </c>
      <c r="AX53" s="1118">
        <f>'Data Master'!AN53</f>
        <v>480</v>
      </c>
      <c r="AY53" s="1118">
        <f>'Data Master'!AO53</f>
        <v>480</v>
      </c>
      <c r="AZ53" s="1119">
        <f>'Data Master'!AP53</f>
        <v>480</v>
      </c>
    </row>
    <row r="54" spans="2:52" x14ac:dyDescent="0.3">
      <c r="B54" s="1056">
        <f t="shared" si="74"/>
        <v>7</v>
      </c>
      <c r="C54" s="1117" t="s">
        <v>372</v>
      </c>
      <c r="D54" s="1118">
        <v>960</v>
      </c>
      <c r="E54" s="1118">
        <v>960</v>
      </c>
      <c r="F54" s="1118">
        <v>960</v>
      </c>
      <c r="G54" s="1118">
        <v>960</v>
      </c>
      <c r="H54" s="1118">
        <v>960</v>
      </c>
      <c r="I54" s="1118">
        <v>960</v>
      </c>
      <c r="J54" s="1118">
        <v>960</v>
      </c>
      <c r="K54" s="1118">
        <v>960</v>
      </c>
      <c r="L54" s="1119">
        <v>960</v>
      </c>
      <c r="N54" s="1118">
        <f>'Data Master'!D54</f>
        <v>960</v>
      </c>
      <c r="O54" s="1118">
        <f>'Data Master'!E54</f>
        <v>960</v>
      </c>
      <c r="P54" s="1118">
        <f>'Data Master'!F54</f>
        <v>960</v>
      </c>
      <c r="Q54" s="1118">
        <f>'Data Master'!G54</f>
        <v>960</v>
      </c>
      <c r="R54" s="1118">
        <f>'Data Master'!H54</f>
        <v>960</v>
      </c>
      <c r="S54" s="1118">
        <f>'Data Master'!I54</f>
        <v>960</v>
      </c>
      <c r="T54" s="1118">
        <f>'Data Master'!J54</f>
        <v>960</v>
      </c>
      <c r="U54" s="1118">
        <f>'Data Master'!K54</f>
        <v>960</v>
      </c>
      <c r="V54" s="1119">
        <f>'Data Master'!L54</f>
        <v>960</v>
      </c>
      <c r="X54" s="1118">
        <f>'Data Master'!N54</f>
        <v>960</v>
      </c>
      <c r="Y54" s="1118">
        <f>'Data Master'!O54</f>
        <v>960</v>
      </c>
      <c r="Z54" s="1118">
        <f>'Data Master'!P54</f>
        <v>960</v>
      </c>
      <c r="AA54" s="1118">
        <f>'Data Master'!Q54</f>
        <v>960</v>
      </c>
      <c r="AB54" s="1118">
        <f>'Data Master'!R54</f>
        <v>960</v>
      </c>
      <c r="AC54" s="1118">
        <f>'Data Master'!S54</f>
        <v>960</v>
      </c>
      <c r="AD54" s="1118">
        <f>'Data Master'!T54</f>
        <v>960</v>
      </c>
      <c r="AE54" s="1118">
        <f>'Data Master'!U54</f>
        <v>960</v>
      </c>
      <c r="AF54" s="1119">
        <f>'Data Master'!V54</f>
        <v>960</v>
      </c>
      <c r="AH54" s="1118">
        <f>'Data Master'!X54</f>
        <v>960</v>
      </c>
      <c r="AI54" s="1118">
        <f>'Data Master'!Y54</f>
        <v>960</v>
      </c>
      <c r="AJ54" s="1118">
        <f>'Data Master'!Z54</f>
        <v>960</v>
      </c>
      <c r="AK54" s="1118">
        <f>'Data Master'!AA54</f>
        <v>960</v>
      </c>
      <c r="AL54" s="1118">
        <f>'Data Master'!AB54</f>
        <v>960</v>
      </c>
      <c r="AM54" s="1118">
        <f>'Data Master'!AC54</f>
        <v>960</v>
      </c>
      <c r="AN54" s="1118">
        <f>'Data Master'!AD54</f>
        <v>960</v>
      </c>
      <c r="AO54" s="1118">
        <f>'Data Master'!AE54</f>
        <v>960</v>
      </c>
      <c r="AP54" s="1119">
        <f>'Data Master'!AF54</f>
        <v>960</v>
      </c>
      <c r="AR54" s="1118">
        <f>'Data Master'!AH54</f>
        <v>960</v>
      </c>
      <c r="AS54" s="1118">
        <f>'Data Master'!AI54</f>
        <v>960</v>
      </c>
      <c r="AT54" s="1118">
        <f>'Data Master'!AJ54</f>
        <v>960</v>
      </c>
      <c r="AU54" s="1118">
        <f>'Data Master'!AK54</f>
        <v>960</v>
      </c>
      <c r="AV54" s="1118">
        <f>'Data Master'!AL54</f>
        <v>960</v>
      </c>
      <c r="AW54" s="1118">
        <f>'Data Master'!AM54</f>
        <v>960</v>
      </c>
      <c r="AX54" s="1118">
        <f>'Data Master'!AN54</f>
        <v>960</v>
      </c>
      <c r="AY54" s="1118">
        <f>'Data Master'!AO54</f>
        <v>960</v>
      </c>
      <c r="AZ54" s="1119">
        <f>'Data Master'!AP54</f>
        <v>960</v>
      </c>
    </row>
    <row r="55" spans="2:52" x14ac:dyDescent="0.3">
      <c r="B55" s="1056">
        <f t="shared" si="74"/>
        <v>8</v>
      </c>
      <c r="C55" s="1117" t="s">
        <v>373</v>
      </c>
      <c r="D55" s="1118">
        <v>10000000</v>
      </c>
      <c r="E55" s="1118">
        <v>10000000</v>
      </c>
      <c r="F55" s="1118">
        <v>10000000</v>
      </c>
      <c r="G55" s="1118">
        <v>10000000</v>
      </c>
      <c r="H55" s="1118">
        <v>10000000</v>
      </c>
      <c r="I55" s="1118">
        <v>10000000</v>
      </c>
      <c r="J55" s="1118">
        <v>10000000</v>
      </c>
      <c r="K55" s="1118">
        <v>10000000</v>
      </c>
      <c r="L55" s="1119">
        <v>10000000</v>
      </c>
      <c r="N55" s="1118">
        <f>'Data Master'!D55</f>
        <v>10000000</v>
      </c>
      <c r="O55" s="1118">
        <f>'Data Master'!E55</f>
        <v>10000000</v>
      </c>
      <c r="P55" s="1118">
        <f>'Data Master'!F55</f>
        <v>10000000</v>
      </c>
      <c r="Q55" s="1118">
        <f>'Data Master'!G55</f>
        <v>10000000</v>
      </c>
      <c r="R55" s="1118">
        <f>'Data Master'!H55</f>
        <v>10000000</v>
      </c>
      <c r="S55" s="1118">
        <f>'Data Master'!I55</f>
        <v>10000000</v>
      </c>
      <c r="T55" s="1118">
        <f>'Data Master'!J55</f>
        <v>10000000</v>
      </c>
      <c r="U55" s="1118">
        <f>'Data Master'!K55</f>
        <v>10000000</v>
      </c>
      <c r="V55" s="1119">
        <f>'Data Master'!L55</f>
        <v>10000000</v>
      </c>
      <c r="X55" s="1118">
        <f>'Data Master'!N55</f>
        <v>10000000</v>
      </c>
      <c r="Y55" s="1118">
        <f>'Data Master'!O55</f>
        <v>10000000</v>
      </c>
      <c r="Z55" s="1118">
        <f>'Data Master'!P55</f>
        <v>10000000</v>
      </c>
      <c r="AA55" s="1118">
        <f>'Data Master'!Q55</f>
        <v>10000000</v>
      </c>
      <c r="AB55" s="1118">
        <f>'Data Master'!R55</f>
        <v>10000000</v>
      </c>
      <c r="AC55" s="1118">
        <f>'Data Master'!S55</f>
        <v>10000000</v>
      </c>
      <c r="AD55" s="1118">
        <f>'Data Master'!T55</f>
        <v>10000000</v>
      </c>
      <c r="AE55" s="1118">
        <f>'Data Master'!U55</f>
        <v>10000000</v>
      </c>
      <c r="AF55" s="1119">
        <f>'Data Master'!V55</f>
        <v>10000000</v>
      </c>
      <c r="AH55" s="1118">
        <f>'Data Master'!X55</f>
        <v>10000000</v>
      </c>
      <c r="AI55" s="1118">
        <f>'Data Master'!Y55</f>
        <v>10000000</v>
      </c>
      <c r="AJ55" s="1118">
        <f>'Data Master'!Z55</f>
        <v>10000000</v>
      </c>
      <c r="AK55" s="1118">
        <f>'Data Master'!AA55</f>
        <v>10000000</v>
      </c>
      <c r="AL55" s="1118">
        <f>'Data Master'!AB55</f>
        <v>10000000</v>
      </c>
      <c r="AM55" s="1118">
        <f>'Data Master'!AC55</f>
        <v>10000000</v>
      </c>
      <c r="AN55" s="1118">
        <f>'Data Master'!AD55</f>
        <v>10000000</v>
      </c>
      <c r="AO55" s="1118">
        <f>'Data Master'!AE55</f>
        <v>10000000</v>
      </c>
      <c r="AP55" s="1119">
        <f>'Data Master'!AF55</f>
        <v>10000000</v>
      </c>
      <c r="AR55" s="1118">
        <f>'Data Master'!AH55</f>
        <v>10000000</v>
      </c>
      <c r="AS55" s="1118">
        <f>'Data Master'!AI55</f>
        <v>10000000</v>
      </c>
      <c r="AT55" s="1118">
        <f>'Data Master'!AJ55</f>
        <v>10000000</v>
      </c>
      <c r="AU55" s="1118">
        <f>'Data Master'!AK55</f>
        <v>10000000</v>
      </c>
      <c r="AV55" s="1118">
        <f>'Data Master'!AL55</f>
        <v>10000000</v>
      </c>
      <c r="AW55" s="1118">
        <f>'Data Master'!AM55</f>
        <v>10000000</v>
      </c>
      <c r="AX55" s="1118">
        <f>'Data Master'!AN55</f>
        <v>10000000</v>
      </c>
      <c r="AY55" s="1118">
        <f>'Data Master'!AO55</f>
        <v>10000000</v>
      </c>
      <c r="AZ55" s="1119">
        <f>'Data Master'!AP55</f>
        <v>10000000</v>
      </c>
    </row>
    <row r="56" spans="2:52" x14ac:dyDescent="0.3">
      <c r="B56" s="1056">
        <f t="shared" si="74"/>
        <v>9</v>
      </c>
      <c r="C56" s="1117" t="s">
        <v>374</v>
      </c>
      <c r="D56" s="1118">
        <v>10000000</v>
      </c>
      <c r="E56" s="1118">
        <v>10000000</v>
      </c>
      <c r="F56" s="1118">
        <v>10000000</v>
      </c>
      <c r="G56" s="1118">
        <v>10000000</v>
      </c>
      <c r="H56" s="1118">
        <v>10000000</v>
      </c>
      <c r="I56" s="1118">
        <v>10000000</v>
      </c>
      <c r="J56" s="1118">
        <v>10000000</v>
      </c>
      <c r="K56" s="1118">
        <v>10000000</v>
      </c>
      <c r="L56" s="1119">
        <v>10000000</v>
      </c>
      <c r="N56" s="1118">
        <f>'Data Master'!D56</f>
        <v>10000000</v>
      </c>
      <c r="O56" s="1118">
        <f>'Data Master'!E56</f>
        <v>10000000</v>
      </c>
      <c r="P56" s="1118">
        <f>'Data Master'!F56</f>
        <v>10000000</v>
      </c>
      <c r="Q56" s="1118">
        <f>'Data Master'!G56</f>
        <v>10000000</v>
      </c>
      <c r="R56" s="1118">
        <f>'Data Master'!H56</f>
        <v>10000000</v>
      </c>
      <c r="S56" s="1118">
        <f>'Data Master'!I56</f>
        <v>10000000</v>
      </c>
      <c r="T56" s="1118">
        <f>'Data Master'!J56</f>
        <v>10000000</v>
      </c>
      <c r="U56" s="1118">
        <f>'Data Master'!K56</f>
        <v>10000000</v>
      </c>
      <c r="V56" s="1119">
        <f>'Data Master'!L56</f>
        <v>10000000</v>
      </c>
      <c r="X56" s="1118">
        <f>'Data Master'!N56</f>
        <v>10000000</v>
      </c>
      <c r="Y56" s="1118">
        <f>'Data Master'!O56</f>
        <v>10000000</v>
      </c>
      <c r="Z56" s="1118">
        <f>'Data Master'!P56</f>
        <v>10000000</v>
      </c>
      <c r="AA56" s="1118">
        <f>'Data Master'!Q56</f>
        <v>10000000</v>
      </c>
      <c r="AB56" s="1118">
        <f>'Data Master'!R56</f>
        <v>10000000</v>
      </c>
      <c r="AC56" s="1118">
        <f>'Data Master'!S56</f>
        <v>10000000</v>
      </c>
      <c r="AD56" s="1118">
        <f>'Data Master'!T56</f>
        <v>10000000</v>
      </c>
      <c r="AE56" s="1118">
        <f>'Data Master'!U56</f>
        <v>10000000</v>
      </c>
      <c r="AF56" s="1119">
        <f>'Data Master'!V56</f>
        <v>10000000</v>
      </c>
      <c r="AH56" s="1118">
        <f>'Data Master'!X56</f>
        <v>10000000</v>
      </c>
      <c r="AI56" s="1118">
        <f>'Data Master'!Y56</f>
        <v>10000000</v>
      </c>
      <c r="AJ56" s="1118">
        <f>'Data Master'!Z56</f>
        <v>10000000</v>
      </c>
      <c r="AK56" s="1118">
        <f>'Data Master'!AA56</f>
        <v>10000000</v>
      </c>
      <c r="AL56" s="1118">
        <f>'Data Master'!AB56</f>
        <v>10000000</v>
      </c>
      <c r="AM56" s="1118">
        <f>'Data Master'!AC56</f>
        <v>10000000</v>
      </c>
      <c r="AN56" s="1118">
        <f>'Data Master'!AD56</f>
        <v>10000000</v>
      </c>
      <c r="AO56" s="1118">
        <f>'Data Master'!AE56</f>
        <v>10000000</v>
      </c>
      <c r="AP56" s="1119">
        <f>'Data Master'!AF56</f>
        <v>10000000</v>
      </c>
      <c r="AR56" s="1118">
        <f>'Data Master'!AH56</f>
        <v>10000000</v>
      </c>
      <c r="AS56" s="1118">
        <f>'Data Master'!AI56</f>
        <v>10000000</v>
      </c>
      <c r="AT56" s="1118">
        <f>'Data Master'!AJ56</f>
        <v>10000000</v>
      </c>
      <c r="AU56" s="1118">
        <f>'Data Master'!AK56</f>
        <v>10000000</v>
      </c>
      <c r="AV56" s="1118">
        <f>'Data Master'!AL56</f>
        <v>10000000</v>
      </c>
      <c r="AW56" s="1118">
        <f>'Data Master'!AM56</f>
        <v>10000000</v>
      </c>
      <c r="AX56" s="1118">
        <f>'Data Master'!AN56</f>
        <v>10000000</v>
      </c>
      <c r="AY56" s="1118">
        <f>'Data Master'!AO56</f>
        <v>10000000</v>
      </c>
      <c r="AZ56" s="1119">
        <f>'Data Master'!AP56</f>
        <v>10000000</v>
      </c>
    </row>
    <row r="57" spans="2:52" x14ac:dyDescent="0.3">
      <c r="B57" s="1056">
        <f t="shared" si="74"/>
        <v>10</v>
      </c>
      <c r="C57" s="1117" t="s">
        <v>47</v>
      </c>
      <c r="D57" s="1118">
        <v>40</v>
      </c>
      <c r="E57" s="1118">
        <v>40</v>
      </c>
      <c r="F57" s="1118">
        <v>50</v>
      </c>
      <c r="G57" s="1118">
        <v>40</v>
      </c>
      <c r="H57" s="1118">
        <v>40</v>
      </c>
      <c r="I57" s="1118">
        <v>75</v>
      </c>
      <c r="J57" s="1118">
        <v>40</v>
      </c>
      <c r="K57" s="1118">
        <v>40</v>
      </c>
      <c r="L57" s="1119">
        <v>40</v>
      </c>
      <c r="N57" s="1118">
        <f>'Data Master'!D57</f>
        <v>40</v>
      </c>
      <c r="O57" s="1118">
        <f>'Data Master'!E57</f>
        <v>40</v>
      </c>
      <c r="P57" s="1118">
        <f>'Data Master'!F57</f>
        <v>50</v>
      </c>
      <c r="Q57" s="1118">
        <f>'Data Master'!G57</f>
        <v>40</v>
      </c>
      <c r="R57" s="1118">
        <f>'Data Master'!H57</f>
        <v>40</v>
      </c>
      <c r="S57" s="1118">
        <f>'Data Master'!I57</f>
        <v>75</v>
      </c>
      <c r="T57" s="1118">
        <f>'Data Master'!J57</f>
        <v>40</v>
      </c>
      <c r="U57" s="1118">
        <f>'Data Master'!K57</f>
        <v>40</v>
      </c>
      <c r="V57" s="1119">
        <f>'Data Master'!L57</f>
        <v>40</v>
      </c>
      <c r="X57" s="1118">
        <f>'Data Master'!N57</f>
        <v>40</v>
      </c>
      <c r="Y57" s="1118">
        <f>'Data Master'!O57</f>
        <v>40</v>
      </c>
      <c r="Z57" s="1118">
        <f>'Data Master'!P57</f>
        <v>50</v>
      </c>
      <c r="AA57" s="1118">
        <f>'Data Master'!Q57</f>
        <v>40</v>
      </c>
      <c r="AB57" s="1118">
        <f>'Data Master'!R57</f>
        <v>40</v>
      </c>
      <c r="AC57" s="1118">
        <f>'Data Master'!S57</f>
        <v>75</v>
      </c>
      <c r="AD57" s="1118">
        <f>'Data Master'!T57</f>
        <v>40</v>
      </c>
      <c r="AE57" s="1118">
        <f>'Data Master'!U57</f>
        <v>40</v>
      </c>
      <c r="AF57" s="1119">
        <f>'Data Master'!V57</f>
        <v>40</v>
      </c>
      <c r="AH57" s="1118">
        <f>'Data Master'!X57</f>
        <v>40</v>
      </c>
      <c r="AI57" s="1118">
        <f>'Data Master'!Y57</f>
        <v>40</v>
      </c>
      <c r="AJ57" s="1118">
        <f>'Data Master'!Z57</f>
        <v>50</v>
      </c>
      <c r="AK57" s="1118">
        <f>'Data Master'!AA57</f>
        <v>40</v>
      </c>
      <c r="AL57" s="1118">
        <f>'Data Master'!AB57</f>
        <v>40</v>
      </c>
      <c r="AM57" s="1118">
        <f>'Data Master'!AC57</f>
        <v>75</v>
      </c>
      <c r="AN57" s="1118">
        <f>'Data Master'!AD57</f>
        <v>40</v>
      </c>
      <c r="AO57" s="1118">
        <f>'Data Master'!AE57</f>
        <v>40</v>
      </c>
      <c r="AP57" s="1119">
        <f>'Data Master'!AF57</f>
        <v>40</v>
      </c>
      <c r="AR57" s="1118">
        <f>'Data Master'!AH57</f>
        <v>40</v>
      </c>
      <c r="AS57" s="1118">
        <f>'Data Master'!AI57</f>
        <v>40</v>
      </c>
      <c r="AT57" s="1118">
        <f>'Data Master'!AJ57</f>
        <v>50</v>
      </c>
      <c r="AU57" s="1118">
        <f>'Data Master'!AK57</f>
        <v>40</v>
      </c>
      <c r="AV57" s="1118">
        <f>'Data Master'!AL57</f>
        <v>40</v>
      </c>
      <c r="AW57" s="1118">
        <f>'Data Master'!AM57</f>
        <v>75</v>
      </c>
      <c r="AX57" s="1118">
        <f>'Data Master'!AN57</f>
        <v>40</v>
      </c>
      <c r="AY57" s="1118">
        <f>'Data Master'!AO57</f>
        <v>40</v>
      </c>
      <c r="AZ57" s="1119">
        <f>'Data Master'!AP57</f>
        <v>40</v>
      </c>
    </row>
    <row r="58" spans="2:52" x14ac:dyDescent="0.3">
      <c r="B58" s="1056">
        <f t="shared" si="74"/>
        <v>11</v>
      </c>
      <c r="C58" s="1117" t="s">
        <v>46</v>
      </c>
      <c r="D58" s="1118">
        <v>75</v>
      </c>
      <c r="E58" s="1118">
        <v>75</v>
      </c>
      <c r="F58" s="1118">
        <v>75</v>
      </c>
      <c r="G58" s="1118">
        <v>75</v>
      </c>
      <c r="H58" s="1118">
        <v>75</v>
      </c>
      <c r="I58" s="1118">
        <v>100</v>
      </c>
      <c r="J58" s="1118">
        <v>75</v>
      </c>
      <c r="K58" s="1118">
        <v>75</v>
      </c>
      <c r="L58" s="1119">
        <v>75</v>
      </c>
      <c r="N58" s="1118">
        <f>'Data Master'!D58</f>
        <v>75</v>
      </c>
      <c r="O58" s="1118">
        <f>'Data Master'!E58</f>
        <v>75</v>
      </c>
      <c r="P58" s="1118">
        <f>'Data Master'!F58</f>
        <v>75</v>
      </c>
      <c r="Q58" s="1118">
        <f>'Data Master'!G58</f>
        <v>75</v>
      </c>
      <c r="R58" s="1118">
        <f>'Data Master'!H58</f>
        <v>75</v>
      </c>
      <c r="S58" s="1118">
        <f>'Data Master'!I58</f>
        <v>100</v>
      </c>
      <c r="T58" s="1118">
        <f>'Data Master'!J58</f>
        <v>75</v>
      </c>
      <c r="U58" s="1118">
        <f>'Data Master'!K58</f>
        <v>75</v>
      </c>
      <c r="V58" s="1119">
        <f>'Data Master'!L58</f>
        <v>75</v>
      </c>
      <c r="X58" s="1118">
        <f>'Data Master'!N58</f>
        <v>75</v>
      </c>
      <c r="Y58" s="1118">
        <f>'Data Master'!O58</f>
        <v>75</v>
      </c>
      <c r="Z58" s="1118">
        <f>'Data Master'!P58</f>
        <v>75</v>
      </c>
      <c r="AA58" s="1118">
        <f>'Data Master'!Q58</f>
        <v>75</v>
      </c>
      <c r="AB58" s="1118">
        <f>'Data Master'!R58</f>
        <v>75</v>
      </c>
      <c r="AC58" s="1118">
        <f>'Data Master'!S58</f>
        <v>100</v>
      </c>
      <c r="AD58" s="1118">
        <f>'Data Master'!T58</f>
        <v>75</v>
      </c>
      <c r="AE58" s="1118">
        <f>'Data Master'!U58</f>
        <v>75</v>
      </c>
      <c r="AF58" s="1119">
        <f>'Data Master'!V58</f>
        <v>75</v>
      </c>
      <c r="AH58" s="1118">
        <f>'Data Master'!X58</f>
        <v>75</v>
      </c>
      <c r="AI58" s="1118">
        <f>'Data Master'!Y58</f>
        <v>75</v>
      </c>
      <c r="AJ58" s="1118">
        <f>'Data Master'!Z58</f>
        <v>75</v>
      </c>
      <c r="AK58" s="1118">
        <f>'Data Master'!AA58</f>
        <v>75</v>
      </c>
      <c r="AL58" s="1118">
        <f>'Data Master'!AB58</f>
        <v>75</v>
      </c>
      <c r="AM58" s="1118">
        <f>'Data Master'!AC58</f>
        <v>100</v>
      </c>
      <c r="AN58" s="1118">
        <f>'Data Master'!AD58</f>
        <v>75</v>
      </c>
      <c r="AO58" s="1118">
        <f>'Data Master'!AE58</f>
        <v>75</v>
      </c>
      <c r="AP58" s="1119">
        <f>'Data Master'!AF58</f>
        <v>75</v>
      </c>
      <c r="AR58" s="1118">
        <f>'Data Master'!AH58</f>
        <v>75</v>
      </c>
      <c r="AS58" s="1118">
        <f>'Data Master'!AI58</f>
        <v>75</v>
      </c>
      <c r="AT58" s="1118">
        <f>'Data Master'!AJ58</f>
        <v>75</v>
      </c>
      <c r="AU58" s="1118">
        <f>'Data Master'!AK58</f>
        <v>75</v>
      </c>
      <c r="AV58" s="1118">
        <f>'Data Master'!AL58</f>
        <v>75</v>
      </c>
      <c r="AW58" s="1118">
        <f>'Data Master'!AM58</f>
        <v>100</v>
      </c>
      <c r="AX58" s="1118">
        <f>'Data Master'!AN58</f>
        <v>75</v>
      </c>
      <c r="AY58" s="1118">
        <f>'Data Master'!AO58</f>
        <v>75</v>
      </c>
      <c r="AZ58" s="1119">
        <f>'Data Master'!AP58</f>
        <v>75</v>
      </c>
    </row>
    <row r="59" spans="2:52" x14ac:dyDescent="0.3">
      <c r="B59" s="1056">
        <f t="shared" si="74"/>
        <v>12</v>
      </c>
      <c r="C59" s="1117" t="s">
        <v>206</v>
      </c>
      <c r="D59" s="1118">
        <v>100</v>
      </c>
      <c r="E59" s="1118">
        <v>100</v>
      </c>
      <c r="F59" s="1118">
        <v>100</v>
      </c>
      <c r="G59" s="1118">
        <v>100</v>
      </c>
      <c r="H59" s="1118">
        <v>100</v>
      </c>
      <c r="I59" s="1118">
        <v>50</v>
      </c>
      <c r="J59" s="1118">
        <v>100</v>
      </c>
      <c r="K59" s="1118">
        <v>100</v>
      </c>
      <c r="L59" s="1119">
        <v>100</v>
      </c>
      <c r="N59" s="1118">
        <f>'Data Master'!D59</f>
        <v>100</v>
      </c>
      <c r="O59" s="1118">
        <f>'Data Master'!E59</f>
        <v>100</v>
      </c>
      <c r="P59" s="1118">
        <f>'Data Master'!F59</f>
        <v>100</v>
      </c>
      <c r="Q59" s="1118">
        <f>'Data Master'!G59</f>
        <v>100</v>
      </c>
      <c r="R59" s="1118">
        <f>'Data Master'!H59</f>
        <v>100</v>
      </c>
      <c r="S59" s="1118">
        <f>'Data Master'!I59</f>
        <v>50</v>
      </c>
      <c r="T59" s="1118">
        <f>'Data Master'!J59</f>
        <v>100</v>
      </c>
      <c r="U59" s="1118">
        <f>'Data Master'!K59</f>
        <v>100</v>
      </c>
      <c r="V59" s="1119">
        <f>'Data Master'!L59</f>
        <v>100</v>
      </c>
      <c r="X59" s="1118">
        <f>'Data Master'!N59</f>
        <v>100</v>
      </c>
      <c r="Y59" s="1118">
        <f>'Data Master'!O59</f>
        <v>100</v>
      </c>
      <c r="Z59" s="1118">
        <f>'Data Master'!P59</f>
        <v>100</v>
      </c>
      <c r="AA59" s="1118">
        <f>'Data Master'!Q59</f>
        <v>100</v>
      </c>
      <c r="AB59" s="1118">
        <f>'Data Master'!R59</f>
        <v>100</v>
      </c>
      <c r="AC59" s="1118">
        <f>'Data Master'!S59</f>
        <v>50</v>
      </c>
      <c r="AD59" s="1118">
        <f>'Data Master'!T59</f>
        <v>100</v>
      </c>
      <c r="AE59" s="1118">
        <f>'Data Master'!U59</f>
        <v>100</v>
      </c>
      <c r="AF59" s="1119">
        <f>'Data Master'!V59</f>
        <v>100</v>
      </c>
      <c r="AH59" s="1118">
        <f>'Data Master'!X59</f>
        <v>100</v>
      </c>
      <c r="AI59" s="1118">
        <f>'Data Master'!Y59</f>
        <v>100</v>
      </c>
      <c r="AJ59" s="1118">
        <f>'Data Master'!Z59</f>
        <v>100</v>
      </c>
      <c r="AK59" s="1118">
        <f>'Data Master'!AA59</f>
        <v>100</v>
      </c>
      <c r="AL59" s="1118">
        <f>'Data Master'!AB59</f>
        <v>100</v>
      </c>
      <c r="AM59" s="1118">
        <f>'Data Master'!AC59</f>
        <v>50</v>
      </c>
      <c r="AN59" s="1118">
        <f>'Data Master'!AD59</f>
        <v>100</v>
      </c>
      <c r="AO59" s="1118">
        <f>'Data Master'!AE59</f>
        <v>100</v>
      </c>
      <c r="AP59" s="1119">
        <f>'Data Master'!AF59</f>
        <v>100</v>
      </c>
      <c r="AR59" s="1118">
        <f>'Data Master'!AH59</f>
        <v>100</v>
      </c>
      <c r="AS59" s="1118">
        <f>'Data Master'!AI59</f>
        <v>100</v>
      </c>
      <c r="AT59" s="1118">
        <f>'Data Master'!AJ59</f>
        <v>100</v>
      </c>
      <c r="AU59" s="1118">
        <f>'Data Master'!AK59</f>
        <v>100</v>
      </c>
      <c r="AV59" s="1118">
        <f>'Data Master'!AL59</f>
        <v>100</v>
      </c>
      <c r="AW59" s="1118">
        <f>'Data Master'!AM59</f>
        <v>50</v>
      </c>
      <c r="AX59" s="1118">
        <f>'Data Master'!AN59</f>
        <v>100</v>
      </c>
      <c r="AY59" s="1118">
        <f>'Data Master'!AO59</f>
        <v>100</v>
      </c>
      <c r="AZ59" s="1119">
        <f>'Data Master'!AP59</f>
        <v>100</v>
      </c>
    </row>
    <row r="60" spans="2:52" x14ac:dyDescent="0.3">
      <c r="B60" s="1056">
        <f t="shared" si="74"/>
        <v>13</v>
      </c>
      <c r="C60" s="1117" t="s">
        <v>375</v>
      </c>
      <c r="D60" s="1118">
        <v>100</v>
      </c>
      <c r="E60" s="1118">
        <v>100</v>
      </c>
      <c r="F60" s="1118">
        <v>100</v>
      </c>
      <c r="G60" s="1118">
        <v>100</v>
      </c>
      <c r="H60" s="1118">
        <v>100</v>
      </c>
      <c r="I60" s="1118">
        <v>100</v>
      </c>
      <c r="J60" s="1118">
        <v>100</v>
      </c>
      <c r="K60" s="1118">
        <v>100</v>
      </c>
      <c r="L60" s="1119">
        <v>100</v>
      </c>
      <c r="N60" s="1118">
        <f>'Data Master'!D60</f>
        <v>100</v>
      </c>
      <c r="O60" s="1118">
        <f>'Data Master'!E60</f>
        <v>100</v>
      </c>
      <c r="P60" s="1118">
        <f>'Data Master'!F60</f>
        <v>100</v>
      </c>
      <c r="Q60" s="1118">
        <f>'Data Master'!G60</f>
        <v>100</v>
      </c>
      <c r="R60" s="1118">
        <f>'Data Master'!H60</f>
        <v>100</v>
      </c>
      <c r="S60" s="1118">
        <f>'Data Master'!I60</f>
        <v>100</v>
      </c>
      <c r="T60" s="1118">
        <f>'Data Master'!J60</f>
        <v>100</v>
      </c>
      <c r="U60" s="1118">
        <f>'Data Master'!K60</f>
        <v>100</v>
      </c>
      <c r="V60" s="1119">
        <f>'Data Master'!L60</f>
        <v>100</v>
      </c>
      <c r="X60" s="1118">
        <f>'Data Master'!N60</f>
        <v>100</v>
      </c>
      <c r="Y60" s="1118">
        <f>'Data Master'!O60</f>
        <v>100</v>
      </c>
      <c r="Z60" s="1118">
        <f>'Data Master'!P60</f>
        <v>100</v>
      </c>
      <c r="AA60" s="1118">
        <f>'Data Master'!Q60</f>
        <v>100</v>
      </c>
      <c r="AB60" s="1118">
        <f>'Data Master'!R60</f>
        <v>100</v>
      </c>
      <c r="AC60" s="1118">
        <f>'Data Master'!S60</f>
        <v>100</v>
      </c>
      <c r="AD60" s="1118">
        <f>'Data Master'!T60</f>
        <v>100</v>
      </c>
      <c r="AE60" s="1118">
        <f>'Data Master'!U60</f>
        <v>100</v>
      </c>
      <c r="AF60" s="1119">
        <f>'Data Master'!V60</f>
        <v>100</v>
      </c>
      <c r="AH60" s="1118">
        <f>'Data Master'!X60</f>
        <v>100</v>
      </c>
      <c r="AI60" s="1118">
        <f>'Data Master'!Y60</f>
        <v>100</v>
      </c>
      <c r="AJ60" s="1118">
        <f>'Data Master'!Z60</f>
        <v>100</v>
      </c>
      <c r="AK60" s="1118">
        <f>'Data Master'!AA60</f>
        <v>100</v>
      </c>
      <c r="AL60" s="1118">
        <f>'Data Master'!AB60</f>
        <v>100</v>
      </c>
      <c r="AM60" s="1118">
        <f>'Data Master'!AC60</f>
        <v>100</v>
      </c>
      <c r="AN60" s="1118">
        <f>'Data Master'!AD60</f>
        <v>100</v>
      </c>
      <c r="AO60" s="1118">
        <f>'Data Master'!AE60</f>
        <v>100</v>
      </c>
      <c r="AP60" s="1119">
        <f>'Data Master'!AF60</f>
        <v>100</v>
      </c>
      <c r="AR60" s="1118">
        <f>'Data Master'!AH60</f>
        <v>100</v>
      </c>
      <c r="AS60" s="1118">
        <f>'Data Master'!AI60</f>
        <v>100</v>
      </c>
      <c r="AT60" s="1118">
        <f>'Data Master'!AJ60</f>
        <v>100</v>
      </c>
      <c r="AU60" s="1118">
        <f>'Data Master'!AK60</f>
        <v>100</v>
      </c>
      <c r="AV60" s="1118">
        <f>'Data Master'!AL60</f>
        <v>100</v>
      </c>
      <c r="AW60" s="1118">
        <f>'Data Master'!AM60</f>
        <v>100</v>
      </c>
      <c r="AX60" s="1118">
        <f>'Data Master'!AN60</f>
        <v>100</v>
      </c>
      <c r="AY60" s="1118">
        <f>'Data Master'!AO60</f>
        <v>100</v>
      </c>
      <c r="AZ60" s="1119">
        <f>'Data Master'!AP60</f>
        <v>100</v>
      </c>
    </row>
    <row r="61" spans="2:52" x14ac:dyDescent="0.3">
      <c r="B61" s="1056">
        <f t="shared" si="74"/>
        <v>14</v>
      </c>
      <c r="C61" s="1117" t="s">
        <v>376</v>
      </c>
      <c r="D61" s="1118">
        <v>400</v>
      </c>
      <c r="E61" s="1118">
        <v>400</v>
      </c>
      <c r="F61" s="1118">
        <v>400</v>
      </c>
      <c r="G61" s="1118">
        <v>400</v>
      </c>
      <c r="H61" s="1118">
        <v>400</v>
      </c>
      <c r="I61" s="1118">
        <v>400</v>
      </c>
      <c r="J61" s="1118">
        <v>400</v>
      </c>
      <c r="K61" s="1118">
        <v>400</v>
      </c>
      <c r="L61" s="1119">
        <v>400</v>
      </c>
      <c r="N61" s="1118">
        <f>'Data Master'!D61</f>
        <v>400</v>
      </c>
      <c r="O61" s="1118">
        <f>'Data Master'!E61</f>
        <v>400</v>
      </c>
      <c r="P61" s="1118">
        <f>'Data Master'!F61</f>
        <v>400</v>
      </c>
      <c r="Q61" s="1118">
        <f>'Data Master'!G61</f>
        <v>400</v>
      </c>
      <c r="R61" s="1118">
        <f>'Data Master'!H61</f>
        <v>400</v>
      </c>
      <c r="S61" s="1118">
        <f>'Data Master'!I61</f>
        <v>400</v>
      </c>
      <c r="T61" s="1118">
        <f>'Data Master'!J61</f>
        <v>400</v>
      </c>
      <c r="U61" s="1118">
        <f>'Data Master'!K61</f>
        <v>400</v>
      </c>
      <c r="V61" s="1119">
        <f>'Data Master'!L61</f>
        <v>400</v>
      </c>
      <c r="X61" s="1118">
        <f>'Data Master'!N61</f>
        <v>400</v>
      </c>
      <c r="Y61" s="1118">
        <f>'Data Master'!O61</f>
        <v>400</v>
      </c>
      <c r="Z61" s="1118">
        <f>'Data Master'!P61</f>
        <v>400</v>
      </c>
      <c r="AA61" s="1118">
        <f>'Data Master'!Q61</f>
        <v>400</v>
      </c>
      <c r="AB61" s="1118">
        <f>'Data Master'!R61</f>
        <v>400</v>
      </c>
      <c r="AC61" s="1118">
        <f>'Data Master'!S61</f>
        <v>400</v>
      </c>
      <c r="AD61" s="1118">
        <f>'Data Master'!T61</f>
        <v>400</v>
      </c>
      <c r="AE61" s="1118">
        <f>'Data Master'!U61</f>
        <v>400</v>
      </c>
      <c r="AF61" s="1119">
        <f>'Data Master'!V61</f>
        <v>400</v>
      </c>
      <c r="AH61" s="1118">
        <f>'Data Master'!X61</f>
        <v>400</v>
      </c>
      <c r="AI61" s="1118">
        <f>'Data Master'!Y61</f>
        <v>400</v>
      </c>
      <c r="AJ61" s="1118">
        <f>'Data Master'!Z61</f>
        <v>400</v>
      </c>
      <c r="AK61" s="1118">
        <f>'Data Master'!AA61</f>
        <v>400</v>
      </c>
      <c r="AL61" s="1118">
        <f>'Data Master'!AB61</f>
        <v>400</v>
      </c>
      <c r="AM61" s="1118">
        <f>'Data Master'!AC61</f>
        <v>400</v>
      </c>
      <c r="AN61" s="1118">
        <f>'Data Master'!AD61</f>
        <v>400</v>
      </c>
      <c r="AO61" s="1118">
        <f>'Data Master'!AE61</f>
        <v>400</v>
      </c>
      <c r="AP61" s="1119">
        <f>'Data Master'!AF61</f>
        <v>400</v>
      </c>
      <c r="AR61" s="1118">
        <f>'Data Master'!AH61</f>
        <v>400</v>
      </c>
      <c r="AS61" s="1118">
        <f>'Data Master'!AI61</f>
        <v>400</v>
      </c>
      <c r="AT61" s="1118">
        <f>'Data Master'!AJ61</f>
        <v>400</v>
      </c>
      <c r="AU61" s="1118">
        <f>'Data Master'!AK61</f>
        <v>400</v>
      </c>
      <c r="AV61" s="1118">
        <f>'Data Master'!AL61</f>
        <v>400</v>
      </c>
      <c r="AW61" s="1118">
        <f>'Data Master'!AM61</f>
        <v>400</v>
      </c>
      <c r="AX61" s="1118">
        <f>'Data Master'!AN61</f>
        <v>400</v>
      </c>
      <c r="AY61" s="1118">
        <f>'Data Master'!AO61</f>
        <v>400</v>
      </c>
      <c r="AZ61" s="1119">
        <f>'Data Master'!AP61</f>
        <v>400</v>
      </c>
    </row>
    <row r="62" spans="2:52" x14ac:dyDescent="0.3">
      <c r="B62" s="1056">
        <f t="shared" si="74"/>
        <v>15</v>
      </c>
      <c r="C62" s="1117" t="s">
        <v>251</v>
      </c>
      <c r="D62" s="1118">
        <v>10000000</v>
      </c>
      <c r="E62" s="1118">
        <v>10000000</v>
      </c>
      <c r="F62" s="1118">
        <v>10000000</v>
      </c>
      <c r="G62" s="1118">
        <v>10000000</v>
      </c>
      <c r="H62" s="1118">
        <v>10000000</v>
      </c>
      <c r="I62" s="1118">
        <v>10000000</v>
      </c>
      <c r="J62" s="1118">
        <v>10000000</v>
      </c>
      <c r="K62" s="1118">
        <v>10000000</v>
      </c>
      <c r="L62" s="1119">
        <v>10000000</v>
      </c>
      <c r="N62" s="1118">
        <f>'Data Master'!D62</f>
        <v>10000000</v>
      </c>
      <c r="O62" s="1118">
        <f>'Data Master'!E62</f>
        <v>10000000</v>
      </c>
      <c r="P62" s="1118">
        <f>'Data Master'!F62</f>
        <v>10000000</v>
      </c>
      <c r="Q62" s="1118">
        <f>'Data Master'!G62</f>
        <v>10000000</v>
      </c>
      <c r="R62" s="1118">
        <f>'Data Master'!H62</f>
        <v>10000000</v>
      </c>
      <c r="S62" s="1118">
        <f>'Data Master'!I62</f>
        <v>10000000</v>
      </c>
      <c r="T62" s="1118">
        <f>'Data Master'!J62</f>
        <v>10000000</v>
      </c>
      <c r="U62" s="1118">
        <f>'Data Master'!K62</f>
        <v>10000000</v>
      </c>
      <c r="V62" s="1119">
        <f>'Data Master'!L62</f>
        <v>10000000</v>
      </c>
      <c r="X62" s="1118">
        <f>'Data Master'!N62</f>
        <v>10000000</v>
      </c>
      <c r="Y62" s="1118">
        <f>'Data Master'!O62</f>
        <v>10000000</v>
      </c>
      <c r="Z62" s="1118">
        <f>'Data Master'!P62</f>
        <v>10000000</v>
      </c>
      <c r="AA62" s="1118">
        <f>'Data Master'!Q62</f>
        <v>10000000</v>
      </c>
      <c r="AB62" s="1118">
        <f>'Data Master'!R62</f>
        <v>10000000</v>
      </c>
      <c r="AC62" s="1118">
        <f>'Data Master'!S62</f>
        <v>10000000</v>
      </c>
      <c r="AD62" s="1118">
        <f>'Data Master'!T62</f>
        <v>10000000</v>
      </c>
      <c r="AE62" s="1118">
        <f>'Data Master'!U62</f>
        <v>10000000</v>
      </c>
      <c r="AF62" s="1119">
        <f>'Data Master'!V62</f>
        <v>10000000</v>
      </c>
      <c r="AH62" s="1118">
        <f>'Data Master'!X62</f>
        <v>10000000</v>
      </c>
      <c r="AI62" s="1118">
        <f>'Data Master'!Y62</f>
        <v>10000000</v>
      </c>
      <c r="AJ62" s="1118">
        <f>'Data Master'!Z62</f>
        <v>10000000</v>
      </c>
      <c r="AK62" s="1118">
        <f>'Data Master'!AA62</f>
        <v>10000000</v>
      </c>
      <c r="AL62" s="1118">
        <f>'Data Master'!AB62</f>
        <v>10000000</v>
      </c>
      <c r="AM62" s="1118">
        <f>'Data Master'!AC62</f>
        <v>10000000</v>
      </c>
      <c r="AN62" s="1118">
        <f>'Data Master'!AD62</f>
        <v>10000000</v>
      </c>
      <c r="AO62" s="1118">
        <f>'Data Master'!AE62</f>
        <v>10000000</v>
      </c>
      <c r="AP62" s="1119">
        <f>'Data Master'!AF62</f>
        <v>10000000</v>
      </c>
      <c r="AR62" s="1118">
        <f>'Data Master'!AH62</f>
        <v>10000000</v>
      </c>
      <c r="AS62" s="1118">
        <f>'Data Master'!AI62</f>
        <v>10000000</v>
      </c>
      <c r="AT62" s="1118">
        <f>'Data Master'!AJ62</f>
        <v>10000000</v>
      </c>
      <c r="AU62" s="1118">
        <f>'Data Master'!AK62</f>
        <v>10000000</v>
      </c>
      <c r="AV62" s="1118">
        <f>'Data Master'!AL62</f>
        <v>10000000</v>
      </c>
      <c r="AW62" s="1118">
        <f>'Data Master'!AM62</f>
        <v>10000000</v>
      </c>
      <c r="AX62" s="1118">
        <f>'Data Master'!AN62</f>
        <v>10000000</v>
      </c>
      <c r="AY62" s="1118">
        <f>'Data Master'!AO62</f>
        <v>10000000</v>
      </c>
      <c r="AZ62" s="1119">
        <f>'Data Master'!AP62</f>
        <v>10000000</v>
      </c>
    </row>
    <row r="63" spans="2:52" ht="13.5" thickBot="1" x14ac:dyDescent="0.35">
      <c r="B63" s="1056">
        <f t="shared" si="74"/>
        <v>16</v>
      </c>
      <c r="C63" s="1120" t="s">
        <v>252</v>
      </c>
      <c r="D63" s="1121">
        <v>10000000</v>
      </c>
      <c r="E63" s="1121">
        <v>10000000</v>
      </c>
      <c r="F63" s="1121">
        <v>10000000</v>
      </c>
      <c r="G63" s="1121">
        <v>10000000</v>
      </c>
      <c r="H63" s="1121">
        <v>10000000</v>
      </c>
      <c r="I63" s="1121">
        <v>10000000</v>
      </c>
      <c r="J63" s="1121">
        <v>10000000</v>
      </c>
      <c r="K63" s="1121">
        <v>10000000</v>
      </c>
      <c r="L63" s="1122">
        <v>10000000</v>
      </c>
      <c r="N63" s="1121">
        <f>'Data Master'!D63</f>
        <v>10000000</v>
      </c>
      <c r="O63" s="1121">
        <f>'Data Master'!E63</f>
        <v>10000000</v>
      </c>
      <c r="P63" s="1121">
        <f>'Data Master'!F63</f>
        <v>10000000</v>
      </c>
      <c r="Q63" s="1121">
        <f>'Data Master'!G63</f>
        <v>10000000</v>
      </c>
      <c r="R63" s="1121">
        <f>'Data Master'!H63</f>
        <v>10000000</v>
      </c>
      <c r="S63" s="1121">
        <f>'Data Master'!I63</f>
        <v>10000000</v>
      </c>
      <c r="T63" s="1121">
        <f>'Data Master'!J63</f>
        <v>10000000</v>
      </c>
      <c r="U63" s="1121">
        <f>'Data Master'!K63</f>
        <v>10000000</v>
      </c>
      <c r="V63" s="1122">
        <f>'Data Master'!L63</f>
        <v>10000000</v>
      </c>
      <c r="X63" s="1121">
        <f>'Data Master'!N63</f>
        <v>10000000</v>
      </c>
      <c r="Y63" s="1121">
        <f>'Data Master'!O63</f>
        <v>10000000</v>
      </c>
      <c r="Z63" s="1121">
        <f>'Data Master'!P63</f>
        <v>10000000</v>
      </c>
      <c r="AA63" s="1121">
        <f>'Data Master'!Q63</f>
        <v>10000000</v>
      </c>
      <c r="AB63" s="1121">
        <f>'Data Master'!R63</f>
        <v>10000000</v>
      </c>
      <c r="AC63" s="1121">
        <f>'Data Master'!S63</f>
        <v>10000000</v>
      </c>
      <c r="AD63" s="1121">
        <f>'Data Master'!T63</f>
        <v>10000000</v>
      </c>
      <c r="AE63" s="1121">
        <f>'Data Master'!U63</f>
        <v>10000000</v>
      </c>
      <c r="AF63" s="1122">
        <f>'Data Master'!V63</f>
        <v>10000000</v>
      </c>
      <c r="AH63" s="1121">
        <f>'Data Master'!X63</f>
        <v>10000000</v>
      </c>
      <c r="AI63" s="1121">
        <f>'Data Master'!Y63</f>
        <v>10000000</v>
      </c>
      <c r="AJ63" s="1121">
        <f>'Data Master'!Z63</f>
        <v>10000000</v>
      </c>
      <c r="AK63" s="1121">
        <f>'Data Master'!AA63</f>
        <v>10000000</v>
      </c>
      <c r="AL63" s="1121">
        <f>'Data Master'!AB63</f>
        <v>10000000</v>
      </c>
      <c r="AM63" s="1121">
        <f>'Data Master'!AC63</f>
        <v>10000000</v>
      </c>
      <c r="AN63" s="1121">
        <f>'Data Master'!AD63</f>
        <v>10000000</v>
      </c>
      <c r="AO63" s="1121">
        <f>'Data Master'!AE63</f>
        <v>10000000</v>
      </c>
      <c r="AP63" s="1122">
        <f>'Data Master'!AF63</f>
        <v>10000000</v>
      </c>
      <c r="AR63" s="1121">
        <f>'Data Master'!AH63</f>
        <v>10000000</v>
      </c>
      <c r="AS63" s="1121">
        <f>'Data Master'!AI63</f>
        <v>10000000</v>
      </c>
      <c r="AT63" s="1121">
        <f>'Data Master'!AJ63</f>
        <v>10000000</v>
      </c>
      <c r="AU63" s="1121">
        <f>'Data Master'!AK63</f>
        <v>10000000</v>
      </c>
      <c r="AV63" s="1121">
        <f>'Data Master'!AL63</f>
        <v>10000000</v>
      </c>
      <c r="AW63" s="1121">
        <f>'Data Master'!AM63</f>
        <v>10000000</v>
      </c>
      <c r="AX63" s="1121">
        <f>'Data Master'!AN63</f>
        <v>10000000</v>
      </c>
      <c r="AY63" s="1121">
        <f>'Data Master'!AO63</f>
        <v>10000000</v>
      </c>
      <c r="AZ63" s="1122">
        <f>'Data Master'!AP63</f>
        <v>10000000</v>
      </c>
    </row>
    <row r="65" spans="1:124" ht="13.5" thickBot="1" x14ac:dyDescent="0.35">
      <c r="B65" s="1022">
        <f>B48+1</f>
        <v>6</v>
      </c>
      <c r="C65" s="1090" t="s">
        <v>383</v>
      </c>
      <c r="D65" s="769"/>
      <c r="E65" s="769"/>
      <c r="F65" s="769"/>
      <c r="G65" s="769"/>
      <c r="H65" s="769"/>
      <c r="I65" s="769"/>
      <c r="J65" s="769"/>
      <c r="K65" s="769"/>
      <c r="L65" s="769"/>
      <c r="M65" s="769"/>
      <c r="N65" s="769"/>
      <c r="O65" s="769"/>
      <c r="P65" s="769"/>
      <c r="Q65" s="769"/>
      <c r="R65" s="769"/>
      <c r="S65" s="769"/>
      <c r="T65" s="769"/>
      <c r="U65" s="769"/>
      <c r="V65" s="769"/>
      <c r="W65" s="769"/>
      <c r="X65" s="769"/>
      <c r="Y65" s="769"/>
      <c r="Z65" s="769"/>
      <c r="AA65" s="769"/>
      <c r="AB65" s="769"/>
      <c r="AC65" s="769"/>
      <c r="AD65" s="769"/>
      <c r="AE65" s="769"/>
      <c r="AF65" s="769"/>
      <c r="AG65" s="769"/>
      <c r="AH65" s="769"/>
      <c r="AI65" s="769"/>
      <c r="AJ65" s="769"/>
      <c r="AK65" s="769"/>
      <c r="AL65" s="769"/>
      <c r="AM65" s="769"/>
      <c r="AN65" s="769"/>
      <c r="AO65" s="769"/>
      <c r="AP65" s="769"/>
      <c r="AQ65" s="769"/>
      <c r="AR65" s="769"/>
      <c r="AS65" s="769"/>
      <c r="AT65" s="769"/>
      <c r="AU65" s="769"/>
      <c r="AV65" s="769"/>
      <c r="AW65" s="769"/>
      <c r="AX65" s="769"/>
      <c r="AY65" s="769"/>
      <c r="AZ65" s="769"/>
      <c r="BA65" s="769"/>
      <c r="BB65" s="769"/>
      <c r="BC65" s="769"/>
      <c r="BD65" s="769"/>
      <c r="BE65" s="769"/>
      <c r="BF65" s="769"/>
      <c r="BG65" s="769"/>
      <c r="BH65" s="769"/>
      <c r="BI65" s="769"/>
      <c r="BJ65" s="769"/>
      <c r="BK65" s="769"/>
      <c r="BL65" s="769"/>
      <c r="BM65" s="769"/>
      <c r="BN65" s="769"/>
      <c r="BO65" s="769"/>
      <c r="BP65" s="769"/>
      <c r="BQ65" s="769"/>
      <c r="BR65" s="769"/>
      <c r="BS65" s="769"/>
      <c r="BT65" s="769"/>
      <c r="BU65" s="769"/>
      <c r="BV65" s="769"/>
      <c r="BW65" s="769"/>
      <c r="BX65" s="769"/>
      <c r="BY65" s="769"/>
      <c r="BZ65" s="769"/>
      <c r="CA65" s="769"/>
      <c r="CB65" s="769"/>
      <c r="CC65" s="769"/>
      <c r="CD65" s="769"/>
      <c r="CE65" s="769"/>
      <c r="CF65" s="769"/>
      <c r="CG65" s="769"/>
      <c r="CH65" s="769"/>
      <c r="CI65" s="769"/>
      <c r="CJ65" s="769"/>
      <c r="CK65" s="769"/>
      <c r="CL65" s="769"/>
      <c r="CM65" s="769"/>
      <c r="CN65" s="769"/>
      <c r="CO65" s="769"/>
      <c r="CP65" s="769"/>
      <c r="CQ65" s="769"/>
      <c r="CR65" s="769"/>
      <c r="CS65" s="769"/>
      <c r="CT65" s="769"/>
      <c r="CU65" s="769"/>
      <c r="CV65" s="769"/>
      <c r="CW65" s="769"/>
      <c r="CX65" s="769"/>
      <c r="CY65" s="769"/>
      <c r="CZ65" s="769"/>
      <c r="DA65" s="769"/>
      <c r="DB65" s="769"/>
      <c r="DC65" s="769"/>
      <c r="DD65" s="769"/>
      <c r="DE65" s="769"/>
      <c r="DF65" s="769"/>
      <c r="DG65" s="769"/>
      <c r="DH65" s="769"/>
      <c r="DI65" s="769"/>
      <c r="DJ65" s="769"/>
      <c r="DK65" s="769"/>
      <c r="DL65" s="769"/>
      <c r="DM65" s="769"/>
      <c r="DN65" s="769"/>
      <c r="DO65" s="769"/>
      <c r="DP65" s="769"/>
      <c r="DQ65" s="769"/>
      <c r="DR65" s="769"/>
      <c r="DS65" s="769"/>
      <c r="DT65" s="769"/>
    </row>
    <row r="66" spans="1:124" x14ac:dyDescent="0.3">
      <c r="C66" s="1084" t="s">
        <v>319</v>
      </c>
      <c r="D66" s="1033" t="s">
        <v>320</v>
      </c>
      <c r="E66" s="1034"/>
      <c r="F66" s="1043" t="s">
        <v>384</v>
      </c>
      <c r="G66" s="1034"/>
      <c r="H66" s="1034"/>
      <c r="I66" s="1034"/>
      <c r="J66" s="1034"/>
      <c r="K66" s="1034"/>
      <c r="L66" s="1034"/>
      <c r="M66" s="1034"/>
      <c r="N66" s="1034"/>
      <c r="O66" s="1034"/>
      <c r="P66" s="1034"/>
      <c r="Q66" s="1034"/>
      <c r="R66" s="1034"/>
      <c r="S66" s="1034"/>
      <c r="T66" s="1044" t="s">
        <v>385</v>
      </c>
      <c r="U66" s="1045"/>
      <c r="V66" s="1045"/>
      <c r="W66" s="1034"/>
      <c r="X66" s="1034"/>
      <c r="Y66" s="1034"/>
      <c r="Z66" s="1034"/>
      <c r="AA66" s="1034"/>
      <c r="AB66" s="1034"/>
      <c r="AC66" s="1034"/>
      <c r="AD66" s="1034"/>
      <c r="AE66" s="1034"/>
      <c r="AF66" s="1034"/>
      <c r="AG66" s="1034"/>
      <c r="AH66" s="1044" t="s">
        <v>426</v>
      </c>
      <c r="AI66" s="1045"/>
      <c r="AJ66" s="1045"/>
      <c r="AK66" s="1034"/>
      <c r="AL66" s="1034"/>
      <c r="AM66" s="1034"/>
      <c r="AN66" s="1034"/>
      <c r="AO66" s="1034"/>
      <c r="AP66" s="1034"/>
      <c r="AQ66" s="1034"/>
      <c r="AR66" s="1034"/>
      <c r="AS66" s="1034"/>
      <c r="AT66" s="1035"/>
      <c r="AU66" s="769"/>
      <c r="AV66" s="769"/>
      <c r="AW66" s="769"/>
      <c r="AX66" s="769"/>
      <c r="AY66" s="769"/>
      <c r="AZ66" s="769"/>
      <c r="BA66" s="769"/>
      <c r="BB66" s="769"/>
      <c r="BC66" s="769"/>
      <c r="BD66" s="769"/>
      <c r="BE66" s="769"/>
      <c r="BF66" s="769"/>
      <c r="BG66" s="769"/>
      <c r="BH66" s="769"/>
      <c r="BI66" s="769"/>
      <c r="BJ66" s="769"/>
      <c r="BK66" s="769"/>
      <c r="BL66" s="769"/>
      <c r="BM66" s="769"/>
      <c r="BN66" s="769"/>
      <c r="BO66" s="769"/>
      <c r="BP66" s="769"/>
      <c r="BQ66" s="769"/>
      <c r="BR66" s="769"/>
      <c r="BS66" s="769"/>
      <c r="BT66" s="769"/>
      <c r="BU66" s="769"/>
      <c r="BV66" s="769"/>
      <c r="BW66" s="769"/>
      <c r="BX66" s="769"/>
      <c r="BY66" s="769"/>
      <c r="BZ66" s="769"/>
      <c r="CA66" s="769"/>
      <c r="CB66" s="769"/>
      <c r="CC66" s="769"/>
      <c r="CD66" s="769"/>
      <c r="CE66" s="769"/>
      <c r="CF66" s="769"/>
      <c r="CG66" s="769"/>
      <c r="CH66" s="769"/>
      <c r="CI66" s="769"/>
      <c r="CJ66" s="769"/>
      <c r="CK66" s="769"/>
      <c r="CL66" s="769"/>
      <c r="CM66" s="769"/>
      <c r="CN66" s="769"/>
      <c r="CO66" s="769"/>
      <c r="CP66" s="769"/>
      <c r="CQ66" s="769"/>
      <c r="CR66" s="769"/>
      <c r="CS66" s="769"/>
      <c r="CT66" s="769"/>
      <c r="CU66" s="769"/>
      <c r="CV66" s="769"/>
      <c r="CW66" s="769"/>
      <c r="CX66" s="769"/>
      <c r="CY66" s="769"/>
      <c r="CZ66" s="769"/>
      <c r="DA66" s="769"/>
      <c r="DB66" s="769"/>
      <c r="DC66" s="769"/>
      <c r="DD66" s="769"/>
      <c r="DE66" s="769"/>
      <c r="DF66" s="769"/>
      <c r="DG66" s="769"/>
      <c r="DH66" s="769"/>
      <c r="DI66" s="769"/>
      <c r="DJ66" s="769"/>
      <c r="DK66" s="769"/>
      <c r="DL66" s="769"/>
      <c r="DM66" s="769"/>
      <c r="DN66" s="769"/>
      <c r="DO66" s="769"/>
      <c r="DP66" s="769"/>
      <c r="DQ66" s="769"/>
      <c r="DR66" s="769"/>
      <c r="DS66" s="769"/>
      <c r="DT66" s="769"/>
    </row>
    <row r="67" spans="1:124" ht="13.5" thickBot="1" x14ac:dyDescent="0.35">
      <c r="C67" s="1091" t="str">
        <f>Summary!$C$3</f>
        <v>Backoffice</v>
      </c>
      <c r="D67" s="1036" t="str">
        <f>Summary!$D$3</f>
        <v>L1</v>
      </c>
      <c r="E67" s="1037"/>
      <c r="F67" s="1036" t="s">
        <v>204</v>
      </c>
      <c r="G67" s="1036" t="s">
        <v>267</v>
      </c>
      <c r="H67" s="1036" t="s">
        <v>205</v>
      </c>
      <c r="I67" s="1036" t="s">
        <v>250</v>
      </c>
      <c r="J67" s="1036" t="s">
        <v>371</v>
      </c>
      <c r="K67" s="1036" t="s">
        <v>372</v>
      </c>
      <c r="L67" s="1036" t="s">
        <v>373</v>
      </c>
      <c r="M67" s="1036" t="s">
        <v>374</v>
      </c>
      <c r="N67" s="1036" t="s">
        <v>47</v>
      </c>
      <c r="O67" s="1036" t="s">
        <v>46</v>
      </c>
      <c r="P67" s="1036" t="s">
        <v>206</v>
      </c>
      <c r="Q67" s="1036" t="s">
        <v>375</v>
      </c>
      <c r="R67" s="1036" t="s">
        <v>376</v>
      </c>
      <c r="S67" s="1037"/>
      <c r="T67" s="1036" t="s">
        <v>204</v>
      </c>
      <c r="U67" s="1036" t="s">
        <v>267</v>
      </c>
      <c r="V67" s="1036" t="s">
        <v>205</v>
      </c>
      <c r="W67" s="1036" t="s">
        <v>250</v>
      </c>
      <c r="X67" s="1036" t="s">
        <v>371</v>
      </c>
      <c r="Y67" s="1036" t="s">
        <v>372</v>
      </c>
      <c r="Z67" s="1036" t="s">
        <v>373</v>
      </c>
      <c r="AA67" s="1036" t="s">
        <v>374</v>
      </c>
      <c r="AB67" s="1036" t="s">
        <v>47</v>
      </c>
      <c r="AC67" s="1036" t="s">
        <v>46</v>
      </c>
      <c r="AD67" s="1036" t="s">
        <v>206</v>
      </c>
      <c r="AE67" s="1036" t="s">
        <v>375</v>
      </c>
      <c r="AF67" s="1036" t="s">
        <v>376</v>
      </c>
      <c r="AG67" s="1037"/>
      <c r="AH67" s="1036" t="s">
        <v>204</v>
      </c>
      <c r="AI67" s="1036" t="s">
        <v>267</v>
      </c>
      <c r="AJ67" s="1036" t="s">
        <v>205</v>
      </c>
      <c r="AK67" s="1036" t="s">
        <v>250</v>
      </c>
      <c r="AL67" s="1036" t="s">
        <v>371</v>
      </c>
      <c r="AM67" s="1036" t="s">
        <v>372</v>
      </c>
      <c r="AN67" s="1036" t="s">
        <v>373</v>
      </c>
      <c r="AO67" s="1036" t="s">
        <v>374</v>
      </c>
      <c r="AP67" s="1036" t="s">
        <v>47</v>
      </c>
      <c r="AQ67" s="1036" t="s">
        <v>46</v>
      </c>
      <c r="AR67" s="1036" t="s">
        <v>206</v>
      </c>
      <c r="AS67" s="1036" t="s">
        <v>375</v>
      </c>
      <c r="AT67" s="1038" t="s">
        <v>376</v>
      </c>
      <c r="AU67" s="769"/>
      <c r="AV67" s="769"/>
      <c r="AW67" s="769"/>
      <c r="AX67" s="769"/>
      <c r="AY67" s="769"/>
      <c r="AZ67" s="769"/>
      <c r="BA67" s="769"/>
      <c r="BB67" s="769"/>
      <c r="BC67" s="769"/>
      <c r="BD67" s="769"/>
      <c r="BE67" s="769"/>
      <c r="BF67" s="769"/>
      <c r="BG67" s="769"/>
      <c r="BH67" s="769"/>
      <c r="BI67" s="769"/>
      <c r="BJ67" s="769"/>
      <c r="BK67" s="769"/>
      <c r="BL67" s="769"/>
      <c r="BM67" s="769"/>
      <c r="BN67" s="769"/>
      <c r="BO67" s="769"/>
      <c r="BP67" s="769"/>
      <c r="BQ67" s="769"/>
      <c r="BR67" s="769"/>
      <c r="BS67" s="769"/>
      <c r="BT67" s="769"/>
      <c r="BU67" s="769"/>
      <c r="BV67" s="769"/>
      <c r="BW67" s="769"/>
      <c r="BX67" s="769"/>
      <c r="BY67" s="769"/>
      <c r="BZ67" s="769"/>
      <c r="CA67" s="769"/>
      <c r="CB67" s="769"/>
      <c r="CC67" s="769"/>
      <c r="CD67" s="769"/>
      <c r="CE67" s="769"/>
      <c r="CF67" s="769"/>
      <c r="CG67" s="769"/>
      <c r="CH67" s="769"/>
      <c r="CI67" s="769"/>
      <c r="CJ67" s="769"/>
      <c r="CK67" s="769"/>
      <c r="CL67" s="769"/>
      <c r="CM67" s="769"/>
      <c r="CN67" s="769"/>
      <c r="CO67" s="769"/>
      <c r="CP67" s="769"/>
      <c r="CQ67" s="769"/>
      <c r="CR67" s="769"/>
      <c r="CS67" s="769"/>
      <c r="CT67" s="769"/>
      <c r="CU67" s="769"/>
      <c r="CV67" s="769"/>
      <c r="CW67" s="769"/>
      <c r="CX67" s="769"/>
      <c r="CY67" s="769"/>
      <c r="CZ67" s="769"/>
      <c r="DA67" s="769"/>
      <c r="DB67" s="769"/>
      <c r="DC67" s="769"/>
      <c r="DD67" s="769"/>
      <c r="DE67" s="769"/>
      <c r="DF67" s="769"/>
      <c r="DG67" s="769"/>
      <c r="DH67" s="769"/>
      <c r="DI67" s="769"/>
      <c r="DJ67" s="769"/>
      <c r="DK67" s="769"/>
      <c r="DL67" s="769"/>
      <c r="DM67" s="769"/>
      <c r="DN67" s="769"/>
      <c r="DO67" s="769"/>
      <c r="DP67" s="769"/>
      <c r="DQ67" s="769"/>
      <c r="DR67" s="769"/>
      <c r="DS67" s="769"/>
      <c r="DT67" s="769"/>
    </row>
    <row r="68" spans="1:124" x14ac:dyDescent="0.3">
      <c r="B68" s="844" t="str">
        <f>C68&amp;$C$67&amp;$D$67</f>
        <v>USBackofficeL1</v>
      </c>
      <c r="C68" s="1085" t="s">
        <v>44</v>
      </c>
      <c r="D68" s="1039">
        <f>VLOOKUP(B68,'US Salary'!$C$4:$G$15,5,0)</f>
        <v>3406.7846666666669</v>
      </c>
      <c r="E68" s="1040"/>
      <c r="F68" s="1039">
        <f>VLOOKUP(F$67,'US Salary'!$E$18:$G$33,3,0)</f>
        <v>4526.9966666666669</v>
      </c>
      <c r="G68" s="1039">
        <f>VLOOKUP(G$67,'US Salary'!$E$18:$G$33,3,0)</f>
        <v>5456.2666666666664</v>
      </c>
      <c r="H68" s="1039">
        <f>VLOOKUP(H$67,'US Salary'!$E$18:$G$33,3,0)</f>
        <v>7519.2666666666673</v>
      </c>
      <c r="I68" s="1039">
        <f>VLOOKUP(I$67,'US Salary'!$E$18:$G$33,3,0)</f>
        <v>9222.1666666666661</v>
      </c>
      <c r="J68" s="1039">
        <f>VLOOKUP(J$67,'US Salary'!$E$18:$G$33,3,0)</f>
        <v>11037.690000000002</v>
      </c>
      <c r="K68" s="1039">
        <f>VLOOKUP(K$67,'US Salary'!$E$18:$G$33,3,0)</f>
        <v>13212.156666666668</v>
      </c>
      <c r="L68" s="1039">
        <f>VLOOKUP(L$67,'US Salary'!$E$18:$G$33,3,0)</f>
        <v>15169.176666666664</v>
      </c>
      <c r="M68" s="1039">
        <f>VLOOKUP(M$67,'US Salary'!$E$18:$G$33,3,0)</f>
        <v>4526.9966666666669</v>
      </c>
      <c r="N68" s="1039">
        <f>VLOOKUP(N$67,'US Salary'!$E$18:$G$33,3,0)</f>
        <v>4526.9966666666669</v>
      </c>
      <c r="O68" s="1039">
        <f>VLOOKUP(O$67,'US Salary'!$E$18:$G$33,3,0)</f>
        <v>4526.9966666666669</v>
      </c>
      <c r="P68" s="1039">
        <f>VLOOKUP(P$67,'US Salary'!$E$18:$G$33,3,0)</f>
        <v>3384.5566666666673</v>
      </c>
      <c r="Q68" s="1039">
        <f>VLOOKUP(Q$67,'US Salary'!$E$18:$G$33,3,0)</f>
        <v>8258.1166666666668</v>
      </c>
      <c r="R68" s="1039">
        <f>VLOOKUP(R$67,'US Salary'!$E$18:$G$33,3,0)</f>
        <v>8258.1166666666668</v>
      </c>
      <c r="S68" s="1062" t="str">
        <f>B68</f>
        <v>USBackofficeL1</v>
      </c>
      <c r="T68" s="1039">
        <f>VLOOKUP(T$67,'US Salary'!$Y$69:$AM$84,15,0)</f>
        <v>5849.543333333334</v>
      </c>
      <c r="U68" s="1039">
        <f>VLOOKUP(U$67,'US Salary'!$Y$69:$AM$84,15,0)</f>
        <v>6113.3</v>
      </c>
      <c r="V68" s="1039">
        <f>VLOOKUP(V$67,'US Salary'!$Y$69:$AM$84,15,0)</f>
        <v>7508.9666666666681</v>
      </c>
      <c r="W68" s="1039">
        <f>VLOOKUP(W$67,'US Salary'!$Y$69:$AM$84,15,0)</f>
        <v>9211.8666666666668</v>
      </c>
      <c r="X68" s="1039">
        <f>VLOOKUP(X$67,'US Salary'!$Y$69:$AM$84,15,0)</f>
        <v>11027.390000000001</v>
      </c>
      <c r="Y68" s="1039">
        <f>VLOOKUP(Y$67,'US Salary'!$Y$69:$AM$84,15,0)</f>
        <v>13201.856666666667</v>
      </c>
      <c r="Z68" s="1039">
        <f>VLOOKUP(Z$67,'US Salary'!$Y$69:$AM$84,15,0)</f>
        <v>15158.876666666663</v>
      </c>
      <c r="AA68" s="1039">
        <f>VLOOKUP(AA$67,'US Salary'!$Y$69:$AM$84,15,0)</f>
        <v>5849.543333333334</v>
      </c>
      <c r="AB68" s="1039">
        <f>VLOOKUP(AB$67,'US Salary'!$Y$69:$AM$84,15,0)</f>
        <v>5849.543333333334</v>
      </c>
      <c r="AC68" s="1039">
        <f>VLOOKUP(AC$67,'US Salary'!$Y$69:$AM$84,15,0)</f>
        <v>5849.543333333334</v>
      </c>
      <c r="AD68" s="1039">
        <f>VLOOKUP(AD$67,'US Salary'!$Y$69:$AM$84,15,0)</f>
        <v>3374.2566666666667</v>
      </c>
      <c r="AE68" s="1039">
        <f>VLOOKUP(AE$67,'US Salary'!$Y$69:$AM$84,15,0)</f>
        <v>8247.8166666666675</v>
      </c>
      <c r="AF68" s="1039">
        <f>VLOOKUP(AF$67,'US Salary'!$Y$69:$AM$84,15,0)</f>
        <v>8247.8166666666675</v>
      </c>
      <c r="AG68" s="1062" t="str">
        <f>S68</f>
        <v>USBackofficeL1</v>
      </c>
      <c r="AH68" s="1039">
        <f>VLOOKUP(AH$67,'US Salary'!$Y$86:$AM$101,15,0)</f>
        <v>6420.7633333333333</v>
      </c>
      <c r="AI68" s="1039">
        <f>VLOOKUP(AI$67,'US Salary'!$Y$86:$AM$101,15,0)</f>
        <v>7066.6333333333341</v>
      </c>
      <c r="AJ68" s="1039">
        <f>VLOOKUP(AJ$67,'US Salary'!$Y$86:$AM$101,15,0)</f>
        <v>8801.8495999999996</v>
      </c>
      <c r="AK68" s="1039">
        <f>VLOOKUP(AK$67,'US Salary'!$Y$86:$AM$101,15,0)</f>
        <v>9211.8666666666668</v>
      </c>
      <c r="AL68" s="1039">
        <f>VLOOKUP(AL$67,'US Salary'!$Y$86:$AM$101,15,0)</f>
        <v>11027.390000000001</v>
      </c>
      <c r="AM68" s="1039">
        <f>VLOOKUP(AM$67,'US Salary'!$Y$86:$AM$101,15,0)</f>
        <v>13201.856666666667</v>
      </c>
      <c r="AN68" s="1039">
        <f>VLOOKUP(AN$67,'US Salary'!$Y$86:$AM$101,15,0)</f>
        <v>15158.876666666663</v>
      </c>
      <c r="AO68" s="1039">
        <f>VLOOKUP(AO$67,'US Salary'!$Y$86:$AM$101,15,0)</f>
        <v>6420.7633333333333</v>
      </c>
      <c r="AP68" s="1039">
        <f>VLOOKUP(AP$67,'US Salary'!$Y$86:$AM$101,15,0)</f>
        <v>6420.7633333333333</v>
      </c>
      <c r="AQ68" s="1039">
        <f>VLOOKUP(AQ$67,'US Salary'!$Y$86:$AM$101,15,0)</f>
        <v>6420.7633333333333</v>
      </c>
      <c r="AR68" s="1039">
        <f>VLOOKUP(AR$67,'US Salary'!$Y$86:$AM$101,15,0)</f>
        <v>3755.0699999999997</v>
      </c>
      <c r="AS68" s="1039">
        <f>VLOOKUP(AS$67,'US Salary'!$Y$86:$AM$101,15,0)</f>
        <v>8247.8166666666675</v>
      </c>
      <c r="AT68" s="1039">
        <f>VLOOKUP(AT$67,'US Salary'!$Y$86:$AM$101,15,0)</f>
        <v>8247.8166666666675</v>
      </c>
      <c r="AU68" s="769"/>
      <c r="AV68" s="769"/>
      <c r="AW68" s="769"/>
      <c r="AX68" s="769"/>
      <c r="AY68" s="769"/>
      <c r="AZ68" s="769"/>
      <c r="BA68" s="769"/>
      <c r="BB68" s="769"/>
      <c r="BC68" s="769"/>
      <c r="BD68" s="769"/>
      <c r="BE68" s="769"/>
      <c r="BF68" s="769"/>
      <c r="BG68" s="769"/>
      <c r="BH68" s="769"/>
      <c r="BI68" s="769"/>
      <c r="BJ68" s="769"/>
      <c r="BK68" s="769"/>
      <c r="BL68" s="769"/>
      <c r="BM68" s="769"/>
      <c r="BN68" s="769"/>
      <c r="BO68" s="769"/>
      <c r="BP68" s="769"/>
      <c r="BQ68" s="769"/>
      <c r="BR68" s="769"/>
      <c r="BS68" s="769"/>
      <c r="BT68" s="769"/>
      <c r="BU68" s="769"/>
      <c r="BV68" s="769"/>
      <c r="BW68" s="769"/>
      <c r="BX68" s="769"/>
      <c r="BY68" s="769"/>
      <c r="BZ68" s="769"/>
      <c r="CA68" s="769"/>
      <c r="CB68" s="769"/>
      <c r="CC68" s="769"/>
      <c r="CD68" s="769"/>
      <c r="CE68" s="769"/>
      <c r="CF68" s="769"/>
      <c r="CG68" s="769"/>
      <c r="CH68" s="769"/>
      <c r="CI68" s="769"/>
      <c r="CJ68" s="769"/>
      <c r="CK68" s="769"/>
      <c r="CL68" s="769"/>
      <c r="CM68" s="769"/>
      <c r="CN68" s="769"/>
      <c r="CO68" s="769"/>
      <c r="CP68" s="769"/>
      <c r="CQ68" s="769"/>
      <c r="CR68" s="769"/>
      <c r="CS68" s="769"/>
      <c r="CT68" s="769"/>
      <c r="CU68" s="769"/>
      <c r="CV68" s="769"/>
      <c r="CW68" s="769"/>
      <c r="CX68" s="769"/>
      <c r="CY68" s="769"/>
      <c r="CZ68" s="769"/>
      <c r="DA68" s="769"/>
      <c r="DB68" s="769"/>
      <c r="DC68" s="769"/>
      <c r="DD68" s="769"/>
      <c r="DE68" s="769"/>
      <c r="DF68" s="769"/>
      <c r="DG68" s="769"/>
      <c r="DH68" s="769"/>
      <c r="DI68" s="769"/>
      <c r="DJ68" s="769"/>
      <c r="DK68" s="769"/>
      <c r="DL68" s="769"/>
      <c r="DM68" s="769"/>
      <c r="DN68" s="769"/>
      <c r="DO68" s="769"/>
      <c r="DP68" s="769"/>
      <c r="DQ68" s="769"/>
      <c r="DR68" s="769"/>
      <c r="DS68" s="769"/>
      <c r="DT68" s="769"/>
    </row>
    <row r="69" spans="1:124" x14ac:dyDescent="0.3">
      <c r="B69" s="844" t="str">
        <f t="shared" ref="B69:B76" si="75">C69&amp;$C$67&amp;$D$67</f>
        <v>UKBackofficeL1</v>
      </c>
      <c r="C69" s="1085" t="s">
        <v>29</v>
      </c>
      <c r="D69" s="1141">
        <f>VLOOKUP(B69,'UK Salary'!$D$4:$I$13,6,0)/12</f>
        <v>2604.3414739817495</v>
      </c>
      <c r="E69" s="1041"/>
      <c r="F69" s="1141">
        <f>VLOOKUP(F$67,'UK Salary'!$F$16:$I$31,4,0)/12</f>
        <v>3049.5661764705878</v>
      </c>
      <c r="G69" s="1141">
        <f>VLOOKUP(G$67,'UK Salary'!$F$16:$I$31,4,0)/12</f>
        <v>4003.5974264705878</v>
      </c>
      <c r="H69" s="1141">
        <f>VLOOKUP(H$67,'UK Salary'!$F$16:$I$31,4,0)/12</f>
        <v>5016.4489889705883</v>
      </c>
      <c r="I69" s="1141">
        <f>VLOOKUP(I$67,'UK Salary'!$F$16:$I$31,4,0)/12</f>
        <v>5522.8747702205883</v>
      </c>
      <c r="J69" s="1141">
        <f>VLOOKUP(J$67,'UK Salary'!$F$16:$I$31,4,0)/12</f>
        <v>6859.3747702205883</v>
      </c>
      <c r="K69" s="1141">
        <f>VLOOKUP(K$67,'UK Salary'!$F$16:$I$31,4,0)/12</f>
        <v>8864.1247702205892</v>
      </c>
      <c r="L69" s="1141">
        <f>VLOOKUP(L$67,'UK Salary'!$F$16:$I$31,4,0)/12</f>
        <v>11537.704848345589</v>
      </c>
      <c r="M69" s="1141">
        <f>VLOOKUP(M$67,'UK Salary'!$F$16:$I$31,4,0)/12</f>
        <v>3049.5661764705878</v>
      </c>
      <c r="N69" s="1141">
        <f>VLOOKUP(N$67,'UK Salary'!$F$16:$I$31,4,0)/12</f>
        <v>3049.5661764705878</v>
      </c>
      <c r="O69" s="1141">
        <f>VLOOKUP(O$67,'UK Salary'!$F$16:$I$31,4,0)/12</f>
        <v>3049.5661764705878</v>
      </c>
      <c r="P69" s="1141">
        <f>VLOOKUP(P$67,'UK Salary'!$F$16:$I$31,4,0)/12</f>
        <v>3050.7195837265031</v>
      </c>
      <c r="Q69" s="1141">
        <f>VLOOKUP(Q$67,'UK Salary'!$F$16:$I$31,4,0)/12</f>
        <v>5522.8747702205883</v>
      </c>
      <c r="R69" s="1141">
        <f>VLOOKUP(R$67,'UK Salary'!$F$16:$I$31,4,0)/12</f>
        <v>7135.2177772205878</v>
      </c>
      <c r="S69" s="1063" t="str">
        <f t="shared" ref="S69:S76" si="76">B69</f>
        <v>UKBackofficeL1</v>
      </c>
      <c r="T69" s="1141">
        <f>VLOOKUP(T$67,'UK Salary'!$F$35:$I$50,4,0)/12</f>
        <v>3612.5138143188783</v>
      </c>
      <c r="U69" s="1141">
        <f>VLOOKUP(U$67,'UK Salary'!$F$35:$I$50,4,0)/12</f>
        <v>4739.9401613352084</v>
      </c>
      <c r="V69" s="1141">
        <f>VLOOKUP(V$67,'UK Salary'!$F$35:$I$50,4,0)/12</f>
        <v>5016.4489889705883</v>
      </c>
      <c r="W69" s="1141">
        <f>VLOOKUP(W$67,'UK Salary'!$F$35:$I$50,4,0)/12</f>
        <v>5522.8747702205883</v>
      </c>
      <c r="X69" s="1141">
        <f>VLOOKUP(X$67,'UK Salary'!$F$35:$I$50,4,0)/12</f>
        <v>6859.3747702205883</v>
      </c>
      <c r="Y69" s="1141">
        <f>VLOOKUP(Y$67,'UK Salary'!$F$35:$I$50,4,0)/12</f>
        <v>8864.1247702205892</v>
      </c>
      <c r="Z69" s="1141">
        <f>VLOOKUP(Z$67,'UK Salary'!$F$35:$I$50,4,0)/12</f>
        <v>11537.704848345589</v>
      </c>
      <c r="AA69" s="1141">
        <f>VLOOKUP(AA$67,'UK Salary'!$F$35:$I$50,4,0)/12</f>
        <v>3612.5138143188783</v>
      </c>
      <c r="AB69" s="1141">
        <f>VLOOKUP(AB$67,'UK Salary'!$F$35:$I$50,4,0)/12</f>
        <v>3612.5138143188783</v>
      </c>
      <c r="AC69" s="1141">
        <f>VLOOKUP(AC$67,'UK Salary'!$F$35:$I$50,4,0)/12</f>
        <v>3612.5138143188783</v>
      </c>
      <c r="AD69" s="1141">
        <f>VLOOKUP(AD$67,'UK Salary'!$F$35:$I$50,4,0)/12</f>
        <v>3050.7195837265031</v>
      </c>
      <c r="AE69" s="1141">
        <f>VLOOKUP(AE$67,'UK Salary'!$F$35:$I$50,4,0)/12</f>
        <v>5522.8747702205883</v>
      </c>
      <c r="AF69" s="1141">
        <f>VLOOKUP(AF$67,'UK Salary'!$F$35:$I$50,4,0)/12</f>
        <v>7135.2177772205878</v>
      </c>
      <c r="AG69" s="1063" t="str">
        <f t="shared" ref="AG69:AG76" si="77">S69</f>
        <v>UKBackofficeL1</v>
      </c>
      <c r="AH69" s="1141">
        <f>VLOOKUP(AH$67,'UK Salary'!$F$35:$I$50,4,0)/12</f>
        <v>3612.5138143188783</v>
      </c>
      <c r="AI69" s="1141">
        <f>VLOOKUP(AI$67,'UK Salary'!$F$35:$I$50,4,0)/12</f>
        <v>4739.9401613352084</v>
      </c>
      <c r="AJ69" s="1141">
        <f>VLOOKUP(AJ$67,'UK Salary'!$F$35:$I$50,4,0)/12</f>
        <v>5016.4489889705883</v>
      </c>
      <c r="AK69" s="1141">
        <f>VLOOKUP(AK$67,'UK Salary'!$F$35:$I$50,4,0)/12</f>
        <v>5522.8747702205883</v>
      </c>
      <c r="AL69" s="1141">
        <f>VLOOKUP(AL$67,'UK Salary'!$F$35:$I$50,4,0)/12</f>
        <v>6859.3747702205883</v>
      </c>
      <c r="AM69" s="1141">
        <f>VLOOKUP(AM$67,'UK Salary'!$F$35:$I$50,4,0)/12</f>
        <v>8864.1247702205892</v>
      </c>
      <c r="AN69" s="1141">
        <f>VLOOKUP(AN$67,'UK Salary'!$F$35:$I$50,4,0)/12</f>
        <v>11537.704848345589</v>
      </c>
      <c r="AO69" s="1141">
        <f>VLOOKUP(AO$67,'UK Salary'!$F$35:$I$50,4,0)/12</f>
        <v>3612.5138143188783</v>
      </c>
      <c r="AP69" s="1141">
        <f>VLOOKUP(AP$67,'UK Salary'!$F$35:$I$50,4,0)/12</f>
        <v>3612.5138143188783</v>
      </c>
      <c r="AQ69" s="1141">
        <f>VLOOKUP(AQ$67,'UK Salary'!$F$35:$I$50,4,0)/12</f>
        <v>3612.5138143188783</v>
      </c>
      <c r="AR69" s="1141">
        <f>VLOOKUP(AR$67,'UK Salary'!$F$35:$I$50,4,0)/12</f>
        <v>3050.7195837265031</v>
      </c>
      <c r="AS69" s="1141">
        <f>VLOOKUP(AS$67,'UK Salary'!$F$35:$I$50,4,0)/12</f>
        <v>5522.8747702205883</v>
      </c>
      <c r="AT69" s="1141">
        <f>VLOOKUP(AT$67,'UK Salary'!$F$35:$I$50,4,0)/12</f>
        <v>7135.2177772205878</v>
      </c>
      <c r="AU69" s="769"/>
      <c r="AV69" s="769"/>
      <c r="AW69" s="769"/>
      <c r="AX69" s="769"/>
      <c r="AY69" s="769"/>
      <c r="AZ69" s="769"/>
      <c r="BA69" s="769"/>
      <c r="BB69" s="769"/>
      <c r="BC69" s="769"/>
      <c r="BD69" s="769"/>
      <c r="BE69" s="769"/>
      <c r="BF69" s="769"/>
      <c r="BG69" s="769"/>
      <c r="BH69" s="769"/>
      <c r="BI69" s="769"/>
      <c r="BJ69" s="769"/>
      <c r="BK69" s="769"/>
      <c r="BL69" s="769"/>
      <c r="BM69" s="769"/>
      <c r="BN69" s="769"/>
      <c r="BO69" s="769"/>
      <c r="BP69" s="769"/>
      <c r="BQ69" s="769"/>
      <c r="BR69" s="769"/>
      <c r="BS69" s="769"/>
      <c r="BT69" s="769"/>
      <c r="BU69" s="769"/>
      <c r="BV69" s="769"/>
      <c r="BW69" s="769"/>
      <c r="BX69" s="769"/>
      <c r="BY69" s="769"/>
      <c r="BZ69" s="769"/>
      <c r="CA69" s="769"/>
      <c r="CB69" s="769"/>
      <c r="CC69" s="769"/>
      <c r="CD69" s="769"/>
      <c r="CE69" s="769"/>
      <c r="CF69" s="769"/>
      <c r="CG69" s="769"/>
      <c r="CH69" s="769"/>
      <c r="CI69" s="769"/>
      <c r="CJ69" s="769"/>
      <c r="CK69" s="769"/>
      <c r="CL69" s="769"/>
      <c r="CM69" s="769"/>
      <c r="CN69" s="769"/>
      <c r="CO69" s="769"/>
      <c r="CP69" s="769"/>
      <c r="CQ69" s="769"/>
      <c r="CR69" s="769"/>
      <c r="CS69" s="769"/>
      <c r="CT69" s="769"/>
      <c r="CU69" s="769"/>
      <c r="CV69" s="769"/>
      <c r="CW69" s="769"/>
      <c r="CX69" s="769"/>
      <c r="CY69" s="769"/>
      <c r="CZ69" s="769"/>
      <c r="DA69" s="769"/>
      <c r="DB69" s="769"/>
      <c r="DC69" s="769"/>
      <c r="DD69" s="769"/>
      <c r="DE69" s="769"/>
      <c r="DF69" s="769"/>
      <c r="DG69" s="769"/>
      <c r="DH69" s="769"/>
      <c r="DI69" s="769"/>
      <c r="DJ69" s="769"/>
      <c r="DK69" s="769"/>
      <c r="DL69" s="769"/>
      <c r="DM69" s="769"/>
      <c r="DN69" s="769"/>
      <c r="DO69" s="769"/>
      <c r="DP69" s="769"/>
      <c r="DQ69" s="769"/>
      <c r="DR69" s="769"/>
      <c r="DS69" s="769"/>
      <c r="DT69" s="769"/>
    </row>
    <row r="70" spans="1:124" x14ac:dyDescent="0.3">
      <c r="B70" s="844" t="str">
        <f t="shared" si="75"/>
        <v>MexicoBackofficeL1</v>
      </c>
      <c r="C70" s="1085" t="s">
        <v>74</v>
      </c>
      <c r="D70" s="1146">
        <f>VLOOKUP($B70,'Salary Maxico'!$B$4:$G$13,6,0)/12</f>
        <v>21355.771493698627</v>
      </c>
      <c r="E70" s="1041"/>
      <c r="F70" s="1146">
        <f>VLOOKUP(F$67,'Salary Maxico'!$D$15:$G$31,3,0)/12</f>
        <v>33359.464644383559</v>
      </c>
      <c r="G70" s="1146">
        <f>VLOOKUP(G$67,'Salary Maxico'!$D$15:$G$31,3,0)/12</f>
        <v>46712.472863561641</v>
      </c>
      <c r="H70" s="1146">
        <f>VLOOKUP(H$67,'Salary Maxico'!$D$15:$G$31,3,0)/12</f>
        <v>83148.443183196345</v>
      </c>
      <c r="I70" s="1146">
        <f>VLOOKUP(I$67,'Salary Maxico'!$D$15:$G$31,3,0)/12</f>
        <v>112057.21943890413</v>
      </c>
      <c r="J70" s="1146">
        <f>VLOOKUP(J$67,'Salary Maxico'!$D$15:$G$31,3,0)/12</f>
        <v>133862.08930191782</v>
      </c>
      <c r="K70" s="1146">
        <f>VLOOKUP(K$67,'Salary Maxico'!$D$15:$G$31,3,0)/12</f>
        <v>177266.34957589037</v>
      </c>
      <c r="L70" s="1146">
        <f>VLOOKUP(L$67,'Salary Maxico'!$D$15:$G$31,3,0)/12</f>
        <v>212719.61949106844</v>
      </c>
      <c r="M70" s="1146">
        <f>VLOOKUP(M$67,'Salary Maxico'!$D$15:$G$31,3,0)/12</f>
        <v>33359.464644383559</v>
      </c>
      <c r="N70" s="1146">
        <f>VLOOKUP(N$67,'Salary Maxico'!$D$15:$G$31,3,0)/12</f>
        <v>33359.464644383559</v>
      </c>
      <c r="O70" s="1146">
        <f>VLOOKUP(O$67,'Salary Maxico'!$D$15:$G$31,3,0)/12</f>
        <v>33359.464644383559</v>
      </c>
      <c r="P70" s="1146">
        <f>VLOOKUP(P$67,'Salary Maxico'!$D$15:$G$31,3,0)/12</f>
        <v>33359.464644383559</v>
      </c>
      <c r="Q70" s="1146">
        <f>VLOOKUP(Q$67,'Salary Maxico'!$D$15:$G$31,3,0)/12</f>
        <v>111851.73998684932</v>
      </c>
      <c r="R70" s="1146">
        <f>VLOOKUP(R$67,'Salary Maxico'!$D$15:$G$31,3,0)/12</f>
        <v>83148.443183196345</v>
      </c>
      <c r="S70" s="1063" t="str">
        <f t="shared" si="76"/>
        <v>MexicoBackofficeL1</v>
      </c>
      <c r="T70" s="1146">
        <f>VLOOKUP(T$67,'Salary Maxico'!$D$15:$G$31,4,0)/12</f>
        <v>39837.210479452056</v>
      </c>
      <c r="U70" s="1146">
        <f>VLOOKUP(U$67,'Salary Maxico'!$D$15:$G$31,4,0)/12</f>
        <v>47158.385087899536</v>
      </c>
      <c r="V70" s="1146">
        <f>VLOOKUP(V$67,'Salary Maxico'!$D$15:$G$31,4,0)/12</f>
        <v>82949.134703196338</v>
      </c>
      <c r="W70" s="1146">
        <f>VLOOKUP(W$67,'Salary Maxico'!$D$15:$G$31,4,0)/12</f>
        <v>111857.91095890412</v>
      </c>
      <c r="X70" s="1146">
        <f>VLOOKUP(X$67,'Salary Maxico'!$D$15:$G$31,4,0)/12</f>
        <v>133662.78082191781</v>
      </c>
      <c r="Y70" s="1146">
        <f>VLOOKUP(Y$67,'Salary Maxico'!$D$15:$G$31,4,0)/12</f>
        <v>177067.04109589042</v>
      </c>
      <c r="Z70" s="1146">
        <f>VLOOKUP(Z$67,'Salary Maxico'!$D$15:$G$31,4,0)/12</f>
        <v>212480.44931506852</v>
      </c>
      <c r="AA70" s="1146">
        <f>VLOOKUP(AA$67,'Salary Maxico'!$D$15:$G$31,4,0)/12</f>
        <v>39837.210479452056</v>
      </c>
      <c r="AB70" s="1146">
        <f>VLOOKUP(AB$67,'Salary Maxico'!$D$15:$G$31,4,0)/12</f>
        <v>39837.210479452056</v>
      </c>
      <c r="AC70" s="1146">
        <f>VLOOKUP(AC$67,'Salary Maxico'!$D$15:$G$31,4,0)/12</f>
        <v>39837.210479452056</v>
      </c>
      <c r="AD70" s="1146">
        <f>VLOOKUP(AD$67,'Salary Maxico'!$D$15:$G$31,4,0)/12</f>
        <v>39837.210479452056</v>
      </c>
      <c r="AE70" s="1146">
        <f>VLOOKUP(AE$67,'Salary Maxico'!$D$15:$G$31,4,0)/12</f>
        <v>111652.43150684932</v>
      </c>
      <c r="AF70" s="1146">
        <f>VLOOKUP(AF$67,'Salary Maxico'!$D$15:$G$31,4,0)/12</f>
        <v>82949.134703196338</v>
      </c>
      <c r="AG70" s="1063" t="str">
        <f t="shared" si="77"/>
        <v>MexicoBackofficeL1</v>
      </c>
      <c r="AH70" s="1146">
        <f>VLOOKUP(AH$67,'Salary Maxico'!$D$15:$G$31,4,0)/12</f>
        <v>39837.210479452056</v>
      </c>
      <c r="AI70" s="1146">
        <f>VLOOKUP(AI$67,'Salary Maxico'!$D$15:$G$31,4,0)/12</f>
        <v>47158.385087899536</v>
      </c>
      <c r="AJ70" s="1146">
        <f>VLOOKUP(AJ$67,'Salary Maxico'!$D$15:$G$31,4,0)/12</f>
        <v>82949.134703196338</v>
      </c>
      <c r="AK70" s="1146">
        <f>VLOOKUP(AK$67,'Salary Maxico'!$D$15:$G$31,4,0)/12</f>
        <v>111857.91095890412</v>
      </c>
      <c r="AL70" s="1146">
        <f>VLOOKUP(AL$67,'Salary Maxico'!$D$15:$G$31,4,0)/12</f>
        <v>133662.78082191781</v>
      </c>
      <c r="AM70" s="1146">
        <f>VLOOKUP(AM$67,'Salary Maxico'!$D$15:$G$31,4,0)/12</f>
        <v>177067.04109589042</v>
      </c>
      <c r="AN70" s="1146">
        <f>VLOOKUP(AN$67,'Salary Maxico'!$D$15:$G$31,4,0)/12</f>
        <v>212480.44931506852</v>
      </c>
      <c r="AO70" s="1146">
        <f>VLOOKUP(AO$67,'Salary Maxico'!$D$15:$G$31,4,0)/12</f>
        <v>39837.210479452056</v>
      </c>
      <c r="AP70" s="1146">
        <f>VLOOKUP(AP$67,'Salary Maxico'!$D$15:$G$31,4,0)/12</f>
        <v>39837.210479452056</v>
      </c>
      <c r="AQ70" s="1146">
        <f>VLOOKUP(AQ$67,'Salary Maxico'!$D$15:$G$31,4,0)/12</f>
        <v>39837.210479452056</v>
      </c>
      <c r="AR70" s="1146">
        <f>VLOOKUP(AR$67,'Salary Maxico'!$D$15:$G$31,4,0)/12</f>
        <v>39837.210479452056</v>
      </c>
      <c r="AS70" s="1146">
        <f>VLOOKUP(AS$67,'Salary Maxico'!$D$15:$G$31,4,0)/12</f>
        <v>111652.43150684932</v>
      </c>
      <c r="AT70" s="1146">
        <f>VLOOKUP(AT$67,'Salary Maxico'!$D$15:$G$31,4,0)/12</f>
        <v>82949.134703196338</v>
      </c>
      <c r="AU70" s="769"/>
      <c r="AV70" s="769"/>
      <c r="AW70" s="769"/>
      <c r="AX70" s="769"/>
      <c r="AY70" s="769"/>
      <c r="AZ70" s="769"/>
      <c r="BA70" s="769"/>
      <c r="BB70" s="769"/>
      <c r="BC70" s="769"/>
      <c r="BD70" s="769"/>
      <c r="BE70" s="769"/>
      <c r="BF70" s="769"/>
      <c r="BG70" s="769"/>
      <c r="BH70" s="769"/>
      <c r="BI70" s="769"/>
      <c r="BJ70" s="769"/>
      <c r="BK70" s="769"/>
      <c r="BL70" s="769"/>
      <c r="BM70" s="769"/>
      <c r="BN70" s="769"/>
      <c r="BO70" s="769"/>
      <c r="BP70" s="769"/>
      <c r="BQ70" s="769"/>
      <c r="BR70" s="769"/>
      <c r="BS70" s="769"/>
      <c r="BT70" s="769"/>
      <c r="BU70" s="769"/>
      <c r="BV70" s="769"/>
      <c r="BW70" s="769"/>
      <c r="BX70" s="769"/>
      <c r="BY70" s="769"/>
      <c r="BZ70" s="769"/>
      <c r="CA70" s="769"/>
      <c r="CB70" s="769"/>
      <c r="CC70" s="769"/>
      <c r="CD70" s="769"/>
      <c r="CE70" s="769"/>
      <c r="CF70" s="769"/>
      <c r="CG70" s="769"/>
      <c r="CH70" s="769"/>
      <c r="CI70" s="769"/>
      <c r="CJ70" s="769"/>
      <c r="CK70" s="769"/>
      <c r="CL70" s="769"/>
      <c r="CM70" s="769"/>
      <c r="CN70" s="769"/>
      <c r="CO70" s="769"/>
      <c r="CP70" s="769"/>
      <c r="CQ70" s="769"/>
      <c r="CR70" s="769"/>
      <c r="CS70" s="769"/>
      <c r="CT70" s="769"/>
      <c r="CU70" s="769"/>
      <c r="CV70" s="769"/>
      <c r="CW70" s="769"/>
      <c r="CX70" s="769"/>
      <c r="CY70" s="769"/>
      <c r="CZ70" s="769"/>
      <c r="DA70" s="769"/>
      <c r="DB70" s="769"/>
      <c r="DC70" s="769"/>
      <c r="DD70" s="769"/>
      <c r="DE70" s="769"/>
      <c r="DF70" s="769"/>
      <c r="DG70" s="769"/>
      <c r="DH70" s="769"/>
      <c r="DI70" s="769"/>
      <c r="DJ70" s="769"/>
      <c r="DK70" s="769"/>
      <c r="DL70" s="769"/>
      <c r="DM70" s="769"/>
      <c r="DN70" s="769"/>
      <c r="DO70" s="769"/>
      <c r="DP70" s="769"/>
      <c r="DQ70" s="769"/>
      <c r="DR70" s="769"/>
      <c r="DS70" s="769"/>
      <c r="DT70" s="769"/>
    </row>
    <row r="71" spans="1:124" x14ac:dyDescent="0.3">
      <c r="B71" s="844" t="str">
        <f t="shared" si="75"/>
        <v>AustraliaBackofficeL1</v>
      </c>
      <c r="C71" s="1085" t="s">
        <v>346</v>
      </c>
      <c r="D71" s="1142">
        <f>VLOOKUP($B71,'Aus Salary'!$B$4:$O$13,6,0)/12</f>
        <v>5960.9571810471434</v>
      </c>
      <c r="E71" s="1041"/>
      <c r="F71" s="1142">
        <f>VLOOKUP(F$67,'Aus Salary'!$D$15:$G$31,4,0)/12</f>
        <v>7006.1272216876423</v>
      </c>
      <c r="G71" s="1142">
        <f>VLOOKUP(G$67,'Aus Salary'!$D$15:$G$31,4,0)/12</f>
        <v>9616.8548048205066</v>
      </c>
      <c r="H71" s="1142">
        <f>VLOOKUP(H$67,'Aus Salary'!$D$15:$G$31,4,0)/12</f>
        <v>12228.551477627887</v>
      </c>
      <c r="I71" s="1142">
        <f>VLOOKUP(I$67,'Aus Salary'!$D$15:$G$31,4,0)/12</f>
        <v>14702.637416654683</v>
      </c>
      <c r="J71" s="1142">
        <f>VLOOKUP(J$67,'Aus Salary'!$D$15:$G$31,4,0)/12</f>
        <v>15710.490678146214</v>
      </c>
      <c r="K71" s="1142">
        <f>VLOOKUP(K$67,'Aus Salary'!$D$15:$G$31,4,0)/12</f>
        <v>19192.429878664549</v>
      </c>
      <c r="L71" s="1142">
        <f>VLOOKUP(L$67,'Aus Salary'!$D$15:$G$31,4,0)/12</f>
        <v>24936.902742263919</v>
      </c>
      <c r="M71" s="1142">
        <f>VLOOKUP(M$67,'Aus Salary'!$D$15:$G$31,4,0)/12</f>
        <v>7006.1272216876423</v>
      </c>
      <c r="N71" s="1142">
        <f>VLOOKUP(N$67,'Aus Salary'!$D$15:$G$31,4,0)/12</f>
        <v>8746.6122771095506</v>
      </c>
      <c r="O71" s="1142">
        <f>VLOOKUP(O$67,'Aus Salary'!$D$15:$G$31,4,0)/12</f>
        <v>8746.6122771095506</v>
      </c>
      <c r="P71" s="1142">
        <f>VLOOKUP(P$67,'Aus Salary'!$D$15:$G$31,4,0)/12</f>
        <v>7006.1272216876423</v>
      </c>
      <c r="Q71" s="1142">
        <f>VLOOKUP(Q$67,'Aus Salary'!$D$15:$G$31,4,0)/12</f>
        <v>14702.637416654683</v>
      </c>
      <c r="R71" s="1142">
        <f>VLOOKUP(R$67,'Aus Salary'!$D$15:$G$31,4,0)/12</f>
        <v>14702.637416654683</v>
      </c>
      <c r="S71" s="1063" t="str">
        <f t="shared" si="76"/>
        <v>AustraliaBackofficeL1</v>
      </c>
      <c r="T71" s="1142">
        <f>VLOOKUP(T$67,'Aus Salary'!$D$34:$G$50,4,0)/12</f>
        <v>9115.9809174107158</v>
      </c>
      <c r="U71" s="1142">
        <f>VLOOKUP(U$67,'Aus Salary'!$D$34:$G$50,4,0)/12</f>
        <v>10476.750005022323</v>
      </c>
      <c r="V71" s="1142">
        <f>VLOOKUP(V$67,'Aus Salary'!$D$34:$G$50,4,0)/12</f>
        <v>12228.551477627887</v>
      </c>
      <c r="W71" s="1142">
        <f>VLOOKUP(W$67,'Aus Salary'!$D$34:$G$50,4,0)/12</f>
        <v>14702.637416654683</v>
      </c>
      <c r="X71" s="1142">
        <f>VLOOKUP(X$67,'Aus Salary'!$D$34:$G$50,4,0)/12</f>
        <v>15710.490678146214</v>
      </c>
      <c r="Y71" s="1142">
        <f>VLOOKUP(Y$67,'Aus Salary'!$D$34:$G$50,4,0)/12</f>
        <v>19192.429878664549</v>
      </c>
      <c r="Z71" s="1142">
        <f>VLOOKUP(Z$67,'Aus Salary'!$D$34:$G$50,4,0)/12</f>
        <v>24936.902742263919</v>
      </c>
      <c r="AA71" s="1142">
        <f>VLOOKUP(AA$67,'Aus Salary'!$D$34:$G$50,4,0)/12</f>
        <v>9115.9809174107158</v>
      </c>
      <c r="AB71" s="1142">
        <f>VLOOKUP(AB$67,'Aus Salary'!$D$34:$G$50,4,0)/12</f>
        <v>9115.9809174107158</v>
      </c>
      <c r="AC71" s="1142">
        <f>VLOOKUP(AC$67,'Aus Salary'!$D$34:$G$50,4,0)/12</f>
        <v>9115.9809174107158</v>
      </c>
      <c r="AD71" s="1142">
        <f>VLOOKUP(AD$67,'Aus Salary'!$D$34:$G$50,4,0)/12</f>
        <v>9115.9809174107158</v>
      </c>
      <c r="AE71" s="1142">
        <f>VLOOKUP(AE$67,'Aus Salary'!$D$34:$G$50,4,0)/12</f>
        <v>14702.637416654683</v>
      </c>
      <c r="AF71" s="1142">
        <f>VLOOKUP(AF$67,'Aus Salary'!$D$34:$G$50,4,0)/12</f>
        <v>14702.637416654683</v>
      </c>
      <c r="AG71" s="1063" t="str">
        <f t="shared" si="77"/>
        <v>AustraliaBackofficeL1</v>
      </c>
      <c r="AH71" s="1142">
        <f>VLOOKUP(AH$67,'Aus Salary'!$D$34:$G$50,4,0)/12</f>
        <v>9115.9809174107158</v>
      </c>
      <c r="AI71" s="1142">
        <f>VLOOKUP(AI$67,'Aus Salary'!$D$34:$G$50,4,0)/12</f>
        <v>10476.750005022323</v>
      </c>
      <c r="AJ71" s="1142">
        <f>VLOOKUP(AJ$67,'Aus Salary'!$D$34:$G$50,4,0)/12</f>
        <v>12228.551477627887</v>
      </c>
      <c r="AK71" s="1142">
        <f>VLOOKUP(AK$67,'Aus Salary'!$D$34:$G$50,4,0)/12</f>
        <v>14702.637416654683</v>
      </c>
      <c r="AL71" s="1142">
        <f>VLOOKUP(AL$67,'Aus Salary'!$D$34:$G$50,4,0)/12</f>
        <v>15710.490678146214</v>
      </c>
      <c r="AM71" s="1142">
        <f>VLOOKUP(AM$67,'Aus Salary'!$D$34:$G$50,4,0)/12</f>
        <v>19192.429878664549</v>
      </c>
      <c r="AN71" s="1142">
        <f>VLOOKUP(AN$67,'Aus Salary'!$D$34:$G$50,4,0)/12</f>
        <v>24936.902742263919</v>
      </c>
      <c r="AO71" s="1142">
        <f>VLOOKUP(AO$67,'Aus Salary'!$D$34:$G$50,4,0)/12</f>
        <v>9115.9809174107158</v>
      </c>
      <c r="AP71" s="1142">
        <f>VLOOKUP(AP$67,'Aus Salary'!$D$34:$G$50,4,0)/12</f>
        <v>9115.9809174107158</v>
      </c>
      <c r="AQ71" s="1142">
        <f>VLOOKUP(AQ$67,'Aus Salary'!$D$34:$G$50,4,0)/12</f>
        <v>9115.9809174107158</v>
      </c>
      <c r="AR71" s="1142">
        <f>VLOOKUP(AR$67,'Aus Salary'!$D$34:$G$50,4,0)/12</f>
        <v>9115.9809174107158</v>
      </c>
      <c r="AS71" s="1142">
        <f>VLOOKUP(AS$67,'Aus Salary'!$D$34:$G$50,4,0)/12</f>
        <v>14702.637416654683</v>
      </c>
      <c r="AT71" s="1142">
        <f>VLOOKUP(AT$67,'Aus Salary'!$D$34:$G$50,4,0)/12</f>
        <v>14702.637416654683</v>
      </c>
      <c r="AU71" s="769"/>
      <c r="AV71" s="769"/>
      <c r="AW71" s="769"/>
      <c r="AX71" s="769"/>
      <c r="AY71" s="769"/>
      <c r="AZ71" s="769"/>
      <c r="BA71" s="769"/>
      <c r="BB71" s="769"/>
      <c r="BC71" s="769"/>
      <c r="BD71" s="769"/>
      <c r="BE71" s="769"/>
      <c r="BF71" s="769"/>
      <c r="BG71" s="769"/>
      <c r="BH71" s="769"/>
      <c r="BI71" s="769"/>
      <c r="BJ71" s="769"/>
      <c r="BK71" s="769"/>
      <c r="BL71" s="769"/>
      <c r="BM71" s="769"/>
      <c r="BN71" s="769"/>
      <c r="BO71" s="769"/>
      <c r="BP71" s="769"/>
      <c r="BQ71" s="769"/>
      <c r="BR71" s="769"/>
      <c r="BS71" s="769"/>
      <c r="BT71" s="769"/>
      <c r="BU71" s="769"/>
      <c r="BV71" s="769"/>
      <c r="BW71" s="769"/>
      <c r="BX71" s="769"/>
      <c r="BY71" s="769"/>
      <c r="BZ71" s="769"/>
      <c r="CA71" s="769"/>
      <c r="CB71" s="769"/>
      <c r="CC71" s="769"/>
      <c r="CD71" s="769"/>
      <c r="CE71" s="769"/>
      <c r="CF71" s="769"/>
      <c r="CG71" s="769"/>
      <c r="CH71" s="769"/>
      <c r="CI71" s="769"/>
      <c r="CJ71" s="769"/>
      <c r="CK71" s="769"/>
      <c r="CL71" s="769"/>
      <c r="CM71" s="769"/>
      <c r="CN71" s="769"/>
      <c r="CO71" s="769"/>
      <c r="CP71" s="769"/>
      <c r="CQ71" s="769"/>
      <c r="CR71" s="769"/>
      <c r="CS71" s="769"/>
      <c r="CT71" s="769"/>
      <c r="CU71" s="769"/>
      <c r="CV71" s="769"/>
      <c r="CW71" s="769"/>
      <c r="CX71" s="769"/>
      <c r="CY71" s="769"/>
      <c r="CZ71" s="769"/>
      <c r="DA71" s="769"/>
      <c r="DB71" s="769"/>
      <c r="DC71" s="769"/>
      <c r="DD71" s="769"/>
      <c r="DE71" s="769"/>
      <c r="DF71" s="769"/>
      <c r="DG71" s="769"/>
      <c r="DH71" s="769"/>
      <c r="DI71" s="769"/>
      <c r="DJ71" s="769"/>
      <c r="DK71" s="769"/>
      <c r="DL71" s="769"/>
      <c r="DM71" s="769"/>
      <c r="DN71" s="769"/>
      <c r="DO71" s="769"/>
      <c r="DP71" s="769"/>
      <c r="DQ71" s="769"/>
      <c r="DR71" s="769"/>
      <c r="DS71" s="769"/>
      <c r="DT71" s="769"/>
    </row>
    <row r="72" spans="1:124" x14ac:dyDescent="0.3">
      <c r="B72" s="844" t="str">
        <f t="shared" si="75"/>
        <v>Trinidad and TobagoBackofficeL1</v>
      </c>
      <c r="C72" s="1085" t="s">
        <v>597</v>
      </c>
      <c r="D72" s="888">
        <f>VLOOKUP($B72,'T&amp;T Salary'!$B$4:$G$13,6,0)/12</f>
        <v>6460.1898399999991</v>
      </c>
      <c r="E72" s="1041"/>
      <c r="F72" s="888">
        <f>VLOOKUP(F$67,'T&amp;T Salary'!$D$16:$G$31,4,0)/12</f>
        <v>13276.85</v>
      </c>
      <c r="G72" s="888">
        <f>VLOOKUP(G$67,'T&amp;T Salary'!$D$16:$G$31,4,0)/12</f>
        <v>16742.099999999999</v>
      </c>
      <c r="H72" s="888">
        <f>VLOOKUP(H$67,'T&amp;T Salary'!$D$16:$G$31,4,0)/12</f>
        <v>22375.599999999995</v>
      </c>
      <c r="I72" s="888">
        <f>VLOOKUP(I$67,'T&amp;T Salary'!$D$16:$G$31,4,0)/12</f>
        <v>26215.099999999995</v>
      </c>
      <c r="J72" s="888">
        <f>VLOOKUP(J$67,'T&amp;T Salary'!$D$16:$G$31,4,0)/12</f>
        <v>34991.1</v>
      </c>
      <c r="K72" s="888">
        <f>VLOOKUP(K$67,'T&amp;T Salary'!$D$16:$G$31,4,0)/12</f>
        <v>47058.1</v>
      </c>
      <c r="L72" s="888">
        <f>VLOOKUP(L$67,'T&amp;T Salary'!$D$16:$G$31,4,0)/12</f>
        <v>60770.6</v>
      </c>
      <c r="M72" s="888">
        <f>VLOOKUP(M$67,'T&amp;T Salary'!$D$16:$G$31,4,0)/12</f>
        <v>9211.6</v>
      </c>
      <c r="N72" s="888">
        <f>VLOOKUP(N$67,'T&amp;T Salary'!$D$16:$G$31,4,0)/12</f>
        <v>12902.6</v>
      </c>
      <c r="O72" s="888">
        <f>VLOOKUP(O$67,'T&amp;T Salary'!$D$16:$G$31,4,0)/12</f>
        <v>11805.6</v>
      </c>
      <c r="P72" s="888">
        <f>VLOOKUP(P$67,'T&amp;T Salary'!$D$16:$G$31,4,0)/12</f>
        <v>10260.1</v>
      </c>
      <c r="Q72" s="888">
        <f>VLOOKUP(Q$67,'T&amp;T Salary'!$D$16:$G$31,4,0)/12</f>
        <v>25035.824999999997</v>
      </c>
      <c r="R72" s="888">
        <f>VLOOKUP(R$67,'T&amp;T Salary'!$D$16:$G$31,4,0)/12</f>
        <v>25035.824999999997</v>
      </c>
      <c r="S72" s="1063" t="str">
        <f t="shared" si="76"/>
        <v>Trinidad and TobagoBackofficeL1</v>
      </c>
      <c r="T72" s="888">
        <f>VLOOKUP(T$67,'T&amp;T Salary'!$D$16:$G$31,4,0)/12</f>
        <v>13276.85</v>
      </c>
      <c r="U72" s="888">
        <f>VLOOKUP(U$67,'T&amp;T Salary'!$D$16:$G$31,4,0)/12</f>
        <v>16742.099999999999</v>
      </c>
      <c r="V72" s="888">
        <f>VLOOKUP(V$67,'T&amp;T Salary'!$D$16:$G$31,4,0)/12</f>
        <v>22375.599999999995</v>
      </c>
      <c r="W72" s="888">
        <f>VLOOKUP(W$67,'T&amp;T Salary'!$D$16:$G$31,4,0)/12</f>
        <v>26215.099999999995</v>
      </c>
      <c r="X72" s="888">
        <f>VLOOKUP(X$67,'T&amp;T Salary'!$D$16:$G$31,4,0)/12</f>
        <v>34991.1</v>
      </c>
      <c r="Y72" s="888">
        <f>VLOOKUP(Y$67,'T&amp;T Salary'!$D$16:$G$31,4,0)/12</f>
        <v>47058.1</v>
      </c>
      <c r="Z72" s="888">
        <f>VLOOKUP(Z$67,'T&amp;T Salary'!$D$16:$G$31,4,0)/12</f>
        <v>60770.6</v>
      </c>
      <c r="AA72" s="888">
        <f>VLOOKUP(AA$67,'T&amp;T Salary'!$D$16:$G$31,4,0)/12</f>
        <v>9211.6</v>
      </c>
      <c r="AB72" s="888">
        <f>VLOOKUP(AB$67,'T&amp;T Salary'!$D$16:$G$31,4,0)/12</f>
        <v>12902.6</v>
      </c>
      <c r="AC72" s="888">
        <f>VLOOKUP(AC$67,'T&amp;T Salary'!$D$16:$G$31,4,0)/12</f>
        <v>11805.6</v>
      </c>
      <c r="AD72" s="888">
        <f>VLOOKUP(AD$67,'T&amp;T Salary'!$D$16:$G$31,4,0)/12</f>
        <v>10260.1</v>
      </c>
      <c r="AE72" s="888">
        <f>VLOOKUP(AE$67,'T&amp;T Salary'!$D$16:$G$31,4,0)/12</f>
        <v>25035.824999999997</v>
      </c>
      <c r="AF72" s="888">
        <f>VLOOKUP(AF$67,'T&amp;T Salary'!$D$16:$G$31,4,0)/12</f>
        <v>25035.824999999997</v>
      </c>
      <c r="AG72" s="1063" t="str">
        <f t="shared" si="77"/>
        <v>Trinidad and TobagoBackofficeL1</v>
      </c>
      <c r="AH72" s="888">
        <f>VLOOKUP(AH$67,'T&amp;T Salary'!$D$16:$G$31,4,0)/12</f>
        <v>13276.85</v>
      </c>
      <c r="AI72" s="888">
        <f>VLOOKUP(AI$67,'T&amp;T Salary'!$D$16:$G$31,4,0)/12</f>
        <v>16742.099999999999</v>
      </c>
      <c r="AJ72" s="888">
        <f>VLOOKUP(AJ$67,'T&amp;T Salary'!$D$16:$G$31,4,0)/12</f>
        <v>22375.599999999995</v>
      </c>
      <c r="AK72" s="888">
        <f>VLOOKUP(AK$67,'T&amp;T Salary'!$D$16:$G$31,4,0)/12</f>
        <v>26215.099999999995</v>
      </c>
      <c r="AL72" s="888">
        <f>VLOOKUP(AL$67,'T&amp;T Salary'!$D$16:$G$31,4,0)/12</f>
        <v>34991.1</v>
      </c>
      <c r="AM72" s="888">
        <f>VLOOKUP(AM$67,'T&amp;T Salary'!$D$16:$G$31,4,0)/12</f>
        <v>47058.1</v>
      </c>
      <c r="AN72" s="888">
        <f>VLOOKUP(AN$67,'T&amp;T Salary'!$D$16:$G$31,4,0)/12</f>
        <v>60770.6</v>
      </c>
      <c r="AO72" s="888">
        <f>VLOOKUP(AO$67,'T&amp;T Salary'!$D$16:$G$31,4,0)/12</f>
        <v>9211.6</v>
      </c>
      <c r="AP72" s="888">
        <f>VLOOKUP(AP$67,'T&amp;T Salary'!$D$16:$G$31,4,0)/12</f>
        <v>12902.6</v>
      </c>
      <c r="AQ72" s="888">
        <f>VLOOKUP(AQ$67,'T&amp;T Salary'!$D$16:$G$31,4,0)/12</f>
        <v>11805.6</v>
      </c>
      <c r="AR72" s="888">
        <f>VLOOKUP(AR$67,'T&amp;T Salary'!$D$16:$G$31,4,0)/12</f>
        <v>10260.1</v>
      </c>
      <c r="AS72" s="888">
        <f>VLOOKUP(AS$67,'T&amp;T Salary'!$D$16:$G$31,4,0)/12</f>
        <v>25035.824999999997</v>
      </c>
      <c r="AT72" s="888">
        <f>VLOOKUP(AT$67,'T&amp;T Salary'!$D$16:$G$31,4,0)/12</f>
        <v>25035.824999999997</v>
      </c>
      <c r="AU72" s="769"/>
      <c r="AV72" s="769"/>
      <c r="AW72" s="769"/>
      <c r="AX72" s="769"/>
      <c r="AY72" s="769"/>
      <c r="AZ72" s="769"/>
      <c r="BA72" s="769"/>
      <c r="BB72" s="769"/>
      <c r="BC72" s="769"/>
      <c r="BD72" s="769"/>
      <c r="BE72" s="769"/>
      <c r="BF72" s="769"/>
      <c r="BG72" s="769"/>
      <c r="BH72" s="769"/>
      <c r="BI72" s="769"/>
      <c r="BJ72" s="769"/>
      <c r="BK72" s="769"/>
      <c r="BL72" s="769"/>
      <c r="BM72" s="769"/>
      <c r="BN72" s="769"/>
      <c r="BO72" s="769"/>
      <c r="BP72" s="769"/>
      <c r="BQ72" s="769"/>
      <c r="BR72" s="769"/>
      <c r="BS72" s="769"/>
      <c r="BT72" s="769"/>
      <c r="BU72" s="769"/>
      <c r="BV72" s="769"/>
      <c r="BW72" s="769"/>
      <c r="BX72" s="769"/>
      <c r="BY72" s="769"/>
      <c r="BZ72" s="769"/>
      <c r="CA72" s="769"/>
      <c r="CB72" s="769"/>
      <c r="CC72" s="769"/>
      <c r="CD72" s="769"/>
      <c r="CE72" s="769"/>
      <c r="CF72" s="769"/>
      <c r="CG72" s="769"/>
      <c r="CH72" s="769"/>
      <c r="CI72" s="769"/>
      <c r="CJ72" s="769"/>
      <c r="CK72" s="769"/>
      <c r="CL72" s="769"/>
      <c r="CM72" s="769"/>
      <c r="CN72" s="769"/>
      <c r="CO72" s="769"/>
      <c r="CP72" s="769"/>
      <c r="CQ72" s="769"/>
      <c r="CR72" s="769"/>
      <c r="CS72" s="769"/>
      <c r="CT72" s="769"/>
      <c r="CU72" s="769"/>
      <c r="CV72" s="769"/>
      <c r="CW72" s="769"/>
      <c r="CX72" s="769"/>
      <c r="CY72" s="769"/>
      <c r="CZ72" s="769"/>
      <c r="DA72" s="769"/>
      <c r="DB72" s="769"/>
      <c r="DC72" s="769"/>
      <c r="DD72" s="769"/>
      <c r="DE72" s="769"/>
      <c r="DF72" s="769"/>
      <c r="DG72" s="769"/>
      <c r="DH72" s="769"/>
      <c r="DI72" s="769"/>
      <c r="DJ72" s="769"/>
      <c r="DK72" s="769"/>
      <c r="DL72" s="769"/>
      <c r="DM72" s="769"/>
      <c r="DN72" s="769"/>
      <c r="DO72" s="769"/>
      <c r="DP72" s="769"/>
      <c r="DQ72" s="769"/>
      <c r="DR72" s="769"/>
      <c r="DS72" s="769"/>
      <c r="DT72" s="769"/>
    </row>
    <row r="73" spans="1:124" x14ac:dyDescent="0.3">
      <c r="B73" s="844" t="str">
        <f t="shared" si="75"/>
        <v>South AfricaBackofficeL1</v>
      </c>
      <c r="C73" s="1085" t="s">
        <v>347</v>
      </c>
      <c r="D73" s="1143">
        <f>VLOOKUP($B73,'SA Salary'!$B$4:$G$13,6,0)/12</f>
        <v>11019.255798742137</v>
      </c>
      <c r="E73" s="1041"/>
      <c r="F73" s="1143">
        <f>VLOOKUP(F$67,'SA Salary'!$D$16:$G$31,4,0)/12</f>
        <v>25588.883798742139</v>
      </c>
      <c r="G73" s="1143">
        <f>VLOOKUP(G$67,'SA Salary'!$D$16:$G$31,4,0)/12</f>
        <v>43040.226566037738</v>
      </c>
      <c r="H73" s="1143">
        <f>VLOOKUP(H$67,'SA Salary'!$D$16:$G$31,4,0)/12</f>
        <v>68372.820905660381</v>
      </c>
      <c r="I73" s="1143">
        <f>VLOOKUP(I$67,'SA Salary'!$D$16:$G$31,4,0)/12</f>
        <v>88075.949836477987</v>
      </c>
      <c r="J73" s="1143">
        <f>VLOOKUP(J$67,'SA Salary'!$D$16:$G$31,4,0)/12</f>
        <v>106649.61335849056</v>
      </c>
      <c r="K73" s="1143">
        <f>VLOOKUP(K$67,'SA Salary'!$D$16:$G$31,4,0)/12</f>
        <v>127227.74228930817</v>
      </c>
      <c r="L73" s="1143">
        <f>VLOOKUP(L$67,'SA Salary'!$D$16:$G$31,4,0)/12</f>
        <v>177203.19826415091</v>
      </c>
      <c r="M73" s="1143">
        <f>VLOOKUP(M$67,'SA Salary'!$D$16:$G$31,4,0)/12</f>
        <v>21085.311471698111</v>
      </c>
      <c r="N73" s="1143">
        <f>VLOOKUP(N$67,'SA Salary'!$D$16:$G$31,4,0)/12</f>
        <v>21085.311471698111</v>
      </c>
      <c r="O73" s="1143">
        <f>VLOOKUP(O$67,'SA Salary'!$D$16:$G$31,4,0)/12</f>
        <v>23337.097635220125</v>
      </c>
      <c r="P73" s="1143">
        <f>VLOOKUP(P$67,'SA Salary'!$D$16:$G$31,4,0)/12</f>
        <v>21085.311471698111</v>
      </c>
      <c r="Q73" s="1143">
        <f>VLOOKUP(Q$67,'SA Salary'!$D$16:$G$31,4,0)/12</f>
        <v>83131.751723270441</v>
      </c>
      <c r="R73" s="1143">
        <f>VLOOKUP(R$67,'SA Salary'!$D$16:$G$31,4,0)/12</f>
        <v>83131.751723270441</v>
      </c>
      <c r="S73" s="1063" t="str">
        <f t="shared" si="76"/>
        <v>South AfricaBackofficeL1</v>
      </c>
      <c r="T73" s="1143">
        <f>VLOOKUP(T$67,'SA Salary'!$D$16:$G$31,4,0)/12</f>
        <v>25588.883798742139</v>
      </c>
      <c r="U73" s="1143">
        <f>VLOOKUP(U$67,'SA Salary'!$D$16:$G$31,4,0)/12</f>
        <v>43040.226566037738</v>
      </c>
      <c r="V73" s="1143">
        <f>VLOOKUP(V$67,'SA Salary'!$D$16:$G$31,4,0)/12</f>
        <v>68372.820905660381</v>
      </c>
      <c r="W73" s="1143">
        <f>VLOOKUP(W$67,'SA Salary'!$D$16:$G$31,4,0)/12</f>
        <v>88075.949836477987</v>
      </c>
      <c r="X73" s="1143">
        <f>VLOOKUP(X$67,'SA Salary'!$D$16:$G$31,4,0)/12</f>
        <v>106649.61335849056</v>
      </c>
      <c r="Y73" s="1143">
        <f>VLOOKUP(Y$67,'SA Salary'!$D$16:$G$31,4,0)/12</f>
        <v>127227.74228930817</v>
      </c>
      <c r="Z73" s="1143">
        <f>VLOOKUP(Z$67,'SA Salary'!$D$16:$G$31,4,0)/12</f>
        <v>177203.19826415091</v>
      </c>
      <c r="AA73" s="1143">
        <f>VLOOKUP(AA$67,'SA Salary'!$D$16:$G$31,4,0)/12</f>
        <v>21085.311471698111</v>
      </c>
      <c r="AB73" s="1143">
        <f>VLOOKUP(AB$67,'SA Salary'!$D$16:$G$31,4,0)/12</f>
        <v>21085.311471698111</v>
      </c>
      <c r="AC73" s="1143">
        <f>VLOOKUP(AC$67,'SA Salary'!$D$16:$G$31,4,0)/12</f>
        <v>23337.097635220125</v>
      </c>
      <c r="AD73" s="1143">
        <f>VLOOKUP(AD$67,'SA Salary'!$D$16:$G$31,4,0)/12</f>
        <v>21085.311471698111</v>
      </c>
      <c r="AE73" s="1143">
        <f>VLOOKUP(AE$67,'SA Salary'!$D$16:$G$31,4,0)/12</f>
        <v>83131.751723270441</v>
      </c>
      <c r="AF73" s="1143">
        <f>VLOOKUP(AF$67,'SA Salary'!$D$16:$G$31,4,0)/12</f>
        <v>83131.751723270441</v>
      </c>
      <c r="AG73" s="1063" t="str">
        <f t="shared" si="77"/>
        <v>South AfricaBackofficeL1</v>
      </c>
      <c r="AH73" s="1143">
        <f>VLOOKUP(AH$67,'SA Salary'!$D$16:$G$31,4,0)/12</f>
        <v>25588.883798742139</v>
      </c>
      <c r="AI73" s="1143">
        <f>VLOOKUP(AI$67,'SA Salary'!$D$16:$G$31,4,0)/12</f>
        <v>43040.226566037738</v>
      </c>
      <c r="AJ73" s="1143">
        <f>VLOOKUP(AJ$67,'SA Salary'!$D$16:$G$31,4,0)/12</f>
        <v>68372.820905660381</v>
      </c>
      <c r="AK73" s="1143">
        <f>VLOOKUP(AK$67,'SA Salary'!$D$16:$G$31,4,0)/12</f>
        <v>88075.949836477987</v>
      </c>
      <c r="AL73" s="1143">
        <f>VLOOKUP(AL$67,'SA Salary'!$D$16:$G$31,4,0)/12</f>
        <v>106649.61335849056</v>
      </c>
      <c r="AM73" s="1143">
        <f>VLOOKUP(AM$67,'SA Salary'!$D$16:$G$31,4,0)/12</f>
        <v>127227.74228930817</v>
      </c>
      <c r="AN73" s="1143">
        <f>VLOOKUP(AN$67,'SA Salary'!$D$16:$G$31,4,0)/12</f>
        <v>177203.19826415091</v>
      </c>
      <c r="AO73" s="1143">
        <f>VLOOKUP(AO$67,'SA Salary'!$D$16:$G$31,4,0)/12</f>
        <v>21085.311471698111</v>
      </c>
      <c r="AP73" s="1143">
        <f>VLOOKUP(AP$67,'SA Salary'!$D$16:$G$31,4,0)/12</f>
        <v>21085.311471698111</v>
      </c>
      <c r="AQ73" s="1143">
        <f>VLOOKUP(AQ$67,'SA Salary'!$D$16:$G$31,4,0)/12</f>
        <v>23337.097635220125</v>
      </c>
      <c r="AR73" s="1143">
        <f>VLOOKUP(AR$67,'SA Salary'!$D$16:$G$31,4,0)/12</f>
        <v>21085.311471698111</v>
      </c>
      <c r="AS73" s="1143">
        <f>VLOOKUP(AS$67,'SA Salary'!$D$16:$G$31,4,0)/12</f>
        <v>83131.751723270441</v>
      </c>
      <c r="AT73" s="1143">
        <f>VLOOKUP(AT$67,'SA Salary'!$D$16:$G$31,4,0)/12</f>
        <v>83131.751723270441</v>
      </c>
      <c r="AU73" s="769"/>
      <c r="AV73" s="769"/>
      <c r="AW73" s="769"/>
      <c r="AX73" s="769"/>
      <c r="AY73" s="769"/>
      <c r="AZ73" s="769"/>
      <c r="BA73" s="769"/>
      <c r="BB73" s="769"/>
      <c r="BC73" s="769"/>
      <c r="BD73" s="769"/>
      <c r="BE73" s="769"/>
      <c r="BF73" s="769"/>
      <c r="BG73" s="769"/>
      <c r="BH73" s="769"/>
      <c r="BI73" s="769"/>
      <c r="BJ73" s="769"/>
      <c r="BK73" s="769"/>
      <c r="BL73" s="769"/>
      <c r="BM73" s="769"/>
      <c r="BN73" s="769"/>
      <c r="BO73" s="769"/>
      <c r="BP73" s="769"/>
      <c r="BQ73" s="769"/>
      <c r="BR73" s="769"/>
      <c r="BS73" s="769"/>
      <c r="BT73" s="769"/>
      <c r="BU73" s="769"/>
      <c r="BV73" s="769"/>
      <c r="BW73" s="769"/>
      <c r="BX73" s="769"/>
      <c r="BY73" s="769"/>
      <c r="BZ73" s="769"/>
      <c r="CA73" s="769"/>
      <c r="CB73" s="769"/>
      <c r="CC73" s="769"/>
      <c r="CD73" s="769"/>
      <c r="CE73" s="769"/>
      <c r="CF73" s="769"/>
      <c r="CG73" s="769"/>
      <c r="CH73" s="769"/>
      <c r="CI73" s="769"/>
      <c r="CJ73" s="769"/>
      <c r="CK73" s="769"/>
      <c r="CL73" s="769"/>
      <c r="CM73" s="769"/>
      <c r="CN73" s="769"/>
      <c r="CO73" s="769"/>
      <c r="CP73" s="769"/>
      <c r="CQ73" s="769"/>
      <c r="CR73" s="769"/>
      <c r="CS73" s="769"/>
      <c r="CT73" s="769"/>
      <c r="CU73" s="769"/>
      <c r="CV73" s="769"/>
      <c r="CW73" s="769"/>
      <c r="CX73" s="769"/>
      <c r="CY73" s="769"/>
      <c r="CZ73" s="769"/>
      <c r="DA73" s="769"/>
      <c r="DB73" s="769"/>
      <c r="DC73" s="769"/>
      <c r="DD73" s="769"/>
      <c r="DE73" s="769"/>
      <c r="DF73" s="769"/>
      <c r="DG73" s="769"/>
      <c r="DH73" s="769"/>
      <c r="DI73" s="769"/>
      <c r="DJ73" s="769"/>
      <c r="DK73" s="769"/>
      <c r="DL73" s="769"/>
      <c r="DM73" s="769"/>
      <c r="DN73" s="769"/>
      <c r="DO73" s="769"/>
      <c r="DP73" s="769"/>
      <c r="DQ73" s="769"/>
      <c r="DR73" s="769"/>
      <c r="DS73" s="769"/>
      <c r="DT73" s="769"/>
    </row>
    <row r="74" spans="1:124" x14ac:dyDescent="0.3">
      <c r="B74" s="844" t="str">
        <f t="shared" si="75"/>
        <v>RomaniaBackofficeL1</v>
      </c>
      <c r="C74" s="1085" t="s">
        <v>349</v>
      </c>
      <c r="D74" s="1147">
        <f>VLOOKUP($B74,'ROM Salary'!$B$4:$G$13,6,0)/12</f>
        <v>7419.8253400000003</v>
      </c>
      <c r="E74" s="1041"/>
      <c r="F74" s="1147">
        <f>VLOOKUP(F$67,'ROM Salary'!$D$16:$G$31,4,0)/12</f>
        <v>11288.703717626924</v>
      </c>
      <c r="G74" s="1147">
        <f>VLOOKUP(G$67,'ROM Salary'!$D$16:$G$31,4,0)/12</f>
        <v>14110.915796919566</v>
      </c>
      <c r="H74" s="1147">
        <f>VLOOKUP(H$67,'ROM Salary'!$D$16:$G$31,4,0)/12</f>
        <v>18091.418221334854</v>
      </c>
      <c r="I74" s="1147">
        <f>VLOOKUP(I$67,'ROM Salary'!$D$16:$G$31,4,0)/12</f>
        <v>22566.793920136912</v>
      </c>
      <c r="J74" s="1147">
        <f>VLOOKUP(J$67,'ROM Salary'!$D$16:$G$31,4,0)/12</f>
        <v>27079.823020250999</v>
      </c>
      <c r="K74" s="1147">
        <f>VLOOKUP(K$67,'ROM Salary'!$D$16:$G$31,4,0)/12</f>
        <v>32492.94771363377</v>
      </c>
      <c r="L74" s="1147">
        <f>VLOOKUP(L$67,'ROM Salary'!$D$16:$G$31,4,0)/12</f>
        <v>42237.130327723899</v>
      </c>
      <c r="M74" s="1147">
        <f>VLOOKUP(M$67,'ROM Salary'!$D$16:$G$31,4,0)/12</f>
        <v>11288.703717626924</v>
      </c>
      <c r="N74" s="1147">
        <f>VLOOKUP(N$67,'ROM Salary'!$D$16:$G$31,4,0)/12</f>
        <v>11288.703717626924</v>
      </c>
      <c r="O74" s="1147">
        <f>VLOOKUP(O$67,'ROM Salary'!$D$16:$G$31,4,0)/12</f>
        <v>11288.703717626924</v>
      </c>
      <c r="P74" s="1147">
        <f>VLOOKUP(P$67,'ROM Salary'!$D$16:$G$31,4,0)/12</f>
        <v>11288.703717626924</v>
      </c>
      <c r="Q74" s="1147">
        <f>VLOOKUP(Q$67,'ROM Salary'!$D$16:$G$31,4,0)/12</f>
        <v>27079.823020250999</v>
      </c>
      <c r="R74" s="1147">
        <f>VLOOKUP(R$67,'ROM Salary'!$D$16:$G$31,4,0)/12</f>
        <v>27079.823020250999</v>
      </c>
      <c r="S74" s="1063" t="str">
        <f t="shared" si="76"/>
        <v>RomaniaBackofficeL1</v>
      </c>
      <c r="T74" s="1147">
        <f>VLOOKUP(T$67,'ROM Salary'!$D$16:$G$31,4,0)/12</f>
        <v>11288.703717626924</v>
      </c>
      <c r="U74" s="1147">
        <f>VLOOKUP(U$67,'ROM Salary'!$D$16:$G$31,4,0)/12</f>
        <v>14110.915796919566</v>
      </c>
      <c r="V74" s="1147">
        <f>VLOOKUP(V$67,'ROM Salary'!$D$16:$G$31,4,0)/12</f>
        <v>18091.418221334854</v>
      </c>
      <c r="W74" s="1147">
        <f>VLOOKUP(W$67,'ROM Salary'!$D$16:$G$31,4,0)/12</f>
        <v>22566.793920136912</v>
      </c>
      <c r="X74" s="1147">
        <f>VLOOKUP(X$67,'ROM Salary'!$D$16:$G$31,4,0)/12</f>
        <v>27079.823020250999</v>
      </c>
      <c r="Y74" s="1147">
        <f>VLOOKUP(Y$67,'ROM Salary'!$D$16:$G$31,4,0)/12</f>
        <v>32492.94771363377</v>
      </c>
      <c r="Z74" s="1147">
        <f>VLOOKUP(Z$67,'ROM Salary'!$D$16:$G$31,4,0)/12</f>
        <v>42237.130327723899</v>
      </c>
      <c r="AA74" s="1147">
        <f>VLOOKUP(AA$67,'ROM Salary'!$D$16:$G$31,4,0)/12</f>
        <v>11288.703717626924</v>
      </c>
      <c r="AB74" s="1147">
        <f>VLOOKUP(AB$67,'ROM Salary'!$D$16:$G$31,4,0)/12</f>
        <v>11288.703717626924</v>
      </c>
      <c r="AC74" s="1147">
        <f>VLOOKUP(AC$67,'ROM Salary'!$D$16:$G$31,4,0)/12</f>
        <v>11288.703717626924</v>
      </c>
      <c r="AD74" s="1147">
        <f>VLOOKUP(AD$67,'ROM Salary'!$D$16:$G$31,4,0)/12</f>
        <v>11288.703717626924</v>
      </c>
      <c r="AE74" s="1147">
        <f>VLOOKUP(AE$67,'ROM Salary'!$D$16:$G$31,4,0)/12</f>
        <v>27079.823020250999</v>
      </c>
      <c r="AF74" s="1147">
        <f>VLOOKUP(AF$67,'ROM Salary'!$D$16:$G$31,4,0)/12</f>
        <v>27079.823020250999</v>
      </c>
      <c r="AG74" s="1063" t="str">
        <f t="shared" si="77"/>
        <v>RomaniaBackofficeL1</v>
      </c>
      <c r="AH74" s="1147">
        <f>VLOOKUP(AH$67,'ROM Salary'!$D$16:$G$31,4,0)/12</f>
        <v>11288.703717626924</v>
      </c>
      <c r="AI74" s="1147">
        <f>VLOOKUP(AI$67,'ROM Salary'!$D$16:$G$31,4,0)/12</f>
        <v>14110.915796919566</v>
      </c>
      <c r="AJ74" s="1147">
        <f>VLOOKUP(AJ$67,'ROM Salary'!$D$16:$G$31,4,0)/12</f>
        <v>18091.418221334854</v>
      </c>
      <c r="AK74" s="1147">
        <f>VLOOKUP(AK$67,'ROM Salary'!$D$16:$G$31,4,0)/12</f>
        <v>22566.793920136912</v>
      </c>
      <c r="AL74" s="1147">
        <f>VLOOKUP(AL$67,'ROM Salary'!$D$16:$G$31,4,0)/12</f>
        <v>27079.823020250999</v>
      </c>
      <c r="AM74" s="1147">
        <f>VLOOKUP(AM$67,'ROM Salary'!$D$16:$G$31,4,0)/12</f>
        <v>32492.94771363377</v>
      </c>
      <c r="AN74" s="1147">
        <f>VLOOKUP(AN$67,'ROM Salary'!$D$16:$G$31,4,0)/12</f>
        <v>42237.130327723899</v>
      </c>
      <c r="AO74" s="1147">
        <f>VLOOKUP(AO$67,'ROM Salary'!$D$16:$G$31,4,0)/12</f>
        <v>11288.703717626924</v>
      </c>
      <c r="AP74" s="1147">
        <f>VLOOKUP(AP$67,'ROM Salary'!$D$16:$G$31,4,0)/12</f>
        <v>11288.703717626924</v>
      </c>
      <c r="AQ74" s="1147">
        <f>VLOOKUP(AQ$67,'ROM Salary'!$D$16:$G$31,4,0)/12</f>
        <v>11288.703717626924</v>
      </c>
      <c r="AR74" s="1147">
        <f>VLOOKUP(AR$67,'ROM Salary'!$D$16:$G$31,4,0)/12</f>
        <v>11288.703717626924</v>
      </c>
      <c r="AS74" s="1147">
        <f>VLOOKUP(AS$67,'ROM Salary'!$D$16:$G$31,4,0)/12</f>
        <v>27079.823020250999</v>
      </c>
      <c r="AT74" s="1147">
        <f>VLOOKUP(AT$67,'ROM Salary'!$D$16:$G$31,4,0)/12</f>
        <v>27079.823020250999</v>
      </c>
      <c r="AU74" s="769"/>
      <c r="AV74" s="769"/>
      <c r="AW74" s="769"/>
      <c r="AX74" s="769"/>
      <c r="AY74" s="769"/>
      <c r="AZ74" s="769"/>
      <c r="BA74" s="769"/>
      <c r="BB74" s="769"/>
      <c r="BC74" s="769"/>
      <c r="BD74" s="769"/>
      <c r="BE74" s="769"/>
      <c r="BF74" s="769"/>
      <c r="BG74" s="769"/>
      <c r="BH74" s="769"/>
      <c r="BI74" s="769"/>
      <c r="BJ74" s="769"/>
      <c r="BK74" s="769"/>
      <c r="BL74" s="769"/>
      <c r="BM74" s="769"/>
      <c r="BN74" s="769"/>
      <c r="BO74" s="769"/>
      <c r="BP74" s="769"/>
      <c r="BQ74" s="769"/>
      <c r="BR74" s="769"/>
      <c r="BS74" s="769"/>
      <c r="BT74" s="769"/>
      <c r="BU74" s="769"/>
      <c r="BV74" s="769"/>
      <c r="BW74" s="769"/>
      <c r="BX74" s="769"/>
      <c r="BY74" s="769"/>
      <c r="BZ74" s="769"/>
      <c r="CA74" s="769"/>
      <c r="CB74" s="769"/>
      <c r="CC74" s="769"/>
      <c r="CD74" s="769"/>
      <c r="CE74" s="769"/>
      <c r="CF74" s="769"/>
      <c r="CG74" s="769"/>
      <c r="CH74" s="769"/>
      <c r="CI74" s="769"/>
      <c r="CJ74" s="769"/>
      <c r="CK74" s="769"/>
      <c r="CL74" s="769"/>
      <c r="CM74" s="769"/>
      <c r="CN74" s="769"/>
      <c r="CO74" s="769"/>
      <c r="CP74" s="769"/>
      <c r="CQ74" s="769"/>
      <c r="CR74" s="769"/>
      <c r="CS74" s="769"/>
      <c r="CT74" s="769"/>
      <c r="CU74" s="769"/>
      <c r="CV74" s="769"/>
      <c r="CW74" s="769"/>
      <c r="CX74" s="769"/>
      <c r="CY74" s="769"/>
      <c r="CZ74" s="769"/>
      <c r="DA74" s="769"/>
      <c r="DB74" s="769"/>
      <c r="DC74" s="769"/>
      <c r="DD74" s="769"/>
      <c r="DE74" s="769"/>
      <c r="DF74" s="769"/>
      <c r="DG74" s="769"/>
      <c r="DH74" s="769"/>
      <c r="DI74" s="769"/>
      <c r="DJ74" s="769"/>
      <c r="DK74" s="769"/>
      <c r="DL74" s="769"/>
      <c r="DM74" s="769"/>
      <c r="DN74" s="769"/>
      <c r="DO74" s="769"/>
      <c r="DP74" s="769"/>
      <c r="DQ74" s="769"/>
      <c r="DR74" s="769"/>
      <c r="DS74" s="769"/>
      <c r="DT74" s="769"/>
    </row>
    <row r="75" spans="1:124" x14ac:dyDescent="0.3">
      <c r="B75" s="844" t="str">
        <f t="shared" si="75"/>
        <v>IndiaBackofficeL1</v>
      </c>
      <c r="C75" s="1085" t="s">
        <v>73</v>
      </c>
      <c r="D75" s="1148">
        <f>VLOOKUP($B75,'IND Salary'!$B$4:$F$14,5,0)/12</f>
        <v>25791.666666666668</v>
      </c>
      <c r="E75" s="1041"/>
      <c r="F75" s="1148">
        <f>VLOOKUP(F$67,'IND Salary'!$D$16:$G$32,3,0)/12</f>
        <v>62500</v>
      </c>
      <c r="G75" s="1148">
        <f>VLOOKUP(G$67,'IND Salary'!$D$16:$G$32,3,0)/12</f>
        <v>93333.333333333328</v>
      </c>
      <c r="H75" s="1148">
        <f>VLOOKUP(H$67,'IND Salary'!$D$16:$G$32,3,0)/12</f>
        <v>150000</v>
      </c>
      <c r="I75" s="1148">
        <f>VLOOKUP(I$67,'IND Salary'!$D$16:$G$32,3,0)/12</f>
        <v>250000</v>
      </c>
      <c r="J75" s="1148">
        <f>VLOOKUP(J$67,'IND Salary'!$D$16:$G$32,3,0)/12</f>
        <v>282916.66666666669</v>
      </c>
      <c r="K75" s="1148">
        <f>VLOOKUP(K$67,'IND Salary'!$D$16:$G$32,3,0)/12</f>
        <v>326250</v>
      </c>
      <c r="L75" s="1148">
        <f>VLOOKUP(L$67,'IND Salary'!$D$16:$G$32,3,0)/12</f>
        <v>378450</v>
      </c>
      <c r="M75" s="1148">
        <f>VLOOKUP(M$67,'IND Salary'!$D$16:$G$32,3,0)/12</f>
        <v>62500</v>
      </c>
      <c r="N75" s="1148">
        <f>VLOOKUP(N$67,'IND Salary'!$D$16:$G$32,3,0)/12</f>
        <v>62500</v>
      </c>
      <c r="O75" s="1148">
        <f>VLOOKUP(O$67,'IND Salary'!$D$16:$G$32,3,0)/12</f>
        <v>75000</v>
      </c>
      <c r="P75" s="1148">
        <f>VLOOKUP(P$67,'IND Salary'!$D$16:$G$32,3,0)/12</f>
        <v>62500</v>
      </c>
      <c r="Q75" s="1148">
        <f>VLOOKUP(Q$67,'IND Salary'!$D$16:$G$32,3,0)/12</f>
        <v>239583.33333333334</v>
      </c>
      <c r="R75" s="1148">
        <f>VLOOKUP(R$67,'IND Salary'!$D$16:$G$32,3,0)/12</f>
        <v>250000</v>
      </c>
      <c r="S75" s="1063" t="str">
        <f t="shared" si="76"/>
        <v>IndiaBackofficeL1</v>
      </c>
      <c r="T75" s="1148">
        <f>VLOOKUP(T$67,'IND Salary'!$D$16:$G$32,3,0)/12</f>
        <v>62500</v>
      </c>
      <c r="U75" s="1148">
        <f>VLOOKUP(U$67,'IND Salary'!$D$16:$G$32,3,0)/12</f>
        <v>93333.333333333328</v>
      </c>
      <c r="V75" s="1148">
        <f>VLOOKUP(V$67,'IND Salary'!$D$16:$G$32,3,0)/12</f>
        <v>150000</v>
      </c>
      <c r="W75" s="1148">
        <f>VLOOKUP(W$67,'IND Salary'!$D$16:$G$32,3,0)/12</f>
        <v>250000</v>
      </c>
      <c r="X75" s="1148">
        <f>VLOOKUP(X$67,'IND Salary'!$D$16:$G$32,3,0)/12</f>
        <v>282916.66666666669</v>
      </c>
      <c r="Y75" s="1148">
        <f>VLOOKUP(Y$67,'IND Salary'!$D$16:$G$32,3,0)/12</f>
        <v>326250</v>
      </c>
      <c r="Z75" s="1148">
        <f>VLOOKUP(Z$67,'IND Salary'!$D$16:$G$32,3,0)/12</f>
        <v>378450</v>
      </c>
      <c r="AA75" s="1148">
        <f>VLOOKUP(AA$67,'IND Salary'!$D$16:$G$32,3,0)/12</f>
        <v>62500</v>
      </c>
      <c r="AB75" s="1148">
        <f>VLOOKUP(AB$67,'IND Salary'!$D$16:$G$32,3,0)/12</f>
        <v>62500</v>
      </c>
      <c r="AC75" s="1148">
        <f>VLOOKUP(AC$67,'IND Salary'!$D$16:$G$32,3,0)/12</f>
        <v>75000</v>
      </c>
      <c r="AD75" s="1148">
        <f>VLOOKUP(AD$67,'IND Salary'!$D$16:$G$32,3,0)/12</f>
        <v>62500</v>
      </c>
      <c r="AE75" s="1148">
        <f>VLOOKUP(AE$67,'IND Salary'!$D$16:$G$32,3,0)/12</f>
        <v>239583.33333333334</v>
      </c>
      <c r="AF75" s="1148">
        <f>VLOOKUP(AF$67,'IND Salary'!$D$16:$G$32,3,0)/12</f>
        <v>250000</v>
      </c>
      <c r="AG75" s="1063" t="str">
        <f t="shared" si="77"/>
        <v>IndiaBackofficeL1</v>
      </c>
      <c r="AH75" s="1148">
        <f>VLOOKUP(AH$67,'IND Salary'!$D$16:$G$32,4,0)/12</f>
        <v>75000</v>
      </c>
      <c r="AI75" s="1148">
        <f>VLOOKUP(AI$67,'IND Salary'!$D$16:$G$32,4,0)/12</f>
        <v>93333.333333333328</v>
      </c>
      <c r="AJ75" s="1148">
        <f>VLOOKUP(AJ$67,'IND Salary'!$D$16:$G$32,4,0)/12</f>
        <v>150000</v>
      </c>
      <c r="AK75" s="1148">
        <f>VLOOKUP(AK$67,'IND Salary'!$D$16:$G$32,4,0)/12</f>
        <v>250000</v>
      </c>
      <c r="AL75" s="1148">
        <f>VLOOKUP(AL$67,'IND Salary'!$D$16:$G$32,4,0)/12</f>
        <v>282916.66666666669</v>
      </c>
      <c r="AM75" s="1148">
        <f>VLOOKUP(AM$67,'IND Salary'!$D$16:$G$32,4,0)/12</f>
        <v>326250</v>
      </c>
      <c r="AN75" s="1148">
        <f>VLOOKUP(AN$67,'IND Salary'!$D$16:$G$32,4,0)/12</f>
        <v>378450</v>
      </c>
      <c r="AO75" s="1148">
        <f>VLOOKUP(AO$67,'IND Salary'!$D$16:$G$32,4,0)/12</f>
        <v>75000</v>
      </c>
      <c r="AP75" s="1148">
        <f>VLOOKUP(AP$67,'IND Salary'!$D$16:$G$32,4,0)/12</f>
        <v>75000</v>
      </c>
      <c r="AQ75" s="1148">
        <f>VLOOKUP(AQ$67,'IND Salary'!$D$16:$G$32,4,0)/12</f>
        <v>75000</v>
      </c>
      <c r="AR75" s="1148">
        <f>VLOOKUP(AR$67,'IND Salary'!$D$16:$G$32,4,0)/12</f>
        <v>62500</v>
      </c>
      <c r="AS75" s="1148">
        <f>VLOOKUP(AS$67,'IND Salary'!$D$16:$G$32,4,0)/12</f>
        <v>239583.33333333334</v>
      </c>
      <c r="AT75" s="1148">
        <f>VLOOKUP(AT$67,'IND Salary'!$D$16:$G$32,4,0)/12</f>
        <v>250000</v>
      </c>
      <c r="AU75" s="769"/>
      <c r="AV75" s="769"/>
      <c r="AW75" s="769"/>
      <c r="AX75" s="769"/>
      <c r="AY75" s="769"/>
      <c r="AZ75" s="769"/>
      <c r="BA75" s="769"/>
      <c r="BB75" s="769"/>
      <c r="BC75" s="769"/>
      <c r="BD75" s="769"/>
      <c r="BE75" s="769"/>
      <c r="BF75" s="769"/>
      <c r="BG75" s="769"/>
      <c r="BH75" s="769"/>
      <c r="BI75" s="769"/>
      <c r="BJ75" s="769"/>
      <c r="BK75" s="769"/>
      <c r="BL75" s="769"/>
      <c r="BM75" s="769"/>
      <c r="BN75" s="769"/>
      <c r="BO75" s="769"/>
      <c r="BP75" s="769"/>
      <c r="BQ75" s="769"/>
      <c r="BR75" s="769"/>
      <c r="BS75" s="769"/>
      <c r="BT75" s="769"/>
      <c r="BU75" s="769"/>
      <c r="BV75" s="769"/>
      <c r="BW75" s="769"/>
      <c r="BX75" s="769"/>
      <c r="BY75" s="769"/>
      <c r="BZ75" s="769"/>
      <c r="CA75" s="769"/>
      <c r="CB75" s="769"/>
      <c r="CC75" s="769"/>
      <c r="CD75" s="769"/>
      <c r="CE75" s="769"/>
      <c r="CF75" s="769"/>
      <c r="CG75" s="769"/>
      <c r="CH75" s="769"/>
      <c r="CI75" s="769"/>
      <c r="CJ75" s="769"/>
      <c r="CK75" s="769"/>
      <c r="CL75" s="769"/>
      <c r="CM75" s="769"/>
      <c r="CN75" s="769"/>
      <c r="CO75" s="769"/>
      <c r="CP75" s="769"/>
      <c r="CQ75" s="769"/>
      <c r="CR75" s="769"/>
      <c r="CS75" s="769"/>
      <c r="CT75" s="769"/>
      <c r="CU75" s="769"/>
      <c r="CV75" s="769"/>
      <c r="CW75" s="769"/>
      <c r="CX75" s="769"/>
      <c r="CY75" s="769"/>
      <c r="CZ75" s="769"/>
      <c r="DA75" s="769"/>
      <c r="DB75" s="769"/>
      <c r="DC75" s="769"/>
      <c r="DD75" s="769"/>
      <c r="DE75" s="769"/>
      <c r="DF75" s="769"/>
      <c r="DG75" s="769"/>
      <c r="DH75" s="769"/>
      <c r="DI75" s="769"/>
      <c r="DJ75" s="769"/>
      <c r="DK75" s="769"/>
      <c r="DL75" s="769"/>
      <c r="DM75" s="769"/>
      <c r="DN75" s="769"/>
      <c r="DO75" s="769"/>
      <c r="DP75" s="769"/>
      <c r="DQ75" s="769"/>
      <c r="DR75" s="769"/>
      <c r="DS75" s="769"/>
      <c r="DT75" s="769"/>
    </row>
    <row r="76" spans="1:124" ht="13.5" thickBot="1" x14ac:dyDescent="0.35">
      <c r="B76" s="844" t="str">
        <f t="shared" si="75"/>
        <v>PhilippinesBackofficeL1</v>
      </c>
      <c r="C76" s="1086" t="s">
        <v>348</v>
      </c>
      <c r="D76" s="1149">
        <f>VLOOKUP($B76,'Salary PHP'!$B$4:$F$13,5,0)/12</f>
        <v>26216.666666666668</v>
      </c>
      <c r="E76" s="1042"/>
      <c r="F76" s="1149">
        <f>VLOOKUP(F$67,'Salary PHP'!$D$16:$F$31,3,0)/12</f>
        <v>62500</v>
      </c>
      <c r="G76" s="1149">
        <f>VLOOKUP(G$67,'Salary PHP'!$D$16:$F$31,3,0)/12</f>
        <v>91666.666666666672</v>
      </c>
      <c r="H76" s="1149">
        <f>VLOOKUP(H$67,'Salary PHP'!$D$16:$F$31,3,0)/12</f>
        <v>108333.33333333333</v>
      </c>
      <c r="I76" s="1149">
        <f>VLOOKUP(I$67,'Salary PHP'!$D$16:$F$31,3,0)/12</f>
        <v>133333.33333333334</v>
      </c>
      <c r="J76" s="1149">
        <f>VLOOKUP(J$67,'Salary PHP'!$D$16:$F$31,3,0)/12</f>
        <v>275000</v>
      </c>
      <c r="K76" s="1149">
        <f>VLOOKUP(K$67,'Salary PHP'!$D$16:$F$31,3,0)/12</f>
        <v>308333.33333333331</v>
      </c>
      <c r="L76" s="1149">
        <f>VLOOKUP(L$67,'Salary PHP'!$D$16:$F$31,3,0)/12</f>
        <v>370000</v>
      </c>
      <c r="M76" s="1149">
        <f>VLOOKUP(M$67,'Salary PHP'!$D$16:$F$31,3,0)/12</f>
        <v>62500</v>
      </c>
      <c r="N76" s="1149">
        <f>VLOOKUP(N$67,'Salary PHP'!$D$16:$F$31,3,0)/12</f>
        <v>62500</v>
      </c>
      <c r="O76" s="1149">
        <f>VLOOKUP(O$67,'Salary PHP'!$D$16:$F$31,3,0)/12</f>
        <v>54166.666666666664</v>
      </c>
      <c r="P76" s="1149">
        <f>VLOOKUP(P$67,'Salary PHP'!$D$16:$F$31,3,0)/12</f>
        <v>58333.333333333336</v>
      </c>
      <c r="Q76" s="1149">
        <f>VLOOKUP(Q$67,'Salary PHP'!$D$16:$F$31,3,0)/12</f>
        <v>133333.33333333334</v>
      </c>
      <c r="R76" s="1149">
        <f>VLOOKUP(R$67,'Salary PHP'!$D$16:$F$31,3,0)/12</f>
        <v>150000</v>
      </c>
      <c r="S76" s="1064" t="str">
        <f t="shared" si="76"/>
        <v>PhilippinesBackofficeL1</v>
      </c>
      <c r="T76" s="1149">
        <f>VLOOKUP(T$67,'Salary PHP'!$D$16:$F$31,3,0)/12</f>
        <v>62500</v>
      </c>
      <c r="U76" s="1149">
        <f>VLOOKUP(U$67,'Salary PHP'!$D$16:$F$31,3,0)/12</f>
        <v>91666.666666666672</v>
      </c>
      <c r="V76" s="1149">
        <f>VLOOKUP(V$67,'Salary PHP'!$D$16:$F$31,3,0)/12</f>
        <v>108333.33333333333</v>
      </c>
      <c r="W76" s="1149">
        <f>VLOOKUP(W$67,'Salary PHP'!$D$16:$F$31,3,0)/12</f>
        <v>133333.33333333334</v>
      </c>
      <c r="X76" s="1149">
        <f>VLOOKUP(X$67,'Salary PHP'!$D$16:$F$31,3,0)/12</f>
        <v>275000</v>
      </c>
      <c r="Y76" s="1149">
        <f>VLOOKUP(Y$67,'Salary PHP'!$D$16:$F$31,3,0)/12</f>
        <v>308333.33333333331</v>
      </c>
      <c r="Z76" s="1149">
        <f>VLOOKUP(Z$67,'Salary PHP'!$D$16:$F$31,3,0)/12</f>
        <v>370000</v>
      </c>
      <c r="AA76" s="1149">
        <f>VLOOKUP(AA$67,'Salary PHP'!$D$16:$F$31,3,0)/12</f>
        <v>62500</v>
      </c>
      <c r="AB76" s="1149">
        <f>VLOOKUP(AB$67,'Salary PHP'!$D$16:$F$31,3,0)/12</f>
        <v>62500</v>
      </c>
      <c r="AC76" s="1149">
        <f>VLOOKUP(AC$67,'Salary PHP'!$D$16:$F$31,3,0)/12</f>
        <v>54166.666666666664</v>
      </c>
      <c r="AD76" s="1149">
        <f>VLOOKUP(AD$67,'Salary PHP'!$D$16:$F$31,3,0)/12</f>
        <v>58333.333333333336</v>
      </c>
      <c r="AE76" s="1149">
        <f>VLOOKUP(AE$67,'Salary PHP'!$D$16:$F$31,3,0)/12</f>
        <v>133333.33333333334</v>
      </c>
      <c r="AF76" s="1149">
        <f>VLOOKUP(AF$67,'Salary PHP'!$D$16:$F$31,3,0)/12</f>
        <v>150000</v>
      </c>
      <c r="AG76" s="1064" t="str">
        <f t="shared" si="77"/>
        <v>PhilippinesBackofficeL1</v>
      </c>
      <c r="AH76" s="1149">
        <f>VLOOKUP(AH$67,'Salary PHP'!$D$16:$F$31,3,0)/12</f>
        <v>62500</v>
      </c>
      <c r="AI76" s="1149">
        <f>VLOOKUP(AI$67,'Salary PHP'!$D$16:$F$31,3,0)/12</f>
        <v>91666.666666666672</v>
      </c>
      <c r="AJ76" s="1149">
        <f>VLOOKUP(AJ$67,'Salary PHP'!$D$16:$F$31,3,0)/12</f>
        <v>108333.33333333333</v>
      </c>
      <c r="AK76" s="1149">
        <f>VLOOKUP(AK$67,'Salary PHP'!$D$16:$F$31,3,0)/12</f>
        <v>133333.33333333334</v>
      </c>
      <c r="AL76" s="1149">
        <f>VLOOKUP(AL$67,'Salary PHP'!$D$16:$F$31,3,0)/12</f>
        <v>275000</v>
      </c>
      <c r="AM76" s="1149">
        <f>VLOOKUP(AM$67,'Salary PHP'!$D$16:$F$31,3,0)/12</f>
        <v>308333.33333333331</v>
      </c>
      <c r="AN76" s="1149">
        <f>VLOOKUP(AN$67,'Salary PHP'!$D$16:$F$31,3,0)/12</f>
        <v>370000</v>
      </c>
      <c r="AO76" s="1149">
        <f>VLOOKUP(AO$67,'Salary PHP'!$D$16:$F$31,3,0)/12</f>
        <v>62500</v>
      </c>
      <c r="AP76" s="1149">
        <f>VLOOKUP(AP$67,'Salary PHP'!$D$16:$F$31,3,0)/12</f>
        <v>62500</v>
      </c>
      <c r="AQ76" s="1149">
        <f>VLOOKUP(AQ$67,'Salary PHP'!$D$16:$F$31,3,0)/12</f>
        <v>54166.666666666664</v>
      </c>
      <c r="AR76" s="1149">
        <f>VLOOKUP(AR$67,'Salary PHP'!$D$16:$F$31,3,0)/12</f>
        <v>58333.333333333336</v>
      </c>
      <c r="AS76" s="1149">
        <f>VLOOKUP(AS$67,'Salary PHP'!$D$16:$F$31,3,0)/12</f>
        <v>133333.33333333334</v>
      </c>
      <c r="AT76" s="1149">
        <f>VLOOKUP(AT$67,'Salary PHP'!$D$16:$F$31,3,0)/12</f>
        <v>150000</v>
      </c>
      <c r="AU76" s="769"/>
      <c r="AV76" s="769"/>
      <c r="AW76" s="769"/>
      <c r="AX76" s="769"/>
      <c r="AY76" s="769"/>
      <c r="AZ76" s="769"/>
      <c r="BA76" s="769"/>
      <c r="BB76" s="769"/>
      <c r="BC76" s="769"/>
      <c r="BD76" s="769"/>
      <c r="BE76" s="769"/>
      <c r="BF76" s="769"/>
      <c r="BG76" s="769"/>
      <c r="BH76" s="769"/>
      <c r="BI76" s="769"/>
      <c r="BJ76" s="769"/>
      <c r="BK76" s="769"/>
      <c r="BL76" s="769"/>
      <c r="BM76" s="769"/>
      <c r="BN76" s="769"/>
      <c r="BO76" s="769"/>
      <c r="BP76" s="769"/>
      <c r="BQ76" s="769"/>
      <c r="BR76" s="769"/>
      <c r="BS76" s="769"/>
      <c r="BT76" s="769"/>
      <c r="BU76" s="769"/>
      <c r="BV76" s="769"/>
      <c r="BW76" s="769"/>
      <c r="BX76" s="769"/>
      <c r="BY76" s="769"/>
      <c r="BZ76" s="769"/>
      <c r="CA76" s="769"/>
      <c r="CB76" s="769"/>
      <c r="CC76" s="769"/>
      <c r="CD76" s="769"/>
      <c r="CE76" s="769"/>
      <c r="CF76" s="769"/>
      <c r="CG76" s="769"/>
      <c r="CH76" s="769"/>
      <c r="CI76" s="769"/>
      <c r="CJ76" s="769"/>
      <c r="CK76" s="769"/>
      <c r="CL76" s="769"/>
      <c r="CM76" s="769"/>
      <c r="CN76" s="769"/>
      <c r="CO76" s="769"/>
      <c r="CP76" s="769"/>
      <c r="CQ76" s="769"/>
      <c r="CR76" s="769"/>
      <c r="CS76" s="769"/>
      <c r="CT76" s="769"/>
      <c r="CU76" s="769"/>
      <c r="CV76" s="769"/>
      <c r="CW76" s="769"/>
      <c r="CX76" s="769"/>
      <c r="CY76" s="769"/>
      <c r="CZ76" s="769"/>
      <c r="DA76" s="769"/>
      <c r="DB76" s="769"/>
      <c r="DC76" s="769"/>
      <c r="DD76" s="769"/>
      <c r="DE76" s="769"/>
      <c r="DF76" s="769"/>
      <c r="DG76" s="769"/>
      <c r="DH76" s="769"/>
      <c r="DI76" s="769"/>
      <c r="DJ76" s="769"/>
      <c r="DK76" s="769"/>
      <c r="DL76" s="769"/>
      <c r="DM76" s="769"/>
      <c r="DN76" s="769"/>
      <c r="DO76" s="769"/>
      <c r="DP76" s="769"/>
      <c r="DQ76" s="769"/>
      <c r="DR76" s="769"/>
      <c r="DS76" s="769"/>
      <c r="DT76" s="769"/>
    </row>
    <row r="77" spans="1:124" ht="13.5" thickBot="1" x14ac:dyDescent="0.35"/>
    <row r="78" spans="1:124" x14ac:dyDescent="0.3">
      <c r="B78" s="1022">
        <f>B65+1</f>
        <v>7</v>
      </c>
      <c r="C78" s="1090" t="s">
        <v>387</v>
      </c>
      <c r="D78" s="1044" t="s">
        <v>477</v>
      </c>
      <c r="E78" s="560"/>
      <c r="F78" s="560"/>
      <c r="G78" s="560"/>
      <c r="V78" s="653" t="s">
        <v>209</v>
      </c>
      <c r="W78" s="1044" t="s">
        <v>478</v>
      </c>
      <c r="X78" s="1044" t="s">
        <v>479</v>
      </c>
    </row>
    <row r="79" spans="1:124" x14ac:dyDescent="0.3">
      <c r="C79" s="1081" t="s">
        <v>390</v>
      </c>
      <c r="D79" s="653" t="s">
        <v>209</v>
      </c>
      <c r="E79" s="653" t="s">
        <v>328</v>
      </c>
      <c r="F79" s="653" t="s">
        <v>388</v>
      </c>
      <c r="G79" s="653" t="s">
        <v>389</v>
      </c>
      <c r="H79" s="653" t="s">
        <v>235</v>
      </c>
      <c r="I79" s="653" t="s">
        <v>237</v>
      </c>
      <c r="J79" s="653" t="s">
        <v>238</v>
      </c>
      <c r="K79" s="653" t="s">
        <v>517</v>
      </c>
      <c r="L79" s="653"/>
      <c r="M79" s="653"/>
      <c r="N79" s="653"/>
      <c r="O79" s="653" t="s">
        <v>574</v>
      </c>
      <c r="P79" s="653" t="s">
        <v>575</v>
      </c>
      <c r="Q79" s="1070" t="s">
        <v>576</v>
      </c>
      <c r="R79" s="653" t="s">
        <v>58</v>
      </c>
      <c r="S79" s="653"/>
      <c r="T79" s="653" t="s">
        <v>240</v>
      </c>
      <c r="V79" s="1081" t="s">
        <v>390</v>
      </c>
      <c r="W79" s="1081" t="s">
        <v>209</v>
      </c>
      <c r="X79" s="1081" t="s">
        <v>209</v>
      </c>
    </row>
    <row r="80" spans="1:124" x14ac:dyDescent="0.3">
      <c r="A80" s="14" t="str">
        <f>Summary!C3&amp;Summary!D3</f>
        <v>BackofficeL1</v>
      </c>
      <c r="B80" s="844" t="str">
        <f t="shared" ref="B80:B88" si="78">C80&amp;$C$67&amp;$D$67</f>
        <v>USBackofficeL1</v>
      </c>
      <c r="C80" s="120" t="s">
        <v>44</v>
      </c>
      <c r="D80" s="1047">
        <f>VLOOKUP($B80,'US Salary'!$C$4:$R$15,14,0)</f>
        <v>50</v>
      </c>
      <c r="E80" s="1047">
        <f>VLOOKUP($B80,'US Salary'!$C$4:$R$15,15,0)</f>
        <v>145</v>
      </c>
      <c r="F80" s="1048">
        <f>'US Salary'!$P$18</f>
        <v>0.04</v>
      </c>
      <c r="G80" s="1047">
        <f>'US Salary'!Q18</f>
        <v>145</v>
      </c>
      <c r="H80" s="1039">
        <v>10</v>
      </c>
      <c r="I80" s="1039">
        <v>4</v>
      </c>
      <c r="J80" s="1151"/>
      <c r="K80" s="1046">
        <v>0</v>
      </c>
      <c r="L80" s="1150"/>
      <c r="M80" s="1452"/>
      <c r="N80" s="1151"/>
      <c r="O80" s="1152">
        <f>'BOM-ROM,T&amp;T,US'!$G$43</f>
        <v>86.083333333333343</v>
      </c>
      <c r="P80" s="1152">
        <f>'BOM-ROM,T&amp;T,US'!$H$43</f>
        <v>81.76111111111112</v>
      </c>
      <c r="Q80" s="1153">
        <f>P80</f>
        <v>81.76111111111112</v>
      </c>
      <c r="R80" s="1150">
        <v>280</v>
      </c>
      <c r="S80" s="1151"/>
      <c r="T80" s="1152">
        <v>0</v>
      </c>
      <c r="V80" s="120" t="s">
        <v>44</v>
      </c>
      <c r="W80" s="1047">
        <f>D80</f>
        <v>50</v>
      </c>
      <c r="X80" s="1047">
        <f>W80</f>
        <v>50</v>
      </c>
    </row>
    <row r="81" spans="1:35" x14ac:dyDescent="0.3">
      <c r="A81" s="14" t="s">
        <v>688</v>
      </c>
      <c r="B81" s="844" t="str">
        <f t="shared" si="78"/>
        <v>UKBackofficeL1</v>
      </c>
      <c r="C81" s="120" t="s">
        <v>29</v>
      </c>
      <c r="D81" s="1154">
        <f>VLOOKUP($B81,'UK Salary'!$D$4:$Q$13,13,0)</f>
        <v>152</v>
      </c>
      <c r="E81" s="1154">
        <f>VLOOKUP($B81,'UK Salary'!$D$4:$Q$13,14,0)</f>
        <v>120</v>
      </c>
      <c r="F81" s="1048">
        <f>'UK Salary'!P16</f>
        <v>8.3333333333333329E-2</v>
      </c>
      <c r="G81" s="1154">
        <f>'UK Salary'!Q16</f>
        <v>120</v>
      </c>
      <c r="H81" s="1141">
        <v>10</v>
      </c>
      <c r="I81" s="1141">
        <v>25</v>
      </c>
      <c r="J81" s="1155"/>
      <c r="K81" s="1046">
        <v>0</v>
      </c>
      <c r="L81" s="1141"/>
      <c r="M81" s="1155"/>
      <c r="N81" s="1155"/>
      <c r="O81" s="1141">
        <f>'BOM-UK'!G43/$D$150</f>
        <v>70.074444444444453</v>
      </c>
      <c r="P81" s="1141">
        <f>'BOM-UK'!H43/$D$150</f>
        <v>66.616666666666674</v>
      </c>
      <c r="Q81" s="1141">
        <f t="shared" ref="Q81:Q88" si="79">P81</f>
        <v>66.616666666666674</v>
      </c>
      <c r="R81" s="1141">
        <v>167.83008661239239</v>
      </c>
      <c r="S81" s="1155"/>
      <c r="T81" s="1152">
        <v>0</v>
      </c>
      <c r="V81" s="120" t="s">
        <v>29</v>
      </c>
      <c r="W81" s="1154">
        <f t="shared" ref="W81:W88" si="80">D81</f>
        <v>152</v>
      </c>
      <c r="X81" s="1154">
        <f t="shared" ref="X81:X88" si="81">W81</f>
        <v>152</v>
      </c>
    </row>
    <row r="82" spans="1:35" x14ac:dyDescent="0.3">
      <c r="B82" s="844" t="str">
        <f t="shared" si="78"/>
        <v>MexicoBackofficeL1</v>
      </c>
      <c r="C82" s="120" t="s">
        <v>74</v>
      </c>
      <c r="D82" s="1156">
        <f>VLOOKUP($B82,'Salary Maxico'!$B$4:$O$13,13,0)</f>
        <v>970</v>
      </c>
      <c r="E82" s="1156">
        <f>VLOOKUP($B82,'Salary Maxico'!$B$4:$O$13,14,0)</f>
        <v>3012</v>
      </c>
      <c r="F82" s="1048">
        <f>'Salary Maxico'!N16</f>
        <v>8.3299999999999999E-2</v>
      </c>
      <c r="G82" s="1156">
        <f>'Salary Maxico'!O16</f>
        <v>3012</v>
      </c>
      <c r="H82" s="1146">
        <v>200</v>
      </c>
      <c r="I82" s="1146">
        <v>300</v>
      </c>
      <c r="J82" s="1157"/>
      <c r="K82" s="1046">
        <v>0</v>
      </c>
      <c r="L82" s="1146"/>
      <c r="M82" s="1157"/>
      <c r="N82" s="1157"/>
      <c r="O82" s="1152">
        <f>'BOM-ROM,T&amp;T,US'!$G$43</f>
        <v>86.083333333333343</v>
      </c>
      <c r="P82" s="1152">
        <f>'BOM-ROM,T&amp;T,US'!$H$43</f>
        <v>81.76111111111112</v>
      </c>
      <c r="Q82" s="1153">
        <f t="shared" si="79"/>
        <v>81.76111111111112</v>
      </c>
      <c r="R82" s="1146">
        <v>5198.1030403930117</v>
      </c>
      <c r="S82" s="1157"/>
      <c r="T82" s="1152">
        <v>0</v>
      </c>
      <c r="V82" s="120" t="s">
        <v>74</v>
      </c>
      <c r="W82" s="1156">
        <f t="shared" si="80"/>
        <v>970</v>
      </c>
      <c r="X82" s="1156">
        <f t="shared" si="81"/>
        <v>970</v>
      </c>
    </row>
    <row r="83" spans="1:35" x14ac:dyDescent="0.3">
      <c r="B83" s="844" t="str">
        <f t="shared" si="78"/>
        <v>AustraliaBackofficeL1</v>
      </c>
      <c r="C83" s="120" t="s">
        <v>346</v>
      </c>
      <c r="D83" s="1158">
        <f>VLOOKUP($B83,'Aus Salary'!$B$4:$O$13,13,0)</f>
        <v>1200</v>
      </c>
      <c r="E83" s="1158">
        <f>VLOOKUP($B83,'Aus Salary'!$B$4:$O$13,14,0)</f>
        <v>68.272199999999998</v>
      </c>
      <c r="F83" s="1048">
        <f>'Aus Salary'!N16</f>
        <v>8.3333333333333329E-2</v>
      </c>
      <c r="G83" s="1158">
        <f>'Aus Salary'!O16</f>
        <v>68.272199999999998</v>
      </c>
      <c r="H83" s="1142">
        <v>30.086274509803921</v>
      </c>
      <c r="I83" s="1142">
        <v>39</v>
      </c>
      <c r="J83" s="1159"/>
      <c r="K83" s="1046">
        <v>0</v>
      </c>
      <c r="L83" s="1142"/>
      <c r="M83" s="1159"/>
      <c r="N83" s="1159"/>
      <c r="O83" s="1445">
        <f>'BOM - AUS'!G43*$E$157</f>
        <v>131.76458333333335</v>
      </c>
      <c r="P83" s="1445">
        <f>'BOM - AUS'!H43*$E$157</f>
        <v>125.28125000000001</v>
      </c>
      <c r="Q83" s="1153">
        <f t="shared" si="79"/>
        <v>125.28125000000001</v>
      </c>
      <c r="R83" s="1142">
        <v>171</v>
      </c>
      <c r="S83" s="1159"/>
      <c r="T83" s="1152">
        <v>0</v>
      </c>
      <c r="V83" s="120" t="s">
        <v>346</v>
      </c>
      <c r="W83" s="1158">
        <f t="shared" si="80"/>
        <v>1200</v>
      </c>
      <c r="X83" s="1158">
        <f t="shared" si="81"/>
        <v>1200</v>
      </c>
    </row>
    <row r="84" spans="1:35" x14ac:dyDescent="0.3">
      <c r="B84" s="844" t="str">
        <f t="shared" si="78"/>
        <v>Trinidad and TobagoBackofficeL1</v>
      </c>
      <c r="C84" s="120" t="s">
        <v>597</v>
      </c>
      <c r="D84" s="1049">
        <f>VLOOKUP($B84,'T&amp;T Salary'!$B$4:$O$13,13,0)</f>
        <v>170</v>
      </c>
      <c r="E84" s="1049">
        <f>VLOOKUP($B84,'T&amp;T Salary'!$B$4:$O$13,14,0)</f>
        <v>34</v>
      </c>
      <c r="F84" s="1048">
        <f>'T&amp;T Salary'!N16</f>
        <v>8.3299999999999999E-2</v>
      </c>
      <c r="G84" s="1049">
        <f>'T&amp;T Salary'!$O$16</f>
        <v>34</v>
      </c>
      <c r="H84" s="888">
        <v>67.8</v>
      </c>
      <c r="I84" s="888">
        <v>0</v>
      </c>
      <c r="J84" s="1050"/>
      <c r="K84" s="1046">
        <v>0</v>
      </c>
      <c r="L84" s="888"/>
      <c r="M84" s="1050"/>
      <c r="N84" s="1050"/>
      <c r="O84" s="1152">
        <f>'BOM-ROM,T&amp;T,US'!$G$43</f>
        <v>86.083333333333343</v>
      </c>
      <c r="P84" s="1152">
        <f>'BOM-ROM,T&amp;T,US'!$H$43</f>
        <v>81.76111111111112</v>
      </c>
      <c r="Q84" s="1153">
        <f t="shared" si="79"/>
        <v>81.76111111111112</v>
      </c>
      <c r="R84" s="888">
        <v>526.49944455500008</v>
      </c>
      <c r="S84" s="1050"/>
      <c r="T84" s="1152">
        <v>0</v>
      </c>
      <c r="V84" s="120" t="s">
        <v>597</v>
      </c>
      <c r="W84" s="1049">
        <f t="shared" si="80"/>
        <v>170</v>
      </c>
      <c r="X84" s="1049">
        <f t="shared" si="81"/>
        <v>170</v>
      </c>
    </row>
    <row r="85" spans="1:35" x14ac:dyDescent="0.3">
      <c r="B85" s="844" t="str">
        <f t="shared" si="78"/>
        <v>South AfricaBackofficeL1</v>
      </c>
      <c r="C85" s="120" t="s">
        <v>347</v>
      </c>
      <c r="D85" s="1160">
        <f>VLOOKUP($B85,'SA Salary'!$B$4:$O$13,13,0)</f>
        <v>2326</v>
      </c>
      <c r="E85" s="1160">
        <f>VLOOKUP($B85,'SA Salary'!$B$4:$O$13,14,0)</f>
        <v>83</v>
      </c>
      <c r="F85" s="1048">
        <f>'SA Salary'!N16</f>
        <v>0.1</v>
      </c>
      <c r="G85" s="1160">
        <f>'SA Salary'!O16</f>
        <v>83</v>
      </c>
      <c r="H85" s="1143">
        <v>161.4</v>
      </c>
      <c r="I85" s="1143">
        <v>322.8</v>
      </c>
      <c r="J85" s="1161"/>
      <c r="K85" s="1046">
        <v>1</v>
      </c>
      <c r="L85" s="1143"/>
      <c r="M85" s="1161"/>
      <c r="N85" s="1161"/>
      <c r="O85" s="1152">
        <f>'BOM-ROM,T&amp;T,US'!$G$43</f>
        <v>86.083333333333343</v>
      </c>
      <c r="P85" s="1152">
        <f>'BOM-ROM,T&amp;T,US'!$H$43</f>
        <v>81.76111111111112</v>
      </c>
      <c r="Q85" s="1153">
        <f t="shared" si="79"/>
        <v>81.76111111111112</v>
      </c>
      <c r="R85" s="1143">
        <v>1248.0254342400942</v>
      </c>
      <c r="S85" s="1161"/>
      <c r="T85" s="1152">
        <v>0</v>
      </c>
      <c r="V85" s="120" t="s">
        <v>347</v>
      </c>
      <c r="W85" s="1160">
        <f t="shared" si="80"/>
        <v>2326</v>
      </c>
      <c r="X85" s="1160">
        <f t="shared" si="81"/>
        <v>2326</v>
      </c>
    </row>
    <row r="86" spans="1:35" x14ac:dyDescent="0.3">
      <c r="B86" s="844" t="str">
        <f t="shared" si="78"/>
        <v>RomaniaBackofficeL1</v>
      </c>
      <c r="C86" s="120" t="s">
        <v>349</v>
      </c>
      <c r="D86" s="1162">
        <f>VLOOKUP($B86,'ROM Salary'!$B$4:$O$13,13,0)</f>
        <v>1654.8266666666668</v>
      </c>
      <c r="E86" s="1162">
        <f>VLOOKUP($B86,'ROM Salary'!$B$4:$O$13,14,0)</f>
        <v>0</v>
      </c>
      <c r="F86" s="1048">
        <f>'ROM Salary'!N16</f>
        <v>8.3299999999999999E-2</v>
      </c>
      <c r="G86" s="1162">
        <f>'ROM Salary'!O16</f>
        <v>0</v>
      </c>
      <c r="H86" s="1147">
        <v>40</v>
      </c>
      <c r="I86" s="1147">
        <v>0</v>
      </c>
      <c r="J86" s="1163"/>
      <c r="K86" s="1046">
        <v>0</v>
      </c>
      <c r="L86" s="1147"/>
      <c r="M86" s="1163"/>
      <c r="N86" s="1163"/>
      <c r="O86" s="1152">
        <f>'BOM-ROM,T&amp;T,US'!$G$43</f>
        <v>86.083333333333343</v>
      </c>
      <c r="P86" s="1152">
        <f>'BOM-ROM,T&amp;T,US'!$H$43</f>
        <v>81.76111111111112</v>
      </c>
      <c r="Q86" s="1153">
        <f t="shared" si="79"/>
        <v>81.76111111111112</v>
      </c>
      <c r="R86" s="1147">
        <v>421.40294070551062</v>
      </c>
      <c r="S86" s="1163"/>
      <c r="T86" s="1152">
        <v>0</v>
      </c>
      <c r="V86" s="120" t="s">
        <v>349</v>
      </c>
      <c r="W86" s="1410">
        <v>257</v>
      </c>
      <c r="X86" s="1410">
        <v>257</v>
      </c>
    </row>
    <row r="87" spans="1:35" x14ac:dyDescent="0.3">
      <c r="B87" s="844" t="str">
        <f t="shared" si="78"/>
        <v>IndiaBackofficeL1</v>
      </c>
      <c r="C87" s="120" t="s">
        <v>73</v>
      </c>
      <c r="D87" s="1164">
        <f>VLOOKUP($B87,'IND Salary'!$B$4:$N$14,12,0)</f>
        <v>6000</v>
      </c>
      <c r="E87" s="1164">
        <f>VLOOKUP($B87,'IND Salary'!$B$4:$N$14,13,0)</f>
        <v>850</v>
      </c>
      <c r="F87" s="1048">
        <f>'IND Salary'!M17</f>
        <v>0.06</v>
      </c>
      <c r="G87" s="1164">
        <f>'IND Salary'!N17</f>
        <v>850</v>
      </c>
      <c r="H87" s="1148">
        <v>1280</v>
      </c>
      <c r="I87" s="1148">
        <v>300</v>
      </c>
      <c r="J87" s="1165"/>
      <c r="K87" s="1046">
        <v>0.5</v>
      </c>
      <c r="L87" s="1148"/>
      <c r="M87" s="1165"/>
      <c r="N87" s="1165"/>
      <c r="O87" s="1152">
        <f>'BOM-IND'!G43</f>
        <v>76.633055555555543</v>
      </c>
      <c r="P87" s="1152">
        <f>'BOM-IND'!H43</f>
        <v>72.310833333333321</v>
      </c>
      <c r="Q87" s="1153">
        <f t="shared" si="79"/>
        <v>72.310833333333321</v>
      </c>
      <c r="R87" s="1148">
        <v>3642</v>
      </c>
      <c r="S87" s="1165"/>
      <c r="T87" s="1152">
        <v>0</v>
      </c>
      <c r="V87" s="120" t="s">
        <v>73</v>
      </c>
      <c r="W87" s="1164">
        <f t="shared" si="80"/>
        <v>6000</v>
      </c>
      <c r="X87" s="1164">
        <f t="shared" si="81"/>
        <v>6000</v>
      </c>
    </row>
    <row r="88" spans="1:35" x14ac:dyDescent="0.3">
      <c r="B88" s="844" t="str">
        <f t="shared" si="78"/>
        <v>PhilippinesBackofficeL1</v>
      </c>
      <c r="C88" s="120" t="s">
        <v>348</v>
      </c>
      <c r="D88" s="1166">
        <f>VLOOKUP($B88,'Salary PHP'!$B$4:$N$13,12,0)</f>
        <v>10000</v>
      </c>
      <c r="E88" s="1166">
        <f>VLOOKUP($B88,'Salary PHP'!$B$4:$N$13,13,0)</f>
        <v>2800</v>
      </c>
      <c r="F88" s="1048">
        <f>'Salary PHP'!M16</f>
        <v>0.06</v>
      </c>
      <c r="G88" s="1166">
        <f>'Salary PHP'!N16</f>
        <v>2800</v>
      </c>
      <c r="H88" s="1149">
        <v>1945</v>
      </c>
      <c r="I88" s="1149">
        <v>500</v>
      </c>
      <c r="J88" s="1167"/>
      <c r="K88" s="1046">
        <v>0</v>
      </c>
      <c r="L88" s="1149"/>
      <c r="M88" s="1167"/>
      <c r="N88" s="1167"/>
      <c r="O88" s="1152">
        <f>'BOM-Phil'!G43</f>
        <v>77.845555555555549</v>
      </c>
      <c r="P88" s="1152">
        <f>'BOM-Phil'!H43</f>
        <v>73.523333333333326</v>
      </c>
      <c r="Q88" s="1153">
        <f t="shared" si="79"/>
        <v>73.523333333333326</v>
      </c>
      <c r="R88" s="1149">
        <v>3415</v>
      </c>
      <c r="S88" s="1167"/>
      <c r="T88" s="1152">
        <v>0</v>
      </c>
      <c r="V88" s="120" t="s">
        <v>348</v>
      </c>
      <c r="W88" s="1166">
        <f t="shared" si="80"/>
        <v>10000</v>
      </c>
      <c r="X88" s="1166">
        <f t="shared" si="81"/>
        <v>10000</v>
      </c>
    </row>
    <row r="89" spans="1:35" ht="13.5" thickBot="1" x14ac:dyDescent="0.35">
      <c r="B89" s="844"/>
      <c r="D89" s="14"/>
      <c r="E89" s="14"/>
      <c r="G89" s="14"/>
    </row>
    <row r="90" spans="1:35" x14ac:dyDescent="0.3">
      <c r="B90" s="1023">
        <f>B78+1</f>
        <v>8</v>
      </c>
      <c r="C90" s="1088" t="s">
        <v>672</v>
      </c>
      <c r="D90" s="1031">
        <v>1</v>
      </c>
      <c r="E90" s="1032">
        <f>D90+1</f>
        <v>2</v>
      </c>
      <c r="F90" s="1032">
        <f t="shared" ref="F90:K90" si="82">E90+1</f>
        <v>3</v>
      </c>
      <c r="G90" s="1032">
        <f t="shared" si="82"/>
        <v>4</v>
      </c>
      <c r="H90" s="1032">
        <f t="shared" si="82"/>
        <v>5</v>
      </c>
      <c r="I90" s="1032">
        <f t="shared" si="82"/>
        <v>6</v>
      </c>
      <c r="J90" s="1032">
        <f t="shared" si="82"/>
        <v>7</v>
      </c>
      <c r="K90" s="1032">
        <f t="shared" si="82"/>
        <v>8</v>
      </c>
      <c r="L90" s="1032">
        <f t="shared" ref="L90:M90" si="83">K90+1</f>
        <v>9</v>
      </c>
      <c r="M90" s="1032">
        <f t="shared" si="83"/>
        <v>10</v>
      </c>
      <c r="N90" s="1088" t="s">
        <v>673</v>
      </c>
      <c r="O90" s="1031">
        <f>'Data Master'!D90</f>
        <v>1</v>
      </c>
      <c r="P90" s="1032">
        <f>'Data Master'!E90</f>
        <v>2</v>
      </c>
      <c r="Q90" s="1032">
        <f>'Data Master'!F90</f>
        <v>3</v>
      </c>
      <c r="R90" s="1032">
        <f>'Data Master'!G90</f>
        <v>4</v>
      </c>
      <c r="S90" s="1032">
        <f>'Data Master'!H90</f>
        <v>5</v>
      </c>
      <c r="T90" s="1032">
        <f>'Data Master'!I90</f>
        <v>6</v>
      </c>
      <c r="U90" s="1032">
        <f>'Data Master'!J90</f>
        <v>7</v>
      </c>
      <c r="V90" s="1032">
        <f>'Data Master'!K90</f>
        <v>8</v>
      </c>
      <c r="W90" s="1032">
        <f>'Data Master'!L90</f>
        <v>9</v>
      </c>
      <c r="X90" s="1032">
        <f>'Data Master'!M90</f>
        <v>10</v>
      </c>
      <c r="Y90" s="1088" t="s">
        <v>674</v>
      </c>
      <c r="Z90" s="1031">
        <f>'Data Master'!O90</f>
        <v>1</v>
      </c>
      <c r="AA90" s="1032">
        <f>'Data Master'!P90</f>
        <v>2</v>
      </c>
      <c r="AB90" s="1032">
        <f>'Data Master'!Q90</f>
        <v>3</v>
      </c>
      <c r="AC90" s="1032">
        <f>'Data Master'!R90</f>
        <v>4</v>
      </c>
      <c r="AD90" s="1032">
        <f>'Data Master'!S90</f>
        <v>5</v>
      </c>
      <c r="AE90" s="1032">
        <f>'Data Master'!T90</f>
        <v>6</v>
      </c>
      <c r="AF90" s="1032">
        <f>'Data Master'!U90</f>
        <v>7</v>
      </c>
      <c r="AG90" s="1032">
        <f>'Data Master'!V90</f>
        <v>8</v>
      </c>
      <c r="AH90" s="1032">
        <f>'Data Master'!W90</f>
        <v>9</v>
      </c>
      <c r="AI90" s="1032">
        <f>'Data Master'!X90</f>
        <v>10</v>
      </c>
    </row>
    <row r="91" spans="1:35" x14ac:dyDescent="0.3">
      <c r="B91" s="844"/>
      <c r="C91" s="120" t="s">
        <v>44</v>
      </c>
      <c r="D91" s="1406">
        <v>0.03</v>
      </c>
      <c r="E91" s="353">
        <f>D91</f>
        <v>0.03</v>
      </c>
      <c r="F91" s="353">
        <f t="shared" ref="F91:AI91" si="84">E91</f>
        <v>0.03</v>
      </c>
      <c r="G91" s="353">
        <f t="shared" si="84"/>
        <v>0.03</v>
      </c>
      <c r="H91" s="353">
        <f t="shared" si="84"/>
        <v>0.03</v>
      </c>
      <c r="I91" s="353">
        <f t="shared" si="84"/>
        <v>0.03</v>
      </c>
      <c r="J91" s="353">
        <f t="shared" si="84"/>
        <v>0.03</v>
      </c>
      <c r="K91" s="353">
        <f t="shared" si="84"/>
        <v>0.03</v>
      </c>
      <c r="L91" s="353">
        <f t="shared" si="84"/>
        <v>0.03</v>
      </c>
      <c r="M91" s="353">
        <f t="shared" si="84"/>
        <v>0.03</v>
      </c>
      <c r="N91" s="769" t="str">
        <f>C91</f>
        <v>US</v>
      </c>
      <c r="O91" s="353">
        <f>M91</f>
        <v>0.03</v>
      </c>
      <c r="P91" s="353">
        <f t="shared" ref="P91:X91" si="85">O91</f>
        <v>0.03</v>
      </c>
      <c r="Q91" s="353">
        <f t="shared" si="85"/>
        <v>0.03</v>
      </c>
      <c r="R91" s="353">
        <f t="shared" si="85"/>
        <v>0.03</v>
      </c>
      <c r="S91" s="353">
        <f t="shared" si="85"/>
        <v>0.03</v>
      </c>
      <c r="T91" s="353">
        <f t="shared" si="85"/>
        <v>0.03</v>
      </c>
      <c r="U91" s="353">
        <f t="shared" si="85"/>
        <v>0.03</v>
      </c>
      <c r="V91" s="353">
        <f t="shared" si="85"/>
        <v>0.03</v>
      </c>
      <c r="W91" s="353">
        <f t="shared" si="85"/>
        <v>0.03</v>
      </c>
      <c r="X91" s="353">
        <f t="shared" si="85"/>
        <v>0.03</v>
      </c>
      <c r="Y91" s="642" t="str">
        <f>N91</f>
        <v>US</v>
      </c>
      <c r="Z91" s="1406">
        <f>X91</f>
        <v>0.03</v>
      </c>
      <c r="AA91" s="353">
        <f t="shared" si="84"/>
        <v>0.03</v>
      </c>
      <c r="AB91" s="353">
        <f t="shared" si="84"/>
        <v>0.03</v>
      </c>
      <c r="AC91" s="353">
        <f t="shared" si="84"/>
        <v>0.03</v>
      </c>
      <c r="AD91" s="353">
        <f t="shared" si="84"/>
        <v>0.03</v>
      </c>
      <c r="AE91" s="353">
        <f t="shared" si="84"/>
        <v>0.03</v>
      </c>
      <c r="AF91" s="353">
        <f t="shared" si="84"/>
        <v>0.03</v>
      </c>
      <c r="AG91" s="353">
        <f t="shared" si="84"/>
        <v>0.03</v>
      </c>
      <c r="AH91" s="353">
        <f t="shared" si="84"/>
        <v>0.03</v>
      </c>
      <c r="AI91" s="353">
        <f t="shared" si="84"/>
        <v>0.03</v>
      </c>
    </row>
    <row r="92" spans="1:35" x14ac:dyDescent="0.3">
      <c r="B92" s="844"/>
      <c r="C92" s="120" t="s">
        <v>29</v>
      </c>
      <c r="D92" s="1406">
        <v>0.03</v>
      </c>
      <c r="E92" s="353">
        <f t="shared" ref="E92:AI92" si="86">D92</f>
        <v>0.03</v>
      </c>
      <c r="F92" s="353">
        <f t="shared" si="86"/>
        <v>0.03</v>
      </c>
      <c r="G92" s="353">
        <f t="shared" si="86"/>
        <v>0.03</v>
      </c>
      <c r="H92" s="353">
        <f t="shared" si="86"/>
        <v>0.03</v>
      </c>
      <c r="I92" s="353">
        <f t="shared" si="86"/>
        <v>0.03</v>
      </c>
      <c r="J92" s="353">
        <f t="shared" si="86"/>
        <v>0.03</v>
      </c>
      <c r="K92" s="353">
        <f t="shared" si="86"/>
        <v>0.03</v>
      </c>
      <c r="L92" s="353">
        <f t="shared" si="86"/>
        <v>0.03</v>
      </c>
      <c r="M92" s="353">
        <f t="shared" si="86"/>
        <v>0.03</v>
      </c>
      <c r="N92" s="769" t="str">
        <f t="shared" ref="N92:N99" si="87">C92</f>
        <v>UK</v>
      </c>
      <c r="O92" s="353">
        <f t="shared" ref="O92:O99" si="88">M92</f>
        <v>0.03</v>
      </c>
      <c r="P92" s="353">
        <f t="shared" si="86"/>
        <v>0.03</v>
      </c>
      <c r="Q92" s="353">
        <f t="shared" si="86"/>
        <v>0.03</v>
      </c>
      <c r="R92" s="353">
        <f t="shared" si="86"/>
        <v>0.03</v>
      </c>
      <c r="S92" s="353">
        <f t="shared" si="86"/>
        <v>0.03</v>
      </c>
      <c r="T92" s="353">
        <f t="shared" si="86"/>
        <v>0.03</v>
      </c>
      <c r="U92" s="353">
        <f t="shared" si="86"/>
        <v>0.03</v>
      </c>
      <c r="V92" s="353">
        <f t="shared" si="86"/>
        <v>0.03</v>
      </c>
      <c r="W92" s="353">
        <f t="shared" si="86"/>
        <v>0.03</v>
      </c>
      <c r="X92" s="353">
        <f t="shared" si="86"/>
        <v>0.03</v>
      </c>
      <c r="Y92" s="642" t="str">
        <f t="shared" ref="Y92:Y99" si="89">N92</f>
        <v>UK</v>
      </c>
      <c r="Z92" s="1406">
        <f t="shared" ref="Z92:Z99" si="90">X92</f>
        <v>0.03</v>
      </c>
      <c r="AA92" s="353">
        <f t="shared" si="86"/>
        <v>0.03</v>
      </c>
      <c r="AB92" s="353">
        <f t="shared" si="86"/>
        <v>0.03</v>
      </c>
      <c r="AC92" s="353">
        <f t="shared" si="86"/>
        <v>0.03</v>
      </c>
      <c r="AD92" s="353">
        <f t="shared" si="86"/>
        <v>0.03</v>
      </c>
      <c r="AE92" s="353">
        <f t="shared" si="86"/>
        <v>0.03</v>
      </c>
      <c r="AF92" s="353">
        <f t="shared" si="86"/>
        <v>0.03</v>
      </c>
      <c r="AG92" s="353">
        <f t="shared" si="86"/>
        <v>0.03</v>
      </c>
      <c r="AH92" s="353">
        <f t="shared" si="86"/>
        <v>0.03</v>
      </c>
      <c r="AI92" s="353">
        <f t="shared" si="86"/>
        <v>0.03</v>
      </c>
    </row>
    <row r="93" spans="1:35" x14ac:dyDescent="0.3">
      <c r="B93" s="844"/>
      <c r="C93" s="120" t="s">
        <v>74</v>
      </c>
      <c r="D93" s="1406">
        <v>0.04</v>
      </c>
      <c r="E93" s="353">
        <f t="shared" ref="E93:AI93" si="91">D93</f>
        <v>0.04</v>
      </c>
      <c r="F93" s="353">
        <f t="shared" si="91"/>
        <v>0.04</v>
      </c>
      <c r="G93" s="353">
        <f t="shared" si="91"/>
        <v>0.04</v>
      </c>
      <c r="H93" s="353">
        <f t="shared" si="91"/>
        <v>0.04</v>
      </c>
      <c r="I93" s="353">
        <f t="shared" si="91"/>
        <v>0.04</v>
      </c>
      <c r="J93" s="353">
        <f t="shared" si="91"/>
        <v>0.04</v>
      </c>
      <c r="K93" s="353">
        <f t="shared" si="91"/>
        <v>0.04</v>
      </c>
      <c r="L93" s="353">
        <f t="shared" si="91"/>
        <v>0.04</v>
      </c>
      <c r="M93" s="353">
        <f t="shared" si="91"/>
        <v>0.04</v>
      </c>
      <c r="N93" s="769" t="str">
        <f t="shared" si="87"/>
        <v>Mexico</v>
      </c>
      <c r="O93" s="353">
        <f t="shared" si="88"/>
        <v>0.04</v>
      </c>
      <c r="P93" s="353">
        <f t="shared" si="91"/>
        <v>0.04</v>
      </c>
      <c r="Q93" s="353">
        <f t="shared" si="91"/>
        <v>0.04</v>
      </c>
      <c r="R93" s="353">
        <f t="shared" si="91"/>
        <v>0.04</v>
      </c>
      <c r="S93" s="353">
        <f t="shared" si="91"/>
        <v>0.04</v>
      </c>
      <c r="T93" s="353">
        <f t="shared" si="91"/>
        <v>0.04</v>
      </c>
      <c r="U93" s="353">
        <f t="shared" si="91"/>
        <v>0.04</v>
      </c>
      <c r="V93" s="353">
        <f t="shared" si="91"/>
        <v>0.04</v>
      </c>
      <c r="W93" s="353">
        <f t="shared" si="91"/>
        <v>0.04</v>
      </c>
      <c r="X93" s="353">
        <f t="shared" si="91"/>
        <v>0.04</v>
      </c>
      <c r="Y93" s="642" t="str">
        <f t="shared" si="89"/>
        <v>Mexico</v>
      </c>
      <c r="Z93" s="1406">
        <f t="shared" si="90"/>
        <v>0.04</v>
      </c>
      <c r="AA93" s="353">
        <f t="shared" si="91"/>
        <v>0.04</v>
      </c>
      <c r="AB93" s="353">
        <f t="shared" si="91"/>
        <v>0.04</v>
      </c>
      <c r="AC93" s="353">
        <f t="shared" si="91"/>
        <v>0.04</v>
      </c>
      <c r="AD93" s="353">
        <f t="shared" si="91"/>
        <v>0.04</v>
      </c>
      <c r="AE93" s="353">
        <f t="shared" si="91"/>
        <v>0.04</v>
      </c>
      <c r="AF93" s="353">
        <f t="shared" si="91"/>
        <v>0.04</v>
      </c>
      <c r="AG93" s="353">
        <f t="shared" si="91"/>
        <v>0.04</v>
      </c>
      <c r="AH93" s="353">
        <f t="shared" si="91"/>
        <v>0.04</v>
      </c>
      <c r="AI93" s="353">
        <f t="shared" si="91"/>
        <v>0.04</v>
      </c>
    </row>
    <row r="94" spans="1:35" x14ac:dyDescent="0.3">
      <c r="B94" s="844"/>
      <c r="C94" s="120" t="s">
        <v>346</v>
      </c>
      <c r="D94" s="1406">
        <v>0.04</v>
      </c>
      <c r="E94" s="353">
        <f t="shared" ref="E94:AI94" si="92">D94</f>
        <v>0.04</v>
      </c>
      <c r="F94" s="353">
        <f t="shared" si="92"/>
        <v>0.04</v>
      </c>
      <c r="G94" s="353">
        <f t="shared" si="92"/>
        <v>0.04</v>
      </c>
      <c r="H94" s="353">
        <f t="shared" si="92"/>
        <v>0.04</v>
      </c>
      <c r="I94" s="353">
        <f t="shared" si="92"/>
        <v>0.04</v>
      </c>
      <c r="J94" s="353">
        <f t="shared" si="92"/>
        <v>0.04</v>
      </c>
      <c r="K94" s="353">
        <f t="shared" si="92"/>
        <v>0.04</v>
      </c>
      <c r="L94" s="353">
        <f t="shared" si="92"/>
        <v>0.04</v>
      </c>
      <c r="M94" s="353">
        <f t="shared" si="92"/>
        <v>0.04</v>
      </c>
      <c r="N94" s="769" t="str">
        <f t="shared" si="87"/>
        <v>Australia</v>
      </c>
      <c r="O94" s="353">
        <f t="shared" si="88"/>
        <v>0.04</v>
      </c>
      <c r="P94" s="353">
        <f t="shared" si="92"/>
        <v>0.04</v>
      </c>
      <c r="Q94" s="353">
        <f t="shared" si="92"/>
        <v>0.04</v>
      </c>
      <c r="R94" s="353">
        <f t="shared" si="92"/>
        <v>0.04</v>
      </c>
      <c r="S94" s="353">
        <f t="shared" si="92"/>
        <v>0.04</v>
      </c>
      <c r="T94" s="353">
        <f t="shared" si="92"/>
        <v>0.04</v>
      </c>
      <c r="U94" s="353">
        <f t="shared" si="92"/>
        <v>0.04</v>
      </c>
      <c r="V94" s="353">
        <f t="shared" si="92"/>
        <v>0.04</v>
      </c>
      <c r="W94" s="353">
        <f t="shared" si="92"/>
        <v>0.04</v>
      </c>
      <c r="X94" s="353">
        <f t="shared" si="92"/>
        <v>0.04</v>
      </c>
      <c r="Y94" s="642" t="str">
        <f t="shared" si="89"/>
        <v>Australia</v>
      </c>
      <c r="Z94" s="1406">
        <f t="shared" si="90"/>
        <v>0.04</v>
      </c>
      <c r="AA94" s="353">
        <f t="shared" si="92"/>
        <v>0.04</v>
      </c>
      <c r="AB94" s="353">
        <f t="shared" si="92"/>
        <v>0.04</v>
      </c>
      <c r="AC94" s="353">
        <f t="shared" si="92"/>
        <v>0.04</v>
      </c>
      <c r="AD94" s="353">
        <f t="shared" si="92"/>
        <v>0.04</v>
      </c>
      <c r="AE94" s="353">
        <f t="shared" si="92"/>
        <v>0.04</v>
      </c>
      <c r="AF94" s="353">
        <f t="shared" si="92"/>
        <v>0.04</v>
      </c>
      <c r="AG94" s="353">
        <f t="shared" si="92"/>
        <v>0.04</v>
      </c>
      <c r="AH94" s="353">
        <f t="shared" si="92"/>
        <v>0.04</v>
      </c>
      <c r="AI94" s="353">
        <f t="shared" si="92"/>
        <v>0.04</v>
      </c>
    </row>
    <row r="95" spans="1:35" x14ac:dyDescent="0.3">
      <c r="B95" s="844"/>
      <c r="C95" s="120" t="s">
        <v>597</v>
      </c>
      <c r="D95" s="1406">
        <v>0.03</v>
      </c>
      <c r="E95" s="353">
        <f t="shared" ref="E95:AI95" si="93">D95</f>
        <v>0.03</v>
      </c>
      <c r="F95" s="353">
        <f t="shared" si="93"/>
        <v>0.03</v>
      </c>
      <c r="G95" s="353">
        <f t="shared" si="93"/>
        <v>0.03</v>
      </c>
      <c r="H95" s="353">
        <f t="shared" si="93"/>
        <v>0.03</v>
      </c>
      <c r="I95" s="353">
        <f t="shared" si="93"/>
        <v>0.03</v>
      </c>
      <c r="J95" s="353">
        <f t="shared" si="93"/>
        <v>0.03</v>
      </c>
      <c r="K95" s="353">
        <f t="shared" si="93"/>
        <v>0.03</v>
      </c>
      <c r="L95" s="353">
        <f t="shared" si="93"/>
        <v>0.03</v>
      </c>
      <c r="M95" s="353">
        <f t="shared" si="93"/>
        <v>0.03</v>
      </c>
      <c r="N95" s="769" t="str">
        <f t="shared" si="87"/>
        <v>Trinidad and Tobago</v>
      </c>
      <c r="O95" s="353">
        <f t="shared" si="88"/>
        <v>0.03</v>
      </c>
      <c r="P95" s="353">
        <f t="shared" si="93"/>
        <v>0.03</v>
      </c>
      <c r="Q95" s="353">
        <f t="shared" si="93"/>
        <v>0.03</v>
      </c>
      <c r="R95" s="353">
        <f t="shared" si="93"/>
        <v>0.03</v>
      </c>
      <c r="S95" s="353">
        <f t="shared" si="93"/>
        <v>0.03</v>
      </c>
      <c r="T95" s="353">
        <f t="shared" si="93"/>
        <v>0.03</v>
      </c>
      <c r="U95" s="353">
        <f t="shared" si="93"/>
        <v>0.03</v>
      </c>
      <c r="V95" s="353">
        <f t="shared" si="93"/>
        <v>0.03</v>
      </c>
      <c r="W95" s="353">
        <f t="shared" si="93"/>
        <v>0.03</v>
      </c>
      <c r="X95" s="353">
        <f t="shared" si="93"/>
        <v>0.03</v>
      </c>
      <c r="Y95" s="642" t="str">
        <f t="shared" si="89"/>
        <v>Trinidad and Tobago</v>
      </c>
      <c r="Z95" s="1406">
        <f t="shared" si="90"/>
        <v>0.03</v>
      </c>
      <c r="AA95" s="353">
        <f t="shared" si="93"/>
        <v>0.03</v>
      </c>
      <c r="AB95" s="353">
        <f t="shared" si="93"/>
        <v>0.03</v>
      </c>
      <c r="AC95" s="353">
        <f t="shared" si="93"/>
        <v>0.03</v>
      </c>
      <c r="AD95" s="353">
        <f t="shared" si="93"/>
        <v>0.03</v>
      </c>
      <c r="AE95" s="353">
        <f t="shared" si="93"/>
        <v>0.03</v>
      </c>
      <c r="AF95" s="353">
        <f t="shared" si="93"/>
        <v>0.03</v>
      </c>
      <c r="AG95" s="353">
        <f t="shared" si="93"/>
        <v>0.03</v>
      </c>
      <c r="AH95" s="353">
        <f t="shared" si="93"/>
        <v>0.03</v>
      </c>
      <c r="AI95" s="353">
        <f t="shared" si="93"/>
        <v>0.03</v>
      </c>
    </row>
    <row r="96" spans="1:35" x14ac:dyDescent="0.3">
      <c r="B96" s="844"/>
      <c r="C96" s="120" t="s">
        <v>347</v>
      </c>
      <c r="D96" s="1406">
        <v>0.04</v>
      </c>
      <c r="E96" s="353">
        <f t="shared" ref="E96:AI96" si="94">D96</f>
        <v>0.04</v>
      </c>
      <c r="F96" s="353">
        <f t="shared" si="94"/>
        <v>0.04</v>
      </c>
      <c r="G96" s="353">
        <f t="shared" si="94"/>
        <v>0.04</v>
      </c>
      <c r="H96" s="353">
        <f t="shared" si="94"/>
        <v>0.04</v>
      </c>
      <c r="I96" s="353">
        <f t="shared" si="94"/>
        <v>0.04</v>
      </c>
      <c r="J96" s="353">
        <f t="shared" si="94"/>
        <v>0.04</v>
      </c>
      <c r="K96" s="353">
        <f t="shared" si="94"/>
        <v>0.04</v>
      </c>
      <c r="L96" s="353">
        <f t="shared" si="94"/>
        <v>0.04</v>
      </c>
      <c r="M96" s="353">
        <f t="shared" si="94"/>
        <v>0.04</v>
      </c>
      <c r="N96" s="769" t="str">
        <f t="shared" si="87"/>
        <v>South Africa</v>
      </c>
      <c r="O96" s="353">
        <f t="shared" si="88"/>
        <v>0.04</v>
      </c>
      <c r="P96" s="353">
        <f t="shared" si="94"/>
        <v>0.04</v>
      </c>
      <c r="Q96" s="353">
        <f t="shared" si="94"/>
        <v>0.04</v>
      </c>
      <c r="R96" s="353">
        <f t="shared" si="94"/>
        <v>0.04</v>
      </c>
      <c r="S96" s="353">
        <f t="shared" si="94"/>
        <v>0.04</v>
      </c>
      <c r="T96" s="353">
        <f t="shared" si="94"/>
        <v>0.04</v>
      </c>
      <c r="U96" s="353">
        <f t="shared" si="94"/>
        <v>0.04</v>
      </c>
      <c r="V96" s="353">
        <f t="shared" si="94"/>
        <v>0.04</v>
      </c>
      <c r="W96" s="353">
        <f t="shared" si="94"/>
        <v>0.04</v>
      </c>
      <c r="X96" s="353">
        <f t="shared" si="94"/>
        <v>0.04</v>
      </c>
      <c r="Y96" s="642" t="str">
        <f t="shared" si="89"/>
        <v>South Africa</v>
      </c>
      <c r="Z96" s="1406">
        <f t="shared" si="90"/>
        <v>0.04</v>
      </c>
      <c r="AA96" s="353">
        <f t="shared" si="94"/>
        <v>0.04</v>
      </c>
      <c r="AB96" s="353">
        <f t="shared" si="94"/>
        <v>0.04</v>
      </c>
      <c r="AC96" s="353">
        <f t="shared" si="94"/>
        <v>0.04</v>
      </c>
      <c r="AD96" s="353">
        <f t="shared" si="94"/>
        <v>0.04</v>
      </c>
      <c r="AE96" s="353">
        <f t="shared" si="94"/>
        <v>0.04</v>
      </c>
      <c r="AF96" s="353">
        <f t="shared" si="94"/>
        <v>0.04</v>
      </c>
      <c r="AG96" s="353">
        <f t="shared" si="94"/>
        <v>0.04</v>
      </c>
      <c r="AH96" s="353">
        <f t="shared" si="94"/>
        <v>0.04</v>
      </c>
      <c r="AI96" s="353">
        <f t="shared" si="94"/>
        <v>0.04</v>
      </c>
    </row>
    <row r="97" spans="2:35" x14ac:dyDescent="0.3">
      <c r="B97" s="844"/>
      <c r="C97" s="120" t="s">
        <v>349</v>
      </c>
      <c r="D97" s="1406">
        <v>0.05</v>
      </c>
      <c r="E97" s="353">
        <f t="shared" ref="E97:AI97" si="95">D97</f>
        <v>0.05</v>
      </c>
      <c r="F97" s="353">
        <f t="shared" si="95"/>
        <v>0.05</v>
      </c>
      <c r="G97" s="353">
        <f t="shared" si="95"/>
        <v>0.05</v>
      </c>
      <c r="H97" s="353">
        <f t="shared" si="95"/>
        <v>0.05</v>
      </c>
      <c r="I97" s="353">
        <f t="shared" si="95"/>
        <v>0.05</v>
      </c>
      <c r="J97" s="353">
        <f t="shared" si="95"/>
        <v>0.05</v>
      </c>
      <c r="K97" s="353">
        <f t="shared" si="95"/>
        <v>0.05</v>
      </c>
      <c r="L97" s="353">
        <f t="shared" si="95"/>
        <v>0.05</v>
      </c>
      <c r="M97" s="353">
        <f t="shared" si="95"/>
        <v>0.05</v>
      </c>
      <c r="N97" s="769" t="str">
        <f t="shared" si="87"/>
        <v>Romania</v>
      </c>
      <c r="O97" s="353">
        <f t="shared" si="88"/>
        <v>0.05</v>
      </c>
      <c r="P97" s="353">
        <f t="shared" si="95"/>
        <v>0.05</v>
      </c>
      <c r="Q97" s="353">
        <f t="shared" si="95"/>
        <v>0.05</v>
      </c>
      <c r="R97" s="353">
        <f t="shared" si="95"/>
        <v>0.05</v>
      </c>
      <c r="S97" s="353">
        <f t="shared" si="95"/>
        <v>0.05</v>
      </c>
      <c r="T97" s="353">
        <f t="shared" si="95"/>
        <v>0.05</v>
      </c>
      <c r="U97" s="353">
        <f t="shared" si="95"/>
        <v>0.05</v>
      </c>
      <c r="V97" s="353">
        <f t="shared" si="95"/>
        <v>0.05</v>
      </c>
      <c r="W97" s="353">
        <f t="shared" si="95"/>
        <v>0.05</v>
      </c>
      <c r="X97" s="353">
        <f t="shared" si="95"/>
        <v>0.05</v>
      </c>
      <c r="Y97" s="642" t="str">
        <f t="shared" si="89"/>
        <v>Romania</v>
      </c>
      <c r="Z97" s="1406">
        <f t="shared" si="90"/>
        <v>0.05</v>
      </c>
      <c r="AA97" s="353">
        <f t="shared" si="95"/>
        <v>0.05</v>
      </c>
      <c r="AB97" s="353">
        <f t="shared" si="95"/>
        <v>0.05</v>
      </c>
      <c r="AC97" s="353">
        <f t="shared" si="95"/>
        <v>0.05</v>
      </c>
      <c r="AD97" s="353">
        <f t="shared" si="95"/>
        <v>0.05</v>
      </c>
      <c r="AE97" s="353">
        <f t="shared" si="95"/>
        <v>0.05</v>
      </c>
      <c r="AF97" s="353">
        <f t="shared" si="95"/>
        <v>0.05</v>
      </c>
      <c r="AG97" s="353">
        <f t="shared" si="95"/>
        <v>0.05</v>
      </c>
      <c r="AH97" s="353">
        <f t="shared" si="95"/>
        <v>0.05</v>
      </c>
      <c r="AI97" s="353">
        <f t="shared" si="95"/>
        <v>0.05</v>
      </c>
    </row>
    <row r="98" spans="2:35" x14ac:dyDescent="0.3">
      <c r="B98" s="844"/>
      <c r="C98" s="120" t="s">
        <v>73</v>
      </c>
      <c r="D98" s="1406">
        <v>0.05</v>
      </c>
      <c r="E98" s="353">
        <f t="shared" ref="E98:AI98" si="96">D98</f>
        <v>0.05</v>
      </c>
      <c r="F98" s="353">
        <f t="shared" si="96"/>
        <v>0.05</v>
      </c>
      <c r="G98" s="353">
        <f t="shared" si="96"/>
        <v>0.05</v>
      </c>
      <c r="H98" s="353">
        <f t="shared" si="96"/>
        <v>0.05</v>
      </c>
      <c r="I98" s="353">
        <f t="shared" si="96"/>
        <v>0.05</v>
      </c>
      <c r="J98" s="353">
        <f t="shared" si="96"/>
        <v>0.05</v>
      </c>
      <c r="K98" s="353">
        <f t="shared" si="96"/>
        <v>0.05</v>
      </c>
      <c r="L98" s="353">
        <f t="shared" si="96"/>
        <v>0.05</v>
      </c>
      <c r="M98" s="353">
        <f t="shared" si="96"/>
        <v>0.05</v>
      </c>
      <c r="N98" s="769" t="str">
        <f t="shared" si="87"/>
        <v>India</v>
      </c>
      <c r="O98" s="353">
        <f t="shared" si="88"/>
        <v>0.05</v>
      </c>
      <c r="P98" s="353">
        <f t="shared" si="96"/>
        <v>0.05</v>
      </c>
      <c r="Q98" s="353">
        <f t="shared" si="96"/>
        <v>0.05</v>
      </c>
      <c r="R98" s="353">
        <f t="shared" si="96"/>
        <v>0.05</v>
      </c>
      <c r="S98" s="353">
        <f t="shared" si="96"/>
        <v>0.05</v>
      </c>
      <c r="T98" s="353">
        <f t="shared" si="96"/>
        <v>0.05</v>
      </c>
      <c r="U98" s="353">
        <f t="shared" si="96"/>
        <v>0.05</v>
      </c>
      <c r="V98" s="353">
        <f t="shared" si="96"/>
        <v>0.05</v>
      </c>
      <c r="W98" s="353">
        <f t="shared" si="96"/>
        <v>0.05</v>
      </c>
      <c r="X98" s="353">
        <f t="shared" si="96"/>
        <v>0.05</v>
      </c>
      <c r="Y98" s="642" t="str">
        <f t="shared" si="89"/>
        <v>India</v>
      </c>
      <c r="Z98" s="1406">
        <f t="shared" si="90"/>
        <v>0.05</v>
      </c>
      <c r="AA98" s="353">
        <f t="shared" si="96"/>
        <v>0.05</v>
      </c>
      <c r="AB98" s="353">
        <f t="shared" si="96"/>
        <v>0.05</v>
      </c>
      <c r="AC98" s="353">
        <f t="shared" si="96"/>
        <v>0.05</v>
      </c>
      <c r="AD98" s="353">
        <f t="shared" si="96"/>
        <v>0.05</v>
      </c>
      <c r="AE98" s="353">
        <f t="shared" si="96"/>
        <v>0.05</v>
      </c>
      <c r="AF98" s="353">
        <f t="shared" si="96"/>
        <v>0.05</v>
      </c>
      <c r="AG98" s="353">
        <f t="shared" si="96"/>
        <v>0.05</v>
      </c>
      <c r="AH98" s="353">
        <f t="shared" si="96"/>
        <v>0.05</v>
      </c>
      <c r="AI98" s="353">
        <f t="shared" si="96"/>
        <v>0.05</v>
      </c>
    </row>
    <row r="99" spans="2:35" x14ac:dyDescent="0.3">
      <c r="B99" s="844"/>
      <c r="C99" s="120" t="s">
        <v>348</v>
      </c>
      <c r="D99" s="1406">
        <v>0.05</v>
      </c>
      <c r="E99" s="353">
        <f t="shared" ref="E99:AI99" si="97">D99</f>
        <v>0.05</v>
      </c>
      <c r="F99" s="353">
        <f t="shared" si="97"/>
        <v>0.05</v>
      </c>
      <c r="G99" s="353">
        <f t="shared" si="97"/>
        <v>0.05</v>
      </c>
      <c r="H99" s="353">
        <f t="shared" si="97"/>
        <v>0.05</v>
      </c>
      <c r="I99" s="353">
        <f t="shared" si="97"/>
        <v>0.05</v>
      </c>
      <c r="J99" s="353">
        <f t="shared" si="97"/>
        <v>0.05</v>
      </c>
      <c r="K99" s="353">
        <f t="shared" si="97"/>
        <v>0.05</v>
      </c>
      <c r="L99" s="353">
        <f t="shared" si="97"/>
        <v>0.05</v>
      </c>
      <c r="M99" s="353">
        <f t="shared" si="97"/>
        <v>0.05</v>
      </c>
      <c r="N99" s="769" t="str">
        <f t="shared" si="87"/>
        <v>Philippines</v>
      </c>
      <c r="O99" s="353">
        <f t="shared" si="88"/>
        <v>0.05</v>
      </c>
      <c r="P99" s="353">
        <f t="shared" si="97"/>
        <v>0.05</v>
      </c>
      <c r="Q99" s="353">
        <f t="shared" si="97"/>
        <v>0.05</v>
      </c>
      <c r="R99" s="353">
        <f t="shared" si="97"/>
        <v>0.05</v>
      </c>
      <c r="S99" s="353">
        <f t="shared" si="97"/>
        <v>0.05</v>
      </c>
      <c r="T99" s="353">
        <f t="shared" si="97"/>
        <v>0.05</v>
      </c>
      <c r="U99" s="353">
        <f t="shared" si="97"/>
        <v>0.05</v>
      </c>
      <c r="V99" s="353">
        <f t="shared" si="97"/>
        <v>0.05</v>
      </c>
      <c r="W99" s="353">
        <f t="shared" si="97"/>
        <v>0.05</v>
      </c>
      <c r="X99" s="353">
        <f t="shared" si="97"/>
        <v>0.05</v>
      </c>
      <c r="Y99" s="642" t="str">
        <f t="shared" si="89"/>
        <v>Philippines</v>
      </c>
      <c r="Z99" s="1406">
        <f t="shared" si="90"/>
        <v>0.05</v>
      </c>
      <c r="AA99" s="353">
        <f t="shared" si="97"/>
        <v>0.05</v>
      </c>
      <c r="AB99" s="353">
        <f t="shared" si="97"/>
        <v>0.05</v>
      </c>
      <c r="AC99" s="353">
        <f t="shared" si="97"/>
        <v>0.05</v>
      </c>
      <c r="AD99" s="353">
        <f t="shared" si="97"/>
        <v>0.05</v>
      </c>
      <c r="AE99" s="353">
        <f t="shared" si="97"/>
        <v>0.05</v>
      </c>
      <c r="AF99" s="353">
        <f t="shared" si="97"/>
        <v>0.05</v>
      </c>
      <c r="AG99" s="353">
        <f t="shared" si="97"/>
        <v>0.05</v>
      </c>
      <c r="AH99" s="353">
        <f t="shared" si="97"/>
        <v>0.05</v>
      </c>
      <c r="AI99" s="353">
        <f t="shared" si="97"/>
        <v>0.05</v>
      </c>
    </row>
    <row r="100" spans="2:35" x14ac:dyDescent="0.3">
      <c r="B100" s="844"/>
    </row>
    <row r="101" spans="2:35" x14ac:dyDescent="0.3">
      <c r="B101" s="1023">
        <f>B90+1</f>
        <v>9</v>
      </c>
      <c r="C101" s="1094" t="s">
        <v>458</v>
      </c>
      <c r="D101" s="653" t="s">
        <v>459</v>
      </c>
      <c r="E101" s="653" t="s">
        <v>460</v>
      </c>
      <c r="F101" s="653" t="s">
        <v>461</v>
      </c>
      <c r="G101" s="1561"/>
    </row>
    <row r="102" spans="2:35" x14ac:dyDescent="0.3">
      <c r="B102" s="844"/>
      <c r="C102" s="120" t="s">
        <v>44</v>
      </c>
      <c r="D102" s="1391">
        <v>8</v>
      </c>
      <c r="E102" s="1391">
        <v>8</v>
      </c>
      <c r="F102" s="1391">
        <v>173.33333333333331</v>
      </c>
      <c r="G102" s="1562">
        <v>8</v>
      </c>
    </row>
    <row r="103" spans="2:35" x14ac:dyDescent="0.3">
      <c r="B103" s="844"/>
      <c r="C103" s="120" t="s">
        <v>29</v>
      </c>
      <c r="D103" s="1391">
        <v>8</v>
      </c>
      <c r="E103" s="1391">
        <v>8</v>
      </c>
      <c r="F103" s="1391">
        <v>173.33333333333331</v>
      </c>
      <c r="G103" s="1562">
        <v>8</v>
      </c>
    </row>
    <row r="104" spans="2:35" x14ac:dyDescent="0.3">
      <c r="B104" s="844"/>
      <c r="C104" s="1392" t="s">
        <v>74</v>
      </c>
      <c r="D104" s="1393">
        <v>8.5</v>
      </c>
      <c r="E104" s="1393">
        <v>8.5</v>
      </c>
      <c r="F104" s="1393">
        <v>184.16666666666663</v>
      </c>
      <c r="G104" s="1562">
        <v>8.5</v>
      </c>
    </row>
    <row r="105" spans="2:35" x14ac:dyDescent="0.3">
      <c r="B105" s="844"/>
      <c r="C105" s="120" t="s">
        <v>346</v>
      </c>
      <c r="D105" s="1393">
        <v>7.6</v>
      </c>
      <c r="E105" s="1391">
        <v>7.6</v>
      </c>
      <c r="F105" s="1391">
        <v>164.66666666666666</v>
      </c>
      <c r="G105" s="1562">
        <v>7.6</v>
      </c>
    </row>
    <row r="106" spans="2:35" x14ac:dyDescent="0.3">
      <c r="B106" s="844"/>
      <c r="C106" s="120" t="s">
        <v>597</v>
      </c>
      <c r="D106" s="1391">
        <v>8</v>
      </c>
      <c r="E106" s="1391">
        <v>8</v>
      </c>
      <c r="F106" s="1391">
        <v>173.33333333333331</v>
      </c>
      <c r="G106" s="1562">
        <v>8</v>
      </c>
    </row>
    <row r="107" spans="2:35" x14ac:dyDescent="0.3">
      <c r="B107" s="844"/>
      <c r="C107" s="120" t="s">
        <v>347</v>
      </c>
      <c r="D107" s="1391">
        <v>8</v>
      </c>
      <c r="E107" s="1391">
        <v>8</v>
      </c>
      <c r="F107" s="1391">
        <v>173.33333333333331</v>
      </c>
      <c r="G107" s="1562">
        <v>8</v>
      </c>
    </row>
    <row r="108" spans="2:35" x14ac:dyDescent="0.3">
      <c r="B108" s="844"/>
      <c r="C108" s="120" t="s">
        <v>349</v>
      </c>
      <c r="D108" s="1391">
        <v>8</v>
      </c>
      <c r="E108" s="1391">
        <v>8</v>
      </c>
      <c r="F108" s="1391">
        <v>173.33333333333331</v>
      </c>
      <c r="G108" s="1562">
        <v>8</v>
      </c>
    </row>
    <row r="109" spans="2:35" x14ac:dyDescent="0.3">
      <c r="B109" s="844"/>
      <c r="C109" s="120" t="s">
        <v>73</v>
      </c>
      <c r="D109" s="1393">
        <v>9</v>
      </c>
      <c r="E109" s="1391">
        <v>8</v>
      </c>
      <c r="F109" s="1391">
        <v>173.33333333333331</v>
      </c>
      <c r="G109" s="1562">
        <v>8.5</v>
      </c>
    </row>
    <row r="110" spans="2:35" x14ac:dyDescent="0.3">
      <c r="B110" s="844"/>
      <c r="C110" s="120" t="s">
        <v>348</v>
      </c>
      <c r="D110" s="1391">
        <v>8</v>
      </c>
      <c r="E110" s="1391">
        <v>8</v>
      </c>
      <c r="F110" s="1391">
        <v>173.33333333333331</v>
      </c>
      <c r="G110" s="1562">
        <v>8</v>
      </c>
    </row>
    <row r="111" spans="2:35" x14ac:dyDescent="0.3">
      <c r="B111" s="844"/>
    </row>
    <row r="112" spans="2:35" x14ac:dyDescent="0.3">
      <c r="B112" s="844"/>
    </row>
    <row r="114" spans="2:13" x14ac:dyDescent="0.3">
      <c r="B114" s="1023">
        <f>B101+1</f>
        <v>10</v>
      </c>
      <c r="C114" s="1094" t="s">
        <v>391</v>
      </c>
      <c r="D114" s="653" t="s">
        <v>95</v>
      </c>
      <c r="E114" s="653" t="s">
        <v>96</v>
      </c>
      <c r="F114" s="653" t="s">
        <v>97</v>
      </c>
      <c r="K114" s="14"/>
      <c r="L114" s="14"/>
      <c r="M114" s="14"/>
    </row>
    <row r="115" spans="2:13" x14ac:dyDescent="0.3">
      <c r="B115" s="844"/>
      <c r="C115" s="120" t="s">
        <v>44</v>
      </c>
      <c r="D115" s="353">
        <v>0.03</v>
      </c>
      <c r="E115" s="353">
        <v>0.02</v>
      </c>
      <c r="F115" s="353">
        <v>0</v>
      </c>
    </row>
    <row r="116" spans="2:13" x14ac:dyDescent="0.3">
      <c r="B116" s="844"/>
      <c r="C116" s="120" t="s">
        <v>29</v>
      </c>
      <c r="D116" s="353">
        <v>0.03</v>
      </c>
      <c r="E116" s="353">
        <v>0.02</v>
      </c>
      <c r="F116" s="353">
        <v>0</v>
      </c>
    </row>
    <row r="117" spans="2:13" x14ac:dyDescent="0.3">
      <c r="B117" s="844"/>
      <c r="C117" s="120" t="s">
        <v>74</v>
      </c>
      <c r="D117" s="353">
        <v>0.04</v>
      </c>
      <c r="E117" s="353">
        <v>2.5000000000000001E-2</v>
      </c>
      <c r="F117" s="353">
        <v>0</v>
      </c>
    </row>
    <row r="118" spans="2:13" x14ac:dyDescent="0.3">
      <c r="B118" s="844"/>
      <c r="C118" s="120" t="s">
        <v>346</v>
      </c>
      <c r="D118" s="353">
        <v>0.03</v>
      </c>
      <c r="E118" s="353">
        <v>0.02</v>
      </c>
      <c r="F118" s="353">
        <v>0</v>
      </c>
    </row>
    <row r="119" spans="2:13" x14ac:dyDescent="0.3">
      <c r="B119" s="844"/>
      <c r="C119" s="120" t="s">
        <v>597</v>
      </c>
      <c r="D119" s="353">
        <v>0.04</v>
      </c>
      <c r="E119" s="353">
        <v>2.5000000000000001E-2</v>
      </c>
      <c r="F119" s="353">
        <v>0</v>
      </c>
    </row>
    <row r="120" spans="2:13" x14ac:dyDescent="0.3">
      <c r="B120" s="844"/>
      <c r="C120" s="120" t="s">
        <v>347</v>
      </c>
      <c r="D120" s="353">
        <v>0.04</v>
      </c>
      <c r="E120" s="353">
        <v>2.5000000000000001E-2</v>
      </c>
      <c r="F120" s="353">
        <v>0</v>
      </c>
    </row>
    <row r="121" spans="2:13" x14ac:dyDescent="0.3">
      <c r="B121" s="844"/>
      <c r="C121" s="120" t="s">
        <v>349</v>
      </c>
      <c r="D121" s="353">
        <v>0.04</v>
      </c>
      <c r="E121" s="353">
        <v>2.5000000000000001E-2</v>
      </c>
      <c r="F121" s="353">
        <v>0</v>
      </c>
    </row>
    <row r="122" spans="2:13" x14ac:dyDescent="0.3">
      <c r="B122" s="844"/>
      <c r="C122" s="120" t="s">
        <v>73</v>
      </c>
      <c r="D122" s="353">
        <v>0.04</v>
      </c>
      <c r="E122" s="353">
        <v>2.5000000000000001E-2</v>
      </c>
      <c r="F122" s="353">
        <v>0</v>
      </c>
    </row>
    <row r="123" spans="2:13" x14ac:dyDescent="0.3">
      <c r="B123" s="844"/>
      <c r="C123" s="120" t="s">
        <v>348</v>
      </c>
      <c r="D123" s="353">
        <v>0.04</v>
      </c>
      <c r="E123" s="353">
        <v>2.5000000000000001E-2</v>
      </c>
      <c r="F123" s="353">
        <v>0</v>
      </c>
    </row>
    <row r="125" spans="2:13" x14ac:dyDescent="0.3">
      <c r="B125" s="1023">
        <f>B114+1</f>
        <v>11</v>
      </c>
      <c r="C125" s="1081"/>
      <c r="D125" s="653" t="str">
        <f t="array" ref="D125:L125">TRANSPOSE(C5:C13)</f>
        <v>US</v>
      </c>
      <c r="E125" s="653" t="str">
        <v>UK</v>
      </c>
      <c r="F125" s="653" t="str">
        <v>Mexico</v>
      </c>
      <c r="G125" s="653" t="str">
        <v>Australia</v>
      </c>
      <c r="H125" s="653" t="str">
        <v>Trinidad and Tobago</v>
      </c>
      <c r="I125" s="653" t="str">
        <v>South Africa</v>
      </c>
      <c r="J125" s="653" t="str">
        <v>Romania</v>
      </c>
      <c r="K125" s="653" t="str">
        <v>India</v>
      </c>
      <c r="L125" s="653" t="str">
        <v>Philippines</v>
      </c>
    </row>
    <row r="126" spans="2:13" x14ac:dyDescent="0.3">
      <c r="C126" s="120" t="s">
        <v>82</v>
      </c>
      <c r="D126" s="1046">
        <f>Summary!$R$4</f>
        <v>0</v>
      </c>
      <c r="E126" s="1046">
        <f>Summary!$R$4</f>
        <v>0</v>
      </c>
      <c r="F126" s="1046">
        <f>Summary!$R$4</f>
        <v>0</v>
      </c>
      <c r="G126" s="1046">
        <f>Summary!$R$4</f>
        <v>0</v>
      </c>
      <c r="H126" s="1046">
        <f>Summary!$R$4</f>
        <v>0</v>
      </c>
      <c r="I126" s="1046">
        <f>Summary!$R$4</f>
        <v>0</v>
      </c>
      <c r="J126" s="1046">
        <f>Summary!$R$4</f>
        <v>0</v>
      </c>
      <c r="K126" s="1046">
        <f>Summary!$R$4</f>
        <v>0</v>
      </c>
      <c r="L126" s="1046">
        <f>Summary!$R$4</f>
        <v>0</v>
      </c>
    </row>
    <row r="127" spans="2:13" x14ac:dyDescent="0.3">
      <c r="C127" s="120" t="s">
        <v>805</v>
      </c>
      <c r="D127" s="1046">
        <f>Summary!$R$12</f>
        <v>0</v>
      </c>
      <c r="E127" s="1046">
        <f>Summary!$R$12</f>
        <v>0</v>
      </c>
      <c r="F127" s="1046">
        <f>Summary!$R$12</f>
        <v>0</v>
      </c>
      <c r="G127" s="1046">
        <f>Summary!$R$12</f>
        <v>0</v>
      </c>
      <c r="H127" s="1046">
        <f>Summary!$R$12</f>
        <v>0</v>
      </c>
      <c r="I127" s="1046">
        <f>Summary!$R$12</f>
        <v>0</v>
      </c>
      <c r="J127" s="1046">
        <f>Summary!$R$12</f>
        <v>0</v>
      </c>
      <c r="K127" s="1046">
        <f>Summary!$R$12</f>
        <v>0</v>
      </c>
      <c r="L127" s="1046">
        <f>Summary!$R$12</f>
        <v>0</v>
      </c>
    </row>
    <row r="128" spans="2:13" x14ac:dyDescent="0.3">
      <c r="C128" s="120"/>
      <c r="D128" s="1046"/>
      <c r="E128" s="1046"/>
      <c r="F128" s="1046"/>
      <c r="G128" s="1046"/>
      <c r="H128" s="1046"/>
      <c r="I128" s="1046"/>
      <c r="J128" s="1046"/>
      <c r="K128" s="1046"/>
      <c r="L128" s="1046"/>
    </row>
    <row r="130" spans="2:12" x14ac:dyDescent="0.3">
      <c r="B130" s="1023">
        <f>B125+1</f>
        <v>12</v>
      </c>
      <c r="C130" s="1092" t="s">
        <v>593</v>
      </c>
      <c r="D130" s="1051" t="s">
        <v>44</v>
      </c>
      <c r="E130" s="1051" t="s">
        <v>29</v>
      </c>
      <c r="F130" s="1051" t="s">
        <v>74</v>
      </c>
      <c r="G130" s="1051" t="s">
        <v>346</v>
      </c>
      <c r="H130" s="1051" t="s">
        <v>597</v>
      </c>
      <c r="I130" s="1051" t="s">
        <v>347</v>
      </c>
      <c r="J130" s="1051" t="s">
        <v>349</v>
      </c>
      <c r="K130" s="1051" t="s">
        <v>73</v>
      </c>
      <c r="L130" s="1052" t="s">
        <v>348</v>
      </c>
    </row>
    <row r="131" spans="2:12" x14ac:dyDescent="0.3">
      <c r="C131" s="1139" t="s">
        <v>578</v>
      </c>
      <c r="D131" s="1140">
        <v>35</v>
      </c>
      <c r="E131" s="1141">
        <v>27.559055118110237</v>
      </c>
      <c r="F131" s="1146">
        <v>607.6</v>
      </c>
      <c r="G131" s="1142">
        <v>50.05</v>
      </c>
      <c r="H131" s="890">
        <v>237.3</v>
      </c>
      <c r="I131" s="1143">
        <v>564.9</v>
      </c>
      <c r="J131" s="1147">
        <v>151.20000000000002</v>
      </c>
      <c r="K131" s="1144">
        <v>3160.15</v>
      </c>
      <c r="L131" s="1145">
        <v>2056.9500000000003</v>
      </c>
    </row>
    <row r="132" spans="2:12" x14ac:dyDescent="0.3">
      <c r="C132" s="1139" t="s">
        <v>579</v>
      </c>
      <c r="D132" s="1140">
        <v>12</v>
      </c>
      <c r="E132" s="1141">
        <v>9.4488188976377945</v>
      </c>
      <c r="F132" s="1146">
        <v>208.32</v>
      </c>
      <c r="G132" s="1142">
        <v>17.16</v>
      </c>
      <c r="H132" s="890">
        <v>81.36</v>
      </c>
      <c r="I132" s="1143">
        <v>193.68</v>
      </c>
      <c r="J132" s="1147">
        <v>51.84</v>
      </c>
      <c r="K132" s="1144">
        <v>1083.48</v>
      </c>
      <c r="L132" s="1145">
        <v>705.24</v>
      </c>
    </row>
    <row r="133" spans="2:12" x14ac:dyDescent="0.3">
      <c r="C133" s="1139" t="s">
        <v>580</v>
      </c>
      <c r="D133" s="1140">
        <v>12</v>
      </c>
      <c r="E133" s="1141">
        <v>9.4488188976377945</v>
      </c>
      <c r="F133" s="1146">
        <v>208.32</v>
      </c>
      <c r="G133" s="1142">
        <v>17.16</v>
      </c>
      <c r="H133" s="890">
        <v>81.36</v>
      </c>
      <c r="I133" s="1143">
        <v>193.68</v>
      </c>
      <c r="J133" s="1147">
        <v>51.84</v>
      </c>
      <c r="K133" s="1144">
        <v>1083.48</v>
      </c>
      <c r="L133" s="1145">
        <v>705.24</v>
      </c>
    </row>
    <row r="134" spans="2:12" x14ac:dyDescent="0.3">
      <c r="C134" s="1139" t="s">
        <v>581</v>
      </c>
      <c r="D134" s="1140"/>
      <c r="E134" s="1141"/>
      <c r="F134" s="1146"/>
      <c r="G134" s="1142"/>
      <c r="H134" s="890"/>
      <c r="I134" s="1143"/>
      <c r="J134" s="1147"/>
      <c r="K134" s="1144">
        <v>1805.8000000000002</v>
      </c>
      <c r="L134" s="1145">
        <v>1175.4000000000001</v>
      </c>
    </row>
    <row r="135" spans="2:12" x14ac:dyDescent="0.3">
      <c r="K135" s="1456"/>
      <c r="L135" s="1456"/>
    </row>
    <row r="136" spans="2:12" x14ac:dyDescent="0.3">
      <c r="B136" s="1023">
        <f>B130+1</f>
        <v>13</v>
      </c>
      <c r="C136" s="1093" t="s">
        <v>223</v>
      </c>
      <c r="D136" s="653" t="str">
        <f>D130</f>
        <v>US</v>
      </c>
      <c r="E136" s="653" t="str">
        <f t="shared" ref="E136:L136" si="98">E130</f>
        <v>UK</v>
      </c>
      <c r="F136" s="653" t="str">
        <f t="shared" si="98"/>
        <v>Mexico</v>
      </c>
      <c r="G136" s="653" t="str">
        <f t="shared" si="98"/>
        <v>Australia</v>
      </c>
      <c r="H136" s="653" t="str">
        <f t="shared" si="98"/>
        <v>Trinidad and Tobago</v>
      </c>
      <c r="I136" s="653" t="str">
        <f t="shared" si="98"/>
        <v>South Africa</v>
      </c>
      <c r="J136" s="653" t="str">
        <f t="shared" si="98"/>
        <v>Romania</v>
      </c>
      <c r="K136" s="653" t="str">
        <f t="shared" si="98"/>
        <v>India</v>
      </c>
      <c r="L136" s="653" t="str">
        <f t="shared" si="98"/>
        <v>Philippines</v>
      </c>
    </row>
    <row r="137" spans="2:12" x14ac:dyDescent="0.3">
      <c r="C137" s="1454" t="s">
        <v>589</v>
      </c>
      <c r="D137" s="1455"/>
      <c r="E137" s="1455"/>
      <c r="F137" s="1455"/>
      <c r="G137" s="1455"/>
      <c r="H137" s="1455"/>
      <c r="I137" s="1226">
        <v>5</v>
      </c>
      <c r="J137" s="1455"/>
      <c r="K137" s="1226">
        <v>5</v>
      </c>
      <c r="L137" s="1226">
        <v>5</v>
      </c>
    </row>
    <row r="138" spans="2:12" x14ac:dyDescent="0.3">
      <c r="C138" s="1139" t="s">
        <v>590</v>
      </c>
      <c r="D138" s="1226">
        <v>20</v>
      </c>
      <c r="E138" s="1226">
        <v>20</v>
      </c>
      <c r="F138" s="1226">
        <v>16.649999999999999</v>
      </c>
      <c r="G138" s="1226">
        <v>20</v>
      </c>
      <c r="H138" s="1226">
        <v>20</v>
      </c>
      <c r="I138" s="1226">
        <v>16.649999999999999</v>
      </c>
      <c r="J138" s="1226">
        <v>20</v>
      </c>
      <c r="K138" s="1226">
        <v>16.649999999999999</v>
      </c>
      <c r="L138" s="1226">
        <v>16.649999999999999</v>
      </c>
    </row>
    <row r="139" spans="2:12" x14ac:dyDescent="0.3">
      <c r="C139" s="1139" t="s">
        <v>591</v>
      </c>
      <c r="D139" s="1082">
        <v>0</v>
      </c>
      <c r="E139" s="1082">
        <v>0</v>
      </c>
      <c r="F139" s="1082">
        <v>0</v>
      </c>
      <c r="G139" s="1082">
        <v>0</v>
      </c>
      <c r="H139" s="1082">
        <v>0</v>
      </c>
      <c r="I139" s="1082">
        <v>0</v>
      </c>
      <c r="J139" s="1082">
        <v>0</v>
      </c>
      <c r="K139" s="1082">
        <v>0</v>
      </c>
      <c r="L139" s="1082">
        <v>0</v>
      </c>
    </row>
    <row r="141" spans="2:12" x14ac:dyDescent="0.3">
      <c r="B141" s="1023">
        <v>14</v>
      </c>
      <c r="C141" s="1093" t="s">
        <v>588</v>
      </c>
      <c r="D141" s="653" t="str">
        <f>D136</f>
        <v>US</v>
      </c>
      <c r="E141" s="653" t="str">
        <f t="shared" ref="E141:L141" si="99">E136</f>
        <v>UK</v>
      </c>
      <c r="F141" s="653" t="str">
        <f t="shared" si="99"/>
        <v>Mexico</v>
      </c>
      <c r="G141" s="653" t="str">
        <f t="shared" si="99"/>
        <v>Australia</v>
      </c>
      <c r="H141" s="653" t="str">
        <f t="shared" si="99"/>
        <v>Trinidad and Tobago</v>
      </c>
      <c r="I141" s="653" t="str">
        <f t="shared" si="99"/>
        <v>South Africa</v>
      </c>
      <c r="J141" s="653" t="str">
        <f t="shared" si="99"/>
        <v>Romania</v>
      </c>
      <c r="K141" s="653" t="str">
        <f t="shared" si="99"/>
        <v>India</v>
      </c>
      <c r="L141" s="653" t="str">
        <f t="shared" si="99"/>
        <v>Philippines</v>
      </c>
    </row>
    <row r="142" spans="2:12" x14ac:dyDescent="0.3">
      <c r="C142" s="1139" t="s">
        <v>17</v>
      </c>
      <c r="D142" s="1123">
        <v>5.0000000000000001E-3</v>
      </c>
      <c r="E142" s="1123">
        <v>2.5000000000000001E-3</v>
      </c>
      <c r="F142" s="1123">
        <v>5.0000000000000001E-3</v>
      </c>
      <c r="G142" s="1123">
        <v>5.0000000000000001E-3</v>
      </c>
      <c r="H142" s="1123">
        <v>2.5000000000000001E-3</v>
      </c>
      <c r="I142" s="1123">
        <v>2.5000000000000001E-3</v>
      </c>
      <c r="J142" s="1123">
        <v>2.5000000000000001E-3</v>
      </c>
      <c r="K142" s="1123">
        <v>5.0000000000000001E-3</v>
      </c>
      <c r="L142" s="1123">
        <v>5.0000000000000001E-3</v>
      </c>
    </row>
    <row r="143" spans="2:12" x14ac:dyDescent="0.3">
      <c r="C143" s="1139" t="s">
        <v>18</v>
      </c>
      <c r="D143" s="1123">
        <v>5.0000000000000001E-3</v>
      </c>
      <c r="E143" s="1123">
        <v>2.5000000000000001E-3</v>
      </c>
      <c r="F143" s="1123">
        <v>5.0000000000000001E-3</v>
      </c>
      <c r="G143" s="1123">
        <v>5.0000000000000001E-3</v>
      </c>
      <c r="H143" s="1123">
        <v>2.5000000000000001E-3</v>
      </c>
      <c r="I143" s="1123">
        <v>2.5000000000000001E-3</v>
      </c>
      <c r="J143" s="1123">
        <v>2.5000000000000001E-3</v>
      </c>
      <c r="K143" s="1123">
        <v>5.0000000000000001E-3</v>
      </c>
      <c r="L143" s="1123">
        <v>5.0000000000000001E-3</v>
      </c>
    </row>
    <row r="144" spans="2:12" x14ac:dyDescent="0.3">
      <c r="C144" s="1139" t="s">
        <v>592</v>
      </c>
      <c r="D144" s="1140">
        <v>120</v>
      </c>
      <c r="E144" s="1141">
        <v>80</v>
      </c>
      <c r="F144" s="1146">
        <v>4166.3999999999996</v>
      </c>
      <c r="G144" s="1142">
        <v>140</v>
      </c>
      <c r="H144" s="890">
        <v>4407</v>
      </c>
      <c r="I144" s="1143">
        <v>38000</v>
      </c>
      <c r="J144" s="1542">
        <v>97.92</v>
      </c>
      <c r="K144" s="1144">
        <v>12000</v>
      </c>
      <c r="L144" s="1145">
        <v>21000</v>
      </c>
    </row>
    <row r="145" spans="2:12" x14ac:dyDescent="0.3">
      <c r="C145" s="1139" t="s">
        <v>594</v>
      </c>
      <c r="D145" s="1123"/>
      <c r="E145" s="1123"/>
      <c r="F145" s="1123">
        <v>2.7000000000000003E-2</v>
      </c>
      <c r="G145" s="1123"/>
      <c r="H145" s="1123"/>
      <c r="I145" s="1123"/>
      <c r="J145" s="1123"/>
      <c r="K145" s="1123"/>
      <c r="L145" s="1123"/>
    </row>
    <row r="147" spans="2:12" ht="13.5" thickBot="1" x14ac:dyDescent="0.35">
      <c r="C147" s="1087" t="s">
        <v>784</v>
      </c>
    </row>
    <row r="148" spans="2:12" x14ac:dyDescent="0.3">
      <c r="B148" s="1023">
        <f>B141+1</f>
        <v>15</v>
      </c>
      <c r="C148" s="1096" t="s">
        <v>59</v>
      </c>
      <c r="D148" s="1097" t="s">
        <v>60</v>
      </c>
      <c r="E148" s="1126" t="s">
        <v>690</v>
      </c>
      <c r="F148" s="14"/>
      <c r="G148" s="770" t="s">
        <v>313</v>
      </c>
      <c r="I148" s="14"/>
    </row>
    <row r="149" spans="2:12" x14ac:dyDescent="0.3">
      <c r="B149" s="1056" t="str">
        <f>E141</f>
        <v>UK</v>
      </c>
      <c r="C149" s="370" t="s">
        <v>61</v>
      </c>
      <c r="D149" s="644">
        <v>1</v>
      </c>
      <c r="E149" s="644">
        <v>1</v>
      </c>
      <c r="F149" s="14"/>
      <c r="G149" s="14"/>
      <c r="I149" s="14"/>
    </row>
    <row r="150" spans="2:12" x14ac:dyDescent="0.3">
      <c r="B150" s="1056"/>
      <c r="C150" s="370" t="s">
        <v>62</v>
      </c>
      <c r="D150" s="644">
        <f>(D151/D152)</f>
        <v>1.25</v>
      </c>
      <c r="E150" s="1127">
        <v>1.33</v>
      </c>
      <c r="F150" s="14"/>
      <c r="G150" s="14"/>
      <c r="I150" s="14"/>
    </row>
    <row r="151" spans="2:12" x14ac:dyDescent="0.3">
      <c r="B151" s="1056"/>
      <c r="C151" s="370" t="s">
        <v>63</v>
      </c>
      <c r="D151" s="644">
        <v>100</v>
      </c>
      <c r="E151" s="644">
        <v>107.12</v>
      </c>
      <c r="F151" s="14"/>
      <c r="G151" s="678">
        <f>(E151-D151)/D151</f>
        <v>7.1200000000000041E-2</v>
      </c>
      <c r="I151" s="14"/>
    </row>
    <row r="152" spans="2:12" x14ac:dyDescent="0.3">
      <c r="B152" s="1056" t="str">
        <f>K141</f>
        <v>India</v>
      </c>
      <c r="C152" s="370" t="s">
        <v>64</v>
      </c>
      <c r="D152" s="644">
        <v>80</v>
      </c>
      <c r="E152" s="644">
        <v>86.28</v>
      </c>
      <c r="F152" s="14"/>
      <c r="G152" s="678">
        <f>(E152-D152)/D152</f>
        <v>7.8500000000000014E-2</v>
      </c>
      <c r="I152" s="14"/>
    </row>
    <row r="153" spans="2:12" x14ac:dyDescent="0.3">
      <c r="B153" s="1056"/>
      <c r="C153" s="370" t="s">
        <v>65</v>
      </c>
      <c r="D153" s="644">
        <v>65</v>
      </c>
      <c r="E153" s="644">
        <v>72.510000000000005</v>
      </c>
      <c r="F153" s="14"/>
      <c r="G153" s="678">
        <f>(E153-D153)/D153</f>
        <v>0.11553846153846162</v>
      </c>
      <c r="I153" s="14"/>
    </row>
    <row r="154" spans="2:12" x14ac:dyDescent="0.3">
      <c r="B154" s="1056" t="str">
        <f>L141</f>
        <v>Philippines</v>
      </c>
      <c r="C154" s="370" t="s">
        <v>66</v>
      </c>
      <c r="D154" s="644">
        <v>52</v>
      </c>
      <c r="E154" s="644">
        <v>55.43</v>
      </c>
      <c r="F154" s="14"/>
      <c r="G154" s="678">
        <f>(E154-D154)/D154</f>
        <v>6.596153846153846E-2</v>
      </c>
      <c r="I154" s="14"/>
    </row>
    <row r="155" spans="2:12" x14ac:dyDescent="0.3">
      <c r="B155" s="1056" t="str">
        <f>D141</f>
        <v>US</v>
      </c>
      <c r="C155" s="370" t="s">
        <v>67</v>
      </c>
      <c r="D155" s="644">
        <v>1</v>
      </c>
      <c r="E155" s="644">
        <v>1</v>
      </c>
      <c r="F155" s="14"/>
      <c r="G155" s="678">
        <f>(E155-D155)/D155</f>
        <v>0</v>
      </c>
      <c r="I155" s="14"/>
    </row>
    <row r="156" spans="2:12" x14ac:dyDescent="0.3">
      <c r="B156" s="1056" t="str">
        <f>F141</f>
        <v>Mexico</v>
      </c>
      <c r="C156" s="370" t="s">
        <v>68</v>
      </c>
      <c r="D156" s="1127">
        <v>18.239999999999998</v>
      </c>
      <c r="E156" s="644">
        <v>19.2</v>
      </c>
      <c r="F156" s="14"/>
      <c r="G156" s="678">
        <f>(E156-D156)/E156</f>
        <v>5.0000000000000044E-2</v>
      </c>
      <c r="I156" s="14"/>
    </row>
    <row r="157" spans="2:12" x14ac:dyDescent="0.3">
      <c r="B157" s="1056"/>
      <c r="C157" s="370" t="s">
        <v>582</v>
      </c>
      <c r="D157" s="1128">
        <v>1.4249999999999998</v>
      </c>
      <c r="E157" s="644">
        <v>1.5</v>
      </c>
      <c r="F157" s="14"/>
      <c r="G157" s="678"/>
      <c r="I157" s="14"/>
    </row>
    <row r="158" spans="2:12" x14ac:dyDescent="0.3">
      <c r="B158" s="1056" t="str">
        <f>H141</f>
        <v>Trinidad and Tobago</v>
      </c>
      <c r="C158" s="370" t="s">
        <v>335</v>
      </c>
      <c r="D158" s="1127">
        <f>E158*(1-G158)</f>
        <v>6.4409999999999998</v>
      </c>
      <c r="E158" s="644">
        <v>6.78</v>
      </c>
      <c r="F158" s="14"/>
      <c r="G158" s="678">
        <v>0.05</v>
      </c>
      <c r="I158" s="14"/>
    </row>
    <row r="159" spans="2:12" x14ac:dyDescent="0.3">
      <c r="B159" s="1056" t="str">
        <f>J141</f>
        <v>Romania</v>
      </c>
      <c r="C159" s="370" t="s">
        <v>583</v>
      </c>
      <c r="D159" s="1128">
        <v>4.7214999999999998</v>
      </c>
      <c r="E159" s="644">
        <v>4.97</v>
      </c>
      <c r="F159" s="14"/>
      <c r="G159" s="14"/>
      <c r="I159" s="14"/>
    </row>
    <row r="160" spans="2:12" x14ac:dyDescent="0.3">
      <c r="B160" s="1056" t="str">
        <f>I141</f>
        <v>South Africa</v>
      </c>
      <c r="C160" s="370" t="s">
        <v>584</v>
      </c>
      <c r="D160" s="1128">
        <v>16.7485</v>
      </c>
      <c r="E160" s="644">
        <v>17.63</v>
      </c>
      <c r="F160" s="14"/>
      <c r="G160" s="14"/>
      <c r="I160" s="14"/>
    </row>
    <row r="161" spans="2:124" x14ac:dyDescent="0.3">
      <c r="B161" s="1056" t="str">
        <f>G141</f>
        <v>Australia</v>
      </c>
      <c r="C161" s="370" t="s">
        <v>683</v>
      </c>
      <c r="D161" s="1128">
        <v>1</v>
      </c>
      <c r="E161" s="644">
        <v>1</v>
      </c>
      <c r="F161" s="14"/>
      <c r="G161" s="14"/>
      <c r="I161" s="14"/>
    </row>
    <row r="162" spans="2:124" x14ac:dyDescent="0.3">
      <c r="C162" s="370" t="s">
        <v>691</v>
      </c>
      <c r="D162" s="1128">
        <v>51</v>
      </c>
      <c r="E162" s="644">
        <v>62.95</v>
      </c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</row>
    <row r="163" spans="2:124" x14ac:dyDescent="0.3">
      <c r="C163" s="370" t="s">
        <v>582</v>
      </c>
      <c r="D163" s="1128">
        <v>1.5277777777777777</v>
      </c>
      <c r="E163" s="1127">
        <v>1.4343129467831612</v>
      </c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</row>
    <row r="164" spans="2:124" x14ac:dyDescent="0.3">
      <c r="C164" s="370" t="s">
        <v>692</v>
      </c>
      <c r="D164" s="1128">
        <v>1.9444444444444444</v>
      </c>
      <c r="E164" s="1127">
        <v>1.9459888800635423</v>
      </c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</row>
    <row r="165" spans="2:124" x14ac:dyDescent="0.3">
      <c r="C165" s="370" t="s">
        <v>693</v>
      </c>
      <c r="D165" s="1128">
        <v>91</v>
      </c>
      <c r="E165" s="1127">
        <v>106.43</v>
      </c>
      <c r="G165" s="678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</row>
    <row r="166" spans="2:124" x14ac:dyDescent="0.3">
      <c r="C166" s="370" t="s">
        <v>719</v>
      </c>
      <c r="D166" s="1127">
        <f>E166*(1-G166)</f>
        <v>0.81699999999999995</v>
      </c>
      <c r="E166" s="1127">
        <v>0.86</v>
      </c>
      <c r="G166" s="678">
        <v>0.05</v>
      </c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</row>
    <row r="167" spans="2:124" x14ac:dyDescent="0.3"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</row>
    <row r="168" spans="2:124" x14ac:dyDescent="0.3"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</row>
    <row r="169" spans="2:124" x14ac:dyDescent="0.3">
      <c r="H169" s="642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</row>
    <row r="170" spans="2:124" x14ac:dyDescent="0.3"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</row>
    <row r="171" spans="2:124" x14ac:dyDescent="0.3"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</row>
    <row r="172" spans="2:124" x14ac:dyDescent="0.3"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</row>
    <row r="173" spans="2:124" x14ac:dyDescent="0.3"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</row>
    <row r="174" spans="2:124" x14ac:dyDescent="0.3"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</row>
    <row r="175" spans="2:124" x14ac:dyDescent="0.3"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</row>
    <row r="188" spans="3:7" ht="13.5" thickBot="1" x14ac:dyDescent="0.35"/>
    <row r="189" spans="3:7" x14ac:dyDescent="0.3">
      <c r="C189" s="1096" t="s">
        <v>715</v>
      </c>
      <c r="D189" s="1096" t="s">
        <v>716</v>
      </c>
      <c r="E189" s="1096" t="s">
        <v>689</v>
      </c>
      <c r="F189" s="1467" t="s">
        <v>768</v>
      </c>
    </row>
    <row r="190" spans="3:7" x14ac:dyDescent="0.3">
      <c r="C190" s="120" t="str">
        <f>Data!D4</f>
        <v>India</v>
      </c>
      <c r="D190" s="370" t="str">
        <f>VLOOKUP(C190,$C$192:$D$200,2,0)</f>
        <v>INR</v>
      </c>
      <c r="E190" s="370" t="str">
        <f>Summary!M3</f>
        <v>USD</v>
      </c>
      <c r="F190" s="1467" t="str">
        <f>D190&amp;" "&amp;"-"&amp;" "&amp;E190</f>
        <v>INR - USD</v>
      </c>
      <c r="G190" s="1379">
        <f>VLOOKUP(F190,$C$203:$E$238,2,0)</f>
        <v>82.5</v>
      </c>
    </row>
    <row r="191" spans="3:7" x14ac:dyDescent="0.3">
      <c r="C191" s="14"/>
      <c r="D191" s="14"/>
      <c r="E191" s="14"/>
    </row>
    <row r="192" spans="3:7" x14ac:dyDescent="0.3">
      <c r="C192" s="120" t="s">
        <v>44</v>
      </c>
      <c r="D192" s="120" t="s">
        <v>708</v>
      </c>
    </row>
    <row r="193" spans="3:7" x14ac:dyDescent="0.3">
      <c r="C193" s="120" t="s">
        <v>29</v>
      </c>
      <c r="D193" s="120" t="s">
        <v>707</v>
      </c>
      <c r="F193" s="1471"/>
    </row>
    <row r="194" spans="3:7" x14ac:dyDescent="0.3">
      <c r="C194" s="120" t="s">
        <v>74</v>
      </c>
      <c r="D194" s="120" t="s">
        <v>710</v>
      </c>
      <c r="E194" s="1472"/>
      <c r="F194" s="642"/>
      <c r="G194" s="1471"/>
    </row>
    <row r="195" spans="3:7" x14ac:dyDescent="0.3">
      <c r="C195" s="120" t="s">
        <v>346</v>
      </c>
      <c r="D195" s="120" t="s">
        <v>709</v>
      </c>
      <c r="F195" s="642"/>
      <c r="G195" s="1471"/>
    </row>
    <row r="196" spans="3:7" x14ac:dyDescent="0.3">
      <c r="C196" s="120" t="s">
        <v>597</v>
      </c>
      <c r="D196" s="120" t="s">
        <v>711</v>
      </c>
      <c r="F196" s="642"/>
      <c r="G196" s="1471"/>
    </row>
    <row r="197" spans="3:7" x14ac:dyDescent="0.3">
      <c r="C197" s="120" t="s">
        <v>347</v>
      </c>
      <c r="D197" s="120" t="s">
        <v>712</v>
      </c>
      <c r="F197" s="642"/>
      <c r="G197" s="1471"/>
    </row>
    <row r="198" spans="3:7" x14ac:dyDescent="0.3">
      <c r="C198" s="120" t="s">
        <v>349</v>
      </c>
      <c r="D198" s="120" t="s">
        <v>767</v>
      </c>
      <c r="F198" s="642"/>
      <c r="G198" s="1471"/>
    </row>
    <row r="199" spans="3:7" x14ac:dyDescent="0.3">
      <c r="C199" s="120" t="s">
        <v>73</v>
      </c>
      <c r="D199" s="120" t="s">
        <v>713</v>
      </c>
      <c r="F199" s="642"/>
      <c r="G199" s="1471"/>
    </row>
    <row r="200" spans="3:7" x14ac:dyDescent="0.3">
      <c r="C200" s="120" t="s">
        <v>348</v>
      </c>
      <c r="D200" s="120" t="s">
        <v>714</v>
      </c>
      <c r="F200" s="642"/>
      <c r="G200" s="1471"/>
    </row>
    <row r="201" spans="3:7" ht="13.5" thickBot="1" x14ac:dyDescent="0.35">
      <c r="C201" s="14"/>
      <c r="D201" s="1473"/>
      <c r="F201" s="642"/>
      <c r="G201" s="1471"/>
    </row>
    <row r="202" spans="3:7" x14ac:dyDescent="0.3">
      <c r="C202" s="1096" t="s">
        <v>764</v>
      </c>
      <c r="D202" s="1097" t="s">
        <v>60</v>
      </c>
      <c r="E202" s="1126" t="s">
        <v>690</v>
      </c>
      <c r="F202" s="1379" t="s">
        <v>765</v>
      </c>
      <c r="G202" s="770" t="s">
        <v>766</v>
      </c>
    </row>
    <row r="203" spans="3:7" x14ac:dyDescent="0.3">
      <c r="C203" s="370" t="s">
        <v>61</v>
      </c>
      <c r="D203" s="1127">
        <v>1</v>
      </c>
      <c r="E203" s="1127">
        <v>1</v>
      </c>
      <c r="F203" s="14"/>
      <c r="G203" s="14"/>
    </row>
    <row r="204" spans="3:7" x14ac:dyDescent="0.3">
      <c r="C204" s="370" t="s">
        <v>62</v>
      </c>
      <c r="D204" s="1127">
        <v>0.8</v>
      </c>
      <c r="E204" s="1127">
        <v>0.75187969924812026</v>
      </c>
      <c r="F204" s="642">
        <f>(D204-E204)/E204</f>
        <v>6.4000000000000112E-2</v>
      </c>
      <c r="G204" s="1471" t="s">
        <v>756</v>
      </c>
    </row>
    <row r="205" spans="3:7" x14ac:dyDescent="0.3">
      <c r="C205" s="370" t="s">
        <v>67</v>
      </c>
      <c r="D205" s="1127">
        <v>1</v>
      </c>
      <c r="E205" s="1127">
        <v>1</v>
      </c>
      <c r="F205" s="642">
        <f t="shared" ref="F205:F238" si="100">(D205-E205)/E205</f>
        <v>0</v>
      </c>
      <c r="G205" s="1474"/>
    </row>
    <row r="206" spans="3:7" x14ac:dyDescent="0.3">
      <c r="C206" s="370" t="s">
        <v>717</v>
      </c>
      <c r="D206" s="1127">
        <v>1.25</v>
      </c>
      <c r="E206" s="1127">
        <v>1.33</v>
      </c>
      <c r="F206" s="642">
        <f t="shared" si="100"/>
        <v>-6.0150375939849676E-2</v>
      </c>
      <c r="G206" s="1474" t="s">
        <v>757</v>
      </c>
    </row>
    <row r="207" spans="3:7" x14ac:dyDescent="0.3">
      <c r="C207" s="370" t="s">
        <v>721</v>
      </c>
      <c r="D207" s="1127">
        <v>22.249000000000002</v>
      </c>
      <c r="E207" s="1127">
        <v>23.42</v>
      </c>
      <c r="F207" s="642">
        <f t="shared" si="100"/>
        <v>-4.9999999999999968E-2</v>
      </c>
      <c r="G207" s="1474" t="s">
        <v>758</v>
      </c>
    </row>
    <row r="208" spans="3:7" x14ac:dyDescent="0.3">
      <c r="C208" s="370" t="s">
        <v>722</v>
      </c>
      <c r="D208" s="1127">
        <v>16.491999999999997</v>
      </c>
      <c r="E208" s="1127">
        <v>17.36</v>
      </c>
      <c r="F208" s="642">
        <f t="shared" si="100"/>
        <v>-5.0000000000000121E-2</v>
      </c>
      <c r="G208" s="1474" t="s">
        <v>741</v>
      </c>
    </row>
    <row r="209" spans="3:7" x14ac:dyDescent="0.3">
      <c r="C209" s="370" t="s">
        <v>683</v>
      </c>
      <c r="D209" s="1127">
        <v>1</v>
      </c>
      <c r="E209" s="1127">
        <v>1</v>
      </c>
      <c r="F209" s="642">
        <f t="shared" si="100"/>
        <v>0</v>
      </c>
      <c r="G209" s="1474"/>
    </row>
    <row r="210" spans="3:7" x14ac:dyDescent="0.3">
      <c r="C210" s="370" t="s">
        <v>724</v>
      </c>
      <c r="D210" s="1127">
        <v>1.8239999999999998</v>
      </c>
      <c r="E210" s="1127">
        <v>1.92</v>
      </c>
      <c r="F210" s="642">
        <f t="shared" si="100"/>
        <v>-5.0000000000000044E-2</v>
      </c>
      <c r="G210" s="1474" t="s">
        <v>743</v>
      </c>
    </row>
    <row r="211" spans="3:7" x14ac:dyDescent="0.3">
      <c r="C211" s="370" t="s">
        <v>725</v>
      </c>
      <c r="D211" s="1127">
        <v>1.4249999999999998</v>
      </c>
      <c r="E211" s="1127">
        <v>1.5</v>
      </c>
      <c r="F211" s="642">
        <f t="shared" si="100"/>
        <v>-5.0000000000000121E-2</v>
      </c>
      <c r="G211" s="1474" t="s">
        <v>744</v>
      </c>
    </row>
    <row r="212" spans="3:7" x14ac:dyDescent="0.3">
      <c r="C212" s="370" t="s">
        <v>727</v>
      </c>
      <c r="D212" s="1127">
        <v>8.7590000000000003</v>
      </c>
      <c r="E212" s="1127">
        <v>9.2200000000000006</v>
      </c>
      <c r="F212" s="642">
        <f t="shared" si="100"/>
        <v>-5.0000000000000031E-2</v>
      </c>
      <c r="G212" s="1474" t="s">
        <v>746</v>
      </c>
    </row>
    <row r="213" spans="3:7" x14ac:dyDescent="0.3">
      <c r="C213" s="370" t="s">
        <v>728</v>
      </c>
      <c r="D213" s="1127">
        <v>6.4409999999999998</v>
      </c>
      <c r="E213" s="1127">
        <v>6.78</v>
      </c>
      <c r="F213" s="642">
        <f t="shared" si="100"/>
        <v>-5.0000000000000058E-2</v>
      </c>
      <c r="G213" s="1471" t="s">
        <v>747</v>
      </c>
    </row>
    <row r="214" spans="3:7" x14ac:dyDescent="0.3">
      <c r="C214" s="370" t="s">
        <v>730</v>
      </c>
      <c r="D214" s="1127">
        <v>20</v>
      </c>
      <c r="E214" s="1127">
        <v>21.74</v>
      </c>
      <c r="F214" s="642">
        <f t="shared" si="100"/>
        <v>-8.0036798528058811E-2</v>
      </c>
      <c r="G214" s="1471" t="s">
        <v>762</v>
      </c>
    </row>
    <row r="215" spans="3:7" x14ac:dyDescent="0.3">
      <c r="C215" s="370" t="s">
        <v>731</v>
      </c>
      <c r="D215" s="1127">
        <v>15</v>
      </c>
      <c r="E215" s="1127">
        <v>16.14</v>
      </c>
      <c r="F215" s="642">
        <f t="shared" si="100"/>
        <v>-7.0631970260223081E-2</v>
      </c>
      <c r="G215" s="1471" t="s">
        <v>748</v>
      </c>
    </row>
    <row r="216" spans="3:7" x14ac:dyDescent="0.3">
      <c r="C216" s="370" t="s">
        <v>733</v>
      </c>
      <c r="D216" s="1127">
        <v>105</v>
      </c>
      <c r="E216" s="1127">
        <v>122.5</v>
      </c>
      <c r="F216" s="642">
        <f t="shared" si="100"/>
        <v>-0.14285714285714285</v>
      </c>
      <c r="G216" s="1471" t="s">
        <v>739</v>
      </c>
    </row>
    <row r="217" spans="3:7" x14ac:dyDescent="0.3">
      <c r="C217" s="370" t="s">
        <v>734</v>
      </c>
      <c r="D217" s="1127">
        <v>82.5</v>
      </c>
      <c r="E217" s="1127">
        <v>90.29</v>
      </c>
      <c r="F217" s="642">
        <f t="shared" si="100"/>
        <v>-8.6277550116292012E-2</v>
      </c>
      <c r="G217" s="1471" t="s">
        <v>740</v>
      </c>
    </row>
    <row r="218" spans="3:7" x14ac:dyDescent="0.3">
      <c r="C218" s="370" t="s">
        <v>751</v>
      </c>
      <c r="D218" s="1127">
        <v>56</v>
      </c>
      <c r="E218" s="1127">
        <v>62.95</v>
      </c>
      <c r="F218" s="642">
        <f t="shared" si="100"/>
        <v>-0.11040508339952347</v>
      </c>
      <c r="G218" s="1471" t="s">
        <v>752</v>
      </c>
    </row>
    <row r="219" spans="3:7" x14ac:dyDescent="0.3">
      <c r="C219" s="370" t="s">
        <v>736</v>
      </c>
      <c r="D219" s="1127">
        <v>65</v>
      </c>
      <c r="E219" s="1127">
        <v>79.77</v>
      </c>
      <c r="F219" s="642">
        <f t="shared" si="100"/>
        <v>-0.18515732731603354</v>
      </c>
      <c r="G219" s="1471" t="s">
        <v>749</v>
      </c>
    </row>
    <row r="220" spans="3:7" x14ac:dyDescent="0.3">
      <c r="C220" s="370" t="s">
        <v>737</v>
      </c>
      <c r="D220" s="1127">
        <v>52</v>
      </c>
      <c r="E220" s="1127">
        <v>58.77</v>
      </c>
      <c r="F220" s="642">
        <f t="shared" si="100"/>
        <v>-0.11519482729283653</v>
      </c>
      <c r="G220" s="1471" t="s">
        <v>750</v>
      </c>
    </row>
    <row r="221" spans="3:7" x14ac:dyDescent="0.3">
      <c r="C221" s="370" t="s">
        <v>755</v>
      </c>
      <c r="D221" s="1127">
        <v>39.33</v>
      </c>
      <c r="E221" s="1127">
        <v>41.4</v>
      </c>
      <c r="F221" s="642">
        <f t="shared" si="100"/>
        <v>-5.000000000000001E-2</v>
      </c>
      <c r="G221" s="1471" t="s">
        <v>759</v>
      </c>
    </row>
    <row r="222" spans="3:7" x14ac:dyDescent="0.3">
      <c r="C222" s="370" t="s">
        <v>785</v>
      </c>
      <c r="D222" s="1127">
        <v>4.8354999999999997</v>
      </c>
      <c r="E222" s="1127">
        <v>5.09</v>
      </c>
      <c r="F222" s="642">
        <f t="shared" si="100"/>
        <v>-5.0000000000000037E-2</v>
      </c>
      <c r="G222" s="1471" t="s">
        <v>763</v>
      </c>
    </row>
    <row r="223" spans="3:7" x14ac:dyDescent="0.3">
      <c r="C223" s="370" t="s">
        <v>753</v>
      </c>
      <c r="D223" s="1127">
        <v>5.5670000000000002</v>
      </c>
      <c r="E223" s="1127">
        <v>5.85</v>
      </c>
      <c r="F223" s="642">
        <f t="shared" si="100"/>
        <v>-4.8376068376068289E-2</v>
      </c>
      <c r="G223" s="1471" t="s">
        <v>760</v>
      </c>
    </row>
    <row r="224" spans="3:7" x14ac:dyDescent="0.3">
      <c r="C224" s="370" t="s">
        <v>754</v>
      </c>
      <c r="D224" s="1127">
        <v>4.1040000000000001</v>
      </c>
      <c r="E224" s="1127">
        <v>4.32</v>
      </c>
      <c r="F224" s="642">
        <f t="shared" si="100"/>
        <v>-5.0000000000000044E-2</v>
      </c>
      <c r="G224" s="1471" t="s">
        <v>761</v>
      </c>
    </row>
    <row r="225" spans="3:7" x14ac:dyDescent="0.3">
      <c r="C225" s="370" t="s">
        <v>718</v>
      </c>
      <c r="D225" s="1127">
        <f>1/D210</f>
        <v>0.54824561403508776</v>
      </c>
      <c r="E225" s="1127">
        <f>1/E210</f>
        <v>0.52083333333333337</v>
      </c>
      <c r="F225" s="642">
        <f t="shared" si="100"/>
        <v>5.2631578947368418E-2</v>
      </c>
      <c r="G225" s="1474" t="s">
        <v>769</v>
      </c>
    </row>
    <row r="226" spans="3:7" x14ac:dyDescent="0.3">
      <c r="C226" s="370" t="s">
        <v>692</v>
      </c>
      <c r="D226" s="1127">
        <f>E226*95%</f>
        <v>0.82608695652173914</v>
      </c>
      <c r="E226" s="1127">
        <f>1/1.15</f>
        <v>0.86956521739130443</v>
      </c>
      <c r="F226" s="642">
        <f t="shared" si="100"/>
        <v>-5.0000000000000086E-2</v>
      </c>
      <c r="G226" s="1474" t="s">
        <v>770</v>
      </c>
    </row>
    <row r="227" spans="3:7" x14ac:dyDescent="0.3">
      <c r="C227" s="370" t="s">
        <v>582</v>
      </c>
      <c r="D227" s="1127">
        <f>1/D211</f>
        <v>0.70175438596491235</v>
      </c>
      <c r="E227" s="1127">
        <f>1/E211</f>
        <v>0.66666666666666663</v>
      </c>
      <c r="F227" s="642">
        <f t="shared" si="100"/>
        <v>5.2631578947368585E-2</v>
      </c>
      <c r="G227" s="1474" t="s">
        <v>771</v>
      </c>
    </row>
    <row r="228" spans="3:7" x14ac:dyDescent="0.3">
      <c r="C228" s="370" t="s">
        <v>719</v>
      </c>
      <c r="D228" s="1127">
        <f t="shared" ref="D228:D233" si="101">E228*95%</f>
        <v>1.1309523809523809</v>
      </c>
      <c r="E228" s="1127">
        <f>1/0.84</f>
        <v>1.1904761904761905</v>
      </c>
      <c r="F228" s="642">
        <f t="shared" si="100"/>
        <v>-5.000000000000001E-2</v>
      </c>
      <c r="G228" s="1474" t="s">
        <v>772</v>
      </c>
    </row>
    <row r="229" spans="3:7" x14ac:dyDescent="0.3">
      <c r="C229" s="370" t="s">
        <v>723</v>
      </c>
      <c r="D229" s="1127">
        <f t="shared" si="101"/>
        <v>11.609</v>
      </c>
      <c r="E229" s="1127">
        <v>12.22</v>
      </c>
      <c r="F229" s="642">
        <f t="shared" si="100"/>
        <v>-5.0000000000000051E-2</v>
      </c>
      <c r="G229" s="1474" t="s">
        <v>773</v>
      </c>
    </row>
    <row r="230" spans="3:7" x14ac:dyDescent="0.3">
      <c r="C230" s="370" t="s">
        <v>720</v>
      </c>
      <c r="D230" s="1127">
        <f t="shared" si="101"/>
        <v>19.427499999999998</v>
      </c>
      <c r="E230" s="1127">
        <v>20.45</v>
      </c>
      <c r="F230" s="642">
        <f t="shared" si="100"/>
        <v>-5.0000000000000044E-2</v>
      </c>
      <c r="G230" s="1474" t="s">
        <v>742</v>
      </c>
    </row>
    <row r="231" spans="3:7" x14ac:dyDescent="0.3">
      <c r="C231" s="370" t="s">
        <v>726</v>
      </c>
      <c r="D231" s="1127">
        <f t="shared" si="101"/>
        <v>1.5864999999999998</v>
      </c>
      <c r="E231" s="1127">
        <v>1.67</v>
      </c>
      <c r="F231" s="642">
        <f t="shared" si="100"/>
        <v>-5.0000000000000079E-2</v>
      </c>
      <c r="G231" s="1474" t="s">
        <v>745</v>
      </c>
    </row>
    <row r="232" spans="3:7" x14ac:dyDescent="0.3">
      <c r="C232" s="370" t="s">
        <v>774</v>
      </c>
      <c r="D232" s="1127">
        <f t="shared" si="101"/>
        <v>4.6265000000000001</v>
      </c>
      <c r="E232" s="1127">
        <v>4.87</v>
      </c>
      <c r="F232" s="642">
        <f t="shared" si="100"/>
        <v>-5.000000000000001E-2</v>
      </c>
      <c r="G232" s="1474" t="s">
        <v>775</v>
      </c>
    </row>
    <row r="233" spans="3:7" x14ac:dyDescent="0.3">
      <c r="C233" s="370" t="s">
        <v>729</v>
      </c>
      <c r="D233" s="1127">
        <f t="shared" si="101"/>
        <v>7.6</v>
      </c>
      <c r="E233" s="1127">
        <v>8</v>
      </c>
      <c r="F233" s="642">
        <f t="shared" si="100"/>
        <v>-5.0000000000000044E-2</v>
      </c>
      <c r="G233" s="1474" t="s">
        <v>778</v>
      </c>
    </row>
    <row r="234" spans="3:7" x14ac:dyDescent="0.3">
      <c r="C234" s="370" t="s">
        <v>776</v>
      </c>
      <c r="D234" s="1127">
        <f t="shared" ref="D234:D238" si="102">E234*95%</f>
        <v>10.734999999999999</v>
      </c>
      <c r="E234" s="1127">
        <v>11.3</v>
      </c>
      <c r="F234" s="642">
        <f t="shared" si="100"/>
        <v>-5.0000000000000107E-2</v>
      </c>
      <c r="G234" s="1474" t="s">
        <v>777</v>
      </c>
    </row>
    <row r="235" spans="3:7" x14ac:dyDescent="0.3">
      <c r="C235" s="370" t="s">
        <v>732</v>
      </c>
      <c r="D235" s="1127">
        <f t="shared" si="102"/>
        <v>17.983499999999999</v>
      </c>
      <c r="E235" s="1127">
        <v>18.93</v>
      </c>
      <c r="F235" s="642">
        <f t="shared" si="100"/>
        <v>-5.0000000000000017E-2</v>
      </c>
      <c r="G235" s="1474" t="s">
        <v>779</v>
      </c>
    </row>
    <row r="236" spans="3:7" x14ac:dyDescent="0.3">
      <c r="C236" s="370" t="s">
        <v>735</v>
      </c>
      <c r="D236" s="1127">
        <v>91</v>
      </c>
      <c r="E236" s="1127">
        <v>106.43</v>
      </c>
      <c r="F236" s="642">
        <f t="shared" si="100"/>
        <v>-0.14497791975946636</v>
      </c>
      <c r="G236" s="1474" t="s">
        <v>780</v>
      </c>
    </row>
    <row r="237" spans="3:7" x14ac:dyDescent="0.3">
      <c r="C237" s="370" t="s">
        <v>738</v>
      </c>
      <c r="D237" s="1127">
        <v>58.230612470927007</v>
      </c>
      <c r="E237" s="1127">
        <v>69.27</v>
      </c>
      <c r="F237" s="642">
        <f t="shared" si="100"/>
        <v>-0.15936751160780988</v>
      </c>
      <c r="G237" s="1474" t="s">
        <v>780</v>
      </c>
    </row>
    <row r="238" spans="3:7" x14ac:dyDescent="0.3">
      <c r="C238" s="370" t="s">
        <v>781</v>
      </c>
      <c r="D238" s="1127">
        <f t="shared" si="102"/>
        <v>2.8879999999999999</v>
      </c>
      <c r="E238" s="1127">
        <v>3.04</v>
      </c>
      <c r="F238" s="642">
        <f t="shared" si="100"/>
        <v>-5.0000000000000044E-2</v>
      </c>
      <c r="G238" s="1474" t="s">
        <v>782</v>
      </c>
    </row>
    <row r="239" spans="3:7" x14ac:dyDescent="0.3">
      <c r="C239" s="338"/>
      <c r="D239" s="1475"/>
      <c r="E239" s="1475"/>
      <c r="F239" s="642"/>
      <c r="G239" s="1474"/>
    </row>
    <row r="240" spans="3:7" x14ac:dyDescent="0.3">
      <c r="C240" s="338"/>
      <c r="D240" s="1475"/>
      <c r="E240" s="1475"/>
      <c r="F240" s="642"/>
      <c r="G240" s="1474"/>
    </row>
    <row r="241" spans="3:10" x14ac:dyDescent="0.3">
      <c r="C241" s="338"/>
      <c r="D241" s="1475"/>
      <c r="E241" s="1475"/>
      <c r="F241" s="642"/>
      <c r="G241" s="1570"/>
    </row>
    <row r="242" spans="3:10" x14ac:dyDescent="0.3">
      <c r="C242" s="1081" t="s">
        <v>390</v>
      </c>
      <c r="D242" s="653" t="s">
        <v>54</v>
      </c>
      <c r="E242" s="653" t="s">
        <v>55</v>
      </c>
      <c r="F242" s="653" t="s">
        <v>239</v>
      </c>
      <c r="G242" s="653" t="s">
        <v>238</v>
      </c>
      <c r="I242" s="93" t="s">
        <v>934</v>
      </c>
    </row>
    <row r="243" spans="3:10" x14ac:dyDescent="0.3">
      <c r="C243" s="120" t="s">
        <v>927</v>
      </c>
      <c r="D243" s="1165">
        <v>10427</v>
      </c>
      <c r="E243" s="1165">
        <v>4004</v>
      </c>
      <c r="F243" s="1165">
        <v>1969</v>
      </c>
      <c r="G243" s="1165">
        <v>8794.4999999999982</v>
      </c>
      <c r="I243" s="91">
        <f t="shared" ref="I243:I258" si="103">SUM(D243:F243)</f>
        <v>16400</v>
      </c>
      <c r="J243" s="93" t="s">
        <v>948</v>
      </c>
    </row>
    <row r="244" spans="3:10" x14ac:dyDescent="0.3">
      <c r="C244" s="120" t="s">
        <v>928</v>
      </c>
      <c r="D244" s="1165">
        <v>11020</v>
      </c>
      <c r="E244" s="1165">
        <v>5073</v>
      </c>
      <c r="F244" s="1165">
        <v>1907</v>
      </c>
      <c r="G244" s="1165">
        <v>6662.5</v>
      </c>
      <c r="I244" s="91">
        <f t="shared" si="103"/>
        <v>18000</v>
      </c>
      <c r="J244" s="93" t="s">
        <v>948</v>
      </c>
    </row>
    <row r="245" spans="3:10" x14ac:dyDescent="0.3">
      <c r="C245" s="120" t="s">
        <v>929</v>
      </c>
      <c r="D245" s="1165">
        <v>11278</v>
      </c>
      <c r="E245" s="1165">
        <v>6604</v>
      </c>
      <c r="F245" s="1165">
        <v>2118</v>
      </c>
      <c r="G245" s="1165">
        <v>10920</v>
      </c>
      <c r="I245" s="91">
        <f t="shared" si="103"/>
        <v>20000</v>
      </c>
      <c r="J245" s="93" t="s">
        <v>948</v>
      </c>
    </row>
    <row r="246" spans="3:10" x14ac:dyDescent="0.3">
      <c r="C246" s="120" t="s">
        <v>930</v>
      </c>
      <c r="D246" s="1165">
        <v>3886.5</v>
      </c>
      <c r="E246" s="1165">
        <v>7869.5</v>
      </c>
      <c r="F246" s="1165">
        <v>1844</v>
      </c>
      <c r="G246" s="1165">
        <v>6662.5</v>
      </c>
      <c r="I246" s="91">
        <f t="shared" si="103"/>
        <v>13600</v>
      </c>
      <c r="J246" s="93" t="s">
        <v>949</v>
      </c>
    </row>
    <row r="247" spans="3:10" x14ac:dyDescent="0.3">
      <c r="C247" s="120" t="s">
        <v>922</v>
      </c>
      <c r="D247" s="1566">
        <v>82</v>
      </c>
      <c r="E247" s="1566">
        <v>97</v>
      </c>
      <c r="F247" s="1566">
        <v>21</v>
      </c>
      <c r="G247" s="1566">
        <v>0</v>
      </c>
      <c r="I247" s="91">
        <f t="shared" si="103"/>
        <v>200</v>
      </c>
    </row>
    <row r="248" spans="3:10" x14ac:dyDescent="0.3">
      <c r="C248" s="120" t="s">
        <v>923</v>
      </c>
      <c r="D248" s="1452">
        <v>203</v>
      </c>
      <c r="E248" s="1452">
        <v>43</v>
      </c>
      <c r="F248" s="1452">
        <v>34</v>
      </c>
      <c r="G248" s="1452">
        <v>0</v>
      </c>
      <c r="I248" s="91">
        <f t="shared" si="103"/>
        <v>280</v>
      </c>
    </row>
    <row r="249" spans="3:10" x14ac:dyDescent="0.3">
      <c r="C249" s="120" t="s">
        <v>924</v>
      </c>
      <c r="D249" s="1452">
        <v>366</v>
      </c>
      <c r="E249" s="1452">
        <v>20</v>
      </c>
      <c r="F249" s="1452">
        <v>14</v>
      </c>
      <c r="G249" s="1452">
        <v>0</v>
      </c>
      <c r="I249" s="91">
        <f t="shared" si="103"/>
        <v>400</v>
      </c>
    </row>
    <row r="250" spans="3:10" x14ac:dyDescent="0.3">
      <c r="C250" s="120" t="s">
        <v>925</v>
      </c>
      <c r="D250" s="1452">
        <v>276</v>
      </c>
      <c r="E250" s="1452">
        <v>93</v>
      </c>
      <c r="F250" s="1452">
        <v>301</v>
      </c>
      <c r="G250" s="1452">
        <v>0</v>
      </c>
      <c r="I250" s="91">
        <f t="shared" si="103"/>
        <v>670</v>
      </c>
    </row>
    <row r="251" spans="3:10" x14ac:dyDescent="0.3">
      <c r="C251" s="120" t="s">
        <v>348</v>
      </c>
      <c r="D251" s="1167">
        <v>5817</v>
      </c>
      <c r="E251" s="1167">
        <v>3228</v>
      </c>
      <c r="F251" s="1167">
        <v>2955</v>
      </c>
      <c r="G251" s="1167">
        <v>0</v>
      </c>
      <c r="I251" s="91">
        <f t="shared" si="103"/>
        <v>12000</v>
      </c>
    </row>
    <row r="252" spans="3:10" x14ac:dyDescent="0.3">
      <c r="C252" s="120" t="s">
        <v>29</v>
      </c>
      <c r="D252" s="1167">
        <v>229</v>
      </c>
      <c r="E252" s="1167">
        <v>75</v>
      </c>
      <c r="F252" s="1167">
        <v>40</v>
      </c>
      <c r="G252" s="1167">
        <v>0</v>
      </c>
      <c r="I252" s="91">
        <f t="shared" si="103"/>
        <v>344</v>
      </c>
    </row>
    <row r="253" spans="3:10" x14ac:dyDescent="0.3">
      <c r="C253" s="120" t="s">
        <v>74</v>
      </c>
      <c r="D253" s="1157">
        <v>4308</v>
      </c>
      <c r="E253" s="1157">
        <v>2285</v>
      </c>
      <c r="F253" s="1157">
        <v>1407</v>
      </c>
      <c r="G253" s="1157">
        <v>0</v>
      </c>
      <c r="I253" s="91">
        <f t="shared" si="103"/>
        <v>8000</v>
      </c>
    </row>
    <row r="254" spans="3:10" x14ac:dyDescent="0.3">
      <c r="C254" s="120" t="s">
        <v>347</v>
      </c>
      <c r="D254" s="1161">
        <v>2778.3345252282588</v>
      </c>
      <c r="E254" s="1161">
        <v>1533.2058046703821</v>
      </c>
      <c r="F254" s="1161">
        <v>316.45967010135922</v>
      </c>
      <c r="G254" s="1161">
        <v>1100</v>
      </c>
      <c r="I254" s="91">
        <f t="shared" si="103"/>
        <v>4628</v>
      </c>
    </row>
    <row r="255" spans="3:10" x14ac:dyDescent="0.3">
      <c r="C255" s="120" t="s">
        <v>346</v>
      </c>
      <c r="D255" s="1159">
        <v>370</v>
      </c>
      <c r="E255" s="1159">
        <v>150.80000000000001</v>
      </c>
      <c r="F255" s="1159">
        <v>13</v>
      </c>
      <c r="G255" s="1159">
        <v>0</v>
      </c>
      <c r="I255" s="91">
        <f t="shared" si="103"/>
        <v>533.79999999999995</v>
      </c>
    </row>
    <row r="256" spans="3:10" x14ac:dyDescent="0.3">
      <c r="C256" s="120" t="s">
        <v>349</v>
      </c>
      <c r="D256" s="1163">
        <v>632.233009708738</v>
      </c>
      <c r="E256" s="1163">
        <v>761.55242718446607</v>
      </c>
      <c r="F256" s="1163">
        <v>66.55402026506394</v>
      </c>
      <c r="G256" s="1163">
        <v>0</v>
      </c>
      <c r="I256" s="91">
        <f t="shared" si="103"/>
        <v>1460.3394571582678</v>
      </c>
    </row>
    <row r="257" spans="3:9" x14ac:dyDescent="0.3">
      <c r="C257" s="120" t="s">
        <v>597</v>
      </c>
      <c r="D257" s="1050">
        <v>1027.7243184079603</v>
      </c>
      <c r="E257" s="1050">
        <v>341.2487562189055</v>
      </c>
      <c r="F257" s="1050">
        <v>347.2175661359862</v>
      </c>
      <c r="G257" s="1050">
        <v>0</v>
      </c>
      <c r="I257" s="91">
        <f t="shared" si="103"/>
        <v>1716.1906407628521</v>
      </c>
    </row>
    <row r="258" spans="3:9" x14ac:dyDescent="0.3">
      <c r="C258" s="120" t="s">
        <v>926</v>
      </c>
      <c r="D258" s="1567">
        <v>175.37721446616496</v>
      </c>
      <c r="E258" s="1567">
        <v>0</v>
      </c>
      <c r="F258" s="1567">
        <v>0</v>
      </c>
      <c r="G258" s="1567">
        <v>0</v>
      </c>
      <c r="I258" s="91">
        <f t="shared" si="103"/>
        <v>175.37721446616496</v>
      </c>
    </row>
    <row r="260" spans="3:9" x14ac:dyDescent="0.3">
      <c r="D260" s="1576">
        <f>D254/15</f>
        <v>185.22230168188392</v>
      </c>
      <c r="E260" s="1576">
        <f t="shared" ref="E260:F260" si="104">E254/15</f>
        <v>102.21372031135881</v>
      </c>
      <c r="F260" s="1576">
        <f t="shared" si="104"/>
        <v>21.097311340090616</v>
      </c>
    </row>
  </sheetData>
  <conditionalFormatting sqref="C63">
    <cfRule type="cellIs" dxfId="4" priority="17" stopIfTrue="1" operator="lessThan">
      <formula>0</formula>
    </cfRule>
  </conditionalFormatting>
  <conditionalFormatting sqref="C49:C62">
    <cfRule type="cellIs" dxfId="3" priority="16" stopIfTrue="1" operator="less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D8CC6-E3E9-4F08-8A98-E3118CF4C6FF}">
  <sheetPr codeName="Sheet7"/>
  <dimension ref="C2:AZ118"/>
  <sheetViews>
    <sheetView showGridLines="0" zoomScale="90" zoomScaleNormal="90" workbookViewId="0">
      <selection activeCell="G5" sqref="G5"/>
    </sheetView>
  </sheetViews>
  <sheetFormatPr defaultColWidth="9.1796875" defaultRowHeight="14.5" x14ac:dyDescent="0.35"/>
  <cols>
    <col min="1" max="2" width="9.1796875" style="771"/>
    <col min="3" max="3" width="3.08984375" style="771" bestFit="1" customWidth="1"/>
    <col min="4" max="4" width="11.453125" style="771" bestFit="1" customWidth="1"/>
    <col min="5" max="5" width="22" style="772" bestFit="1" customWidth="1"/>
    <col min="6" max="6" width="65.54296875" style="771" bestFit="1" customWidth="1"/>
    <col min="7" max="7" width="14.54296875" style="771" bestFit="1" customWidth="1"/>
    <col min="8" max="8" width="4" style="771" customWidth="1"/>
    <col min="9" max="9" width="23.453125" style="771" bestFit="1" customWidth="1"/>
    <col min="10" max="11" width="14" style="771" bestFit="1" customWidth="1"/>
    <col min="12" max="12" width="13.54296875" style="771" customWidth="1"/>
    <col min="13" max="13" width="12.453125" style="771" customWidth="1"/>
    <col min="14" max="14" width="13.54296875" style="771" customWidth="1"/>
    <col min="15" max="15" width="3.1796875" style="771" customWidth="1"/>
    <col min="16" max="16" width="11.26953125" style="771" bestFit="1" customWidth="1"/>
    <col min="17" max="17" width="10.1796875" style="771" bestFit="1" customWidth="1"/>
    <col min="18" max="18" width="5.453125" style="771" bestFit="1" customWidth="1"/>
    <col min="19" max="19" width="11.1796875" style="771" bestFit="1" customWidth="1"/>
    <col min="20" max="20" width="10.54296875" style="771" bestFit="1" customWidth="1"/>
    <col min="21" max="21" width="2.26953125" style="771" customWidth="1"/>
    <col min="22" max="22" width="14.54296875" style="771" customWidth="1"/>
    <col min="23" max="23" width="14.1796875" style="771" bestFit="1" customWidth="1"/>
    <col min="24" max="24" width="9.1796875" style="771"/>
    <col min="25" max="25" width="20.54296875" style="846" bestFit="1" customWidth="1"/>
    <col min="26" max="26" width="12.1796875" style="847" bestFit="1" customWidth="1"/>
    <col min="27" max="27" width="8.453125" style="771" bestFit="1" customWidth="1"/>
    <col min="28" max="28" width="14.1796875" style="771" bestFit="1" customWidth="1"/>
    <col min="29" max="29" width="12.54296875" style="771" bestFit="1" customWidth="1"/>
    <col min="30" max="30" width="8" style="771" bestFit="1" customWidth="1"/>
    <col min="31" max="31" width="13.54296875" style="771" bestFit="1" customWidth="1"/>
    <col min="32" max="32" width="14.7265625" style="771" bestFit="1" customWidth="1"/>
    <col min="33" max="33" width="12.7265625" style="771" bestFit="1" customWidth="1"/>
    <col min="34" max="34" width="9.54296875" style="771" bestFit="1" customWidth="1"/>
    <col min="35" max="35" width="12.26953125" style="771" bestFit="1" customWidth="1"/>
    <col min="36" max="36" width="14" style="771" bestFit="1" customWidth="1"/>
    <col min="37" max="37" width="13" style="771" bestFit="1" customWidth="1"/>
    <col min="38" max="38" width="11.81640625" style="771" bestFit="1" customWidth="1"/>
    <col min="39" max="39" width="13.7265625" style="771" bestFit="1" customWidth="1"/>
    <col min="40" max="40" width="22.453125" style="771" bestFit="1" customWidth="1"/>
    <col min="41" max="43" width="9.1796875" style="771"/>
    <col min="44" max="45" width="8.54296875" style="771" bestFit="1" customWidth="1"/>
    <col min="46" max="47" width="10.81640625" style="771" bestFit="1" customWidth="1"/>
    <col min="48" max="49" width="8.54296875" style="771" bestFit="1" customWidth="1"/>
    <col min="50" max="51" width="10.81640625" style="771" bestFit="1" customWidth="1"/>
    <col min="52" max="54" width="19.1796875" style="771" customWidth="1"/>
    <col min="55" max="16384" width="9.1796875" style="771"/>
  </cols>
  <sheetData>
    <row r="2" spans="3:52" ht="15" customHeight="1" x14ac:dyDescent="0.35">
      <c r="D2" s="1599" t="s">
        <v>319</v>
      </c>
      <c r="E2" s="1599" t="s">
        <v>320</v>
      </c>
      <c r="F2" s="1599" t="s">
        <v>336</v>
      </c>
      <c r="G2" s="775" t="s">
        <v>351</v>
      </c>
      <c r="J2" s="1600" t="s">
        <v>352</v>
      </c>
      <c r="K2" s="1600"/>
      <c r="L2" s="1600" t="s">
        <v>353</v>
      </c>
      <c r="M2" s="1600"/>
      <c r="P2" s="1597" t="s">
        <v>354</v>
      </c>
      <c r="Q2" s="1598"/>
      <c r="AD2" s="1603" t="s">
        <v>392</v>
      </c>
      <c r="AE2" s="1603"/>
      <c r="AF2" s="1604" t="s">
        <v>393</v>
      </c>
      <c r="AG2" s="1603"/>
      <c r="AH2" s="1603"/>
      <c r="AI2" s="1603" t="s">
        <v>394</v>
      </c>
      <c r="AJ2" s="1603"/>
      <c r="AK2" s="1603"/>
      <c r="AR2" s="848" t="s">
        <v>395</v>
      </c>
      <c r="AS2" s="848" t="s">
        <v>396</v>
      </c>
      <c r="AT2" s="849" t="s">
        <v>395</v>
      </c>
      <c r="AU2" s="849" t="s">
        <v>396</v>
      </c>
      <c r="AV2" s="848" t="s">
        <v>395</v>
      </c>
      <c r="AW2" s="848" t="s">
        <v>396</v>
      </c>
      <c r="AX2" s="849" t="s">
        <v>395</v>
      </c>
      <c r="AY2" s="849" t="s">
        <v>396</v>
      </c>
    </row>
    <row r="3" spans="3:52" ht="58" x14ac:dyDescent="0.35">
      <c r="C3" s="771" t="s">
        <v>44</v>
      </c>
      <c r="D3" s="1599"/>
      <c r="E3" s="1599"/>
      <c r="F3" s="1599"/>
      <c r="G3" s="781" t="s">
        <v>397</v>
      </c>
      <c r="I3" s="781" t="s">
        <v>398</v>
      </c>
      <c r="J3" s="781" t="s">
        <v>357</v>
      </c>
      <c r="K3" s="781" t="s">
        <v>358</v>
      </c>
      <c r="L3" s="781" t="s">
        <v>357</v>
      </c>
      <c r="M3" s="781" t="s">
        <v>358</v>
      </c>
      <c r="P3" s="781" t="s">
        <v>359</v>
      </c>
      <c r="Q3" s="781" t="s">
        <v>328</v>
      </c>
      <c r="S3" s="781" t="s">
        <v>329</v>
      </c>
      <c r="T3" s="781" t="s">
        <v>330</v>
      </c>
      <c r="V3" s="781" t="s">
        <v>360</v>
      </c>
      <c r="W3" s="781" t="s">
        <v>361</v>
      </c>
      <c r="Z3" s="850" t="s">
        <v>399</v>
      </c>
      <c r="AA3" s="850" t="s">
        <v>400</v>
      </c>
      <c r="AB3" s="850" t="s">
        <v>401</v>
      </c>
      <c r="AC3" s="850" t="s">
        <v>402</v>
      </c>
      <c r="AD3" s="850" t="s">
        <v>403</v>
      </c>
      <c r="AE3" s="851" t="s">
        <v>404</v>
      </c>
      <c r="AF3" s="850" t="s">
        <v>393</v>
      </c>
      <c r="AG3" s="850" t="s">
        <v>405</v>
      </c>
      <c r="AH3" s="851" t="s">
        <v>406</v>
      </c>
      <c r="AI3" s="850" t="s">
        <v>407</v>
      </c>
      <c r="AJ3" s="850" t="s">
        <v>408</v>
      </c>
      <c r="AK3" s="851" t="s">
        <v>409</v>
      </c>
      <c r="AL3" s="851" t="s">
        <v>410</v>
      </c>
      <c r="AM3" s="851" t="s">
        <v>411</v>
      </c>
      <c r="AN3" s="850" t="s">
        <v>412</v>
      </c>
      <c r="AO3" s="851" t="s">
        <v>935</v>
      </c>
      <c r="AP3" s="851" t="s">
        <v>309</v>
      </c>
      <c r="AQ3" s="851" t="s">
        <v>318</v>
      </c>
      <c r="AR3" s="1605" t="s">
        <v>357</v>
      </c>
      <c r="AS3" s="1602"/>
      <c r="AT3" s="1601" t="s">
        <v>358</v>
      </c>
      <c r="AU3" s="1602"/>
      <c r="AV3" s="1601" t="s">
        <v>357</v>
      </c>
      <c r="AW3" s="1602"/>
      <c r="AX3" s="1601" t="s">
        <v>358</v>
      </c>
      <c r="AY3" s="1602"/>
    </row>
    <row r="4" spans="3:52" x14ac:dyDescent="0.35">
      <c r="C4" s="771" t="str">
        <f>$C$3&amp;D4&amp;E4</f>
        <v>USVoiceL1</v>
      </c>
      <c r="D4" s="787" t="s">
        <v>266</v>
      </c>
      <c r="E4" s="788" t="s">
        <v>321</v>
      </c>
      <c r="F4" s="789" t="s">
        <v>413</v>
      </c>
      <c r="G4" s="852">
        <f>AM4</f>
        <v>3406.7846666666669</v>
      </c>
      <c r="H4" s="853"/>
      <c r="I4" s="854">
        <f>SUMPRODUCT(J4:K4,L4:M4)</f>
        <v>16.3</v>
      </c>
      <c r="J4" s="854">
        <f>SUMPRODUCT($AP4:$AQ4,AR4:AS4)</f>
        <v>16</v>
      </c>
      <c r="K4" s="854">
        <f>SUMPRODUCT($AP4:$AQ4,AT4:AU4)</f>
        <v>17</v>
      </c>
      <c r="L4" s="792">
        <f>SUMPRODUCT($AP4:$AQ4,AV4:AW4)</f>
        <v>0.7</v>
      </c>
      <c r="M4" s="793">
        <f>1-L4</f>
        <v>0.30000000000000004</v>
      </c>
      <c r="N4" s="855"/>
      <c r="P4" s="852">
        <f>SUMPRODUCT(S4:T4,V4:W4)</f>
        <v>50</v>
      </c>
      <c r="Q4" s="1571">
        <v>145</v>
      </c>
      <c r="R4" s="873"/>
      <c r="S4" s="1571">
        <v>50</v>
      </c>
      <c r="T4" s="1571">
        <v>150</v>
      </c>
      <c r="V4" s="1572">
        <v>1</v>
      </c>
      <c r="W4" s="1572">
        <v>0</v>
      </c>
      <c r="Z4" s="856">
        <f>'US Salary'!I4</f>
        <v>16.3</v>
      </c>
      <c r="AA4" s="857"/>
      <c r="AB4" s="744">
        <f>Z4*AA4</f>
        <v>0</v>
      </c>
      <c r="AC4" s="858">
        <f>(Z4+AB4)*2080</f>
        <v>33904</v>
      </c>
      <c r="AD4" s="859">
        <v>9.0999999999999998E-2</v>
      </c>
      <c r="AE4" s="744">
        <f t="shared" ref="AE4:AE13" si="0">Z4*AD4</f>
        <v>1.4833000000000001</v>
      </c>
      <c r="AF4" s="852">
        <v>7866</v>
      </c>
      <c r="AG4" s="860">
        <v>0.45</v>
      </c>
      <c r="AH4" s="744">
        <f>(AF4*AG4)/2080</f>
        <v>1.7017788461538463</v>
      </c>
      <c r="AI4" s="861">
        <v>1.4999999999999999E-2</v>
      </c>
      <c r="AJ4" s="859">
        <f>AG4</f>
        <v>0.45</v>
      </c>
      <c r="AK4" s="744">
        <f t="shared" ref="AK4:AK13" si="1">Z4*AI4*AJ4</f>
        <v>0.110025</v>
      </c>
      <c r="AL4" s="862">
        <f>SUM(Z4,AB4,AE4,AH4,AK4,AO4)</f>
        <v>19.654526923076926</v>
      </c>
      <c r="AM4" s="863">
        <f>AL4*2080/12</f>
        <v>3406.7846666666669</v>
      </c>
      <c r="AN4" s="864">
        <f t="shared" ref="AN4:AN13" si="2">IFERROR((AL4-AB4)/Z4-1,0)</f>
        <v>0.20579919773478061</v>
      </c>
      <c r="AO4" s="744">
        <f>(10.3)/(8*5*(52/12))</f>
        <v>5.9423076923076933E-2</v>
      </c>
      <c r="AP4" s="865">
        <f>Summary!E3</f>
        <v>1</v>
      </c>
      <c r="AQ4" s="865">
        <f t="shared" ref="AQ4:AQ15" si="3">1-AP4</f>
        <v>0</v>
      </c>
      <c r="AR4" s="866">
        <v>16</v>
      </c>
      <c r="AS4" s="867">
        <v>14</v>
      </c>
      <c r="AT4" s="867">
        <v>17</v>
      </c>
      <c r="AU4" s="867">
        <v>16</v>
      </c>
      <c r="AV4" s="868">
        <v>0.7</v>
      </c>
      <c r="AW4" s="868">
        <v>0.7</v>
      </c>
      <c r="AX4" s="869">
        <f>1-AV4</f>
        <v>0.30000000000000004</v>
      </c>
      <c r="AY4" s="869">
        <f>1-AW4</f>
        <v>0.30000000000000004</v>
      </c>
      <c r="AZ4" s="805"/>
    </row>
    <row r="5" spans="3:52" s="805" customFormat="1" x14ac:dyDescent="0.35">
      <c r="C5" s="771" t="str">
        <f t="shared" ref="C5:C15" si="4">$C$3&amp;D5&amp;E5</f>
        <v>USVoiceL2</v>
      </c>
      <c r="D5" s="787" t="s">
        <v>266</v>
      </c>
      <c r="E5" s="788" t="s">
        <v>322</v>
      </c>
      <c r="F5" s="789" t="s">
        <v>414</v>
      </c>
      <c r="G5" s="852">
        <f t="shared" ref="G5:G13" si="5">AM5</f>
        <v>3635.1166666666668</v>
      </c>
      <c r="H5" s="853"/>
      <c r="I5" s="854">
        <f t="shared" ref="I5:I15" si="6">SUMPRODUCT(J5:K5,L5:M5)</f>
        <v>17.5</v>
      </c>
      <c r="J5" s="854">
        <f t="shared" ref="J5:J15" si="7">SUMPRODUCT($AP5:$AQ5,AR5:AS5)</f>
        <v>16</v>
      </c>
      <c r="K5" s="854">
        <f t="shared" ref="K5:K15" si="8">SUMPRODUCT($AP5:$AQ5,AT5:AU5)</f>
        <v>21</v>
      </c>
      <c r="L5" s="792">
        <f t="shared" ref="L5:L15" si="9">SUMPRODUCT($AP5:$AQ5,AV5:AW5)</f>
        <v>0.7</v>
      </c>
      <c r="M5" s="793">
        <f t="shared" ref="M5:M13" si="10">1-L5</f>
        <v>0.30000000000000004</v>
      </c>
      <c r="N5" s="855"/>
      <c r="O5" s="771"/>
      <c r="P5" s="852">
        <f t="shared" ref="P5:P13" si="11">SUMPRODUCT(S5:T5,V5:W5)</f>
        <v>50</v>
      </c>
      <c r="Q5" s="1571">
        <v>145</v>
      </c>
      <c r="R5" s="873"/>
      <c r="S5" s="1571">
        <v>50</v>
      </c>
      <c r="T5" s="1571">
        <v>150</v>
      </c>
      <c r="U5" s="771"/>
      <c r="V5" s="1572">
        <v>1</v>
      </c>
      <c r="W5" s="1572">
        <v>0</v>
      </c>
      <c r="Y5" s="846"/>
      <c r="Z5" s="856">
        <f>'US Salary'!I5</f>
        <v>17.5</v>
      </c>
      <c r="AA5" s="857"/>
      <c r="AB5" s="744">
        <f t="shared" ref="AB5:AB13" si="12">Z5*AA5</f>
        <v>0</v>
      </c>
      <c r="AC5" s="858">
        <f t="shared" ref="AC5:AC13" si="13">(Z5+AB5)*2080</f>
        <v>36400</v>
      </c>
      <c r="AD5" s="859">
        <v>9.0999999999999998E-2</v>
      </c>
      <c r="AE5" s="744">
        <f t="shared" si="0"/>
        <v>1.5925</v>
      </c>
      <c r="AF5" s="852">
        <v>7866</v>
      </c>
      <c r="AG5" s="860">
        <v>0.45</v>
      </c>
      <c r="AH5" s="744">
        <f t="shared" ref="AH5:AH13" si="14">(AF5*AG5)/2080</f>
        <v>1.7017788461538463</v>
      </c>
      <c r="AI5" s="861">
        <v>1.4999999999999999E-2</v>
      </c>
      <c r="AJ5" s="859">
        <f t="shared" ref="AJ5:AJ13" si="15">AG5</f>
        <v>0.45</v>
      </c>
      <c r="AK5" s="744">
        <f t="shared" si="1"/>
        <v>0.11812500000000001</v>
      </c>
      <c r="AL5" s="862">
        <f t="shared" ref="AL5:AL15" si="16">SUM(Z5,AB5,AE5,AH5,AK5,AO5)</f>
        <v>20.971826923076925</v>
      </c>
      <c r="AM5" s="863">
        <f t="shared" ref="AM5:AM13" si="17">AL5*2080/12</f>
        <v>3635.1166666666668</v>
      </c>
      <c r="AN5" s="864">
        <f t="shared" si="2"/>
        <v>0.19839010989010997</v>
      </c>
      <c r="AO5" s="744">
        <f t="shared" ref="AO5:AO15" si="18">(10.3)/(8*5*(52/12))</f>
        <v>5.9423076923076933E-2</v>
      </c>
      <c r="AP5" s="865">
        <f>AP4</f>
        <v>1</v>
      </c>
      <c r="AQ5" s="865">
        <f t="shared" si="3"/>
        <v>0</v>
      </c>
      <c r="AR5" s="866">
        <v>16</v>
      </c>
      <c r="AS5" s="867">
        <v>14</v>
      </c>
      <c r="AT5" s="867">
        <v>21</v>
      </c>
      <c r="AU5" s="867">
        <v>19</v>
      </c>
      <c r="AV5" s="868">
        <v>0.7</v>
      </c>
      <c r="AW5" s="868">
        <v>0.7</v>
      </c>
      <c r="AX5" s="869">
        <f t="shared" ref="AX5:AY15" si="19">1-AV5</f>
        <v>0.30000000000000004</v>
      </c>
      <c r="AY5" s="869">
        <f t="shared" si="19"/>
        <v>0.30000000000000004</v>
      </c>
    </row>
    <row r="6" spans="3:52" s="805" customFormat="1" x14ac:dyDescent="0.35">
      <c r="C6" s="771" t="str">
        <f t="shared" si="4"/>
        <v>USVoiceL3</v>
      </c>
      <c r="D6" s="787" t="s">
        <v>266</v>
      </c>
      <c r="E6" s="788" t="s">
        <v>323</v>
      </c>
      <c r="F6" s="789" t="s">
        <v>415</v>
      </c>
      <c r="G6" s="852">
        <f t="shared" si="5"/>
        <v>4110.8083333333334</v>
      </c>
      <c r="H6" s="853"/>
      <c r="I6" s="854">
        <f t="shared" si="6"/>
        <v>20</v>
      </c>
      <c r="J6" s="854">
        <f t="shared" si="7"/>
        <v>16</v>
      </c>
      <c r="K6" s="854">
        <f t="shared" si="8"/>
        <v>21</v>
      </c>
      <c r="L6" s="792">
        <f t="shared" si="9"/>
        <v>0.2</v>
      </c>
      <c r="M6" s="793">
        <f t="shared" si="10"/>
        <v>0.8</v>
      </c>
      <c r="N6" s="855"/>
      <c r="O6" s="771"/>
      <c r="P6" s="852">
        <f t="shared" si="11"/>
        <v>50</v>
      </c>
      <c r="Q6" s="1571">
        <v>145</v>
      </c>
      <c r="R6" s="873"/>
      <c r="S6" s="1571">
        <v>50</v>
      </c>
      <c r="T6" s="1571">
        <v>150</v>
      </c>
      <c r="U6" s="771"/>
      <c r="V6" s="1572">
        <v>1</v>
      </c>
      <c r="W6" s="1572">
        <v>0</v>
      </c>
      <c r="Y6" s="846"/>
      <c r="Z6" s="856">
        <f>'US Salary'!I6</f>
        <v>20</v>
      </c>
      <c r="AA6" s="857"/>
      <c r="AB6" s="744">
        <f t="shared" si="12"/>
        <v>0</v>
      </c>
      <c r="AC6" s="858">
        <f t="shared" si="13"/>
        <v>41600</v>
      </c>
      <c r="AD6" s="859">
        <v>9.0999999999999998E-2</v>
      </c>
      <c r="AE6" s="744">
        <f t="shared" si="0"/>
        <v>1.8199999999999998</v>
      </c>
      <c r="AF6" s="852">
        <v>7866</v>
      </c>
      <c r="AG6" s="860">
        <v>0.45</v>
      </c>
      <c r="AH6" s="744">
        <f t="shared" si="14"/>
        <v>1.7017788461538463</v>
      </c>
      <c r="AI6" s="861">
        <v>1.4999999999999999E-2</v>
      </c>
      <c r="AJ6" s="859">
        <f t="shared" si="15"/>
        <v>0.45</v>
      </c>
      <c r="AK6" s="744">
        <f t="shared" si="1"/>
        <v>0.13500000000000001</v>
      </c>
      <c r="AL6" s="862">
        <f t="shared" si="16"/>
        <v>23.716201923076927</v>
      </c>
      <c r="AM6" s="863">
        <f t="shared" si="17"/>
        <v>4110.8083333333334</v>
      </c>
      <c r="AN6" s="864">
        <f t="shared" si="2"/>
        <v>0.18581009615384625</v>
      </c>
      <c r="AO6" s="744">
        <f t="shared" si="18"/>
        <v>5.9423076923076933E-2</v>
      </c>
      <c r="AP6" s="865">
        <f t="shared" ref="AP6:AP15" si="20">AP5</f>
        <v>1</v>
      </c>
      <c r="AQ6" s="865">
        <f t="shared" si="3"/>
        <v>0</v>
      </c>
      <c r="AR6" s="866">
        <v>16</v>
      </c>
      <c r="AS6" s="867">
        <v>14</v>
      </c>
      <c r="AT6" s="867">
        <v>21</v>
      </c>
      <c r="AU6" s="867">
        <v>21</v>
      </c>
      <c r="AV6" s="868">
        <v>0.2</v>
      </c>
      <c r="AW6" s="868">
        <v>0.2</v>
      </c>
      <c r="AX6" s="869">
        <f t="shared" si="19"/>
        <v>0.8</v>
      </c>
      <c r="AY6" s="869">
        <f t="shared" si="19"/>
        <v>0.8</v>
      </c>
    </row>
    <row r="7" spans="3:52" s="805" customFormat="1" x14ac:dyDescent="0.35">
      <c r="C7" s="771" t="str">
        <f t="shared" si="4"/>
        <v>USVoiceL4</v>
      </c>
      <c r="D7" s="787" t="s">
        <v>266</v>
      </c>
      <c r="E7" s="788" t="s">
        <v>324</v>
      </c>
      <c r="F7" s="789" t="s">
        <v>338</v>
      </c>
      <c r="G7" s="852">
        <f t="shared" si="5"/>
        <v>4693.6000000000013</v>
      </c>
      <c r="H7" s="870"/>
      <c r="I7" s="854">
        <f t="shared" si="6"/>
        <v>22.500000000000004</v>
      </c>
      <c r="J7" s="854">
        <f t="shared" si="7"/>
        <v>16.5</v>
      </c>
      <c r="K7" s="854">
        <f t="shared" si="8"/>
        <v>24</v>
      </c>
      <c r="L7" s="792">
        <f t="shared" si="9"/>
        <v>0.2</v>
      </c>
      <c r="M7" s="793">
        <f t="shared" si="10"/>
        <v>0.8</v>
      </c>
      <c r="N7" s="855"/>
      <c r="O7" s="771"/>
      <c r="P7" s="852">
        <f t="shared" si="11"/>
        <v>50</v>
      </c>
      <c r="Q7" s="1571">
        <v>145</v>
      </c>
      <c r="R7" s="873"/>
      <c r="S7" s="1571">
        <v>50</v>
      </c>
      <c r="T7" s="1571">
        <v>150</v>
      </c>
      <c r="U7" s="771"/>
      <c r="V7" s="1572">
        <v>1</v>
      </c>
      <c r="W7" s="1572">
        <v>0</v>
      </c>
      <c r="Y7" s="846"/>
      <c r="Z7" s="856">
        <f>'US Salary'!I7</f>
        <v>22.500000000000004</v>
      </c>
      <c r="AA7" s="857"/>
      <c r="AB7" s="744">
        <f t="shared" si="12"/>
        <v>0</v>
      </c>
      <c r="AC7" s="858">
        <f t="shared" si="13"/>
        <v>46800.000000000007</v>
      </c>
      <c r="AD7" s="859">
        <v>9.0999999999999998E-2</v>
      </c>
      <c r="AE7" s="744">
        <f t="shared" si="0"/>
        <v>2.0475000000000003</v>
      </c>
      <c r="AF7" s="852">
        <v>7866</v>
      </c>
      <c r="AG7" s="860">
        <v>0.6</v>
      </c>
      <c r="AH7" s="744">
        <f t="shared" si="14"/>
        <v>2.2690384615384613</v>
      </c>
      <c r="AI7" s="861">
        <v>1.4999999999999999E-2</v>
      </c>
      <c r="AJ7" s="859">
        <f t="shared" si="15"/>
        <v>0.6</v>
      </c>
      <c r="AK7" s="744">
        <f t="shared" si="1"/>
        <v>0.20250000000000001</v>
      </c>
      <c r="AL7" s="862">
        <f t="shared" si="16"/>
        <v>27.078461538461543</v>
      </c>
      <c r="AM7" s="863">
        <f t="shared" si="17"/>
        <v>4693.6000000000013</v>
      </c>
      <c r="AN7" s="864">
        <f t="shared" si="2"/>
        <v>0.20348717948717954</v>
      </c>
      <c r="AO7" s="744">
        <f t="shared" si="18"/>
        <v>5.9423076923076933E-2</v>
      </c>
      <c r="AP7" s="865">
        <f t="shared" si="20"/>
        <v>1</v>
      </c>
      <c r="AQ7" s="865">
        <f t="shared" si="3"/>
        <v>0</v>
      </c>
      <c r="AR7" s="866">
        <v>16.5</v>
      </c>
      <c r="AS7" s="867">
        <v>14</v>
      </c>
      <c r="AT7" s="867">
        <v>24</v>
      </c>
      <c r="AU7" s="867">
        <v>24</v>
      </c>
      <c r="AV7" s="868">
        <v>0.2</v>
      </c>
      <c r="AW7" s="868">
        <v>0.2</v>
      </c>
      <c r="AX7" s="869">
        <f t="shared" si="19"/>
        <v>0.8</v>
      </c>
      <c r="AY7" s="869">
        <f t="shared" si="19"/>
        <v>0.8</v>
      </c>
    </row>
    <row r="8" spans="3:52" s="805" customFormat="1" x14ac:dyDescent="0.35">
      <c r="C8" s="771" t="str">
        <f t="shared" si="4"/>
        <v>USNon-voiceL1</v>
      </c>
      <c r="D8" s="787" t="s">
        <v>325</v>
      </c>
      <c r="E8" s="788" t="s">
        <v>321</v>
      </c>
      <c r="F8" s="789" t="s">
        <v>416</v>
      </c>
      <c r="G8" s="852">
        <f t="shared" si="5"/>
        <v>3406.7846666666669</v>
      </c>
      <c r="H8" s="853"/>
      <c r="I8" s="854">
        <f t="shared" si="6"/>
        <v>16.3</v>
      </c>
      <c r="J8" s="854">
        <f t="shared" si="7"/>
        <v>16</v>
      </c>
      <c r="K8" s="854">
        <f t="shared" si="8"/>
        <v>17</v>
      </c>
      <c r="L8" s="792">
        <f t="shared" si="9"/>
        <v>0.7</v>
      </c>
      <c r="M8" s="793">
        <f t="shared" si="10"/>
        <v>0.30000000000000004</v>
      </c>
      <c r="N8" s="855"/>
      <c r="O8" s="771"/>
      <c r="P8" s="852">
        <f t="shared" si="11"/>
        <v>50</v>
      </c>
      <c r="Q8" s="1571">
        <v>145</v>
      </c>
      <c r="R8" s="873"/>
      <c r="S8" s="1571">
        <v>50</v>
      </c>
      <c r="T8" s="1571">
        <v>150</v>
      </c>
      <c r="U8" s="771"/>
      <c r="V8" s="1572">
        <v>1</v>
      </c>
      <c r="W8" s="1572">
        <v>0</v>
      </c>
      <c r="Y8" s="846"/>
      <c r="Z8" s="856">
        <f>'US Salary'!I8</f>
        <v>16.3</v>
      </c>
      <c r="AA8" s="857"/>
      <c r="AB8" s="744">
        <f t="shared" si="12"/>
        <v>0</v>
      </c>
      <c r="AC8" s="858">
        <f t="shared" si="13"/>
        <v>33904</v>
      </c>
      <c r="AD8" s="859">
        <v>9.0999999999999998E-2</v>
      </c>
      <c r="AE8" s="744">
        <f t="shared" si="0"/>
        <v>1.4833000000000001</v>
      </c>
      <c r="AF8" s="852">
        <v>7866</v>
      </c>
      <c r="AG8" s="860">
        <v>0.45</v>
      </c>
      <c r="AH8" s="744">
        <f t="shared" si="14"/>
        <v>1.7017788461538463</v>
      </c>
      <c r="AI8" s="861">
        <v>1.4999999999999999E-2</v>
      </c>
      <c r="AJ8" s="859">
        <f t="shared" si="15"/>
        <v>0.45</v>
      </c>
      <c r="AK8" s="744">
        <f t="shared" si="1"/>
        <v>0.110025</v>
      </c>
      <c r="AL8" s="862">
        <f t="shared" si="16"/>
        <v>19.654526923076926</v>
      </c>
      <c r="AM8" s="863">
        <f t="shared" si="17"/>
        <v>3406.7846666666669</v>
      </c>
      <c r="AN8" s="864">
        <f t="shared" si="2"/>
        <v>0.20579919773478061</v>
      </c>
      <c r="AO8" s="744">
        <f t="shared" si="18"/>
        <v>5.9423076923076933E-2</v>
      </c>
      <c r="AP8" s="865">
        <f t="shared" si="20"/>
        <v>1</v>
      </c>
      <c r="AQ8" s="865">
        <f t="shared" si="3"/>
        <v>0</v>
      </c>
      <c r="AR8" s="866">
        <v>16</v>
      </c>
      <c r="AS8" s="867">
        <v>14</v>
      </c>
      <c r="AT8" s="867">
        <v>17</v>
      </c>
      <c r="AU8" s="867">
        <v>16</v>
      </c>
      <c r="AV8" s="871">
        <v>0.7</v>
      </c>
      <c r="AW8" s="871">
        <v>0.7</v>
      </c>
      <c r="AX8" s="869">
        <f t="shared" si="19"/>
        <v>0.30000000000000004</v>
      </c>
      <c r="AY8" s="869">
        <f t="shared" si="19"/>
        <v>0.30000000000000004</v>
      </c>
    </row>
    <row r="9" spans="3:52" s="805" customFormat="1" x14ac:dyDescent="0.35">
      <c r="C9" s="771" t="str">
        <f t="shared" si="4"/>
        <v>USNon-voiceL2</v>
      </c>
      <c r="D9" s="787" t="s">
        <v>325</v>
      </c>
      <c r="E9" s="788" t="s">
        <v>322</v>
      </c>
      <c r="F9" s="789" t="s">
        <v>417</v>
      </c>
      <c r="G9" s="852">
        <f t="shared" si="5"/>
        <v>3539.9783333333339</v>
      </c>
      <c r="H9" s="853"/>
      <c r="I9" s="854">
        <f t="shared" si="6"/>
        <v>17</v>
      </c>
      <c r="J9" s="854">
        <f t="shared" si="7"/>
        <v>16</v>
      </c>
      <c r="K9" s="854">
        <f t="shared" si="8"/>
        <v>18</v>
      </c>
      <c r="L9" s="792">
        <f t="shared" si="9"/>
        <v>0.5</v>
      </c>
      <c r="M9" s="793">
        <f t="shared" si="10"/>
        <v>0.5</v>
      </c>
      <c r="N9" s="855"/>
      <c r="O9" s="771"/>
      <c r="P9" s="852">
        <f t="shared" si="11"/>
        <v>50</v>
      </c>
      <c r="Q9" s="1571">
        <v>145</v>
      </c>
      <c r="R9" s="873"/>
      <c r="S9" s="1571">
        <v>50</v>
      </c>
      <c r="T9" s="1571">
        <v>150</v>
      </c>
      <c r="U9" s="771"/>
      <c r="V9" s="1572">
        <v>1</v>
      </c>
      <c r="W9" s="1572">
        <v>0</v>
      </c>
      <c r="Y9" s="846"/>
      <c r="Z9" s="856">
        <f>'US Salary'!I9</f>
        <v>17</v>
      </c>
      <c r="AA9" s="857"/>
      <c r="AB9" s="744">
        <f t="shared" si="12"/>
        <v>0</v>
      </c>
      <c r="AC9" s="858">
        <f t="shared" si="13"/>
        <v>35360</v>
      </c>
      <c r="AD9" s="859">
        <v>9.0999999999999998E-2</v>
      </c>
      <c r="AE9" s="744">
        <f t="shared" si="0"/>
        <v>1.5469999999999999</v>
      </c>
      <c r="AF9" s="852">
        <v>7866</v>
      </c>
      <c r="AG9" s="860">
        <v>0.45</v>
      </c>
      <c r="AH9" s="744">
        <f t="shared" si="14"/>
        <v>1.7017788461538463</v>
      </c>
      <c r="AI9" s="861">
        <v>1.4999999999999999E-2</v>
      </c>
      <c r="AJ9" s="859">
        <f t="shared" si="15"/>
        <v>0.45</v>
      </c>
      <c r="AK9" s="744">
        <f t="shared" si="1"/>
        <v>0.11475</v>
      </c>
      <c r="AL9" s="862">
        <f t="shared" si="16"/>
        <v>20.422951923076926</v>
      </c>
      <c r="AM9" s="863">
        <f t="shared" si="17"/>
        <v>3539.9783333333339</v>
      </c>
      <c r="AN9" s="864">
        <f t="shared" si="2"/>
        <v>0.20135011312217221</v>
      </c>
      <c r="AO9" s="744">
        <f t="shared" si="18"/>
        <v>5.9423076923076933E-2</v>
      </c>
      <c r="AP9" s="865">
        <f t="shared" si="20"/>
        <v>1</v>
      </c>
      <c r="AQ9" s="865">
        <f t="shared" si="3"/>
        <v>0</v>
      </c>
      <c r="AR9" s="866">
        <v>16</v>
      </c>
      <c r="AS9" s="867">
        <v>14</v>
      </c>
      <c r="AT9" s="867">
        <v>18</v>
      </c>
      <c r="AU9" s="867">
        <v>19</v>
      </c>
      <c r="AV9" s="871">
        <v>0.5</v>
      </c>
      <c r="AW9" s="871">
        <v>0.7</v>
      </c>
      <c r="AX9" s="869">
        <f t="shared" si="19"/>
        <v>0.5</v>
      </c>
      <c r="AY9" s="869">
        <f t="shared" si="19"/>
        <v>0.30000000000000004</v>
      </c>
    </row>
    <row r="10" spans="3:52" s="805" customFormat="1" x14ac:dyDescent="0.35">
      <c r="C10" s="771" t="str">
        <f t="shared" si="4"/>
        <v>USBackofficeL1</v>
      </c>
      <c r="D10" s="787" t="s">
        <v>326</v>
      </c>
      <c r="E10" s="788" t="s">
        <v>321</v>
      </c>
      <c r="F10" s="789" t="s">
        <v>418</v>
      </c>
      <c r="G10" s="852">
        <f t="shared" si="5"/>
        <v>3406.7846666666669</v>
      </c>
      <c r="H10" s="853"/>
      <c r="I10" s="854">
        <f t="shared" si="6"/>
        <v>16.3</v>
      </c>
      <c r="J10" s="854">
        <f t="shared" si="7"/>
        <v>16</v>
      </c>
      <c r="K10" s="854">
        <f t="shared" si="8"/>
        <v>17</v>
      </c>
      <c r="L10" s="792">
        <f t="shared" si="9"/>
        <v>0.7</v>
      </c>
      <c r="M10" s="793">
        <f t="shared" si="10"/>
        <v>0.30000000000000004</v>
      </c>
      <c r="N10" s="855"/>
      <c r="O10" s="771"/>
      <c r="P10" s="852">
        <f t="shared" si="11"/>
        <v>50</v>
      </c>
      <c r="Q10" s="1571">
        <v>145</v>
      </c>
      <c r="R10" s="873"/>
      <c r="S10" s="1571">
        <v>50</v>
      </c>
      <c r="T10" s="1571">
        <v>150</v>
      </c>
      <c r="U10" s="771"/>
      <c r="V10" s="1572">
        <v>1</v>
      </c>
      <c r="W10" s="1572">
        <v>0</v>
      </c>
      <c r="Y10" s="846"/>
      <c r="Z10" s="856">
        <f>'US Salary'!I10</f>
        <v>16.3</v>
      </c>
      <c r="AA10" s="857"/>
      <c r="AB10" s="744">
        <f t="shared" si="12"/>
        <v>0</v>
      </c>
      <c r="AC10" s="858">
        <f t="shared" si="13"/>
        <v>33904</v>
      </c>
      <c r="AD10" s="859">
        <v>9.0999999999999998E-2</v>
      </c>
      <c r="AE10" s="744">
        <f t="shared" si="0"/>
        <v>1.4833000000000001</v>
      </c>
      <c r="AF10" s="852">
        <v>7866</v>
      </c>
      <c r="AG10" s="860">
        <v>0.45</v>
      </c>
      <c r="AH10" s="744">
        <f t="shared" si="14"/>
        <v>1.7017788461538463</v>
      </c>
      <c r="AI10" s="861">
        <v>1.4999999999999999E-2</v>
      </c>
      <c r="AJ10" s="859">
        <f t="shared" si="15"/>
        <v>0.45</v>
      </c>
      <c r="AK10" s="744">
        <f t="shared" si="1"/>
        <v>0.110025</v>
      </c>
      <c r="AL10" s="862">
        <f t="shared" si="16"/>
        <v>19.654526923076926</v>
      </c>
      <c r="AM10" s="863">
        <f t="shared" si="17"/>
        <v>3406.7846666666669</v>
      </c>
      <c r="AN10" s="864">
        <f t="shared" si="2"/>
        <v>0.20579919773478061</v>
      </c>
      <c r="AO10" s="744">
        <f t="shared" si="18"/>
        <v>5.9423076923076933E-2</v>
      </c>
      <c r="AP10" s="865">
        <f t="shared" si="20"/>
        <v>1</v>
      </c>
      <c r="AQ10" s="865">
        <f t="shared" si="3"/>
        <v>0</v>
      </c>
      <c r="AR10" s="866">
        <v>16</v>
      </c>
      <c r="AS10" s="867">
        <v>14</v>
      </c>
      <c r="AT10" s="867">
        <v>17</v>
      </c>
      <c r="AU10" s="867">
        <v>15</v>
      </c>
      <c r="AV10" s="868">
        <v>0.7</v>
      </c>
      <c r="AW10" s="868">
        <v>0.8</v>
      </c>
      <c r="AX10" s="869">
        <f t="shared" si="19"/>
        <v>0.30000000000000004</v>
      </c>
      <c r="AY10" s="869">
        <f t="shared" si="19"/>
        <v>0.19999999999999996</v>
      </c>
      <c r="AZ10" s="771"/>
    </row>
    <row r="11" spans="3:52" x14ac:dyDescent="0.35">
      <c r="C11" s="771" t="str">
        <f t="shared" si="4"/>
        <v>USBackofficeL2</v>
      </c>
      <c r="D11" s="787" t="s">
        <v>326</v>
      </c>
      <c r="E11" s="788" t="s">
        <v>322</v>
      </c>
      <c r="F11" s="789" t="s">
        <v>419</v>
      </c>
      <c r="G11" s="852">
        <f t="shared" si="5"/>
        <v>3539.9783333333339</v>
      </c>
      <c r="H11" s="853"/>
      <c r="I11" s="854">
        <f t="shared" si="6"/>
        <v>17</v>
      </c>
      <c r="J11" s="854">
        <f t="shared" si="7"/>
        <v>16</v>
      </c>
      <c r="K11" s="854">
        <f t="shared" si="8"/>
        <v>18</v>
      </c>
      <c r="L11" s="792">
        <f t="shared" si="9"/>
        <v>0.5</v>
      </c>
      <c r="M11" s="793">
        <f t="shared" si="10"/>
        <v>0.5</v>
      </c>
      <c r="N11" s="855"/>
      <c r="P11" s="852">
        <f t="shared" si="11"/>
        <v>50</v>
      </c>
      <c r="Q11" s="1571">
        <v>145</v>
      </c>
      <c r="R11" s="873"/>
      <c r="S11" s="1571">
        <v>50</v>
      </c>
      <c r="T11" s="1571">
        <v>150</v>
      </c>
      <c r="V11" s="1572">
        <v>1</v>
      </c>
      <c r="W11" s="1572">
        <v>0</v>
      </c>
      <c r="Z11" s="856">
        <f>'US Salary'!I11</f>
        <v>17</v>
      </c>
      <c r="AA11" s="857"/>
      <c r="AB11" s="744">
        <f t="shared" si="12"/>
        <v>0</v>
      </c>
      <c r="AC11" s="858">
        <f t="shared" si="13"/>
        <v>35360</v>
      </c>
      <c r="AD11" s="859">
        <v>9.0999999999999998E-2</v>
      </c>
      <c r="AE11" s="744">
        <f t="shared" si="0"/>
        <v>1.5469999999999999</v>
      </c>
      <c r="AF11" s="852">
        <v>7866</v>
      </c>
      <c r="AG11" s="860">
        <v>0.45</v>
      </c>
      <c r="AH11" s="744">
        <f t="shared" si="14"/>
        <v>1.7017788461538463</v>
      </c>
      <c r="AI11" s="861">
        <v>1.4999999999999999E-2</v>
      </c>
      <c r="AJ11" s="859">
        <f t="shared" si="15"/>
        <v>0.45</v>
      </c>
      <c r="AK11" s="744">
        <f t="shared" si="1"/>
        <v>0.11475</v>
      </c>
      <c r="AL11" s="862">
        <f t="shared" si="16"/>
        <v>20.422951923076926</v>
      </c>
      <c r="AM11" s="863">
        <f t="shared" si="17"/>
        <v>3539.9783333333339</v>
      </c>
      <c r="AN11" s="864">
        <f t="shared" si="2"/>
        <v>0.20135011312217221</v>
      </c>
      <c r="AO11" s="744">
        <f t="shared" si="18"/>
        <v>5.9423076923076933E-2</v>
      </c>
      <c r="AP11" s="865">
        <f t="shared" si="20"/>
        <v>1</v>
      </c>
      <c r="AQ11" s="865">
        <f t="shared" si="3"/>
        <v>0</v>
      </c>
      <c r="AR11" s="866">
        <v>16</v>
      </c>
      <c r="AS11" s="867">
        <v>14</v>
      </c>
      <c r="AT11" s="867">
        <v>18</v>
      </c>
      <c r="AU11" s="867">
        <v>16</v>
      </c>
      <c r="AV11" s="871">
        <v>0.5</v>
      </c>
      <c r="AW11" s="871">
        <v>0.2</v>
      </c>
      <c r="AX11" s="869">
        <f t="shared" si="19"/>
        <v>0.5</v>
      </c>
      <c r="AY11" s="869">
        <f t="shared" si="19"/>
        <v>0.8</v>
      </c>
    </row>
    <row r="12" spans="3:52" x14ac:dyDescent="0.35">
      <c r="C12" s="771" t="str">
        <f t="shared" si="4"/>
        <v>USBackofficeL3</v>
      </c>
      <c r="D12" s="787" t="s">
        <v>326</v>
      </c>
      <c r="E12" s="788" t="s">
        <v>323</v>
      </c>
      <c r="F12" s="789" t="s">
        <v>420</v>
      </c>
      <c r="G12" s="852">
        <f t="shared" si="5"/>
        <v>3730.2550000000006</v>
      </c>
      <c r="H12" s="853"/>
      <c r="I12" s="854">
        <f t="shared" si="6"/>
        <v>18</v>
      </c>
      <c r="J12" s="854">
        <f t="shared" si="7"/>
        <v>16</v>
      </c>
      <c r="K12" s="854">
        <f t="shared" si="8"/>
        <v>18.5</v>
      </c>
      <c r="L12" s="792">
        <f t="shared" si="9"/>
        <v>0.2</v>
      </c>
      <c r="M12" s="793">
        <f t="shared" si="10"/>
        <v>0.8</v>
      </c>
      <c r="N12" s="855"/>
      <c r="P12" s="852">
        <f t="shared" si="11"/>
        <v>50</v>
      </c>
      <c r="Q12" s="1571">
        <v>145</v>
      </c>
      <c r="R12" s="873"/>
      <c r="S12" s="1571">
        <v>50</v>
      </c>
      <c r="T12" s="1571">
        <v>150</v>
      </c>
      <c r="V12" s="1572">
        <v>1</v>
      </c>
      <c r="W12" s="1572">
        <v>0</v>
      </c>
      <c r="Z12" s="856">
        <f>'US Salary'!I12</f>
        <v>18</v>
      </c>
      <c r="AA12" s="857"/>
      <c r="AB12" s="744">
        <f t="shared" si="12"/>
        <v>0</v>
      </c>
      <c r="AC12" s="858">
        <f t="shared" si="13"/>
        <v>37440</v>
      </c>
      <c r="AD12" s="859">
        <v>9.0999999999999998E-2</v>
      </c>
      <c r="AE12" s="744">
        <f t="shared" si="0"/>
        <v>1.6379999999999999</v>
      </c>
      <c r="AF12" s="852">
        <v>7866</v>
      </c>
      <c r="AG12" s="860">
        <v>0.45</v>
      </c>
      <c r="AH12" s="744">
        <f t="shared" si="14"/>
        <v>1.7017788461538463</v>
      </c>
      <c r="AI12" s="861">
        <v>1.4999999999999999E-2</v>
      </c>
      <c r="AJ12" s="859">
        <f t="shared" si="15"/>
        <v>0.45</v>
      </c>
      <c r="AK12" s="744">
        <f t="shared" si="1"/>
        <v>0.12150000000000001</v>
      </c>
      <c r="AL12" s="862">
        <f t="shared" si="16"/>
        <v>21.520701923076924</v>
      </c>
      <c r="AM12" s="863">
        <f t="shared" si="17"/>
        <v>3730.2550000000006</v>
      </c>
      <c r="AN12" s="864">
        <f t="shared" si="2"/>
        <v>0.19559455128205139</v>
      </c>
      <c r="AO12" s="744">
        <f t="shared" si="18"/>
        <v>5.9423076923076933E-2</v>
      </c>
      <c r="AP12" s="865">
        <f t="shared" si="20"/>
        <v>1</v>
      </c>
      <c r="AQ12" s="865">
        <f t="shared" si="3"/>
        <v>0</v>
      </c>
      <c r="AR12" s="866">
        <v>16</v>
      </c>
      <c r="AS12" s="867">
        <v>14</v>
      </c>
      <c r="AT12" s="867">
        <v>18.5</v>
      </c>
      <c r="AU12" s="867">
        <v>18</v>
      </c>
      <c r="AV12" s="871">
        <v>0.2</v>
      </c>
      <c r="AW12" s="871">
        <v>0.3</v>
      </c>
      <c r="AX12" s="869">
        <f t="shared" si="19"/>
        <v>0.8</v>
      </c>
      <c r="AY12" s="869">
        <f t="shared" si="19"/>
        <v>0.7</v>
      </c>
    </row>
    <row r="13" spans="3:52" x14ac:dyDescent="0.35">
      <c r="C13" s="771" t="str">
        <f t="shared" si="4"/>
        <v>USBackofficeL4</v>
      </c>
      <c r="D13" s="787" t="s">
        <v>326</v>
      </c>
      <c r="E13" s="788" t="s">
        <v>324</v>
      </c>
      <c r="F13" s="789" t="s">
        <v>344</v>
      </c>
      <c r="G13" s="852">
        <f t="shared" si="5"/>
        <v>5433.2433333333329</v>
      </c>
      <c r="H13" s="853"/>
      <c r="I13" s="854">
        <f t="shared" si="6"/>
        <v>26</v>
      </c>
      <c r="J13" s="854">
        <f t="shared" si="7"/>
        <v>24</v>
      </c>
      <c r="K13" s="854">
        <f t="shared" si="8"/>
        <v>28</v>
      </c>
      <c r="L13" s="792">
        <f t="shared" si="9"/>
        <v>0.5</v>
      </c>
      <c r="M13" s="793">
        <f t="shared" si="10"/>
        <v>0.5</v>
      </c>
      <c r="N13" s="855"/>
      <c r="P13" s="852">
        <f t="shared" si="11"/>
        <v>50</v>
      </c>
      <c r="Q13" s="1571">
        <v>145</v>
      </c>
      <c r="R13" s="873"/>
      <c r="S13" s="1571">
        <v>50</v>
      </c>
      <c r="T13" s="1571">
        <v>150</v>
      </c>
      <c r="V13" s="1572">
        <v>1</v>
      </c>
      <c r="W13" s="1572">
        <v>0</v>
      </c>
      <c r="Y13" s="743"/>
      <c r="Z13" s="856">
        <f>'US Salary'!I13</f>
        <v>26</v>
      </c>
      <c r="AA13" s="857"/>
      <c r="AB13" s="744">
        <f t="shared" si="12"/>
        <v>0</v>
      </c>
      <c r="AC13" s="858">
        <f t="shared" si="13"/>
        <v>54080</v>
      </c>
      <c r="AD13" s="859">
        <v>9.0999999999999998E-2</v>
      </c>
      <c r="AE13" s="744">
        <f t="shared" si="0"/>
        <v>2.3660000000000001</v>
      </c>
      <c r="AF13" s="852">
        <v>7866</v>
      </c>
      <c r="AG13" s="860">
        <v>0.7</v>
      </c>
      <c r="AH13" s="744">
        <f t="shared" si="14"/>
        <v>2.6472115384615384</v>
      </c>
      <c r="AI13" s="861">
        <v>1.4999999999999999E-2</v>
      </c>
      <c r="AJ13" s="859">
        <f t="shared" si="15"/>
        <v>0.7</v>
      </c>
      <c r="AK13" s="744">
        <f t="shared" si="1"/>
        <v>0.27299999999999996</v>
      </c>
      <c r="AL13" s="862">
        <f t="shared" si="16"/>
        <v>31.345634615384615</v>
      </c>
      <c r="AM13" s="863">
        <f t="shared" si="17"/>
        <v>5433.2433333333329</v>
      </c>
      <c r="AN13" s="864">
        <f t="shared" si="2"/>
        <v>0.20560133136094683</v>
      </c>
      <c r="AO13" s="744">
        <f t="shared" si="18"/>
        <v>5.9423076923076933E-2</v>
      </c>
      <c r="AP13" s="865">
        <f t="shared" si="20"/>
        <v>1</v>
      </c>
      <c r="AQ13" s="865">
        <f t="shared" si="3"/>
        <v>0</v>
      </c>
      <c r="AR13" s="866">
        <v>24</v>
      </c>
      <c r="AS13" s="867">
        <v>24</v>
      </c>
      <c r="AT13" s="867">
        <v>28</v>
      </c>
      <c r="AU13" s="867">
        <v>28</v>
      </c>
      <c r="AV13" s="871">
        <v>0.5</v>
      </c>
      <c r="AW13" s="871">
        <v>0.5</v>
      </c>
      <c r="AX13" s="869">
        <f t="shared" si="19"/>
        <v>0.5</v>
      </c>
      <c r="AY13" s="869">
        <f t="shared" si="19"/>
        <v>0.5</v>
      </c>
    </row>
    <row r="14" spans="3:52" x14ac:dyDescent="0.35">
      <c r="C14" s="771" t="str">
        <f t="shared" si="4"/>
        <v>USBackofficeL5</v>
      </c>
      <c r="D14" s="787" t="s">
        <v>326</v>
      </c>
      <c r="E14" s="788" t="s">
        <v>327</v>
      </c>
      <c r="F14" s="789" t="s">
        <v>421</v>
      </c>
      <c r="G14" s="852">
        <f>AM14</f>
        <v>6387.8766666666661</v>
      </c>
      <c r="H14" s="853"/>
      <c r="I14" s="854">
        <f t="shared" si="6"/>
        <v>31</v>
      </c>
      <c r="J14" s="854">
        <f t="shared" si="7"/>
        <v>28</v>
      </c>
      <c r="K14" s="854">
        <f t="shared" si="8"/>
        <v>34</v>
      </c>
      <c r="L14" s="792">
        <f t="shared" si="9"/>
        <v>0.5</v>
      </c>
      <c r="M14" s="793">
        <f>1-L14</f>
        <v>0.5</v>
      </c>
      <c r="N14" s="855"/>
      <c r="P14" s="852">
        <f>SUMPRODUCT(S14:T14,V14:W14)</f>
        <v>50</v>
      </c>
      <c r="Q14" s="1571">
        <v>145</v>
      </c>
      <c r="R14" s="873"/>
      <c r="S14" s="1571">
        <v>50</v>
      </c>
      <c r="T14" s="1571">
        <v>150</v>
      </c>
      <c r="V14" s="1572">
        <v>1</v>
      </c>
      <c r="W14" s="1572">
        <v>0</v>
      </c>
      <c r="Z14" s="856">
        <f>'US Salary'!I14</f>
        <v>31</v>
      </c>
      <c r="AA14" s="857"/>
      <c r="AB14" s="744">
        <f>Z14*AA14</f>
        <v>0</v>
      </c>
      <c r="AC14" s="858">
        <f>(Z14+AB14)*2080</f>
        <v>64480</v>
      </c>
      <c r="AD14" s="859">
        <v>9.0999999999999998E-2</v>
      </c>
      <c r="AE14" s="744">
        <f>Z14*AD14</f>
        <v>2.8209999999999997</v>
      </c>
      <c r="AF14" s="852">
        <v>7866</v>
      </c>
      <c r="AG14" s="860">
        <v>0.7</v>
      </c>
      <c r="AH14" s="744">
        <f>(AF14*AG14)/2080</f>
        <v>2.6472115384615384</v>
      </c>
      <c r="AI14" s="861">
        <v>1.4999999999999999E-2</v>
      </c>
      <c r="AJ14" s="859">
        <f>AG14</f>
        <v>0.7</v>
      </c>
      <c r="AK14" s="744">
        <f>Z14*AI14*AJ14</f>
        <v>0.32549999999999996</v>
      </c>
      <c r="AL14" s="862">
        <f t="shared" si="16"/>
        <v>36.853134615384612</v>
      </c>
      <c r="AM14" s="863">
        <f>AL14*2080/12</f>
        <v>6387.8766666666661</v>
      </c>
      <c r="AN14" s="864">
        <f>IFERROR((AL14-AB14)/Z14-1,0)</f>
        <v>0.18881079404466483</v>
      </c>
      <c r="AO14" s="744">
        <f t="shared" si="18"/>
        <v>5.9423076923076933E-2</v>
      </c>
      <c r="AP14" s="865">
        <f t="shared" si="20"/>
        <v>1</v>
      </c>
      <c r="AQ14" s="865">
        <f t="shared" si="3"/>
        <v>0</v>
      </c>
      <c r="AR14" s="866">
        <v>28</v>
      </c>
      <c r="AS14" s="867">
        <v>28</v>
      </c>
      <c r="AT14" s="867">
        <v>34</v>
      </c>
      <c r="AU14" s="867">
        <v>34</v>
      </c>
      <c r="AV14" s="871">
        <v>0.5</v>
      </c>
      <c r="AW14" s="871">
        <v>0.5</v>
      </c>
      <c r="AX14" s="869">
        <f t="shared" si="19"/>
        <v>0.5</v>
      </c>
      <c r="AY14" s="869">
        <f t="shared" si="19"/>
        <v>0.5</v>
      </c>
      <c r="AZ14" s="805"/>
    </row>
    <row r="15" spans="3:52" s="805" customFormat="1" x14ac:dyDescent="0.35">
      <c r="C15" s="771" t="str">
        <f t="shared" si="4"/>
        <v>USBackofficeL6</v>
      </c>
      <c r="D15" s="787" t="s">
        <v>326</v>
      </c>
      <c r="E15" s="788" t="s">
        <v>331</v>
      </c>
      <c r="F15" s="789" t="s">
        <v>422</v>
      </c>
      <c r="G15" s="852">
        <f>AM15</f>
        <v>6387.8766666666661</v>
      </c>
      <c r="H15" s="853"/>
      <c r="I15" s="854">
        <f t="shared" si="6"/>
        <v>31</v>
      </c>
      <c r="J15" s="854">
        <f t="shared" si="7"/>
        <v>28</v>
      </c>
      <c r="K15" s="854">
        <f t="shared" si="8"/>
        <v>34</v>
      </c>
      <c r="L15" s="792">
        <f t="shared" si="9"/>
        <v>0.5</v>
      </c>
      <c r="M15" s="793">
        <f>1-L15</f>
        <v>0.5</v>
      </c>
      <c r="N15" s="855"/>
      <c r="O15" s="771"/>
      <c r="P15" s="852">
        <f>SUMPRODUCT(S15:T15,V15:W15)</f>
        <v>50</v>
      </c>
      <c r="Q15" s="1571">
        <v>145</v>
      </c>
      <c r="R15" s="873"/>
      <c r="S15" s="1571">
        <v>50</v>
      </c>
      <c r="T15" s="1571">
        <v>150</v>
      </c>
      <c r="U15" s="771"/>
      <c r="V15" s="1572">
        <v>1</v>
      </c>
      <c r="W15" s="1572">
        <v>0</v>
      </c>
      <c r="Y15" s="846"/>
      <c r="Z15" s="856">
        <f>'US Salary'!I15</f>
        <v>31</v>
      </c>
      <c r="AA15" s="857"/>
      <c r="AB15" s="744">
        <f>Z15*AA15</f>
        <v>0</v>
      </c>
      <c r="AC15" s="858">
        <f>(Z15+AB15)*2080</f>
        <v>64480</v>
      </c>
      <c r="AD15" s="859">
        <v>9.0999999999999998E-2</v>
      </c>
      <c r="AE15" s="744">
        <f>Z15*AD15</f>
        <v>2.8209999999999997</v>
      </c>
      <c r="AF15" s="852">
        <v>7866</v>
      </c>
      <c r="AG15" s="860">
        <v>0.7</v>
      </c>
      <c r="AH15" s="744">
        <f>(AF15*AG15)/2080</f>
        <v>2.6472115384615384</v>
      </c>
      <c r="AI15" s="861">
        <v>1.4999999999999999E-2</v>
      </c>
      <c r="AJ15" s="859">
        <f>AG15</f>
        <v>0.7</v>
      </c>
      <c r="AK15" s="744">
        <f>Z15*AI15*AJ15</f>
        <v>0.32549999999999996</v>
      </c>
      <c r="AL15" s="862">
        <f t="shared" si="16"/>
        <v>36.853134615384612</v>
      </c>
      <c r="AM15" s="863">
        <f>AL15*2080/12</f>
        <v>6387.8766666666661</v>
      </c>
      <c r="AN15" s="864">
        <f>IFERROR((AL15-AB15)/Z15-1,0)</f>
        <v>0.18881079404466483</v>
      </c>
      <c r="AO15" s="744">
        <f t="shared" si="18"/>
        <v>5.9423076923076933E-2</v>
      </c>
      <c r="AP15" s="865">
        <f t="shared" si="20"/>
        <v>1</v>
      </c>
      <c r="AQ15" s="865">
        <f t="shared" si="3"/>
        <v>0</v>
      </c>
      <c r="AR15" s="866">
        <v>28</v>
      </c>
      <c r="AS15" s="867">
        <v>28</v>
      </c>
      <c r="AT15" s="867">
        <v>34</v>
      </c>
      <c r="AU15" s="867">
        <v>34</v>
      </c>
      <c r="AV15" s="871">
        <v>0.5</v>
      </c>
      <c r="AW15" s="871">
        <v>0.5</v>
      </c>
      <c r="AX15" s="869">
        <f t="shared" si="19"/>
        <v>0.5</v>
      </c>
      <c r="AY15" s="869">
        <f t="shared" si="19"/>
        <v>0.5</v>
      </c>
      <c r="AZ15" s="771"/>
    </row>
    <row r="16" spans="3:52" x14ac:dyDescent="0.35">
      <c r="G16" s="872"/>
      <c r="AF16" s="873"/>
    </row>
    <row r="17" spans="5:41" ht="29" x14ac:dyDescent="0.35">
      <c r="E17" s="774" t="s">
        <v>265</v>
      </c>
      <c r="F17" s="775"/>
      <c r="G17" s="775" t="s">
        <v>423</v>
      </c>
      <c r="I17" s="781" t="s">
        <v>424</v>
      </c>
      <c r="J17" s="781" t="str">
        <f>D11&amp;E11</f>
        <v>BackofficeL2</v>
      </c>
      <c r="K17" s="781" t="str">
        <f>D12&amp;E12</f>
        <v>BackofficeL3</v>
      </c>
      <c r="L17" s="781" t="s">
        <v>425</v>
      </c>
      <c r="M17" s="781" t="str">
        <f>D14&amp;E14</f>
        <v>BackofficeL5</v>
      </c>
      <c r="N17" s="781" t="str">
        <f>D15&amp;E15</f>
        <v>BackofficeL6</v>
      </c>
      <c r="P17" s="820" t="s">
        <v>370</v>
      </c>
      <c r="Q17" s="820" t="s">
        <v>328</v>
      </c>
      <c r="AB17" s="874"/>
      <c r="AC17" s="874"/>
      <c r="AD17" s="874"/>
      <c r="AE17" s="874"/>
      <c r="AF17" s="873"/>
    </row>
    <row r="18" spans="5:41" x14ac:dyDescent="0.35">
      <c r="E18" s="788" t="s">
        <v>204</v>
      </c>
      <c r="F18" s="789"/>
      <c r="G18" s="852">
        <f>AM18</f>
        <v>4526.9966666666669</v>
      </c>
      <c r="I18" s="1488">
        <v>22</v>
      </c>
      <c r="J18" s="856">
        <f>I18</f>
        <v>22</v>
      </c>
      <c r="K18" s="856">
        <v>22</v>
      </c>
      <c r="L18" s="856">
        <v>29</v>
      </c>
      <c r="M18" s="856">
        <v>32</v>
      </c>
      <c r="N18" s="856">
        <f>M18</f>
        <v>32</v>
      </c>
      <c r="P18" s="794">
        <v>0.04</v>
      </c>
      <c r="Q18" s="852">
        <f>Q14</f>
        <v>145</v>
      </c>
      <c r="Y18" s="875" t="str">
        <f t="shared" ref="Y18:Y33" si="21">E18</f>
        <v>TL</v>
      </c>
      <c r="Z18" s="856">
        <f>I18</f>
        <v>22</v>
      </c>
      <c r="AA18" s="857"/>
      <c r="AB18" s="744">
        <f t="shared" ref="AB18:AB33" si="22">Z18*AA18</f>
        <v>0</v>
      </c>
      <c r="AC18" s="858">
        <f t="shared" ref="AC18:AC33" si="23">(Z18+AB18)*2080</f>
        <v>45760</v>
      </c>
      <c r="AD18" s="859">
        <v>9.0999999999999998E-2</v>
      </c>
      <c r="AE18" s="744">
        <f t="shared" ref="AE18:AE33" si="24">Z18*AD18</f>
        <v>2.0019999999999998</v>
      </c>
      <c r="AF18" s="852">
        <v>7866</v>
      </c>
      <c r="AG18" s="860">
        <v>0.5</v>
      </c>
      <c r="AH18" s="744">
        <f t="shared" ref="AH18:AH33" si="25">(AF18*AG18)/2080</f>
        <v>1.8908653846153847</v>
      </c>
      <c r="AI18" s="861">
        <v>1.4999999999999999E-2</v>
      </c>
      <c r="AJ18" s="859">
        <f t="shared" ref="AJ18:AJ33" si="26">AG18</f>
        <v>0.5</v>
      </c>
      <c r="AK18" s="744">
        <f t="shared" ref="AK18:AK33" si="27">Z18*AI18*AJ18</f>
        <v>0.16499999999999998</v>
      </c>
      <c r="AL18" s="862">
        <f>SUM(Z18,AB18,AE18,AH18,AK18,AO18)</f>
        <v>26.117288461538461</v>
      </c>
      <c r="AM18" s="863">
        <f t="shared" ref="AM18:AM33" si="28">AL18*2080/12</f>
        <v>4526.9966666666669</v>
      </c>
      <c r="AN18" s="864">
        <f t="shared" ref="AN18:AN33" si="29">IFERROR((AL18-AB18)/Z18-1,0)</f>
        <v>0.18714947552447558</v>
      </c>
      <c r="AO18" s="744">
        <f t="shared" ref="AO18:AO33" si="30">(10.3)/(8*5*(52/12))</f>
        <v>5.9423076923076933E-2</v>
      </c>
    </row>
    <row r="19" spans="5:41" x14ac:dyDescent="0.35">
      <c r="E19" s="788" t="s">
        <v>267</v>
      </c>
      <c r="F19" s="789"/>
      <c r="G19" s="852">
        <f t="shared" ref="G19:G33" si="31">AM19</f>
        <v>5456.2666666666664</v>
      </c>
      <c r="I19" s="1488">
        <v>26.5</v>
      </c>
      <c r="J19" s="856">
        <f t="shared" ref="J19:L30" si="32">I19</f>
        <v>26.5</v>
      </c>
      <c r="K19" s="856">
        <f t="shared" si="32"/>
        <v>26.5</v>
      </c>
      <c r="L19" s="856">
        <v>30</v>
      </c>
      <c r="M19" s="856">
        <v>35</v>
      </c>
      <c r="N19" s="856">
        <f t="shared" ref="N19:N30" si="33">M19</f>
        <v>35</v>
      </c>
      <c r="Y19" s="875" t="str">
        <f t="shared" si="21"/>
        <v>AM</v>
      </c>
      <c r="Z19" s="856">
        <f t="shared" ref="Z19:Z30" si="34">I19</f>
        <v>26.5</v>
      </c>
      <c r="AA19" s="857"/>
      <c r="AB19" s="744">
        <f t="shared" si="22"/>
        <v>0</v>
      </c>
      <c r="AC19" s="858">
        <f t="shared" si="23"/>
        <v>55120</v>
      </c>
      <c r="AD19" s="859">
        <v>9.0999999999999998E-2</v>
      </c>
      <c r="AE19" s="744">
        <f t="shared" si="24"/>
        <v>2.4114999999999998</v>
      </c>
      <c r="AF19" s="852">
        <v>7866</v>
      </c>
      <c r="AG19" s="860">
        <v>0.6</v>
      </c>
      <c r="AH19" s="744">
        <f t="shared" si="25"/>
        <v>2.2690384615384613</v>
      </c>
      <c r="AI19" s="861">
        <v>1.4999999999999999E-2</v>
      </c>
      <c r="AJ19" s="859">
        <f t="shared" si="26"/>
        <v>0.6</v>
      </c>
      <c r="AK19" s="744">
        <f t="shared" si="27"/>
        <v>0.23849999999999996</v>
      </c>
      <c r="AL19" s="862">
        <f t="shared" ref="AL19:AL33" si="35">SUM(Z19,AB19,AE19,AH19,AK19,AO19)</f>
        <v>31.478461538461538</v>
      </c>
      <c r="AM19" s="863">
        <f t="shared" si="28"/>
        <v>5456.2666666666664</v>
      </c>
      <c r="AN19" s="864">
        <f t="shared" si="29"/>
        <v>0.1878664731494919</v>
      </c>
      <c r="AO19" s="744">
        <f t="shared" si="30"/>
        <v>5.9423076923076933E-2</v>
      </c>
    </row>
    <row r="20" spans="5:41" x14ac:dyDescent="0.35">
      <c r="E20" s="788" t="s">
        <v>205</v>
      </c>
      <c r="F20" s="789"/>
      <c r="G20" s="852">
        <f t="shared" si="31"/>
        <v>7519.2666666666673</v>
      </c>
      <c r="I20" s="1488">
        <v>32.5</v>
      </c>
      <c r="J20" s="856">
        <f t="shared" si="32"/>
        <v>32.5</v>
      </c>
      <c r="K20" s="856">
        <f t="shared" si="32"/>
        <v>32.5</v>
      </c>
      <c r="L20" s="856">
        <f>I20</f>
        <v>32.5</v>
      </c>
      <c r="M20" s="856">
        <v>38.46</v>
      </c>
      <c r="N20" s="856">
        <f t="shared" si="33"/>
        <v>38.46</v>
      </c>
      <c r="Y20" s="875" t="str">
        <f t="shared" si="21"/>
        <v>Ops Manager</v>
      </c>
      <c r="Z20" s="856">
        <f t="shared" si="34"/>
        <v>32.5</v>
      </c>
      <c r="AA20" s="857">
        <v>0.15</v>
      </c>
      <c r="AB20" s="744">
        <f t="shared" si="22"/>
        <v>4.875</v>
      </c>
      <c r="AC20" s="858">
        <f t="shared" si="23"/>
        <v>77740</v>
      </c>
      <c r="AD20" s="859">
        <v>9.0999999999999998E-2</v>
      </c>
      <c r="AE20" s="744">
        <f t="shared" si="24"/>
        <v>2.9575</v>
      </c>
      <c r="AF20" s="852">
        <v>7866</v>
      </c>
      <c r="AG20" s="860">
        <v>0.7</v>
      </c>
      <c r="AH20" s="744">
        <f t="shared" si="25"/>
        <v>2.6472115384615384</v>
      </c>
      <c r="AI20" s="861">
        <v>1.4999999999999999E-2</v>
      </c>
      <c r="AJ20" s="859">
        <f t="shared" si="26"/>
        <v>0.7</v>
      </c>
      <c r="AK20" s="744">
        <f t="shared" si="27"/>
        <v>0.34125</v>
      </c>
      <c r="AL20" s="862">
        <f t="shared" si="35"/>
        <v>43.380384615384621</v>
      </c>
      <c r="AM20" s="863">
        <f t="shared" si="28"/>
        <v>7519.2666666666673</v>
      </c>
      <c r="AN20" s="864">
        <f t="shared" si="29"/>
        <v>0.18478106508875758</v>
      </c>
      <c r="AO20" s="744">
        <f t="shared" si="30"/>
        <v>5.9423076923076933E-2</v>
      </c>
    </row>
    <row r="21" spans="5:41" x14ac:dyDescent="0.35">
      <c r="E21" s="788" t="s">
        <v>250</v>
      </c>
      <c r="F21" s="789"/>
      <c r="G21" s="852">
        <f t="shared" si="31"/>
        <v>9222.1666666666661</v>
      </c>
      <c r="I21" s="1488">
        <v>40</v>
      </c>
      <c r="J21" s="856">
        <f t="shared" si="32"/>
        <v>40</v>
      </c>
      <c r="K21" s="856">
        <f t="shared" si="32"/>
        <v>40</v>
      </c>
      <c r="L21" s="856">
        <f>I21</f>
        <v>40</v>
      </c>
      <c r="M21" s="856">
        <f t="shared" ref="M21:M30" si="36">L21</f>
        <v>40</v>
      </c>
      <c r="N21" s="856">
        <f t="shared" si="33"/>
        <v>40</v>
      </c>
      <c r="Y21" s="875" t="str">
        <f t="shared" si="21"/>
        <v>Sr Manager</v>
      </c>
      <c r="Z21" s="856">
        <f t="shared" si="34"/>
        <v>40</v>
      </c>
      <c r="AA21" s="857">
        <v>0.15</v>
      </c>
      <c r="AB21" s="744">
        <f t="shared" si="22"/>
        <v>6</v>
      </c>
      <c r="AC21" s="858">
        <f t="shared" si="23"/>
        <v>95680</v>
      </c>
      <c r="AD21" s="859">
        <v>9.0999999999999998E-2</v>
      </c>
      <c r="AE21" s="744">
        <f t="shared" si="24"/>
        <v>3.6399999999999997</v>
      </c>
      <c r="AF21" s="852">
        <v>7866</v>
      </c>
      <c r="AG21" s="860">
        <v>0.8</v>
      </c>
      <c r="AH21" s="744">
        <f t="shared" si="25"/>
        <v>3.0253846153846156</v>
      </c>
      <c r="AI21" s="861">
        <v>1.4999999999999999E-2</v>
      </c>
      <c r="AJ21" s="859">
        <f t="shared" si="26"/>
        <v>0.8</v>
      </c>
      <c r="AK21" s="744">
        <f t="shared" si="27"/>
        <v>0.48</v>
      </c>
      <c r="AL21" s="862">
        <f t="shared" si="35"/>
        <v>53.204807692307689</v>
      </c>
      <c r="AM21" s="863">
        <f t="shared" si="28"/>
        <v>9222.1666666666661</v>
      </c>
      <c r="AN21" s="864">
        <f t="shared" si="29"/>
        <v>0.18012019230769227</v>
      </c>
      <c r="AO21" s="744">
        <f t="shared" si="30"/>
        <v>5.9423076923076933E-2</v>
      </c>
    </row>
    <row r="22" spans="5:41" x14ac:dyDescent="0.35">
      <c r="E22" s="788" t="s">
        <v>371</v>
      </c>
      <c r="F22" s="789"/>
      <c r="G22" s="852">
        <f t="shared" si="31"/>
        <v>11037.690000000002</v>
      </c>
      <c r="I22" s="1488">
        <v>48</v>
      </c>
      <c r="J22" s="856">
        <f t="shared" si="32"/>
        <v>48</v>
      </c>
      <c r="K22" s="856">
        <f t="shared" si="32"/>
        <v>48</v>
      </c>
      <c r="L22" s="856">
        <f>I22</f>
        <v>48</v>
      </c>
      <c r="M22" s="856">
        <f t="shared" si="36"/>
        <v>48</v>
      </c>
      <c r="N22" s="856">
        <f t="shared" si="33"/>
        <v>48</v>
      </c>
      <c r="Y22" s="875" t="str">
        <f t="shared" si="21"/>
        <v>DGM / AD</v>
      </c>
      <c r="Z22" s="856">
        <f t="shared" si="34"/>
        <v>48</v>
      </c>
      <c r="AA22" s="857">
        <v>0.15</v>
      </c>
      <c r="AB22" s="744">
        <f t="shared" si="22"/>
        <v>7.1999999999999993</v>
      </c>
      <c r="AC22" s="858">
        <f t="shared" si="23"/>
        <v>114816</v>
      </c>
      <c r="AD22" s="859">
        <v>9.0999999999999998E-2</v>
      </c>
      <c r="AE22" s="744">
        <f t="shared" si="24"/>
        <v>4.3680000000000003</v>
      </c>
      <c r="AF22" s="852">
        <v>7866</v>
      </c>
      <c r="AG22" s="860">
        <v>0.9</v>
      </c>
      <c r="AH22" s="744">
        <f t="shared" si="25"/>
        <v>3.4035576923076927</v>
      </c>
      <c r="AI22" s="861">
        <v>1.4999999999999999E-2</v>
      </c>
      <c r="AJ22" s="859">
        <f t="shared" si="26"/>
        <v>0.9</v>
      </c>
      <c r="AK22" s="744">
        <f t="shared" si="27"/>
        <v>0.64800000000000002</v>
      </c>
      <c r="AL22" s="862">
        <f t="shared" si="35"/>
        <v>63.678980769230776</v>
      </c>
      <c r="AM22" s="863">
        <f t="shared" si="28"/>
        <v>11037.690000000002</v>
      </c>
      <c r="AN22" s="864">
        <f t="shared" si="29"/>
        <v>0.1766454326923077</v>
      </c>
      <c r="AO22" s="744">
        <f t="shared" si="30"/>
        <v>5.9423076923076933E-2</v>
      </c>
    </row>
    <row r="23" spans="5:41" x14ac:dyDescent="0.35">
      <c r="E23" s="788" t="s">
        <v>372</v>
      </c>
      <c r="F23" s="789"/>
      <c r="G23" s="852">
        <f t="shared" si="31"/>
        <v>13212.156666666668</v>
      </c>
      <c r="I23" s="1488">
        <v>58</v>
      </c>
      <c r="J23" s="856">
        <f t="shared" si="32"/>
        <v>58</v>
      </c>
      <c r="K23" s="856">
        <f t="shared" si="32"/>
        <v>58</v>
      </c>
      <c r="L23" s="856">
        <f>I23</f>
        <v>58</v>
      </c>
      <c r="M23" s="856">
        <f t="shared" si="36"/>
        <v>58</v>
      </c>
      <c r="N23" s="856">
        <f t="shared" si="33"/>
        <v>58</v>
      </c>
      <c r="Y23" s="875" t="str">
        <f t="shared" si="21"/>
        <v>GM / Director</v>
      </c>
      <c r="Z23" s="856">
        <f t="shared" si="34"/>
        <v>58</v>
      </c>
      <c r="AA23" s="857">
        <v>0.15</v>
      </c>
      <c r="AB23" s="744">
        <f t="shared" si="22"/>
        <v>8.6999999999999993</v>
      </c>
      <c r="AC23" s="858">
        <f t="shared" si="23"/>
        <v>138736</v>
      </c>
      <c r="AD23" s="859">
        <v>9.0999999999999998E-2</v>
      </c>
      <c r="AE23" s="744">
        <f t="shared" si="24"/>
        <v>5.2779999999999996</v>
      </c>
      <c r="AF23" s="852">
        <v>7866</v>
      </c>
      <c r="AG23" s="860">
        <v>0.9</v>
      </c>
      <c r="AH23" s="744">
        <f t="shared" si="25"/>
        <v>3.4035576923076927</v>
      </c>
      <c r="AI23" s="861">
        <v>1.4999999999999999E-2</v>
      </c>
      <c r="AJ23" s="859">
        <f t="shared" si="26"/>
        <v>0.9</v>
      </c>
      <c r="AK23" s="744">
        <f t="shared" si="27"/>
        <v>0.78300000000000003</v>
      </c>
      <c r="AL23" s="862">
        <f t="shared" si="35"/>
        <v>76.223980769230778</v>
      </c>
      <c r="AM23" s="863">
        <f t="shared" si="28"/>
        <v>13212.156666666668</v>
      </c>
      <c r="AN23" s="864">
        <f t="shared" si="29"/>
        <v>0.16420656498673747</v>
      </c>
      <c r="AO23" s="744">
        <f t="shared" si="30"/>
        <v>5.9423076923076933E-2</v>
      </c>
    </row>
    <row r="24" spans="5:41" x14ac:dyDescent="0.35">
      <c r="E24" s="788" t="s">
        <v>373</v>
      </c>
      <c r="F24" s="789"/>
      <c r="G24" s="852">
        <f t="shared" si="31"/>
        <v>15169.176666666664</v>
      </c>
      <c r="I24" s="1488">
        <v>67</v>
      </c>
      <c r="J24" s="856">
        <f t="shared" si="32"/>
        <v>67</v>
      </c>
      <c r="K24" s="856">
        <f t="shared" si="32"/>
        <v>67</v>
      </c>
      <c r="L24" s="856">
        <f>I24</f>
        <v>67</v>
      </c>
      <c r="M24" s="856">
        <f t="shared" si="36"/>
        <v>67</v>
      </c>
      <c r="N24" s="856">
        <f t="shared" si="33"/>
        <v>67</v>
      </c>
      <c r="Y24" s="875" t="str">
        <f t="shared" si="21"/>
        <v>AVP / VP</v>
      </c>
      <c r="Z24" s="856">
        <f t="shared" si="34"/>
        <v>67</v>
      </c>
      <c r="AA24" s="857">
        <v>0.15</v>
      </c>
      <c r="AB24" s="744">
        <f t="shared" si="22"/>
        <v>10.049999999999999</v>
      </c>
      <c r="AC24" s="858">
        <f t="shared" si="23"/>
        <v>160264</v>
      </c>
      <c r="AD24" s="859">
        <v>9.0999999999999998E-2</v>
      </c>
      <c r="AE24" s="744">
        <f t="shared" si="24"/>
        <v>6.0969999999999995</v>
      </c>
      <c r="AF24" s="852">
        <v>7866</v>
      </c>
      <c r="AG24" s="860">
        <v>0.9</v>
      </c>
      <c r="AH24" s="744">
        <f t="shared" si="25"/>
        <v>3.4035576923076927</v>
      </c>
      <c r="AI24" s="861">
        <v>1.4999999999999999E-2</v>
      </c>
      <c r="AJ24" s="859">
        <f t="shared" si="26"/>
        <v>0.9</v>
      </c>
      <c r="AK24" s="744">
        <f t="shared" si="27"/>
        <v>0.90449999999999997</v>
      </c>
      <c r="AL24" s="862">
        <f t="shared" si="35"/>
        <v>87.514480769230758</v>
      </c>
      <c r="AM24" s="863">
        <f t="shared" si="28"/>
        <v>15169.176666666664</v>
      </c>
      <c r="AN24" s="864">
        <f t="shared" si="29"/>
        <v>0.15618628013777247</v>
      </c>
      <c r="AO24" s="744">
        <f t="shared" si="30"/>
        <v>5.9423076923076933E-2</v>
      </c>
    </row>
    <row r="25" spans="5:41" x14ac:dyDescent="0.35">
      <c r="E25" s="788" t="s">
        <v>374</v>
      </c>
      <c r="F25" s="789"/>
      <c r="G25" s="852">
        <f t="shared" si="31"/>
        <v>4526.9966666666669</v>
      </c>
      <c r="I25" s="1488">
        <v>22</v>
      </c>
      <c r="J25" s="856">
        <f>J18</f>
        <v>22</v>
      </c>
      <c r="K25" s="856">
        <f>K18</f>
        <v>22</v>
      </c>
      <c r="L25" s="856">
        <f>L18</f>
        <v>29</v>
      </c>
      <c r="M25" s="856">
        <v>32</v>
      </c>
      <c r="N25" s="856">
        <f t="shared" si="33"/>
        <v>32</v>
      </c>
      <c r="Y25" s="875" t="str">
        <f t="shared" si="21"/>
        <v>SME</v>
      </c>
      <c r="Z25" s="856">
        <f t="shared" si="34"/>
        <v>22</v>
      </c>
      <c r="AA25" s="857"/>
      <c r="AB25" s="744">
        <f t="shared" si="22"/>
        <v>0</v>
      </c>
      <c r="AC25" s="858">
        <f t="shared" si="23"/>
        <v>45760</v>
      </c>
      <c r="AD25" s="859">
        <v>9.0999999999999998E-2</v>
      </c>
      <c r="AE25" s="744">
        <f t="shared" si="24"/>
        <v>2.0019999999999998</v>
      </c>
      <c r="AF25" s="852">
        <v>7866</v>
      </c>
      <c r="AG25" s="860">
        <v>0.5</v>
      </c>
      <c r="AH25" s="744">
        <f t="shared" si="25"/>
        <v>1.8908653846153847</v>
      </c>
      <c r="AI25" s="861">
        <v>1.4999999999999999E-2</v>
      </c>
      <c r="AJ25" s="859">
        <f t="shared" si="26"/>
        <v>0.5</v>
      </c>
      <c r="AK25" s="744">
        <f t="shared" si="27"/>
        <v>0.16499999999999998</v>
      </c>
      <c r="AL25" s="862">
        <f t="shared" si="35"/>
        <v>26.117288461538461</v>
      </c>
      <c r="AM25" s="863">
        <f t="shared" si="28"/>
        <v>4526.9966666666669</v>
      </c>
      <c r="AN25" s="864">
        <f t="shared" si="29"/>
        <v>0.18714947552447558</v>
      </c>
      <c r="AO25" s="744">
        <f t="shared" si="30"/>
        <v>5.9423076923076933E-2</v>
      </c>
    </row>
    <row r="26" spans="5:41" x14ac:dyDescent="0.35">
      <c r="E26" s="788" t="s">
        <v>47</v>
      </c>
      <c r="F26" s="789"/>
      <c r="G26" s="852">
        <f t="shared" si="31"/>
        <v>4526.9966666666669</v>
      </c>
      <c r="I26" s="1488">
        <v>22</v>
      </c>
      <c r="J26" s="856">
        <f>J18</f>
        <v>22</v>
      </c>
      <c r="K26" s="856">
        <f>K18</f>
        <v>22</v>
      </c>
      <c r="L26" s="856">
        <f>L18</f>
        <v>29</v>
      </c>
      <c r="M26" s="856">
        <f>M25</f>
        <v>32</v>
      </c>
      <c r="N26" s="856">
        <f t="shared" si="33"/>
        <v>32</v>
      </c>
      <c r="Y26" s="875" t="str">
        <f t="shared" si="21"/>
        <v>QA</v>
      </c>
      <c r="Z26" s="856">
        <f t="shared" si="34"/>
        <v>22</v>
      </c>
      <c r="AA26" s="857"/>
      <c r="AB26" s="744">
        <f t="shared" si="22"/>
        <v>0</v>
      </c>
      <c r="AC26" s="858">
        <f t="shared" si="23"/>
        <v>45760</v>
      </c>
      <c r="AD26" s="859">
        <v>9.0999999999999998E-2</v>
      </c>
      <c r="AE26" s="744">
        <f t="shared" si="24"/>
        <v>2.0019999999999998</v>
      </c>
      <c r="AF26" s="852">
        <v>7866</v>
      </c>
      <c r="AG26" s="860">
        <v>0.5</v>
      </c>
      <c r="AH26" s="744">
        <f t="shared" si="25"/>
        <v>1.8908653846153847</v>
      </c>
      <c r="AI26" s="861">
        <v>1.4999999999999999E-2</v>
      </c>
      <c r="AJ26" s="859">
        <f t="shared" si="26"/>
        <v>0.5</v>
      </c>
      <c r="AK26" s="744">
        <f t="shared" si="27"/>
        <v>0.16499999999999998</v>
      </c>
      <c r="AL26" s="862">
        <f t="shared" si="35"/>
        <v>26.117288461538461</v>
      </c>
      <c r="AM26" s="863">
        <f t="shared" si="28"/>
        <v>4526.9966666666669</v>
      </c>
      <c r="AN26" s="864">
        <f t="shared" si="29"/>
        <v>0.18714947552447558</v>
      </c>
      <c r="AO26" s="744">
        <f t="shared" si="30"/>
        <v>5.9423076923076933E-2</v>
      </c>
    </row>
    <row r="27" spans="5:41" x14ac:dyDescent="0.35">
      <c r="E27" s="788" t="s">
        <v>46</v>
      </c>
      <c r="F27" s="789"/>
      <c r="G27" s="852">
        <f t="shared" si="31"/>
        <v>4526.9966666666669</v>
      </c>
      <c r="I27" s="1488">
        <v>22</v>
      </c>
      <c r="J27" s="856">
        <f>J18</f>
        <v>22</v>
      </c>
      <c r="K27" s="856">
        <f>K18</f>
        <v>22</v>
      </c>
      <c r="L27" s="856">
        <f>L18</f>
        <v>29</v>
      </c>
      <c r="M27" s="856">
        <f t="shared" ref="M27" si="37">M26</f>
        <v>32</v>
      </c>
      <c r="N27" s="856">
        <f t="shared" si="33"/>
        <v>32</v>
      </c>
      <c r="Y27" s="875" t="str">
        <f t="shared" si="21"/>
        <v>Trainer</v>
      </c>
      <c r="Z27" s="856">
        <f t="shared" si="34"/>
        <v>22</v>
      </c>
      <c r="AA27" s="857"/>
      <c r="AB27" s="744">
        <f t="shared" si="22"/>
        <v>0</v>
      </c>
      <c r="AC27" s="858">
        <f t="shared" si="23"/>
        <v>45760</v>
      </c>
      <c r="AD27" s="859">
        <v>9.0999999999999998E-2</v>
      </c>
      <c r="AE27" s="744">
        <f t="shared" si="24"/>
        <v>2.0019999999999998</v>
      </c>
      <c r="AF27" s="852">
        <v>7866</v>
      </c>
      <c r="AG27" s="860">
        <v>0.5</v>
      </c>
      <c r="AH27" s="744">
        <f t="shared" si="25"/>
        <v>1.8908653846153847</v>
      </c>
      <c r="AI27" s="861">
        <v>1.4999999999999999E-2</v>
      </c>
      <c r="AJ27" s="859">
        <f t="shared" si="26"/>
        <v>0.5</v>
      </c>
      <c r="AK27" s="744">
        <f t="shared" si="27"/>
        <v>0.16499999999999998</v>
      </c>
      <c r="AL27" s="862">
        <f t="shared" si="35"/>
        <v>26.117288461538461</v>
      </c>
      <c r="AM27" s="863">
        <f t="shared" si="28"/>
        <v>4526.9966666666669</v>
      </c>
      <c r="AN27" s="864">
        <f t="shared" si="29"/>
        <v>0.18714947552447558</v>
      </c>
      <c r="AO27" s="744">
        <f t="shared" si="30"/>
        <v>5.9423076923076933E-2</v>
      </c>
    </row>
    <row r="28" spans="5:41" x14ac:dyDescent="0.35">
      <c r="E28" s="788" t="s">
        <v>206</v>
      </c>
      <c r="F28" s="789"/>
      <c r="G28" s="852">
        <f t="shared" si="31"/>
        <v>3384.5566666666673</v>
      </c>
      <c r="I28" s="1488">
        <v>16</v>
      </c>
      <c r="J28" s="856">
        <f t="shared" si="32"/>
        <v>16</v>
      </c>
      <c r="K28" s="856">
        <f t="shared" si="32"/>
        <v>16</v>
      </c>
      <c r="L28" s="856">
        <f t="shared" si="32"/>
        <v>16</v>
      </c>
      <c r="M28" s="856">
        <v>18</v>
      </c>
      <c r="N28" s="856">
        <f t="shared" si="33"/>
        <v>18</v>
      </c>
      <c r="Y28" s="875" t="str">
        <f t="shared" si="21"/>
        <v>RTA/WFM</v>
      </c>
      <c r="Z28" s="856">
        <f t="shared" si="34"/>
        <v>16</v>
      </c>
      <c r="AA28" s="857"/>
      <c r="AB28" s="744">
        <f t="shared" si="22"/>
        <v>0</v>
      </c>
      <c r="AC28" s="858">
        <f t="shared" si="23"/>
        <v>33280</v>
      </c>
      <c r="AD28" s="859">
        <v>9.0999999999999998E-2</v>
      </c>
      <c r="AE28" s="744">
        <f t="shared" si="24"/>
        <v>1.456</v>
      </c>
      <c r="AF28" s="852">
        <v>7866</v>
      </c>
      <c r="AG28" s="860">
        <v>0.5</v>
      </c>
      <c r="AH28" s="744">
        <f t="shared" si="25"/>
        <v>1.8908653846153847</v>
      </c>
      <c r="AI28" s="861">
        <v>1.4999999999999999E-2</v>
      </c>
      <c r="AJ28" s="859">
        <f t="shared" si="26"/>
        <v>0.5</v>
      </c>
      <c r="AK28" s="744">
        <f t="shared" si="27"/>
        <v>0.12</v>
      </c>
      <c r="AL28" s="862">
        <f t="shared" si="35"/>
        <v>19.526288461538464</v>
      </c>
      <c r="AM28" s="863">
        <f t="shared" si="28"/>
        <v>3384.5566666666673</v>
      </c>
      <c r="AN28" s="864">
        <f t="shared" si="29"/>
        <v>0.22039302884615397</v>
      </c>
      <c r="AO28" s="744">
        <f t="shared" si="30"/>
        <v>5.9423076923076933E-2</v>
      </c>
    </row>
    <row r="29" spans="5:41" x14ac:dyDescent="0.35">
      <c r="E29" s="788" t="s">
        <v>375</v>
      </c>
      <c r="F29" s="789"/>
      <c r="G29" s="852">
        <f t="shared" si="31"/>
        <v>8258.1166666666668</v>
      </c>
      <c r="I29" s="1488">
        <v>40</v>
      </c>
      <c r="J29" s="856">
        <f t="shared" si="32"/>
        <v>40</v>
      </c>
      <c r="K29" s="856">
        <f t="shared" si="32"/>
        <v>40</v>
      </c>
      <c r="L29" s="856">
        <f>I29</f>
        <v>40</v>
      </c>
      <c r="M29" s="856">
        <f t="shared" si="36"/>
        <v>40</v>
      </c>
      <c r="N29" s="856">
        <f t="shared" si="33"/>
        <v>40</v>
      </c>
      <c r="Y29" s="875" t="str">
        <f t="shared" si="21"/>
        <v>Transition Resource</v>
      </c>
      <c r="Z29" s="856">
        <f t="shared" si="34"/>
        <v>40</v>
      </c>
      <c r="AA29" s="857"/>
      <c r="AB29" s="744">
        <f t="shared" si="22"/>
        <v>0</v>
      </c>
      <c r="AC29" s="858">
        <f t="shared" si="23"/>
        <v>83200</v>
      </c>
      <c r="AD29" s="859">
        <v>9.0999999999999998E-2</v>
      </c>
      <c r="AE29" s="744">
        <f t="shared" si="24"/>
        <v>3.6399999999999997</v>
      </c>
      <c r="AF29" s="852">
        <v>7866</v>
      </c>
      <c r="AG29" s="860">
        <v>0.9</v>
      </c>
      <c r="AH29" s="744">
        <f t="shared" si="25"/>
        <v>3.4035576923076927</v>
      </c>
      <c r="AI29" s="861">
        <v>1.4999999999999999E-2</v>
      </c>
      <c r="AJ29" s="859">
        <f t="shared" si="26"/>
        <v>0.9</v>
      </c>
      <c r="AK29" s="744">
        <f t="shared" si="27"/>
        <v>0.54</v>
      </c>
      <c r="AL29" s="862">
        <f t="shared" si="35"/>
        <v>47.642980769230768</v>
      </c>
      <c r="AM29" s="863">
        <f t="shared" si="28"/>
        <v>8258.1166666666668</v>
      </c>
      <c r="AN29" s="864">
        <f t="shared" si="29"/>
        <v>0.19107451923076924</v>
      </c>
      <c r="AO29" s="744">
        <f t="shared" si="30"/>
        <v>5.9423076923076933E-2</v>
      </c>
    </row>
    <row r="30" spans="5:41" x14ac:dyDescent="0.35">
      <c r="E30" s="788" t="s">
        <v>376</v>
      </c>
      <c r="F30" s="789"/>
      <c r="G30" s="852">
        <f t="shared" si="31"/>
        <v>8258.1166666666668</v>
      </c>
      <c r="I30" s="1488">
        <v>40</v>
      </c>
      <c r="J30" s="856">
        <f t="shared" si="32"/>
        <v>40</v>
      </c>
      <c r="K30" s="856">
        <f t="shared" si="32"/>
        <v>40</v>
      </c>
      <c r="L30" s="856">
        <f>I30</f>
        <v>40</v>
      </c>
      <c r="M30" s="856">
        <f t="shared" si="36"/>
        <v>40</v>
      </c>
      <c r="N30" s="856">
        <f t="shared" si="33"/>
        <v>40</v>
      </c>
      <c r="Y30" s="875" t="str">
        <f t="shared" si="21"/>
        <v>PEx Resource</v>
      </c>
      <c r="Z30" s="856">
        <f t="shared" si="34"/>
        <v>40</v>
      </c>
      <c r="AA30" s="857"/>
      <c r="AB30" s="744">
        <f t="shared" si="22"/>
        <v>0</v>
      </c>
      <c r="AC30" s="858">
        <f t="shared" si="23"/>
        <v>83200</v>
      </c>
      <c r="AD30" s="859">
        <v>9.0999999999999998E-2</v>
      </c>
      <c r="AE30" s="744">
        <f t="shared" si="24"/>
        <v>3.6399999999999997</v>
      </c>
      <c r="AF30" s="852">
        <v>7866</v>
      </c>
      <c r="AG30" s="860">
        <v>0.9</v>
      </c>
      <c r="AH30" s="744">
        <f t="shared" si="25"/>
        <v>3.4035576923076927</v>
      </c>
      <c r="AI30" s="861">
        <v>1.4999999999999999E-2</v>
      </c>
      <c r="AJ30" s="859">
        <f t="shared" si="26"/>
        <v>0.9</v>
      </c>
      <c r="AK30" s="744">
        <f t="shared" si="27"/>
        <v>0.54</v>
      </c>
      <c r="AL30" s="862">
        <f t="shared" si="35"/>
        <v>47.642980769230768</v>
      </c>
      <c r="AM30" s="863">
        <f t="shared" si="28"/>
        <v>8258.1166666666668</v>
      </c>
      <c r="AN30" s="864">
        <f t="shared" si="29"/>
        <v>0.19107451923076924</v>
      </c>
      <c r="AO30" s="744">
        <f t="shared" si="30"/>
        <v>5.9423076923076933E-2</v>
      </c>
    </row>
    <row r="31" spans="5:41" x14ac:dyDescent="0.35">
      <c r="E31" s="788" t="s">
        <v>377</v>
      </c>
      <c r="F31" s="789"/>
      <c r="G31" s="852">
        <f t="shared" si="31"/>
        <v>10.300000000000002</v>
      </c>
      <c r="I31" s="856"/>
      <c r="J31" s="856"/>
      <c r="K31" s="856"/>
      <c r="L31" s="856"/>
      <c r="M31" s="856"/>
      <c r="N31" s="856"/>
      <c r="Y31" s="875" t="str">
        <f t="shared" si="21"/>
        <v>Additional Resource 1</v>
      </c>
      <c r="Z31" s="856"/>
      <c r="AA31" s="857"/>
      <c r="AB31" s="744">
        <f t="shared" si="22"/>
        <v>0</v>
      </c>
      <c r="AC31" s="858">
        <f t="shared" si="23"/>
        <v>0</v>
      </c>
      <c r="AD31" s="859">
        <v>9.0999999999999998E-2</v>
      </c>
      <c r="AE31" s="744">
        <f t="shared" si="24"/>
        <v>0</v>
      </c>
      <c r="AF31" s="852">
        <v>0</v>
      </c>
      <c r="AG31" s="860">
        <v>0.3</v>
      </c>
      <c r="AH31" s="744">
        <f t="shared" si="25"/>
        <v>0</v>
      </c>
      <c r="AI31" s="861">
        <v>1.4999999999999999E-2</v>
      </c>
      <c r="AJ31" s="859">
        <f t="shared" si="26"/>
        <v>0.3</v>
      </c>
      <c r="AK31" s="744">
        <f t="shared" si="27"/>
        <v>0</v>
      </c>
      <c r="AL31" s="862">
        <f t="shared" si="35"/>
        <v>5.9423076923076933E-2</v>
      </c>
      <c r="AM31" s="863">
        <f t="shared" si="28"/>
        <v>10.300000000000002</v>
      </c>
      <c r="AN31" s="864">
        <f t="shared" si="29"/>
        <v>0</v>
      </c>
      <c r="AO31" s="744">
        <f t="shared" si="30"/>
        <v>5.9423076923076933E-2</v>
      </c>
    </row>
    <row r="32" spans="5:41" x14ac:dyDescent="0.35">
      <c r="E32" s="788" t="s">
        <v>378</v>
      </c>
      <c r="F32" s="789"/>
      <c r="G32" s="852">
        <f t="shared" si="31"/>
        <v>10.300000000000002</v>
      </c>
      <c r="I32" s="856"/>
      <c r="J32" s="856"/>
      <c r="K32" s="856"/>
      <c r="L32" s="856"/>
      <c r="M32" s="856"/>
      <c r="N32" s="856"/>
      <c r="Y32" s="875" t="str">
        <f t="shared" si="21"/>
        <v>Additional Resource 2</v>
      </c>
      <c r="Z32" s="856"/>
      <c r="AA32" s="857"/>
      <c r="AB32" s="744">
        <f t="shared" si="22"/>
        <v>0</v>
      </c>
      <c r="AC32" s="858">
        <f t="shared" si="23"/>
        <v>0</v>
      </c>
      <c r="AD32" s="859">
        <v>9.0999999999999998E-2</v>
      </c>
      <c r="AE32" s="744">
        <f t="shared" si="24"/>
        <v>0</v>
      </c>
      <c r="AF32" s="852">
        <v>0</v>
      </c>
      <c r="AG32" s="860">
        <v>0.3</v>
      </c>
      <c r="AH32" s="744">
        <f t="shared" si="25"/>
        <v>0</v>
      </c>
      <c r="AI32" s="861">
        <v>1.4999999999999999E-2</v>
      </c>
      <c r="AJ32" s="859">
        <f t="shared" si="26"/>
        <v>0.3</v>
      </c>
      <c r="AK32" s="744">
        <f t="shared" si="27"/>
        <v>0</v>
      </c>
      <c r="AL32" s="862">
        <f t="shared" si="35"/>
        <v>5.9423076923076933E-2</v>
      </c>
      <c r="AM32" s="863">
        <f t="shared" si="28"/>
        <v>10.300000000000002</v>
      </c>
      <c r="AN32" s="864">
        <f t="shared" si="29"/>
        <v>0</v>
      </c>
      <c r="AO32" s="744">
        <f t="shared" si="30"/>
        <v>5.9423076923076933E-2</v>
      </c>
    </row>
    <row r="33" spans="5:41" x14ac:dyDescent="0.35">
      <c r="E33" s="788" t="s">
        <v>379</v>
      </c>
      <c r="F33" s="789"/>
      <c r="G33" s="852">
        <f t="shared" si="31"/>
        <v>10.300000000000002</v>
      </c>
      <c r="I33" s="856"/>
      <c r="J33" s="856"/>
      <c r="K33" s="856"/>
      <c r="L33" s="856"/>
      <c r="M33" s="856"/>
      <c r="N33" s="856"/>
      <c r="Y33" s="875" t="str">
        <f t="shared" si="21"/>
        <v>Additional Resource 3</v>
      </c>
      <c r="Z33" s="856"/>
      <c r="AA33" s="857"/>
      <c r="AB33" s="744">
        <f t="shared" si="22"/>
        <v>0</v>
      </c>
      <c r="AC33" s="858">
        <f t="shared" si="23"/>
        <v>0</v>
      </c>
      <c r="AD33" s="859">
        <v>9.0999999999999998E-2</v>
      </c>
      <c r="AE33" s="744">
        <f t="shared" si="24"/>
        <v>0</v>
      </c>
      <c r="AF33" s="852">
        <v>0</v>
      </c>
      <c r="AG33" s="860">
        <v>0.3</v>
      </c>
      <c r="AH33" s="744">
        <f t="shared" si="25"/>
        <v>0</v>
      </c>
      <c r="AI33" s="861">
        <v>1.4999999999999999E-2</v>
      </c>
      <c r="AJ33" s="859">
        <f t="shared" si="26"/>
        <v>0.3</v>
      </c>
      <c r="AK33" s="744">
        <f t="shared" si="27"/>
        <v>0</v>
      </c>
      <c r="AL33" s="862">
        <f t="shared" si="35"/>
        <v>5.9423076923076933E-2</v>
      </c>
      <c r="AM33" s="863">
        <f t="shared" si="28"/>
        <v>10.300000000000002</v>
      </c>
      <c r="AN33" s="864">
        <f t="shared" si="29"/>
        <v>0</v>
      </c>
      <c r="AO33" s="744">
        <f t="shared" si="30"/>
        <v>5.9423076923076933E-2</v>
      </c>
    </row>
    <row r="34" spans="5:41" x14ac:dyDescent="0.35">
      <c r="Y34" s="876" t="str">
        <f>$J$17</f>
        <v>BackofficeL2</v>
      </c>
    </row>
    <row r="35" spans="5:41" x14ac:dyDescent="0.35">
      <c r="Y35" s="875" t="str">
        <f>'US Salary'!Y18</f>
        <v>TL</v>
      </c>
      <c r="Z35" s="856">
        <f>J18</f>
        <v>22</v>
      </c>
      <c r="AA35" s="857"/>
      <c r="AB35" s="744">
        <f t="shared" ref="AB35:AB50" si="38">Z35*AA35</f>
        <v>0</v>
      </c>
      <c r="AC35" s="858">
        <f t="shared" ref="AC35:AC50" si="39">(Z35+AB35)*2080</f>
        <v>45760</v>
      </c>
      <c r="AD35" s="859">
        <v>9.0999999999999998E-2</v>
      </c>
      <c r="AE35" s="744">
        <f t="shared" ref="AE35:AE50" si="40">Z35*AD35</f>
        <v>2.0019999999999998</v>
      </c>
      <c r="AF35" s="852">
        <v>7866</v>
      </c>
      <c r="AG35" s="860">
        <v>0.5</v>
      </c>
      <c r="AH35" s="744">
        <f t="shared" ref="AH35:AH50" si="41">(AF35*AG35)/2080</f>
        <v>1.8908653846153847</v>
      </c>
      <c r="AI35" s="861">
        <v>1.4999999999999999E-2</v>
      </c>
      <c r="AJ35" s="859">
        <f t="shared" ref="AJ35:AJ50" si="42">AG35</f>
        <v>0.5</v>
      </c>
      <c r="AK35" s="744">
        <f t="shared" ref="AK35:AK50" si="43">Z35*AI35*AJ35</f>
        <v>0.16499999999999998</v>
      </c>
      <c r="AL35" s="862">
        <f t="shared" ref="AL35:AL50" si="44">SUM(Z35,AB35,AE35,AH35,AK35)</f>
        <v>26.057865384615383</v>
      </c>
      <c r="AM35" s="863">
        <f t="shared" ref="AM35:AM50" si="45">AL35*2080/12</f>
        <v>4516.6966666666658</v>
      </c>
      <c r="AN35" s="864">
        <f t="shared" ref="AN35:AN50" si="46">IFERROR((AL35-AB35)/Z35-1,0)</f>
        <v>0.18444842657342653</v>
      </c>
    </row>
    <row r="36" spans="5:41" x14ac:dyDescent="0.35">
      <c r="Y36" s="875" t="str">
        <f>'US Salary'!Y19</f>
        <v>AM</v>
      </c>
      <c r="Z36" s="856">
        <f t="shared" ref="Z36:Z50" si="47">J19</f>
        <v>26.5</v>
      </c>
      <c r="AA36" s="857"/>
      <c r="AB36" s="744">
        <f t="shared" si="38"/>
        <v>0</v>
      </c>
      <c r="AC36" s="858">
        <f t="shared" si="39"/>
        <v>55120</v>
      </c>
      <c r="AD36" s="859">
        <v>9.0999999999999998E-2</v>
      </c>
      <c r="AE36" s="744">
        <f t="shared" si="40"/>
        <v>2.4114999999999998</v>
      </c>
      <c r="AF36" s="852">
        <v>7866</v>
      </c>
      <c r="AG36" s="860">
        <v>0.6</v>
      </c>
      <c r="AH36" s="744">
        <f t="shared" si="41"/>
        <v>2.2690384615384613</v>
      </c>
      <c r="AI36" s="861">
        <v>1.4999999999999999E-2</v>
      </c>
      <c r="AJ36" s="859">
        <f t="shared" si="42"/>
        <v>0.6</v>
      </c>
      <c r="AK36" s="744">
        <f t="shared" si="43"/>
        <v>0.23849999999999996</v>
      </c>
      <c r="AL36" s="862">
        <f t="shared" si="44"/>
        <v>31.419038461538459</v>
      </c>
      <c r="AM36" s="863">
        <f t="shared" si="45"/>
        <v>5445.9666666666662</v>
      </c>
      <c r="AN36" s="864">
        <f t="shared" si="46"/>
        <v>0.18562409288824377</v>
      </c>
    </row>
    <row r="37" spans="5:41" x14ac:dyDescent="0.35">
      <c r="Y37" s="875" t="str">
        <f>'US Salary'!Y20</f>
        <v>Ops Manager</v>
      </c>
      <c r="Z37" s="856">
        <f t="shared" si="47"/>
        <v>32.5</v>
      </c>
      <c r="AA37" s="857">
        <v>0.15</v>
      </c>
      <c r="AB37" s="744">
        <f t="shared" si="38"/>
        <v>4.875</v>
      </c>
      <c r="AC37" s="858">
        <f t="shared" si="39"/>
        <v>77740</v>
      </c>
      <c r="AD37" s="859">
        <v>9.0999999999999998E-2</v>
      </c>
      <c r="AE37" s="744">
        <f t="shared" si="40"/>
        <v>2.9575</v>
      </c>
      <c r="AF37" s="852">
        <v>7866</v>
      </c>
      <c r="AG37" s="860">
        <v>0.7</v>
      </c>
      <c r="AH37" s="744">
        <f t="shared" si="41"/>
        <v>2.6472115384615384</v>
      </c>
      <c r="AI37" s="861">
        <v>1.4999999999999999E-2</v>
      </c>
      <c r="AJ37" s="859">
        <f t="shared" si="42"/>
        <v>0.7</v>
      </c>
      <c r="AK37" s="744">
        <f t="shared" si="43"/>
        <v>0.34125</v>
      </c>
      <c r="AL37" s="862">
        <f t="shared" si="44"/>
        <v>43.320961538461546</v>
      </c>
      <c r="AM37" s="863">
        <f t="shared" si="45"/>
        <v>7508.9666666666681</v>
      </c>
      <c r="AN37" s="864">
        <f t="shared" si="46"/>
        <v>0.18295266272189381</v>
      </c>
    </row>
    <row r="38" spans="5:41" x14ac:dyDescent="0.35">
      <c r="Y38" s="875" t="str">
        <f>'US Salary'!Y21</f>
        <v>Sr Manager</v>
      </c>
      <c r="Z38" s="856">
        <f t="shared" si="47"/>
        <v>40</v>
      </c>
      <c r="AA38" s="857">
        <v>0.15</v>
      </c>
      <c r="AB38" s="744">
        <f t="shared" si="38"/>
        <v>6</v>
      </c>
      <c r="AC38" s="858">
        <f t="shared" si="39"/>
        <v>95680</v>
      </c>
      <c r="AD38" s="859">
        <v>9.0999999999999998E-2</v>
      </c>
      <c r="AE38" s="744">
        <f t="shared" si="40"/>
        <v>3.6399999999999997</v>
      </c>
      <c r="AF38" s="852">
        <v>7866</v>
      </c>
      <c r="AG38" s="860">
        <v>0.8</v>
      </c>
      <c r="AH38" s="744">
        <f t="shared" si="41"/>
        <v>3.0253846153846156</v>
      </c>
      <c r="AI38" s="861">
        <v>1.4999999999999999E-2</v>
      </c>
      <c r="AJ38" s="859">
        <f t="shared" si="42"/>
        <v>0.8</v>
      </c>
      <c r="AK38" s="744">
        <f t="shared" si="43"/>
        <v>0.48</v>
      </c>
      <c r="AL38" s="862">
        <f t="shared" si="44"/>
        <v>53.145384615384614</v>
      </c>
      <c r="AM38" s="863">
        <f t="shared" si="45"/>
        <v>9211.8666666666668</v>
      </c>
      <c r="AN38" s="864">
        <f t="shared" si="46"/>
        <v>0.17863461538461545</v>
      </c>
    </row>
    <row r="39" spans="5:41" x14ac:dyDescent="0.35">
      <c r="Y39" s="875" t="str">
        <f>'US Salary'!Y22</f>
        <v>DGM / AD</v>
      </c>
      <c r="Z39" s="856">
        <f t="shared" si="47"/>
        <v>48</v>
      </c>
      <c r="AA39" s="857">
        <v>0.15</v>
      </c>
      <c r="AB39" s="744">
        <f t="shared" si="38"/>
        <v>7.1999999999999993</v>
      </c>
      <c r="AC39" s="858">
        <f t="shared" si="39"/>
        <v>114816</v>
      </c>
      <c r="AD39" s="859">
        <v>9.0999999999999998E-2</v>
      </c>
      <c r="AE39" s="744">
        <f t="shared" si="40"/>
        <v>4.3680000000000003</v>
      </c>
      <c r="AF39" s="852">
        <v>7866</v>
      </c>
      <c r="AG39" s="860">
        <v>0.9</v>
      </c>
      <c r="AH39" s="744">
        <f t="shared" si="41"/>
        <v>3.4035576923076927</v>
      </c>
      <c r="AI39" s="861">
        <v>1.4999999999999999E-2</v>
      </c>
      <c r="AJ39" s="859">
        <f t="shared" si="42"/>
        <v>0.9</v>
      </c>
      <c r="AK39" s="744">
        <f t="shared" si="43"/>
        <v>0.64800000000000002</v>
      </c>
      <c r="AL39" s="862">
        <f t="shared" si="44"/>
        <v>63.619557692307701</v>
      </c>
      <c r="AM39" s="863">
        <f t="shared" si="45"/>
        <v>11027.390000000001</v>
      </c>
      <c r="AN39" s="864">
        <f t="shared" si="46"/>
        <v>0.17540745192307727</v>
      </c>
    </row>
    <row r="40" spans="5:41" x14ac:dyDescent="0.35">
      <c r="Y40" s="875" t="str">
        <f>'US Salary'!Y23</f>
        <v>GM / Director</v>
      </c>
      <c r="Z40" s="856">
        <f t="shared" si="47"/>
        <v>58</v>
      </c>
      <c r="AA40" s="857">
        <v>0.15</v>
      </c>
      <c r="AB40" s="744">
        <f t="shared" si="38"/>
        <v>8.6999999999999993</v>
      </c>
      <c r="AC40" s="858">
        <f t="shared" si="39"/>
        <v>138736</v>
      </c>
      <c r="AD40" s="859">
        <v>9.0999999999999998E-2</v>
      </c>
      <c r="AE40" s="744">
        <f t="shared" si="40"/>
        <v>5.2779999999999996</v>
      </c>
      <c r="AF40" s="852">
        <v>7866</v>
      </c>
      <c r="AG40" s="860">
        <v>0.9</v>
      </c>
      <c r="AH40" s="744">
        <f t="shared" si="41"/>
        <v>3.4035576923076927</v>
      </c>
      <c r="AI40" s="861">
        <v>1.4999999999999999E-2</v>
      </c>
      <c r="AJ40" s="859">
        <f t="shared" si="42"/>
        <v>0.9</v>
      </c>
      <c r="AK40" s="744">
        <f t="shared" si="43"/>
        <v>0.78300000000000003</v>
      </c>
      <c r="AL40" s="862">
        <f t="shared" si="44"/>
        <v>76.164557692307696</v>
      </c>
      <c r="AM40" s="863">
        <f t="shared" si="45"/>
        <v>13201.856666666667</v>
      </c>
      <c r="AN40" s="864">
        <f t="shared" si="46"/>
        <v>0.16318202917771885</v>
      </c>
    </row>
    <row r="41" spans="5:41" x14ac:dyDescent="0.35">
      <c r="Y41" s="875" t="str">
        <f>'US Salary'!Y24</f>
        <v>AVP / VP</v>
      </c>
      <c r="Z41" s="856">
        <f t="shared" si="47"/>
        <v>67</v>
      </c>
      <c r="AA41" s="857">
        <v>0.15</v>
      </c>
      <c r="AB41" s="744">
        <f t="shared" si="38"/>
        <v>10.049999999999999</v>
      </c>
      <c r="AC41" s="858">
        <f t="shared" si="39"/>
        <v>160264</v>
      </c>
      <c r="AD41" s="859">
        <v>9.0999999999999998E-2</v>
      </c>
      <c r="AE41" s="744">
        <f t="shared" si="40"/>
        <v>6.0969999999999995</v>
      </c>
      <c r="AF41" s="852">
        <v>7866</v>
      </c>
      <c r="AG41" s="860">
        <v>0.9</v>
      </c>
      <c r="AH41" s="744">
        <f t="shared" si="41"/>
        <v>3.4035576923076927</v>
      </c>
      <c r="AI41" s="861">
        <v>1.4999999999999999E-2</v>
      </c>
      <c r="AJ41" s="859">
        <f t="shared" si="42"/>
        <v>0.9</v>
      </c>
      <c r="AK41" s="744">
        <f t="shared" si="43"/>
        <v>0.90449999999999997</v>
      </c>
      <c r="AL41" s="862">
        <f t="shared" si="44"/>
        <v>87.455057692307676</v>
      </c>
      <c r="AM41" s="863">
        <f t="shared" si="45"/>
        <v>15158.876666666663</v>
      </c>
      <c r="AN41" s="864">
        <f t="shared" si="46"/>
        <v>0.15529936854190574</v>
      </c>
    </row>
    <row r="42" spans="5:41" x14ac:dyDescent="0.35">
      <c r="Y42" s="875" t="str">
        <f>'US Salary'!Y25</f>
        <v>SME</v>
      </c>
      <c r="Z42" s="856">
        <f t="shared" si="47"/>
        <v>22</v>
      </c>
      <c r="AA42" s="857"/>
      <c r="AB42" s="744">
        <f t="shared" si="38"/>
        <v>0</v>
      </c>
      <c r="AC42" s="858">
        <f t="shared" si="39"/>
        <v>45760</v>
      </c>
      <c r="AD42" s="859">
        <v>9.0999999999999998E-2</v>
      </c>
      <c r="AE42" s="744">
        <f t="shared" si="40"/>
        <v>2.0019999999999998</v>
      </c>
      <c r="AF42" s="852">
        <v>7866</v>
      </c>
      <c r="AG42" s="860">
        <v>0.5</v>
      </c>
      <c r="AH42" s="744">
        <f t="shared" si="41"/>
        <v>1.8908653846153847</v>
      </c>
      <c r="AI42" s="861">
        <v>1.4999999999999999E-2</v>
      </c>
      <c r="AJ42" s="859">
        <f t="shared" si="42"/>
        <v>0.5</v>
      </c>
      <c r="AK42" s="744">
        <f t="shared" si="43"/>
        <v>0.16499999999999998</v>
      </c>
      <c r="AL42" s="862">
        <f t="shared" si="44"/>
        <v>26.057865384615383</v>
      </c>
      <c r="AM42" s="863">
        <f t="shared" si="45"/>
        <v>4516.6966666666658</v>
      </c>
      <c r="AN42" s="864">
        <f t="shared" si="46"/>
        <v>0.18444842657342653</v>
      </c>
    </row>
    <row r="43" spans="5:41" x14ac:dyDescent="0.35">
      <c r="Y43" s="875" t="str">
        <f>'US Salary'!Y26</f>
        <v>QA</v>
      </c>
      <c r="Z43" s="856">
        <f t="shared" si="47"/>
        <v>22</v>
      </c>
      <c r="AA43" s="857"/>
      <c r="AB43" s="744">
        <f t="shared" si="38"/>
        <v>0</v>
      </c>
      <c r="AC43" s="858">
        <f t="shared" si="39"/>
        <v>45760</v>
      </c>
      <c r="AD43" s="859">
        <v>9.0999999999999998E-2</v>
      </c>
      <c r="AE43" s="744">
        <f t="shared" si="40"/>
        <v>2.0019999999999998</v>
      </c>
      <c r="AF43" s="852">
        <v>7866</v>
      </c>
      <c r="AG43" s="860">
        <v>0.5</v>
      </c>
      <c r="AH43" s="744">
        <f t="shared" si="41"/>
        <v>1.8908653846153847</v>
      </c>
      <c r="AI43" s="861">
        <v>1.4999999999999999E-2</v>
      </c>
      <c r="AJ43" s="859">
        <f t="shared" si="42"/>
        <v>0.5</v>
      </c>
      <c r="AK43" s="744">
        <f t="shared" si="43"/>
        <v>0.16499999999999998</v>
      </c>
      <c r="AL43" s="862">
        <f t="shared" si="44"/>
        <v>26.057865384615383</v>
      </c>
      <c r="AM43" s="863">
        <f t="shared" si="45"/>
        <v>4516.6966666666658</v>
      </c>
      <c r="AN43" s="864">
        <f t="shared" si="46"/>
        <v>0.18444842657342653</v>
      </c>
    </row>
    <row r="44" spans="5:41" x14ac:dyDescent="0.35">
      <c r="Y44" s="875" t="str">
        <f>'US Salary'!Y27</f>
        <v>Trainer</v>
      </c>
      <c r="Z44" s="856">
        <f t="shared" si="47"/>
        <v>22</v>
      </c>
      <c r="AA44" s="857"/>
      <c r="AB44" s="744">
        <f t="shared" si="38"/>
        <v>0</v>
      </c>
      <c r="AC44" s="858">
        <f t="shared" si="39"/>
        <v>45760</v>
      </c>
      <c r="AD44" s="859">
        <v>9.0999999999999998E-2</v>
      </c>
      <c r="AE44" s="744">
        <f t="shared" si="40"/>
        <v>2.0019999999999998</v>
      </c>
      <c r="AF44" s="852">
        <v>7866</v>
      </c>
      <c r="AG44" s="860">
        <v>0.5</v>
      </c>
      <c r="AH44" s="744">
        <f t="shared" si="41"/>
        <v>1.8908653846153847</v>
      </c>
      <c r="AI44" s="861">
        <v>1.4999999999999999E-2</v>
      </c>
      <c r="AJ44" s="859">
        <f t="shared" si="42"/>
        <v>0.5</v>
      </c>
      <c r="AK44" s="744">
        <f t="shared" si="43"/>
        <v>0.16499999999999998</v>
      </c>
      <c r="AL44" s="862">
        <f t="shared" si="44"/>
        <v>26.057865384615383</v>
      </c>
      <c r="AM44" s="863">
        <f t="shared" si="45"/>
        <v>4516.6966666666658</v>
      </c>
      <c r="AN44" s="864">
        <f t="shared" si="46"/>
        <v>0.18444842657342653</v>
      </c>
    </row>
    <row r="45" spans="5:41" x14ac:dyDescent="0.35">
      <c r="Y45" s="875" t="str">
        <f>'US Salary'!Y28</f>
        <v>RTA/WFM</v>
      </c>
      <c r="Z45" s="856">
        <f t="shared" si="47"/>
        <v>16</v>
      </c>
      <c r="AA45" s="857"/>
      <c r="AB45" s="744">
        <f t="shared" si="38"/>
        <v>0</v>
      </c>
      <c r="AC45" s="858">
        <f t="shared" si="39"/>
        <v>33280</v>
      </c>
      <c r="AD45" s="859">
        <v>9.0999999999999998E-2</v>
      </c>
      <c r="AE45" s="744">
        <f t="shared" si="40"/>
        <v>1.456</v>
      </c>
      <c r="AF45" s="852">
        <v>7866</v>
      </c>
      <c r="AG45" s="860">
        <v>0.5</v>
      </c>
      <c r="AH45" s="744">
        <f t="shared" si="41"/>
        <v>1.8908653846153847</v>
      </c>
      <c r="AI45" s="861">
        <v>1.4999999999999999E-2</v>
      </c>
      <c r="AJ45" s="859">
        <f t="shared" si="42"/>
        <v>0.5</v>
      </c>
      <c r="AK45" s="744">
        <f t="shared" si="43"/>
        <v>0.12</v>
      </c>
      <c r="AL45" s="862">
        <f t="shared" si="44"/>
        <v>19.466865384615385</v>
      </c>
      <c r="AM45" s="863">
        <f t="shared" si="45"/>
        <v>3374.2566666666667</v>
      </c>
      <c r="AN45" s="864">
        <f t="shared" si="46"/>
        <v>0.21667908653846157</v>
      </c>
    </row>
    <row r="46" spans="5:41" x14ac:dyDescent="0.35">
      <c r="Y46" s="875" t="str">
        <f>'US Salary'!Y29</f>
        <v>Transition Resource</v>
      </c>
      <c r="Z46" s="856">
        <f t="shared" si="47"/>
        <v>40</v>
      </c>
      <c r="AA46" s="857"/>
      <c r="AB46" s="744">
        <f t="shared" si="38"/>
        <v>0</v>
      </c>
      <c r="AC46" s="858">
        <f t="shared" si="39"/>
        <v>83200</v>
      </c>
      <c r="AD46" s="859">
        <v>9.0999999999999998E-2</v>
      </c>
      <c r="AE46" s="744">
        <f t="shared" si="40"/>
        <v>3.6399999999999997</v>
      </c>
      <c r="AF46" s="852">
        <v>7866</v>
      </c>
      <c r="AG46" s="860">
        <v>0.9</v>
      </c>
      <c r="AH46" s="744">
        <f t="shared" si="41"/>
        <v>3.4035576923076927</v>
      </c>
      <c r="AI46" s="861">
        <v>1.4999999999999999E-2</v>
      </c>
      <c r="AJ46" s="859">
        <f t="shared" si="42"/>
        <v>0.9</v>
      </c>
      <c r="AK46" s="744">
        <f t="shared" si="43"/>
        <v>0.54</v>
      </c>
      <c r="AL46" s="862">
        <f t="shared" si="44"/>
        <v>47.583557692307693</v>
      </c>
      <c r="AM46" s="863">
        <f t="shared" si="45"/>
        <v>8247.8166666666675</v>
      </c>
      <c r="AN46" s="864">
        <f t="shared" si="46"/>
        <v>0.18958894230769241</v>
      </c>
    </row>
    <row r="47" spans="5:41" x14ac:dyDescent="0.35">
      <c r="Y47" s="875" t="str">
        <f>'US Salary'!Y30</f>
        <v>PEx Resource</v>
      </c>
      <c r="Z47" s="856">
        <f t="shared" si="47"/>
        <v>40</v>
      </c>
      <c r="AA47" s="857"/>
      <c r="AB47" s="744">
        <f t="shared" si="38"/>
        <v>0</v>
      </c>
      <c r="AC47" s="858">
        <f t="shared" si="39"/>
        <v>83200</v>
      </c>
      <c r="AD47" s="859">
        <v>9.0999999999999998E-2</v>
      </c>
      <c r="AE47" s="744">
        <f t="shared" si="40"/>
        <v>3.6399999999999997</v>
      </c>
      <c r="AF47" s="852">
        <v>7866</v>
      </c>
      <c r="AG47" s="860">
        <v>0.9</v>
      </c>
      <c r="AH47" s="744">
        <f t="shared" si="41"/>
        <v>3.4035576923076927</v>
      </c>
      <c r="AI47" s="861">
        <v>1.4999999999999999E-2</v>
      </c>
      <c r="AJ47" s="859">
        <f t="shared" si="42"/>
        <v>0.9</v>
      </c>
      <c r="AK47" s="744">
        <f t="shared" si="43"/>
        <v>0.54</v>
      </c>
      <c r="AL47" s="862">
        <f t="shared" si="44"/>
        <v>47.583557692307693</v>
      </c>
      <c r="AM47" s="863">
        <f t="shared" si="45"/>
        <v>8247.8166666666675</v>
      </c>
      <c r="AN47" s="864">
        <f t="shared" si="46"/>
        <v>0.18958894230769241</v>
      </c>
    </row>
    <row r="48" spans="5:41" x14ac:dyDescent="0.35">
      <c r="Y48" s="875" t="str">
        <f>'US Salary'!Y31</f>
        <v>Additional Resource 1</v>
      </c>
      <c r="Z48" s="856">
        <f t="shared" si="47"/>
        <v>0</v>
      </c>
      <c r="AA48" s="857"/>
      <c r="AB48" s="744">
        <f t="shared" si="38"/>
        <v>0</v>
      </c>
      <c r="AC48" s="858">
        <f t="shared" si="39"/>
        <v>0</v>
      </c>
      <c r="AD48" s="859">
        <v>9.0999999999999998E-2</v>
      </c>
      <c r="AE48" s="744">
        <f t="shared" si="40"/>
        <v>0</v>
      </c>
      <c r="AF48" s="852">
        <v>0</v>
      </c>
      <c r="AG48" s="860">
        <v>0.3</v>
      </c>
      <c r="AH48" s="744">
        <f t="shared" si="41"/>
        <v>0</v>
      </c>
      <c r="AI48" s="861">
        <v>1.4999999999999999E-2</v>
      </c>
      <c r="AJ48" s="859">
        <f t="shared" si="42"/>
        <v>0.3</v>
      </c>
      <c r="AK48" s="744">
        <f t="shared" si="43"/>
        <v>0</v>
      </c>
      <c r="AL48" s="862">
        <f t="shared" si="44"/>
        <v>0</v>
      </c>
      <c r="AM48" s="863">
        <f t="shared" si="45"/>
        <v>0</v>
      </c>
      <c r="AN48" s="864">
        <f t="shared" si="46"/>
        <v>0</v>
      </c>
    </row>
    <row r="49" spans="25:40" x14ac:dyDescent="0.35">
      <c r="Y49" s="875" t="str">
        <f>'US Salary'!Y32</f>
        <v>Additional Resource 2</v>
      </c>
      <c r="Z49" s="856">
        <f t="shared" si="47"/>
        <v>0</v>
      </c>
      <c r="AA49" s="857"/>
      <c r="AB49" s="744">
        <f t="shared" si="38"/>
        <v>0</v>
      </c>
      <c r="AC49" s="858">
        <f t="shared" si="39"/>
        <v>0</v>
      </c>
      <c r="AD49" s="859">
        <v>9.0999999999999998E-2</v>
      </c>
      <c r="AE49" s="744">
        <f t="shared" si="40"/>
        <v>0</v>
      </c>
      <c r="AF49" s="852">
        <v>0</v>
      </c>
      <c r="AG49" s="860">
        <v>0.3</v>
      </c>
      <c r="AH49" s="744">
        <f t="shared" si="41"/>
        <v>0</v>
      </c>
      <c r="AI49" s="861">
        <v>1.4999999999999999E-2</v>
      </c>
      <c r="AJ49" s="859">
        <f t="shared" si="42"/>
        <v>0.3</v>
      </c>
      <c r="AK49" s="744">
        <f t="shared" si="43"/>
        <v>0</v>
      </c>
      <c r="AL49" s="862">
        <f t="shared" si="44"/>
        <v>0</v>
      </c>
      <c r="AM49" s="863">
        <f t="shared" si="45"/>
        <v>0</v>
      </c>
      <c r="AN49" s="864">
        <f t="shared" si="46"/>
        <v>0</v>
      </c>
    </row>
    <row r="50" spans="25:40" x14ac:dyDescent="0.35">
      <c r="Y50" s="875" t="str">
        <f>'US Salary'!Y33</f>
        <v>Additional Resource 3</v>
      </c>
      <c r="Z50" s="856">
        <f t="shared" si="47"/>
        <v>0</v>
      </c>
      <c r="AA50" s="857"/>
      <c r="AB50" s="744">
        <f t="shared" si="38"/>
        <v>0</v>
      </c>
      <c r="AC50" s="858">
        <f t="shared" si="39"/>
        <v>0</v>
      </c>
      <c r="AD50" s="859">
        <v>9.0999999999999998E-2</v>
      </c>
      <c r="AE50" s="744">
        <f t="shared" si="40"/>
        <v>0</v>
      </c>
      <c r="AF50" s="852">
        <v>0</v>
      </c>
      <c r="AG50" s="860">
        <v>0.3</v>
      </c>
      <c r="AH50" s="744">
        <f t="shared" si="41"/>
        <v>0</v>
      </c>
      <c r="AI50" s="861">
        <v>1.4999999999999999E-2</v>
      </c>
      <c r="AJ50" s="859">
        <f t="shared" si="42"/>
        <v>0.3</v>
      </c>
      <c r="AK50" s="744">
        <f t="shared" si="43"/>
        <v>0</v>
      </c>
      <c r="AL50" s="862">
        <f t="shared" si="44"/>
        <v>0</v>
      </c>
      <c r="AM50" s="863">
        <f t="shared" si="45"/>
        <v>0</v>
      </c>
      <c r="AN50" s="864">
        <f t="shared" si="46"/>
        <v>0</v>
      </c>
    </row>
    <row r="51" spans="25:40" x14ac:dyDescent="0.35">
      <c r="Y51" s="876" t="str">
        <f>$K$17</f>
        <v>BackofficeL3</v>
      </c>
    </row>
    <row r="52" spans="25:40" x14ac:dyDescent="0.35">
      <c r="Y52" s="875" t="str">
        <f>'US Salary'!Y18</f>
        <v>TL</v>
      </c>
      <c r="Z52" s="856">
        <f>K18</f>
        <v>22</v>
      </c>
      <c r="AA52" s="857"/>
      <c r="AB52" s="744">
        <f t="shared" ref="AB52:AB67" si="48">Z52*AA52</f>
        <v>0</v>
      </c>
      <c r="AC52" s="858">
        <f t="shared" ref="AC52:AC67" si="49">(Z52+AB52)*2080</f>
        <v>45760</v>
      </c>
      <c r="AD52" s="859">
        <v>9.0999999999999998E-2</v>
      </c>
      <c r="AE52" s="744">
        <f t="shared" ref="AE52:AE67" si="50">Z52*AD52</f>
        <v>2.0019999999999998</v>
      </c>
      <c r="AF52" s="852">
        <v>7866</v>
      </c>
      <c r="AG52" s="860">
        <v>0.5</v>
      </c>
      <c r="AH52" s="744">
        <f t="shared" ref="AH52:AH67" si="51">(AF52*AG52)/2080</f>
        <v>1.8908653846153847</v>
      </c>
      <c r="AI52" s="861">
        <v>1.4999999999999999E-2</v>
      </c>
      <c r="AJ52" s="859">
        <f t="shared" ref="AJ52:AJ67" si="52">AG52</f>
        <v>0.5</v>
      </c>
      <c r="AK52" s="744">
        <f t="shared" ref="AK52:AK67" si="53">Z52*AI52*AJ52</f>
        <v>0.16499999999999998</v>
      </c>
      <c r="AL52" s="862">
        <f t="shared" ref="AL52:AL67" si="54">SUM(Z52,AB52,AE52,AH52,AK52)</f>
        <v>26.057865384615383</v>
      </c>
      <c r="AM52" s="863">
        <f t="shared" ref="AM52:AM67" si="55">AL52*2080/12</f>
        <v>4516.6966666666658</v>
      </c>
      <c r="AN52" s="864">
        <f t="shared" ref="AN52:AN67" si="56">IFERROR((AL52-AB52)/Z52-1,0)</f>
        <v>0.18444842657342653</v>
      </c>
    </row>
    <row r="53" spans="25:40" x14ac:dyDescent="0.35">
      <c r="Y53" s="875" t="str">
        <f>'US Salary'!Y19</f>
        <v>AM</v>
      </c>
      <c r="Z53" s="856">
        <f t="shared" ref="Z53:Z67" si="57">K19</f>
        <v>26.5</v>
      </c>
      <c r="AA53" s="857"/>
      <c r="AB53" s="744">
        <f t="shared" si="48"/>
        <v>0</v>
      </c>
      <c r="AC53" s="858">
        <f t="shared" si="49"/>
        <v>55120</v>
      </c>
      <c r="AD53" s="859">
        <v>9.0999999999999998E-2</v>
      </c>
      <c r="AE53" s="744">
        <f t="shared" si="50"/>
        <v>2.4114999999999998</v>
      </c>
      <c r="AF53" s="852">
        <v>7866</v>
      </c>
      <c r="AG53" s="860">
        <v>0.6</v>
      </c>
      <c r="AH53" s="744">
        <f t="shared" si="51"/>
        <v>2.2690384615384613</v>
      </c>
      <c r="AI53" s="861">
        <v>1.4999999999999999E-2</v>
      </c>
      <c r="AJ53" s="859">
        <f t="shared" si="52"/>
        <v>0.6</v>
      </c>
      <c r="AK53" s="744">
        <f t="shared" si="53"/>
        <v>0.23849999999999996</v>
      </c>
      <c r="AL53" s="862">
        <f t="shared" si="54"/>
        <v>31.419038461538459</v>
      </c>
      <c r="AM53" s="863">
        <f t="shared" si="55"/>
        <v>5445.9666666666662</v>
      </c>
      <c r="AN53" s="864">
        <f t="shared" si="56"/>
        <v>0.18562409288824377</v>
      </c>
    </row>
    <row r="54" spans="25:40" x14ac:dyDescent="0.35">
      <c r="Y54" s="875" t="str">
        <f>'US Salary'!Y20</f>
        <v>Ops Manager</v>
      </c>
      <c r="Z54" s="856">
        <f t="shared" si="57"/>
        <v>32.5</v>
      </c>
      <c r="AA54" s="857">
        <v>0.15</v>
      </c>
      <c r="AB54" s="744">
        <f t="shared" si="48"/>
        <v>4.875</v>
      </c>
      <c r="AC54" s="858">
        <f t="shared" si="49"/>
        <v>77740</v>
      </c>
      <c r="AD54" s="859">
        <v>9.0999999999999998E-2</v>
      </c>
      <c r="AE54" s="744">
        <f t="shared" si="50"/>
        <v>2.9575</v>
      </c>
      <c r="AF54" s="852">
        <v>7866</v>
      </c>
      <c r="AG54" s="860">
        <v>0.7</v>
      </c>
      <c r="AH54" s="744">
        <f t="shared" si="51"/>
        <v>2.6472115384615384</v>
      </c>
      <c r="AI54" s="861">
        <v>1.4999999999999999E-2</v>
      </c>
      <c r="AJ54" s="859">
        <f t="shared" si="52"/>
        <v>0.7</v>
      </c>
      <c r="AK54" s="744">
        <f t="shared" si="53"/>
        <v>0.34125</v>
      </c>
      <c r="AL54" s="862">
        <f t="shared" si="54"/>
        <v>43.320961538461546</v>
      </c>
      <c r="AM54" s="863">
        <f t="shared" si="55"/>
        <v>7508.9666666666681</v>
      </c>
      <c r="AN54" s="864">
        <f t="shared" si="56"/>
        <v>0.18295266272189381</v>
      </c>
    </row>
    <row r="55" spans="25:40" x14ac:dyDescent="0.35">
      <c r="Y55" s="875" t="str">
        <f>'US Salary'!Y21</f>
        <v>Sr Manager</v>
      </c>
      <c r="Z55" s="856">
        <f t="shared" si="57"/>
        <v>40</v>
      </c>
      <c r="AA55" s="857">
        <v>0.15</v>
      </c>
      <c r="AB55" s="744">
        <f t="shared" si="48"/>
        <v>6</v>
      </c>
      <c r="AC55" s="858">
        <f t="shared" si="49"/>
        <v>95680</v>
      </c>
      <c r="AD55" s="859">
        <v>9.0999999999999998E-2</v>
      </c>
      <c r="AE55" s="744">
        <f t="shared" si="50"/>
        <v>3.6399999999999997</v>
      </c>
      <c r="AF55" s="852">
        <v>7866</v>
      </c>
      <c r="AG55" s="860">
        <v>0.8</v>
      </c>
      <c r="AH55" s="744">
        <f t="shared" si="51"/>
        <v>3.0253846153846156</v>
      </c>
      <c r="AI55" s="861">
        <v>1.4999999999999999E-2</v>
      </c>
      <c r="AJ55" s="859">
        <f t="shared" si="52"/>
        <v>0.8</v>
      </c>
      <c r="AK55" s="744">
        <f t="shared" si="53"/>
        <v>0.48</v>
      </c>
      <c r="AL55" s="862">
        <f t="shared" si="54"/>
        <v>53.145384615384614</v>
      </c>
      <c r="AM55" s="863">
        <f t="shared" si="55"/>
        <v>9211.8666666666668</v>
      </c>
      <c r="AN55" s="864">
        <f t="shared" si="56"/>
        <v>0.17863461538461545</v>
      </c>
    </row>
    <row r="56" spans="25:40" x14ac:dyDescent="0.35">
      <c r="Y56" s="875" t="str">
        <f>'US Salary'!Y22</f>
        <v>DGM / AD</v>
      </c>
      <c r="Z56" s="856">
        <f t="shared" si="57"/>
        <v>48</v>
      </c>
      <c r="AA56" s="857">
        <v>0.15</v>
      </c>
      <c r="AB56" s="744">
        <f t="shared" si="48"/>
        <v>7.1999999999999993</v>
      </c>
      <c r="AC56" s="858">
        <f t="shared" si="49"/>
        <v>114816</v>
      </c>
      <c r="AD56" s="859">
        <v>9.0999999999999998E-2</v>
      </c>
      <c r="AE56" s="744">
        <f t="shared" si="50"/>
        <v>4.3680000000000003</v>
      </c>
      <c r="AF56" s="852">
        <v>7866</v>
      </c>
      <c r="AG56" s="860">
        <v>0.9</v>
      </c>
      <c r="AH56" s="744">
        <f t="shared" si="51"/>
        <v>3.4035576923076927</v>
      </c>
      <c r="AI56" s="861">
        <v>1.4999999999999999E-2</v>
      </c>
      <c r="AJ56" s="859">
        <f t="shared" si="52"/>
        <v>0.9</v>
      </c>
      <c r="AK56" s="744">
        <f t="shared" si="53"/>
        <v>0.64800000000000002</v>
      </c>
      <c r="AL56" s="862">
        <f t="shared" si="54"/>
        <v>63.619557692307701</v>
      </c>
      <c r="AM56" s="863">
        <f t="shared" si="55"/>
        <v>11027.390000000001</v>
      </c>
      <c r="AN56" s="864">
        <f t="shared" si="56"/>
        <v>0.17540745192307727</v>
      </c>
    </row>
    <row r="57" spans="25:40" x14ac:dyDescent="0.35">
      <c r="Y57" s="875" t="str">
        <f>'US Salary'!Y23</f>
        <v>GM / Director</v>
      </c>
      <c r="Z57" s="856">
        <f t="shared" si="57"/>
        <v>58</v>
      </c>
      <c r="AA57" s="857">
        <v>0.15</v>
      </c>
      <c r="AB57" s="744">
        <f t="shared" si="48"/>
        <v>8.6999999999999993</v>
      </c>
      <c r="AC57" s="858">
        <f t="shared" si="49"/>
        <v>138736</v>
      </c>
      <c r="AD57" s="859">
        <v>9.0999999999999998E-2</v>
      </c>
      <c r="AE57" s="744">
        <f t="shared" si="50"/>
        <v>5.2779999999999996</v>
      </c>
      <c r="AF57" s="852">
        <v>7866</v>
      </c>
      <c r="AG57" s="860">
        <v>0.9</v>
      </c>
      <c r="AH57" s="744">
        <f t="shared" si="51"/>
        <v>3.4035576923076927</v>
      </c>
      <c r="AI57" s="861">
        <v>1.4999999999999999E-2</v>
      </c>
      <c r="AJ57" s="859">
        <f t="shared" si="52"/>
        <v>0.9</v>
      </c>
      <c r="AK57" s="744">
        <f t="shared" si="53"/>
        <v>0.78300000000000003</v>
      </c>
      <c r="AL57" s="862">
        <f t="shared" si="54"/>
        <v>76.164557692307696</v>
      </c>
      <c r="AM57" s="863">
        <f t="shared" si="55"/>
        <v>13201.856666666667</v>
      </c>
      <c r="AN57" s="864">
        <f t="shared" si="56"/>
        <v>0.16318202917771885</v>
      </c>
    </row>
    <row r="58" spans="25:40" x14ac:dyDescent="0.35">
      <c r="Y58" s="875" t="str">
        <f>'US Salary'!Y24</f>
        <v>AVP / VP</v>
      </c>
      <c r="Z58" s="856">
        <f t="shared" si="57"/>
        <v>67</v>
      </c>
      <c r="AA58" s="857">
        <v>0.15</v>
      </c>
      <c r="AB58" s="744">
        <f t="shared" si="48"/>
        <v>10.049999999999999</v>
      </c>
      <c r="AC58" s="858">
        <f t="shared" si="49"/>
        <v>160264</v>
      </c>
      <c r="AD58" s="859">
        <v>9.0999999999999998E-2</v>
      </c>
      <c r="AE58" s="744">
        <f t="shared" si="50"/>
        <v>6.0969999999999995</v>
      </c>
      <c r="AF58" s="852">
        <v>7866</v>
      </c>
      <c r="AG58" s="860">
        <v>0.9</v>
      </c>
      <c r="AH58" s="744">
        <f t="shared" si="51"/>
        <v>3.4035576923076927</v>
      </c>
      <c r="AI58" s="861">
        <v>1.4999999999999999E-2</v>
      </c>
      <c r="AJ58" s="859">
        <f t="shared" si="52"/>
        <v>0.9</v>
      </c>
      <c r="AK58" s="744">
        <f t="shared" si="53"/>
        <v>0.90449999999999997</v>
      </c>
      <c r="AL58" s="862">
        <f t="shared" si="54"/>
        <v>87.455057692307676</v>
      </c>
      <c r="AM58" s="863">
        <f t="shared" si="55"/>
        <v>15158.876666666663</v>
      </c>
      <c r="AN58" s="864">
        <f t="shared" si="56"/>
        <v>0.15529936854190574</v>
      </c>
    </row>
    <row r="59" spans="25:40" x14ac:dyDescent="0.35">
      <c r="Y59" s="875" t="str">
        <f>'US Salary'!Y25</f>
        <v>SME</v>
      </c>
      <c r="Z59" s="856">
        <f t="shared" si="57"/>
        <v>22</v>
      </c>
      <c r="AA59" s="857"/>
      <c r="AB59" s="744">
        <f t="shared" si="48"/>
        <v>0</v>
      </c>
      <c r="AC59" s="858">
        <f t="shared" si="49"/>
        <v>45760</v>
      </c>
      <c r="AD59" s="859">
        <v>9.0999999999999998E-2</v>
      </c>
      <c r="AE59" s="744">
        <f t="shared" si="50"/>
        <v>2.0019999999999998</v>
      </c>
      <c r="AF59" s="852">
        <v>7866</v>
      </c>
      <c r="AG59" s="860">
        <v>0.5</v>
      </c>
      <c r="AH59" s="744">
        <f t="shared" si="51"/>
        <v>1.8908653846153847</v>
      </c>
      <c r="AI59" s="861">
        <v>1.4999999999999999E-2</v>
      </c>
      <c r="AJ59" s="859">
        <f t="shared" si="52"/>
        <v>0.5</v>
      </c>
      <c r="AK59" s="744">
        <f t="shared" si="53"/>
        <v>0.16499999999999998</v>
      </c>
      <c r="AL59" s="862">
        <f t="shared" si="54"/>
        <v>26.057865384615383</v>
      </c>
      <c r="AM59" s="863">
        <f t="shared" si="55"/>
        <v>4516.6966666666658</v>
      </c>
      <c r="AN59" s="864">
        <f t="shared" si="56"/>
        <v>0.18444842657342653</v>
      </c>
    </row>
    <row r="60" spans="25:40" x14ac:dyDescent="0.35">
      <c r="Y60" s="875" t="str">
        <f>'US Salary'!Y26</f>
        <v>QA</v>
      </c>
      <c r="Z60" s="856">
        <f t="shared" si="57"/>
        <v>22</v>
      </c>
      <c r="AA60" s="857"/>
      <c r="AB60" s="744">
        <f t="shared" si="48"/>
        <v>0</v>
      </c>
      <c r="AC60" s="858">
        <f t="shared" si="49"/>
        <v>45760</v>
      </c>
      <c r="AD60" s="859">
        <v>9.0999999999999998E-2</v>
      </c>
      <c r="AE60" s="744">
        <f t="shared" si="50"/>
        <v>2.0019999999999998</v>
      </c>
      <c r="AF60" s="852">
        <v>7866</v>
      </c>
      <c r="AG60" s="860">
        <v>0.5</v>
      </c>
      <c r="AH60" s="744">
        <f t="shared" si="51"/>
        <v>1.8908653846153847</v>
      </c>
      <c r="AI60" s="861">
        <v>1.4999999999999999E-2</v>
      </c>
      <c r="AJ60" s="859">
        <f t="shared" si="52"/>
        <v>0.5</v>
      </c>
      <c r="AK60" s="744">
        <f t="shared" si="53"/>
        <v>0.16499999999999998</v>
      </c>
      <c r="AL60" s="862">
        <f t="shared" si="54"/>
        <v>26.057865384615383</v>
      </c>
      <c r="AM60" s="863">
        <f t="shared" si="55"/>
        <v>4516.6966666666658</v>
      </c>
      <c r="AN60" s="864">
        <f t="shared" si="56"/>
        <v>0.18444842657342653</v>
      </c>
    </row>
    <row r="61" spans="25:40" x14ac:dyDescent="0.35">
      <c r="Y61" s="875" t="str">
        <f>'US Salary'!Y27</f>
        <v>Trainer</v>
      </c>
      <c r="Z61" s="856">
        <f t="shared" si="57"/>
        <v>22</v>
      </c>
      <c r="AA61" s="857"/>
      <c r="AB61" s="744">
        <f t="shared" si="48"/>
        <v>0</v>
      </c>
      <c r="AC61" s="858">
        <f t="shared" si="49"/>
        <v>45760</v>
      </c>
      <c r="AD61" s="859">
        <v>9.0999999999999998E-2</v>
      </c>
      <c r="AE61" s="744">
        <f t="shared" si="50"/>
        <v>2.0019999999999998</v>
      </c>
      <c r="AF61" s="852">
        <v>7866</v>
      </c>
      <c r="AG61" s="860">
        <v>0.5</v>
      </c>
      <c r="AH61" s="744">
        <f t="shared" si="51"/>
        <v>1.8908653846153847</v>
      </c>
      <c r="AI61" s="861">
        <v>1.4999999999999999E-2</v>
      </c>
      <c r="AJ61" s="859">
        <f t="shared" si="52"/>
        <v>0.5</v>
      </c>
      <c r="AK61" s="744">
        <f t="shared" si="53"/>
        <v>0.16499999999999998</v>
      </c>
      <c r="AL61" s="862">
        <f t="shared" si="54"/>
        <v>26.057865384615383</v>
      </c>
      <c r="AM61" s="863">
        <f t="shared" si="55"/>
        <v>4516.6966666666658</v>
      </c>
      <c r="AN61" s="864">
        <f t="shared" si="56"/>
        <v>0.18444842657342653</v>
      </c>
    </row>
    <row r="62" spans="25:40" x14ac:dyDescent="0.35">
      <c r="Y62" s="875" t="str">
        <f>'US Salary'!Y28</f>
        <v>RTA/WFM</v>
      </c>
      <c r="Z62" s="856">
        <f t="shared" si="57"/>
        <v>16</v>
      </c>
      <c r="AA62" s="857"/>
      <c r="AB62" s="744">
        <f t="shared" si="48"/>
        <v>0</v>
      </c>
      <c r="AC62" s="858">
        <f t="shared" si="49"/>
        <v>33280</v>
      </c>
      <c r="AD62" s="859">
        <v>9.0999999999999998E-2</v>
      </c>
      <c r="AE62" s="744">
        <f t="shared" si="50"/>
        <v>1.456</v>
      </c>
      <c r="AF62" s="852">
        <v>7866</v>
      </c>
      <c r="AG62" s="860">
        <v>0.5</v>
      </c>
      <c r="AH62" s="744">
        <f t="shared" si="51"/>
        <v>1.8908653846153847</v>
      </c>
      <c r="AI62" s="861">
        <v>1.4999999999999999E-2</v>
      </c>
      <c r="AJ62" s="859">
        <f t="shared" si="52"/>
        <v>0.5</v>
      </c>
      <c r="AK62" s="744">
        <f t="shared" si="53"/>
        <v>0.12</v>
      </c>
      <c r="AL62" s="862">
        <f t="shared" si="54"/>
        <v>19.466865384615385</v>
      </c>
      <c r="AM62" s="863">
        <f t="shared" si="55"/>
        <v>3374.2566666666667</v>
      </c>
      <c r="AN62" s="864">
        <f t="shared" si="56"/>
        <v>0.21667908653846157</v>
      </c>
    </row>
    <row r="63" spans="25:40" x14ac:dyDescent="0.35">
      <c r="Y63" s="875" t="str">
        <f>'US Salary'!Y29</f>
        <v>Transition Resource</v>
      </c>
      <c r="Z63" s="856">
        <f t="shared" si="57"/>
        <v>40</v>
      </c>
      <c r="AA63" s="857"/>
      <c r="AB63" s="744">
        <f t="shared" si="48"/>
        <v>0</v>
      </c>
      <c r="AC63" s="858">
        <f t="shared" si="49"/>
        <v>83200</v>
      </c>
      <c r="AD63" s="859">
        <v>9.0999999999999998E-2</v>
      </c>
      <c r="AE63" s="744">
        <f t="shared" si="50"/>
        <v>3.6399999999999997</v>
      </c>
      <c r="AF63" s="852">
        <v>7866</v>
      </c>
      <c r="AG63" s="860">
        <v>0.9</v>
      </c>
      <c r="AH63" s="744">
        <f t="shared" si="51"/>
        <v>3.4035576923076927</v>
      </c>
      <c r="AI63" s="861">
        <v>1.4999999999999999E-2</v>
      </c>
      <c r="AJ63" s="859">
        <f t="shared" si="52"/>
        <v>0.9</v>
      </c>
      <c r="AK63" s="744">
        <f t="shared" si="53"/>
        <v>0.54</v>
      </c>
      <c r="AL63" s="862">
        <f t="shared" si="54"/>
        <v>47.583557692307693</v>
      </c>
      <c r="AM63" s="863">
        <f t="shared" si="55"/>
        <v>8247.8166666666675</v>
      </c>
      <c r="AN63" s="864">
        <f t="shared" si="56"/>
        <v>0.18958894230769241</v>
      </c>
    </row>
    <row r="64" spans="25:40" x14ac:dyDescent="0.35">
      <c r="Y64" s="875" t="str">
        <f>'US Salary'!Y30</f>
        <v>PEx Resource</v>
      </c>
      <c r="Z64" s="856">
        <f t="shared" si="57"/>
        <v>40</v>
      </c>
      <c r="AA64" s="857"/>
      <c r="AB64" s="744">
        <f t="shared" si="48"/>
        <v>0</v>
      </c>
      <c r="AC64" s="858">
        <f t="shared" si="49"/>
        <v>83200</v>
      </c>
      <c r="AD64" s="859">
        <v>9.0999999999999998E-2</v>
      </c>
      <c r="AE64" s="744">
        <f t="shared" si="50"/>
        <v>3.6399999999999997</v>
      </c>
      <c r="AF64" s="852">
        <v>7866</v>
      </c>
      <c r="AG64" s="860">
        <v>0.9</v>
      </c>
      <c r="AH64" s="744">
        <f t="shared" si="51"/>
        <v>3.4035576923076927</v>
      </c>
      <c r="AI64" s="861">
        <v>1.4999999999999999E-2</v>
      </c>
      <c r="AJ64" s="859">
        <f t="shared" si="52"/>
        <v>0.9</v>
      </c>
      <c r="AK64" s="744">
        <f t="shared" si="53"/>
        <v>0.54</v>
      </c>
      <c r="AL64" s="862">
        <f t="shared" si="54"/>
        <v>47.583557692307693</v>
      </c>
      <c r="AM64" s="863">
        <f t="shared" si="55"/>
        <v>8247.8166666666675</v>
      </c>
      <c r="AN64" s="864">
        <f t="shared" si="56"/>
        <v>0.18958894230769241</v>
      </c>
    </row>
    <row r="65" spans="25:40" x14ac:dyDescent="0.35">
      <c r="Y65" s="875" t="str">
        <f>'US Salary'!Y31</f>
        <v>Additional Resource 1</v>
      </c>
      <c r="Z65" s="856">
        <f t="shared" si="57"/>
        <v>0</v>
      </c>
      <c r="AA65" s="857"/>
      <c r="AB65" s="744">
        <f t="shared" si="48"/>
        <v>0</v>
      </c>
      <c r="AC65" s="858">
        <f t="shared" si="49"/>
        <v>0</v>
      </c>
      <c r="AD65" s="859">
        <v>9.0999999999999998E-2</v>
      </c>
      <c r="AE65" s="744">
        <f t="shared" si="50"/>
        <v>0</v>
      </c>
      <c r="AF65" s="852">
        <v>0</v>
      </c>
      <c r="AG65" s="860">
        <v>0.3</v>
      </c>
      <c r="AH65" s="744">
        <f t="shared" si="51"/>
        <v>0</v>
      </c>
      <c r="AI65" s="861">
        <v>1.4999999999999999E-2</v>
      </c>
      <c r="AJ65" s="859">
        <f t="shared" si="52"/>
        <v>0.3</v>
      </c>
      <c r="AK65" s="744">
        <f t="shared" si="53"/>
        <v>0</v>
      </c>
      <c r="AL65" s="862">
        <f t="shared" si="54"/>
        <v>0</v>
      </c>
      <c r="AM65" s="863">
        <f t="shared" si="55"/>
        <v>0</v>
      </c>
      <c r="AN65" s="864">
        <f t="shared" si="56"/>
        <v>0</v>
      </c>
    </row>
    <row r="66" spans="25:40" x14ac:dyDescent="0.35">
      <c r="Y66" s="875" t="str">
        <f>'US Salary'!Y32</f>
        <v>Additional Resource 2</v>
      </c>
      <c r="Z66" s="856">
        <f t="shared" si="57"/>
        <v>0</v>
      </c>
      <c r="AA66" s="857"/>
      <c r="AB66" s="744">
        <f t="shared" si="48"/>
        <v>0</v>
      </c>
      <c r="AC66" s="858">
        <f t="shared" si="49"/>
        <v>0</v>
      </c>
      <c r="AD66" s="859">
        <v>9.0999999999999998E-2</v>
      </c>
      <c r="AE66" s="744">
        <f t="shared" si="50"/>
        <v>0</v>
      </c>
      <c r="AF66" s="852">
        <v>0</v>
      </c>
      <c r="AG66" s="860">
        <v>0.3</v>
      </c>
      <c r="AH66" s="744">
        <f t="shared" si="51"/>
        <v>0</v>
      </c>
      <c r="AI66" s="861">
        <v>1.4999999999999999E-2</v>
      </c>
      <c r="AJ66" s="859">
        <f t="shared" si="52"/>
        <v>0.3</v>
      </c>
      <c r="AK66" s="744">
        <f t="shared" si="53"/>
        <v>0</v>
      </c>
      <c r="AL66" s="862">
        <f t="shared" si="54"/>
        <v>0</v>
      </c>
      <c r="AM66" s="863">
        <f t="shared" si="55"/>
        <v>0</v>
      </c>
      <c r="AN66" s="864">
        <f t="shared" si="56"/>
        <v>0</v>
      </c>
    </row>
    <row r="67" spans="25:40" x14ac:dyDescent="0.35">
      <c r="Y67" s="875" t="str">
        <f>'US Salary'!Y33</f>
        <v>Additional Resource 3</v>
      </c>
      <c r="Z67" s="856">
        <f t="shared" si="57"/>
        <v>0</v>
      </c>
      <c r="AA67" s="857"/>
      <c r="AB67" s="744">
        <f t="shared" si="48"/>
        <v>0</v>
      </c>
      <c r="AC67" s="858">
        <f t="shared" si="49"/>
        <v>0</v>
      </c>
      <c r="AD67" s="859">
        <v>9.0999999999999998E-2</v>
      </c>
      <c r="AE67" s="744">
        <f t="shared" si="50"/>
        <v>0</v>
      </c>
      <c r="AF67" s="852">
        <v>0</v>
      </c>
      <c r="AG67" s="860">
        <v>0.3</v>
      </c>
      <c r="AH67" s="744">
        <f t="shared" si="51"/>
        <v>0</v>
      </c>
      <c r="AI67" s="861">
        <v>1.4999999999999999E-2</v>
      </c>
      <c r="AJ67" s="859">
        <f t="shared" si="52"/>
        <v>0.3</v>
      </c>
      <c r="AK67" s="744">
        <f t="shared" si="53"/>
        <v>0</v>
      </c>
      <c r="AL67" s="862">
        <f t="shared" si="54"/>
        <v>0</v>
      </c>
      <c r="AM67" s="863">
        <f t="shared" si="55"/>
        <v>0</v>
      </c>
      <c r="AN67" s="864">
        <f t="shared" si="56"/>
        <v>0</v>
      </c>
    </row>
    <row r="68" spans="25:40" x14ac:dyDescent="0.35">
      <c r="Y68" s="876" t="str">
        <f>$L$17</f>
        <v>Backoffice and Voice L4</v>
      </c>
    </row>
    <row r="69" spans="25:40" x14ac:dyDescent="0.35">
      <c r="Y69" s="875" t="str">
        <f>'US Salary'!Y18</f>
        <v>TL</v>
      </c>
      <c r="Z69" s="856">
        <f>L18</f>
        <v>29</v>
      </c>
      <c r="AA69" s="857"/>
      <c r="AB69" s="744">
        <f t="shared" ref="AB69:AB84" si="58">Z69*AA69</f>
        <v>0</v>
      </c>
      <c r="AC69" s="858">
        <f t="shared" ref="AC69:AC84" si="59">(Z69+AB69)*2080</f>
        <v>60320</v>
      </c>
      <c r="AD69" s="859">
        <v>9.0999999999999998E-2</v>
      </c>
      <c r="AE69" s="744">
        <f t="shared" ref="AE69:AE84" si="60">Z69*AD69</f>
        <v>2.6389999999999998</v>
      </c>
      <c r="AF69" s="852">
        <v>7866</v>
      </c>
      <c r="AG69" s="860">
        <v>0.5</v>
      </c>
      <c r="AH69" s="744">
        <f t="shared" ref="AH69:AH84" si="61">(AF69*AG69)/2080</f>
        <v>1.8908653846153847</v>
      </c>
      <c r="AI69" s="861">
        <v>1.4999999999999999E-2</v>
      </c>
      <c r="AJ69" s="859">
        <f t="shared" ref="AJ69:AJ84" si="62">AG69</f>
        <v>0.5</v>
      </c>
      <c r="AK69" s="744">
        <f t="shared" ref="AK69:AK84" si="63">Z69*AI69*AJ69</f>
        <v>0.2175</v>
      </c>
      <c r="AL69" s="862">
        <f t="shared" ref="AL69:AL84" si="64">SUM(Z69,AB69,AE69,AH69,AK69)</f>
        <v>33.747365384615385</v>
      </c>
      <c r="AM69" s="863">
        <f t="shared" ref="AM69:AM84" si="65">AL69*2080/12</f>
        <v>5849.543333333334</v>
      </c>
      <c r="AN69" s="864">
        <f t="shared" ref="AN69:AN84" si="66">IFERROR((AL69-AB69)/Z69-1,0)</f>
        <v>0.16370225464190979</v>
      </c>
    </row>
    <row r="70" spans="25:40" x14ac:dyDescent="0.35">
      <c r="Y70" s="875" t="str">
        <f>'US Salary'!Y19</f>
        <v>AM</v>
      </c>
      <c r="Z70" s="856">
        <f t="shared" ref="Z70:Z84" si="67">L19</f>
        <v>30</v>
      </c>
      <c r="AA70" s="857"/>
      <c r="AB70" s="744">
        <f t="shared" si="58"/>
        <v>0</v>
      </c>
      <c r="AC70" s="858">
        <f t="shared" si="59"/>
        <v>62400</v>
      </c>
      <c r="AD70" s="859">
        <v>9.0999999999999998E-2</v>
      </c>
      <c r="AE70" s="744">
        <f t="shared" si="60"/>
        <v>2.73</v>
      </c>
      <c r="AF70" s="852">
        <v>7866</v>
      </c>
      <c r="AG70" s="860">
        <v>0.6</v>
      </c>
      <c r="AH70" s="744">
        <f t="shared" si="61"/>
        <v>2.2690384615384613</v>
      </c>
      <c r="AI70" s="861">
        <v>1.4999999999999999E-2</v>
      </c>
      <c r="AJ70" s="859">
        <f t="shared" si="62"/>
        <v>0.6</v>
      </c>
      <c r="AK70" s="744">
        <f t="shared" si="63"/>
        <v>0.26999999999999996</v>
      </c>
      <c r="AL70" s="862">
        <f t="shared" si="64"/>
        <v>35.269038461538464</v>
      </c>
      <c r="AM70" s="863">
        <f t="shared" si="65"/>
        <v>6113.3</v>
      </c>
      <c r="AN70" s="864">
        <f t="shared" si="66"/>
        <v>0.17563461538461556</v>
      </c>
    </row>
    <row r="71" spans="25:40" x14ac:dyDescent="0.35">
      <c r="Y71" s="875" t="str">
        <f>'US Salary'!Y20</f>
        <v>Ops Manager</v>
      </c>
      <c r="Z71" s="856">
        <f t="shared" si="67"/>
        <v>32.5</v>
      </c>
      <c r="AA71" s="857">
        <v>0.15</v>
      </c>
      <c r="AB71" s="744">
        <f t="shared" si="58"/>
        <v>4.875</v>
      </c>
      <c r="AC71" s="858">
        <f t="shared" si="59"/>
        <v>77740</v>
      </c>
      <c r="AD71" s="859">
        <v>9.0999999999999998E-2</v>
      </c>
      <c r="AE71" s="744">
        <f t="shared" si="60"/>
        <v>2.9575</v>
      </c>
      <c r="AF71" s="852">
        <v>7866</v>
      </c>
      <c r="AG71" s="860">
        <v>0.7</v>
      </c>
      <c r="AH71" s="744">
        <f t="shared" si="61"/>
        <v>2.6472115384615384</v>
      </c>
      <c r="AI71" s="861">
        <v>1.4999999999999999E-2</v>
      </c>
      <c r="AJ71" s="859">
        <f t="shared" si="62"/>
        <v>0.7</v>
      </c>
      <c r="AK71" s="744">
        <f t="shared" si="63"/>
        <v>0.34125</v>
      </c>
      <c r="AL71" s="862">
        <f t="shared" si="64"/>
        <v>43.320961538461546</v>
      </c>
      <c r="AM71" s="863">
        <f t="shared" si="65"/>
        <v>7508.9666666666681</v>
      </c>
      <c r="AN71" s="864">
        <f t="shared" si="66"/>
        <v>0.18295266272189381</v>
      </c>
    </row>
    <row r="72" spans="25:40" x14ac:dyDescent="0.35">
      <c r="Y72" s="875" t="str">
        <f>'US Salary'!Y21</f>
        <v>Sr Manager</v>
      </c>
      <c r="Z72" s="856">
        <f t="shared" si="67"/>
        <v>40</v>
      </c>
      <c r="AA72" s="857">
        <v>0.15</v>
      </c>
      <c r="AB72" s="744">
        <f t="shared" si="58"/>
        <v>6</v>
      </c>
      <c r="AC72" s="858">
        <f t="shared" si="59"/>
        <v>95680</v>
      </c>
      <c r="AD72" s="859">
        <v>9.0999999999999998E-2</v>
      </c>
      <c r="AE72" s="744">
        <f t="shared" si="60"/>
        <v>3.6399999999999997</v>
      </c>
      <c r="AF72" s="852">
        <v>7866</v>
      </c>
      <c r="AG72" s="860">
        <v>0.8</v>
      </c>
      <c r="AH72" s="744">
        <f t="shared" si="61"/>
        <v>3.0253846153846156</v>
      </c>
      <c r="AI72" s="861">
        <v>1.4999999999999999E-2</v>
      </c>
      <c r="AJ72" s="859">
        <f t="shared" si="62"/>
        <v>0.8</v>
      </c>
      <c r="AK72" s="744">
        <f t="shared" si="63"/>
        <v>0.48</v>
      </c>
      <c r="AL72" s="862">
        <f t="shared" si="64"/>
        <v>53.145384615384614</v>
      </c>
      <c r="AM72" s="863">
        <f t="shared" si="65"/>
        <v>9211.8666666666668</v>
      </c>
      <c r="AN72" s="864">
        <f t="shared" si="66"/>
        <v>0.17863461538461545</v>
      </c>
    </row>
    <row r="73" spans="25:40" x14ac:dyDescent="0.35">
      <c r="Y73" s="875" t="str">
        <f>'US Salary'!Y22</f>
        <v>DGM / AD</v>
      </c>
      <c r="Z73" s="856">
        <f t="shared" si="67"/>
        <v>48</v>
      </c>
      <c r="AA73" s="857">
        <v>0.15</v>
      </c>
      <c r="AB73" s="744">
        <f t="shared" si="58"/>
        <v>7.1999999999999993</v>
      </c>
      <c r="AC73" s="858">
        <f t="shared" si="59"/>
        <v>114816</v>
      </c>
      <c r="AD73" s="859">
        <v>9.0999999999999998E-2</v>
      </c>
      <c r="AE73" s="744">
        <f t="shared" si="60"/>
        <v>4.3680000000000003</v>
      </c>
      <c r="AF73" s="852">
        <v>7866</v>
      </c>
      <c r="AG73" s="860">
        <v>0.9</v>
      </c>
      <c r="AH73" s="744">
        <f t="shared" si="61"/>
        <v>3.4035576923076927</v>
      </c>
      <c r="AI73" s="861">
        <v>1.4999999999999999E-2</v>
      </c>
      <c r="AJ73" s="859">
        <f t="shared" si="62"/>
        <v>0.9</v>
      </c>
      <c r="AK73" s="744">
        <f t="shared" si="63"/>
        <v>0.64800000000000002</v>
      </c>
      <c r="AL73" s="862">
        <f t="shared" si="64"/>
        <v>63.619557692307701</v>
      </c>
      <c r="AM73" s="863">
        <f t="shared" si="65"/>
        <v>11027.390000000001</v>
      </c>
      <c r="AN73" s="864">
        <f t="shared" si="66"/>
        <v>0.17540745192307727</v>
      </c>
    </row>
    <row r="74" spans="25:40" x14ac:dyDescent="0.35">
      <c r="Y74" s="875" t="str">
        <f>'US Salary'!Y23</f>
        <v>GM / Director</v>
      </c>
      <c r="Z74" s="856">
        <f t="shared" si="67"/>
        <v>58</v>
      </c>
      <c r="AA74" s="857">
        <v>0.15</v>
      </c>
      <c r="AB74" s="744">
        <f t="shared" si="58"/>
        <v>8.6999999999999993</v>
      </c>
      <c r="AC74" s="858">
        <f t="shared" si="59"/>
        <v>138736</v>
      </c>
      <c r="AD74" s="859">
        <v>9.0999999999999998E-2</v>
      </c>
      <c r="AE74" s="744">
        <f t="shared" si="60"/>
        <v>5.2779999999999996</v>
      </c>
      <c r="AF74" s="852">
        <v>7866</v>
      </c>
      <c r="AG74" s="860">
        <v>0.9</v>
      </c>
      <c r="AH74" s="744">
        <f t="shared" si="61"/>
        <v>3.4035576923076927</v>
      </c>
      <c r="AI74" s="861">
        <v>1.4999999999999999E-2</v>
      </c>
      <c r="AJ74" s="859">
        <f t="shared" si="62"/>
        <v>0.9</v>
      </c>
      <c r="AK74" s="744">
        <f t="shared" si="63"/>
        <v>0.78300000000000003</v>
      </c>
      <c r="AL74" s="862">
        <f t="shared" si="64"/>
        <v>76.164557692307696</v>
      </c>
      <c r="AM74" s="863">
        <f t="shared" si="65"/>
        <v>13201.856666666667</v>
      </c>
      <c r="AN74" s="864">
        <f t="shared" si="66"/>
        <v>0.16318202917771885</v>
      </c>
    </row>
    <row r="75" spans="25:40" x14ac:dyDescent="0.35">
      <c r="Y75" s="875" t="str">
        <f>'US Salary'!Y24</f>
        <v>AVP / VP</v>
      </c>
      <c r="Z75" s="856">
        <f t="shared" si="67"/>
        <v>67</v>
      </c>
      <c r="AA75" s="857">
        <v>0.15</v>
      </c>
      <c r="AB75" s="744">
        <f t="shared" si="58"/>
        <v>10.049999999999999</v>
      </c>
      <c r="AC75" s="858">
        <f t="shared" si="59"/>
        <v>160264</v>
      </c>
      <c r="AD75" s="859">
        <v>9.0999999999999998E-2</v>
      </c>
      <c r="AE75" s="744">
        <f t="shared" si="60"/>
        <v>6.0969999999999995</v>
      </c>
      <c r="AF75" s="852">
        <v>7866</v>
      </c>
      <c r="AG75" s="860">
        <v>0.9</v>
      </c>
      <c r="AH75" s="744">
        <f t="shared" si="61"/>
        <v>3.4035576923076927</v>
      </c>
      <c r="AI75" s="861">
        <v>1.4999999999999999E-2</v>
      </c>
      <c r="AJ75" s="859">
        <f t="shared" si="62"/>
        <v>0.9</v>
      </c>
      <c r="AK75" s="744">
        <f t="shared" si="63"/>
        <v>0.90449999999999997</v>
      </c>
      <c r="AL75" s="862">
        <f t="shared" si="64"/>
        <v>87.455057692307676</v>
      </c>
      <c r="AM75" s="863">
        <f t="shared" si="65"/>
        <v>15158.876666666663</v>
      </c>
      <c r="AN75" s="864">
        <f t="shared" si="66"/>
        <v>0.15529936854190574</v>
      </c>
    </row>
    <row r="76" spans="25:40" x14ac:dyDescent="0.35">
      <c r="Y76" s="875" t="str">
        <f>'US Salary'!Y25</f>
        <v>SME</v>
      </c>
      <c r="Z76" s="856">
        <f t="shared" si="67"/>
        <v>29</v>
      </c>
      <c r="AA76" s="857"/>
      <c r="AB76" s="744">
        <f t="shared" si="58"/>
        <v>0</v>
      </c>
      <c r="AC76" s="858">
        <f t="shared" si="59"/>
        <v>60320</v>
      </c>
      <c r="AD76" s="859">
        <v>9.0999999999999998E-2</v>
      </c>
      <c r="AE76" s="744">
        <f t="shared" si="60"/>
        <v>2.6389999999999998</v>
      </c>
      <c r="AF76" s="852">
        <v>7866</v>
      </c>
      <c r="AG76" s="860">
        <v>0.5</v>
      </c>
      <c r="AH76" s="744">
        <f t="shared" si="61"/>
        <v>1.8908653846153847</v>
      </c>
      <c r="AI76" s="861">
        <v>1.4999999999999999E-2</v>
      </c>
      <c r="AJ76" s="859">
        <f t="shared" si="62"/>
        <v>0.5</v>
      </c>
      <c r="AK76" s="744">
        <f t="shared" si="63"/>
        <v>0.2175</v>
      </c>
      <c r="AL76" s="862">
        <f t="shared" si="64"/>
        <v>33.747365384615385</v>
      </c>
      <c r="AM76" s="863">
        <f t="shared" si="65"/>
        <v>5849.543333333334</v>
      </c>
      <c r="AN76" s="864">
        <f t="shared" si="66"/>
        <v>0.16370225464190979</v>
      </c>
    </row>
    <row r="77" spans="25:40" x14ac:dyDescent="0.35">
      <c r="Y77" s="875" t="str">
        <f>'US Salary'!Y26</f>
        <v>QA</v>
      </c>
      <c r="Z77" s="856">
        <f t="shared" si="67"/>
        <v>29</v>
      </c>
      <c r="AA77" s="857"/>
      <c r="AB77" s="744">
        <f t="shared" si="58"/>
        <v>0</v>
      </c>
      <c r="AC77" s="858">
        <f t="shared" si="59"/>
        <v>60320</v>
      </c>
      <c r="AD77" s="859">
        <v>9.0999999999999998E-2</v>
      </c>
      <c r="AE77" s="744">
        <f t="shared" si="60"/>
        <v>2.6389999999999998</v>
      </c>
      <c r="AF77" s="852">
        <v>7866</v>
      </c>
      <c r="AG77" s="860">
        <v>0.5</v>
      </c>
      <c r="AH77" s="744">
        <f t="shared" si="61"/>
        <v>1.8908653846153847</v>
      </c>
      <c r="AI77" s="861">
        <v>1.4999999999999999E-2</v>
      </c>
      <c r="AJ77" s="859">
        <f t="shared" si="62"/>
        <v>0.5</v>
      </c>
      <c r="AK77" s="744">
        <f t="shared" si="63"/>
        <v>0.2175</v>
      </c>
      <c r="AL77" s="862">
        <f t="shared" si="64"/>
        <v>33.747365384615385</v>
      </c>
      <c r="AM77" s="863">
        <f t="shared" si="65"/>
        <v>5849.543333333334</v>
      </c>
      <c r="AN77" s="864">
        <f t="shared" si="66"/>
        <v>0.16370225464190979</v>
      </c>
    </row>
    <row r="78" spans="25:40" x14ac:dyDescent="0.35">
      <c r="Y78" s="875" t="str">
        <f>'US Salary'!Y27</f>
        <v>Trainer</v>
      </c>
      <c r="Z78" s="856">
        <f t="shared" si="67"/>
        <v>29</v>
      </c>
      <c r="AA78" s="857"/>
      <c r="AB78" s="744">
        <f t="shared" si="58"/>
        <v>0</v>
      </c>
      <c r="AC78" s="858">
        <f t="shared" si="59"/>
        <v>60320</v>
      </c>
      <c r="AD78" s="859">
        <v>9.0999999999999998E-2</v>
      </c>
      <c r="AE78" s="744">
        <f t="shared" si="60"/>
        <v>2.6389999999999998</v>
      </c>
      <c r="AF78" s="852">
        <v>7866</v>
      </c>
      <c r="AG78" s="860">
        <v>0.5</v>
      </c>
      <c r="AH78" s="744">
        <f t="shared" si="61"/>
        <v>1.8908653846153847</v>
      </c>
      <c r="AI78" s="861">
        <v>1.4999999999999999E-2</v>
      </c>
      <c r="AJ78" s="859">
        <f t="shared" si="62"/>
        <v>0.5</v>
      </c>
      <c r="AK78" s="744">
        <f t="shared" si="63"/>
        <v>0.2175</v>
      </c>
      <c r="AL78" s="862">
        <f t="shared" si="64"/>
        <v>33.747365384615385</v>
      </c>
      <c r="AM78" s="863">
        <f t="shared" si="65"/>
        <v>5849.543333333334</v>
      </c>
      <c r="AN78" s="864">
        <f t="shared" si="66"/>
        <v>0.16370225464190979</v>
      </c>
    </row>
    <row r="79" spans="25:40" x14ac:dyDescent="0.35">
      <c r="Y79" s="875" t="str">
        <f>'US Salary'!Y28</f>
        <v>RTA/WFM</v>
      </c>
      <c r="Z79" s="856">
        <f t="shared" si="67"/>
        <v>16</v>
      </c>
      <c r="AA79" s="857"/>
      <c r="AB79" s="744">
        <f t="shared" si="58"/>
        <v>0</v>
      </c>
      <c r="AC79" s="858">
        <f t="shared" si="59"/>
        <v>33280</v>
      </c>
      <c r="AD79" s="859">
        <v>9.0999999999999998E-2</v>
      </c>
      <c r="AE79" s="744">
        <f t="shared" si="60"/>
        <v>1.456</v>
      </c>
      <c r="AF79" s="852">
        <v>7866</v>
      </c>
      <c r="AG79" s="860">
        <v>0.5</v>
      </c>
      <c r="AH79" s="744">
        <f t="shared" si="61"/>
        <v>1.8908653846153847</v>
      </c>
      <c r="AI79" s="861">
        <v>1.4999999999999999E-2</v>
      </c>
      <c r="AJ79" s="859">
        <f t="shared" si="62"/>
        <v>0.5</v>
      </c>
      <c r="AK79" s="744">
        <f t="shared" si="63"/>
        <v>0.12</v>
      </c>
      <c r="AL79" s="862">
        <f t="shared" si="64"/>
        <v>19.466865384615385</v>
      </c>
      <c r="AM79" s="863">
        <f t="shared" si="65"/>
        <v>3374.2566666666667</v>
      </c>
      <c r="AN79" s="864">
        <f t="shared" si="66"/>
        <v>0.21667908653846157</v>
      </c>
    </row>
    <row r="80" spans="25:40" x14ac:dyDescent="0.35">
      <c r="Y80" s="875" t="str">
        <f>'US Salary'!Y29</f>
        <v>Transition Resource</v>
      </c>
      <c r="Z80" s="856">
        <f t="shared" si="67"/>
        <v>40</v>
      </c>
      <c r="AA80" s="857"/>
      <c r="AB80" s="744">
        <f t="shared" si="58"/>
        <v>0</v>
      </c>
      <c r="AC80" s="858">
        <f t="shared" si="59"/>
        <v>83200</v>
      </c>
      <c r="AD80" s="859">
        <v>9.0999999999999998E-2</v>
      </c>
      <c r="AE80" s="744">
        <f t="shared" si="60"/>
        <v>3.6399999999999997</v>
      </c>
      <c r="AF80" s="852">
        <v>7866</v>
      </c>
      <c r="AG80" s="860">
        <v>0.9</v>
      </c>
      <c r="AH80" s="744">
        <f t="shared" si="61"/>
        <v>3.4035576923076927</v>
      </c>
      <c r="AI80" s="861">
        <v>1.4999999999999999E-2</v>
      </c>
      <c r="AJ80" s="859">
        <f t="shared" si="62"/>
        <v>0.9</v>
      </c>
      <c r="AK80" s="744">
        <f t="shared" si="63"/>
        <v>0.54</v>
      </c>
      <c r="AL80" s="862">
        <f t="shared" si="64"/>
        <v>47.583557692307693</v>
      </c>
      <c r="AM80" s="863">
        <f t="shared" si="65"/>
        <v>8247.8166666666675</v>
      </c>
      <c r="AN80" s="864">
        <f t="shared" si="66"/>
        <v>0.18958894230769241</v>
      </c>
    </row>
    <row r="81" spans="25:40" x14ac:dyDescent="0.35">
      <c r="Y81" s="875" t="str">
        <f>'US Salary'!Y30</f>
        <v>PEx Resource</v>
      </c>
      <c r="Z81" s="856">
        <f t="shared" si="67"/>
        <v>40</v>
      </c>
      <c r="AA81" s="857"/>
      <c r="AB81" s="744">
        <f t="shared" si="58"/>
        <v>0</v>
      </c>
      <c r="AC81" s="858">
        <f t="shared" si="59"/>
        <v>83200</v>
      </c>
      <c r="AD81" s="859">
        <v>9.0999999999999998E-2</v>
      </c>
      <c r="AE81" s="744">
        <f t="shared" si="60"/>
        <v>3.6399999999999997</v>
      </c>
      <c r="AF81" s="852">
        <v>7866</v>
      </c>
      <c r="AG81" s="860">
        <v>0.9</v>
      </c>
      <c r="AH81" s="744">
        <f t="shared" si="61"/>
        <v>3.4035576923076927</v>
      </c>
      <c r="AI81" s="861">
        <v>1.4999999999999999E-2</v>
      </c>
      <c r="AJ81" s="859">
        <f t="shared" si="62"/>
        <v>0.9</v>
      </c>
      <c r="AK81" s="744">
        <f t="shared" si="63"/>
        <v>0.54</v>
      </c>
      <c r="AL81" s="862">
        <f t="shared" si="64"/>
        <v>47.583557692307693</v>
      </c>
      <c r="AM81" s="863">
        <f t="shared" si="65"/>
        <v>8247.8166666666675</v>
      </c>
      <c r="AN81" s="864">
        <f t="shared" si="66"/>
        <v>0.18958894230769241</v>
      </c>
    </row>
    <row r="82" spans="25:40" x14ac:dyDescent="0.35">
      <c r="Y82" s="875" t="str">
        <f>'US Salary'!Y31</f>
        <v>Additional Resource 1</v>
      </c>
      <c r="Z82" s="856">
        <f t="shared" si="67"/>
        <v>0</v>
      </c>
      <c r="AA82" s="857"/>
      <c r="AB82" s="744">
        <f t="shared" si="58"/>
        <v>0</v>
      </c>
      <c r="AC82" s="858">
        <f t="shared" si="59"/>
        <v>0</v>
      </c>
      <c r="AD82" s="859">
        <v>9.0999999999999998E-2</v>
      </c>
      <c r="AE82" s="744">
        <f t="shared" si="60"/>
        <v>0</v>
      </c>
      <c r="AF82" s="852">
        <v>0</v>
      </c>
      <c r="AG82" s="860">
        <v>0.3</v>
      </c>
      <c r="AH82" s="744">
        <f t="shared" si="61"/>
        <v>0</v>
      </c>
      <c r="AI82" s="861">
        <v>1.4999999999999999E-2</v>
      </c>
      <c r="AJ82" s="859">
        <f t="shared" si="62"/>
        <v>0.3</v>
      </c>
      <c r="AK82" s="744">
        <f t="shared" si="63"/>
        <v>0</v>
      </c>
      <c r="AL82" s="862">
        <f t="shared" si="64"/>
        <v>0</v>
      </c>
      <c r="AM82" s="863">
        <f t="shared" si="65"/>
        <v>0</v>
      </c>
      <c r="AN82" s="864">
        <f t="shared" si="66"/>
        <v>0</v>
      </c>
    </row>
    <row r="83" spans="25:40" x14ac:dyDescent="0.35">
      <c r="Y83" s="875" t="str">
        <f>'US Salary'!Y32</f>
        <v>Additional Resource 2</v>
      </c>
      <c r="Z83" s="856">
        <f t="shared" si="67"/>
        <v>0</v>
      </c>
      <c r="AA83" s="857"/>
      <c r="AB83" s="744">
        <f t="shared" si="58"/>
        <v>0</v>
      </c>
      <c r="AC83" s="858">
        <f t="shared" si="59"/>
        <v>0</v>
      </c>
      <c r="AD83" s="859">
        <v>9.0999999999999998E-2</v>
      </c>
      <c r="AE83" s="744">
        <f t="shared" si="60"/>
        <v>0</v>
      </c>
      <c r="AF83" s="852">
        <v>0</v>
      </c>
      <c r="AG83" s="860">
        <v>0.3</v>
      </c>
      <c r="AH83" s="744">
        <f t="shared" si="61"/>
        <v>0</v>
      </c>
      <c r="AI83" s="861">
        <v>1.4999999999999999E-2</v>
      </c>
      <c r="AJ83" s="859">
        <f t="shared" si="62"/>
        <v>0.3</v>
      </c>
      <c r="AK83" s="744">
        <f t="shared" si="63"/>
        <v>0</v>
      </c>
      <c r="AL83" s="862">
        <f t="shared" si="64"/>
        <v>0</v>
      </c>
      <c r="AM83" s="863">
        <f t="shared" si="65"/>
        <v>0</v>
      </c>
      <c r="AN83" s="864">
        <f t="shared" si="66"/>
        <v>0</v>
      </c>
    </row>
    <row r="84" spans="25:40" x14ac:dyDescent="0.35">
      <c r="Y84" s="875" t="str">
        <f>'US Salary'!Y33</f>
        <v>Additional Resource 3</v>
      </c>
      <c r="Z84" s="856">
        <f t="shared" si="67"/>
        <v>0</v>
      </c>
      <c r="AA84" s="857"/>
      <c r="AB84" s="744">
        <f t="shared" si="58"/>
        <v>0</v>
      </c>
      <c r="AC84" s="858">
        <f t="shared" si="59"/>
        <v>0</v>
      </c>
      <c r="AD84" s="859">
        <v>9.0999999999999998E-2</v>
      </c>
      <c r="AE84" s="744">
        <f t="shared" si="60"/>
        <v>0</v>
      </c>
      <c r="AF84" s="852">
        <v>0</v>
      </c>
      <c r="AG84" s="860">
        <v>0.3</v>
      </c>
      <c r="AH84" s="744">
        <f t="shared" si="61"/>
        <v>0</v>
      </c>
      <c r="AI84" s="861">
        <v>1.4999999999999999E-2</v>
      </c>
      <c r="AJ84" s="859">
        <f t="shared" si="62"/>
        <v>0.3</v>
      </c>
      <c r="AK84" s="744">
        <f t="shared" si="63"/>
        <v>0</v>
      </c>
      <c r="AL84" s="862">
        <f t="shared" si="64"/>
        <v>0</v>
      </c>
      <c r="AM84" s="863">
        <f t="shared" si="65"/>
        <v>0</v>
      </c>
      <c r="AN84" s="864">
        <f t="shared" si="66"/>
        <v>0</v>
      </c>
    </row>
    <row r="85" spans="25:40" x14ac:dyDescent="0.35">
      <c r="Y85" s="876" t="str">
        <f>$M$17</f>
        <v>BackofficeL5</v>
      </c>
    </row>
    <row r="86" spans="25:40" x14ac:dyDescent="0.35">
      <c r="Y86" s="875" t="str">
        <f>'US Salary'!Y18</f>
        <v>TL</v>
      </c>
      <c r="Z86" s="856">
        <f>M18</f>
        <v>32</v>
      </c>
      <c r="AA86" s="857"/>
      <c r="AB86" s="744">
        <f t="shared" ref="AB86:AB101" si="68">Z86*AA86</f>
        <v>0</v>
      </c>
      <c r="AC86" s="858">
        <f t="shared" ref="AC86:AC101" si="69">(Z86+AB86)*2080</f>
        <v>66560</v>
      </c>
      <c r="AD86" s="859">
        <v>9.0999999999999998E-2</v>
      </c>
      <c r="AE86" s="744">
        <f t="shared" ref="AE86:AE101" si="70">Z86*AD86</f>
        <v>2.9119999999999999</v>
      </c>
      <c r="AF86" s="852">
        <v>7866</v>
      </c>
      <c r="AG86" s="860">
        <v>0.5</v>
      </c>
      <c r="AH86" s="744">
        <f t="shared" ref="AH86:AH101" si="71">(AF86*AG86)/2080</f>
        <v>1.8908653846153847</v>
      </c>
      <c r="AI86" s="861">
        <v>1.4999999999999999E-2</v>
      </c>
      <c r="AJ86" s="859">
        <f t="shared" ref="AJ86:AJ101" si="72">AG86</f>
        <v>0.5</v>
      </c>
      <c r="AK86" s="744">
        <f t="shared" ref="AK86:AK101" si="73">Z86*AI86*AJ86</f>
        <v>0.24</v>
      </c>
      <c r="AL86" s="862">
        <f t="shared" ref="AL86:AL101" si="74">SUM(Z86,AB86,AE86,AH86,AK86)</f>
        <v>37.042865384615389</v>
      </c>
      <c r="AM86" s="863">
        <f t="shared" ref="AM86:AM101" si="75">AL86*2080/12</f>
        <v>6420.7633333333333</v>
      </c>
      <c r="AN86" s="864">
        <f t="shared" ref="AN86:AN101" si="76">IFERROR((AL86-AB86)/Z86-1,0)</f>
        <v>0.15758954326923091</v>
      </c>
    </row>
    <row r="87" spans="25:40" x14ac:dyDescent="0.35">
      <c r="Y87" s="875" t="str">
        <f>'US Salary'!Y19</f>
        <v>AM</v>
      </c>
      <c r="Z87" s="856">
        <f t="shared" ref="Z87:Z101" si="77">M19</f>
        <v>35</v>
      </c>
      <c r="AA87" s="857"/>
      <c r="AB87" s="744">
        <f t="shared" si="68"/>
        <v>0</v>
      </c>
      <c r="AC87" s="858">
        <f t="shared" si="69"/>
        <v>72800</v>
      </c>
      <c r="AD87" s="859">
        <v>9.0999999999999998E-2</v>
      </c>
      <c r="AE87" s="744">
        <f t="shared" si="70"/>
        <v>3.1850000000000001</v>
      </c>
      <c r="AF87" s="852">
        <v>7866</v>
      </c>
      <c r="AG87" s="860">
        <v>0.6</v>
      </c>
      <c r="AH87" s="744">
        <f t="shared" si="71"/>
        <v>2.2690384615384613</v>
      </c>
      <c r="AI87" s="861">
        <v>1.4999999999999999E-2</v>
      </c>
      <c r="AJ87" s="859">
        <f t="shared" si="72"/>
        <v>0.6</v>
      </c>
      <c r="AK87" s="744">
        <f t="shared" si="73"/>
        <v>0.315</v>
      </c>
      <c r="AL87" s="862">
        <f t="shared" si="74"/>
        <v>40.769038461538464</v>
      </c>
      <c r="AM87" s="863">
        <f t="shared" si="75"/>
        <v>7066.6333333333341</v>
      </c>
      <c r="AN87" s="864">
        <f t="shared" si="76"/>
        <v>0.16482967032967033</v>
      </c>
    </row>
    <row r="88" spans="25:40" x14ac:dyDescent="0.35">
      <c r="Y88" s="875" t="str">
        <f>'US Salary'!Y20</f>
        <v>Ops Manager</v>
      </c>
      <c r="Z88" s="856">
        <f t="shared" si="77"/>
        <v>38.46</v>
      </c>
      <c r="AA88" s="857">
        <v>0.15</v>
      </c>
      <c r="AB88" s="744">
        <f t="shared" si="68"/>
        <v>5.7690000000000001</v>
      </c>
      <c r="AC88" s="858">
        <f t="shared" si="69"/>
        <v>91996.319999999992</v>
      </c>
      <c r="AD88" s="859">
        <v>9.0999999999999998E-2</v>
      </c>
      <c r="AE88" s="744">
        <f t="shared" si="70"/>
        <v>3.49986</v>
      </c>
      <c r="AF88" s="852">
        <v>7866</v>
      </c>
      <c r="AG88" s="860">
        <v>0.7</v>
      </c>
      <c r="AH88" s="744">
        <f t="shared" si="71"/>
        <v>2.6472115384615384</v>
      </c>
      <c r="AI88" s="861">
        <v>1.4999999999999999E-2</v>
      </c>
      <c r="AJ88" s="859">
        <f t="shared" si="72"/>
        <v>0.7</v>
      </c>
      <c r="AK88" s="744">
        <f t="shared" si="73"/>
        <v>0.40382999999999997</v>
      </c>
      <c r="AL88" s="862">
        <f t="shared" si="74"/>
        <v>50.779901538461537</v>
      </c>
      <c r="AM88" s="863">
        <f t="shared" si="75"/>
        <v>8801.8495999999996</v>
      </c>
      <c r="AN88" s="864">
        <f t="shared" si="76"/>
        <v>0.17033025321012829</v>
      </c>
    </row>
    <row r="89" spans="25:40" x14ac:dyDescent="0.35">
      <c r="Y89" s="875" t="str">
        <f>'US Salary'!Y21</f>
        <v>Sr Manager</v>
      </c>
      <c r="Z89" s="856">
        <f t="shared" si="77"/>
        <v>40</v>
      </c>
      <c r="AA89" s="857">
        <v>0.15</v>
      </c>
      <c r="AB89" s="744">
        <f t="shared" si="68"/>
        <v>6</v>
      </c>
      <c r="AC89" s="858">
        <f t="shared" si="69"/>
        <v>95680</v>
      </c>
      <c r="AD89" s="859">
        <v>9.0999999999999998E-2</v>
      </c>
      <c r="AE89" s="744">
        <f t="shared" si="70"/>
        <v>3.6399999999999997</v>
      </c>
      <c r="AF89" s="852">
        <v>7866</v>
      </c>
      <c r="AG89" s="860">
        <v>0.8</v>
      </c>
      <c r="AH89" s="744">
        <f t="shared" si="71"/>
        <v>3.0253846153846156</v>
      </c>
      <c r="AI89" s="861">
        <v>1.4999999999999999E-2</v>
      </c>
      <c r="AJ89" s="859">
        <f t="shared" si="72"/>
        <v>0.8</v>
      </c>
      <c r="AK89" s="744">
        <f t="shared" si="73"/>
        <v>0.48</v>
      </c>
      <c r="AL89" s="862">
        <f t="shared" si="74"/>
        <v>53.145384615384614</v>
      </c>
      <c r="AM89" s="863">
        <f t="shared" si="75"/>
        <v>9211.8666666666668</v>
      </c>
      <c r="AN89" s="864">
        <f t="shared" si="76"/>
        <v>0.17863461538461545</v>
      </c>
    </row>
    <row r="90" spans="25:40" x14ac:dyDescent="0.35">
      <c r="Y90" s="875" t="str">
        <f>'US Salary'!Y22</f>
        <v>DGM / AD</v>
      </c>
      <c r="Z90" s="856">
        <f t="shared" si="77"/>
        <v>48</v>
      </c>
      <c r="AA90" s="857">
        <v>0.15</v>
      </c>
      <c r="AB90" s="744">
        <f t="shared" si="68"/>
        <v>7.1999999999999993</v>
      </c>
      <c r="AC90" s="858">
        <f t="shared" si="69"/>
        <v>114816</v>
      </c>
      <c r="AD90" s="859">
        <v>9.0999999999999998E-2</v>
      </c>
      <c r="AE90" s="744">
        <f t="shared" si="70"/>
        <v>4.3680000000000003</v>
      </c>
      <c r="AF90" s="852">
        <v>7866</v>
      </c>
      <c r="AG90" s="860">
        <v>0.9</v>
      </c>
      <c r="AH90" s="744">
        <f t="shared" si="71"/>
        <v>3.4035576923076927</v>
      </c>
      <c r="AI90" s="861">
        <v>1.4999999999999999E-2</v>
      </c>
      <c r="AJ90" s="859">
        <f t="shared" si="72"/>
        <v>0.9</v>
      </c>
      <c r="AK90" s="744">
        <f t="shared" si="73"/>
        <v>0.64800000000000002</v>
      </c>
      <c r="AL90" s="862">
        <f t="shared" si="74"/>
        <v>63.619557692307701</v>
      </c>
      <c r="AM90" s="863">
        <f t="shared" si="75"/>
        <v>11027.390000000001</v>
      </c>
      <c r="AN90" s="864">
        <f t="shared" si="76"/>
        <v>0.17540745192307727</v>
      </c>
    </row>
    <row r="91" spans="25:40" x14ac:dyDescent="0.35">
      <c r="Y91" s="875" t="str">
        <f>'US Salary'!Y23</f>
        <v>GM / Director</v>
      </c>
      <c r="Z91" s="856">
        <f t="shared" si="77"/>
        <v>58</v>
      </c>
      <c r="AA91" s="857">
        <v>0.15</v>
      </c>
      <c r="AB91" s="744">
        <f t="shared" si="68"/>
        <v>8.6999999999999993</v>
      </c>
      <c r="AC91" s="858">
        <f t="shared" si="69"/>
        <v>138736</v>
      </c>
      <c r="AD91" s="859">
        <v>9.0999999999999998E-2</v>
      </c>
      <c r="AE91" s="744">
        <f t="shared" si="70"/>
        <v>5.2779999999999996</v>
      </c>
      <c r="AF91" s="852">
        <v>7866</v>
      </c>
      <c r="AG91" s="860">
        <v>0.9</v>
      </c>
      <c r="AH91" s="744">
        <f t="shared" si="71"/>
        <v>3.4035576923076927</v>
      </c>
      <c r="AI91" s="861">
        <v>1.4999999999999999E-2</v>
      </c>
      <c r="AJ91" s="859">
        <f t="shared" si="72"/>
        <v>0.9</v>
      </c>
      <c r="AK91" s="744">
        <f t="shared" si="73"/>
        <v>0.78300000000000003</v>
      </c>
      <c r="AL91" s="862">
        <f t="shared" si="74"/>
        <v>76.164557692307696</v>
      </c>
      <c r="AM91" s="863">
        <f t="shared" si="75"/>
        <v>13201.856666666667</v>
      </c>
      <c r="AN91" s="864">
        <f t="shared" si="76"/>
        <v>0.16318202917771885</v>
      </c>
    </row>
    <row r="92" spans="25:40" x14ac:dyDescent="0.35">
      <c r="Y92" s="875" t="str">
        <f>'US Salary'!Y24</f>
        <v>AVP / VP</v>
      </c>
      <c r="Z92" s="856">
        <f t="shared" si="77"/>
        <v>67</v>
      </c>
      <c r="AA92" s="857">
        <v>0.15</v>
      </c>
      <c r="AB92" s="744">
        <f t="shared" si="68"/>
        <v>10.049999999999999</v>
      </c>
      <c r="AC92" s="858">
        <f t="shared" si="69"/>
        <v>160264</v>
      </c>
      <c r="AD92" s="859">
        <v>9.0999999999999998E-2</v>
      </c>
      <c r="AE92" s="744">
        <f t="shared" si="70"/>
        <v>6.0969999999999995</v>
      </c>
      <c r="AF92" s="852">
        <v>7866</v>
      </c>
      <c r="AG92" s="860">
        <v>0.9</v>
      </c>
      <c r="AH92" s="744">
        <f t="shared" si="71"/>
        <v>3.4035576923076927</v>
      </c>
      <c r="AI92" s="861">
        <v>1.4999999999999999E-2</v>
      </c>
      <c r="AJ92" s="859">
        <f t="shared" si="72"/>
        <v>0.9</v>
      </c>
      <c r="AK92" s="744">
        <f t="shared" si="73"/>
        <v>0.90449999999999997</v>
      </c>
      <c r="AL92" s="862">
        <f t="shared" si="74"/>
        <v>87.455057692307676</v>
      </c>
      <c r="AM92" s="863">
        <f t="shared" si="75"/>
        <v>15158.876666666663</v>
      </c>
      <c r="AN92" s="864">
        <f t="shared" si="76"/>
        <v>0.15529936854190574</v>
      </c>
    </row>
    <row r="93" spans="25:40" x14ac:dyDescent="0.35">
      <c r="Y93" s="875" t="str">
        <f>'US Salary'!Y25</f>
        <v>SME</v>
      </c>
      <c r="Z93" s="856">
        <f t="shared" si="77"/>
        <v>32</v>
      </c>
      <c r="AA93" s="857"/>
      <c r="AB93" s="744">
        <f t="shared" si="68"/>
        <v>0</v>
      </c>
      <c r="AC93" s="858">
        <f t="shared" si="69"/>
        <v>66560</v>
      </c>
      <c r="AD93" s="859">
        <v>9.0999999999999998E-2</v>
      </c>
      <c r="AE93" s="744">
        <f t="shared" si="70"/>
        <v>2.9119999999999999</v>
      </c>
      <c r="AF93" s="852">
        <v>7866</v>
      </c>
      <c r="AG93" s="860">
        <v>0.5</v>
      </c>
      <c r="AH93" s="744">
        <f t="shared" si="71"/>
        <v>1.8908653846153847</v>
      </c>
      <c r="AI93" s="861">
        <v>1.4999999999999999E-2</v>
      </c>
      <c r="AJ93" s="859">
        <f t="shared" si="72"/>
        <v>0.5</v>
      </c>
      <c r="AK93" s="744">
        <f t="shared" si="73"/>
        <v>0.24</v>
      </c>
      <c r="AL93" s="862">
        <f t="shared" si="74"/>
        <v>37.042865384615389</v>
      </c>
      <c r="AM93" s="863">
        <f t="shared" si="75"/>
        <v>6420.7633333333333</v>
      </c>
      <c r="AN93" s="864">
        <f t="shared" si="76"/>
        <v>0.15758954326923091</v>
      </c>
    </row>
    <row r="94" spans="25:40" x14ac:dyDescent="0.35">
      <c r="Y94" s="875" t="str">
        <f>'US Salary'!Y26</f>
        <v>QA</v>
      </c>
      <c r="Z94" s="856">
        <f t="shared" si="77"/>
        <v>32</v>
      </c>
      <c r="AA94" s="857"/>
      <c r="AB94" s="744">
        <f t="shared" si="68"/>
        <v>0</v>
      </c>
      <c r="AC94" s="858">
        <f t="shared" si="69"/>
        <v>66560</v>
      </c>
      <c r="AD94" s="859">
        <v>9.0999999999999998E-2</v>
      </c>
      <c r="AE94" s="744">
        <f t="shared" si="70"/>
        <v>2.9119999999999999</v>
      </c>
      <c r="AF94" s="852">
        <v>7866</v>
      </c>
      <c r="AG94" s="860">
        <v>0.5</v>
      </c>
      <c r="AH94" s="744">
        <f t="shared" si="71"/>
        <v>1.8908653846153847</v>
      </c>
      <c r="AI94" s="861">
        <v>1.4999999999999999E-2</v>
      </c>
      <c r="AJ94" s="859">
        <f t="shared" si="72"/>
        <v>0.5</v>
      </c>
      <c r="AK94" s="744">
        <f t="shared" si="73"/>
        <v>0.24</v>
      </c>
      <c r="AL94" s="862">
        <f t="shared" si="74"/>
        <v>37.042865384615389</v>
      </c>
      <c r="AM94" s="863">
        <f t="shared" si="75"/>
        <v>6420.7633333333333</v>
      </c>
      <c r="AN94" s="864">
        <f t="shared" si="76"/>
        <v>0.15758954326923091</v>
      </c>
    </row>
    <row r="95" spans="25:40" x14ac:dyDescent="0.35">
      <c r="Y95" s="875" t="str">
        <f>'US Salary'!Y27</f>
        <v>Trainer</v>
      </c>
      <c r="Z95" s="856">
        <f t="shared" si="77"/>
        <v>32</v>
      </c>
      <c r="AA95" s="857"/>
      <c r="AB95" s="744">
        <f t="shared" si="68"/>
        <v>0</v>
      </c>
      <c r="AC95" s="858">
        <f t="shared" si="69"/>
        <v>66560</v>
      </c>
      <c r="AD95" s="859">
        <v>9.0999999999999998E-2</v>
      </c>
      <c r="AE95" s="744">
        <f t="shared" si="70"/>
        <v>2.9119999999999999</v>
      </c>
      <c r="AF95" s="852">
        <v>7866</v>
      </c>
      <c r="AG95" s="860">
        <v>0.5</v>
      </c>
      <c r="AH95" s="744">
        <f t="shared" si="71"/>
        <v>1.8908653846153847</v>
      </c>
      <c r="AI95" s="861">
        <v>1.4999999999999999E-2</v>
      </c>
      <c r="AJ95" s="859">
        <f t="shared" si="72"/>
        <v>0.5</v>
      </c>
      <c r="AK95" s="744">
        <f t="shared" si="73"/>
        <v>0.24</v>
      </c>
      <c r="AL95" s="862">
        <f t="shared" si="74"/>
        <v>37.042865384615389</v>
      </c>
      <c r="AM95" s="863">
        <f t="shared" si="75"/>
        <v>6420.7633333333333</v>
      </c>
      <c r="AN95" s="864">
        <f t="shared" si="76"/>
        <v>0.15758954326923091</v>
      </c>
    </row>
    <row r="96" spans="25:40" x14ac:dyDescent="0.35">
      <c r="Y96" s="875" t="str">
        <f>'US Salary'!Y28</f>
        <v>RTA/WFM</v>
      </c>
      <c r="Z96" s="856">
        <f t="shared" si="77"/>
        <v>18</v>
      </c>
      <c r="AA96" s="857"/>
      <c r="AB96" s="744">
        <f t="shared" si="68"/>
        <v>0</v>
      </c>
      <c r="AC96" s="858">
        <f t="shared" si="69"/>
        <v>37440</v>
      </c>
      <c r="AD96" s="859">
        <v>9.0999999999999998E-2</v>
      </c>
      <c r="AE96" s="744">
        <f t="shared" si="70"/>
        <v>1.6379999999999999</v>
      </c>
      <c r="AF96" s="852">
        <v>7866</v>
      </c>
      <c r="AG96" s="860">
        <v>0.5</v>
      </c>
      <c r="AH96" s="744">
        <f t="shared" si="71"/>
        <v>1.8908653846153847</v>
      </c>
      <c r="AI96" s="861">
        <v>1.4999999999999999E-2</v>
      </c>
      <c r="AJ96" s="859">
        <f t="shared" si="72"/>
        <v>0.5</v>
      </c>
      <c r="AK96" s="744">
        <f t="shared" si="73"/>
        <v>0.13500000000000001</v>
      </c>
      <c r="AL96" s="862">
        <f t="shared" si="74"/>
        <v>21.663865384615384</v>
      </c>
      <c r="AM96" s="863">
        <f t="shared" si="75"/>
        <v>3755.0699999999997</v>
      </c>
      <c r="AN96" s="864">
        <f t="shared" si="76"/>
        <v>0.20354807692307686</v>
      </c>
    </row>
    <row r="97" spans="25:40" x14ac:dyDescent="0.35">
      <c r="Y97" s="875" t="str">
        <f>'US Salary'!Y29</f>
        <v>Transition Resource</v>
      </c>
      <c r="Z97" s="856">
        <f t="shared" si="77"/>
        <v>40</v>
      </c>
      <c r="AA97" s="857"/>
      <c r="AB97" s="744">
        <f t="shared" si="68"/>
        <v>0</v>
      </c>
      <c r="AC97" s="858">
        <f t="shared" si="69"/>
        <v>83200</v>
      </c>
      <c r="AD97" s="859">
        <v>9.0999999999999998E-2</v>
      </c>
      <c r="AE97" s="744">
        <f t="shared" si="70"/>
        <v>3.6399999999999997</v>
      </c>
      <c r="AF97" s="852">
        <v>7866</v>
      </c>
      <c r="AG97" s="860">
        <v>0.9</v>
      </c>
      <c r="AH97" s="744">
        <f t="shared" si="71"/>
        <v>3.4035576923076927</v>
      </c>
      <c r="AI97" s="861">
        <v>1.4999999999999999E-2</v>
      </c>
      <c r="AJ97" s="859">
        <f t="shared" si="72"/>
        <v>0.9</v>
      </c>
      <c r="AK97" s="744">
        <f t="shared" si="73"/>
        <v>0.54</v>
      </c>
      <c r="AL97" s="862">
        <f t="shared" si="74"/>
        <v>47.583557692307693</v>
      </c>
      <c r="AM97" s="863">
        <f t="shared" si="75"/>
        <v>8247.8166666666675</v>
      </c>
      <c r="AN97" s="864">
        <f t="shared" si="76"/>
        <v>0.18958894230769241</v>
      </c>
    </row>
    <row r="98" spans="25:40" x14ac:dyDescent="0.35">
      <c r="Y98" s="875" t="str">
        <f>'US Salary'!Y30</f>
        <v>PEx Resource</v>
      </c>
      <c r="Z98" s="856">
        <f t="shared" si="77"/>
        <v>40</v>
      </c>
      <c r="AA98" s="857"/>
      <c r="AB98" s="744">
        <f t="shared" si="68"/>
        <v>0</v>
      </c>
      <c r="AC98" s="858">
        <f t="shared" si="69"/>
        <v>83200</v>
      </c>
      <c r="AD98" s="859">
        <v>9.0999999999999998E-2</v>
      </c>
      <c r="AE98" s="744">
        <f t="shared" si="70"/>
        <v>3.6399999999999997</v>
      </c>
      <c r="AF98" s="852">
        <v>7866</v>
      </c>
      <c r="AG98" s="860">
        <v>0.9</v>
      </c>
      <c r="AH98" s="744">
        <f t="shared" si="71"/>
        <v>3.4035576923076927</v>
      </c>
      <c r="AI98" s="861">
        <v>1.4999999999999999E-2</v>
      </c>
      <c r="AJ98" s="859">
        <f t="shared" si="72"/>
        <v>0.9</v>
      </c>
      <c r="AK98" s="744">
        <f t="shared" si="73"/>
        <v>0.54</v>
      </c>
      <c r="AL98" s="862">
        <f t="shared" si="74"/>
        <v>47.583557692307693</v>
      </c>
      <c r="AM98" s="863">
        <f t="shared" si="75"/>
        <v>8247.8166666666675</v>
      </c>
      <c r="AN98" s="864">
        <f t="shared" si="76"/>
        <v>0.18958894230769241</v>
      </c>
    </row>
    <row r="99" spans="25:40" x14ac:dyDescent="0.35">
      <c r="Y99" s="875" t="str">
        <f>'US Salary'!Y31</f>
        <v>Additional Resource 1</v>
      </c>
      <c r="Z99" s="856">
        <f t="shared" si="77"/>
        <v>0</v>
      </c>
      <c r="AA99" s="857"/>
      <c r="AB99" s="744">
        <f t="shared" si="68"/>
        <v>0</v>
      </c>
      <c r="AC99" s="858">
        <f t="shared" si="69"/>
        <v>0</v>
      </c>
      <c r="AD99" s="859">
        <v>9.0999999999999998E-2</v>
      </c>
      <c r="AE99" s="744">
        <f t="shared" si="70"/>
        <v>0</v>
      </c>
      <c r="AF99" s="852">
        <v>0</v>
      </c>
      <c r="AG99" s="860">
        <v>0.3</v>
      </c>
      <c r="AH99" s="744">
        <f t="shared" si="71"/>
        <v>0</v>
      </c>
      <c r="AI99" s="861">
        <v>1.4999999999999999E-2</v>
      </c>
      <c r="AJ99" s="859">
        <f t="shared" si="72"/>
        <v>0.3</v>
      </c>
      <c r="AK99" s="744">
        <f t="shared" si="73"/>
        <v>0</v>
      </c>
      <c r="AL99" s="862">
        <f t="shared" si="74"/>
        <v>0</v>
      </c>
      <c r="AM99" s="863">
        <f t="shared" si="75"/>
        <v>0</v>
      </c>
      <c r="AN99" s="864">
        <f t="shared" si="76"/>
        <v>0</v>
      </c>
    </row>
    <row r="100" spans="25:40" x14ac:dyDescent="0.35">
      <c r="Y100" s="875" t="str">
        <f>'US Salary'!Y32</f>
        <v>Additional Resource 2</v>
      </c>
      <c r="Z100" s="856">
        <f t="shared" si="77"/>
        <v>0</v>
      </c>
      <c r="AA100" s="857"/>
      <c r="AB100" s="744">
        <f t="shared" si="68"/>
        <v>0</v>
      </c>
      <c r="AC100" s="858">
        <f t="shared" si="69"/>
        <v>0</v>
      </c>
      <c r="AD100" s="859">
        <v>9.0999999999999998E-2</v>
      </c>
      <c r="AE100" s="744">
        <f t="shared" si="70"/>
        <v>0</v>
      </c>
      <c r="AF100" s="852">
        <v>0</v>
      </c>
      <c r="AG100" s="860">
        <v>0.3</v>
      </c>
      <c r="AH100" s="744">
        <f t="shared" si="71"/>
        <v>0</v>
      </c>
      <c r="AI100" s="861">
        <v>1.4999999999999999E-2</v>
      </c>
      <c r="AJ100" s="859">
        <f t="shared" si="72"/>
        <v>0.3</v>
      </c>
      <c r="AK100" s="744">
        <f t="shared" si="73"/>
        <v>0</v>
      </c>
      <c r="AL100" s="862">
        <f t="shared" si="74"/>
        <v>0</v>
      </c>
      <c r="AM100" s="863">
        <f t="shared" si="75"/>
        <v>0</v>
      </c>
      <c r="AN100" s="864">
        <f t="shared" si="76"/>
        <v>0</v>
      </c>
    </row>
    <row r="101" spans="25:40" x14ac:dyDescent="0.35">
      <c r="Y101" s="875" t="str">
        <f>'US Salary'!Y33</f>
        <v>Additional Resource 3</v>
      </c>
      <c r="Z101" s="856">
        <f t="shared" si="77"/>
        <v>0</v>
      </c>
      <c r="AA101" s="857"/>
      <c r="AB101" s="744">
        <f t="shared" si="68"/>
        <v>0</v>
      </c>
      <c r="AC101" s="858">
        <f t="shared" si="69"/>
        <v>0</v>
      </c>
      <c r="AD101" s="859">
        <v>9.0999999999999998E-2</v>
      </c>
      <c r="AE101" s="744">
        <f t="shared" si="70"/>
        <v>0</v>
      </c>
      <c r="AF101" s="852">
        <v>0</v>
      </c>
      <c r="AG101" s="860">
        <v>0.3</v>
      </c>
      <c r="AH101" s="744">
        <f t="shared" si="71"/>
        <v>0</v>
      </c>
      <c r="AI101" s="861">
        <v>1.4999999999999999E-2</v>
      </c>
      <c r="AJ101" s="859">
        <f t="shared" si="72"/>
        <v>0.3</v>
      </c>
      <c r="AK101" s="744">
        <f t="shared" si="73"/>
        <v>0</v>
      </c>
      <c r="AL101" s="862">
        <f t="shared" si="74"/>
        <v>0</v>
      </c>
      <c r="AM101" s="863">
        <f t="shared" si="75"/>
        <v>0</v>
      </c>
      <c r="AN101" s="864">
        <f t="shared" si="76"/>
        <v>0</v>
      </c>
    </row>
    <row r="102" spans="25:40" x14ac:dyDescent="0.35">
      <c r="Y102" s="876" t="str">
        <f>$N$17</f>
        <v>BackofficeL6</v>
      </c>
    </row>
    <row r="103" spans="25:40" x14ac:dyDescent="0.35">
      <c r="Y103" s="875" t="str">
        <f>'US Salary'!Y18</f>
        <v>TL</v>
      </c>
      <c r="Z103" s="856">
        <f>N18</f>
        <v>32</v>
      </c>
      <c r="AA103" s="857"/>
      <c r="AB103" s="744">
        <f t="shared" ref="AB103:AB118" si="78">Z103*AA103</f>
        <v>0</v>
      </c>
      <c r="AC103" s="858">
        <f t="shared" ref="AC103:AC118" si="79">(Z103+AB103)*2080</f>
        <v>66560</v>
      </c>
      <c r="AD103" s="859">
        <v>9.0999999999999998E-2</v>
      </c>
      <c r="AE103" s="744">
        <f t="shared" ref="AE103:AE118" si="80">Z103*AD103</f>
        <v>2.9119999999999999</v>
      </c>
      <c r="AF103" s="852">
        <v>7866</v>
      </c>
      <c r="AG103" s="860">
        <v>0.5</v>
      </c>
      <c r="AH103" s="744">
        <f t="shared" ref="AH103:AH118" si="81">(AF103*AG103)/2080</f>
        <v>1.8908653846153847</v>
      </c>
      <c r="AI103" s="861">
        <v>1.4999999999999999E-2</v>
      </c>
      <c r="AJ103" s="859">
        <f t="shared" ref="AJ103:AJ118" si="82">AG103</f>
        <v>0.5</v>
      </c>
      <c r="AK103" s="744">
        <f t="shared" ref="AK103:AK118" si="83">Z103*AI103*AJ103</f>
        <v>0.24</v>
      </c>
      <c r="AL103" s="862">
        <f t="shared" ref="AL103:AL118" si="84">SUM(Z103,AB103,AE103,AH103,AK103)</f>
        <v>37.042865384615389</v>
      </c>
      <c r="AM103" s="863">
        <f t="shared" ref="AM103:AM118" si="85">AL103*2080/12</f>
        <v>6420.7633333333333</v>
      </c>
      <c r="AN103" s="864">
        <f t="shared" ref="AN103:AN118" si="86">IFERROR((AL103-AB103)/Z103-1,0)</f>
        <v>0.15758954326923091</v>
      </c>
    </row>
    <row r="104" spans="25:40" x14ac:dyDescent="0.35">
      <c r="Y104" s="875" t="str">
        <f>'US Salary'!Y19</f>
        <v>AM</v>
      </c>
      <c r="Z104" s="856">
        <f t="shared" ref="Z104:Z118" si="87">N19</f>
        <v>35</v>
      </c>
      <c r="AA104" s="857"/>
      <c r="AB104" s="744">
        <f t="shared" si="78"/>
        <v>0</v>
      </c>
      <c r="AC104" s="858">
        <f t="shared" si="79"/>
        <v>72800</v>
      </c>
      <c r="AD104" s="859">
        <v>9.0999999999999998E-2</v>
      </c>
      <c r="AE104" s="744">
        <f t="shared" si="80"/>
        <v>3.1850000000000001</v>
      </c>
      <c r="AF104" s="852">
        <v>7866</v>
      </c>
      <c r="AG104" s="860">
        <v>0.6</v>
      </c>
      <c r="AH104" s="744">
        <f t="shared" si="81"/>
        <v>2.2690384615384613</v>
      </c>
      <c r="AI104" s="861">
        <v>1.4999999999999999E-2</v>
      </c>
      <c r="AJ104" s="859">
        <f t="shared" si="82"/>
        <v>0.6</v>
      </c>
      <c r="AK104" s="744">
        <f t="shared" si="83"/>
        <v>0.315</v>
      </c>
      <c r="AL104" s="862">
        <f t="shared" si="84"/>
        <v>40.769038461538464</v>
      </c>
      <c r="AM104" s="863">
        <f t="shared" si="85"/>
        <v>7066.6333333333341</v>
      </c>
      <c r="AN104" s="864">
        <f t="shared" si="86"/>
        <v>0.16482967032967033</v>
      </c>
    </row>
    <row r="105" spans="25:40" x14ac:dyDescent="0.35">
      <c r="Y105" s="875" t="str">
        <f>'US Salary'!Y20</f>
        <v>Ops Manager</v>
      </c>
      <c r="Z105" s="856">
        <f t="shared" si="87"/>
        <v>38.46</v>
      </c>
      <c r="AA105" s="857">
        <v>0.15</v>
      </c>
      <c r="AB105" s="744">
        <f t="shared" si="78"/>
        <v>5.7690000000000001</v>
      </c>
      <c r="AC105" s="858">
        <f t="shared" si="79"/>
        <v>91996.319999999992</v>
      </c>
      <c r="AD105" s="859">
        <v>9.0999999999999998E-2</v>
      </c>
      <c r="AE105" s="744">
        <f t="shared" si="80"/>
        <v>3.49986</v>
      </c>
      <c r="AF105" s="852">
        <v>7866</v>
      </c>
      <c r="AG105" s="860">
        <v>0.7</v>
      </c>
      <c r="AH105" s="744">
        <f t="shared" si="81"/>
        <v>2.6472115384615384</v>
      </c>
      <c r="AI105" s="861">
        <v>1.4999999999999999E-2</v>
      </c>
      <c r="AJ105" s="859">
        <f t="shared" si="82"/>
        <v>0.7</v>
      </c>
      <c r="AK105" s="744">
        <f t="shared" si="83"/>
        <v>0.40382999999999997</v>
      </c>
      <c r="AL105" s="862">
        <f t="shared" si="84"/>
        <v>50.779901538461537</v>
      </c>
      <c r="AM105" s="863">
        <f t="shared" si="85"/>
        <v>8801.8495999999996</v>
      </c>
      <c r="AN105" s="864">
        <f t="shared" si="86"/>
        <v>0.17033025321012829</v>
      </c>
    </row>
    <row r="106" spans="25:40" x14ac:dyDescent="0.35">
      <c r="Y106" s="875" t="str">
        <f>'US Salary'!Y21</f>
        <v>Sr Manager</v>
      </c>
      <c r="Z106" s="856">
        <f t="shared" si="87"/>
        <v>40</v>
      </c>
      <c r="AA106" s="857">
        <v>0.15</v>
      </c>
      <c r="AB106" s="744">
        <f t="shared" si="78"/>
        <v>6</v>
      </c>
      <c r="AC106" s="858">
        <f t="shared" si="79"/>
        <v>95680</v>
      </c>
      <c r="AD106" s="859">
        <v>9.0999999999999998E-2</v>
      </c>
      <c r="AE106" s="744">
        <f t="shared" si="80"/>
        <v>3.6399999999999997</v>
      </c>
      <c r="AF106" s="852">
        <v>7866</v>
      </c>
      <c r="AG106" s="860">
        <v>0.8</v>
      </c>
      <c r="AH106" s="744">
        <f t="shared" si="81"/>
        <v>3.0253846153846156</v>
      </c>
      <c r="AI106" s="861">
        <v>1.4999999999999999E-2</v>
      </c>
      <c r="AJ106" s="859">
        <f t="shared" si="82"/>
        <v>0.8</v>
      </c>
      <c r="AK106" s="744">
        <f t="shared" si="83"/>
        <v>0.48</v>
      </c>
      <c r="AL106" s="862">
        <f t="shared" si="84"/>
        <v>53.145384615384614</v>
      </c>
      <c r="AM106" s="863">
        <f t="shared" si="85"/>
        <v>9211.8666666666668</v>
      </c>
      <c r="AN106" s="864">
        <f t="shared" si="86"/>
        <v>0.17863461538461545</v>
      </c>
    </row>
    <row r="107" spans="25:40" x14ac:dyDescent="0.35">
      <c r="Y107" s="875" t="str">
        <f>'US Salary'!Y22</f>
        <v>DGM / AD</v>
      </c>
      <c r="Z107" s="856">
        <f t="shared" si="87"/>
        <v>48</v>
      </c>
      <c r="AA107" s="857">
        <v>0.15</v>
      </c>
      <c r="AB107" s="744">
        <f t="shared" si="78"/>
        <v>7.1999999999999993</v>
      </c>
      <c r="AC107" s="858">
        <f t="shared" si="79"/>
        <v>114816</v>
      </c>
      <c r="AD107" s="859">
        <v>9.0999999999999998E-2</v>
      </c>
      <c r="AE107" s="744">
        <f t="shared" si="80"/>
        <v>4.3680000000000003</v>
      </c>
      <c r="AF107" s="852">
        <v>7866</v>
      </c>
      <c r="AG107" s="860">
        <v>0.9</v>
      </c>
      <c r="AH107" s="744">
        <f t="shared" si="81"/>
        <v>3.4035576923076927</v>
      </c>
      <c r="AI107" s="861">
        <v>1.4999999999999999E-2</v>
      </c>
      <c r="AJ107" s="859">
        <f t="shared" si="82"/>
        <v>0.9</v>
      </c>
      <c r="AK107" s="744">
        <f t="shared" si="83"/>
        <v>0.64800000000000002</v>
      </c>
      <c r="AL107" s="862">
        <f t="shared" si="84"/>
        <v>63.619557692307701</v>
      </c>
      <c r="AM107" s="863">
        <f t="shared" si="85"/>
        <v>11027.390000000001</v>
      </c>
      <c r="AN107" s="864">
        <f t="shared" si="86"/>
        <v>0.17540745192307727</v>
      </c>
    </row>
    <row r="108" spans="25:40" x14ac:dyDescent="0.35">
      <c r="Y108" s="875" t="str">
        <f>'US Salary'!Y23</f>
        <v>GM / Director</v>
      </c>
      <c r="Z108" s="856">
        <f t="shared" si="87"/>
        <v>58</v>
      </c>
      <c r="AA108" s="857">
        <v>0.15</v>
      </c>
      <c r="AB108" s="744">
        <f t="shared" si="78"/>
        <v>8.6999999999999993</v>
      </c>
      <c r="AC108" s="858">
        <f t="shared" si="79"/>
        <v>138736</v>
      </c>
      <c r="AD108" s="859">
        <v>9.0999999999999998E-2</v>
      </c>
      <c r="AE108" s="744">
        <f t="shared" si="80"/>
        <v>5.2779999999999996</v>
      </c>
      <c r="AF108" s="852">
        <v>7866</v>
      </c>
      <c r="AG108" s="860">
        <v>0.9</v>
      </c>
      <c r="AH108" s="744">
        <f t="shared" si="81"/>
        <v>3.4035576923076927</v>
      </c>
      <c r="AI108" s="861">
        <v>1.4999999999999999E-2</v>
      </c>
      <c r="AJ108" s="859">
        <f t="shared" si="82"/>
        <v>0.9</v>
      </c>
      <c r="AK108" s="744">
        <f t="shared" si="83"/>
        <v>0.78300000000000003</v>
      </c>
      <c r="AL108" s="862">
        <f t="shared" si="84"/>
        <v>76.164557692307696</v>
      </c>
      <c r="AM108" s="863">
        <f t="shared" si="85"/>
        <v>13201.856666666667</v>
      </c>
      <c r="AN108" s="864">
        <f t="shared" si="86"/>
        <v>0.16318202917771885</v>
      </c>
    </row>
    <row r="109" spans="25:40" x14ac:dyDescent="0.35">
      <c r="Y109" s="875" t="str">
        <f>'US Salary'!Y24</f>
        <v>AVP / VP</v>
      </c>
      <c r="Z109" s="856">
        <f t="shared" si="87"/>
        <v>67</v>
      </c>
      <c r="AA109" s="857">
        <v>0.15</v>
      </c>
      <c r="AB109" s="744">
        <f t="shared" si="78"/>
        <v>10.049999999999999</v>
      </c>
      <c r="AC109" s="858">
        <f t="shared" si="79"/>
        <v>160264</v>
      </c>
      <c r="AD109" s="859">
        <v>9.0999999999999998E-2</v>
      </c>
      <c r="AE109" s="744">
        <f t="shared" si="80"/>
        <v>6.0969999999999995</v>
      </c>
      <c r="AF109" s="852">
        <v>7866</v>
      </c>
      <c r="AG109" s="860">
        <v>0.9</v>
      </c>
      <c r="AH109" s="744">
        <f t="shared" si="81"/>
        <v>3.4035576923076927</v>
      </c>
      <c r="AI109" s="861">
        <v>1.4999999999999999E-2</v>
      </c>
      <c r="AJ109" s="859">
        <f t="shared" si="82"/>
        <v>0.9</v>
      </c>
      <c r="AK109" s="744">
        <f t="shared" si="83"/>
        <v>0.90449999999999997</v>
      </c>
      <c r="AL109" s="862">
        <f t="shared" si="84"/>
        <v>87.455057692307676</v>
      </c>
      <c r="AM109" s="863">
        <f t="shared" si="85"/>
        <v>15158.876666666663</v>
      </c>
      <c r="AN109" s="864">
        <f t="shared" si="86"/>
        <v>0.15529936854190574</v>
      </c>
    </row>
    <row r="110" spans="25:40" x14ac:dyDescent="0.35">
      <c r="Y110" s="875" t="str">
        <f>'US Salary'!Y25</f>
        <v>SME</v>
      </c>
      <c r="Z110" s="856">
        <f t="shared" si="87"/>
        <v>32</v>
      </c>
      <c r="AA110" s="857"/>
      <c r="AB110" s="744">
        <f t="shared" si="78"/>
        <v>0</v>
      </c>
      <c r="AC110" s="858">
        <f t="shared" si="79"/>
        <v>66560</v>
      </c>
      <c r="AD110" s="859">
        <v>9.0999999999999998E-2</v>
      </c>
      <c r="AE110" s="744">
        <f t="shared" si="80"/>
        <v>2.9119999999999999</v>
      </c>
      <c r="AF110" s="852">
        <v>7866</v>
      </c>
      <c r="AG110" s="860">
        <v>0.5</v>
      </c>
      <c r="AH110" s="744">
        <f t="shared" si="81"/>
        <v>1.8908653846153847</v>
      </c>
      <c r="AI110" s="861">
        <v>1.4999999999999999E-2</v>
      </c>
      <c r="AJ110" s="859">
        <f t="shared" si="82"/>
        <v>0.5</v>
      </c>
      <c r="AK110" s="744">
        <f t="shared" si="83"/>
        <v>0.24</v>
      </c>
      <c r="AL110" s="862">
        <f t="shared" si="84"/>
        <v>37.042865384615389</v>
      </c>
      <c r="AM110" s="863">
        <f t="shared" si="85"/>
        <v>6420.7633333333333</v>
      </c>
      <c r="AN110" s="864">
        <f t="shared" si="86"/>
        <v>0.15758954326923091</v>
      </c>
    </row>
    <row r="111" spans="25:40" x14ac:dyDescent="0.35">
      <c r="Y111" s="875" t="str">
        <f>'US Salary'!Y26</f>
        <v>QA</v>
      </c>
      <c r="Z111" s="856">
        <f t="shared" si="87"/>
        <v>32</v>
      </c>
      <c r="AA111" s="857"/>
      <c r="AB111" s="744">
        <f t="shared" si="78"/>
        <v>0</v>
      </c>
      <c r="AC111" s="858">
        <f t="shared" si="79"/>
        <v>66560</v>
      </c>
      <c r="AD111" s="859">
        <v>9.0999999999999998E-2</v>
      </c>
      <c r="AE111" s="744">
        <f t="shared" si="80"/>
        <v>2.9119999999999999</v>
      </c>
      <c r="AF111" s="852">
        <v>7866</v>
      </c>
      <c r="AG111" s="860">
        <v>0.5</v>
      </c>
      <c r="AH111" s="744">
        <f t="shared" si="81"/>
        <v>1.8908653846153847</v>
      </c>
      <c r="AI111" s="861">
        <v>1.4999999999999999E-2</v>
      </c>
      <c r="AJ111" s="859">
        <f t="shared" si="82"/>
        <v>0.5</v>
      </c>
      <c r="AK111" s="744">
        <f t="shared" si="83"/>
        <v>0.24</v>
      </c>
      <c r="AL111" s="862">
        <f t="shared" si="84"/>
        <v>37.042865384615389</v>
      </c>
      <c r="AM111" s="863">
        <f t="shared" si="85"/>
        <v>6420.7633333333333</v>
      </c>
      <c r="AN111" s="864">
        <f t="shared" si="86"/>
        <v>0.15758954326923091</v>
      </c>
    </row>
    <row r="112" spans="25:40" x14ac:dyDescent="0.35">
      <c r="Y112" s="875" t="str">
        <f>'US Salary'!Y27</f>
        <v>Trainer</v>
      </c>
      <c r="Z112" s="856">
        <f t="shared" si="87"/>
        <v>32</v>
      </c>
      <c r="AA112" s="857"/>
      <c r="AB112" s="744">
        <f t="shared" si="78"/>
        <v>0</v>
      </c>
      <c r="AC112" s="858">
        <f t="shared" si="79"/>
        <v>66560</v>
      </c>
      <c r="AD112" s="859">
        <v>9.0999999999999998E-2</v>
      </c>
      <c r="AE112" s="744">
        <f t="shared" si="80"/>
        <v>2.9119999999999999</v>
      </c>
      <c r="AF112" s="852">
        <v>7866</v>
      </c>
      <c r="AG112" s="860">
        <v>0.5</v>
      </c>
      <c r="AH112" s="744">
        <f t="shared" si="81"/>
        <v>1.8908653846153847</v>
      </c>
      <c r="AI112" s="861">
        <v>1.4999999999999999E-2</v>
      </c>
      <c r="AJ112" s="859">
        <f t="shared" si="82"/>
        <v>0.5</v>
      </c>
      <c r="AK112" s="744">
        <f t="shared" si="83"/>
        <v>0.24</v>
      </c>
      <c r="AL112" s="862">
        <f t="shared" si="84"/>
        <v>37.042865384615389</v>
      </c>
      <c r="AM112" s="863">
        <f t="shared" si="85"/>
        <v>6420.7633333333333</v>
      </c>
      <c r="AN112" s="864">
        <f t="shared" si="86"/>
        <v>0.15758954326923091</v>
      </c>
    </row>
    <row r="113" spans="25:40" x14ac:dyDescent="0.35">
      <c r="Y113" s="875" t="str">
        <f>'US Salary'!Y28</f>
        <v>RTA/WFM</v>
      </c>
      <c r="Z113" s="856">
        <f t="shared" si="87"/>
        <v>18</v>
      </c>
      <c r="AA113" s="857"/>
      <c r="AB113" s="744">
        <f t="shared" si="78"/>
        <v>0</v>
      </c>
      <c r="AC113" s="858">
        <f t="shared" si="79"/>
        <v>37440</v>
      </c>
      <c r="AD113" s="859">
        <v>9.0999999999999998E-2</v>
      </c>
      <c r="AE113" s="744">
        <f t="shared" si="80"/>
        <v>1.6379999999999999</v>
      </c>
      <c r="AF113" s="852">
        <v>7866</v>
      </c>
      <c r="AG113" s="860">
        <v>0.5</v>
      </c>
      <c r="AH113" s="744">
        <f t="shared" si="81"/>
        <v>1.8908653846153847</v>
      </c>
      <c r="AI113" s="861">
        <v>1.4999999999999999E-2</v>
      </c>
      <c r="AJ113" s="859">
        <f t="shared" si="82"/>
        <v>0.5</v>
      </c>
      <c r="AK113" s="744">
        <f t="shared" si="83"/>
        <v>0.13500000000000001</v>
      </c>
      <c r="AL113" s="862">
        <f t="shared" si="84"/>
        <v>21.663865384615384</v>
      </c>
      <c r="AM113" s="863">
        <f t="shared" si="85"/>
        <v>3755.0699999999997</v>
      </c>
      <c r="AN113" s="864">
        <f t="shared" si="86"/>
        <v>0.20354807692307686</v>
      </c>
    </row>
    <row r="114" spans="25:40" x14ac:dyDescent="0.35">
      <c r="Y114" s="875" t="str">
        <f>'US Salary'!Y29</f>
        <v>Transition Resource</v>
      </c>
      <c r="Z114" s="856">
        <f t="shared" si="87"/>
        <v>40</v>
      </c>
      <c r="AA114" s="857"/>
      <c r="AB114" s="744">
        <f t="shared" si="78"/>
        <v>0</v>
      </c>
      <c r="AC114" s="858">
        <f t="shared" si="79"/>
        <v>83200</v>
      </c>
      <c r="AD114" s="859">
        <v>9.0999999999999998E-2</v>
      </c>
      <c r="AE114" s="744">
        <f t="shared" si="80"/>
        <v>3.6399999999999997</v>
      </c>
      <c r="AF114" s="852">
        <v>7866</v>
      </c>
      <c r="AG114" s="860">
        <v>0.9</v>
      </c>
      <c r="AH114" s="744">
        <f t="shared" si="81"/>
        <v>3.4035576923076927</v>
      </c>
      <c r="AI114" s="861">
        <v>1.4999999999999999E-2</v>
      </c>
      <c r="AJ114" s="859">
        <f t="shared" si="82"/>
        <v>0.9</v>
      </c>
      <c r="AK114" s="744">
        <f t="shared" si="83"/>
        <v>0.54</v>
      </c>
      <c r="AL114" s="862">
        <f t="shared" si="84"/>
        <v>47.583557692307693</v>
      </c>
      <c r="AM114" s="863">
        <f t="shared" si="85"/>
        <v>8247.8166666666675</v>
      </c>
      <c r="AN114" s="864">
        <f t="shared" si="86"/>
        <v>0.18958894230769241</v>
      </c>
    </row>
    <row r="115" spans="25:40" x14ac:dyDescent="0.35">
      <c r="Y115" s="875" t="str">
        <f>'US Salary'!Y30</f>
        <v>PEx Resource</v>
      </c>
      <c r="Z115" s="856">
        <f t="shared" si="87"/>
        <v>40</v>
      </c>
      <c r="AA115" s="857"/>
      <c r="AB115" s="744">
        <f t="shared" si="78"/>
        <v>0</v>
      </c>
      <c r="AC115" s="858">
        <f t="shared" si="79"/>
        <v>83200</v>
      </c>
      <c r="AD115" s="859">
        <v>9.0999999999999998E-2</v>
      </c>
      <c r="AE115" s="744">
        <f t="shared" si="80"/>
        <v>3.6399999999999997</v>
      </c>
      <c r="AF115" s="852">
        <v>7866</v>
      </c>
      <c r="AG115" s="860">
        <v>0.9</v>
      </c>
      <c r="AH115" s="744">
        <f t="shared" si="81"/>
        <v>3.4035576923076927</v>
      </c>
      <c r="AI115" s="861">
        <v>1.4999999999999999E-2</v>
      </c>
      <c r="AJ115" s="859">
        <f t="shared" si="82"/>
        <v>0.9</v>
      </c>
      <c r="AK115" s="744">
        <f t="shared" si="83"/>
        <v>0.54</v>
      </c>
      <c r="AL115" s="862">
        <f t="shared" si="84"/>
        <v>47.583557692307693</v>
      </c>
      <c r="AM115" s="863">
        <f t="shared" si="85"/>
        <v>8247.8166666666675</v>
      </c>
      <c r="AN115" s="864">
        <f t="shared" si="86"/>
        <v>0.18958894230769241</v>
      </c>
    </row>
    <row r="116" spans="25:40" x14ac:dyDescent="0.35">
      <c r="Y116" s="875" t="str">
        <f>'US Salary'!Y31</f>
        <v>Additional Resource 1</v>
      </c>
      <c r="Z116" s="856">
        <f t="shared" si="87"/>
        <v>0</v>
      </c>
      <c r="AA116" s="857"/>
      <c r="AB116" s="744">
        <f t="shared" si="78"/>
        <v>0</v>
      </c>
      <c r="AC116" s="858">
        <f t="shared" si="79"/>
        <v>0</v>
      </c>
      <c r="AD116" s="859">
        <v>9.0999999999999998E-2</v>
      </c>
      <c r="AE116" s="744">
        <f t="shared" si="80"/>
        <v>0</v>
      </c>
      <c r="AF116" s="852">
        <v>0</v>
      </c>
      <c r="AG116" s="860">
        <v>0.3</v>
      </c>
      <c r="AH116" s="744">
        <f t="shared" si="81"/>
        <v>0</v>
      </c>
      <c r="AI116" s="861">
        <v>1.4999999999999999E-2</v>
      </c>
      <c r="AJ116" s="859">
        <f t="shared" si="82"/>
        <v>0.3</v>
      </c>
      <c r="AK116" s="744">
        <f t="shared" si="83"/>
        <v>0</v>
      </c>
      <c r="AL116" s="862">
        <f t="shared" si="84"/>
        <v>0</v>
      </c>
      <c r="AM116" s="863">
        <f t="shared" si="85"/>
        <v>0</v>
      </c>
      <c r="AN116" s="864">
        <f t="shared" si="86"/>
        <v>0</v>
      </c>
    </row>
    <row r="117" spans="25:40" x14ac:dyDescent="0.35">
      <c r="Y117" s="875" t="str">
        <f>'US Salary'!Y32</f>
        <v>Additional Resource 2</v>
      </c>
      <c r="Z117" s="856">
        <f t="shared" si="87"/>
        <v>0</v>
      </c>
      <c r="AA117" s="857"/>
      <c r="AB117" s="744">
        <f t="shared" si="78"/>
        <v>0</v>
      </c>
      <c r="AC117" s="858">
        <f t="shared" si="79"/>
        <v>0</v>
      </c>
      <c r="AD117" s="859">
        <v>9.0999999999999998E-2</v>
      </c>
      <c r="AE117" s="744">
        <f t="shared" si="80"/>
        <v>0</v>
      </c>
      <c r="AF117" s="852">
        <v>0</v>
      </c>
      <c r="AG117" s="860">
        <v>0.3</v>
      </c>
      <c r="AH117" s="744">
        <f t="shared" si="81"/>
        <v>0</v>
      </c>
      <c r="AI117" s="861">
        <v>1.4999999999999999E-2</v>
      </c>
      <c r="AJ117" s="859">
        <f t="shared" si="82"/>
        <v>0.3</v>
      </c>
      <c r="AK117" s="744">
        <f t="shared" si="83"/>
        <v>0</v>
      </c>
      <c r="AL117" s="862">
        <f t="shared" si="84"/>
        <v>0</v>
      </c>
      <c r="AM117" s="863">
        <f t="shared" si="85"/>
        <v>0</v>
      </c>
      <c r="AN117" s="864">
        <f t="shared" si="86"/>
        <v>0</v>
      </c>
    </row>
    <row r="118" spans="25:40" x14ac:dyDescent="0.35">
      <c r="Y118" s="875" t="str">
        <f>'US Salary'!Y33</f>
        <v>Additional Resource 3</v>
      </c>
      <c r="Z118" s="856">
        <f t="shared" si="87"/>
        <v>0</v>
      </c>
      <c r="AA118" s="857"/>
      <c r="AB118" s="744">
        <f t="shared" si="78"/>
        <v>0</v>
      </c>
      <c r="AC118" s="858">
        <f t="shared" si="79"/>
        <v>0</v>
      </c>
      <c r="AD118" s="859">
        <v>9.0999999999999998E-2</v>
      </c>
      <c r="AE118" s="744">
        <f t="shared" si="80"/>
        <v>0</v>
      </c>
      <c r="AF118" s="852">
        <v>0</v>
      </c>
      <c r="AG118" s="860">
        <v>0.3</v>
      </c>
      <c r="AH118" s="744">
        <f t="shared" si="81"/>
        <v>0</v>
      </c>
      <c r="AI118" s="861">
        <v>1.4999999999999999E-2</v>
      </c>
      <c r="AJ118" s="859">
        <f t="shared" si="82"/>
        <v>0.3</v>
      </c>
      <c r="AK118" s="744">
        <f t="shared" si="83"/>
        <v>0</v>
      </c>
      <c r="AL118" s="862">
        <f t="shared" si="84"/>
        <v>0</v>
      </c>
      <c r="AM118" s="863">
        <f t="shared" si="85"/>
        <v>0</v>
      </c>
      <c r="AN118" s="864">
        <f t="shared" si="86"/>
        <v>0</v>
      </c>
    </row>
  </sheetData>
  <mergeCells count="13">
    <mergeCell ref="AX3:AY3"/>
    <mergeCell ref="AD2:AE2"/>
    <mergeCell ref="AF2:AH2"/>
    <mergeCell ref="AI2:AK2"/>
    <mergeCell ref="AR3:AS3"/>
    <mergeCell ref="AT3:AU3"/>
    <mergeCell ref="AV3:AW3"/>
    <mergeCell ref="P2:Q2"/>
    <mergeCell ref="D2:D3"/>
    <mergeCell ref="E2:E3"/>
    <mergeCell ref="F2:F3"/>
    <mergeCell ref="J2:K2"/>
    <mergeCell ref="L2:M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15EB-D7C2-4368-9FA1-EB90E7B2EDB0}">
  <sheetPr codeName="Sheet6"/>
  <dimension ref="C1:AP51"/>
  <sheetViews>
    <sheetView showGridLines="0" topLeftCell="A8" zoomScale="90" zoomScaleNormal="90" workbookViewId="0">
      <selection activeCell="H16" sqref="H16:I30"/>
    </sheetView>
  </sheetViews>
  <sheetFormatPr defaultColWidth="9.1796875" defaultRowHeight="14.5" outlineLevelCol="1" x14ac:dyDescent="0.35"/>
  <cols>
    <col min="1" max="3" width="9.1796875" style="771"/>
    <col min="4" max="4" width="13.6328125" style="771" bestFit="1" customWidth="1"/>
    <col min="5" max="5" width="11.453125" style="771" bestFit="1" customWidth="1"/>
    <col min="6" max="6" width="22" style="772" bestFit="1" customWidth="1"/>
    <col min="7" max="7" width="65.54296875" style="771" bestFit="1" customWidth="1"/>
    <col min="8" max="8" width="18.26953125" style="771" bestFit="1" customWidth="1"/>
    <col min="9" max="9" width="24" style="771" bestFit="1" customWidth="1"/>
    <col min="10" max="10" width="12.453125" style="771" bestFit="1" customWidth="1"/>
    <col min="11" max="12" width="14" style="771" bestFit="1" customWidth="1"/>
    <col min="13" max="13" width="10.81640625" style="771" customWidth="1"/>
    <col min="14" max="14" width="10.81640625" style="771" bestFit="1" customWidth="1"/>
    <col min="15" max="15" width="3.1796875" style="771" customWidth="1"/>
    <col min="16" max="16" width="11.26953125" style="771" bestFit="1" customWidth="1"/>
    <col min="17" max="17" width="8.54296875" style="771" bestFit="1" customWidth="1"/>
    <col min="18" max="18" width="3.1796875" style="771" customWidth="1"/>
    <col min="19" max="20" width="11.26953125" style="771" customWidth="1"/>
    <col min="21" max="21" width="2.26953125" style="771" customWidth="1"/>
    <col min="22" max="22" width="14.54296875" style="771" customWidth="1"/>
    <col min="23" max="23" width="14.1796875" style="771" bestFit="1" customWidth="1"/>
    <col min="24" max="24" width="9.1796875" style="771"/>
    <col min="25" max="25" width="11.26953125" style="771" customWidth="1"/>
    <col min="26" max="26" width="13.54296875" style="14" customWidth="1"/>
    <col min="27" max="27" width="13.7265625" style="14" customWidth="1" outlineLevel="1"/>
    <col min="28" max="28" width="14.453125" style="14" customWidth="1" outlineLevel="1"/>
    <col min="29" max="33" width="9.54296875" style="14" customWidth="1" outlineLevel="1"/>
    <col min="34" max="34" width="14.7265625" style="14" customWidth="1" outlineLevel="1"/>
    <col min="35" max="35" width="13" style="14" customWidth="1" outlineLevel="1"/>
    <col min="36" max="40" width="9.54296875" style="14" customWidth="1" outlineLevel="1"/>
    <col min="41" max="42" width="9.54296875" style="14" customWidth="1"/>
    <col min="43" max="16384" width="9.1796875" style="771"/>
  </cols>
  <sheetData>
    <row r="1" spans="3:42" x14ac:dyDescent="0.35">
      <c r="H1" s="773">
        <f>7.5*(365*5/7)</f>
        <v>1955.3571428571429</v>
      </c>
      <c r="AI1" s="179"/>
      <c r="AJ1" s="179"/>
    </row>
    <row r="2" spans="3:42" ht="15" thickBot="1" x14ac:dyDescent="0.4">
      <c r="C2" s="843" t="str">
        <f>Summary!$C$3</f>
        <v>Backoffice</v>
      </c>
      <c r="D2" s="843" t="str">
        <f>Summary!$D$3</f>
        <v>L1</v>
      </c>
      <c r="E2" s="1599" t="s">
        <v>319</v>
      </c>
      <c r="F2" s="1599" t="s">
        <v>320</v>
      </c>
      <c r="G2" s="1599" t="s">
        <v>336</v>
      </c>
      <c r="H2" s="774"/>
      <c r="I2" s="775" t="s">
        <v>351</v>
      </c>
      <c r="K2" s="1600" t="s">
        <v>352</v>
      </c>
      <c r="L2" s="1600"/>
      <c r="M2" s="1600" t="s">
        <v>353</v>
      </c>
      <c r="N2" s="1600"/>
      <c r="P2" s="1597" t="s">
        <v>354</v>
      </c>
      <c r="Q2" s="1598"/>
      <c r="AD2" s="776">
        <v>96.15384615384616</v>
      </c>
      <c r="AE2" s="777">
        <v>0.15</v>
      </c>
      <c r="AF2" s="777">
        <v>0.03</v>
      </c>
      <c r="AL2" s="778">
        <v>4.6911764705882355</v>
      </c>
      <c r="AM2" s="779">
        <v>10</v>
      </c>
      <c r="AN2" s="780">
        <v>3.0199999999999998E-2</v>
      </c>
    </row>
    <row r="3" spans="3:42" ht="39.5" thickTop="1" x14ac:dyDescent="0.35">
      <c r="E3" s="1599"/>
      <c r="F3" s="1599"/>
      <c r="G3" s="1599"/>
      <c r="H3" s="781" t="s">
        <v>355</v>
      </c>
      <c r="I3" s="781" t="s">
        <v>356</v>
      </c>
      <c r="K3" s="781" t="s">
        <v>357</v>
      </c>
      <c r="L3" s="781" t="s">
        <v>358</v>
      </c>
      <c r="M3" s="781" t="s">
        <v>357</v>
      </c>
      <c r="N3" s="781" t="s">
        <v>358</v>
      </c>
      <c r="P3" s="781" t="s">
        <v>359</v>
      </c>
      <c r="Q3" s="781" t="s">
        <v>328</v>
      </c>
      <c r="S3" s="781" t="s">
        <v>329</v>
      </c>
      <c r="T3" s="781" t="s">
        <v>330</v>
      </c>
      <c r="V3" s="781" t="s">
        <v>360</v>
      </c>
      <c r="W3" s="781" t="s">
        <v>361</v>
      </c>
      <c r="Y3" s="782" t="s">
        <v>362</v>
      </c>
      <c r="Z3" s="783" t="s">
        <v>363</v>
      </c>
      <c r="AA3" s="784" t="s">
        <v>364</v>
      </c>
      <c r="AB3" s="785" t="s">
        <v>253</v>
      </c>
      <c r="AC3" s="785" t="s">
        <v>254</v>
      </c>
      <c r="AD3" s="785" t="s">
        <v>255</v>
      </c>
      <c r="AE3" s="785" t="s">
        <v>256</v>
      </c>
      <c r="AF3" s="785" t="s">
        <v>257</v>
      </c>
      <c r="AG3" s="784" t="s">
        <v>258</v>
      </c>
      <c r="AH3" s="785" t="s">
        <v>264</v>
      </c>
      <c r="AI3" s="785" t="s">
        <v>258</v>
      </c>
      <c r="AJ3" s="785" t="s">
        <v>259</v>
      </c>
      <c r="AK3" s="785" t="s">
        <v>260</v>
      </c>
      <c r="AL3" s="785" t="s">
        <v>365</v>
      </c>
      <c r="AM3" s="785" t="s">
        <v>261</v>
      </c>
      <c r="AN3" s="785" t="s">
        <v>262</v>
      </c>
      <c r="AO3" s="786" t="s">
        <v>263</v>
      </c>
      <c r="AP3" s="783" t="s">
        <v>366</v>
      </c>
    </row>
    <row r="4" spans="3:42" x14ac:dyDescent="0.35">
      <c r="D4" s="771" t="str">
        <f>"UK"&amp;E4&amp;F4</f>
        <v>UKVoiceL1</v>
      </c>
      <c r="E4" s="787" t="s">
        <v>266</v>
      </c>
      <c r="F4" s="788" t="s">
        <v>321</v>
      </c>
      <c r="G4" s="789" t="s">
        <v>367</v>
      </c>
      <c r="H4" s="790">
        <f>SUMPRODUCT(K4:L4,M4:N4)*$H$1</f>
        <v>25687.722321428573</v>
      </c>
      <c r="I4" s="790">
        <f>AO4</f>
        <v>31252.097687780992</v>
      </c>
      <c r="J4" s="791"/>
      <c r="K4" s="1453">
        <f>12.71*1.01</f>
        <v>12.837100000000001</v>
      </c>
      <c r="L4" s="1453">
        <f>K4+1</f>
        <v>13.837100000000001</v>
      </c>
      <c r="M4" s="792">
        <v>0.7</v>
      </c>
      <c r="N4" s="793">
        <f>1-M4</f>
        <v>0.30000000000000004</v>
      </c>
      <c r="P4" s="845">
        <f t="shared" ref="P4:P13" si="0">SUMPRODUCT(V4:W4,S4:T4)</f>
        <v>152</v>
      </c>
      <c r="Q4" s="845">
        <v>120</v>
      </c>
      <c r="S4" s="790">
        <v>200</v>
      </c>
      <c r="T4" s="790">
        <v>120</v>
      </c>
      <c r="V4" s="794">
        <v>0.4</v>
      </c>
      <c r="W4" s="794">
        <f>1-V4</f>
        <v>0.6</v>
      </c>
      <c r="Y4" s="795" t="s">
        <v>249</v>
      </c>
      <c r="Z4" s="796">
        <f t="shared" ref="Z4:Z13" si="1">H4</f>
        <v>25687.722321428573</v>
      </c>
      <c r="AA4" s="797">
        <f t="shared" ref="AA4:AA31" si="2">Z4/(AB4*AC4)</f>
        <v>13.1371</v>
      </c>
      <c r="AB4" s="798">
        <v>7.5</v>
      </c>
      <c r="AC4" s="364">
        <f>365*5/7</f>
        <v>260.71428571428572</v>
      </c>
      <c r="AD4" s="799">
        <f>IF($Y$4="Sub Contractor",0,$AD$2*52)</f>
        <v>5000</v>
      </c>
      <c r="AE4" s="799">
        <f>IF((Y4="Sub Contractor"),0,((Z4+AI4-AD4))*$AE$2)</f>
        <v>3199.4873069196433</v>
      </c>
      <c r="AF4" s="799">
        <f>IF((Y4="Sub Contractor"),0,(Z4*$AF$2))</f>
        <v>770.63166964285722</v>
      </c>
      <c r="AG4" s="800">
        <v>0.05</v>
      </c>
      <c r="AH4" s="801">
        <v>0.5</v>
      </c>
      <c r="AI4" s="799">
        <f>IF((Y4="Sub Contractor"),0,Z4*AG4*AH4)</f>
        <v>642.19305803571433</v>
      </c>
      <c r="AJ4" s="802"/>
      <c r="AK4" s="802"/>
      <c r="AL4" s="802">
        <f>IF(Z4=0,0,$AL$2*12)</f>
        <v>56.294117647058826</v>
      </c>
      <c r="AM4" s="802">
        <f>IF(Z4=0,0,$AM$2*12)</f>
        <v>120</v>
      </c>
      <c r="AN4" s="802">
        <f>IF((Y4="Sub Contractor"),0,Z4*$AN$2)</f>
        <v>775.76921410714283</v>
      </c>
      <c r="AO4" s="803">
        <f t="shared" ref="AO4:AO13" si="3">SUM(Z4,AE4,AF4,AI4:AN4)</f>
        <v>31252.097687780992</v>
      </c>
      <c r="AP4" s="804">
        <f>IFERROR((AO4-Z4)/Z4,0)</f>
        <v>0.21661614434809751</v>
      </c>
    </row>
    <row r="5" spans="3:42" s="805" customFormat="1" x14ac:dyDescent="0.35">
      <c r="D5" s="771" t="str">
        <f t="shared" ref="D5:D13" si="4">"UK"&amp;E5&amp;F5</f>
        <v>UKVoiceL2</v>
      </c>
      <c r="E5" s="787" t="s">
        <v>266</v>
      </c>
      <c r="F5" s="788" t="s">
        <v>322</v>
      </c>
      <c r="G5" s="789" t="s">
        <v>368</v>
      </c>
      <c r="H5" s="790">
        <f t="shared" ref="H5:H13" si="5">SUMPRODUCT(K5:L5,M5:N5)*$H$1</f>
        <v>26078.793750000004</v>
      </c>
      <c r="I5" s="790">
        <f t="shared" ref="I5:I13" si="6">AO5</f>
        <v>31736.615634209567</v>
      </c>
      <c r="J5" s="791"/>
      <c r="K5" s="1453">
        <f>K4</f>
        <v>12.837100000000001</v>
      </c>
      <c r="L5" s="1453">
        <f>L4</f>
        <v>13.837100000000001</v>
      </c>
      <c r="M5" s="792">
        <v>0.5</v>
      </c>
      <c r="N5" s="793">
        <f t="shared" ref="N5:N13" si="7">1-M5</f>
        <v>0.5</v>
      </c>
      <c r="O5" s="771"/>
      <c r="P5" s="845">
        <f t="shared" si="0"/>
        <v>152</v>
      </c>
      <c r="Q5" s="845">
        <v>120</v>
      </c>
      <c r="S5" s="790">
        <v>200</v>
      </c>
      <c r="T5" s="790">
        <v>120</v>
      </c>
      <c r="U5" s="771"/>
      <c r="V5" s="794">
        <v>0.4</v>
      </c>
      <c r="W5" s="794">
        <f t="shared" ref="W5:W13" si="8">1-V5</f>
        <v>0.6</v>
      </c>
      <c r="Y5" s="795" t="s">
        <v>249</v>
      </c>
      <c r="Z5" s="796">
        <f t="shared" si="1"/>
        <v>26078.793750000004</v>
      </c>
      <c r="AA5" s="797">
        <f t="shared" si="2"/>
        <v>13.337100000000001</v>
      </c>
      <c r="AB5" s="798">
        <v>7.5</v>
      </c>
      <c r="AC5" s="364">
        <f t="shared" ref="AC5:AC13" si="9">365*5/7</f>
        <v>260.71428571428572</v>
      </c>
      <c r="AD5" s="799">
        <f t="shared" ref="AD5:AD13" si="10">IF($Y$4="Sub Contractor",0,$AD$2*52)</f>
        <v>5000</v>
      </c>
      <c r="AE5" s="799">
        <f t="shared" ref="AE5:AE13" si="11">IF((Y5="Sub Contractor"),0,((Z5+AI5-AD5))*$AE$2)</f>
        <v>3259.6145390625006</v>
      </c>
      <c r="AF5" s="799">
        <f t="shared" ref="AF5:AF13" si="12">IF((Y5="Sub Contractor"),0,(Z5*$AF$2))</f>
        <v>782.36381250000011</v>
      </c>
      <c r="AG5" s="800">
        <v>0.05</v>
      </c>
      <c r="AH5" s="801">
        <v>0.5</v>
      </c>
      <c r="AI5" s="799">
        <f t="shared" ref="AI5:AI13" si="13">IF((Y5="Sub Contractor"),0,Z5*AG5*AH5)</f>
        <v>651.96984375000011</v>
      </c>
      <c r="AJ5" s="802"/>
      <c r="AK5" s="802"/>
      <c r="AL5" s="802">
        <f t="shared" ref="AL5:AL13" si="14">IF(Z5=0,0,$AL$2*12)</f>
        <v>56.294117647058826</v>
      </c>
      <c r="AM5" s="802">
        <f t="shared" ref="AM5:AM13" si="15">IF(Z5=0,0,$AM$2*12)</f>
        <v>120</v>
      </c>
      <c r="AN5" s="802">
        <f t="shared" ref="AN5:AN13" si="16">IF((Y5="Sub Contractor"),0,Z5*$AN$2)</f>
        <v>787.57957125000007</v>
      </c>
      <c r="AO5" s="803">
        <f t="shared" si="3"/>
        <v>31736.615634209567</v>
      </c>
      <c r="AP5" s="804">
        <f t="shared" ref="AP5:AP13" si="17">IFERROR((AO5-Z5)/Z5,0)</f>
        <v>0.21695105756989094</v>
      </c>
    </row>
    <row r="6" spans="3:42" s="805" customFormat="1" x14ac:dyDescent="0.35">
      <c r="D6" s="771" t="str">
        <f t="shared" si="4"/>
        <v>UKVoiceL3</v>
      </c>
      <c r="E6" s="787" t="s">
        <v>266</v>
      </c>
      <c r="F6" s="788" t="s">
        <v>323</v>
      </c>
      <c r="G6" s="789" t="s">
        <v>337</v>
      </c>
      <c r="H6" s="790">
        <f t="shared" si="5"/>
        <v>28034.150892857146</v>
      </c>
      <c r="I6" s="790">
        <f t="shared" si="6"/>
        <v>34159.20536635242</v>
      </c>
      <c r="J6" s="791"/>
      <c r="K6" s="1453">
        <f>K5+1</f>
        <v>13.837100000000001</v>
      </c>
      <c r="L6" s="1453">
        <f>K6+1</f>
        <v>14.837100000000001</v>
      </c>
      <c r="M6" s="792">
        <v>0.5</v>
      </c>
      <c r="N6" s="793">
        <f t="shared" si="7"/>
        <v>0.5</v>
      </c>
      <c r="O6" s="771"/>
      <c r="P6" s="845">
        <f t="shared" si="0"/>
        <v>152</v>
      </c>
      <c r="Q6" s="845">
        <v>120</v>
      </c>
      <c r="S6" s="790">
        <v>200</v>
      </c>
      <c r="T6" s="790">
        <v>120</v>
      </c>
      <c r="U6" s="771"/>
      <c r="V6" s="794">
        <v>0.4</v>
      </c>
      <c r="W6" s="794">
        <f t="shared" si="8"/>
        <v>0.6</v>
      </c>
      <c r="Y6" s="795" t="s">
        <v>249</v>
      </c>
      <c r="Z6" s="796">
        <f t="shared" si="1"/>
        <v>28034.150892857146</v>
      </c>
      <c r="AA6" s="797">
        <f t="shared" si="2"/>
        <v>14.337100000000001</v>
      </c>
      <c r="AB6" s="798">
        <v>7.5</v>
      </c>
      <c r="AC6" s="364">
        <f t="shared" si="9"/>
        <v>260.71428571428572</v>
      </c>
      <c r="AD6" s="799">
        <f t="shared" si="10"/>
        <v>5000</v>
      </c>
      <c r="AE6" s="799">
        <f t="shared" si="11"/>
        <v>3560.250699776786</v>
      </c>
      <c r="AF6" s="799">
        <f t="shared" si="12"/>
        <v>841.02452678571433</v>
      </c>
      <c r="AG6" s="800">
        <v>0.05</v>
      </c>
      <c r="AH6" s="801">
        <v>0.5</v>
      </c>
      <c r="AI6" s="799">
        <f t="shared" si="13"/>
        <v>700.85377232142866</v>
      </c>
      <c r="AJ6" s="802"/>
      <c r="AK6" s="802"/>
      <c r="AL6" s="802">
        <f t="shared" si="14"/>
        <v>56.294117647058826</v>
      </c>
      <c r="AM6" s="802">
        <f t="shared" si="15"/>
        <v>120</v>
      </c>
      <c r="AN6" s="802">
        <f t="shared" si="16"/>
        <v>846.63135696428571</v>
      </c>
      <c r="AO6" s="803">
        <f t="shared" si="3"/>
        <v>34159.20536635242</v>
      </c>
      <c r="AP6" s="804">
        <f t="shared" si="17"/>
        <v>0.21848546427906559</v>
      </c>
    </row>
    <row r="7" spans="3:42" s="805" customFormat="1" x14ac:dyDescent="0.35">
      <c r="D7" s="771" t="str">
        <f t="shared" si="4"/>
        <v>UKVoiceL4</v>
      </c>
      <c r="E7" s="787" t="s">
        <v>266</v>
      </c>
      <c r="F7" s="788" t="s">
        <v>324</v>
      </c>
      <c r="G7" s="789" t="s">
        <v>338</v>
      </c>
      <c r="H7" s="790">
        <f t="shared" si="5"/>
        <v>30828.258609011129</v>
      </c>
      <c r="I7" s="790">
        <f t="shared" si="6"/>
        <v>37620.965121281399</v>
      </c>
      <c r="J7" s="791"/>
      <c r="K7" s="1453">
        <f>K4*(1+18.9213300892133%)</f>
        <v>15.266050064882403</v>
      </c>
      <c r="L7" s="1453">
        <f>K7+1</f>
        <v>16.266050064882403</v>
      </c>
      <c r="M7" s="792">
        <v>0.5</v>
      </c>
      <c r="N7" s="793">
        <f t="shared" si="7"/>
        <v>0.5</v>
      </c>
      <c r="O7" s="771"/>
      <c r="P7" s="845">
        <f t="shared" si="0"/>
        <v>152</v>
      </c>
      <c r="Q7" s="845">
        <v>120</v>
      </c>
      <c r="S7" s="790">
        <v>200</v>
      </c>
      <c r="T7" s="790">
        <v>120</v>
      </c>
      <c r="U7" s="771"/>
      <c r="V7" s="794">
        <v>0.4</v>
      </c>
      <c r="W7" s="794">
        <f t="shared" si="8"/>
        <v>0.6</v>
      </c>
      <c r="Y7" s="795" t="s">
        <v>249</v>
      </c>
      <c r="Z7" s="796">
        <f t="shared" si="1"/>
        <v>30828.258609011129</v>
      </c>
      <c r="AA7" s="797">
        <f t="shared" si="2"/>
        <v>15.766050064882403</v>
      </c>
      <c r="AB7" s="798">
        <v>7.5</v>
      </c>
      <c r="AC7" s="364">
        <f t="shared" si="9"/>
        <v>260.71428571428572</v>
      </c>
      <c r="AD7" s="799">
        <f t="shared" si="10"/>
        <v>5000</v>
      </c>
      <c r="AE7" s="799">
        <f t="shared" si="11"/>
        <v>3989.8447611354609</v>
      </c>
      <c r="AF7" s="799">
        <f t="shared" si="12"/>
        <v>924.84775827033388</v>
      </c>
      <c r="AG7" s="800">
        <v>0.05</v>
      </c>
      <c r="AH7" s="801">
        <v>0.5</v>
      </c>
      <c r="AI7" s="799">
        <f t="shared" si="13"/>
        <v>770.70646522527829</v>
      </c>
      <c r="AJ7" s="802"/>
      <c r="AK7" s="802"/>
      <c r="AL7" s="802">
        <f t="shared" si="14"/>
        <v>56.294117647058826</v>
      </c>
      <c r="AM7" s="802">
        <f t="shared" si="15"/>
        <v>120</v>
      </c>
      <c r="AN7" s="802">
        <f t="shared" si="16"/>
        <v>931.01340999213608</v>
      </c>
      <c r="AO7" s="803">
        <f t="shared" si="3"/>
        <v>37620.965121281399</v>
      </c>
      <c r="AP7" s="804">
        <f t="shared" si="17"/>
        <v>0.22034025983824967</v>
      </c>
    </row>
    <row r="8" spans="3:42" s="805" customFormat="1" x14ac:dyDescent="0.35">
      <c r="D8" s="771" t="str">
        <f t="shared" si="4"/>
        <v>UKNon-voiceL1</v>
      </c>
      <c r="E8" s="787" t="s">
        <v>325</v>
      </c>
      <c r="F8" s="788" t="s">
        <v>321</v>
      </c>
      <c r="G8" s="789" t="s">
        <v>339</v>
      </c>
      <c r="H8" s="790">
        <f t="shared" si="5"/>
        <v>25687.722321428573</v>
      </c>
      <c r="I8" s="790">
        <f t="shared" si="6"/>
        <v>31252.097687780992</v>
      </c>
      <c r="J8" s="791"/>
      <c r="K8" s="1453">
        <f>K4</f>
        <v>12.837100000000001</v>
      </c>
      <c r="L8" s="1453">
        <f>L4</f>
        <v>13.837100000000001</v>
      </c>
      <c r="M8" s="792">
        <v>0.7</v>
      </c>
      <c r="N8" s="793">
        <f t="shared" si="7"/>
        <v>0.30000000000000004</v>
      </c>
      <c r="O8" s="771"/>
      <c r="P8" s="845">
        <f t="shared" si="0"/>
        <v>152</v>
      </c>
      <c r="Q8" s="845">
        <v>120</v>
      </c>
      <c r="S8" s="790">
        <v>200</v>
      </c>
      <c r="T8" s="790">
        <v>120</v>
      </c>
      <c r="U8" s="771"/>
      <c r="V8" s="794">
        <v>0.4</v>
      </c>
      <c r="W8" s="794">
        <f t="shared" si="8"/>
        <v>0.6</v>
      </c>
      <c r="Y8" s="795" t="s">
        <v>249</v>
      </c>
      <c r="Z8" s="796">
        <f t="shared" si="1"/>
        <v>25687.722321428573</v>
      </c>
      <c r="AA8" s="797">
        <f t="shared" si="2"/>
        <v>13.1371</v>
      </c>
      <c r="AB8" s="798">
        <v>7.5</v>
      </c>
      <c r="AC8" s="364">
        <f t="shared" si="9"/>
        <v>260.71428571428572</v>
      </c>
      <c r="AD8" s="799">
        <f t="shared" si="10"/>
        <v>5000</v>
      </c>
      <c r="AE8" s="799">
        <f t="shared" si="11"/>
        <v>3199.4873069196433</v>
      </c>
      <c r="AF8" s="799">
        <f t="shared" si="12"/>
        <v>770.63166964285722</v>
      </c>
      <c r="AG8" s="800">
        <v>0.05</v>
      </c>
      <c r="AH8" s="801">
        <v>0.5</v>
      </c>
      <c r="AI8" s="799">
        <f t="shared" si="13"/>
        <v>642.19305803571433</v>
      </c>
      <c r="AJ8" s="802"/>
      <c r="AK8" s="802"/>
      <c r="AL8" s="802">
        <f t="shared" si="14"/>
        <v>56.294117647058826</v>
      </c>
      <c r="AM8" s="802">
        <f t="shared" si="15"/>
        <v>120</v>
      </c>
      <c r="AN8" s="802">
        <f t="shared" si="16"/>
        <v>775.76921410714283</v>
      </c>
      <c r="AO8" s="803">
        <f t="shared" si="3"/>
        <v>31252.097687780992</v>
      </c>
      <c r="AP8" s="804">
        <f t="shared" si="17"/>
        <v>0.21661614434809751</v>
      </c>
    </row>
    <row r="9" spans="3:42" s="805" customFormat="1" x14ac:dyDescent="0.35">
      <c r="D9" s="771" t="str">
        <f t="shared" si="4"/>
        <v>UKNon-voiceL2</v>
      </c>
      <c r="E9" s="787" t="s">
        <v>325</v>
      </c>
      <c r="F9" s="788" t="s">
        <v>322</v>
      </c>
      <c r="G9" s="789" t="s">
        <v>369</v>
      </c>
      <c r="H9" s="790">
        <f t="shared" si="5"/>
        <v>26078.793750000004</v>
      </c>
      <c r="I9" s="790">
        <f t="shared" si="6"/>
        <v>31736.615634209567</v>
      </c>
      <c r="J9" s="791"/>
      <c r="K9" s="1453">
        <f>K8</f>
        <v>12.837100000000001</v>
      </c>
      <c r="L9" s="1453">
        <f t="shared" ref="L9:L11" si="18">L8</f>
        <v>13.837100000000001</v>
      </c>
      <c r="M9" s="792">
        <v>0.5</v>
      </c>
      <c r="N9" s="793">
        <f t="shared" si="7"/>
        <v>0.5</v>
      </c>
      <c r="O9" s="771"/>
      <c r="P9" s="845">
        <f t="shared" si="0"/>
        <v>152</v>
      </c>
      <c r="Q9" s="845">
        <v>120</v>
      </c>
      <c r="S9" s="790">
        <v>200</v>
      </c>
      <c r="T9" s="790">
        <v>120</v>
      </c>
      <c r="U9" s="771"/>
      <c r="V9" s="794">
        <v>0.4</v>
      </c>
      <c r="W9" s="794">
        <f t="shared" si="8"/>
        <v>0.6</v>
      </c>
      <c r="Y9" s="795" t="s">
        <v>249</v>
      </c>
      <c r="Z9" s="796">
        <f t="shared" si="1"/>
        <v>26078.793750000004</v>
      </c>
      <c r="AA9" s="797">
        <f t="shared" si="2"/>
        <v>13.337100000000001</v>
      </c>
      <c r="AB9" s="798">
        <v>7.5</v>
      </c>
      <c r="AC9" s="364">
        <f t="shared" si="9"/>
        <v>260.71428571428572</v>
      </c>
      <c r="AD9" s="799">
        <f t="shared" si="10"/>
        <v>5000</v>
      </c>
      <c r="AE9" s="799">
        <f t="shared" si="11"/>
        <v>3259.6145390625006</v>
      </c>
      <c r="AF9" s="799">
        <f t="shared" si="12"/>
        <v>782.36381250000011</v>
      </c>
      <c r="AG9" s="800">
        <v>0.05</v>
      </c>
      <c r="AH9" s="801">
        <v>0.5</v>
      </c>
      <c r="AI9" s="799">
        <f t="shared" si="13"/>
        <v>651.96984375000011</v>
      </c>
      <c r="AJ9" s="802"/>
      <c r="AK9" s="802"/>
      <c r="AL9" s="802">
        <f t="shared" si="14"/>
        <v>56.294117647058826</v>
      </c>
      <c r="AM9" s="802">
        <f t="shared" si="15"/>
        <v>120</v>
      </c>
      <c r="AN9" s="802">
        <f t="shared" si="16"/>
        <v>787.57957125000007</v>
      </c>
      <c r="AO9" s="803">
        <f t="shared" si="3"/>
        <v>31736.615634209567</v>
      </c>
      <c r="AP9" s="804">
        <f t="shared" si="17"/>
        <v>0.21695105756989094</v>
      </c>
    </row>
    <row r="10" spans="3:42" s="805" customFormat="1" x14ac:dyDescent="0.35">
      <c r="D10" s="771" t="str">
        <f t="shared" si="4"/>
        <v>UKBackofficeL1</v>
      </c>
      <c r="E10" s="787" t="s">
        <v>326</v>
      </c>
      <c r="F10" s="788" t="s">
        <v>321</v>
      </c>
      <c r="G10" s="789" t="s">
        <v>341</v>
      </c>
      <c r="H10" s="790">
        <f t="shared" si="5"/>
        <v>25687.722321428573</v>
      </c>
      <c r="I10" s="790">
        <f t="shared" si="6"/>
        <v>31252.097687780992</v>
      </c>
      <c r="J10" s="791"/>
      <c r="K10" s="1453">
        <f t="shared" ref="K10:K11" si="19">K9</f>
        <v>12.837100000000001</v>
      </c>
      <c r="L10" s="1453">
        <f t="shared" si="18"/>
        <v>13.837100000000001</v>
      </c>
      <c r="M10" s="792">
        <v>0.7</v>
      </c>
      <c r="N10" s="793">
        <f t="shared" si="7"/>
        <v>0.30000000000000004</v>
      </c>
      <c r="O10" s="771"/>
      <c r="P10" s="845">
        <f t="shared" si="0"/>
        <v>152</v>
      </c>
      <c r="Q10" s="845">
        <v>120</v>
      </c>
      <c r="S10" s="790">
        <v>200</v>
      </c>
      <c r="T10" s="790">
        <v>120</v>
      </c>
      <c r="U10" s="771"/>
      <c r="V10" s="794">
        <v>0.4</v>
      </c>
      <c r="W10" s="794">
        <f t="shared" si="8"/>
        <v>0.6</v>
      </c>
      <c r="Y10" s="795" t="s">
        <v>249</v>
      </c>
      <c r="Z10" s="796">
        <f t="shared" si="1"/>
        <v>25687.722321428573</v>
      </c>
      <c r="AA10" s="797">
        <f t="shared" si="2"/>
        <v>13.1371</v>
      </c>
      <c r="AB10" s="798">
        <v>7.5</v>
      </c>
      <c r="AC10" s="364">
        <f t="shared" si="9"/>
        <v>260.71428571428572</v>
      </c>
      <c r="AD10" s="799">
        <f t="shared" si="10"/>
        <v>5000</v>
      </c>
      <c r="AE10" s="799">
        <f t="shared" si="11"/>
        <v>3199.4873069196433</v>
      </c>
      <c r="AF10" s="799">
        <f t="shared" si="12"/>
        <v>770.63166964285722</v>
      </c>
      <c r="AG10" s="800">
        <v>0.05</v>
      </c>
      <c r="AH10" s="801">
        <v>0.5</v>
      </c>
      <c r="AI10" s="799">
        <f t="shared" si="13"/>
        <v>642.19305803571433</v>
      </c>
      <c r="AJ10" s="802"/>
      <c r="AK10" s="802"/>
      <c r="AL10" s="802">
        <f t="shared" si="14"/>
        <v>56.294117647058826</v>
      </c>
      <c r="AM10" s="802">
        <f t="shared" si="15"/>
        <v>120</v>
      </c>
      <c r="AN10" s="802">
        <f t="shared" si="16"/>
        <v>775.76921410714283</v>
      </c>
      <c r="AO10" s="803">
        <f t="shared" si="3"/>
        <v>31252.097687780992</v>
      </c>
      <c r="AP10" s="804">
        <f t="shared" si="17"/>
        <v>0.21661614434809751</v>
      </c>
    </row>
    <row r="11" spans="3:42" x14ac:dyDescent="0.35">
      <c r="D11" s="771" t="str">
        <f t="shared" si="4"/>
        <v>UKBackofficeL2</v>
      </c>
      <c r="E11" s="787" t="s">
        <v>326</v>
      </c>
      <c r="F11" s="788" t="s">
        <v>322</v>
      </c>
      <c r="G11" s="789" t="s">
        <v>342</v>
      </c>
      <c r="H11" s="790">
        <f t="shared" si="5"/>
        <v>25883.258035714291</v>
      </c>
      <c r="I11" s="790">
        <f t="shared" si="6"/>
        <v>31494.356660995276</v>
      </c>
      <c r="J11" s="791"/>
      <c r="K11" s="1453">
        <f t="shared" si="19"/>
        <v>12.837100000000001</v>
      </c>
      <c r="L11" s="1453">
        <f t="shared" si="18"/>
        <v>13.837100000000001</v>
      </c>
      <c r="M11" s="792">
        <v>0.6</v>
      </c>
      <c r="N11" s="793">
        <f t="shared" si="7"/>
        <v>0.4</v>
      </c>
      <c r="P11" s="845">
        <f t="shared" si="0"/>
        <v>152</v>
      </c>
      <c r="Q11" s="845">
        <v>120</v>
      </c>
      <c r="S11" s="790">
        <v>200</v>
      </c>
      <c r="T11" s="790">
        <v>120</v>
      </c>
      <c r="V11" s="794">
        <v>0.4</v>
      </c>
      <c r="W11" s="794">
        <f t="shared" si="8"/>
        <v>0.6</v>
      </c>
      <c r="Y11" s="795" t="s">
        <v>249</v>
      </c>
      <c r="Z11" s="796">
        <f t="shared" si="1"/>
        <v>25883.258035714291</v>
      </c>
      <c r="AA11" s="797">
        <f t="shared" si="2"/>
        <v>13.237100000000002</v>
      </c>
      <c r="AB11" s="798">
        <v>7.5</v>
      </c>
      <c r="AC11" s="364">
        <f t="shared" si="9"/>
        <v>260.71428571428572</v>
      </c>
      <c r="AD11" s="799">
        <f t="shared" si="10"/>
        <v>5000</v>
      </c>
      <c r="AE11" s="799">
        <f t="shared" si="11"/>
        <v>3229.5509229910717</v>
      </c>
      <c r="AF11" s="799">
        <f t="shared" si="12"/>
        <v>776.49774107142866</v>
      </c>
      <c r="AG11" s="800">
        <v>0.05</v>
      </c>
      <c r="AH11" s="801">
        <v>0.5</v>
      </c>
      <c r="AI11" s="799">
        <f t="shared" si="13"/>
        <v>647.08145089285733</v>
      </c>
      <c r="AJ11" s="802"/>
      <c r="AK11" s="802"/>
      <c r="AL11" s="802">
        <f t="shared" si="14"/>
        <v>56.294117647058826</v>
      </c>
      <c r="AM11" s="802">
        <f t="shared" si="15"/>
        <v>120</v>
      </c>
      <c r="AN11" s="802">
        <f t="shared" si="16"/>
        <v>781.67439267857151</v>
      </c>
      <c r="AO11" s="803">
        <f t="shared" si="3"/>
        <v>31494.356660995276</v>
      </c>
      <c r="AP11" s="804">
        <f t="shared" si="17"/>
        <v>0.21678486601411104</v>
      </c>
    </row>
    <row r="12" spans="3:42" x14ac:dyDescent="0.35">
      <c r="D12" s="771" t="str">
        <f t="shared" si="4"/>
        <v>UKBackofficeL3</v>
      </c>
      <c r="E12" s="787" t="s">
        <v>326</v>
      </c>
      <c r="F12" s="788" t="s">
        <v>323</v>
      </c>
      <c r="G12" s="789" t="s">
        <v>343</v>
      </c>
      <c r="H12" s="790">
        <f t="shared" si="5"/>
        <v>28034.150892857146</v>
      </c>
      <c r="I12" s="790">
        <f t="shared" si="6"/>
        <v>34159.20536635242</v>
      </c>
      <c r="J12" s="791"/>
      <c r="K12" s="1453">
        <f>K11+1</f>
        <v>13.837100000000001</v>
      </c>
      <c r="L12" s="1453">
        <f>K12+1</f>
        <v>14.837100000000001</v>
      </c>
      <c r="M12" s="792">
        <v>0.5</v>
      </c>
      <c r="N12" s="793">
        <f t="shared" si="7"/>
        <v>0.5</v>
      </c>
      <c r="P12" s="845">
        <f t="shared" si="0"/>
        <v>152</v>
      </c>
      <c r="Q12" s="845">
        <v>120</v>
      </c>
      <c r="S12" s="790">
        <v>200</v>
      </c>
      <c r="T12" s="790">
        <v>120</v>
      </c>
      <c r="V12" s="794">
        <v>0.4</v>
      </c>
      <c r="W12" s="794">
        <f t="shared" si="8"/>
        <v>0.6</v>
      </c>
      <c r="Y12" s="795" t="s">
        <v>249</v>
      </c>
      <c r="Z12" s="796">
        <f t="shared" si="1"/>
        <v>28034.150892857146</v>
      </c>
      <c r="AA12" s="806">
        <f t="shared" si="2"/>
        <v>14.337100000000001</v>
      </c>
      <c r="AB12" s="798">
        <v>7.5</v>
      </c>
      <c r="AC12" s="364">
        <f t="shared" si="9"/>
        <v>260.71428571428572</v>
      </c>
      <c r="AD12" s="799">
        <f t="shared" si="10"/>
        <v>5000</v>
      </c>
      <c r="AE12" s="799">
        <f t="shared" si="11"/>
        <v>3560.250699776786</v>
      </c>
      <c r="AF12" s="799">
        <f t="shared" si="12"/>
        <v>841.02452678571433</v>
      </c>
      <c r="AG12" s="800">
        <v>0.05</v>
      </c>
      <c r="AH12" s="801">
        <v>0.5</v>
      </c>
      <c r="AI12" s="799">
        <f t="shared" si="13"/>
        <v>700.85377232142866</v>
      </c>
      <c r="AJ12" s="802"/>
      <c r="AK12" s="802"/>
      <c r="AL12" s="802">
        <f t="shared" si="14"/>
        <v>56.294117647058826</v>
      </c>
      <c r="AM12" s="802">
        <f t="shared" si="15"/>
        <v>120</v>
      </c>
      <c r="AN12" s="802">
        <f t="shared" si="16"/>
        <v>846.63135696428571</v>
      </c>
      <c r="AO12" s="807">
        <f t="shared" si="3"/>
        <v>34159.20536635242</v>
      </c>
      <c r="AP12" s="804">
        <f t="shared" si="17"/>
        <v>0.21848546427906559</v>
      </c>
    </row>
    <row r="13" spans="3:42" ht="15" thickBot="1" x14ac:dyDescent="0.4">
      <c r="D13" s="771" t="str">
        <f t="shared" si="4"/>
        <v>UKBackofficeL4</v>
      </c>
      <c r="E13" s="787" t="s">
        <v>326</v>
      </c>
      <c r="F13" s="788" t="s">
        <v>324</v>
      </c>
      <c r="G13" s="789" t="s">
        <v>344</v>
      </c>
      <c r="H13" s="790">
        <f t="shared" si="5"/>
        <v>30828.258609011129</v>
      </c>
      <c r="I13" s="790">
        <f t="shared" si="6"/>
        <v>37620.965121281399</v>
      </c>
      <c r="J13" s="791"/>
      <c r="K13" s="1453">
        <f>K7</f>
        <v>15.266050064882403</v>
      </c>
      <c r="L13" s="1453">
        <f>L7</f>
        <v>16.266050064882403</v>
      </c>
      <c r="M13" s="792">
        <v>0.5</v>
      </c>
      <c r="N13" s="793">
        <f t="shared" si="7"/>
        <v>0.5</v>
      </c>
      <c r="P13" s="845">
        <f t="shared" si="0"/>
        <v>152</v>
      </c>
      <c r="Q13" s="845">
        <v>120</v>
      </c>
      <c r="S13" s="790">
        <v>200</v>
      </c>
      <c r="T13" s="790">
        <v>120</v>
      </c>
      <c r="V13" s="794">
        <v>0.4</v>
      </c>
      <c r="W13" s="794">
        <f t="shared" si="8"/>
        <v>0.6</v>
      </c>
      <c r="Y13" s="808" t="s">
        <v>249</v>
      </c>
      <c r="Z13" s="809">
        <f t="shared" si="1"/>
        <v>30828.258609011129</v>
      </c>
      <c r="AA13" s="810">
        <f t="shared" si="2"/>
        <v>15.766050064882403</v>
      </c>
      <c r="AB13" s="811">
        <v>7.5</v>
      </c>
      <c r="AC13" s="812">
        <f t="shared" si="9"/>
        <v>260.71428571428572</v>
      </c>
      <c r="AD13" s="813">
        <f t="shared" si="10"/>
        <v>5000</v>
      </c>
      <c r="AE13" s="813">
        <f t="shared" si="11"/>
        <v>3989.8447611354609</v>
      </c>
      <c r="AF13" s="813">
        <f t="shared" si="12"/>
        <v>924.84775827033388</v>
      </c>
      <c r="AG13" s="814">
        <v>0.05</v>
      </c>
      <c r="AH13" s="815">
        <v>0.5</v>
      </c>
      <c r="AI13" s="813">
        <f t="shared" si="13"/>
        <v>770.70646522527829</v>
      </c>
      <c r="AJ13" s="816"/>
      <c r="AK13" s="816"/>
      <c r="AL13" s="816">
        <f t="shared" si="14"/>
        <v>56.294117647058826</v>
      </c>
      <c r="AM13" s="816">
        <f t="shared" si="15"/>
        <v>120</v>
      </c>
      <c r="AN13" s="816">
        <f t="shared" si="16"/>
        <v>931.01340999213608</v>
      </c>
      <c r="AO13" s="817">
        <f t="shared" si="3"/>
        <v>37620.965121281399</v>
      </c>
      <c r="AP13" s="818">
        <f t="shared" si="17"/>
        <v>0.22034025983824967</v>
      </c>
    </row>
    <row r="14" spans="3:42" ht="15" thickTop="1" x14ac:dyDescent="0.35">
      <c r="F14" s="771"/>
      <c r="Z14" s="771"/>
      <c r="AA14" s="771"/>
      <c r="AB14" s="771"/>
      <c r="AC14" s="771"/>
      <c r="AD14" s="771"/>
      <c r="AE14" s="771"/>
      <c r="AF14" s="771"/>
      <c r="AG14" s="771"/>
      <c r="AH14" s="771"/>
      <c r="AI14" s="771"/>
      <c r="AJ14" s="771"/>
      <c r="AK14" s="771"/>
      <c r="AL14" s="771"/>
      <c r="AM14" s="771"/>
      <c r="AN14" s="771"/>
      <c r="AO14" s="771"/>
      <c r="AP14" s="771"/>
    </row>
    <row r="15" spans="3:42" ht="15" thickBot="1" x14ac:dyDescent="0.4">
      <c r="F15" s="819" t="s">
        <v>265</v>
      </c>
      <c r="G15" s="775"/>
      <c r="H15" s="775" t="s">
        <v>355</v>
      </c>
      <c r="I15" s="775" t="s">
        <v>356</v>
      </c>
      <c r="P15" s="820" t="s">
        <v>370</v>
      </c>
      <c r="Q15" s="820" t="s">
        <v>328</v>
      </c>
      <c r="Z15" s="771"/>
      <c r="AA15" s="771"/>
      <c r="AB15" s="771"/>
      <c r="AC15" s="771"/>
      <c r="AD15" s="771"/>
      <c r="AE15" s="771"/>
      <c r="AF15" s="771"/>
      <c r="AG15" s="771"/>
      <c r="AH15" s="771"/>
      <c r="AI15" s="771"/>
      <c r="AJ15" s="771"/>
      <c r="AK15" s="771"/>
      <c r="AL15" s="771"/>
      <c r="AM15" s="771"/>
      <c r="AN15" s="771"/>
      <c r="AO15" s="771"/>
      <c r="AP15" s="771"/>
    </row>
    <row r="16" spans="3:42" ht="15" thickTop="1" x14ac:dyDescent="0.35">
      <c r="F16" s="788" t="s">
        <v>204</v>
      </c>
      <c r="G16" s="789"/>
      <c r="H16" s="842">
        <v>30000</v>
      </c>
      <c r="I16" s="790">
        <f t="shared" ref="I16:I31" si="20">AO16</f>
        <v>36594.794117647056</v>
      </c>
      <c r="P16" s="821">
        <v>8.3333333333333329E-2</v>
      </c>
      <c r="Q16" s="790">
        <v>120</v>
      </c>
      <c r="Y16" s="822" t="s">
        <v>249</v>
      </c>
      <c r="Z16" s="823">
        <f>H16</f>
        <v>30000</v>
      </c>
      <c r="AA16" s="824">
        <f t="shared" si="2"/>
        <v>14.383561643835616</v>
      </c>
      <c r="AB16" s="825">
        <v>8</v>
      </c>
      <c r="AC16" s="825">
        <f t="shared" ref="AC16:AC31" si="21">365*5/7</f>
        <v>260.71428571428572</v>
      </c>
      <c r="AD16" s="826">
        <f t="shared" ref="AD16:AD28" si="22">IF($Y$4="Sub Contractor",0,$AD$2*52)</f>
        <v>5000</v>
      </c>
      <c r="AE16" s="826">
        <f t="shared" ref="AE16:AE31" si="23">IF((Y16="Sub Contractor"),0,((Z16+AI16-AD16))*$AE$2)</f>
        <v>3862.5</v>
      </c>
      <c r="AF16" s="826">
        <f t="shared" ref="AF16:AF31" si="24">IF((Y16="Sub Contractor"),0,(Z16*$AF$2))</f>
        <v>900</v>
      </c>
      <c r="AG16" s="827">
        <v>0.05</v>
      </c>
      <c r="AH16" s="828">
        <v>0.5</v>
      </c>
      <c r="AI16" s="826">
        <f t="shared" ref="AI16:AI31" si="25">IF((Y16="Sub Contractor"),0,Z16*AG16*AH16)</f>
        <v>750</v>
      </c>
      <c r="AJ16" s="829"/>
      <c r="AK16" s="829"/>
      <c r="AL16" s="829">
        <f t="shared" ref="AL16:AL31" si="26">IF(Z16=0,0,$AL$2*12)</f>
        <v>56.294117647058826</v>
      </c>
      <c r="AM16" s="829">
        <f t="shared" ref="AM16:AM31" si="27">IF(Z16=0,0,$AM$2*12)</f>
        <v>120</v>
      </c>
      <c r="AN16" s="829">
        <f t="shared" ref="AN16:AN31" si="28">IF((Y16="Sub Contractor"),0,Z16*$AN$2)</f>
        <v>905.99999999999989</v>
      </c>
      <c r="AO16" s="830">
        <f t="shared" ref="AO16:AO31" si="29">SUM(Z16,AE16,AF16,AI16:AN16)</f>
        <v>36594.794117647056</v>
      </c>
      <c r="AP16" s="831">
        <f t="shared" ref="AP16:AP31" si="30">IFERROR((AO16-Z16)/Z16,0)</f>
        <v>0.21982647058823521</v>
      </c>
    </row>
    <row r="17" spans="6:42" x14ac:dyDescent="0.35">
      <c r="F17" s="788" t="s">
        <v>267</v>
      </c>
      <c r="G17" s="789"/>
      <c r="H17" s="842">
        <v>37500</v>
      </c>
      <c r="I17" s="790">
        <f t="shared" si="20"/>
        <v>48043.169117647056</v>
      </c>
      <c r="Y17" s="795" t="s">
        <v>249</v>
      </c>
      <c r="Z17" s="796">
        <f t="shared" ref="Z17:Z31" si="31">H17</f>
        <v>37500</v>
      </c>
      <c r="AA17" s="806">
        <f t="shared" si="2"/>
        <v>17.979452054794521</v>
      </c>
      <c r="AB17" s="364">
        <v>8</v>
      </c>
      <c r="AC17" s="364">
        <f t="shared" si="21"/>
        <v>260.71428571428572</v>
      </c>
      <c r="AD17" s="799">
        <f t="shared" si="22"/>
        <v>5000</v>
      </c>
      <c r="AE17" s="799">
        <f t="shared" si="23"/>
        <v>5296.875</v>
      </c>
      <c r="AF17" s="799">
        <f t="shared" si="24"/>
        <v>1125</v>
      </c>
      <c r="AG17" s="833">
        <v>0.1</v>
      </c>
      <c r="AH17" s="834">
        <v>0.75</v>
      </c>
      <c r="AI17" s="799">
        <f t="shared" si="25"/>
        <v>2812.5</v>
      </c>
      <c r="AJ17" s="802"/>
      <c r="AK17" s="802"/>
      <c r="AL17" s="802">
        <f t="shared" si="26"/>
        <v>56.294117647058826</v>
      </c>
      <c r="AM17" s="802">
        <f t="shared" si="27"/>
        <v>120</v>
      </c>
      <c r="AN17" s="802">
        <f t="shared" si="28"/>
        <v>1132.5</v>
      </c>
      <c r="AO17" s="807">
        <f t="shared" si="29"/>
        <v>48043.169117647056</v>
      </c>
      <c r="AP17" s="804">
        <f t="shared" si="30"/>
        <v>0.28115117647058818</v>
      </c>
    </row>
    <row r="18" spans="6:42" x14ac:dyDescent="0.35">
      <c r="F18" s="788" t="s">
        <v>205</v>
      </c>
      <c r="G18" s="789"/>
      <c r="H18" s="842">
        <v>46875</v>
      </c>
      <c r="I18" s="790">
        <f t="shared" si="20"/>
        <v>60197.387867647056</v>
      </c>
      <c r="Y18" s="795" t="s">
        <v>249</v>
      </c>
      <c r="Z18" s="796">
        <f t="shared" si="31"/>
        <v>46875</v>
      </c>
      <c r="AA18" s="806">
        <f t="shared" si="2"/>
        <v>22.474315068493151</v>
      </c>
      <c r="AB18" s="364">
        <v>8</v>
      </c>
      <c r="AC18" s="364">
        <f t="shared" si="21"/>
        <v>260.71428571428572</v>
      </c>
      <c r="AD18" s="799">
        <f t="shared" si="22"/>
        <v>5000</v>
      </c>
      <c r="AE18" s="799">
        <f t="shared" si="23"/>
        <v>6808.59375</v>
      </c>
      <c r="AF18" s="799">
        <f t="shared" si="24"/>
        <v>1406.25</v>
      </c>
      <c r="AG18" s="800">
        <v>0.1</v>
      </c>
      <c r="AH18" s="801">
        <v>0.75</v>
      </c>
      <c r="AI18" s="799">
        <f t="shared" si="25"/>
        <v>3515.625</v>
      </c>
      <c r="AJ18" s="802"/>
      <c r="AK18" s="802"/>
      <c r="AL18" s="802">
        <f t="shared" si="26"/>
        <v>56.294117647058826</v>
      </c>
      <c r="AM18" s="802">
        <f t="shared" si="27"/>
        <v>120</v>
      </c>
      <c r="AN18" s="802">
        <f t="shared" si="28"/>
        <v>1415.625</v>
      </c>
      <c r="AO18" s="807">
        <f t="shared" si="29"/>
        <v>60197.387867647056</v>
      </c>
      <c r="AP18" s="804">
        <f t="shared" si="30"/>
        <v>0.2842109411764705</v>
      </c>
    </row>
    <row r="19" spans="6:42" x14ac:dyDescent="0.35">
      <c r="F19" s="788" t="s">
        <v>250</v>
      </c>
      <c r="G19" s="789"/>
      <c r="H19" s="842">
        <v>51562.500000000007</v>
      </c>
      <c r="I19" s="790">
        <f t="shared" si="20"/>
        <v>66274.497242647063</v>
      </c>
      <c r="Y19" s="795" t="s">
        <v>249</v>
      </c>
      <c r="Z19" s="796">
        <f t="shared" si="31"/>
        <v>51562.500000000007</v>
      </c>
      <c r="AA19" s="806">
        <f t="shared" si="2"/>
        <v>24.721746575342468</v>
      </c>
      <c r="AB19" s="364">
        <v>8</v>
      </c>
      <c r="AC19" s="364">
        <f t="shared" si="21"/>
        <v>260.71428571428572</v>
      </c>
      <c r="AD19" s="799">
        <f t="shared" si="22"/>
        <v>5000</v>
      </c>
      <c r="AE19" s="799">
        <f t="shared" si="23"/>
        <v>7564.4531250000009</v>
      </c>
      <c r="AF19" s="799">
        <f t="shared" si="24"/>
        <v>1546.8750000000002</v>
      </c>
      <c r="AG19" s="800">
        <v>0.1</v>
      </c>
      <c r="AH19" s="801">
        <v>0.75</v>
      </c>
      <c r="AI19" s="799">
        <f t="shared" si="25"/>
        <v>3867.1875000000009</v>
      </c>
      <c r="AJ19" s="802"/>
      <c r="AK19" s="802"/>
      <c r="AL19" s="802">
        <f t="shared" si="26"/>
        <v>56.294117647058826</v>
      </c>
      <c r="AM19" s="802">
        <f t="shared" si="27"/>
        <v>120</v>
      </c>
      <c r="AN19" s="802">
        <f t="shared" si="28"/>
        <v>1557.1875</v>
      </c>
      <c r="AO19" s="807">
        <f t="shared" si="29"/>
        <v>66274.497242647063</v>
      </c>
      <c r="AP19" s="804">
        <f t="shared" si="30"/>
        <v>0.28532358288770043</v>
      </c>
    </row>
    <row r="20" spans="6:42" x14ac:dyDescent="0.35">
      <c r="F20" s="788" t="s">
        <v>371</v>
      </c>
      <c r="G20" s="789"/>
      <c r="H20" s="842">
        <v>61875.000000000007</v>
      </c>
      <c r="I20" s="790">
        <f t="shared" si="20"/>
        <v>82312.497242647063</v>
      </c>
      <c r="Y20" s="795" t="s">
        <v>249</v>
      </c>
      <c r="Z20" s="796">
        <f t="shared" si="31"/>
        <v>61875.000000000007</v>
      </c>
      <c r="AA20" s="806">
        <f t="shared" si="2"/>
        <v>29.666095890410961</v>
      </c>
      <c r="AB20" s="364">
        <v>8</v>
      </c>
      <c r="AC20" s="364">
        <f t="shared" si="21"/>
        <v>260.71428571428572</v>
      </c>
      <c r="AD20" s="799">
        <f t="shared" si="22"/>
        <v>5000</v>
      </c>
      <c r="AE20" s="799">
        <f t="shared" si="23"/>
        <v>9575.390625</v>
      </c>
      <c r="AF20" s="799">
        <f t="shared" si="24"/>
        <v>1856.2500000000002</v>
      </c>
      <c r="AG20" s="833">
        <v>0.15</v>
      </c>
      <c r="AH20" s="834">
        <v>0.75</v>
      </c>
      <c r="AI20" s="799">
        <f t="shared" si="25"/>
        <v>6960.9375</v>
      </c>
      <c r="AJ20" s="802"/>
      <c r="AK20" s="802"/>
      <c r="AL20" s="802">
        <f t="shared" si="26"/>
        <v>56.294117647058826</v>
      </c>
      <c r="AM20" s="802">
        <f t="shared" si="27"/>
        <v>120</v>
      </c>
      <c r="AN20" s="802">
        <f t="shared" si="28"/>
        <v>1868.625</v>
      </c>
      <c r="AO20" s="807">
        <f t="shared" si="29"/>
        <v>82312.497242647063</v>
      </c>
      <c r="AP20" s="804">
        <f t="shared" si="30"/>
        <v>0.33030298573975037</v>
      </c>
    </row>
    <row r="21" spans="6:42" x14ac:dyDescent="0.35">
      <c r="F21" s="788" t="s">
        <v>372</v>
      </c>
      <c r="G21" s="789"/>
      <c r="H21" s="842">
        <v>77343.750000000015</v>
      </c>
      <c r="I21" s="790">
        <f t="shared" si="20"/>
        <v>106369.49724264708</v>
      </c>
      <c r="Y21" s="795" t="s">
        <v>249</v>
      </c>
      <c r="Z21" s="796">
        <f t="shared" si="31"/>
        <v>77343.750000000015</v>
      </c>
      <c r="AA21" s="806">
        <f t="shared" si="2"/>
        <v>37.082619863013704</v>
      </c>
      <c r="AB21" s="364">
        <v>8</v>
      </c>
      <c r="AC21" s="364">
        <f t="shared" si="21"/>
        <v>260.71428571428572</v>
      </c>
      <c r="AD21" s="799">
        <f t="shared" si="22"/>
        <v>5000</v>
      </c>
      <c r="AE21" s="799">
        <f t="shared" si="23"/>
        <v>12591.796875000002</v>
      </c>
      <c r="AF21" s="799">
        <f t="shared" si="24"/>
        <v>2320.3125000000005</v>
      </c>
      <c r="AG21" s="833">
        <v>0.2</v>
      </c>
      <c r="AH21" s="834">
        <v>0.75</v>
      </c>
      <c r="AI21" s="799">
        <f t="shared" si="25"/>
        <v>11601.562500000004</v>
      </c>
      <c r="AJ21" s="802"/>
      <c r="AK21" s="802"/>
      <c r="AL21" s="802">
        <f t="shared" si="26"/>
        <v>56.294117647058826</v>
      </c>
      <c r="AM21" s="802">
        <f t="shared" si="27"/>
        <v>120</v>
      </c>
      <c r="AN21" s="802">
        <f t="shared" si="28"/>
        <v>2335.7812500000005</v>
      </c>
      <c r="AO21" s="807">
        <f t="shared" si="29"/>
        <v>106369.49724264708</v>
      </c>
      <c r="AP21" s="804">
        <f t="shared" si="30"/>
        <v>0.37528238859180035</v>
      </c>
    </row>
    <row r="22" spans="6:42" x14ac:dyDescent="0.35">
      <c r="F22" s="788" t="s">
        <v>373</v>
      </c>
      <c r="G22" s="789"/>
      <c r="H22" s="842">
        <v>100546.87500000003</v>
      </c>
      <c r="I22" s="790">
        <f t="shared" si="20"/>
        <v>138452.45818014708</v>
      </c>
      <c r="Y22" s="795" t="s">
        <v>249</v>
      </c>
      <c r="Z22" s="796">
        <f t="shared" si="31"/>
        <v>100546.87500000003</v>
      </c>
      <c r="AA22" s="806">
        <f t="shared" si="2"/>
        <v>48.207405821917824</v>
      </c>
      <c r="AB22" s="364">
        <v>8</v>
      </c>
      <c r="AC22" s="364">
        <f t="shared" si="21"/>
        <v>260.71428571428572</v>
      </c>
      <c r="AD22" s="799">
        <f t="shared" si="22"/>
        <v>5000</v>
      </c>
      <c r="AE22" s="799">
        <f t="shared" si="23"/>
        <v>16594.335937500004</v>
      </c>
      <c r="AF22" s="799">
        <f t="shared" si="24"/>
        <v>3016.4062500000009</v>
      </c>
      <c r="AG22" s="833">
        <v>0.2</v>
      </c>
      <c r="AH22" s="834">
        <v>0.75</v>
      </c>
      <c r="AI22" s="799">
        <f t="shared" si="25"/>
        <v>15082.031250000005</v>
      </c>
      <c r="AJ22" s="802"/>
      <c r="AK22" s="802"/>
      <c r="AL22" s="802">
        <f t="shared" si="26"/>
        <v>56.294117647058826</v>
      </c>
      <c r="AM22" s="802">
        <f t="shared" si="27"/>
        <v>120</v>
      </c>
      <c r="AN22" s="802">
        <f t="shared" si="28"/>
        <v>3036.5156250000005</v>
      </c>
      <c r="AO22" s="807">
        <f t="shared" si="29"/>
        <v>138452.45818014708</v>
      </c>
      <c r="AP22" s="804">
        <f t="shared" si="30"/>
        <v>0.37699414507061546</v>
      </c>
    </row>
    <row r="23" spans="6:42" x14ac:dyDescent="0.35">
      <c r="F23" s="788" t="s">
        <v>374</v>
      </c>
      <c r="G23" s="789"/>
      <c r="H23" s="842">
        <v>30000</v>
      </c>
      <c r="I23" s="790">
        <f t="shared" si="20"/>
        <v>36594.794117647056</v>
      </c>
      <c r="Y23" s="835" t="s">
        <v>249</v>
      </c>
      <c r="Z23" s="836">
        <f t="shared" si="31"/>
        <v>30000</v>
      </c>
      <c r="AA23" s="837">
        <f t="shared" si="2"/>
        <v>14.383561643835616</v>
      </c>
      <c r="AB23" s="364">
        <v>8</v>
      </c>
      <c r="AC23" s="838">
        <f t="shared" si="21"/>
        <v>260.71428571428572</v>
      </c>
      <c r="AD23" s="799">
        <f t="shared" si="22"/>
        <v>5000</v>
      </c>
      <c r="AE23" s="799">
        <f t="shared" si="23"/>
        <v>3862.5</v>
      </c>
      <c r="AF23" s="799">
        <f t="shared" si="24"/>
        <v>900</v>
      </c>
      <c r="AG23" s="800">
        <v>0.05</v>
      </c>
      <c r="AH23" s="801">
        <v>0.5</v>
      </c>
      <c r="AI23" s="799">
        <f t="shared" si="25"/>
        <v>750</v>
      </c>
      <c r="AJ23" s="839"/>
      <c r="AK23" s="839"/>
      <c r="AL23" s="839">
        <f t="shared" si="26"/>
        <v>56.294117647058826</v>
      </c>
      <c r="AM23" s="839">
        <f t="shared" si="27"/>
        <v>120</v>
      </c>
      <c r="AN23" s="839">
        <f t="shared" si="28"/>
        <v>905.99999999999989</v>
      </c>
      <c r="AO23" s="840">
        <f t="shared" si="29"/>
        <v>36594.794117647056</v>
      </c>
      <c r="AP23" s="804">
        <f t="shared" si="30"/>
        <v>0.21982647058823521</v>
      </c>
    </row>
    <row r="24" spans="6:42" x14ac:dyDescent="0.35">
      <c r="F24" s="788" t="s">
        <v>47</v>
      </c>
      <c r="G24" s="789"/>
      <c r="H24" s="842">
        <v>30000</v>
      </c>
      <c r="I24" s="790">
        <f t="shared" si="20"/>
        <v>36594.794117647056</v>
      </c>
      <c r="Y24" s="835" t="s">
        <v>249</v>
      </c>
      <c r="Z24" s="836">
        <f t="shared" si="31"/>
        <v>30000</v>
      </c>
      <c r="AA24" s="837">
        <f t="shared" si="2"/>
        <v>14.383561643835616</v>
      </c>
      <c r="AB24" s="364">
        <v>8</v>
      </c>
      <c r="AC24" s="838">
        <f t="shared" si="21"/>
        <v>260.71428571428572</v>
      </c>
      <c r="AD24" s="799">
        <f t="shared" si="22"/>
        <v>5000</v>
      </c>
      <c r="AE24" s="799">
        <f t="shared" si="23"/>
        <v>3862.5</v>
      </c>
      <c r="AF24" s="799">
        <f t="shared" si="24"/>
        <v>900</v>
      </c>
      <c r="AG24" s="800">
        <v>0.05</v>
      </c>
      <c r="AH24" s="801">
        <v>0.5</v>
      </c>
      <c r="AI24" s="799">
        <f t="shared" si="25"/>
        <v>750</v>
      </c>
      <c r="AJ24" s="839"/>
      <c r="AK24" s="839"/>
      <c r="AL24" s="839">
        <f t="shared" si="26"/>
        <v>56.294117647058826</v>
      </c>
      <c r="AM24" s="839">
        <f t="shared" si="27"/>
        <v>120</v>
      </c>
      <c r="AN24" s="839">
        <f t="shared" si="28"/>
        <v>905.99999999999989</v>
      </c>
      <c r="AO24" s="840">
        <f t="shared" si="29"/>
        <v>36594.794117647056</v>
      </c>
      <c r="AP24" s="804">
        <f t="shared" si="30"/>
        <v>0.21982647058823521</v>
      </c>
    </row>
    <row r="25" spans="6:42" x14ac:dyDescent="0.35">
      <c r="F25" s="788" t="s">
        <v>46</v>
      </c>
      <c r="G25" s="789"/>
      <c r="H25" s="842">
        <v>30000</v>
      </c>
      <c r="I25" s="790">
        <f t="shared" si="20"/>
        <v>36594.794117647056</v>
      </c>
      <c r="Y25" s="835" t="s">
        <v>249</v>
      </c>
      <c r="Z25" s="836">
        <f t="shared" si="31"/>
        <v>30000</v>
      </c>
      <c r="AA25" s="837">
        <f t="shared" si="2"/>
        <v>14.383561643835616</v>
      </c>
      <c r="AB25" s="364">
        <v>8</v>
      </c>
      <c r="AC25" s="838">
        <f t="shared" si="21"/>
        <v>260.71428571428572</v>
      </c>
      <c r="AD25" s="799">
        <f t="shared" si="22"/>
        <v>5000</v>
      </c>
      <c r="AE25" s="799">
        <f t="shared" si="23"/>
        <v>3862.5</v>
      </c>
      <c r="AF25" s="799">
        <f t="shared" si="24"/>
        <v>900</v>
      </c>
      <c r="AG25" s="800">
        <v>0.05</v>
      </c>
      <c r="AH25" s="801">
        <v>0.5</v>
      </c>
      <c r="AI25" s="799">
        <f t="shared" si="25"/>
        <v>750</v>
      </c>
      <c r="AJ25" s="839"/>
      <c r="AK25" s="839"/>
      <c r="AL25" s="839">
        <f t="shared" si="26"/>
        <v>56.294117647058826</v>
      </c>
      <c r="AM25" s="839">
        <f t="shared" si="27"/>
        <v>120</v>
      </c>
      <c r="AN25" s="839">
        <f t="shared" si="28"/>
        <v>905.99999999999989</v>
      </c>
      <c r="AO25" s="840">
        <f t="shared" si="29"/>
        <v>36594.794117647056</v>
      </c>
      <c r="AP25" s="804">
        <f t="shared" si="30"/>
        <v>0.21982647058823521</v>
      </c>
    </row>
    <row r="26" spans="6:42" x14ac:dyDescent="0.35">
      <c r="F26" s="788" t="s">
        <v>206</v>
      </c>
      <c r="G26" s="789"/>
      <c r="H26" s="842">
        <v>30011.171465411022</v>
      </c>
      <c r="I26" s="790">
        <f t="shared" si="20"/>
        <v>36608.635004718039</v>
      </c>
      <c r="Y26" s="835" t="s">
        <v>249</v>
      </c>
      <c r="Z26" s="836">
        <f t="shared" si="31"/>
        <v>30011.171465411022</v>
      </c>
      <c r="AA26" s="837">
        <f t="shared" si="2"/>
        <v>14.388917825881997</v>
      </c>
      <c r="AB26" s="364">
        <v>8</v>
      </c>
      <c r="AC26" s="838">
        <f t="shared" si="21"/>
        <v>260.71428571428572</v>
      </c>
      <c r="AD26" s="799">
        <f t="shared" si="22"/>
        <v>5000</v>
      </c>
      <c r="AE26" s="799">
        <f t="shared" si="23"/>
        <v>3864.2176128069445</v>
      </c>
      <c r="AF26" s="799">
        <f t="shared" si="24"/>
        <v>900.33514396233068</v>
      </c>
      <c r="AG26" s="800">
        <v>0.05</v>
      </c>
      <c r="AH26" s="801">
        <v>0.5</v>
      </c>
      <c r="AI26" s="799">
        <f t="shared" si="25"/>
        <v>750.27928663527564</v>
      </c>
      <c r="AJ26" s="839"/>
      <c r="AK26" s="839"/>
      <c r="AL26" s="839">
        <f t="shared" si="26"/>
        <v>56.294117647058826</v>
      </c>
      <c r="AM26" s="839">
        <f t="shared" si="27"/>
        <v>120</v>
      </c>
      <c r="AN26" s="839">
        <f t="shared" si="28"/>
        <v>906.33737825541277</v>
      </c>
      <c r="AO26" s="840">
        <f t="shared" si="29"/>
        <v>36608.635004718039</v>
      </c>
      <c r="AP26" s="804">
        <f t="shared" si="30"/>
        <v>0.21983358919896998</v>
      </c>
    </row>
    <row r="27" spans="6:42" x14ac:dyDescent="0.35">
      <c r="F27" s="788" t="s">
        <v>375</v>
      </c>
      <c r="G27" s="789"/>
      <c r="H27" s="842">
        <v>51562.500000000007</v>
      </c>
      <c r="I27" s="790">
        <f t="shared" si="20"/>
        <v>66274.497242647063</v>
      </c>
      <c r="Y27" s="835" t="s">
        <v>249</v>
      </c>
      <c r="Z27" s="836">
        <f t="shared" si="31"/>
        <v>51562.500000000007</v>
      </c>
      <c r="AA27" s="837">
        <f t="shared" si="2"/>
        <v>24.721746575342468</v>
      </c>
      <c r="AB27" s="364">
        <v>8</v>
      </c>
      <c r="AC27" s="838">
        <f t="shared" si="21"/>
        <v>260.71428571428572</v>
      </c>
      <c r="AD27" s="799">
        <f t="shared" si="22"/>
        <v>5000</v>
      </c>
      <c r="AE27" s="799">
        <f t="shared" si="23"/>
        <v>7564.4531250000009</v>
      </c>
      <c r="AF27" s="799">
        <f t="shared" si="24"/>
        <v>1546.8750000000002</v>
      </c>
      <c r="AG27" s="800">
        <v>0.1</v>
      </c>
      <c r="AH27" s="801">
        <v>0.75</v>
      </c>
      <c r="AI27" s="799">
        <f t="shared" si="25"/>
        <v>3867.1875000000009</v>
      </c>
      <c r="AJ27" s="839"/>
      <c r="AK27" s="839"/>
      <c r="AL27" s="839">
        <f t="shared" si="26"/>
        <v>56.294117647058826</v>
      </c>
      <c r="AM27" s="839">
        <f t="shared" si="27"/>
        <v>120</v>
      </c>
      <c r="AN27" s="839">
        <f t="shared" si="28"/>
        <v>1557.1875</v>
      </c>
      <c r="AO27" s="840">
        <f t="shared" si="29"/>
        <v>66274.497242647063</v>
      </c>
      <c r="AP27" s="804">
        <f t="shared" si="30"/>
        <v>0.28532358288770043</v>
      </c>
    </row>
    <row r="28" spans="6:42" x14ac:dyDescent="0.35">
      <c r="F28" s="788" t="s">
        <v>376</v>
      </c>
      <c r="G28" s="789"/>
      <c r="H28" s="842">
        <v>66486.42</v>
      </c>
      <c r="I28" s="790">
        <f t="shared" si="20"/>
        <v>85622.613326647057</v>
      </c>
      <c r="Y28" s="835" t="s">
        <v>249</v>
      </c>
      <c r="Z28" s="836">
        <f t="shared" si="31"/>
        <v>66486.42</v>
      </c>
      <c r="AA28" s="837">
        <f t="shared" si="2"/>
        <v>31.877050684931504</v>
      </c>
      <c r="AB28" s="364">
        <v>8</v>
      </c>
      <c r="AC28" s="838">
        <f t="shared" si="21"/>
        <v>260.71428571428572</v>
      </c>
      <c r="AD28" s="799">
        <f t="shared" si="22"/>
        <v>5000</v>
      </c>
      <c r="AE28" s="799">
        <f t="shared" si="23"/>
        <v>9970.9352249999993</v>
      </c>
      <c r="AF28" s="799">
        <f t="shared" si="24"/>
        <v>1994.5925999999999</v>
      </c>
      <c r="AG28" s="800">
        <v>0.1</v>
      </c>
      <c r="AH28" s="801">
        <v>0.75</v>
      </c>
      <c r="AI28" s="799">
        <f t="shared" si="25"/>
        <v>4986.4814999999999</v>
      </c>
      <c r="AJ28" s="839"/>
      <c r="AK28" s="839"/>
      <c r="AL28" s="839">
        <f t="shared" si="26"/>
        <v>56.294117647058826</v>
      </c>
      <c r="AM28" s="839">
        <f t="shared" si="27"/>
        <v>120</v>
      </c>
      <c r="AN28" s="839">
        <f t="shared" si="28"/>
        <v>2007.8898839999997</v>
      </c>
      <c r="AO28" s="840">
        <f t="shared" si="29"/>
        <v>85622.613326647057</v>
      </c>
      <c r="AP28" s="804">
        <f t="shared" si="30"/>
        <v>0.28782108175845622</v>
      </c>
    </row>
    <row r="29" spans="6:42" x14ac:dyDescent="0.35">
      <c r="F29" s="788" t="s">
        <v>377</v>
      </c>
      <c r="G29" s="789"/>
      <c r="H29" s="842"/>
      <c r="I29" s="790">
        <f t="shared" si="20"/>
        <v>0</v>
      </c>
      <c r="Y29" s="835" t="s">
        <v>249</v>
      </c>
      <c r="Z29" s="836">
        <f t="shared" si="31"/>
        <v>0</v>
      </c>
      <c r="AA29" s="837">
        <f t="shared" si="2"/>
        <v>0</v>
      </c>
      <c r="AB29" s="364">
        <v>8</v>
      </c>
      <c r="AC29" s="838">
        <f t="shared" si="21"/>
        <v>260.71428571428572</v>
      </c>
      <c r="AD29" s="799"/>
      <c r="AE29" s="799">
        <f t="shared" si="23"/>
        <v>0</v>
      </c>
      <c r="AF29" s="799">
        <f t="shared" si="24"/>
        <v>0</v>
      </c>
      <c r="AG29" s="800">
        <v>0.1</v>
      </c>
      <c r="AH29" s="801">
        <v>0.75</v>
      </c>
      <c r="AI29" s="799">
        <f t="shared" si="25"/>
        <v>0</v>
      </c>
      <c r="AJ29" s="839"/>
      <c r="AK29" s="839"/>
      <c r="AL29" s="839">
        <f t="shared" si="26"/>
        <v>0</v>
      </c>
      <c r="AM29" s="839">
        <f t="shared" si="27"/>
        <v>0</v>
      </c>
      <c r="AN29" s="839">
        <f t="shared" si="28"/>
        <v>0</v>
      </c>
      <c r="AO29" s="840">
        <f t="shared" si="29"/>
        <v>0</v>
      </c>
      <c r="AP29" s="804">
        <f t="shared" si="30"/>
        <v>0</v>
      </c>
    </row>
    <row r="30" spans="6:42" x14ac:dyDescent="0.35">
      <c r="F30" s="788" t="s">
        <v>378</v>
      </c>
      <c r="G30" s="789"/>
      <c r="H30" s="842"/>
      <c r="I30" s="790">
        <f t="shared" si="20"/>
        <v>0</v>
      </c>
      <c r="Y30" s="835" t="s">
        <v>249</v>
      </c>
      <c r="Z30" s="836">
        <f t="shared" si="31"/>
        <v>0</v>
      </c>
      <c r="AA30" s="837">
        <f t="shared" si="2"/>
        <v>0</v>
      </c>
      <c r="AB30" s="364">
        <v>8</v>
      </c>
      <c r="AC30" s="838">
        <f t="shared" si="21"/>
        <v>260.71428571428572</v>
      </c>
      <c r="AD30" s="799"/>
      <c r="AE30" s="799">
        <f t="shared" si="23"/>
        <v>0</v>
      </c>
      <c r="AF30" s="799">
        <f t="shared" si="24"/>
        <v>0</v>
      </c>
      <c r="AG30" s="800">
        <v>0.1</v>
      </c>
      <c r="AH30" s="801">
        <v>0.75</v>
      </c>
      <c r="AI30" s="799">
        <f t="shared" si="25"/>
        <v>0</v>
      </c>
      <c r="AJ30" s="839"/>
      <c r="AK30" s="839"/>
      <c r="AL30" s="839">
        <f t="shared" si="26"/>
        <v>0</v>
      </c>
      <c r="AM30" s="839">
        <f t="shared" si="27"/>
        <v>0</v>
      </c>
      <c r="AN30" s="839">
        <f t="shared" si="28"/>
        <v>0</v>
      </c>
      <c r="AO30" s="840">
        <f t="shared" si="29"/>
        <v>0</v>
      </c>
      <c r="AP30" s="804">
        <f t="shared" si="30"/>
        <v>0</v>
      </c>
    </row>
    <row r="31" spans="6:42" ht="15" thickBot="1" x14ac:dyDescent="0.4">
      <c r="F31" s="788" t="s">
        <v>379</v>
      </c>
      <c r="G31" s="789"/>
      <c r="H31" s="842"/>
      <c r="I31" s="790">
        <f t="shared" si="20"/>
        <v>0</v>
      </c>
      <c r="Y31" s="808" t="s">
        <v>249</v>
      </c>
      <c r="Z31" s="809">
        <f t="shared" si="31"/>
        <v>0</v>
      </c>
      <c r="AA31" s="810">
        <f t="shared" si="2"/>
        <v>0</v>
      </c>
      <c r="AB31" s="812">
        <v>8</v>
      </c>
      <c r="AC31" s="812">
        <f t="shared" si="21"/>
        <v>260.71428571428572</v>
      </c>
      <c r="AD31" s="813"/>
      <c r="AE31" s="813">
        <f t="shared" si="23"/>
        <v>0</v>
      </c>
      <c r="AF31" s="813">
        <f t="shared" si="24"/>
        <v>0</v>
      </c>
      <c r="AG31" s="814">
        <v>0.1</v>
      </c>
      <c r="AH31" s="815">
        <v>0.75</v>
      </c>
      <c r="AI31" s="813">
        <f t="shared" si="25"/>
        <v>0</v>
      </c>
      <c r="AJ31" s="816"/>
      <c r="AK31" s="816"/>
      <c r="AL31" s="816">
        <f t="shared" si="26"/>
        <v>0</v>
      </c>
      <c r="AM31" s="816">
        <f t="shared" si="27"/>
        <v>0</v>
      </c>
      <c r="AN31" s="816">
        <f t="shared" si="28"/>
        <v>0</v>
      </c>
      <c r="AO31" s="817">
        <f t="shared" si="29"/>
        <v>0</v>
      </c>
      <c r="AP31" s="818">
        <f t="shared" si="30"/>
        <v>0</v>
      </c>
    </row>
    <row r="32" spans="6:42" ht="15" thickTop="1" x14ac:dyDescent="0.35">
      <c r="F32" s="771"/>
      <c r="Z32" s="771"/>
      <c r="AA32" s="771"/>
      <c r="AB32" s="771"/>
      <c r="AC32" s="771"/>
      <c r="AD32" s="771"/>
      <c r="AE32" s="771"/>
      <c r="AF32" s="771"/>
      <c r="AG32" s="771"/>
      <c r="AH32" s="771"/>
      <c r="AI32" s="771"/>
      <c r="AJ32" s="771"/>
      <c r="AK32" s="771"/>
      <c r="AL32" s="771"/>
      <c r="AM32" s="771"/>
      <c r="AN32" s="771"/>
      <c r="AO32" s="771"/>
      <c r="AP32" s="771"/>
    </row>
    <row r="33" spans="5:42" x14ac:dyDescent="0.35">
      <c r="F33" s="841" t="s">
        <v>380</v>
      </c>
      <c r="Z33" s="771"/>
      <c r="AA33" s="771"/>
      <c r="AB33" s="771"/>
      <c r="AC33" s="771"/>
      <c r="AD33" s="771"/>
      <c r="AE33" s="771"/>
      <c r="AF33" s="771"/>
      <c r="AG33" s="771"/>
      <c r="AH33" s="771"/>
      <c r="AI33" s="771"/>
      <c r="AJ33" s="771"/>
      <c r="AK33" s="771"/>
      <c r="AL33" s="771"/>
      <c r="AM33" s="771"/>
      <c r="AN33" s="771"/>
      <c r="AO33" s="771"/>
      <c r="AP33" s="771"/>
    </row>
    <row r="34" spans="5:42" ht="15" thickBot="1" x14ac:dyDescent="0.4">
      <c r="F34" s="819" t="s">
        <v>265</v>
      </c>
      <c r="G34" s="775"/>
      <c r="H34" s="775" t="s">
        <v>355</v>
      </c>
      <c r="I34" s="775" t="s">
        <v>356</v>
      </c>
      <c r="Z34" s="771"/>
      <c r="AA34" s="771"/>
      <c r="AB34" s="771"/>
      <c r="AC34" s="771"/>
      <c r="AD34" s="771"/>
      <c r="AE34" s="771"/>
      <c r="AF34" s="771"/>
      <c r="AG34" s="771"/>
      <c r="AH34" s="771"/>
      <c r="AI34" s="771"/>
      <c r="AJ34" s="771"/>
      <c r="AK34" s="771"/>
      <c r="AL34" s="771"/>
      <c r="AM34" s="771"/>
      <c r="AN34" s="771"/>
      <c r="AO34" s="771"/>
      <c r="AP34" s="771"/>
    </row>
    <row r="35" spans="5:42" ht="15" thickTop="1" x14ac:dyDescent="0.35">
      <c r="F35" s="788" t="s">
        <v>204</v>
      </c>
      <c r="G35" s="789"/>
      <c r="H35" s="842">
        <f>H13*115%</f>
        <v>35452.497400362794</v>
      </c>
      <c r="I35" s="790">
        <f t="shared" ref="I35:I50" si="32">AO35</f>
        <v>43350.165771826541</v>
      </c>
      <c r="Y35" s="822" t="s">
        <v>249</v>
      </c>
      <c r="Z35" s="823">
        <f>H35</f>
        <v>35452.497400362794</v>
      </c>
      <c r="AA35" s="824">
        <f t="shared" ref="AA35:AA50" si="33">Z35/(AB35*AC35)</f>
        <v>16.99777272620134</v>
      </c>
      <c r="AB35" s="825">
        <v>8</v>
      </c>
      <c r="AC35" s="825">
        <f t="shared" ref="AC35:AC50" si="34">365*5/7</f>
        <v>260.71428571428572</v>
      </c>
      <c r="AD35" s="826">
        <f t="shared" ref="AD35:AD47" si="35">IF($Y$4="Sub Contractor",0,$AD$2*52)</f>
        <v>5000</v>
      </c>
      <c r="AE35" s="826">
        <f t="shared" ref="AE35:AE50" si="36">IF((Y35="Sub Contractor"),0,((Z35+AI35-AD35))*$AE$2)</f>
        <v>4700.82147530578</v>
      </c>
      <c r="AF35" s="826">
        <f t="shared" ref="AF35:AF50" si="37">IF((Y35="Sub Contractor"),0,(Z35*$AF$2))</f>
        <v>1063.5749220108837</v>
      </c>
      <c r="AG35" s="827">
        <v>0.05</v>
      </c>
      <c r="AH35" s="828">
        <v>0.5</v>
      </c>
      <c r="AI35" s="826">
        <f t="shared" ref="AI35:AI50" si="38">IF((Y35="Sub Contractor"),0,Z35*AG35*AH35)</f>
        <v>886.31243500906987</v>
      </c>
      <c r="AJ35" s="829"/>
      <c r="AK35" s="829"/>
      <c r="AL35" s="829">
        <f t="shared" ref="AL35:AL50" si="39">IF(Z35=0,0,$AL$2*12)</f>
        <v>56.294117647058826</v>
      </c>
      <c r="AM35" s="829">
        <f t="shared" ref="AM35:AM50" si="40">IF(Z35=0,0,$AM$2*12)</f>
        <v>120</v>
      </c>
      <c r="AN35" s="829">
        <f t="shared" ref="AN35:AN50" si="41">IF((Y35="Sub Contractor"),0,Z35*$AN$2)</f>
        <v>1070.6654214909563</v>
      </c>
      <c r="AO35" s="830">
        <f t="shared" ref="AO35:AO50" si="42">SUM(Z35,AE35,AF35,AI35:AN35)</f>
        <v>43350.165771826541</v>
      </c>
      <c r="AP35" s="831">
        <f t="shared" ref="AP35:AP50" si="43">IFERROR((AO35-Z35)/Z35,0)</f>
        <v>0.22276761725065181</v>
      </c>
    </row>
    <row r="36" spans="5:42" x14ac:dyDescent="0.35">
      <c r="E36" s="832">
        <v>0.25</v>
      </c>
      <c r="F36" s="788" t="s">
        <v>267</v>
      </c>
      <c r="G36" s="789"/>
      <c r="H36" s="842">
        <f>H35*(1+E36)</f>
        <v>44315.621750453494</v>
      </c>
      <c r="I36" s="790">
        <f t="shared" si="32"/>
        <v>56879.281936022497</v>
      </c>
      <c r="Y36" s="795" t="s">
        <v>249</v>
      </c>
      <c r="Z36" s="796">
        <f t="shared" ref="Z36:Z50" si="44">H36</f>
        <v>44315.621750453494</v>
      </c>
      <c r="AA36" s="806">
        <f t="shared" si="33"/>
        <v>21.247215907751674</v>
      </c>
      <c r="AB36" s="364">
        <v>8</v>
      </c>
      <c r="AC36" s="364">
        <f t="shared" si="34"/>
        <v>260.71428571428572</v>
      </c>
      <c r="AD36" s="799">
        <f t="shared" si="35"/>
        <v>5000</v>
      </c>
      <c r="AE36" s="799">
        <f t="shared" si="36"/>
        <v>6395.8940072606265</v>
      </c>
      <c r="AF36" s="799">
        <f t="shared" si="37"/>
        <v>1329.4686525136049</v>
      </c>
      <c r="AG36" s="833">
        <v>0.1</v>
      </c>
      <c r="AH36" s="834">
        <v>0.75</v>
      </c>
      <c r="AI36" s="799">
        <f t="shared" si="38"/>
        <v>3323.6716312840117</v>
      </c>
      <c r="AJ36" s="802"/>
      <c r="AK36" s="802"/>
      <c r="AL36" s="802">
        <f t="shared" si="39"/>
        <v>56.294117647058826</v>
      </c>
      <c r="AM36" s="802">
        <f t="shared" si="40"/>
        <v>120</v>
      </c>
      <c r="AN36" s="802">
        <f t="shared" si="41"/>
        <v>1338.3317768636955</v>
      </c>
      <c r="AO36" s="807">
        <f t="shared" si="42"/>
        <v>56879.281936022497</v>
      </c>
      <c r="AP36" s="804">
        <f t="shared" si="43"/>
        <v>0.28350409380052161</v>
      </c>
    </row>
    <row r="37" spans="5:42" x14ac:dyDescent="0.35">
      <c r="F37" s="788" t="s">
        <v>205</v>
      </c>
      <c r="G37" s="789"/>
      <c r="H37" s="790">
        <f>H18</f>
        <v>46875</v>
      </c>
      <c r="I37" s="790">
        <f t="shared" si="32"/>
        <v>60197.387867647056</v>
      </c>
      <c r="Y37" s="795" t="s">
        <v>249</v>
      </c>
      <c r="Z37" s="796">
        <f t="shared" si="44"/>
        <v>46875</v>
      </c>
      <c r="AA37" s="806">
        <f t="shared" si="33"/>
        <v>22.474315068493151</v>
      </c>
      <c r="AB37" s="364">
        <v>8</v>
      </c>
      <c r="AC37" s="364">
        <f t="shared" si="34"/>
        <v>260.71428571428572</v>
      </c>
      <c r="AD37" s="799">
        <f t="shared" si="35"/>
        <v>5000</v>
      </c>
      <c r="AE37" s="799">
        <f t="shared" si="36"/>
        <v>6808.59375</v>
      </c>
      <c r="AF37" s="799">
        <f t="shared" si="37"/>
        <v>1406.25</v>
      </c>
      <c r="AG37" s="800">
        <v>0.1</v>
      </c>
      <c r="AH37" s="801">
        <v>0.75</v>
      </c>
      <c r="AI37" s="799">
        <f t="shared" si="38"/>
        <v>3515.625</v>
      </c>
      <c r="AJ37" s="802"/>
      <c r="AK37" s="802"/>
      <c r="AL37" s="802">
        <f t="shared" si="39"/>
        <v>56.294117647058826</v>
      </c>
      <c r="AM37" s="802">
        <f t="shared" si="40"/>
        <v>120</v>
      </c>
      <c r="AN37" s="802">
        <f t="shared" si="41"/>
        <v>1415.625</v>
      </c>
      <c r="AO37" s="807">
        <f t="shared" si="42"/>
        <v>60197.387867647056</v>
      </c>
      <c r="AP37" s="804">
        <f t="shared" si="43"/>
        <v>0.2842109411764705</v>
      </c>
    </row>
    <row r="38" spans="5:42" x14ac:dyDescent="0.35">
      <c r="F38" s="788" t="s">
        <v>250</v>
      </c>
      <c r="G38" s="789"/>
      <c r="H38" s="790">
        <f t="shared" ref="H38:H41" si="45">H19</f>
        <v>51562.500000000007</v>
      </c>
      <c r="I38" s="790">
        <f t="shared" si="32"/>
        <v>66274.497242647063</v>
      </c>
      <c r="Y38" s="795" t="s">
        <v>249</v>
      </c>
      <c r="Z38" s="796">
        <f t="shared" si="44"/>
        <v>51562.500000000007</v>
      </c>
      <c r="AA38" s="806">
        <f t="shared" si="33"/>
        <v>24.721746575342468</v>
      </c>
      <c r="AB38" s="364">
        <v>8</v>
      </c>
      <c r="AC38" s="364">
        <f t="shared" si="34"/>
        <v>260.71428571428572</v>
      </c>
      <c r="AD38" s="799">
        <f t="shared" si="35"/>
        <v>5000</v>
      </c>
      <c r="AE38" s="799">
        <f t="shared" si="36"/>
        <v>7564.4531250000009</v>
      </c>
      <c r="AF38" s="799">
        <f t="shared" si="37"/>
        <v>1546.8750000000002</v>
      </c>
      <c r="AG38" s="800">
        <v>0.1</v>
      </c>
      <c r="AH38" s="801">
        <v>0.75</v>
      </c>
      <c r="AI38" s="799">
        <f t="shared" si="38"/>
        <v>3867.1875000000009</v>
      </c>
      <c r="AJ38" s="802"/>
      <c r="AK38" s="802"/>
      <c r="AL38" s="802">
        <f t="shared" si="39"/>
        <v>56.294117647058826</v>
      </c>
      <c r="AM38" s="802">
        <f t="shared" si="40"/>
        <v>120</v>
      </c>
      <c r="AN38" s="802">
        <f t="shared" si="41"/>
        <v>1557.1875</v>
      </c>
      <c r="AO38" s="807">
        <f t="shared" si="42"/>
        <v>66274.497242647063</v>
      </c>
      <c r="AP38" s="804">
        <f t="shared" si="43"/>
        <v>0.28532358288770043</v>
      </c>
    </row>
    <row r="39" spans="5:42" x14ac:dyDescent="0.35">
      <c r="F39" s="788" t="s">
        <v>371</v>
      </c>
      <c r="G39" s="789"/>
      <c r="H39" s="790">
        <f t="shared" si="45"/>
        <v>61875.000000000007</v>
      </c>
      <c r="I39" s="790">
        <f t="shared" si="32"/>
        <v>82312.497242647063</v>
      </c>
      <c r="Y39" s="795" t="s">
        <v>249</v>
      </c>
      <c r="Z39" s="796">
        <f t="shared" si="44"/>
        <v>61875.000000000007</v>
      </c>
      <c r="AA39" s="806">
        <f t="shared" si="33"/>
        <v>29.666095890410961</v>
      </c>
      <c r="AB39" s="364">
        <v>8</v>
      </c>
      <c r="AC39" s="364">
        <f t="shared" si="34"/>
        <v>260.71428571428572</v>
      </c>
      <c r="AD39" s="799">
        <f t="shared" si="35"/>
        <v>5000</v>
      </c>
      <c r="AE39" s="799">
        <f t="shared" si="36"/>
        <v>9575.390625</v>
      </c>
      <c r="AF39" s="799">
        <f t="shared" si="37"/>
        <v>1856.2500000000002</v>
      </c>
      <c r="AG39" s="833">
        <v>0.15</v>
      </c>
      <c r="AH39" s="834">
        <v>0.75</v>
      </c>
      <c r="AI39" s="799">
        <f t="shared" si="38"/>
        <v>6960.9375</v>
      </c>
      <c r="AJ39" s="802"/>
      <c r="AK39" s="802"/>
      <c r="AL39" s="802">
        <f t="shared" si="39"/>
        <v>56.294117647058826</v>
      </c>
      <c r="AM39" s="802">
        <f t="shared" si="40"/>
        <v>120</v>
      </c>
      <c r="AN39" s="802">
        <f t="shared" si="41"/>
        <v>1868.625</v>
      </c>
      <c r="AO39" s="807">
        <f t="shared" si="42"/>
        <v>82312.497242647063</v>
      </c>
      <c r="AP39" s="804">
        <f t="shared" si="43"/>
        <v>0.33030298573975037</v>
      </c>
    </row>
    <row r="40" spans="5:42" x14ac:dyDescent="0.35">
      <c r="F40" s="788" t="s">
        <v>372</v>
      </c>
      <c r="G40" s="789"/>
      <c r="H40" s="790">
        <f t="shared" si="45"/>
        <v>77343.750000000015</v>
      </c>
      <c r="I40" s="790">
        <f t="shared" si="32"/>
        <v>106369.49724264708</v>
      </c>
      <c r="Y40" s="795" t="s">
        <v>249</v>
      </c>
      <c r="Z40" s="796">
        <f t="shared" si="44"/>
        <v>77343.750000000015</v>
      </c>
      <c r="AA40" s="806">
        <f t="shared" si="33"/>
        <v>37.082619863013704</v>
      </c>
      <c r="AB40" s="364">
        <v>8</v>
      </c>
      <c r="AC40" s="364">
        <f t="shared" si="34"/>
        <v>260.71428571428572</v>
      </c>
      <c r="AD40" s="799">
        <f t="shared" si="35"/>
        <v>5000</v>
      </c>
      <c r="AE40" s="799">
        <f t="shared" si="36"/>
        <v>12591.796875000002</v>
      </c>
      <c r="AF40" s="799">
        <f t="shared" si="37"/>
        <v>2320.3125000000005</v>
      </c>
      <c r="AG40" s="833">
        <v>0.2</v>
      </c>
      <c r="AH40" s="834">
        <v>0.75</v>
      </c>
      <c r="AI40" s="799">
        <f t="shared" si="38"/>
        <v>11601.562500000004</v>
      </c>
      <c r="AJ40" s="802"/>
      <c r="AK40" s="802"/>
      <c r="AL40" s="802">
        <f t="shared" si="39"/>
        <v>56.294117647058826</v>
      </c>
      <c r="AM40" s="802">
        <f t="shared" si="40"/>
        <v>120</v>
      </c>
      <c r="AN40" s="802">
        <f t="shared" si="41"/>
        <v>2335.7812500000005</v>
      </c>
      <c r="AO40" s="807">
        <f t="shared" si="42"/>
        <v>106369.49724264708</v>
      </c>
      <c r="AP40" s="804">
        <f t="shared" si="43"/>
        <v>0.37528238859180035</v>
      </c>
    </row>
    <row r="41" spans="5:42" x14ac:dyDescent="0.35">
      <c r="F41" s="788" t="s">
        <v>373</v>
      </c>
      <c r="G41" s="789"/>
      <c r="H41" s="790">
        <f t="shared" si="45"/>
        <v>100546.87500000003</v>
      </c>
      <c r="I41" s="790">
        <f t="shared" si="32"/>
        <v>138452.45818014708</v>
      </c>
      <c r="Y41" s="795" t="s">
        <v>249</v>
      </c>
      <c r="Z41" s="796">
        <f t="shared" si="44"/>
        <v>100546.87500000003</v>
      </c>
      <c r="AA41" s="806">
        <f t="shared" si="33"/>
        <v>48.207405821917824</v>
      </c>
      <c r="AB41" s="364">
        <v>8</v>
      </c>
      <c r="AC41" s="364">
        <f t="shared" si="34"/>
        <v>260.71428571428572</v>
      </c>
      <c r="AD41" s="799">
        <f t="shared" si="35"/>
        <v>5000</v>
      </c>
      <c r="AE41" s="799">
        <f t="shared" si="36"/>
        <v>16594.335937500004</v>
      </c>
      <c r="AF41" s="799">
        <f t="shared" si="37"/>
        <v>3016.4062500000009</v>
      </c>
      <c r="AG41" s="833">
        <v>0.2</v>
      </c>
      <c r="AH41" s="834">
        <v>0.75</v>
      </c>
      <c r="AI41" s="799">
        <f t="shared" si="38"/>
        <v>15082.031250000005</v>
      </c>
      <c r="AJ41" s="802"/>
      <c r="AK41" s="802"/>
      <c r="AL41" s="802">
        <f t="shared" si="39"/>
        <v>56.294117647058826</v>
      </c>
      <c r="AM41" s="802">
        <f t="shared" si="40"/>
        <v>120</v>
      </c>
      <c r="AN41" s="802">
        <f t="shared" si="41"/>
        <v>3036.5156250000005</v>
      </c>
      <c r="AO41" s="807">
        <f t="shared" si="42"/>
        <v>138452.45818014708</v>
      </c>
      <c r="AP41" s="804">
        <f t="shared" si="43"/>
        <v>0.37699414507061546</v>
      </c>
    </row>
    <row r="42" spans="5:42" x14ac:dyDescent="0.35">
      <c r="F42" s="788" t="s">
        <v>374</v>
      </c>
      <c r="G42" s="789"/>
      <c r="H42" s="842">
        <f>H35</f>
        <v>35452.497400362794</v>
      </c>
      <c r="I42" s="790">
        <f t="shared" si="32"/>
        <v>43350.165771826541</v>
      </c>
      <c r="Y42" s="835" t="s">
        <v>249</v>
      </c>
      <c r="Z42" s="836">
        <f t="shared" si="44"/>
        <v>35452.497400362794</v>
      </c>
      <c r="AA42" s="837">
        <f t="shared" si="33"/>
        <v>16.99777272620134</v>
      </c>
      <c r="AB42" s="364">
        <v>8</v>
      </c>
      <c r="AC42" s="838">
        <f t="shared" si="34"/>
        <v>260.71428571428572</v>
      </c>
      <c r="AD42" s="799">
        <f t="shared" si="35"/>
        <v>5000</v>
      </c>
      <c r="AE42" s="799">
        <f t="shared" si="36"/>
        <v>4700.82147530578</v>
      </c>
      <c r="AF42" s="799">
        <f t="shared" si="37"/>
        <v>1063.5749220108837</v>
      </c>
      <c r="AG42" s="800">
        <v>0.05</v>
      </c>
      <c r="AH42" s="801">
        <v>0.5</v>
      </c>
      <c r="AI42" s="799">
        <f t="shared" si="38"/>
        <v>886.31243500906987</v>
      </c>
      <c r="AJ42" s="839"/>
      <c r="AK42" s="839"/>
      <c r="AL42" s="839">
        <f t="shared" si="39"/>
        <v>56.294117647058826</v>
      </c>
      <c r="AM42" s="839">
        <f t="shared" si="40"/>
        <v>120</v>
      </c>
      <c r="AN42" s="839">
        <f t="shared" si="41"/>
        <v>1070.6654214909563</v>
      </c>
      <c r="AO42" s="840">
        <f t="shared" si="42"/>
        <v>43350.165771826541</v>
      </c>
      <c r="AP42" s="804">
        <f t="shared" si="43"/>
        <v>0.22276761725065181</v>
      </c>
    </row>
    <row r="43" spans="5:42" x14ac:dyDescent="0.35">
      <c r="F43" s="788" t="s">
        <v>47</v>
      </c>
      <c r="G43" s="789"/>
      <c r="H43" s="842">
        <f>H35</f>
        <v>35452.497400362794</v>
      </c>
      <c r="I43" s="790">
        <f t="shared" si="32"/>
        <v>43350.165771826541</v>
      </c>
      <c r="Y43" s="835" t="s">
        <v>249</v>
      </c>
      <c r="Z43" s="836">
        <f t="shared" si="44"/>
        <v>35452.497400362794</v>
      </c>
      <c r="AA43" s="837">
        <f t="shared" si="33"/>
        <v>16.99777272620134</v>
      </c>
      <c r="AB43" s="364">
        <v>8</v>
      </c>
      <c r="AC43" s="838">
        <f t="shared" si="34"/>
        <v>260.71428571428572</v>
      </c>
      <c r="AD43" s="799">
        <f t="shared" si="35"/>
        <v>5000</v>
      </c>
      <c r="AE43" s="799">
        <f t="shared" si="36"/>
        <v>4700.82147530578</v>
      </c>
      <c r="AF43" s="799">
        <f t="shared" si="37"/>
        <v>1063.5749220108837</v>
      </c>
      <c r="AG43" s="800">
        <v>0.05</v>
      </c>
      <c r="AH43" s="801">
        <v>0.5</v>
      </c>
      <c r="AI43" s="799">
        <f t="shared" si="38"/>
        <v>886.31243500906987</v>
      </c>
      <c r="AJ43" s="839"/>
      <c r="AK43" s="839"/>
      <c r="AL43" s="839">
        <f t="shared" si="39"/>
        <v>56.294117647058826</v>
      </c>
      <c r="AM43" s="839">
        <f t="shared" si="40"/>
        <v>120</v>
      </c>
      <c r="AN43" s="839">
        <f t="shared" si="41"/>
        <v>1070.6654214909563</v>
      </c>
      <c r="AO43" s="840">
        <f t="shared" si="42"/>
        <v>43350.165771826541</v>
      </c>
      <c r="AP43" s="804">
        <f t="shared" si="43"/>
        <v>0.22276761725065181</v>
      </c>
    </row>
    <row r="44" spans="5:42" x14ac:dyDescent="0.35">
      <c r="F44" s="788" t="s">
        <v>46</v>
      </c>
      <c r="G44" s="789"/>
      <c r="H44" s="842">
        <f>H35</f>
        <v>35452.497400362794</v>
      </c>
      <c r="I44" s="790">
        <f t="shared" si="32"/>
        <v>43350.165771826541</v>
      </c>
      <c r="Y44" s="835" t="s">
        <v>249</v>
      </c>
      <c r="Z44" s="836">
        <f t="shared" si="44"/>
        <v>35452.497400362794</v>
      </c>
      <c r="AA44" s="837">
        <f t="shared" si="33"/>
        <v>16.99777272620134</v>
      </c>
      <c r="AB44" s="364">
        <v>8</v>
      </c>
      <c r="AC44" s="838">
        <f t="shared" si="34"/>
        <v>260.71428571428572</v>
      </c>
      <c r="AD44" s="799">
        <f t="shared" si="35"/>
        <v>5000</v>
      </c>
      <c r="AE44" s="799">
        <f t="shared" si="36"/>
        <v>4700.82147530578</v>
      </c>
      <c r="AF44" s="799">
        <f t="shared" si="37"/>
        <v>1063.5749220108837</v>
      </c>
      <c r="AG44" s="800">
        <v>0.05</v>
      </c>
      <c r="AH44" s="801">
        <v>0.5</v>
      </c>
      <c r="AI44" s="799">
        <f t="shared" si="38"/>
        <v>886.31243500906987</v>
      </c>
      <c r="AJ44" s="839"/>
      <c r="AK44" s="839"/>
      <c r="AL44" s="839">
        <f t="shared" si="39"/>
        <v>56.294117647058826</v>
      </c>
      <c r="AM44" s="839">
        <f t="shared" si="40"/>
        <v>120</v>
      </c>
      <c r="AN44" s="839">
        <f t="shared" si="41"/>
        <v>1070.6654214909563</v>
      </c>
      <c r="AO44" s="840">
        <f t="shared" si="42"/>
        <v>43350.165771826541</v>
      </c>
      <c r="AP44" s="804">
        <f t="shared" si="43"/>
        <v>0.22276761725065181</v>
      </c>
    </row>
    <row r="45" spans="5:42" x14ac:dyDescent="0.35">
      <c r="E45" s="832">
        <v>0.1</v>
      </c>
      <c r="F45" s="788" t="s">
        <v>206</v>
      </c>
      <c r="G45" s="789"/>
      <c r="H45" s="842">
        <f>AVERAGE(H4:H13)*(1+E45)</f>
        <v>30011.171465411022</v>
      </c>
      <c r="I45" s="790">
        <f t="shared" si="32"/>
        <v>36608.635004718039</v>
      </c>
      <c r="Y45" s="835" t="s">
        <v>249</v>
      </c>
      <c r="Z45" s="836">
        <f t="shared" si="44"/>
        <v>30011.171465411022</v>
      </c>
      <c r="AA45" s="837">
        <f t="shared" si="33"/>
        <v>14.388917825881997</v>
      </c>
      <c r="AB45" s="364">
        <v>8</v>
      </c>
      <c r="AC45" s="838">
        <f t="shared" si="34"/>
        <v>260.71428571428572</v>
      </c>
      <c r="AD45" s="799">
        <f t="shared" si="35"/>
        <v>5000</v>
      </c>
      <c r="AE45" s="799">
        <f t="shared" si="36"/>
        <v>3864.2176128069445</v>
      </c>
      <c r="AF45" s="799">
        <f t="shared" si="37"/>
        <v>900.33514396233068</v>
      </c>
      <c r="AG45" s="800">
        <v>0.05</v>
      </c>
      <c r="AH45" s="801">
        <v>0.5</v>
      </c>
      <c r="AI45" s="799">
        <f t="shared" si="38"/>
        <v>750.27928663527564</v>
      </c>
      <c r="AJ45" s="839"/>
      <c r="AK45" s="839"/>
      <c r="AL45" s="839">
        <f t="shared" si="39"/>
        <v>56.294117647058826</v>
      </c>
      <c r="AM45" s="839">
        <f t="shared" si="40"/>
        <v>120</v>
      </c>
      <c r="AN45" s="839">
        <f t="shared" si="41"/>
        <v>906.33737825541277</v>
      </c>
      <c r="AO45" s="840">
        <f t="shared" si="42"/>
        <v>36608.635004718039</v>
      </c>
      <c r="AP45" s="804">
        <f t="shared" si="43"/>
        <v>0.21983358919896998</v>
      </c>
    </row>
    <row r="46" spans="5:42" x14ac:dyDescent="0.35">
      <c r="F46" s="788" t="s">
        <v>375</v>
      </c>
      <c r="G46" s="789"/>
      <c r="H46" s="790">
        <f>H38</f>
        <v>51562.500000000007</v>
      </c>
      <c r="I46" s="790">
        <f t="shared" si="32"/>
        <v>66274.497242647063</v>
      </c>
      <c r="Y46" s="835" t="s">
        <v>249</v>
      </c>
      <c r="Z46" s="836">
        <f t="shared" si="44"/>
        <v>51562.500000000007</v>
      </c>
      <c r="AA46" s="837">
        <f t="shared" si="33"/>
        <v>24.721746575342468</v>
      </c>
      <c r="AB46" s="364">
        <v>8</v>
      </c>
      <c r="AC46" s="838">
        <f t="shared" si="34"/>
        <v>260.71428571428572</v>
      </c>
      <c r="AD46" s="799">
        <f t="shared" si="35"/>
        <v>5000</v>
      </c>
      <c r="AE46" s="799">
        <f t="shared" si="36"/>
        <v>7564.4531250000009</v>
      </c>
      <c r="AF46" s="799">
        <f t="shared" si="37"/>
        <v>1546.8750000000002</v>
      </c>
      <c r="AG46" s="800">
        <v>0.1</v>
      </c>
      <c r="AH46" s="801">
        <v>0.75</v>
      </c>
      <c r="AI46" s="799">
        <f t="shared" si="38"/>
        <v>3867.1875000000009</v>
      </c>
      <c r="AJ46" s="839"/>
      <c r="AK46" s="839"/>
      <c r="AL46" s="839">
        <f t="shared" si="39"/>
        <v>56.294117647058826</v>
      </c>
      <c r="AM46" s="839">
        <f t="shared" si="40"/>
        <v>120</v>
      </c>
      <c r="AN46" s="839">
        <f t="shared" si="41"/>
        <v>1557.1875</v>
      </c>
      <c r="AO46" s="840">
        <f t="shared" si="42"/>
        <v>66274.497242647063</v>
      </c>
      <c r="AP46" s="804">
        <f t="shared" si="43"/>
        <v>0.28532358288770043</v>
      </c>
    </row>
    <row r="47" spans="5:42" x14ac:dyDescent="0.35">
      <c r="F47" s="788" t="s">
        <v>376</v>
      </c>
      <c r="G47" s="789"/>
      <c r="H47" s="790">
        <v>66486.42</v>
      </c>
      <c r="I47" s="790">
        <f t="shared" si="32"/>
        <v>85622.613326647057</v>
      </c>
      <c r="Y47" s="835" t="s">
        <v>249</v>
      </c>
      <c r="Z47" s="836">
        <f t="shared" si="44"/>
        <v>66486.42</v>
      </c>
      <c r="AA47" s="837">
        <f t="shared" si="33"/>
        <v>31.877050684931504</v>
      </c>
      <c r="AB47" s="364">
        <v>8</v>
      </c>
      <c r="AC47" s="838">
        <f t="shared" si="34"/>
        <v>260.71428571428572</v>
      </c>
      <c r="AD47" s="799">
        <f t="shared" si="35"/>
        <v>5000</v>
      </c>
      <c r="AE47" s="799">
        <f t="shared" si="36"/>
        <v>9970.9352249999993</v>
      </c>
      <c r="AF47" s="799">
        <f t="shared" si="37"/>
        <v>1994.5925999999999</v>
      </c>
      <c r="AG47" s="800">
        <v>0.1</v>
      </c>
      <c r="AH47" s="801">
        <v>0.75</v>
      </c>
      <c r="AI47" s="799">
        <f t="shared" si="38"/>
        <v>4986.4814999999999</v>
      </c>
      <c r="AJ47" s="839"/>
      <c r="AK47" s="839"/>
      <c r="AL47" s="839">
        <f t="shared" si="39"/>
        <v>56.294117647058826</v>
      </c>
      <c r="AM47" s="839">
        <f t="shared" si="40"/>
        <v>120</v>
      </c>
      <c r="AN47" s="839">
        <f t="shared" si="41"/>
        <v>2007.8898839999997</v>
      </c>
      <c r="AO47" s="840">
        <f t="shared" si="42"/>
        <v>85622.613326647057</v>
      </c>
      <c r="AP47" s="804">
        <f t="shared" si="43"/>
        <v>0.28782108175845622</v>
      </c>
    </row>
    <row r="48" spans="5:42" x14ac:dyDescent="0.35">
      <c r="F48" s="788" t="s">
        <v>377</v>
      </c>
      <c r="G48" s="789"/>
      <c r="H48" s="790"/>
      <c r="I48" s="790">
        <f t="shared" si="32"/>
        <v>0</v>
      </c>
      <c r="Y48" s="835" t="s">
        <v>249</v>
      </c>
      <c r="Z48" s="836">
        <f t="shared" si="44"/>
        <v>0</v>
      </c>
      <c r="AA48" s="837">
        <f t="shared" si="33"/>
        <v>0</v>
      </c>
      <c r="AB48" s="364">
        <v>8</v>
      </c>
      <c r="AC48" s="838">
        <f t="shared" si="34"/>
        <v>260.71428571428572</v>
      </c>
      <c r="AD48" s="799"/>
      <c r="AE48" s="799">
        <f t="shared" si="36"/>
        <v>0</v>
      </c>
      <c r="AF48" s="799">
        <f t="shared" si="37"/>
        <v>0</v>
      </c>
      <c r="AG48" s="800">
        <v>0.1</v>
      </c>
      <c r="AH48" s="801">
        <v>0.75</v>
      </c>
      <c r="AI48" s="799">
        <f t="shared" si="38"/>
        <v>0</v>
      </c>
      <c r="AJ48" s="839"/>
      <c r="AK48" s="839"/>
      <c r="AL48" s="839">
        <f t="shared" si="39"/>
        <v>0</v>
      </c>
      <c r="AM48" s="839">
        <f t="shared" si="40"/>
        <v>0</v>
      </c>
      <c r="AN48" s="839">
        <f t="shared" si="41"/>
        <v>0</v>
      </c>
      <c r="AO48" s="840">
        <f t="shared" si="42"/>
        <v>0</v>
      </c>
      <c r="AP48" s="804">
        <f t="shared" si="43"/>
        <v>0</v>
      </c>
    </row>
    <row r="49" spans="6:42" x14ac:dyDescent="0.35">
      <c r="F49" s="788" t="s">
        <v>378</v>
      </c>
      <c r="G49" s="789"/>
      <c r="H49" s="790"/>
      <c r="I49" s="790">
        <f t="shared" si="32"/>
        <v>0</v>
      </c>
      <c r="Y49" s="835" t="s">
        <v>249</v>
      </c>
      <c r="Z49" s="836">
        <f t="shared" si="44"/>
        <v>0</v>
      </c>
      <c r="AA49" s="837">
        <f t="shared" si="33"/>
        <v>0</v>
      </c>
      <c r="AB49" s="364">
        <v>8</v>
      </c>
      <c r="AC49" s="838">
        <f t="shared" si="34"/>
        <v>260.71428571428572</v>
      </c>
      <c r="AD49" s="799"/>
      <c r="AE49" s="799">
        <f t="shared" si="36"/>
        <v>0</v>
      </c>
      <c r="AF49" s="799">
        <f t="shared" si="37"/>
        <v>0</v>
      </c>
      <c r="AG49" s="800">
        <v>0.1</v>
      </c>
      <c r="AH49" s="801">
        <v>0.75</v>
      </c>
      <c r="AI49" s="799">
        <f t="shared" si="38"/>
        <v>0</v>
      </c>
      <c r="AJ49" s="839"/>
      <c r="AK49" s="839"/>
      <c r="AL49" s="839">
        <f t="shared" si="39"/>
        <v>0</v>
      </c>
      <c r="AM49" s="839">
        <f t="shared" si="40"/>
        <v>0</v>
      </c>
      <c r="AN49" s="839">
        <f t="shared" si="41"/>
        <v>0</v>
      </c>
      <c r="AO49" s="840">
        <f t="shared" si="42"/>
        <v>0</v>
      </c>
      <c r="AP49" s="804">
        <f t="shared" si="43"/>
        <v>0</v>
      </c>
    </row>
    <row r="50" spans="6:42" ht="15" thickBot="1" x14ac:dyDescent="0.4">
      <c r="F50" s="788" t="s">
        <v>379</v>
      </c>
      <c r="G50" s="789"/>
      <c r="H50" s="790"/>
      <c r="I50" s="790">
        <f t="shared" si="32"/>
        <v>0</v>
      </c>
      <c r="Y50" s="808" t="s">
        <v>249</v>
      </c>
      <c r="Z50" s="809">
        <f t="shared" si="44"/>
        <v>0</v>
      </c>
      <c r="AA50" s="810">
        <f t="shared" si="33"/>
        <v>0</v>
      </c>
      <c r="AB50" s="812">
        <v>8</v>
      </c>
      <c r="AC50" s="812">
        <f t="shared" si="34"/>
        <v>260.71428571428572</v>
      </c>
      <c r="AD50" s="813"/>
      <c r="AE50" s="813">
        <f t="shared" si="36"/>
        <v>0</v>
      </c>
      <c r="AF50" s="813">
        <f t="shared" si="37"/>
        <v>0</v>
      </c>
      <c r="AG50" s="814">
        <v>0.1</v>
      </c>
      <c r="AH50" s="815">
        <v>0.75</v>
      </c>
      <c r="AI50" s="813">
        <f t="shared" si="38"/>
        <v>0</v>
      </c>
      <c r="AJ50" s="816"/>
      <c r="AK50" s="816"/>
      <c r="AL50" s="816">
        <f t="shared" si="39"/>
        <v>0</v>
      </c>
      <c r="AM50" s="816">
        <f t="shared" si="40"/>
        <v>0</v>
      </c>
      <c r="AN50" s="816">
        <f t="shared" si="41"/>
        <v>0</v>
      </c>
      <c r="AO50" s="817">
        <f t="shared" si="42"/>
        <v>0</v>
      </c>
      <c r="AP50" s="818">
        <f t="shared" si="43"/>
        <v>0</v>
      </c>
    </row>
    <row r="51" spans="6:42" ht="15" thickTop="1" x14ac:dyDescent="0.35"/>
  </sheetData>
  <mergeCells count="6">
    <mergeCell ref="P2:Q2"/>
    <mergeCell ref="E2:E3"/>
    <mergeCell ref="F2:F3"/>
    <mergeCell ref="G2:G3"/>
    <mergeCell ref="K2:L2"/>
    <mergeCell ref="M2:N2"/>
  </mergeCells>
  <dataValidations count="1">
    <dataValidation type="list" allowBlank="1" showInputMessage="1" showErrorMessage="1" sqref="Y4" xr:uid="{A6D7312D-1BB4-46BB-A1A1-0A3F3353C202}">
      <formula1>"Employed,Sub Contractor"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EC297-3EA9-4128-B93B-76487354A574}">
  <sheetPr codeName="Sheet14"/>
  <dimension ref="B2:AG46"/>
  <sheetViews>
    <sheetView showGridLines="0" topLeftCell="A4" zoomScale="90" zoomScaleNormal="90" workbookViewId="0">
      <selection activeCell="F16" sqref="F16:G28"/>
    </sheetView>
  </sheetViews>
  <sheetFormatPr defaultColWidth="9.1796875" defaultRowHeight="14.5" x14ac:dyDescent="0.35"/>
  <cols>
    <col min="2" max="2" width="11.1796875" bestFit="1" customWidth="1"/>
    <col min="3" max="3" width="11.453125" bestFit="1" customWidth="1"/>
    <col min="4" max="4" width="22" style="768" bestFit="1" customWidth="1"/>
    <col min="5" max="5" width="65.54296875" bestFit="1" customWidth="1"/>
    <col min="6" max="7" width="24" bestFit="1" customWidth="1"/>
    <col min="8" max="8" width="13.453125" bestFit="1" customWidth="1"/>
    <col min="9" max="10" width="14.7265625" bestFit="1" customWidth="1"/>
    <col min="11" max="11" width="10.81640625" customWidth="1"/>
    <col min="12" max="12" width="11" bestFit="1" customWidth="1"/>
    <col min="13" max="13" width="3.1796875" customWidth="1"/>
    <col min="14" max="14" width="12.54296875" bestFit="1" customWidth="1"/>
    <col min="15" max="15" width="9.54296875" bestFit="1" customWidth="1"/>
    <col min="16" max="16" width="3.1796875" customWidth="1"/>
    <col min="17" max="18" width="11.26953125" customWidth="1"/>
    <col min="19" max="19" width="2.26953125" customWidth="1"/>
    <col min="20" max="20" width="14.54296875" customWidth="1"/>
    <col min="21" max="21" width="14.26953125" bestFit="1" customWidth="1"/>
    <col min="23" max="23" width="15.7265625" bestFit="1" customWidth="1"/>
    <col min="24" max="24" width="17.7265625" bestFit="1" customWidth="1"/>
    <col min="25" max="25" width="16.7265625" bestFit="1" customWidth="1"/>
    <col min="26" max="26" width="14.81640625" bestFit="1" customWidth="1"/>
    <col min="27" max="27" width="19.453125" bestFit="1" customWidth="1"/>
    <col min="28" max="28" width="21.1796875" bestFit="1" customWidth="1"/>
    <col min="29" max="29" width="19" bestFit="1" customWidth="1"/>
    <col min="30" max="30" width="14.7265625" bestFit="1" customWidth="1"/>
    <col min="31" max="31" width="16.26953125" bestFit="1" customWidth="1"/>
    <col min="32" max="32" width="13.453125" bestFit="1" customWidth="1"/>
  </cols>
  <sheetData>
    <row r="2" spans="2:33" x14ac:dyDescent="0.35">
      <c r="C2" s="1599" t="s">
        <v>319</v>
      </c>
      <c r="D2" s="1599" t="s">
        <v>320</v>
      </c>
      <c r="E2" s="1599" t="s">
        <v>336</v>
      </c>
      <c r="F2" s="775"/>
      <c r="G2" s="775" t="s">
        <v>351</v>
      </c>
      <c r="I2" s="1600" t="s">
        <v>352</v>
      </c>
      <c r="J2" s="1600"/>
      <c r="K2" s="1600" t="s">
        <v>353</v>
      </c>
      <c r="L2" s="1600"/>
      <c r="N2" s="1597" t="s">
        <v>354</v>
      </c>
      <c r="O2" s="1598"/>
      <c r="W2" s="901"/>
      <c r="X2" s="902">
        <v>0.02</v>
      </c>
      <c r="Y2" s="902">
        <v>5.2999999999999999E-2</v>
      </c>
      <c r="Z2" s="902">
        <v>2.8930817610062893E-3</v>
      </c>
      <c r="AA2" s="902"/>
      <c r="AB2" s="902"/>
      <c r="AC2" s="855">
        <v>0.6</v>
      </c>
    </row>
    <row r="3" spans="2:33" ht="43.5" x14ac:dyDescent="0.35">
      <c r="B3" t="s">
        <v>347</v>
      </c>
      <c r="C3" s="1599"/>
      <c r="D3" s="1599"/>
      <c r="E3" s="1599"/>
      <c r="F3" s="781" t="s">
        <v>355</v>
      </c>
      <c r="G3" s="781" t="s">
        <v>356</v>
      </c>
      <c r="I3" s="781" t="s">
        <v>357</v>
      </c>
      <c r="J3" s="781" t="s">
        <v>358</v>
      </c>
      <c r="K3" s="781" t="s">
        <v>357</v>
      </c>
      <c r="L3" s="781" t="s">
        <v>358</v>
      </c>
      <c r="N3" s="781" t="s">
        <v>359</v>
      </c>
      <c r="O3" s="781" t="s">
        <v>328</v>
      </c>
      <c r="Q3" s="781" t="s">
        <v>329</v>
      </c>
      <c r="R3" s="781" t="s">
        <v>330</v>
      </c>
      <c r="T3" s="781" t="s">
        <v>360</v>
      </c>
      <c r="U3" s="781" t="s">
        <v>361</v>
      </c>
      <c r="W3" s="903" t="s">
        <v>462</v>
      </c>
      <c r="X3" s="904" t="s">
        <v>463</v>
      </c>
      <c r="Y3" s="904" t="s">
        <v>464</v>
      </c>
      <c r="Z3" s="904" t="s">
        <v>465</v>
      </c>
      <c r="AA3" s="904" t="s">
        <v>466</v>
      </c>
      <c r="AB3" s="905" t="s">
        <v>467</v>
      </c>
      <c r="AC3" s="904" t="s">
        <v>468</v>
      </c>
      <c r="AD3" s="904" t="s">
        <v>469</v>
      </c>
      <c r="AE3" s="905" t="s">
        <v>936</v>
      </c>
    </row>
    <row r="4" spans="2:33" x14ac:dyDescent="0.35">
      <c r="B4" t="str">
        <f>$B$3&amp;C4&amp;D4</f>
        <v>South AfricaVoiceL1</v>
      </c>
      <c r="C4" s="787" t="s">
        <v>266</v>
      </c>
      <c r="D4" s="788" t="s">
        <v>321</v>
      </c>
      <c r="E4" s="789" t="s">
        <v>470</v>
      </c>
      <c r="F4" s="906">
        <f>SUMPRODUCT(I4:J4,K4:L4)</f>
        <v>105012</v>
      </c>
      <c r="G4" s="906">
        <f>AD4</f>
        <v>133612.51630188679</v>
      </c>
      <c r="H4" s="907">
        <f>F4/12</f>
        <v>8751</v>
      </c>
      <c r="I4" s="1538">
        <v>101160</v>
      </c>
      <c r="J4" s="1538">
        <v>114000</v>
      </c>
      <c r="K4" s="792">
        <v>0.7</v>
      </c>
      <c r="L4" s="793">
        <f>1-K4</f>
        <v>0.30000000000000004</v>
      </c>
      <c r="N4" s="906">
        <f>SUMPRODUCT(Q4:R4,T4:U4)</f>
        <v>2326</v>
      </c>
      <c r="O4" s="906">
        <v>83</v>
      </c>
      <c r="Q4" s="1538">
        <v>2326</v>
      </c>
      <c r="R4" s="1538">
        <v>2326</v>
      </c>
      <c r="T4" s="792">
        <v>0.7</v>
      </c>
      <c r="U4" s="792">
        <v>0.30000000000000004</v>
      </c>
      <c r="W4" s="908">
        <f>F4</f>
        <v>105012</v>
      </c>
      <c r="X4" s="906">
        <f>W4*$X$2</f>
        <v>2100.2400000000002</v>
      </c>
      <c r="Y4" s="906">
        <f>W4*$Y$2</f>
        <v>5565.6359999999995</v>
      </c>
      <c r="Z4" s="906">
        <f>W4*$Z$2</f>
        <v>303.80830188679244</v>
      </c>
      <c r="AA4" s="906">
        <f>IF(W4=0,0,650*12)</f>
        <v>7800</v>
      </c>
      <c r="AB4" s="906">
        <f>IF(W4=0,0,150*12)</f>
        <v>1800</v>
      </c>
      <c r="AC4" s="906">
        <f>1500*12*$AC$2</f>
        <v>10800</v>
      </c>
      <c r="AD4" s="1573">
        <f>SUM(W4:AC4,AE4)</f>
        <v>133612.51630188679</v>
      </c>
      <c r="AE4" s="906">
        <f>1.2*16.03*12</f>
        <v>230.83199999999999</v>
      </c>
      <c r="AF4" s="909"/>
    </row>
    <row r="5" spans="2:33" s="910" customFormat="1" x14ac:dyDescent="0.35">
      <c r="B5" t="str">
        <f t="shared" ref="B5:B13" si="0">$B$3&amp;C5&amp;D5</f>
        <v>South AfricaVoiceL2</v>
      </c>
      <c r="C5" s="787" t="s">
        <v>266</v>
      </c>
      <c r="D5" s="788" t="s">
        <v>322</v>
      </c>
      <c r="E5" s="789" t="s">
        <v>471</v>
      </c>
      <c r="F5" s="906">
        <f t="shared" ref="F5:F13" si="1">SUMPRODUCT(I5:J5,K5:L5)</f>
        <v>114200</v>
      </c>
      <c r="G5" s="906">
        <f t="shared" ref="G5:G13" si="2">AD5</f>
        <v>143497.8219371069</v>
      </c>
      <c r="H5" s="907">
        <f t="shared" ref="H5:H13" si="3">F5/12</f>
        <v>9516.6666666666661</v>
      </c>
      <c r="I5" s="1538">
        <v>110000</v>
      </c>
      <c r="J5" s="1538">
        <v>116000</v>
      </c>
      <c r="K5" s="792">
        <v>0.3</v>
      </c>
      <c r="L5" s="793">
        <f t="shared" ref="L5:L13" si="4">1-K5</f>
        <v>0.7</v>
      </c>
      <c r="M5"/>
      <c r="N5" s="906">
        <f t="shared" ref="N5:N13" si="5">SUMPRODUCT(Q5:R5,T5:U5)</f>
        <v>2326</v>
      </c>
      <c r="O5" s="906">
        <v>83</v>
      </c>
      <c r="Q5" s="1538">
        <v>2326</v>
      </c>
      <c r="R5" s="1538">
        <v>2326</v>
      </c>
      <c r="S5"/>
      <c r="T5" s="792">
        <v>0.7</v>
      </c>
      <c r="U5" s="792">
        <v>0.30000000000000004</v>
      </c>
      <c r="W5" s="908">
        <f t="shared" ref="W5:W13" si="6">F5</f>
        <v>114200</v>
      </c>
      <c r="X5" s="906">
        <f t="shared" ref="X5:X31" si="7">W5*$X$2</f>
        <v>2284</v>
      </c>
      <c r="Y5" s="906">
        <f t="shared" ref="Y5:Y31" si="8">W5*$Y$2</f>
        <v>6052.5999999999995</v>
      </c>
      <c r="Z5" s="906">
        <f t="shared" ref="Z5:Z31" si="9">W5*$Z$2</f>
        <v>330.38993710691824</v>
      </c>
      <c r="AA5" s="906">
        <f t="shared" ref="AA5:AA13" si="10">IF(W5=0,0,650*12)</f>
        <v>7800</v>
      </c>
      <c r="AB5" s="906">
        <f t="shared" ref="AB5:AB13" si="11">IF(W5=0,0,150*12)</f>
        <v>1800</v>
      </c>
      <c r="AC5" s="906">
        <f t="shared" ref="AC5:AC13" si="12">1500*12*$AC$2</f>
        <v>10800</v>
      </c>
      <c r="AD5" s="1573">
        <f t="shared" ref="AD5:AD13" si="13">SUM(W5:AC5,AE5)</f>
        <v>143497.8219371069</v>
      </c>
      <c r="AE5" s="906">
        <f t="shared" ref="AE5:AE13" si="14">1.2*16.03*12</f>
        <v>230.83199999999999</v>
      </c>
    </row>
    <row r="6" spans="2:33" s="910" customFormat="1" x14ac:dyDescent="0.35">
      <c r="B6" t="str">
        <f t="shared" si="0"/>
        <v>South AfricaVoiceL3</v>
      </c>
      <c r="C6" s="787" t="s">
        <v>266</v>
      </c>
      <c r="D6" s="788" t="s">
        <v>323</v>
      </c>
      <c r="E6" s="789" t="s">
        <v>472</v>
      </c>
      <c r="F6" s="906">
        <f t="shared" si="1"/>
        <v>145000</v>
      </c>
      <c r="G6" s="906">
        <f t="shared" si="2"/>
        <v>176635.3288553459</v>
      </c>
      <c r="H6" s="907">
        <f t="shared" si="3"/>
        <v>12083.333333333334</v>
      </c>
      <c r="I6" s="1538">
        <v>138000</v>
      </c>
      <c r="J6" s="1538">
        <v>148000</v>
      </c>
      <c r="K6" s="792">
        <v>0.3</v>
      </c>
      <c r="L6" s="793">
        <f t="shared" si="4"/>
        <v>0.7</v>
      </c>
      <c r="M6"/>
      <c r="N6" s="906">
        <f t="shared" si="5"/>
        <v>2326</v>
      </c>
      <c r="O6" s="906">
        <v>83</v>
      </c>
      <c r="Q6" s="1538">
        <v>2326</v>
      </c>
      <c r="R6" s="1538">
        <v>2326</v>
      </c>
      <c r="S6"/>
      <c r="T6" s="792">
        <v>0.7</v>
      </c>
      <c r="U6" s="792">
        <v>0.30000000000000004</v>
      </c>
      <c r="W6" s="908">
        <f t="shared" si="6"/>
        <v>145000</v>
      </c>
      <c r="X6" s="906">
        <f t="shared" si="7"/>
        <v>2900</v>
      </c>
      <c r="Y6" s="906">
        <f t="shared" si="8"/>
        <v>7685</v>
      </c>
      <c r="Z6" s="906">
        <f t="shared" si="9"/>
        <v>419.49685534591197</v>
      </c>
      <c r="AA6" s="906">
        <f t="shared" si="10"/>
        <v>7800</v>
      </c>
      <c r="AB6" s="906">
        <f t="shared" si="11"/>
        <v>1800</v>
      </c>
      <c r="AC6" s="906">
        <f t="shared" si="12"/>
        <v>10800</v>
      </c>
      <c r="AD6" s="1573">
        <f t="shared" si="13"/>
        <v>176635.3288553459</v>
      </c>
      <c r="AE6" s="906">
        <f t="shared" si="14"/>
        <v>230.83199999999999</v>
      </c>
    </row>
    <row r="7" spans="2:33" s="910" customFormat="1" x14ac:dyDescent="0.35">
      <c r="B7" t="str">
        <f t="shared" si="0"/>
        <v>South AfricaVoiceL4</v>
      </c>
      <c r="C7" s="787" t="s">
        <v>266</v>
      </c>
      <c r="D7" s="788" t="s">
        <v>324</v>
      </c>
      <c r="E7" s="789" t="s">
        <v>338</v>
      </c>
      <c r="F7" s="906">
        <f t="shared" si="1"/>
        <v>161600</v>
      </c>
      <c r="G7" s="906">
        <f t="shared" si="2"/>
        <v>194495.1540125786</v>
      </c>
      <c r="H7" s="907">
        <f t="shared" si="3"/>
        <v>13466.666666666666</v>
      </c>
      <c r="I7" s="1538">
        <v>152000</v>
      </c>
      <c r="J7" s="1538">
        <v>164000</v>
      </c>
      <c r="K7" s="792">
        <v>0.2</v>
      </c>
      <c r="L7" s="793">
        <f t="shared" si="4"/>
        <v>0.8</v>
      </c>
      <c r="M7"/>
      <c r="N7" s="906">
        <f t="shared" si="5"/>
        <v>2326</v>
      </c>
      <c r="O7" s="906">
        <v>83</v>
      </c>
      <c r="Q7" s="1538">
        <v>2326</v>
      </c>
      <c r="R7" s="1538">
        <v>2326</v>
      </c>
      <c r="S7"/>
      <c r="T7" s="792">
        <v>0.7</v>
      </c>
      <c r="U7" s="792">
        <v>0.30000000000000004</v>
      </c>
      <c r="W7" s="908">
        <f t="shared" si="6"/>
        <v>161600</v>
      </c>
      <c r="X7" s="906">
        <f t="shared" si="7"/>
        <v>3232</v>
      </c>
      <c r="Y7" s="906">
        <f t="shared" si="8"/>
        <v>8564.7999999999993</v>
      </c>
      <c r="Z7" s="906">
        <f t="shared" si="9"/>
        <v>467.52201257861634</v>
      </c>
      <c r="AA7" s="906">
        <f t="shared" si="10"/>
        <v>7800</v>
      </c>
      <c r="AB7" s="906">
        <f t="shared" si="11"/>
        <v>1800</v>
      </c>
      <c r="AC7" s="906">
        <f t="shared" si="12"/>
        <v>10800</v>
      </c>
      <c r="AD7" s="1573">
        <f t="shared" si="13"/>
        <v>194495.1540125786</v>
      </c>
      <c r="AE7" s="906">
        <f t="shared" si="14"/>
        <v>230.83199999999999</v>
      </c>
    </row>
    <row r="8" spans="2:33" s="910" customFormat="1" x14ac:dyDescent="0.35">
      <c r="B8" t="str">
        <f t="shared" si="0"/>
        <v>South AfricaNon-voiceL1</v>
      </c>
      <c r="C8" s="787" t="s">
        <v>325</v>
      </c>
      <c r="D8" s="788" t="s">
        <v>321</v>
      </c>
      <c r="E8" s="789" t="s">
        <v>473</v>
      </c>
      <c r="F8" s="906">
        <f t="shared" si="1"/>
        <v>105012</v>
      </c>
      <c r="G8" s="906">
        <f t="shared" si="2"/>
        <v>133612.51630188679</v>
      </c>
      <c r="H8" s="907">
        <f t="shared" si="3"/>
        <v>8751</v>
      </c>
      <c r="I8" s="1538">
        <v>101160</v>
      </c>
      <c r="J8" s="1538">
        <v>114000</v>
      </c>
      <c r="K8" s="792">
        <v>0.7</v>
      </c>
      <c r="L8" s="793">
        <f t="shared" si="4"/>
        <v>0.30000000000000004</v>
      </c>
      <c r="M8"/>
      <c r="N8" s="906">
        <f t="shared" si="5"/>
        <v>2326</v>
      </c>
      <c r="O8" s="906">
        <v>83</v>
      </c>
      <c r="Q8" s="1538">
        <v>2326</v>
      </c>
      <c r="R8" s="1538">
        <v>2326</v>
      </c>
      <c r="S8"/>
      <c r="T8" s="792">
        <v>0.7</v>
      </c>
      <c r="U8" s="792">
        <v>0.30000000000000004</v>
      </c>
      <c r="W8" s="908">
        <f t="shared" si="6"/>
        <v>105012</v>
      </c>
      <c r="X8" s="906">
        <f t="shared" si="7"/>
        <v>2100.2400000000002</v>
      </c>
      <c r="Y8" s="906">
        <f t="shared" si="8"/>
        <v>5565.6359999999995</v>
      </c>
      <c r="Z8" s="906">
        <f t="shared" si="9"/>
        <v>303.80830188679244</v>
      </c>
      <c r="AA8" s="906">
        <f t="shared" si="10"/>
        <v>7800</v>
      </c>
      <c r="AB8" s="906">
        <f t="shared" si="11"/>
        <v>1800</v>
      </c>
      <c r="AC8" s="906">
        <f t="shared" si="12"/>
        <v>10800</v>
      </c>
      <c r="AD8" s="1573">
        <f t="shared" si="13"/>
        <v>133612.51630188679</v>
      </c>
      <c r="AE8" s="906">
        <f t="shared" si="14"/>
        <v>230.83199999999999</v>
      </c>
    </row>
    <row r="9" spans="2:33" s="910" customFormat="1" x14ac:dyDescent="0.35">
      <c r="B9" t="str">
        <f t="shared" si="0"/>
        <v>South AfricaNon-voiceL2</v>
      </c>
      <c r="C9" s="787" t="s">
        <v>325</v>
      </c>
      <c r="D9" s="788" t="s">
        <v>322</v>
      </c>
      <c r="E9" s="789" t="s">
        <v>340</v>
      </c>
      <c r="F9" s="906">
        <f t="shared" si="1"/>
        <v>113600</v>
      </c>
      <c r="G9" s="906">
        <f t="shared" si="2"/>
        <v>142852.28608805031</v>
      </c>
      <c r="H9" s="907">
        <f t="shared" si="3"/>
        <v>9466.6666666666661</v>
      </c>
      <c r="I9" s="1538">
        <v>110000</v>
      </c>
      <c r="J9" s="1538">
        <v>116000</v>
      </c>
      <c r="K9" s="792">
        <v>0.4</v>
      </c>
      <c r="L9" s="793">
        <f t="shared" si="4"/>
        <v>0.6</v>
      </c>
      <c r="M9"/>
      <c r="N9" s="906">
        <f t="shared" si="5"/>
        <v>2326</v>
      </c>
      <c r="O9" s="906">
        <v>83</v>
      </c>
      <c r="Q9" s="1538">
        <v>2326</v>
      </c>
      <c r="R9" s="1538">
        <v>2326</v>
      </c>
      <c r="S9"/>
      <c r="T9" s="792">
        <v>0.7</v>
      </c>
      <c r="U9" s="792">
        <v>0.30000000000000004</v>
      </c>
      <c r="W9" s="908">
        <f t="shared" si="6"/>
        <v>113600</v>
      </c>
      <c r="X9" s="906">
        <f t="shared" si="7"/>
        <v>2272</v>
      </c>
      <c r="Y9" s="906">
        <f t="shared" si="8"/>
        <v>6020.8</v>
      </c>
      <c r="Z9" s="906">
        <f t="shared" si="9"/>
        <v>328.65408805031444</v>
      </c>
      <c r="AA9" s="906">
        <f t="shared" si="10"/>
        <v>7800</v>
      </c>
      <c r="AB9" s="906">
        <f t="shared" si="11"/>
        <v>1800</v>
      </c>
      <c r="AC9" s="906">
        <f t="shared" si="12"/>
        <v>10800</v>
      </c>
      <c r="AD9" s="1573">
        <f t="shared" si="13"/>
        <v>142852.28608805031</v>
      </c>
      <c r="AE9" s="906">
        <f t="shared" si="14"/>
        <v>230.83199999999999</v>
      </c>
    </row>
    <row r="10" spans="2:33" s="910" customFormat="1" x14ac:dyDescent="0.35">
      <c r="B10" t="str">
        <f t="shared" si="0"/>
        <v>South AfricaBackofficeL1</v>
      </c>
      <c r="C10" s="787" t="s">
        <v>326</v>
      </c>
      <c r="D10" s="788" t="s">
        <v>321</v>
      </c>
      <c r="E10" s="789" t="s">
        <v>474</v>
      </c>
      <c r="F10" s="906">
        <f t="shared" si="1"/>
        <v>103728</v>
      </c>
      <c r="G10" s="906">
        <f t="shared" si="2"/>
        <v>132231.06958490564</v>
      </c>
      <c r="H10" s="907">
        <f t="shared" si="3"/>
        <v>8644</v>
      </c>
      <c r="I10" s="1538">
        <v>101160</v>
      </c>
      <c r="J10" s="1538">
        <v>114000</v>
      </c>
      <c r="K10" s="792">
        <v>0.8</v>
      </c>
      <c r="L10" s="793">
        <f t="shared" si="4"/>
        <v>0.19999999999999996</v>
      </c>
      <c r="M10"/>
      <c r="N10" s="906">
        <f t="shared" si="5"/>
        <v>2326</v>
      </c>
      <c r="O10" s="906">
        <v>83</v>
      </c>
      <c r="Q10" s="1538">
        <v>2326</v>
      </c>
      <c r="R10" s="1538">
        <v>2326</v>
      </c>
      <c r="S10"/>
      <c r="T10" s="792">
        <v>0.7</v>
      </c>
      <c r="U10" s="792">
        <v>0.30000000000000004</v>
      </c>
      <c r="W10" s="908">
        <f t="shared" si="6"/>
        <v>103728</v>
      </c>
      <c r="X10" s="906">
        <f t="shared" si="7"/>
        <v>2074.56</v>
      </c>
      <c r="Y10" s="906">
        <f t="shared" si="8"/>
        <v>5497.5839999999998</v>
      </c>
      <c r="Z10" s="906">
        <f t="shared" si="9"/>
        <v>300.09358490566035</v>
      </c>
      <c r="AA10" s="906">
        <f t="shared" si="10"/>
        <v>7800</v>
      </c>
      <c r="AB10" s="906">
        <f t="shared" si="11"/>
        <v>1800</v>
      </c>
      <c r="AC10" s="906">
        <f t="shared" si="12"/>
        <v>10800</v>
      </c>
      <c r="AD10" s="1573">
        <f t="shared" si="13"/>
        <v>132231.06958490564</v>
      </c>
      <c r="AE10" s="906">
        <f t="shared" si="14"/>
        <v>230.83199999999999</v>
      </c>
    </row>
    <row r="11" spans="2:33" x14ac:dyDescent="0.35">
      <c r="B11" t="str">
        <f t="shared" si="0"/>
        <v>South AfricaBackofficeL2</v>
      </c>
      <c r="C11" s="787" t="s">
        <v>326</v>
      </c>
      <c r="D11" s="788" t="s">
        <v>322</v>
      </c>
      <c r="E11" s="789" t="s">
        <v>475</v>
      </c>
      <c r="F11" s="906">
        <f t="shared" si="1"/>
        <v>113600</v>
      </c>
      <c r="G11" s="906">
        <f t="shared" si="2"/>
        <v>142852.28608805031</v>
      </c>
      <c r="H11" s="907">
        <f t="shared" si="3"/>
        <v>9466.6666666666661</v>
      </c>
      <c r="I11" s="1538">
        <v>110000</v>
      </c>
      <c r="J11" s="1538">
        <v>116000</v>
      </c>
      <c r="K11" s="792">
        <v>0.4</v>
      </c>
      <c r="L11" s="793">
        <f t="shared" si="4"/>
        <v>0.6</v>
      </c>
      <c r="N11" s="906">
        <f t="shared" si="5"/>
        <v>2326</v>
      </c>
      <c r="O11" s="906">
        <v>83</v>
      </c>
      <c r="Q11" s="1538">
        <v>2326</v>
      </c>
      <c r="R11" s="1538">
        <v>2326</v>
      </c>
      <c r="T11" s="792">
        <v>0.7</v>
      </c>
      <c r="U11" s="792">
        <v>0.30000000000000004</v>
      </c>
      <c r="W11" s="908">
        <f t="shared" si="6"/>
        <v>113600</v>
      </c>
      <c r="X11" s="906">
        <f t="shared" si="7"/>
        <v>2272</v>
      </c>
      <c r="Y11" s="906">
        <f t="shared" si="8"/>
        <v>6020.8</v>
      </c>
      <c r="Z11" s="906">
        <f t="shared" si="9"/>
        <v>328.65408805031444</v>
      </c>
      <c r="AA11" s="906">
        <f t="shared" si="10"/>
        <v>7800</v>
      </c>
      <c r="AB11" s="906">
        <f t="shared" si="11"/>
        <v>1800</v>
      </c>
      <c r="AC11" s="906">
        <f t="shared" si="12"/>
        <v>10800</v>
      </c>
      <c r="AD11" s="1573">
        <f t="shared" si="13"/>
        <v>142852.28608805031</v>
      </c>
      <c r="AE11" s="906">
        <f t="shared" si="14"/>
        <v>230.83199999999999</v>
      </c>
    </row>
    <row r="12" spans="2:33" x14ac:dyDescent="0.35">
      <c r="B12" t="str">
        <f t="shared" si="0"/>
        <v>South AfricaBackofficeL3</v>
      </c>
      <c r="C12" s="787" t="s">
        <v>326</v>
      </c>
      <c r="D12" s="788" t="s">
        <v>323</v>
      </c>
      <c r="E12" s="789" t="s">
        <v>476</v>
      </c>
      <c r="F12" s="906">
        <f t="shared" si="1"/>
        <v>141000</v>
      </c>
      <c r="G12" s="906">
        <f t="shared" si="2"/>
        <v>172331.75652830189</v>
      </c>
      <c r="H12" s="907">
        <f t="shared" si="3"/>
        <v>11750</v>
      </c>
      <c r="I12" s="1538">
        <v>135000</v>
      </c>
      <c r="J12" s="1538">
        <v>145000</v>
      </c>
      <c r="K12" s="792">
        <v>0.4</v>
      </c>
      <c r="L12" s="793">
        <f t="shared" si="4"/>
        <v>0.6</v>
      </c>
      <c r="N12" s="906">
        <f t="shared" si="5"/>
        <v>2326</v>
      </c>
      <c r="O12" s="906">
        <v>83</v>
      </c>
      <c r="Q12" s="1538">
        <v>2326</v>
      </c>
      <c r="R12" s="1538">
        <v>2326</v>
      </c>
      <c r="T12" s="792">
        <v>0.7</v>
      </c>
      <c r="U12" s="792">
        <v>0.30000000000000004</v>
      </c>
      <c r="W12" s="908">
        <f t="shared" si="6"/>
        <v>141000</v>
      </c>
      <c r="X12" s="906">
        <f t="shared" si="7"/>
        <v>2820</v>
      </c>
      <c r="Y12" s="906">
        <f t="shared" si="8"/>
        <v>7473</v>
      </c>
      <c r="Z12" s="906">
        <f t="shared" si="9"/>
        <v>407.92452830188677</v>
      </c>
      <c r="AA12" s="906">
        <f t="shared" si="10"/>
        <v>7800</v>
      </c>
      <c r="AB12" s="906">
        <f t="shared" si="11"/>
        <v>1800</v>
      </c>
      <c r="AC12" s="906">
        <f t="shared" si="12"/>
        <v>10800</v>
      </c>
      <c r="AD12" s="1573">
        <f t="shared" si="13"/>
        <v>172331.75652830189</v>
      </c>
      <c r="AE12" s="906">
        <f t="shared" si="14"/>
        <v>230.83199999999999</v>
      </c>
    </row>
    <row r="13" spans="2:33" x14ac:dyDescent="0.35">
      <c r="B13" t="str">
        <f t="shared" si="0"/>
        <v>South AfricaBackofficeL4</v>
      </c>
      <c r="C13" s="787" t="s">
        <v>326</v>
      </c>
      <c r="D13" s="788" t="s">
        <v>324</v>
      </c>
      <c r="E13" s="789" t="s">
        <v>344</v>
      </c>
      <c r="F13" s="906">
        <f t="shared" si="1"/>
        <v>145000</v>
      </c>
      <c r="G13" s="906">
        <f t="shared" si="2"/>
        <v>176635.3288553459</v>
      </c>
      <c r="H13" s="907">
        <f t="shared" si="3"/>
        <v>12083.333333333334</v>
      </c>
      <c r="I13" s="1538">
        <v>145000</v>
      </c>
      <c r="J13" s="1538">
        <v>145000</v>
      </c>
      <c r="K13" s="792">
        <v>0.2</v>
      </c>
      <c r="L13" s="793">
        <f t="shared" si="4"/>
        <v>0.8</v>
      </c>
      <c r="N13" s="906">
        <f t="shared" si="5"/>
        <v>2326</v>
      </c>
      <c r="O13" s="906">
        <v>83</v>
      </c>
      <c r="Q13" s="1538">
        <v>2326</v>
      </c>
      <c r="R13" s="1538">
        <v>2326</v>
      </c>
      <c r="T13" s="792">
        <v>0.7</v>
      </c>
      <c r="U13" s="792">
        <v>0.30000000000000004</v>
      </c>
      <c r="W13" s="908">
        <f t="shared" si="6"/>
        <v>145000</v>
      </c>
      <c r="X13" s="906">
        <f t="shared" si="7"/>
        <v>2900</v>
      </c>
      <c r="Y13" s="906">
        <f t="shared" si="8"/>
        <v>7685</v>
      </c>
      <c r="Z13" s="906">
        <f t="shared" si="9"/>
        <v>419.49685534591197</v>
      </c>
      <c r="AA13" s="906">
        <f t="shared" si="10"/>
        <v>7800</v>
      </c>
      <c r="AB13" s="906">
        <f t="shared" si="11"/>
        <v>1800</v>
      </c>
      <c r="AC13" s="906">
        <f t="shared" si="12"/>
        <v>10800</v>
      </c>
      <c r="AD13" s="1573">
        <f t="shared" si="13"/>
        <v>176635.3288553459</v>
      </c>
      <c r="AE13" s="906">
        <f t="shared" si="14"/>
        <v>230.83199999999999</v>
      </c>
    </row>
    <row r="14" spans="2:33" x14ac:dyDescent="0.35">
      <c r="D14"/>
    </row>
    <row r="15" spans="2:33" x14ac:dyDescent="0.35">
      <c r="D15" s="819" t="s">
        <v>265</v>
      </c>
      <c r="E15" s="775"/>
      <c r="F15" s="775" t="str">
        <f>'SA Salary'!F3</f>
        <v xml:space="preserve">Annual Base Salary </v>
      </c>
      <c r="G15" s="775" t="str">
        <f>'SA Salary'!G3</f>
        <v>Annual Salary Inc. Benefit</v>
      </c>
      <c r="I15" s="911"/>
      <c r="N15" s="912" t="s">
        <v>370</v>
      </c>
      <c r="O15" s="912" t="s">
        <v>328</v>
      </c>
    </row>
    <row r="16" spans="2:33" x14ac:dyDescent="0.35">
      <c r="D16" s="788" t="s">
        <v>204</v>
      </c>
      <c r="E16" s="789"/>
      <c r="F16" s="1538">
        <v>264000</v>
      </c>
      <c r="G16" s="906">
        <f>'SA Salary'!AD16</f>
        <v>307066.60558490566</v>
      </c>
      <c r="H16" s="911">
        <f>F16/12</f>
        <v>22000</v>
      </c>
      <c r="N16" s="793">
        <v>0.1</v>
      </c>
      <c r="O16" s="906">
        <f>O13</f>
        <v>83</v>
      </c>
      <c r="W16" s="908">
        <f>F16</f>
        <v>264000</v>
      </c>
      <c r="X16" s="906">
        <f t="shared" si="7"/>
        <v>5280</v>
      </c>
      <c r="Y16" s="906">
        <f t="shared" si="8"/>
        <v>13992</v>
      </c>
      <c r="Z16" s="906">
        <f t="shared" si="9"/>
        <v>763.77358490566041</v>
      </c>
      <c r="AA16" s="906">
        <f t="shared" ref="AA16:AA31" si="15">IF(W16=0,0,650*12)</f>
        <v>7800</v>
      </c>
      <c r="AB16" s="906">
        <f t="shared" ref="AB16:AB31" si="16">IF(W16=0,0,150*12)</f>
        <v>1800</v>
      </c>
      <c r="AC16" s="913">
        <f>W16*5%</f>
        <v>13200</v>
      </c>
      <c r="AD16" s="1573">
        <f>SUM(W16:AC16,AE16)</f>
        <v>307066.60558490566</v>
      </c>
      <c r="AE16" s="906">
        <f t="shared" ref="AE16:AE31" si="17">1.2*16.03*12</f>
        <v>230.83199999999999</v>
      </c>
      <c r="AG16" s="909"/>
    </row>
    <row r="17" spans="3:33" x14ac:dyDescent="0.35">
      <c r="D17" s="788" t="s">
        <v>267</v>
      </c>
      <c r="E17" s="789"/>
      <c r="F17" s="1538">
        <v>450000</v>
      </c>
      <c r="G17" s="906">
        <f>'SA Salary'!AD17</f>
        <v>516482.71879245283</v>
      </c>
      <c r="H17" s="911">
        <f t="shared" ref="H17:H31" si="18">F17/12</f>
        <v>37500</v>
      </c>
      <c r="W17" s="908">
        <f t="shared" ref="W17:W31" si="19">F17</f>
        <v>450000</v>
      </c>
      <c r="X17" s="906">
        <f t="shared" si="7"/>
        <v>9000</v>
      </c>
      <c r="Y17" s="906">
        <f t="shared" si="8"/>
        <v>23850</v>
      </c>
      <c r="Z17" s="906">
        <f t="shared" si="9"/>
        <v>1301.8867924528302</v>
      </c>
      <c r="AA17" s="906">
        <f t="shared" si="15"/>
        <v>7800</v>
      </c>
      <c r="AB17" s="906">
        <f t="shared" si="16"/>
        <v>1800</v>
      </c>
      <c r="AC17" s="913">
        <f t="shared" ref="AC17:AC19" si="20">W17*5%</f>
        <v>22500</v>
      </c>
      <c r="AD17" s="1573">
        <f t="shared" ref="AD17:AD31" si="21">SUM(W17:AC17,AE17)</f>
        <v>516482.71879245283</v>
      </c>
      <c r="AE17" s="906">
        <f t="shared" si="17"/>
        <v>230.83199999999999</v>
      </c>
      <c r="AG17" s="909"/>
    </row>
    <row r="18" spans="3:33" x14ac:dyDescent="0.35">
      <c r="D18" s="788" t="s">
        <v>205</v>
      </c>
      <c r="E18" s="789"/>
      <c r="F18" s="1538">
        <v>720000</v>
      </c>
      <c r="G18" s="906">
        <f>'SA Salary'!AD18</f>
        <v>820473.85086792463</v>
      </c>
      <c r="H18" s="911">
        <f t="shared" si="18"/>
        <v>60000</v>
      </c>
      <c r="W18" s="908">
        <f t="shared" si="19"/>
        <v>720000</v>
      </c>
      <c r="X18" s="906">
        <f t="shared" si="7"/>
        <v>14400</v>
      </c>
      <c r="Y18" s="906">
        <f t="shared" si="8"/>
        <v>38160</v>
      </c>
      <c r="Z18" s="906">
        <f t="shared" si="9"/>
        <v>2083.0188679245284</v>
      </c>
      <c r="AA18" s="906">
        <f t="shared" si="15"/>
        <v>7800</v>
      </c>
      <c r="AB18" s="906">
        <f t="shared" si="16"/>
        <v>1800</v>
      </c>
      <c r="AC18" s="913">
        <f t="shared" si="20"/>
        <v>36000</v>
      </c>
      <c r="AD18" s="1573">
        <f t="shared" si="21"/>
        <v>820473.85086792463</v>
      </c>
      <c r="AE18" s="906">
        <f t="shared" si="17"/>
        <v>230.83199999999999</v>
      </c>
      <c r="AG18" s="909"/>
    </row>
    <row r="19" spans="3:33" x14ac:dyDescent="0.35">
      <c r="D19" s="788" t="s">
        <v>250</v>
      </c>
      <c r="E19" s="789"/>
      <c r="F19" s="1538">
        <v>930000</v>
      </c>
      <c r="G19" s="906">
        <f>'SA Salary'!AD19</f>
        <v>1056911.3980377358</v>
      </c>
      <c r="H19" s="911">
        <f t="shared" si="18"/>
        <v>77500</v>
      </c>
      <c r="W19" s="908">
        <f t="shared" si="19"/>
        <v>930000</v>
      </c>
      <c r="X19" s="906">
        <f t="shared" si="7"/>
        <v>18600</v>
      </c>
      <c r="Y19" s="906">
        <f t="shared" si="8"/>
        <v>49290</v>
      </c>
      <c r="Z19" s="906">
        <f t="shared" si="9"/>
        <v>2690.566037735849</v>
      </c>
      <c r="AA19" s="906">
        <f t="shared" si="15"/>
        <v>7800</v>
      </c>
      <c r="AB19" s="906">
        <f t="shared" si="16"/>
        <v>1800</v>
      </c>
      <c r="AC19" s="913">
        <f t="shared" si="20"/>
        <v>46500</v>
      </c>
      <c r="AD19" s="1573">
        <f t="shared" si="21"/>
        <v>1056911.3980377358</v>
      </c>
      <c r="AE19" s="906">
        <f t="shared" si="17"/>
        <v>230.83199999999999</v>
      </c>
      <c r="AG19" s="909"/>
    </row>
    <row r="20" spans="3:33" x14ac:dyDescent="0.35">
      <c r="D20" s="788" t="s">
        <v>371</v>
      </c>
      <c r="E20" s="789"/>
      <c r="F20" s="1538">
        <v>1080000</v>
      </c>
      <c r="G20" s="906">
        <f>'SA Salary'!AD20</f>
        <v>1279795.3603018867</v>
      </c>
      <c r="H20" s="911">
        <f t="shared" si="18"/>
        <v>90000</v>
      </c>
      <c r="W20" s="908">
        <f t="shared" si="19"/>
        <v>1080000</v>
      </c>
      <c r="X20" s="906">
        <f t="shared" si="7"/>
        <v>21600</v>
      </c>
      <c r="Y20" s="906">
        <f t="shared" si="8"/>
        <v>57240</v>
      </c>
      <c r="Z20" s="906">
        <f t="shared" si="9"/>
        <v>3124.5283018867926</v>
      </c>
      <c r="AA20" s="906">
        <f t="shared" si="15"/>
        <v>7800</v>
      </c>
      <c r="AB20" s="906">
        <f t="shared" si="16"/>
        <v>1800</v>
      </c>
      <c r="AC20" s="913">
        <f>W20*10%</f>
        <v>108000</v>
      </c>
      <c r="AD20" s="1573">
        <f t="shared" si="21"/>
        <v>1279795.3603018867</v>
      </c>
      <c r="AE20" s="906">
        <f t="shared" si="17"/>
        <v>230.83199999999999</v>
      </c>
      <c r="AG20" s="909"/>
    </row>
    <row r="21" spans="3:33" x14ac:dyDescent="0.35">
      <c r="D21" s="788" t="s">
        <v>372</v>
      </c>
      <c r="E21" s="789"/>
      <c r="F21" s="1538">
        <v>1290000</v>
      </c>
      <c r="G21" s="906">
        <f>'SA Salary'!AD21</f>
        <v>1526732.907471698</v>
      </c>
      <c r="H21" s="911">
        <f t="shared" si="18"/>
        <v>107500</v>
      </c>
      <c r="W21" s="908">
        <f t="shared" si="19"/>
        <v>1290000</v>
      </c>
      <c r="X21" s="906">
        <f t="shared" si="7"/>
        <v>25800</v>
      </c>
      <c r="Y21" s="906">
        <f t="shared" si="8"/>
        <v>68370</v>
      </c>
      <c r="Z21" s="906">
        <f t="shared" si="9"/>
        <v>3732.0754716981132</v>
      </c>
      <c r="AA21" s="906">
        <f t="shared" si="15"/>
        <v>7800</v>
      </c>
      <c r="AB21" s="906">
        <f t="shared" si="16"/>
        <v>1800</v>
      </c>
      <c r="AC21" s="913">
        <f>W21*10%</f>
        <v>129000</v>
      </c>
      <c r="AD21" s="1573">
        <f t="shared" si="21"/>
        <v>1526732.907471698</v>
      </c>
      <c r="AE21" s="906">
        <f t="shared" si="17"/>
        <v>230.83199999999999</v>
      </c>
      <c r="AG21" s="909"/>
    </row>
    <row r="22" spans="3:33" x14ac:dyDescent="0.35">
      <c r="C22" s="914">
        <v>0.5</v>
      </c>
      <c r="D22" s="788" t="s">
        <v>373</v>
      </c>
      <c r="E22" s="789"/>
      <c r="F22" s="1538">
        <v>1800000</v>
      </c>
      <c r="G22" s="906">
        <f>'SA Salary'!AD22</f>
        <v>2126438.379169811</v>
      </c>
      <c r="H22" s="911">
        <f t="shared" si="18"/>
        <v>150000</v>
      </c>
      <c r="W22" s="908">
        <f t="shared" si="19"/>
        <v>1800000</v>
      </c>
      <c r="X22" s="906">
        <f t="shared" si="7"/>
        <v>36000</v>
      </c>
      <c r="Y22" s="906">
        <f t="shared" si="8"/>
        <v>95400</v>
      </c>
      <c r="Z22" s="906">
        <f t="shared" si="9"/>
        <v>5207.5471698113206</v>
      </c>
      <c r="AA22" s="906">
        <f t="shared" si="15"/>
        <v>7800</v>
      </c>
      <c r="AB22" s="906">
        <f t="shared" si="16"/>
        <v>1800</v>
      </c>
      <c r="AC22" s="913">
        <f>W22*10%</f>
        <v>180000</v>
      </c>
      <c r="AD22" s="1573">
        <f t="shared" si="21"/>
        <v>2126438.379169811</v>
      </c>
      <c r="AE22" s="906">
        <f t="shared" si="17"/>
        <v>230.83199999999999</v>
      </c>
    </row>
    <row r="23" spans="3:33" x14ac:dyDescent="0.35">
      <c r="D23" s="788" t="s">
        <v>374</v>
      </c>
      <c r="E23" s="789"/>
      <c r="F23" s="1538">
        <v>216000</v>
      </c>
      <c r="G23" s="906">
        <f>'SA Salary'!AD23</f>
        <v>253023.73766037734</v>
      </c>
      <c r="H23" s="911">
        <f t="shared" si="18"/>
        <v>18000</v>
      </c>
      <c r="W23" s="908">
        <f t="shared" si="19"/>
        <v>216000</v>
      </c>
      <c r="X23" s="906">
        <f t="shared" si="7"/>
        <v>4320</v>
      </c>
      <c r="Y23" s="906">
        <f t="shared" si="8"/>
        <v>11448</v>
      </c>
      <c r="Z23" s="906">
        <f t="shared" si="9"/>
        <v>624.90566037735846</v>
      </c>
      <c r="AA23" s="906">
        <f t="shared" si="15"/>
        <v>7800</v>
      </c>
      <c r="AB23" s="906">
        <f t="shared" si="16"/>
        <v>1800</v>
      </c>
      <c r="AC23" s="913">
        <f t="shared" ref="AC23:AC26" si="22">W23*5%</f>
        <v>10800</v>
      </c>
      <c r="AD23" s="1573">
        <f t="shared" si="21"/>
        <v>253023.73766037734</v>
      </c>
      <c r="AE23" s="906">
        <f t="shared" si="17"/>
        <v>230.83199999999999</v>
      </c>
    </row>
    <row r="24" spans="3:33" x14ac:dyDescent="0.35">
      <c r="D24" s="788" t="s">
        <v>47</v>
      </c>
      <c r="E24" s="789"/>
      <c r="F24" s="1538">
        <v>216000</v>
      </c>
      <c r="G24" s="906">
        <f>'SA Salary'!AD24</f>
        <v>253023.73766037734</v>
      </c>
      <c r="H24" s="911">
        <f t="shared" si="18"/>
        <v>18000</v>
      </c>
      <c r="W24" s="908">
        <f t="shared" si="19"/>
        <v>216000</v>
      </c>
      <c r="X24" s="906">
        <f t="shared" si="7"/>
        <v>4320</v>
      </c>
      <c r="Y24" s="906">
        <f t="shared" si="8"/>
        <v>11448</v>
      </c>
      <c r="Z24" s="906">
        <f t="shared" si="9"/>
        <v>624.90566037735846</v>
      </c>
      <c r="AA24" s="906">
        <f t="shared" si="15"/>
        <v>7800</v>
      </c>
      <c r="AB24" s="906">
        <f t="shared" si="16"/>
        <v>1800</v>
      </c>
      <c r="AC24" s="913">
        <f t="shared" si="22"/>
        <v>10800</v>
      </c>
      <c r="AD24" s="1573">
        <f t="shared" si="21"/>
        <v>253023.73766037734</v>
      </c>
      <c r="AE24" s="906">
        <f t="shared" si="17"/>
        <v>230.83199999999999</v>
      </c>
      <c r="AG24" s="909"/>
    </row>
    <row r="25" spans="3:33" x14ac:dyDescent="0.35">
      <c r="D25" s="788" t="s">
        <v>46</v>
      </c>
      <c r="E25" s="789"/>
      <c r="F25" s="1538">
        <v>240000</v>
      </c>
      <c r="G25" s="906">
        <f>'SA Salary'!AD25</f>
        <v>280045.1716226415</v>
      </c>
      <c r="H25" s="911">
        <f t="shared" si="18"/>
        <v>20000</v>
      </c>
      <c r="W25" s="908">
        <f t="shared" si="19"/>
        <v>240000</v>
      </c>
      <c r="X25" s="906">
        <f t="shared" si="7"/>
        <v>4800</v>
      </c>
      <c r="Y25" s="906">
        <f t="shared" si="8"/>
        <v>12720</v>
      </c>
      <c r="Z25" s="906">
        <f t="shared" si="9"/>
        <v>694.33962264150944</v>
      </c>
      <c r="AA25" s="906">
        <f t="shared" si="15"/>
        <v>7800</v>
      </c>
      <c r="AB25" s="906">
        <f t="shared" si="16"/>
        <v>1800</v>
      </c>
      <c r="AC25" s="913">
        <f t="shared" si="22"/>
        <v>12000</v>
      </c>
      <c r="AD25" s="1573">
        <f t="shared" si="21"/>
        <v>280045.1716226415</v>
      </c>
      <c r="AE25" s="906">
        <f t="shared" si="17"/>
        <v>230.83199999999999</v>
      </c>
      <c r="AG25" s="909"/>
    </row>
    <row r="26" spans="3:33" x14ac:dyDescent="0.35">
      <c r="D26" s="788" t="s">
        <v>206</v>
      </c>
      <c r="E26" s="789"/>
      <c r="F26" s="1538">
        <v>216000</v>
      </c>
      <c r="G26" s="906">
        <f>'SA Salary'!AD26</f>
        <v>253023.73766037734</v>
      </c>
      <c r="H26" s="911">
        <f t="shared" si="18"/>
        <v>18000</v>
      </c>
      <c r="W26" s="908">
        <f t="shared" si="19"/>
        <v>216000</v>
      </c>
      <c r="X26" s="906">
        <f t="shared" si="7"/>
        <v>4320</v>
      </c>
      <c r="Y26" s="906">
        <f t="shared" si="8"/>
        <v>11448</v>
      </c>
      <c r="Z26" s="906">
        <f t="shared" si="9"/>
        <v>624.90566037735846</v>
      </c>
      <c r="AA26" s="906">
        <f t="shared" si="15"/>
        <v>7800</v>
      </c>
      <c r="AB26" s="906">
        <f t="shared" si="16"/>
        <v>1800</v>
      </c>
      <c r="AC26" s="913">
        <f t="shared" si="22"/>
        <v>10800</v>
      </c>
      <c r="AD26" s="1573">
        <f t="shared" si="21"/>
        <v>253023.73766037734</v>
      </c>
      <c r="AE26" s="906">
        <f t="shared" si="17"/>
        <v>230.83199999999999</v>
      </c>
      <c r="AG26" s="909"/>
    </row>
    <row r="27" spans="3:33" x14ac:dyDescent="0.35">
      <c r="D27" s="788" t="s">
        <v>375</v>
      </c>
      <c r="E27" s="789"/>
      <c r="F27" s="1538">
        <v>840000</v>
      </c>
      <c r="G27" s="906">
        <f>'SA Salary'!AD27</f>
        <v>997581.02067924535</v>
      </c>
      <c r="H27" s="911">
        <f t="shared" si="18"/>
        <v>70000</v>
      </c>
      <c r="W27" s="908">
        <f t="shared" si="19"/>
        <v>840000</v>
      </c>
      <c r="X27" s="906">
        <f t="shared" si="7"/>
        <v>16800</v>
      </c>
      <c r="Y27" s="906">
        <f t="shared" si="8"/>
        <v>44520</v>
      </c>
      <c r="Z27" s="906">
        <f t="shared" si="9"/>
        <v>2430.1886792452829</v>
      </c>
      <c r="AA27" s="906">
        <f t="shared" si="15"/>
        <v>7800</v>
      </c>
      <c r="AB27" s="906">
        <f t="shared" si="16"/>
        <v>1800</v>
      </c>
      <c r="AC27" s="913">
        <f t="shared" ref="AC27:AC31" si="23">W27*10%</f>
        <v>84000</v>
      </c>
      <c r="AD27" s="1573">
        <f t="shared" si="21"/>
        <v>997581.02067924535</v>
      </c>
      <c r="AE27" s="906">
        <f t="shared" si="17"/>
        <v>230.83199999999999</v>
      </c>
      <c r="AG27" s="909"/>
    </row>
    <row r="28" spans="3:33" x14ac:dyDescent="0.35">
      <c r="D28" s="788" t="s">
        <v>376</v>
      </c>
      <c r="E28" s="789"/>
      <c r="F28" s="1538">
        <v>840000</v>
      </c>
      <c r="G28" s="906">
        <f>'SA Salary'!AD28</f>
        <v>997581.02067924535</v>
      </c>
      <c r="H28" s="911">
        <f t="shared" si="18"/>
        <v>70000</v>
      </c>
      <c r="W28" s="908">
        <f t="shared" si="19"/>
        <v>840000</v>
      </c>
      <c r="X28" s="906">
        <f t="shared" si="7"/>
        <v>16800</v>
      </c>
      <c r="Y28" s="906">
        <f t="shared" si="8"/>
        <v>44520</v>
      </c>
      <c r="Z28" s="906">
        <f t="shared" si="9"/>
        <v>2430.1886792452829</v>
      </c>
      <c r="AA28" s="906">
        <f t="shared" si="15"/>
        <v>7800</v>
      </c>
      <c r="AB28" s="906">
        <f t="shared" si="16"/>
        <v>1800</v>
      </c>
      <c r="AC28" s="913">
        <f t="shared" si="23"/>
        <v>84000</v>
      </c>
      <c r="AD28" s="1573">
        <f t="shared" si="21"/>
        <v>997581.02067924535</v>
      </c>
      <c r="AE28" s="906">
        <f t="shared" si="17"/>
        <v>230.83199999999999</v>
      </c>
      <c r="AG28" s="909"/>
    </row>
    <row r="29" spans="3:33" x14ac:dyDescent="0.35">
      <c r="D29" s="788" t="s">
        <v>377</v>
      </c>
      <c r="E29" s="789"/>
      <c r="F29" s="1538"/>
      <c r="G29" s="906">
        <f>'SA Salary'!AD29</f>
        <v>230.83199999999999</v>
      </c>
      <c r="H29" s="911">
        <f t="shared" si="18"/>
        <v>0</v>
      </c>
      <c r="W29" s="908">
        <f t="shared" si="19"/>
        <v>0</v>
      </c>
      <c r="X29" s="906">
        <f t="shared" si="7"/>
        <v>0</v>
      </c>
      <c r="Y29" s="906">
        <f t="shared" si="8"/>
        <v>0</v>
      </c>
      <c r="Z29" s="906">
        <f t="shared" si="9"/>
        <v>0</v>
      </c>
      <c r="AA29" s="906">
        <f t="shared" si="15"/>
        <v>0</v>
      </c>
      <c r="AB29" s="906">
        <f t="shared" si="16"/>
        <v>0</v>
      </c>
      <c r="AC29" s="913">
        <f t="shared" si="23"/>
        <v>0</v>
      </c>
      <c r="AD29" s="1573">
        <f t="shared" si="21"/>
        <v>230.83199999999999</v>
      </c>
      <c r="AE29" s="906">
        <f t="shared" si="17"/>
        <v>230.83199999999999</v>
      </c>
    </row>
    <row r="30" spans="3:33" x14ac:dyDescent="0.35">
      <c r="D30" s="788" t="s">
        <v>378</v>
      </c>
      <c r="E30" s="789"/>
      <c r="F30" s="1538"/>
      <c r="G30" s="906">
        <f>'SA Salary'!AD30</f>
        <v>230.83199999999999</v>
      </c>
      <c r="H30" s="911">
        <f t="shared" si="18"/>
        <v>0</v>
      </c>
      <c r="W30" s="908">
        <f t="shared" si="19"/>
        <v>0</v>
      </c>
      <c r="X30" s="906">
        <f t="shared" si="7"/>
        <v>0</v>
      </c>
      <c r="Y30" s="906">
        <f t="shared" si="8"/>
        <v>0</v>
      </c>
      <c r="Z30" s="906">
        <f t="shared" si="9"/>
        <v>0</v>
      </c>
      <c r="AA30" s="906">
        <f t="shared" si="15"/>
        <v>0</v>
      </c>
      <c r="AB30" s="906">
        <f t="shared" si="16"/>
        <v>0</v>
      </c>
      <c r="AC30" s="913">
        <f t="shared" si="23"/>
        <v>0</v>
      </c>
      <c r="AD30" s="1573">
        <f t="shared" si="21"/>
        <v>230.83199999999999</v>
      </c>
      <c r="AE30" s="906">
        <f t="shared" si="17"/>
        <v>230.83199999999999</v>
      </c>
    </row>
    <row r="31" spans="3:33" x14ac:dyDescent="0.35">
      <c r="D31" s="788" t="s">
        <v>379</v>
      </c>
      <c r="E31" s="789"/>
      <c r="F31" s="1538"/>
      <c r="G31" s="906">
        <f>'SA Salary'!AD31</f>
        <v>230.83199999999999</v>
      </c>
      <c r="H31" s="911">
        <f t="shared" si="18"/>
        <v>0</v>
      </c>
      <c r="W31" s="908">
        <f t="shared" si="19"/>
        <v>0</v>
      </c>
      <c r="X31" s="906">
        <f t="shared" si="7"/>
        <v>0</v>
      </c>
      <c r="Y31" s="906">
        <f t="shared" si="8"/>
        <v>0</v>
      </c>
      <c r="Z31" s="906">
        <f t="shared" si="9"/>
        <v>0</v>
      </c>
      <c r="AA31" s="906">
        <f t="shared" si="15"/>
        <v>0</v>
      </c>
      <c r="AB31" s="906">
        <f t="shared" si="16"/>
        <v>0</v>
      </c>
      <c r="AC31" s="913">
        <f t="shared" si="23"/>
        <v>0</v>
      </c>
      <c r="AD31" s="1573">
        <f t="shared" si="21"/>
        <v>230.83199999999999</v>
      </c>
      <c r="AE31" s="906">
        <f t="shared" si="17"/>
        <v>230.83199999999999</v>
      </c>
    </row>
    <row r="32" spans="3:33" x14ac:dyDescent="0.35">
      <c r="AF32">
        <v>0</v>
      </c>
    </row>
    <row r="34" spans="4:7" x14ac:dyDescent="0.35">
      <c r="D34" s="1549" t="s">
        <v>909</v>
      </c>
    </row>
    <row r="35" spans="4:7" x14ac:dyDescent="0.35">
      <c r="D35"/>
      <c r="F35" t="s">
        <v>910</v>
      </c>
      <c r="G35" s="991" t="s">
        <v>370</v>
      </c>
    </row>
    <row r="36" spans="4:7" x14ac:dyDescent="0.35">
      <c r="D36" s="1550" t="s">
        <v>911</v>
      </c>
      <c r="E36" s="1550"/>
      <c r="F36" s="1551">
        <f>133449*0</f>
        <v>0</v>
      </c>
      <c r="G36" s="1552">
        <f>F36/100</f>
        <v>0</v>
      </c>
    </row>
    <row r="37" spans="4:7" x14ac:dyDescent="0.35">
      <c r="D37" s="1552" t="s">
        <v>912</v>
      </c>
      <c r="E37" s="1552"/>
      <c r="F37" s="1552">
        <v>0</v>
      </c>
      <c r="G37" s="1552"/>
    </row>
    <row r="38" spans="4:7" x14ac:dyDescent="0.35">
      <c r="D38" s="1552" t="s">
        <v>913</v>
      </c>
      <c r="E38" s="1552"/>
      <c r="F38" s="1552">
        <v>0</v>
      </c>
      <c r="G38" s="1552"/>
    </row>
    <row r="39" spans="4:7" x14ac:dyDescent="0.35">
      <c r="D39" s="1552" t="s">
        <v>914</v>
      </c>
      <c r="E39" s="1552"/>
      <c r="F39" s="1552">
        <v>0</v>
      </c>
      <c r="G39" s="1552"/>
    </row>
    <row r="40" spans="4:7" x14ac:dyDescent="0.35">
      <c r="D40" s="1550" t="s">
        <v>915</v>
      </c>
      <c r="E40" s="1551"/>
      <c r="F40" s="1551">
        <f>198075*0</f>
        <v>0</v>
      </c>
      <c r="G40" s="1552">
        <f>F40/100</f>
        <v>0</v>
      </c>
    </row>
    <row r="41" spans="4:7" x14ac:dyDescent="0.35">
      <c r="D41"/>
    </row>
    <row r="42" spans="4:7" x14ac:dyDescent="0.35">
      <c r="D42" s="1550" t="s">
        <v>916</v>
      </c>
      <c r="E42" s="1550"/>
      <c r="F42" s="1553">
        <v>30000</v>
      </c>
      <c r="G42" s="1552">
        <f>F42/100</f>
        <v>300</v>
      </c>
    </row>
    <row r="43" spans="4:7" x14ac:dyDescent="0.35">
      <c r="D43" s="1550" t="s">
        <v>917</v>
      </c>
      <c r="E43" s="1550"/>
      <c r="F43" s="1551">
        <v>83</v>
      </c>
      <c r="G43" s="1554">
        <f>F43</f>
        <v>83</v>
      </c>
    </row>
    <row r="44" spans="4:7" x14ac:dyDescent="0.35">
      <c r="D44" s="1550" t="s">
        <v>918</v>
      </c>
      <c r="E44" s="1550"/>
      <c r="F44" s="1551">
        <v>2026</v>
      </c>
      <c r="G44" s="1554">
        <f>F44</f>
        <v>2026</v>
      </c>
    </row>
    <row r="45" spans="4:7" x14ac:dyDescent="0.35">
      <c r="D45" t="s">
        <v>919</v>
      </c>
      <c r="F45" s="1555">
        <v>0</v>
      </c>
    </row>
    <row r="46" spans="4:7" x14ac:dyDescent="0.35">
      <c r="D46"/>
      <c r="G46" s="1556">
        <f>SUM(G36:G45)</f>
        <v>2409</v>
      </c>
    </row>
  </sheetData>
  <mergeCells count="6">
    <mergeCell ref="N2:O2"/>
    <mergeCell ref="C2:C3"/>
    <mergeCell ref="D2:D3"/>
    <mergeCell ref="E2:E3"/>
    <mergeCell ref="I2:J2"/>
    <mergeCell ref="K2:L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BACA5-6585-4E9D-A404-64E70FFB969F}">
  <sheetPr codeName="Sheet19"/>
  <dimension ref="A2:AF32"/>
  <sheetViews>
    <sheetView showGridLines="0" topLeftCell="A4" zoomScale="90" zoomScaleNormal="90" workbookViewId="0">
      <selection activeCell="G27" sqref="G27"/>
    </sheetView>
  </sheetViews>
  <sheetFormatPr defaultColWidth="9.1796875" defaultRowHeight="14.5" x14ac:dyDescent="0.35"/>
  <cols>
    <col min="1" max="1" width="11.7265625" style="771" bestFit="1" customWidth="1"/>
    <col min="2" max="2" width="17.453125" style="771" bestFit="1" customWidth="1"/>
    <col min="3" max="3" width="11.453125" style="771" bestFit="1" customWidth="1"/>
    <col min="4" max="4" width="22" style="772" bestFit="1" customWidth="1"/>
    <col min="5" max="5" width="65.54296875" style="771" customWidth="1"/>
    <col min="6" max="6" width="14.54296875" style="771" customWidth="1"/>
    <col min="7" max="7" width="35.6328125" style="771" customWidth="1"/>
    <col min="8" max="8" width="10.7265625" style="771" customWidth="1"/>
    <col min="9" max="10" width="14" style="771" customWidth="1"/>
    <col min="11" max="12" width="10.81640625" style="771" customWidth="1"/>
    <col min="13" max="13" width="3.1796875" style="771" customWidth="1"/>
    <col min="14" max="14" width="11.26953125" style="771" customWidth="1"/>
    <col min="15" max="15" width="10.54296875" style="771" customWidth="1"/>
    <col min="16" max="16" width="3.1796875" style="771" customWidth="1"/>
    <col min="17" max="18" width="11.26953125" style="771" customWidth="1"/>
    <col min="19" max="19" width="2.26953125" style="771" customWidth="1"/>
    <col min="20" max="20" width="14.54296875" style="771" customWidth="1"/>
    <col min="21" max="21" width="14.1796875" style="771" customWidth="1"/>
    <col min="22" max="22" width="9.1796875" style="771" customWidth="1"/>
    <col min="23" max="24" width="12.81640625" style="771" bestFit="1" customWidth="1"/>
    <col min="25" max="27" width="9.1796875" style="771"/>
    <col min="28" max="28" width="13.6328125" style="771" bestFit="1" customWidth="1"/>
    <col min="29" max="16384" width="9.1796875" style="771"/>
  </cols>
  <sheetData>
    <row r="2" spans="1:32" x14ac:dyDescent="0.35">
      <c r="C2" s="1599" t="s">
        <v>319</v>
      </c>
      <c r="D2" s="1599" t="s">
        <v>320</v>
      </c>
      <c r="E2" s="1599" t="s">
        <v>336</v>
      </c>
      <c r="F2" s="775" t="s">
        <v>351</v>
      </c>
      <c r="G2" s="775" t="s">
        <v>351</v>
      </c>
      <c r="I2" s="1600" t="s">
        <v>498</v>
      </c>
      <c r="J2" s="1600"/>
      <c r="K2" s="1600" t="s">
        <v>353</v>
      </c>
      <c r="L2" s="1600"/>
      <c r="N2" s="1597" t="s">
        <v>354</v>
      </c>
      <c r="O2" s="1598"/>
      <c r="W2" s="1546" t="s">
        <v>896</v>
      </c>
      <c r="Y2" s="1600" t="str">
        <f>'Salary Maxico'!K2</f>
        <v>Split</v>
      </c>
      <c r="Z2" s="1600">
        <f>'Salary Maxico'!L2</f>
        <v>0</v>
      </c>
    </row>
    <row r="3" spans="1:32" ht="29" x14ac:dyDescent="0.35">
      <c r="B3" s="771" t="str">
        <f>'Data Master'!$C$70</f>
        <v>Mexico</v>
      </c>
      <c r="C3" s="1599"/>
      <c r="D3" s="1599"/>
      <c r="E3" s="1599"/>
      <c r="F3" s="781" t="s">
        <v>490</v>
      </c>
      <c r="G3" s="781" t="s">
        <v>490</v>
      </c>
      <c r="I3" s="781" t="s">
        <v>357</v>
      </c>
      <c r="J3" s="781" t="s">
        <v>358</v>
      </c>
      <c r="K3" s="781" t="s">
        <v>357</v>
      </c>
      <c r="L3" s="781" t="s">
        <v>358</v>
      </c>
      <c r="N3" s="781" t="s">
        <v>359</v>
      </c>
      <c r="O3" s="781" t="s">
        <v>328</v>
      </c>
      <c r="Q3" s="781" t="s">
        <v>329</v>
      </c>
      <c r="R3" s="781" t="s">
        <v>330</v>
      </c>
      <c r="T3" s="781" t="s">
        <v>360</v>
      </c>
      <c r="U3" s="781" t="s">
        <v>361</v>
      </c>
      <c r="W3" s="781" t="s">
        <v>357</v>
      </c>
      <c r="X3" s="781" t="s">
        <v>358</v>
      </c>
      <c r="Y3" s="781" t="str">
        <f>'Salary Maxico'!K3</f>
        <v>Freshers</v>
      </c>
      <c r="Z3" s="781" t="str">
        <f>'Salary Maxico'!L3</f>
        <v>Experience</v>
      </c>
    </row>
    <row r="4" spans="1:32" x14ac:dyDescent="0.35">
      <c r="A4" s="771" t="str">
        <f>C4&amp;" "&amp;D4</f>
        <v>Voice L1</v>
      </c>
      <c r="B4" s="771" t="str">
        <f>$B$3&amp;C4&amp;D4</f>
        <v>MexicoVoiceL1</v>
      </c>
      <c r="C4" s="787" t="s">
        <v>266</v>
      </c>
      <c r="D4" s="788" t="s">
        <v>321</v>
      </c>
      <c r="E4" s="789" t="s">
        <v>499</v>
      </c>
      <c r="F4" s="944">
        <f>SUMPRODUCT(I4:J4,K4:L4)</f>
        <v>16000</v>
      </c>
      <c r="G4" s="944">
        <f t="shared" ref="G4:G13" si="0">SUMPRODUCT(W4:X4,Y4:Z4)</f>
        <v>292280.33737643837</v>
      </c>
      <c r="I4" s="944">
        <v>16000</v>
      </c>
      <c r="J4" s="944">
        <v>19000</v>
      </c>
      <c r="K4" s="792">
        <v>1</v>
      </c>
      <c r="L4" s="793">
        <f>1-K4</f>
        <v>0</v>
      </c>
      <c r="N4" s="944">
        <v>970</v>
      </c>
      <c r="O4" s="944">
        <v>3012</v>
      </c>
      <c r="Q4" s="944">
        <v>970</v>
      </c>
      <c r="R4" s="944">
        <v>0</v>
      </c>
      <c r="T4" s="794">
        <v>1</v>
      </c>
      <c r="U4" s="794">
        <f>1-T4</f>
        <v>0</v>
      </c>
      <c r="W4" s="1547">
        <f>VLOOKUP(A4,'Mexico Salary'!$B$6:$L$15,11,0)*12</f>
        <v>292280.33737643837</v>
      </c>
      <c r="X4" s="1547">
        <f>VLOOKUP($A4,'Mexico Salary'!$B$17:$L$26,11,0)*12</f>
        <v>346296.95655452053</v>
      </c>
      <c r="Y4" s="1545">
        <f>K4</f>
        <v>1</v>
      </c>
      <c r="Z4" s="1545">
        <f>L4</f>
        <v>0</v>
      </c>
      <c r="AB4" s="1548"/>
    </row>
    <row r="5" spans="1:32" s="805" customFormat="1" x14ac:dyDescent="0.35">
      <c r="A5" s="771" t="str">
        <f t="shared" ref="A5:A13" si="1">C5&amp;" "&amp;D5</f>
        <v>Voice L2</v>
      </c>
      <c r="B5" s="771" t="str">
        <f t="shared" ref="B5:B13" si="2">$B$3&amp;C5&amp;D5</f>
        <v>MexicoVoiceL2</v>
      </c>
      <c r="C5" s="787" t="s">
        <v>266</v>
      </c>
      <c r="D5" s="788" t="s">
        <v>322</v>
      </c>
      <c r="E5" s="789" t="s">
        <v>500</v>
      </c>
      <c r="F5" s="944">
        <f t="shared" ref="F5:F13" si="3">SUMPRODUCT(I5:J5,K5:L5)</f>
        <v>17200</v>
      </c>
      <c r="G5" s="944">
        <f t="shared" si="0"/>
        <v>313886.98504767125</v>
      </c>
      <c r="H5" s="771"/>
      <c r="I5" s="944">
        <v>16000</v>
      </c>
      <c r="J5" s="944">
        <v>20000</v>
      </c>
      <c r="K5" s="792">
        <v>0.7</v>
      </c>
      <c r="L5" s="793">
        <f t="shared" ref="L5:L13" si="4">1-K5</f>
        <v>0.30000000000000004</v>
      </c>
      <c r="M5" s="771"/>
      <c r="N5" s="944">
        <v>970</v>
      </c>
      <c r="O5" s="944">
        <v>3012</v>
      </c>
      <c r="P5" s="771"/>
      <c r="Q5" s="944">
        <v>970</v>
      </c>
      <c r="R5" s="944">
        <v>0</v>
      </c>
      <c r="S5" s="771"/>
      <c r="T5" s="794">
        <v>1</v>
      </c>
      <c r="U5" s="794">
        <f t="shared" ref="U5:U13" si="5">1-T5</f>
        <v>0</v>
      </c>
      <c r="V5" s="771"/>
      <c r="W5" s="1547">
        <f>VLOOKUP(A5,'Mexico Salary'!$B$6:$L$15,11,0)*12</f>
        <v>292280.33737643837</v>
      </c>
      <c r="X5" s="1547">
        <f>VLOOKUP($A5,'Mexico Salary'!$B$17:$L$26,11,0)*12</f>
        <v>364302.49628054799</v>
      </c>
      <c r="Y5" s="1545">
        <f t="shared" ref="Y5:Z13" si="6">K5</f>
        <v>0.7</v>
      </c>
      <c r="Z5" s="1545">
        <f t="shared" si="6"/>
        <v>0.30000000000000004</v>
      </c>
      <c r="AA5" s="771"/>
      <c r="AB5" s="771"/>
      <c r="AC5" s="771"/>
      <c r="AD5" s="771"/>
      <c r="AE5" s="771"/>
      <c r="AF5" s="771"/>
    </row>
    <row r="6" spans="1:32" s="805" customFormat="1" x14ac:dyDescent="0.35">
      <c r="A6" s="771" t="str">
        <f t="shared" si="1"/>
        <v>Voice L3</v>
      </c>
      <c r="B6" s="771" t="str">
        <f t="shared" si="2"/>
        <v>MexicoVoiceL3</v>
      </c>
      <c r="C6" s="787" t="s">
        <v>266</v>
      </c>
      <c r="D6" s="788" t="s">
        <v>323</v>
      </c>
      <c r="E6" s="789" t="s">
        <v>337</v>
      </c>
      <c r="F6" s="944">
        <f t="shared" si="3"/>
        <v>19500</v>
      </c>
      <c r="G6" s="944">
        <f t="shared" si="0"/>
        <v>355299.72641753423</v>
      </c>
      <c r="H6" s="771"/>
      <c r="I6" s="944">
        <v>16000</v>
      </c>
      <c r="J6" s="944">
        <v>21000</v>
      </c>
      <c r="K6" s="792">
        <v>0.3</v>
      </c>
      <c r="L6" s="793">
        <f t="shared" si="4"/>
        <v>0.7</v>
      </c>
      <c r="M6" s="771"/>
      <c r="N6" s="944">
        <v>970</v>
      </c>
      <c r="O6" s="944">
        <v>3012</v>
      </c>
      <c r="P6" s="771"/>
      <c r="Q6" s="944">
        <v>970</v>
      </c>
      <c r="R6" s="944">
        <v>0</v>
      </c>
      <c r="S6" s="771"/>
      <c r="T6" s="794">
        <v>1</v>
      </c>
      <c r="U6" s="794">
        <f t="shared" si="5"/>
        <v>0</v>
      </c>
      <c r="V6" s="771"/>
      <c r="W6" s="1547">
        <f>VLOOKUP(A6,'Mexico Salary'!$B$6:$L$15,11,0)*12</f>
        <v>292280.33737643837</v>
      </c>
      <c r="X6" s="1547">
        <f>VLOOKUP($A6,'Mexico Salary'!$B$17:$L$26,11,0)*12</f>
        <v>382308.03600657533</v>
      </c>
      <c r="Y6" s="1545">
        <f t="shared" si="6"/>
        <v>0.3</v>
      </c>
      <c r="Z6" s="1545">
        <f t="shared" si="6"/>
        <v>0.7</v>
      </c>
      <c r="AA6" s="771"/>
      <c r="AB6" s="771"/>
      <c r="AC6" s="771"/>
      <c r="AD6" s="771"/>
      <c r="AE6" s="771"/>
      <c r="AF6" s="771"/>
    </row>
    <row r="7" spans="1:32" s="805" customFormat="1" x14ac:dyDescent="0.35">
      <c r="A7" s="771" t="str">
        <f t="shared" si="1"/>
        <v>Voice L4</v>
      </c>
      <c r="B7" s="771" t="str">
        <f t="shared" si="2"/>
        <v>MexicoVoiceL4</v>
      </c>
      <c r="C7" s="787" t="s">
        <v>266</v>
      </c>
      <c r="D7" s="788" t="s">
        <v>324</v>
      </c>
      <c r="E7" s="789" t="s">
        <v>338</v>
      </c>
      <c r="F7" s="944">
        <f t="shared" si="3"/>
        <v>22700</v>
      </c>
      <c r="G7" s="944">
        <f t="shared" si="0"/>
        <v>412917.45354082191</v>
      </c>
      <c r="H7" s="771"/>
      <c r="I7" s="944">
        <v>20000</v>
      </c>
      <c r="J7" s="944">
        <v>23000</v>
      </c>
      <c r="K7" s="792">
        <v>0.1</v>
      </c>
      <c r="L7" s="793">
        <f t="shared" si="4"/>
        <v>0.9</v>
      </c>
      <c r="M7" s="771"/>
      <c r="N7" s="944">
        <v>970</v>
      </c>
      <c r="O7" s="944">
        <v>3012</v>
      </c>
      <c r="P7" s="771"/>
      <c r="Q7" s="944">
        <v>970</v>
      </c>
      <c r="R7" s="944">
        <v>0</v>
      </c>
      <c r="S7" s="771"/>
      <c r="T7" s="794">
        <v>1</v>
      </c>
      <c r="U7" s="794">
        <f t="shared" si="5"/>
        <v>0</v>
      </c>
      <c r="V7" s="771"/>
      <c r="W7" s="1547">
        <f>VLOOKUP(A7,'Mexico Salary'!$B$6:$L$15,11,0)*12</f>
        <v>364302.49628054799</v>
      </c>
      <c r="X7" s="1547">
        <f>VLOOKUP($A7,'Mexico Salary'!$B$17:$L$26,11,0)*12</f>
        <v>418319.11545863014</v>
      </c>
      <c r="Y7" s="1545">
        <f t="shared" si="6"/>
        <v>0.1</v>
      </c>
      <c r="Z7" s="1545">
        <f t="shared" si="6"/>
        <v>0.9</v>
      </c>
      <c r="AA7" s="771"/>
      <c r="AB7" s="771"/>
      <c r="AC7" s="771"/>
      <c r="AD7" s="771"/>
      <c r="AE7" s="771"/>
      <c r="AF7" s="771"/>
    </row>
    <row r="8" spans="1:32" s="805" customFormat="1" x14ac:dyDescent="0.35">
      <c r="A8" s="771" t="str">
        <f t="shared" si="1"/>
        <v>Non-voice L1</v>
      </c>
      <c r="B8" s="771" t="str">
        <f t="shared" si="2"/>
        <v>MexicoNon-voiceL1</v>
      </c>
      <c r="C8" s="787" t="s">
        <v>325</v>
      </c>
      <c r="D8" s="788" t="s">
        <v>321</v>
      </c>
      <c r="E8" s="789" t="s">
        <v>339</v>
      </c>
      <c r="F8" s="944">
        <f t="shared" si="3"/>
        <v>16000</v>
      </c>
      <c r="G8" s="944">
        <f t="shared" si="0"/>
        <v>292280.33737643837</v>
      </c>
      <c r="H8" s="771"/>
      <c r="I8" s="944">
        <v>16000</v>
      </c>
      <c r="J8" s="944">
        <v>19000</v>
      </c>
      <c r="K8" s="792">
        <v>1</v>
      </c>
      <c r="L8" s="793">
        <f t="shared" si="4"/>
        <v>0</v>
      </c>
      <c r="M8" s="771"/>
      <c r="N8" s="944">
        <v>970</v>
      </c>
      <c r="O8" s="944">
        <v>3012</v>
      </c>
      <c r="P8" s="771"/>
      <c r="Q8" s="944">
        <v>970</v>
      </c>
      <c r="R8" s="944">
        <v>0</v>
      </c>
      <c r="S8" s="771"/>
      <c r="T8" s="794">
        <v>1</v>
      </c>
      <c r="U8" s="794">
        <f t="shared" si="5"/>
        <v>0</v>
      </c>
      <c r="V8" s="771"/>
      <c r="W8" s="1547">
        <f>VLOOKUP(A8,'Mexico Salary'!$B$6:$L$15,11,0)*12</f>
        <v>292280.33737643837</v>
      </c>
      <c r="X8" s="1547">
        <f>VLOOKUP($A8,'Mexico Salary'!$B$17:$L$26,11,0)*12</f>
        <v>346296.95655452053</v>
      </c>
      <c r="Y8" s="1545">
        <f t="shared" si="6"/>
        <v>1</v>
      </c>
      <c r="Z8" s="1545">
        <f t="shared" si="6"/>
        <v>0</v>
      </c>
      <c r="AA8" s="771"/>
      <c r="AB8" s="771"/>
      <c r="AC8" s="771"/>
      <c r="AD8" s="771"/>
      <c r="AE8" s="771"/>
      <c r="AF8" s="771"/>
    </row>
    <row r="9" spans="1:32" s="805" customFormat="1" x14ac:dyDescent="0.35">
      <c r="A9" s="771" t="str">
        <f t="shared" si="1"/>
        <v>Non-voice L2</v>
      </c>
      <c r="B9" s="771" t="str">
        <f t="shared" si="2"/>
        <v>MexicoNon-voiceL2</v>
      </c>
      <c r="C9" s="787" t="s">
        <v>325</v>
      </c>
      <c r="D9" s="788" t="s">
        <v>322</v>
      </c>
      <c r="E9" s="789" t="s">
        <v>340</v>
      </c>
      <c r="F9" s="944">
        <f t="shared" si="3"/>
        <v>17200</v>
      </c>
      <c r="G9" s="944">
        <f t="shared" si="0"/>
        <v>313886.98504767125</v>
      </c>
      <c r="H9" s="771"/>
      <c r="I9" s="944">
        <v>16000</v>
      </c>
      <c r="J9" s="944">
        <v>20000</v>
      </c>
      <c r="K9" s="792">
        <v>0.7</v>
      </c>
      <c r="L9" s="793">
        <f t="shared" si="4"/>
        <v>0.30000000000000004</v>
      </c>
      <c r="M9" s="771"/>
      <c r="N9" s="944">
        <v>970</v>
      </c>
      <c r="O9" s="944">
        <v>3012</v>
      </c>
      <c r="P9" s="771"/>
      <c r="Q9" s="944">
        <v>970</v>
      </c>
      <c r="R9" s="944">
        <v>0</v>
      </c>
      <c r="S9" s="771"/>
      <c r="T9" s="794">
        <v>1</v>
      </c>
      <c r="U9" s="794">
        <f t="shared" si="5"/>
        <v>0</v>
      </c>
      <c r="V9" s="771"/>
      <c r="W9" s="1547">
        <f>VLOOKUP(A9,'Mexico Salary'!$B$6:$L$15,11,0)*12</f>
        <v>292280.33737643837</v>
      </c>
      <c r="X9" s="1547">
        <f>VLOOKUP($A9,'Mexico Salary'!$B$17:$L$26,11,0)*12</f>
        <v>364302.49628054799</v>
      </c>
      <c r="Y9" s="1545">
        <f t="shared" si="6"/>
        <v>0.7</v>
      </c>
      <c r="Z9" s="1545">
        <f t="shared" si="6"/>
        <v>0.30000000000000004</v>
      </c>
      <c r="AA9" s="771"/>
      <c r="AB9" s="771"/>
      <c r="AC9" s="771"/>
      <c r="AD9" s="771"/>
      <c r="AE9" s="771"/>
      <c r="AF9" s="771"/>
    </row>
    <row r="10" spans="1:32" s="805" customFormat="1" x14ac:dyDescent="0.35">
      <c r="A10" s="771" t="str">
        <f t="shared" si="1"/>
        <v>Backoffice L1</v>
      </c>
      <c r="B10" s="771" t="str">
        <f t="shared" si="2"/>
        <v>MexicoBackofficeL1</v>
      </c>
      <c r="C10" s="787" t="s">
        <v>326</v>
      </c>
      <c r="D10" s="788" t="s">
        <v>321</v>
      </c>
      <c r="E10" s="789" t="s">
        <v>341</v>
      </c>
      <c r="F10" s="944">
        <f t="shared" si="3"/>
        <v>14000</v>
      </c>
      <c r="G10" s="944">
        <f t="shared" si="0"/>
        <v>256269.25792438351</v>
      </c>
      <c r="H10" s="771"/>
      <c r="I10" s="944">
        <v>14000</v>
      </c>
      <c r="J10" s="944">
        <v>17000</v>
      </c>
      <c r="K10" s="792">
        <v>1</v>
      </c>
      <c r="L10" s="793">
        <f t="shared" si="4"/>
        <v>0</v>
      </c>
      <c r="M10" s="771"/>
      <c r="N10" s="944">
        <v>970</v>
      </c>
      <c r="O10" s="944">
        <v>3012</v>
      </c>
      <c r="P10" s="771"/>
      <c r="Q10" s="944">
        <v>970</v>
      </c>
      <c r="R10" s="944">
        <v>0</v>
      </c>
      <c r="S10" s="771"/>
      <c r="T10" s="794">
        <v>1</v>
      </c>
      <c r="U10" s="794">
        <f t="shared" si="5"/>
        <v>0</v>
      </c>
      <c r="V10" s="771"/>
      <c r="W10" s="1547">
        <f>VLOOKUP(A10,'Mexico Salary'!$B$6:$L$15,11,0)*12</f>
        <v>256269.25792438351</v>
      </c>
      <c r="X10" s="1547">
        <f>VLOOKUP($A10,'Mexico Salary'!$B$17:$L$26,11,0)*12</f>
        <v>310285.87710246578</v>
      </c>
      <c r="Y10" s="1545">
        <f t="shared" si="6"/>
        <v>1</v>
      </c>
      <c r="Z10" s="1545">
        <f t="shared" si="6"/>
        <v>0</v>
      </c>
      <c r="AA10" s="771"/>
      <c r="AB10" s="771"/>
      <c r="AC10" s="771"/>
      <c r="AD10" s="771"/>
      <c r="AE10" s="771"/>
      <c r="AF10" s="771"/>
    </row>
    <row r="11" spans="1:32" x14ac:dyDescent="0.35">
      <c r="A11" s="771" t="str">
        <f t="shared" si="1"/>
        <v>Backoffice L2</v>
      </c>
      <c r="B11" s="771" t="str">
        <f t="shared" si="2"/>
        <v>MexicoBackofficeL2</v>
      </c>
      <c r="C11" s="787" t="s">
        <v>326</v>
      </c>
      <c r="D11" s="788" t="s">
        <v>322</v>
      </c>
      <c r="E11" s="789" t="s">
        <v>342</v>
      </c>
      <c r="F11" s="944">
        <f t="shared" si="3"/>
        <v>15500</v>
      </c>
      <c r="G11" s="944">
        <f t="shared" si="0"/>
        <v>283277.56751342461</v>
      </c>
      <c r="I11" s="944">
        <v>14000</v>
      </c>
      <c r="J11" s="944">
        <v>19000</v>
      </c>
      <c r="K11" s="792">
        <v>0.7</v>
      </c>
      <c r="L11" s="793">
        <f t="shared" si="4"/>
        <v>0.30000000000000004</v>
      </c>
      <c r="N11" s="944">
        <v>970</v>
      </c>
      <c r="O11" s="944">
        <v>3012</v>
      </c>
      <c r="Q11" s="944">
        <v>970</v>
      </c>
      <c r="R11" s="944">
        <v>0</v>
      </c>
      <c r="T11" s="794">
        <v>1</v>
      </c>
      <c r="U11" s="794">
        <f t="shared" si="5"/>
        <v>0</v>
      </c>
      <c r="W11" s="1547">
        <f>VLOOKUP(A11,'Mexico Salary'!$B$6:$L$15,11,0)*12</f>
        <v>256269.25792438351</v>
      </c>
      <c r="X11" s="1547">
        <f>VLOOKUP($A11,'Mexico Salary'!$B$17:$L$26,11,0)*12</f>
        <v>346296.95655452053</v>
      </c>
      <c r="Y11" s="1545">
        <f t="shared" si="6"/>
        <v>0.7</v>
      </c>
      <c r="Z11" s="1545">
        <f t="shared" si="6"/>
        <v>0.30000000000000004</v>
      </c>
    </row>
    <row r="12" spans="1:32" x14ac:dyDescent="0.35">
      <c r="A12" s="771" t="str">
        <f t="shared" si="1"/>
        <v>Backoffice L3</v>
      </c>
      <c r="B12" s="771" t="str">
        <f t="shared" si="2"/>
        <v>MexicoBackofficeL3</v>
      </c>
      <c r="C12" s="787" t="s">
        <v>326</v>
      </c>
      <c r="D12" s="788" t="s">
        <v>323</v>
      </c>
      <c r="E12" s="789" t="s">
        <v>343</v>
      </c>
      <c r="F12" s="944">
        <f t="shared" si="3"/>
        <v>19500</v>
      </c>
      <c r="G12" s="944">
        <f t="shared" si="0"/>
        <v>355299.72641753423</v>
      </c>
      <c r="I12" s="944">
        <v>16000</v>
      </c>
      <c r="J12" s="944">
        <v>21000</v>
      </c>
      <c r="K12" s="792">
        <v>0.3</v>
      </c>
      <c r="L12" s="793">
        <f t="shared" si="4"/>
        <v>0.7</v>
      </c>
      <c r="N12" s="944">
        <v>970</v>
      </c>
      <c r="O12" s="944">
        <v>3012</v>
      </c>
      <c r="Q12" s="944">
        <v>970</v>
      </c>
      <c r="R12" s="944">
        <v>0</v>
      </c>
      <c r="T12" s="794">
        <v>1</v>
      </c>
      <c r="U12" s="794">
        <f t="shared" si="5"/>
        <v>0</v>
      </c>
      <c r="W12" s="1547">
        <f>VLOOKUP(A12,'Mexico Salary'!$B$6:$L$15,11,0)*12</f>
        <v>292280.33737643837</v>
      </c>
      <c r="X12" s="1547">
        <f>VLOOKUP($A12,'Mexico Salary'!$B$17:$L$26,11,0)*12</f>
        <v>382308.03600657533</v>
      </c>
      <c r="Y12" s="1545">
        <f t="shared" si="6"/>
        <v>0.3</v>
      </c>
      <c r="Z12" s="1545">
        <f t="shared" si="6"/>
        <v>0.7</v>
      </c>
    </row>
    <row r="13" spans="1:32" x14ac:dyDescent="0.35">
      <c r="A13" s="771" t="str">
        <f t="shared" si="1"/>
        <v>Backoffice L4</v>
      </c>
      <c r="B13" s="771" t="str">
        <f t="shared" si="2"/>
        <v>MexicoBackofficeL4</v>
      </c>
      <c r="C13" s="787" t="s">
        <v>326</v>
      </c>
      <c r="D13" s="788" t="s">
        <v>324</v>
      </c>
      <c r="E13" s="789" t="s">
        <v>344</v>
      </c>
      <c r="F13" s="944">
        <f t="shared" si="3"/>
        <v>22700</v>
      </c>
      <c r="G13" s="944">
        <f t="shared" si="0"/>
        <v>412917.45354082191</v>
      </c>
      <c r="I13" s="944">
        <v>20000</v>
      </c>
      <c r="J13" s="944">
        <v>23000</v>
      </c>
      <c r="K13" s="792">
        <v>0.1</v>
      </c>
      <c r="L13" s="793">
        <f t="shared" si="4"/>
        <v>0.9</v>
      </c>
      <c r="N13" s="944">
        <v>970</v>
      </c>
      <c r="O13" s="944">
        <v>3012</v>
      </c>
      <c r="Q13" s="944">
        <v>970</v>
      </c>
      <c r="R13" s="944">
        <v>0</v>
      </c>
      <c r="T13" s="794">
        <v>1</v>
      </c>
      <c r="U13" s="794">
        <f t="shared" si="5"/>
        <v>0</v>
      </c>
      <c r="W13" s="1547">
        <f>VLOOKUP(A13,'Mexico Salary'!$B$6:$L$15,11,0)*12</f>
        <v>364302.49628054799</v>
      </c>
      <c r="X13" s="1547">
        <f>VLOOKUP($A13,'Mexico Salary'!$B$17:$L$26,11,0)*12</f>
        <v>418319.11545863014</v>
      </c>
      <c r="Y13" s="1545">
        <f t="shared" si="6"/>
        <v>0.1</v>
      </c>
      <c r="Z13" s="1545">
        <f t="shared" si="6"/>
        <v>0.9</v>
      </c>
      <c r="AA13" s="939"/>
      <c r="AB13" s="939"/>
      <c r="AC13" s="939"/>
      <c r="AD13" s="939"/>
      <c r="AE13" s="939"/>
      <c r="AF13" s="939"/>
    </row>
    <row r="14" spans="1:32" x14ac:dyDescent="0.35">
      <c r="F14" s="872"/>
    </row>
    <row r="15" spans="1:32" x14ac:dyDescent="0.35">
      <c r="D15" s="819" t="s">
        <v>265</v>
      </c>
      <c r="E15" s="775"/>
      <c r="F15" s="775" t="s">
        <v>423</v>
      </c>
      <c r="G15" s="775" t="s">
        <v>501</v>
      </c>
      <c r="N15" s="820" t="s">
        <v>370</v>
      </c>
      <c r="O15" s="820" t="s">
        <v>328</v>
      </c>
      <c r="X15" s="874"/>
      <c r="Y15" s="874"/>
      <c r="Z15" s="874"/>
      <c r="AA15" s="874"/>
      <c r="AB15" s="874"/>
      <c r="AC15" s="874"/>
      <c r="AD15" s="874"/>
      <c r="AE15" s="874"/>
      <c r="AF15" s="874"/>
    </row>
    <row r="16" spans="1:32" x14ac:dyDescent="0.35">
      <c r="D16" s="788" t="s">
        <v>204</v>
      </c>
      <c r="E16" s="789"/>
      <c r="F16" s="944">
        <f>VLOOKUP(D16,'Mexico Salary'!$B$28:$L$42,11,0)*12</f>
        <v>400313.57573260274</v>
      </c>
      <c r="G16" s="944">
        <f>VLOOKUP(D16,'Mexico Salary'!$B$45:$L$59,11,0)*12</f>
        <v>478046.52575342468</v>
      </c>
      <c r="I16" s="945"/>
      <c r="N16" s="794">
        <v>8.3299999999999999E-2</v>
      </c>
      <c r="O16" s="944">
        <v>3012</v>
      </c>
    </row>
    <row r="17" spans="4:9" x14ac:dyDescent="0.35">
      <c r="D17" s="788" t="s">
        <v>267</v>
      </c>
      <c r="E17" s="789"/>
      <c r="F17" s="944">
        <f>VLOOKUP(D17,'Mexico Salary'!$B$28:$L$42,11,0)*12</f>
        <v>560549.67436273966</v>
      </c>
      <c r="G17" s="944">
        <f>VLOOKUP(D17,'Mexico Salary'!$B$45:$L$59,11,0)*12</f>
        <v>565900.62105479441</v>
      </c>
      <c r="I17" s="945"/>
    </row>
    <row r="18" spans="4:9" x14ac:dyDescent="0.35">
      <c r="D18" s="788" t="s">
        <v>205</v>
      </c>
      <c r="E18" s="789"/>
      <c r="F18" s="944">
        <f>VLOOKUP(D18,'Mexico Salary'!$B$28:$L$42,11,0)*12</f>
        <v>997781.31819835608</v>
      </c>
      <c r="G18" s="944">
        <f>VLOOKUP(D18,'Mexico Salary'!$B$45:$L$59,11,0)*12</f>
        <v>995389.616438356</v>
      </c>
      <c r="I18" s="945"/>
    </row>
    <row r="19" spans="4:9" x14ac:dyDescent="0.35">
      <c r="D19" s="788" t="s">
        <v>250</v>
      </c>
      <c r="E19" s="789"/>
      <c r="F19" s="944">
        <f>VLOOKUP(D19,'Mexico Salary'!$B$28:$L$42,11,0)*12</f>
        <v>1344686.6332668494</v>
      </c>
      <c r="G19" s="944">
        <f>VLOOKUP(D19,'Mexico Salary'!$B$45:$L$59,11,0)*12</f>
        <v>1342294.9315068494</v>
      </c>
      <c r="I19" s="945"/>
    </row>
    <row r="20" spans="4:9" x14ac:dyDescent="0.35">
      <c r="D20" s="788" t="s">
        <v>371</v>
      </c>
      <c r="E20" s="789"/>
      <c r="F20" s="944">
        <f>VLOOKUP(D20,'Mexico Salary'!$B$28:$L$42,11,0)*12</f>
        <v>1606345.0716230138</v>
      </c>
      <c r="G20" s="944">
        <f>VLOOKUP(D20,'Mexico Salary'!$B$45:$L$59,11,0)*12</f>
        <v>1603953.3698630137</v>
      </c>
      <c r="I20" s="945"/>
    </row>
    <row r="21" spans="4:9" x14ac:dyDescent="0.35">
      <c r="D21" s="788" t="s">
        <v>372</v>
      </c>
      <c r="E21" s="789"/>
      <c r="F21" s="944">
        <f>VLOOKUP(D21,'Mexico Salary'!$B$28:$L$42,11,0)*12</f>
        <v>2127196.1949106846</v>
      </c>
      <c r="G21" s="944">
        <f>VLOOKUP(D21,'Mexico Salary'!$B$45:$L$59,11,0)*12</f>
        <v>2124804.493150685</v>
      </c>
      <c r="I21" s="945"/>
    </row>
    <row r="22" spans="4:9" x14ac:dyDescent="0.35">
      <c r="D22" s="788" t="s">
        <v>373</v>
      </c>
      <c r="E22" s="789"/>
      <c r="F22" s="1543">
        <f>F21*120%</f>
        <v>2552635.4338928214</v>
      </c>
      <c r="G22" s="1543">
        <f>G21*120%</f>
        <v>2549765.3917808221</v>
      </c>
      <c r="I22" s="945"/>
    </row>
    <row r="23" spans="4:9" x14ac:dyDescent="0.35">
      <c r="D23" s="788" t="s">
        <v>374</v>
      </c>
      <c r="E23" s="789"/>
      <c r="F23" s="1543">
        <f>F16</f>
        <v>400313.57573260274</v>
      </c>
      <c r="G23" s="1543">
        <f>G16</f>
        <v>478046.52575342468</v>
      </c>
      <c r="I23" s="945"/>
    </row>
    <row r="24" spans="4:9" x14ac:dyDescent="0.35">
      <c r="D24" s="788" t="s">
        <v>47</v>
      </c>
      <c r="E24" s="789"/>
      <c r="F24" s="944">
        <f>VLOOKUP(D24,'Mexico Salary'!$B$28:$L$42,11,0)*12</f>
        <v>400313.57573260274</v>
      </c>
      <c r="G24" s="944">
        <f>VLOOKUP(D24,'Mexico Salary'!$B$45:$L$59,11,0)*12</f>
        <v>478046.52575342468</v>
      </c>
      <c r="I24" s="945"/>
    </row>
    <row r="25" spans="4:9" x14ac:dyDescent="0.35">
      <c r="D25" s="788" t="s">
        <v>46</v>
      </c>
      <c r="E25" s="789"/>
      <c r="F25" s="944">
        <f>VLOOKUP(D25,'Mexico Salary'!$B$28:$L$42,11,0)*12</f>
        <v>400313.57573260274</v>
      </c>
      <c r="G25" s="944">
        <f>VLOOKUP(D25,'Mexico Salary'!$B$45:$L$59,11,0)*12</f>
        <v>478046.52575342468</v>
      </c>
      <c r="I25" s="945"/>
    </row>
    <row r="26" spans="4:9" x14ac:dyDescent="0.35">
      <c r="D26" s="788" t="s">
        <v>206</v>
      </c>
      <c r="E26" s="789"/>
      <c r="F26" s="944">
        <f>VLOOKUP(D26,'Mexico Salary'!$B$28:$L$42,11,0)*12</f>
        <v>400313.57573260274</v>
      </c>
      <c r="G26" s="944">
        <f>VLOOKUP(D26,'Mexico Salary'!$B$45:$L$59,11,0)*12</f>
        <v>478046.52575342468</v>
      </c>
      <c r="I26" s="945"/>
    </row>
    <row r="27" spans="4:9" x14ac:dyDescent="0.35">
      <c r="D27" s="788" t="s">
        <v>375</v>
      </c>
      <c r="E27" s="789"/>
      <c r="F27" s="1543">
        <f>'Mexico Salary'!L37*12</f>
        <v>1342220.8798421919</v>
      </c>
      <c r="G27" s="1543">
        <f>'Mexico Salary'!L54*12</f>
        <v>1339829.1780821919</v>
      </c>
      <c r="I27" s="945"/>
    </row>
    <row r="28" spans="4:9" x14ac:dyDescent="0.35">
      <c r="D28" s="788" t="s">
        <v>376</v>
      </c>
      <c r="E28" s="789"/>
      <c r="F28" s="944">
        <f>F18</f>
        <v>997781.31819835608</v>
      </c>
      <c r="G28" s="944">
        <f>G18</f>
        <v>995389.616438356</v>
      </c>
      <c r="I28" s="945"/>
    </row>
    <row r="29" spans="4:9" x14ac:dyDescent="0.35">
      <c r="D29" s="788" t="s">
        <v>377</v>
      </c>
      <c r="E29" s="789"/>
      <c r="F29" s="944"/>
      <c r="G29" s="944"/>
      <c r="I29" s="945"/>
    </row>
    <row r="30" spans="4:9" x14ac:dyDescent="0.35">
      <c r="D30" s="788" t="s">
        <v>378</v>
      </c>
      <c r="E30" s="789"/>
      <c r="F30" s="944"/>
      <c r="G30" s="944"/>
      <c r="I30" s="945"/>
    </row>
    <row r="31" spans="4:9" x14ac:dyDescent="0.35">
      <c r="D31" s="788" t="s">
        <v>379</v>
      </c>
      <c r="E31" s="789"/>
      <c r="F31" s="944"/>
      <c r="G31" s="944"/>
      <c r="I31" s="945"/>
    </row>
    <row r="32" spans="4:9" x14ac:dyDescent="0.35">
      <c r="I32" s="945"/>
    </row>
  </sheetData>
  <mergeCells count="7">
    <mergeCell ref="Y2:Z2"/>
    <mergeCell ref="C2:C3"/>
    <mergeCell ref="D2:D3"/>
    <mergeCell ref="E2:E3"/>
    <mergeCell ref="I2:J2"/>
    <mergeCell ref="K2:L2"/>
    <mergeCell ref="N2:O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F3156-40E1-4DB6-B86A-5F65F41C9CAF}">
  <sheetPr codeName="Sheet27"/>
  <dimension ref="A1:W118"/>
  <sheetViews>
    <sheetView showGridLines="0" topLeftCell="D32" zoomScale="90" zoomScaleNormal="90" workbookViewId="0">
      <selection activeCell="L54" sqref="L54"/>
    </sheetView>
  </sheetViews>
  <sheetFormatPr defaultColWidth="8.453125" defaultRowHeight="13" x14ac:dyDescent="0.3"/>
  <cols>
    <col min="1" max="1" width="13.81640625" style="1335" customWidth="1"/>
    <col min="2" max="2" width="30.81640625" style="1328" customWidth="1"/>
    <col min="3" max="3" width="21.453125" style="1328" bestFit="1" customWidth="1"/>
    <col min="4" max="4" width="18.1796875" style="1328" customWidth="1"/>
    <col min="5" max="6" width="17.1796875" style="1328" customWidth="1"/>
    <col min="7" max="7" width="14.81640625" style="1328" customWidth="1"/>
    <col min="8" max="8" width="20.81640625" style="1490" customWidth="1"/>
    <col min="9" max="9" width="17.1796875" style="1490" customWidth="1"/>
    <col min="10" max="10" width="16.453125" style="1490" customWidth="1"/>
    <col min="11" max="11" width="16" style="1490" customWidth="1"/>
    <col min="12" max="12" width="17" style="1328" customWidth="1"/>
    <col min="13" max="13" width="14.453125" style="1328" customWidth="1"/>
    <col min="14" max="14" width="13.1796875" style="1328" bestFit="1" customWidth="1"/>
    <col min="15" max="15" width="15.453125" style="1328" customWidth="1"/>
    <col min="16" max="16" width="12.1796875" style="1328" customWidth="1"/>
    <col min="17" max="17" width="14.1796875" style="1328" customWidth="1"/>
    <col min="18" max="18" width="8.453125" style="1328" customWidth="1"/>
    <col min="19" max="19" width="111.54296875" style="1328" bestFit="1" customWidth="1"/>
    <col min="20" max="21" width="8.453125" style="1328" customWidth="1"/>
    <col min="22" max="22" width="16.81640625" style="1328" customWidth="1"/>
    <col min="23" max="23" width="6.81640625" style="1328" bestFit="1" customWidth="1"/>
    <col min="24" max="16384" width="8.453125" style="1328"/>
  </cols>
  <sheetData>
    <row r="1" spans="1:19" x14ac:dyDescent="0.3">
      <c r="F1" s="1489"/>
      <c r="I1" s="1491">
        <v>0.25</v>
      </c>
      <c r="J1" s="1492"/>
      <c r="K1" s="1492"/>
    </row>
    <row r="2" spans="1:19" ht="14.5" customHeight="1" x14ac:dyDescent="0.3">
      <c r="H2" s="1608" t="s">
        <v>812</v>
      </c>
      <c r="I2" s="1609"/>
      <c r="J2" s="1493">
        <v>0.5</v>
      </c>
      <c r="K2" s="1493">
        <v>0.5</v>
      </c>
      <c r="M2" s="1328">
        <f>12/13</f>
        <v>0.92307692307692313</v>
      </c>
    </row>
    <row r="3" spans="1:19" ht="14.5" customHeight="1" x14ac:dyDescent="0.3">
      <c r="B3" s="1494"/>
      <c r="D3" s="1495">
        <v>3300</v>
      </c>
      <c r="H3" s="1610"/>
      <c r="I3" s="1611"/>
      <c r="J3" s="1328"/>
      <c r="K3" s="1328"/>
    </row>
    <row r="4" spans="1:19" x14ac:dyDescent="0.3">
      <c r="C4" s="1496" t="s">
        <v>813</v>
      </c>
      <c r="D4" s="1497">
        <v>0.1</v>
      </c>
      <c r="E4" s="1498">
        <v>0.28689999999999999</v>
      </c>
      <c r="F4" s="1499">
        <v>150</v>
      </c>
      <c r="G4" s="1497">
        <v>0.03</v>
      </c>
      <c r="H4" s="1612"/>
      <c r="I4" s="1613"/>
      <c r="J4" s="1500">
        <v>2</v>
      </c>
      <c r="K4" s="1501">
        <v>0.25</v>
      </c>
    </row>
    <row r="5" spans="1:19" ht="51" customHeight="1" x14ac:dyDescent="0.3">
      <c r="B5" s="1502" t="s">
        <v>207</v>
      </c>
      <c r="C5" s="1503" t="s">
        <v>658</v>
      </c>
      <c r="D5" s="1504" t="s">
        <v>814</v>
      </c>
      <c r="E5" s="1505" t="s">
        <v>815</v>
      </c>
      <c r="F5" s="1506" t="s">
        <v>816</v>
      </c>
      <c r="G5" s="1505" t="s">
        <v>817</v>
      </c>
      <c r="H5" s="1507" t="s">
        <v>818</v>
      </c>
      <c r="I5" s="1507" t="s">
        <v>819</v>
      </c>
      <c r="J5" s="1507" t="s">
        <v>820</v>
      </c>
      <c r="K5" s="1507" t="s">
        <v>821</v>
      </c>
      <c r="L5" s="1508" t="s">
        <v>822</v>
      </c>
      <c r="M5" s="1503" t="s">
        <v>823</v>
      </c>
      <c r="O5" s="1503" t="s">
        <v>824</v>
      </c>
      <c r="P5" s="1503" t="s">
        <v>825</v>
      </c>
      <c r="Q5" s="1507" t="s">
        <v>935</v>
      </c>
      <c r="S5" s="1509" t="s">
        <v>826</v>
      </c>
    </row>
    <row r="6" spans="1:19" ht="16.5" customHeight="1" x14ac:dyDescent="0.3">
      <c r="A6" s="1614" t="s">
        <v>827</v>
      </c>
      <c r="B6" s="1510" t="s">
        <v>828</v>
      </c>
      <c r="C6" s="1544">
        <f>'Salary Maxico'!I4</f>
        <v>16000</v>
      </c>
      <c r="D6" s="1511">
        <f t="shared" ref="D6:D15" si="0">IF(C6*$D$4&lt;$D$3,C6*$D$4,$D$3)</f>
        <v>1600</v>
      </c>
      <c r="E6" s="1511">
        <f t="shared" ref="E6:E7" si="1">C6*$E$4</f>
        <v>4590.3999999999996</v>
      </c>
      <c r="F6" s="1512">
        <f t="shared" ref="F6:F15" si="2">$F$4</f>
        <v>150</v>
      </c>
      <c r="G6" s="1511">
        <f t="shared" ref="G6:G7" si="3">C6*$G$4</f>
        <v>480</v>
      </c>
      <c r="H6" s="1513">
        <f t="shared" ref="H6:H15" si="4">(((C6*12)/365)*15)/12</f>
        <v>657.53424657534254</v>
      </c>
      <c r="I6" s="1513">
        <f t="shared" ref="I6:I15" si="5">(((C6*12)/365)*12*$I$1)/12</f>
        <v>131.50684931506851</v>
      </c>
      <c r="J6" s="1513">
        <f t="shared" ref="J6:J15" si="6">(((C6*12)/365)*6*$J$4*$J$2)/12</f>
        <v>263.01369863013701</v>
      </c>
      <c r="K6" s="1513">
        <f t="shared" ref="K6:K15" si="7">((($C6*12)/365)*52*$K$4*$K$2)/12</f>
        <v>284.9315068493151</v>
      </c>
      <c r="L6" s="1514">
        <f>SUM(C6:G6,H6,I6,J6:K6,Q6)</f>
        <v>24356.694781369864</v>
      </c>
      <c r="M6" s="1515">
        <f t="shared" ref="M6:M15" si="8">(SUM(C6,I6:K6,D6:G6,H6)-C6)/C6</f>
        <v>0.50983664383561655</v>
      </c>
      <c r="N6" s="1516">
        <f>L6*12</f>
        <v>292280.33737643837</v>
      </c>
      <c r="O6" s="1517"/>
      <c r="P6" s="1517"/>
      <c r="Q6" s="1513">
        <f>11.4*17.4832</f>
        <v>199.30848</v>
      </c>
      <c r="S6" s="1328" t="s">
        <v>829</v>
      </c>
    </row>
    <row r="7" spans="1:19" x14ac:dyDescent="0.3">
      <c r="A7" s="1614"/>
      <c r="B7" s="1510" t="s">
        <v>897</v>
      </c>
      <c r="C7" s="1544">
        <f>'Salary Maxico'!I5</f>
        <v>16000</v>
      </c>
      <c r="D7" s="1511">
        <f t="shared" si="0"/>
        <v>1600</v>
      </c>
      <c r="E7" s="1511">
        <f t="shared" si="1"/>
        <v>4590.3999999999996</v>
      </c>
      <c r="F7" s="1512">
        <f t="shared" si="2"/>
        <v>150</v>
      </c>
      <c r="G7" s="1511">
        <f t="shared" si="3"/>
        <v>480</v>
      </c>
      <c r="H7" s="1513">
        <f t="shared" si="4"/>
        <v>657.53424657534254</v>
      </c>
      <c r="I7" s="1513">
        <f t="shared" si="5"/>
        <v>131.50684931506851</v>
      </c>
      <c r="J7" s="1513">
        <f t="shared" si="6"/>
        <v>263.01369863013701</v>
      </c>
      <c r="K7" s="1513">
        <f t="shared" si="7"/>
        <v>284.9315068493151</v>
      </c>
      <c r="L7" s="1514">
        <f t="shared" ref="L7:L15" si="9">SUM(C7:G7,H7,I7,J7:K7,Q7)</f>
        <v>24356.694781369864</v>
      </c>
      <c r="M7" s="1515">
        <f t="shared" si="8"/>
        <v>0.50983664383561655</v>
      </c>
      <c r="N7" s="1516">
        <f t="shared" ref="N7:N15" si="10">L7*12</f>
        <v>292280.33737643837</v>
      </c>
      <c r="O7" s="1517"/>
      <c r="P7" s="1517"/>
      <c r="Q7" s="1513">
        <f t="shared" ref="Q7:Q42" si="11">11.4*17.4832</f>
        <v>199.30848</v>
      </c>
    </row>
    <row r="8" spans="1:19" x14ac:dyDescent="0.3">
      <c r="A8" s="1614"/>
      <c r="B8" s="1510" t="s">
        <v>898</v>
      </c>
      <c r="C8" s="1544">
        <f>'Salary Maxico'!I6</f>
        <v>16000</v>
      </c>
      <c r="D8" s="1511">
        <f t="shared" si="0"/>
        <v>1600</v>
      </c>
      <c r="E8" s="1511">
        <f>C8*$E$4</f>
        <v>4590.3999999999996</v>
      </c>
      <c r="F8" s="1512">
        <f t="shared" si="2"/>
        <v>150</v>
      </c>
      <c r="G8" s="1511">
        <f>C8*$G$4</f>
        <v>480</v>
      </c>
      <c r="H8" s="1513">
        <f t="shared" si="4"/>
        <v>657.53424657534254</v>
      </c>
      <c r="I8" s="1513">
        <f t="shared" si="5"/>
        <v>131.50684931506851</v>
      </c>
      <c r="J8" s="1513">
        <f t="shared" si="6"/>
        <v>263.01369863013701</v>
      </c>
      <c r="K8" s="1513">
        <f t="shared" si="7"/>
        <v>284.9315068493151</v>
      </c>
      <c r="L8" s="1514">
        <f t="shared" si="9"/>
        <v>24356.694781369864</v>
      </c>
      <c r="M8" s="1515">
        <f t="shared" si="8"/>
        <v>0.50983664383561655</v>
      </c>
      <c r="N8" s="1516">
        <f t="shared" si="10"/>
        <v>292280.33737643837</v>
      </c>
      <c r="O8" s="1517"/>
      <c r="P8" s="1517"/>
      <c r="Q8" s="1513">
        <f t="shared" si="11"/>
        <v>199.30848</v>
      </c>
      <c r="S8" s="1328" t="s">
        <v>830</v>
      </c>
    </row>
    <row r="9" spans="1:19" x14ac:dyDescent="0.3">
      <c r="A9" s="1614"/>
      <c r="B9" s="1510" t="s">
        <v>831</v>
      </c>
      <c r="C9" s="1544">
        <f>'Salary Maxico'!I7</f>
        <v>20000</v>
      </c>
      <c r="D9" s="1511">
        <f t="shared" si="0"/>
        <v>2000</v>
      </c>
      <c r="E9" s="1511">
        <f t="shared" ref="E9:E15" si="12">C9*$E$4</f>
        <v>5738</v>
      </c>
      <c r="F9" s="1512">
        <f t="shared" si="2"/>
        <v>150</v>
      </c>
      <c r="G9" s="1511">
        <f t="shared" ref="G9:G15" si="13">C9*$G$4</f>
        <v>600</v>
      </c>
      <c r="H9" s="1513">
        <f t="shared" si="4"/>
        <v>821.91780821917803</v>
      </c>
      <c r="I9" s="1513">
        <f t="shared" si="5"/>
        <v>164.38356164383561</v>
      </c>
      <c r="J9" s="1513">
        <f t="shared" si="6"/>
        <v>328.76712328767121</v>
      </c>
      <c r="K9" s="1513">
        <f t="shared" si="7"/>
        <v>356.16438356164377</v>
      </c>
      <c r="L9" s="1514">
        <f t="shared" si="9"/>
        <v>30358.541356712332</v>
      </c>
      <c r="M9" s="1515">
        <f t="shared" si="8"/>
        <v>0.50796164383561659</v>
      </c>
      <c r="N9" s="1516">
        <f t="shared" si="10"/>
        <v>364302.49628054799</v>
      </c>
      <c r="O9" s="1517"/>
      <c r="P9" s="1517"/>
      <c r="Q9" s="1513">
        <f t="shared" si="11"/>
        <v>199.30848</v>
      </c>
      <c r="S9" s="1328" t="s">
        <v>832</v>
      </c>
    </row>
    <row r="10" spans="1:19" x14ac:dyDescent="0.3">
      <c r="A10" s="1614"/>
      <c r="B10" s="1510" t="s">
        <v>899</v>
      </c>
      <c r="C10" s="1544">
        <f>'Salary Maxico'!I8</f>
        <v>16000</v>
      </c>
      <c r="D10" s="1511">
        <f t="shared" si="0"/>
        <v>1600</v>
      </c>
      <c r="E10" s="1511">
        <f t="shared" si="12"/>
        <v>4590.3999999999996</v>
      </c>
      <c r="F10" s="1512">
        <f t="shared" si="2"/>
        <v>150</v>
      </c>
      <c r="G10" s="1511">
        <f t="shared" si="13"/>
        <v>480</v>
      </c>
      <c r="H10" s="1513">
        <f t="shared" si="4"/>
        <v>657.53424657534254</v>
      </c>
      <c r="I10" s="1513">
        <f t="shared" si="5"/>
        <v>131.50684931506851</v>
      </c>
      <c r="J10" s="1513">
        <f t="shared" si="6"/>
        <v>263.01369863013701</v>
      </c>
      <c r="K10" s="1513">
        <f t="shared" si="7"/>
        <v>284.9315068493151</v>
      </c>
      <c r="L10" s="1514">
        <f t="shared" si="9"/>
        <v>24356.694781369864</v>
      </c>
      <c r="M10" s="1515">
        <f t="shared" si="8"/>
        <v>0.50983664383561655</v>
      </c>
      <c r="N10" s="1516">
        <f t="shared" si="10"/>
        <v>292280.33737643837</v>
      </c>
      <c r="O10" s="1517"/>
      <c r="P10" s="1517"/>
      <c r="Q10" s="1513">
        <f t="shared" si="11"/>
        <v>199.30848</v>
      </c>
      <c r="S10" s="1328" t="s">
        <v>832</v>
      </c>
    </row>
    <row r="11" spans="1:19" x14ac:dyDescent="0.3">
      <c r="A11" s="1614"/>
      <c r="B11" s="1510" t="s">
        <v>900</v>
      </c>
      <c r="C11" s="1544">
        <f>'Salary Maxico'!I9</f>
        <v>16000</v>
      </c>
      <c r="D11" s="1511">
        <f t="shared" si="0"/>
        <v>1600</v>
      </c>
      <c r="E11" s="1511">
        <f t="shared" si="12"/>
        <v>4590.3999999999996</v>
      </c>
      <c r="F11" s="1512">
        <f t="shared" si="2"/>
        <v>150</v>
      </c>
      <c r="G11" s="1511">
        <f t="shared" si="13"/>
        <v>480</v>
      </c>
      <c r="H11" s="1513">
        <f t="shared" si="4"/>
        <v>657.53424657534254</v>
      </c>
      <c r="I11" s="1513">
        <f t="shared" si="5"/>
        <v>131.50684931506851</v>
      </c>
      <c r="J11" s="1513">
        <f t="shared" si="6"/>
        <v>263.01369863013701</v>
      </c>
      <c r="K11" s="1513">
        <f t="shared" si="7"/>
        <v>284.9315068493151</v>
      </c>
      <c r="L11" s="1514">
        <f t="shared" si="9"/>
        <v>24356.694781369864</v>
      </c>
      <c r="M11" s="1515">
        <f t="shared" si="8"/>
        <v>0.50983664383561655</v>
      </c>
      <c r="N11" s="1516">
        <f t="shared" si="10"/>
        <v>292280.33737643837</v>
      </c>
      <c r="O11" s="1517"/>
      <c r="P11" s="1517"/>
      <c r="Q11" s="1513">
        <f t="shared" si="11"/>
        <v>199.30848</v>
      </c>
      <c r="S11" s="1328" t="s">
        <v>833</v>
      </c>
    </row>
    <row r="12" spans="1:19" x14ac:dyDescent="0.3">
      <c r="A12" s="1614"/>
      <c r="B12" s="1510" t="s">
        <v>901</v>
      </c>
      <c r="C12" s="1544">
        <f>'Salary Maxico'!I10</f>
        <v>14000</v>
      </c>
      <c r="D12" s="1511">
        <f t="shared" si="0"/>
        <v>1400</v>
      </c>
      <c r="E12" s="1511">
        <f t="shared" si="12"/>
        <v>4016.6</v>
      </c>
      <c r="F12" s="1512">
        <f t="shared" si="2"/>
        <v>150</v>
      </c>
      <c r="G12" s="1511">
        <f t="shared" si="13"/>
        <v>420</v>
      </c>
      <c r="H12" s="1513">
        <f t="shared" si="4"/>
        <v>575.34246575342468</v>
      </c>
      <c r="I12" s="1513">
        <f t="shared" si="5"/>
        <v>115.06849315068492</v>
      </c>
      <c r="J12" s="1513">
        <f t="shared" si="6"/>
        <v>230.13698630136983</v>
      </c>
      <c r="K12" s="1513">
        <f t="shared" si="7"/>
        <v>249.31506849315068</v>
      </c>
      <c r="L12" s="1514">
        <f t="shared" si="9"/>
        <v>21355.771493698627</v>
      </c>
      <c r="M12" s="1515">
        <f t="shared" si="8"/>
        <v>0.51117592954990221</v>
      </c>
      <c r="N12" s="1516">
        <f t="shared" si="10"/>
        <v>256269.25792438351</v>
      </c>
      <c r="O12" s="1517"/>
      <c r="P12" s="1517"/>
      <c r="Q12" s="1513">
        <f t="shared" si="11"/>
        <v>199.30848</v>
      </c>
      <c r="S12" s="1328" t="s">
        <v>834</v>
      </c>
    </row>
    <row r="13" spans="1:19" x14ac:dyDescent="0.3">
      <c r="A13" s="1614"/>
      <c r="B13" s="1510" t="s">
        <v>902</v>
      </c>
      <c r="C13" s="1544">
        <f>'Salary Maxico'!I11</f>
        <v>14000</v>
      </c>
      <c r="D13" s="1511">
        <f t="shared" si="0"/>
        <v>1400</v>
      </c>
      <c r="E13" s="1511">
        <f t="shared" si="12"/>
        <v>4016.6</v>
      </c>
      <c r="F13" s="1512">
        <f t="shared" si="2"/>
        <v>150</v>
      </c>
      <c r="G13" s="1511">
        <f t="shared" si="13"/>
        <v>420</v>
      </c>
      <c r="H13" s="1513">
        <f t="shared" si="4"/>
        <v>575.34246575342468</v>
      </c>
      <c r="I13" s="1513">
        <f t="shared" si="5"/>
        <v>115.06849315068492</v>
      </c>
      <c r="J13" s="1513">
        <f t="shared" si="6"/>
        <v>230.13698630136983</v>
      </c>
      <c r="K13" s="1513">
        <f t="shared" si="7"/>
        <v>249.31506849315068</v>
      </c>
      <c r="L13" s="1514">
        <f t="shared" si="9"/>
        <v>21355.771493698627</v>
      </c>
      <c r="M13" s="1515">
        <f t="shared" si="8"/>
        <v>0.51117592954990221</v>
      </c>
      <c r="N13" s="1516">
        <f t="shared" si="10"/>
        <v>256269.25792438351</v>
      </c>
      <c r="O13" s="1517"/>
      <c r="P13" s="1517"/>
      <c r="Q13" s="1513">
        <f t="shared" si="11"/>
        <v>199.30848</v>
      </c>
      <c r="S13" s="1328" t="s">
        <v>835</v>
      </c>
    </row>
    <row r="14" spans="1:19" x14ac:dyDescent="0.3">
      <c r="A14" s="1614"/>
      <c r="B14" s="1510" t="s">
        <v>903</v>
      </c>
      <c r="C14" s="1544">
        <f>'Salary Maxico'!I12</f>
        <v>16000</v>
      </c>
      <c r="D14" s="1511">
        <f t="shared" si="0"/>
        <v>1600</v>
      </c>
      <c r="E14" s="1511">
        <f t="shared" si="12"/>
        <v>4590.3999999999996</v>
      </c>
      <c r="F14" s="1512">
        <f t="shared" si="2"/>
        <v>150</v>
      </c>
      <c r="G14" s="1511">
        <f t="shared" si="13"/>
        <v>480</v>
      </c>
      <c r="H14" s="1513">
        <f t="shared" si="4"/>
        <v>657.53424657534254</v>
      </c>
      <c r="I14" s="1513">
        <f t="shared" si="5"/>
        <v>131.50684931506851</v>
      </c>
      <c r="J14" s="1513">
        <f t="shared" si="6"/>
        <v>263.01369863013701</v>
      </c>
      <c r="K14" s="1513">
        <f t="shared" si="7"/>
        <v>284.9315068493151</v>
      </c>
      <c r="L14" s="1514">
        <f t="shared" si="9"/>
        <v>24356.694781369864</v>
      </c>
      <c r="M14" s="1515">
        <f t="shared" si="8"/>
        <v>0.50983664383561655</v>
      </c>
      <c r="N14" s="1516">
        <f t="shared" si="10"/>
        <v>292280.33737643837</v>
      </c>
      <c r="O14" s="1517"/>
      <c r="P14" s="1517"/>
      <c r="Q14" s="1513">
        <f t="shared" si="11"/>
        <v>199.30848</v>
      </c>
      <c r="S14" s="1328" t="s">
        <v>836</v>
      </c>
    </row>
    <row r="15" spans="1:19" x14ac:dyDescent="0.3">
      <c r="A15" s="1614"/>
      <c r="B15" s="1510" t="s">
        <v>904</v>
      </c>
      <c r="C15" s="1544">
        <f>'Salary Maxico'!I13</f>
        <v>20000</v>
      </c>
      <c r="D15" s="1511">
        <f t="shared" si="0"/>
        <v>2000</v>
      </c>
      <c r="E15" s="1511">
        <f t="shared" si="12"/>
        <v>5738</v>
      </c>
      <c r="F15" s="1512">
        <f t="shared" si="2"/>
        <v>150</v>
      </c>
      <c r="G15" s="1511">
        <f t="shared" si="13"/>
        <v>600</v>
      </c>
      <c r="H15" s="1513">
        <f t="shared" si="4"/>
        <v>821.91780821917803</v>
      </c>
      <c r="I15" s="1513">
        <f t="shared" si="5"/>
        <v>164.38356164383561</v>
      </c>
      <c r="J15" s="1513">
        <f t="shared" si="6"/>
        <v>328.76712328767121</v>
      </c>
      <c r="K15" s="1513">
        <f t="shared" si="7"/>
        <v>356.16438356164377</v>
      </c>
      <c r="L15" s="1514">
        <f t="shared" si="9"/>
        <v>30358.541356712332</v>
      </c>
      <c r="M15" s="1515">
        <f t="shared" si="8"/>
        <v>0.50796164383561659</v>
      </c>
      <c r="N15" s="1516">
        <f t="shared" si="10"/>
        <v>364302.49628054799</v>
      </c>
      <c r="O15" s="1517"/>
      <c r="P15" s="1517"/>
      <c r="Q15" s="1513">
        <f t="shared" si="11"/>
        <v>199.30848</v>
      </c>
      <c r="S15" s="1328" t="s">
        <v>837</v>
      </c>
    </row>
    <row r="16" spans="1:19" s="1335" customFormat="1" x14ac:dyDescent="0.35"/>
    <row r="17" spans="1:19" x14ac:dyDescent="0.3">
      <c r="A17" s="1615" t="s">
        <v>838</v>
      </c>
      <c r="B17" s="1510" t="str">
        <f>B6</f>
        <v>Voice L1</v>
      </c>
      <c r="C17" s="1544">
        <f>'Salary Maxico'!J4</f>
        <v>19000</v>
      </c>
      <c r="D17" s="1511">
        <f>IF(C17*$D$4&lt;$D$3,C17*$D$4,$D$3)</f>
        <v>1900</v>
      </c>
      <c r="E17" s="1511">
        <f>C17*$E$4</f>
        <v>5451.0999999999995</v>
      </c>
      <c r="F17" s="1512">
        <f>$F$4</f>
        <v>150</v>
      </c>
      <c r="G17" s="1511">
        <f>C17*$G$4</f>
        <v>570</v>
      </c>
      <c r="H17" s="1513">
        <f>(((C17*12)/365)*15)/12</f>
        <v>780.82191780821915</v>
      </c>
      <c r="I17" s="1513">
        <f>(((C17*12)/365)*12*$I$1)/12</f>
        <v>156.16438356164383</v>
      </c>
      <c r="J17" s="1513">
        <f>((($C17*12)/365)*6*$J$4*$J$2)/12</f>
        <v>312.32876712328766</v>
      </c>
      <c r="K17" s="1513">
        <f>((($C17*12)/365)*52*$K$4*$K$2)/12</f>
        <v>338.35616438356163</v>
      </c>
      <c r="L17" s="1514">
        <f t="shared" ref="L17:L26" si="14">SUM(C17:G17,H17,I17,J17:K17,Q17)</f>
        <v>28858.079712876708</v>
      </c>
      <c r="M17" s="1515">
        <f>(SUM(C17,I17:K17,D17:G17,H17)-C17)/C17</f>
        <v>0.50835638067772149</v>
      </c>
      <c r="N17" s="1516"/>
      <c r="O17" s="1517"/>
      <c r="P17" s="1517"/>
      <c r="Q17" s="1513">
        <f t="shared" si="11"/>
        <v>199.30848</v>
      </c>
    </row>
    <row r="18" spans="1:19" x14ac:dyDescent="0.3">
      <c r="A18" s="1615"/>
      <c r="B18" s="1510" t="str">
        <f t="shared" ref="B18:B26" si="15">B7</f>
        <v>Voice L2</v>
      </c>
      <c r="C18" s="1544">
        <f>'Salary Maxico'!J5</f>
        <v>20000</v>
      </c>
      <c r="D18" s="1511">
        <f t="shared" ref="D18:D26" si="16">IF(C18*$D$4&lt;$D$3,C18*$D$4,$D$3)</f>
        <v>2000</v>
      </c>
      <c r="E18" s="1511">
        <f t="shared" ref="E18:E26" si="17">C18*$E$4</f>
        <v>5738</v>
      </c>
      <c r="F18" s="1512">
        <f t="shared" ref="F18:F26" si="18">$F$4</f>
        <v>150</v>
      </c>
      <c r="G18" s="1511">
        <f t="shared" ref="G18:G26" si="19">C18*$G$4</f>
        <v>600</v>
      </c>
      <c r="H18" s="1513">
        <f t="shared" ref="H18:H26" si="20">(((C18*12)/365)*15)/12</f>
        <v>821.91780821917803</v>
      </c>
      <c r="I18" s="1513">
        <f t="shared" ref="I18:I26" si="21">(((C18*12)/365)*12*$I$1)/12</f>
        <v>164.38356164383561</v>
      </c>
      <c r="J18" s="1513">
        <f t="shared" ref="J18:J26" si="22">((($C18*12)/365)*6*$J$4*$J$2)/12</f>
        <v>328.76712328767121</v>
      </c>
      <c r="K18" s="1513">
        <f t="shared" ref="K18:K26" si="23">((($C18*12)/365)*52*$K$4*$K$2)/12</f>
        <v>356.16438356164377</v>
      </c>
      <c r="L18" s="1514">
        <f t="shared" si="14"/>
        <v>30358.541356712332</v>
      </c>
      <c r="M18" s="1515">
        <f t="shared" ref="M18:M26" si="24">(SUM(C18,I18:K18,D18:G18,H18)-C18)/C18</f>
        <v>0.50796164383561659</v>
      </c>
      <c r="N18" s="1516"/>
      <c r="O18" s="1517"/>
      <c r="P18" s="1517"/>
      <c r="Q18" s="1513">
        <f t="shared" si="11"/>
        <v>199.30848</v>
      </c>
    </row>
    <row r="19" spans="1:19" x14ac:dyDescent="0.3">
      <c r="A19" s="1615"/>
      <c r="B19" s="1510" t="str">
        <f t="shared" si="15"/>
        <v>Voice L3</v>
      </c>
      <c r="C19" s="1544">
        <f>'Salary Maxico'!J6</f>
        <v>21000</v>
      </c>
      <c r="D19" s="1511">
        <f t="shared" si="16"/>
        <v>2100</v>
      </c>
      <c r="E19" s="1511">
        <f t="shared" si="17"/>
        <v>6024.9</v>
      </c>
      <c r="F19" s="1512">
        <f t="shared" si="18"/>
        <v>150</v>
      </c>
      <c r="G19" s="1511">
        <f t="shared" si="19"/>
        <v>630</v>
      </c>
      <c r="H19" s="1513">
        <f t="shared" si="20"/>
        <v>863.01369863013713</v>
      </c>
      <c r="I19" s="1513">
        <f t="shared" si="21"/>
        <v>172.60273972602741</v>
      </c>
      <c r="J19" s="1513">
        <f t="shared" si="22"/>
        <v>345.20547945205482</v>
      </c>
      <c r="K19" s="1513">
        <f t="shared" si="23"/>
        <v>373.97260273972603</v>
      </c>
      <c r="L19" s="1514">
        <f t="shared" si="14"/>
        <v>31859.003000547946</v>
      </c>
      <c r="M19" s="1515">
        <f t="shared" si="24"/>
        <v>0.50760450097847343</v>
      </c>
      <c r="N19" s="1516"/>
      <c r="O19" s="1517"/>
      <c r="P19" s="1517"/>
      <c r="Q19" s="1513">
        <f t="shared" si="11"/>
        <v>199.30848</v>
      </c>
    </row>
    <row r="20" spans="1:19" x14ac:dyDescent="0.3">
      <c r="A20" s="1615"/>
      <c r="B20" s="1510" t="str">
        <f t="shared" si="15"/>
        <v>Voice L4</v>
      </c>
      <c r="C20" s="1544">
        <f>'Salary Maxico'!J7</f>
        <v>23000</v>
      </c>
      <c r="D20" s="1511">
        <f t="shared" si="16"/>
        <v>2300</v>
      </c>
      <c r="E20" s="1511">
        <f t="shared" si="17"/>
        <v>6598.7</v>
      </c>
      <c r="F20" s="1512">
        <f t="shared" si="18"/>
        <v>150</v>
      </c>
      <c r="G20" s="1511">
        <f t="shared" si="19"/>
        <v>690</v>
      </c>
      <c r="H20" s="1513">
        <f t="shared" si="20"/>
        <v>945.20547945205487</v>
      </c>
      <c r="I20" s="1513">
        <f t="shared" si="21"/>
        <v>189.04109589041096</v>
      </c>
      <c r="J20" s="1513">
        <f t="shared" si="22"/>
        <v>378.08219178082192</v>
      </c>
      <c r="K20" s="1513">
        <f t="shared" si="23"/>
        <v>409.58904109589042</v>
      </c>
      <c r="L20" s="1514">
        <f t="shared" si="14"/>
        <v>34859.926288219176</v>
      </c>
      <c r="M20" s="1515">
        <f t="shared" si="24"/>
        <v>0.50698338296605083</v>
      </c>
      <c r="N20" s="1516"/>
      <c r="O20" s="1517"/>
      <c r="P20" s="1517"/>
      <c r="Q20" s="1513">
        <f t="shared" si="11"/>
        <v>199.30848</v>
      </c>
    </row>
    <row r="21" spans="1:19" x14ac:dyDescent="0.3">
      <c r="A21" s="1615"/>
      <c r="B21" s="1510" t="str">
        <f t="shared" si="15"/>
        <v>Non-voice L1</v>
      </c>
      <c r="C21" s="1544">
        <f>'Salary Maxico'!J8</f>
        <v>19000</v>
      </c>
      <c r="D21" s="1511">
        <f t="shared" si="16"/>
        <v>1900</v>
      </c>
      <c r="E21" s="1511">
        <f t="shared" si="17"/>
        <v>5451.0999999999995</v>
      </c>
      <c r="F21" s="1512">
        <f t="shared" si="18"/>
        <v>150</v>
      </c>
      <c r="G21" s="1511">
        <f t="shared" si="19"/>
        <v>570</v>
      </c>
      <c r="H21" s="1513">
        <f t="shared" si="20"/>
        <v>780.82191780821915</v>
      </c>
      <c r="I21" s="1513">
        <f t="shared" si="21"/>
        <v>156.16438356164383</v>
      </c>
      <c r="J21" s="1513">
        <f t="shared" si="22"/>
        <v>312.32876712328766</v>
      </c>
      <c r="K21" s="1513">
        <f t="shared" si="23"/>
        <v>338.35616438356163</v>
      </c>
      <c r="L21" s="1514">
        <f t="shared" si="14"/>
        <v>28858.079712876708</v>
      </c>
      <c r="M21" s="1515">
        <f t="shared" si="24"/>
        <v>0.50835638067772149</v>
      </c>
      <c r="N21" s="1516"/>
      <c r="O21" s="1517"/>
      <c r="P21" s="1517"/>
      <c r="Q21" s="1513">
        <f t="shared" si="11"/>
        <v>199.30848</v>
      </c>
    </row>
    <row r="22" spans="1:19" x14ac:dyDescent="0.3">
      <c r="A22" s="1615"/>
      <c r="B22" s="1510" t="str">
        <f t="shared" si="15"/>
        <v>Non-voice L2</v>
      </c>
      <c r="C22" s="1544">
        <f>'Salary Maxico'!J9</f>
        <v>20000</v>
      </c>
      <c r="D22" s="1511">
        <f t="shared" si="16"/>
        <v>2000</v>
      </c>
      <c r="E22" s="1511">
        <f t="shared" si="17"/>
        <v>5738</v>
      </c>
      <c r="F22" s="1512">
        <f t="shared" si="18"/>
        <v>150</v>
      </c>
      <c r="G22" s="1511">
        <f t="shared" si="19"/>
        <v>600</v>
      </c>
      <c r="H22" s="1513">
        <f t="shared" si="20"/>
        <v>821.91780821917803</v>
      </c>
      <c r="I22" s="1513">
        <f t="shared" si="21"/>
        <v>164.38356164383561</v>
      </c>
      <c r="J22" s="1513">
        <f t="shared" si="22"/>
        <v>328.76712328767121</v>
      </c>
      <c r="K22" s="1513">
        <f t="shared" si="23"/>
        <v>356.16438356164377</v>
      </c>
      <c r="L22" s="1514">
        <f t="shared" si="14"/>
        <v>30358.541356712332</v>
      </c>
      <c r="M22" s="1515">
        <f t="shared" si="24"/>
        <v>0.50796164383561659</v>
      </c>
      <c r="N22" s="1516"/>
      <c r="O22" s="1517"/>
      <c r="P22" s="1517"/>
      <c r="Q22" s="1513">
        <f t="shared" si="11"/>
        <v>199.30848</v>
      </c>
    </row>
    <row r="23" spans="1:19" x14ac:dyDescent="0.3">
      <c r="A23" s="1615"/>
      <c r="B23" s="1510" t="str">
        <f t="shared" si="15"/>
        <v>Backoffice L1</v>
      </c>
      <c r="C23" s="1544">
        <f>'Salary Maxico'!J10</f>
        <v>17000</v>
      </c>
      <c r="D23" s="1511">
        <f t="shared" si="16"/>
        <v>1700</v>
      </c>
      <c r="E23" s="1511">
        <f t="shared" si="17"/>
        <v>4877.3</v>
      </c>
      <c r="F23" s="1512">
        <f t="shared" si="18"/>
        <v>150</v>
      </c>
      <c r="G23" s="1511">
        <f t="shared" si="19"/>
        <v>510</v>
      </c>
      <c r="H23" s="1513">
        <f t="shared" si="20"/>
        <v>698.63013698630141</v>
      </c>
      <c r="I23" s="1513">
        <f t="shared" si="21"/>
        <v>139.72602739726028</v>
      </c>
      <c r="J23" s="1513">
        <f t="shared" si="22"/>
        <v>279.45205479452056</v>
      </c>
      <c r="K23" s="1513">
        <f t="shared" si="23"/>
        <v>302.73972602739724</v>
      </c>
      <c r="L23" s="1514">
        <f t="shared" si="14"/>
        <v>25857.156425205481</v>
      </c>
      <c r="M23" s="1515">
        <f t="shared" si="24"/>
        <v>0.50928517324738132</v>
      </c>
      <c r="N23" s="1516"/>
      <c r="O23" s="1517"/>
      <c r="P23" s="1517"/>
      <c r="Q23" s="1513">
        <f t="shared" si="11"/>
        <v>199.30848</v>
      </c>
    </row>
    <row r="24" spans="1:19" x14ac:dyDescent="0.3">
      <c r="A24" s="1615"/>
      <c r="B24" s="1510" t="str">
        <f t="shared" si="15"/>
        <v>Backoffice L2</v>
      </c>
      <c r="C24" s="1544">
        <f>'Salary Maxico'!J11</f>
        <v>19000</v>
      </c>
      <c r="D24" s="1511">
        <f t="shared" si="16"/>
        <v>1900</v>
      </c>
      <c r="E24" s="1511">
        <f t="shared" si="17"/>
        <v>5451.0999999999995</v>
      </c>
      <c r="F24" s="1512">
        <f t="shared" si="18"/>
        <v>150</v>
      </c>
      <c r="G24" s="1511">
        <f t="shared" si="19"/>
        <v>570</v>
      </c>
      <c r="H24" s="1513">
        <f t="shared" si="20"/>
        <v>780.82191780821915</v>
      </c>
      <c r="I24" s="1513">
        <f t="shared" si="21"/>
        <v>156.16438356164383</v>
      </c>
      <c r="J24" s="1513">
        <f t="shared" si="22"/>
        <v>312.32876712328766</v>
      </c>
      <c r="K24" s="1513">
        <f t="shared" si="23"/>
        <v>338.35616438356163</v>
      </c>
      <c r="L24" s="1514">
        <f t="shared" si="14"/>
        <v>28858.079712876708</v>
      </c>
      <c r="M24" s="1515">
        <f t="shared" si="24"/>
        <v>0.50835638067772149</v>
      </c>
      <c r="N24" s="1516"/>
      <c r="O24" s="1517"/>
      <c r="P24" s="1517"/>
      <c r="Q24" s="1513">
        <f t="shared" si="11"/>
        <v>199.30848</v>
      </c>
    </row>
    <row r="25" spans="1:19" x14ac:dyDescent="0.3">
      <c r="A25" s="1615"/>
      <c r="B25" s="1510" t="str">
        <f t="shared" si="15"/>
        <v>Backoffice L3</v>
      </c>
      <c r="C25" s="1544">
        <f>'Salary Maxico'!J12</f>
        <v>21000</v>
      </c>
      <c r="D25" s="1511">
        <f t="shared" si="16"/>
        <v>2100</v>
      </c>
      <c r="E25" s="1511">
        <f t="shared" si="17"/>
        <v>6024.9</v>
      </c>
      <c r="F25" s="1512">
        <f t="shared" si="18"/>
        <v>150</v>
      </c>
      <c r="G25" s="1511">
        <f t="shared" si="19"/>
        <v>630</v>
      </c>
      <c r="H25" s="1513">
        <f t="shared" si="20"/>
        <v>863.01369863013713</v>
      </c>
      <c r="I25" s="1513">
        <f t="shared" si="21"/>
        <v>172.60273972602741</v>
      </c>
      <c r="J25" s="1513">
        <f t="shared" si="22"/>
        <v>345.20547945205482</v>
      </c>
      <c r="K25" s="1513">
        <f t="shared" si="23"/>
        <v>373.97260273972603</v>
      </c>
      <c r="L25" s="1514">
        <f t="shared" si="14"/>
        <v>31859.003000547946</v>
      </c>
      <c r="M25" s="1515">
        <f t="shared" si="24"/>
        <v>0.50760450097847343</v>
      </c>
      <c r="N25" s="1516"/>
      <c r="O25" s="1517"/>
      <c r="P25" s="1517"/>
      <c r="Q25" s="1513">
        <f t="shared" si="11"/>
        <v>199.30848</v>
      </c>
    </row>
    <row r="26" spans="1:19" x14ac:dyDescent="0.3">
      <c r="A26" s="1615"/>
      <c r="B26" s="1510" t="str">
        <f t="shared" si="15"/>
        <v>Backoffice L4</v>
      </c>
      <c r="C26" s="1544">
        <f>'Salary Maxico'!J13</f>
        <v>23000</v>
      </c>
      <c r="D26" s="1511">
        <f t="shared" si="16"/>
        <v>2300</v>
      </c>
      <c r="E26" s="1511">
        <f t="shared" si="17"/>
        <v>6598.7</v>
      </c>
      <c r="F26" s="1512">
        <f t="shared" si="18"/>
        <v>150</v>
      </c>
      <c r="G26" s="1511">
        <f t="shared" si="19"/>
        <v>690</v>
      </c>
      <c r="H26" s="1513">
        <f t="shared" si="20"/>
        <v>945.20547945205487</v>
      </c>
      <c r="I26" s="1513">
        <f t="shared" si="21"/>
        <v>189.04109589041096</v>
      </c>
      <c r="J26" s="1513">
        <f t="shared" si="22"/>
        <v>378.08219178082192</v>
      </c>
      <c r="K26" s="1513">
        <f t="shared" si="23"/>
        <v>409.58904109589042</v>
      </c>
      <c r="L26" s="1514">
        <f t="shared" si="14"/>
        <v>34859.926288219176</v>
      </c>
      <c r="M26" s="1515">
        <f t="shared" si="24"/>
        <v>0.50698338296605083</v>
      </c>
      <c r="N26" s="1516"/>
      <c r="O26" s="1517"/>
      <c r="P26" s="1517"/>
      <c r="Q26" s="1513">
        <f t="shared" si="11"/>
        <v>199.30848</v>
      </c>
    </row>
    <row r="27" spans="1:19" ht="3" customHeight="1" x14ac:dyDescent="0.3">
      <c r="C27" s="1518"/>
      <c r="H27" s="1513"/>
      <c r="I27" s="1513"/>
      <c r="J27" s="1513"/>
      <c r="K27" s="1513"/>
      <c r="L27" s="1514"/>
      <c r="M27" s="1338"/>
      <c r="N27" s="1516"/>
      <c r="O27" s="1513"/>
      <c r="P27" s="1513"/>
      <c r="Q27" s="1513"/>
      <c r="S27" s="1328" t="s">
        <v>839</v>
      </c>
    </row>
    <row r="28" spans="1:19" x14ac:dyDescent="0.3">
      <c r="B28" s="1510" t="s">
        <v>204</v>
      </c>
      <c r="C28" s="1535">
        <v>22000</v>
      </c>
      <c r="D28" s="1511">
        <f t="shared" ref="D28:D42" si="25">IF(C28*$D$4&lt;$D$3,C28*$D$4,$D$3)</f>
        <v>2200</v>
      </c>
      <c r="E28" s="1511">
        <f t="shared" ref="E28:E42" si="26">C28*$E$4</f>
        <v>6311.8</v>
      </c>
      <c r="F28" s="1511">
        <f t="shared" ref="F28:F59" si="27">$F$4</f>
        <v>150</v>
      </c>
      <c r="G28" s="1511">
        <f t="shared" ref="G28:G42" si="28">C28*$G$4</f>
        <v>660</v>
      </c>
      <c r="H28" s="1513">
        <f t="shared" ref="H28" si="29">(((C28*12)/365)*15)/12</f>
        <v>904.109589041096</v>
      </c>
      <c r="I28" s="1513">
        <f t="shared" ref="I28:I42" si="30">(((C28*12)/365)*12*$I$1)/12</f>
        <v>180.82191780821918</v>
      </c>
      <c r="J28" s="1513">
        <f t="shared" ref="J28:J42" si="31">(((C28*12)/365)*6*$J$4*$J$2)/12</f>
        <v>361.64383561643837</v>
      </c>
      <c r="K28" s="1513">
        <f t="shared" ref="K28:K59" si="32">((($C28*12)/365)*52*$K$4*$K$2)/12</f>
        <v>391.78082191780823</v>
      </c>
      <c r="L28" s="1514">
        <f t="shared" ref="L28:L42" si="33">SUM(C28:G28,H28,I28,J28:K28,Q28)</f>
        <v>33359.464644383559</v>
      </c>
      <c r="M28" s="1515">
        <f t="shared" ref="M28:M42" si="34">(SUM(C28,I28:K28,D28:G28,H28)-C28)/C28</f>
        <v>0.50727982565379814</v>
      </c>
      <c r="N28" s="1516"/>
      <c r="O28" s="1517"/>
      <c r="P28" s="1517"/>
      <c r="Q28" s="1513">
        <f t="shared" si="11"/>
        <v>199.30848</v>
      </c>
    </row>
    <row r="29" spans="1:19" x14ac:dyDescent="0.3">
      <c r="B29" s="1510" t="s">
        <v>267</v>
      </c>
      <c r="C29" s="1535">
        <v>30000</v>
      </c>
      <c r="D29" s="1511">
        <f t="shared" si="25"/>
        <v>3000</v>
      </c>
      <c r="E29" s="1511">
        <f t="shared" si="26"/>
        <v>8607</v>
      </c>
      <c r="F29" s="1511">
        <f t="shared" si="27"/>
        <v>150</v>
      </c>
      <c r="G29" s="1511">
        <f t="shared" si="28"/>
        <v>900</v>
      </c>
      <c r="H29" s="1519">
        <f>C29/12</f>
        <v>2500</v>
      </c>
      <c r="I29" s="1520">
        <f>(((C29*12)/365)*16*$I$1)/12</f>
        <v>328.76712328767127</v>
      </c>
      <c r="J29" s="1513">
        <f t="shared" si="31"/>
        <v>493.15068493150687</v>
      </c>
      <c r="K29" s="1513">
        <f t="shared" si="32"/>
        <v>534.2465753424658</v>
      </c>
      <c r="L29" s="1514">
        <f t="shared" si="33"/>
        <v>46712.472863561641</v>
      </c>
      <c r="M29" s="1515">
        <f t="shared" si="34"/>
        <v>0.55043881278538809</v>
      </c>
      <c r="N29" s="1516"/>
      <c r="O29" s="1517"/>
      <c r="P29" s="1517"/>
      <c r="Q29" s="1513">
        <f t="shared" si="11"/>
        <v>199.30848</v>
      </c>
    </row>
    <row r="30" spans="1:19" x14ac:dyDescent="0.3">
      <c r="B30" s="1510" t="s">
        <v>205</v>
      </c>
      <c r="C30" s="1535">
        <v>55000</v>
      </c>
      <c r="D30" s="1511">
        <f>IF(C30*$D$4&lt;$D$3,C30*$D$4,$D$3)</f>
        <v>3300</v>
      </c>
      <c r="E30" s="1511">
        <f t="shared" si="26"/>
        <v>15779.5</v>
      </c>
      <c r="F30" s="1511">
        <f t="shared" si="27"/>
        <v>150</v>
      </c>
      <c r="G30" s="1511">
        <f t="shared" si="28"/>
        <v>1650</v>
      </c>
      <c r="H30" s="1519">
        <f t="shared" ref="H30:H33" si="35">C30/12</f>
        <v>4583.333333333333</v>
      </c>
      <c r="I30" s="1520">
        <f>(((C30*12)/365)*16*$I$1)/12</f>
        <v>602.7397260273973</v>
      </c>
      <c r="J30" s="1513">
        <f t="shared" si="31"/>
        <v>904.10958904109577</v>
      </c>
      <c r="K30" s="1513">
        <f t="shared" si="32"/>
        <v>979.45205479452045</v>
      </c>
      <c r="L30" s="1514">
        <f t="shared" si="33"/>
        <v>83148.443183196345</v>
      </c>
      <c r="M30" s="1515">
        <f t="shared" si="34"/>
        <v>0.50816608551266074</v>
      </c>
      <c r="N30" s="1516"/>
      <c r="O30" s="1517"/>
      <c r="P30" s="1517"/>
      <c r="Q30" s="1513">
        <f t="shared" si="11"/>
        <v>199.30848</v>
      </c>
    </row>
    <row r="31" spans="1:19" x14ac:dyDescent="0.3">
      <c r="B31" s="1510" t="s">
        <v>250</v>
      </c>
      <c r="C31" s="1535">
        <v>75000</v>
      </c>
      <c r="D31" s="1511">
        <f t="shared" si="25"/>
        <v>3300</v>
      </c>
      <c r="E31" s="1511">
        <f t="shared" si="26"/>
        <v>21517.5</v>
      </c>
      <c r="F31" s="1511">
        <f t="shared" si="27"/>
        <v>150</v>
      </c>
      <c r="G31" s="1511">
        <f t="shared" si="28"/>
        <v>2250</v>
      </c>
      <c r="H31" s="1519">
        <f t="shared" si="35"/>
        <v>6250</v>
      </c>
      <c r="I31" s="1513">
        <f>(((C31*12)/365)*16*$I$1)/12</f>
        <v>821.91780821917803</v>
      </c>
      <c r="J31" s="1513">
        <f t="shared" si="31"/>
        <v>1232.8767123287671</v>
      </c>
      <c r="K31" s="1513">
        <f t="shared" si="32"/>
        <v>1335.6164383561643</v>
      </c>
      <c r="L31" s="1514">
        <f t="shared" si="33"/>
        <v>112057.21943890413</v>
      </c>
      <c r="M31" s="1515">
        <f t="shared" si="34"/>
        <v>0.49143881278538826</v>
      </c>
      <c r="N31" s="1516"/>
      <c r="O31" s="1517"/>
      <c r="P31" s="1517"/>
      <c r="Q31" s="1513">
        <f t="shared" si="11"/>
        <v>199.30848</v>
      </c>
    </row>
    <row r="32" spans="1:19" x14ac:dyDescent="0.3">
      <c r="B32" s="1510" t="s">
        <v>371</v>
      </c>
      <c r="C32" s="1535">
        <v>90000</v>
      </c>
      <c r="D32" s="1511">
        <f t="shared" si="25"/>
        <v>3300</v>
      </c>
      <c r="E32" s="1511">
        <f t="shared" si="26"/>
        <v>25821</v>
      </c>
      <c r="F32" s="1511">
        <f t="shared" si="27"/>
        <v>150</v>
      </c>
      <c r="G32" s="1511">
        <f t="shared" si="28"/>
        <v>2700</v>
      </c>
      <c r="H32" s="1519">
        <f t="shared" si="35"/>
        <v>7500</v>
      </c>
      <c r="I32" s="1513">
        <f>(((C32*12)/365)*18*$I$1)/12</f>
        <v>1109.5890410958905</v>
      </c>
      <c r="J32" s="1513">
        <f t="shared" si="31"/>
        <v>1479.4520547945206</v>
      </c>
      <c r="K32" s="1513">
        <f t="shared" si="32"/>
        <v>1602.7397260273974</v>
      </c>
      <c r="L32" s="1514">
        <f t="shared" si="33"/>
        <v>133862.08930191782</v>
      </c>
      <c r="M32" s="1515">
        <f t="shared" si="34"/>
        <v>0.48514200913242012</v>
      </c>
      <c r="N32" s="1516"/>
      <c r="O32" s="1517"/>
      <c r="P32" s="1517"/>
      <c r="Q32" s="1513">
        <f t="shared" si="11"/>
        <v>199.30848</v>
      </c>
    </row>
    <row r="33" spans="1:18" x14ac:dyDescent="0.3">
      <c r="B33" s="1510" t="s">
        <v>372</v>
      </c>
      <c r="C33" s="1535">
        <v>120000</v>
      </c>
      <c r="D33" s="1511">
        <f t="shared" si="25"/>
        <v>3300</v>
      </c>
      <c r="E33" s="1511">
        <f t="shared" si="26"/>
        <v>34428</v>
      </c>
      <c r="F33" s="1511">
        <f t="shared" si="27"/>
        <v>150</v>
      </c>
      <c r="G33" s="1511">
        <f t="shared" si="28"/>
        <v>3600</v>
      </c>
      <c r="H33" s="1519">
        <f t="shared" si="35"/>
        <v>10000</v>
      </c>
      <c r="I33" s="1513">
        <f>(((C33*12)/365)*18*$I$1)/12</f>
        <v>1479.4520547945206</v>
      </c>
      <c r="J33" s="1513">
        <f t="shared" si="31"/>
        <v>1972.6027397260275</v>
      </c>
      <c r="K33" s="1513">
        <f t="shared" si="32"/>
        <v>2136.9863013698632</v>
      </c>
      <c r="L33" s="1514">
        <f t="shared" si="33"/>
        <v>177266.3495758904</v>
      </c>
      <c r="M33" s="1515">
        <f t="shared" si="34"/>
        <v>0.47555867579908662</v>
      </c>
      <c r="N33" s="1516"/>
      <c r="O33" s="1517"/>
      <c r="P33" s="1517"/>
      <c r="Q33" s="1513">
        <f t="shared" si="11"/>
        <v>199.30848</v>
      </c>
    </row>
    <row r="34" spans="1:18" x14ac:dyDescent="0.3">
      <c r="B34" s="1510" t="s">
        <v>47</v>
      </c>
      <c r="C34" s="1535">
        <v>22000</v>
      </c>
      <c r="D34" s="1511">
        <f t="shared" si="25"/>
        <v>2200</v>
      </c>
      <c r="E34" s="1511">
        <f t="shared" si="26"/>
        <v>6311.8</v>
      </c>
      <c r="F34" s="1511">
        <f t="shared" si="27"/>
        <v>150</v>
      </c>
      <c r="G34" s="1511">
        <f t="shared" si="28"/>
        <v>660</v>
      </c>
      <c r="H34" s="1513">
        <f t="shared" ref="H34:H36" si="36">(((C34*12)/365)*15)/12</f>
        <v>904.109589041096</v>
      </c>
      <c r="I34" s="1513">
        <f t="shared" si="30"/>
        <v>180.82191780821918</v>
      </c>
      <c r="J34" s="1513">
        <f t="shared" si="31"/>
        <v>361.64383561643837</v>
      </c>
      <c r="K34" s="1513">
        <f t="shared" si="32"/>
        <v>391.78082191780823</v>
      </c>
      <c r="L34" s="1514">
        <f t="shared" si="33"/>
        <v>33359.464644383559</v>
      </c>
      <c r="M34" s="1515">
        <f t="shared" si="34"/>
        <v>0.50727982565379814</v>
      </c>
      <c r="N34" s="1516"/>
      <c r="O34" s="1517"/>
      <c r="P34" s="1517"/>
      <c r="Q34" s="1513">
        <f t="shared" si="11"/>
        <v>199.30848</v>
      </c>
    </row>
    <row r="35" spans="1:18" x14ac:dyDescent="0.3">
      <c r="B35" s="1510" t="s">
        <v>46</v>
      </c>
      <c r="C35" s="1535">
        <v>22000</v>
      </c>
      <c r="D35" s="1511">
        <f t="shared" si="25"/>
        <v>2200</v>
      </c>
      <c r="E35" s="1511">
        <f t="shared" si="26"/>
        <v>6311.8</v>
      </c>
      <c r="F35" s="1511">
        <f t="shared" si="27"/>
        <v>150</v>
      </c>
      <c r="G35" s="1511">
        <f t="shared" si="28"/>
        <v>660</v>
      </c>
      <c r="H35" s="1513">
        <f t="shared" si="36"/>
        <v>904.109589041096</v>
      </c>
      <c r="I35" s="1513">
        <f t="shared" si="30"/>
        <v>180.82191780821918</v>
      </c>
      <c r="J35" s="1513">
        <f t="shared" si="31"/>
        <v>361.64383561643837</v>
      </c>
      <c r="K35" s="1513">
        <f t="shared" si="32"/>
        <v>391.78082191780823</v>
      </c>
      <c r="L35" s="1514">
        <f t="shared" si="33"/>
        <v>33359.464644383559</v>
      </c>
      <c r="M35" s="1515">
        <f t="shared" si="34"/>
        <v>0.50727982565379814</v>
      </c>
      <c r="N35" s="1516"/>
      <c r="O35" s="1517"/>
      <c r="P35" s="1517"/>
      <c r="Q35" s="1513">
        <f t="shared" si="11"/>
        <v>199.30848</v>
      </c>
    </row>
    <row r="36" spans="1:18" x14ac:dyDescent="0.3">
      <c r="B36" s="1510" t="s">
        <v>206</v>
      </c>
      <c r="C36" s="1535">
        <v>22000</v>
      </c>
      <c r="D36" s="1511">
        <f t="shared" si="25"/>
        <v>2200</v>
      </c>
      <c r="E36" s="1511">
        <f t="shared" si="26"/>
        <v>6311.8</v>
      </c>
      <c r="F36" s="1511">
        <f t="shared" si="27"/>
        <v>150</v>
      </c>
      <c r="G36" s="1511">
        <f t="shared" si="28"/>
        <v>660</v>
      </c>
      <c r="H36" s="1513">
        <f t="shared" si="36"/>
        <v>904.109589041096</v>
      </c>
      <c r="I36" s="1513">
        <f t="shared" si="30"/>
        <v>180.82191780821918</v>
      </c>
      <c r="J36" s="1513">
        <f t="shared" si="31"/>
        <v>361.64383561643837</v>
      </c>
      <c r="K36" s="1513">
        <f t="shared" si="32"/>
        <v>391.78082191780823</v>
      </c>
      <c r="L36" s="1514">
        <f t="shared" si="33"/>
        <v>33359.464644383559</v>
      </c>
      <c r="M36" s="1515">
        <f t="shared" si="34"/>
        <v>0.50727982565379814</v>
      </c>
      <c r="N36" s="1516"/>
      <c r="O36" s="1517"/>
      <c r="P36" s="1517"/>
      <c r="Q36" s="1513">
        <f t="shared" si="11"/>
        <v>199.30848</v>
      </c>
      <c r="R36" s="1521"/>
    </row>
    <row r="37" spans="1:18" x14ac:dyDescent="0.3">
      <c r="B37" s="1510" t="s">
        <v>376</v>
      </c>
      <c r="C37" s="1535">
        <v>75000</v>
      </c>
      <c r="D37" s="1511">
        <f t="shared" si="25"/>
        <v>3300</v>
      </c>
      <c r="E37" s="1511">
        <f t="shared" si="26"/>
        <v>21517.5</v>
      </c>
      <c r="F37" s="1511">
        <f t="shared" si="27"/>
        <v>150</v>
      </c>
      <c r="G37" s="1511">
        <f t="shared" si="28"/>
        <v>2250</v>
      </c>
      <c r="H37" s="1519">
        <f t="shared" ref="H37:H42" si="37">C37/12</f>
        <v>6250</v>
      </c>
      <c r="I37" s="1513">
        <f t="shared" si="30"/>
        <v>616.43835616438355</v>
      </c>
      <c r="J37" s="1513">
        <f t="shared" si="31"/>
        <v>1232.8767123287671</v>
      </c>
      <c r="K37" s="1513">
        <f t="shared" si="32"/>
        <v>1335.6164383561643</v>
      </c>
      <c r="L37" s="1514">
        <f t="shared" si="33"/>
        <v>111851.73998684932</v>
      </c>
      <c r="M37" s="1515">
        <f t="shared" si="34"/>
        <v>0.4886990867579909</v>
      </c>
      <c r="N37" s="1516"/>
      <c r="O37" s="1517"/>
      <c r="P37" s="1517"/>
      <c r="Q37" s="1513">
        <f t="shared" si="11"/>
        <v>199.30848</v>
      </c>
      <c r="R37" s="1522"/>
    </row>
    <row r="38" spans="1:18" x14ac:dyDescent="0.3">
      <c r="B38" s="1510" t="s">
        <v>840</v>
      </c>
      <c r="C38" s="1535">
        <v>55000</v>
      </c>
      <c r="D38" s="1511">
        <f t="shared" si="25"/>
        <v>3300</v>
      </c>
      <c r="E38" s="1511">
        <f t="shared" si="26"/>
        <v>15779.5</v>
      </c>
      <c r="F38" s="1511">
        <f t="shared" si="27"/>
        <v>150</v>
      </c>
      <c r="G38" s="1511">
        <f t="shared" si="28"/>
        <v>1650</v>
      </c>
      <c r="H38" s="1519">
        <f t="shared" si="37"/>
        <v>4583.333333333333</v>
      </c>
      <c r="I38" s="1520">
        <f>(((C38*12)/365)*16*$I$1)/12</f>
        <v>602.7397260273973</v>
      </c>
      <c r="J38" s="1513">
        <f t="shared" si="31"/>
        <v>904.10958904109577</v>
      </c>
      <c r="K38" s="1513">
        <f t="shared" si="32"/>
        <v>979.45205479452045</v>
      </c>
      <c r="L38" s="1514">
        <f t="shared" si="33"/>
        <v>83148.443183196345</v>
      </c>
      <c r="M38" s="1515">
        <f t="shared" si="34"/>
        <v>0.50816608551266074</v>
      </c>
      <c r="N38" s="1516"/>
      <c r="O38" s="1517"/>
      <c r="P38" s="1517"/>
      <c r="Q38" s="1513">
        <f t="shared" si="11"/>
        <v>199.30848</v>
      </c>
      <c r="R38" s="1522"/>
    </row>
    <row r="39" spans="1:18" x14ac:dyDescent="0.3">
      <c r="B39" s="1510" t="s">
        <v>841</v>
      </c>
      <c r="C39" s="1535"/>
      <c r="D39" s="1511">
        <f t="shared" si="25"/>
        <v>0</v>
      </c>
      <c r="E39" s="1511">
        <f t="shared" si="26"/>
        <v>0</v>
      </c>
      <c r="F39" s="1511">
        <f t="shared" si="27"/>
        <v>150</v>
      </c>
      <c r="G39" s="1511">
        <f t="shared" si="28"/>
        <v>0</v>
      </c>
      <c r="H39" s="1519">
        <f t="shared" si="37"/>
        <v>0</v>
      </c>
      <c r="I39" s="1513">
        <f t="shared" si="30"/>
        <v>0</v>
      </c>
      <c r="J39" s="1513">
        <f t="shared" si="31"/>
        <v>0</v>
      </c>
      <c r="K39" s="1513">
        <f t="shared" si="32"/>
        <v>0</v>
      </c>
      <c r="L39" s="1514">
        <f t="shared" si="33"/>
        <v>349.30848000000003</v>
      </c>
      <c r="M39" s="1515" t="e">
        <f t="shared" si="34"/>
        <v>#DIV/0!</v>
      </c>
      <c r="N39" s="1516"/>
      <c r="O39" s="1517"/>
      <c r="P39" s="1517"/>
      <c r="Q39" s="1513">
        <f t="shared" si="11"/>
        <v>199.30848</v>
      </c>
      <c r="R39" s="1522"/>
    </row>
    <row r="40" spans="1:18" x14ac:dyDescent="0.3">
      <c r="B40" s="1510" t="s">
        <v>842</v>
      </c>
      <c r="C40" s="1535"/>
      <c r="D40" s="1511">
        <f t="shared" si="25"/>
        <v>0</v>
      </c>
      <c r="E40" s="1511">
        <f t="shared" si="26"/>
        <v>0</v>
      </c>
      <c r="F40" s="1511">
        <f t="shared" si="27"/>
        <v>150</v>
      </c>
      <c r="G40" s="1511">
        <f t="shared" si="28"/>
        <v>0</v>
      </c>
      <c r="H40" s="1519">
        <f t="shared" si="37"/>
        <v>0</v>
      </c>
      <c r="I40" s="1513">
        <f t="shared" si="30"/>
        <v>0</v>
      </c>
      <c r="J40" s="1513">
        <f t="shared" si="31"/>
        <v>0</v>
      </c>
      <c r="K40" s="1513">
        <f t="shared" si="32"/>
        <v>0</v>
      </c>
      <c r="L40" s="1514">
        <f t="shared" si="33"/>
        <v>349.30848000000003</v>
      </c>
      <c r="M40" s="1523" t="e">
        <f>(SUM(C40,I40:K40,D40:G40,H40)-C40)/C40</f>
        <v>#DIV/0!</v>
      </c>
      <c r="N40" s="1521"/>
      <c r="O40" s="1517"/>
      <c r="P40" s="1517"/>
      <c r="Q40" s="1513">
        <f t="shared" si="11"/>
        <v>199.30848</v>
      </c>
      <c r="R40" s="1522"/>
    </row>
    <row r="41" spans="1:18" x14ac:dyDescent="0.3">
      <c r="B41" s="1510" t="s">
        <v>251</v>
      </c>
      <c r="C41" s="1535"/>
      <c r="D41" s="1511">
        <f t="shared" si="25"/>
        <v>0</v>
      </c>
      <c r="E41" s="1511">
        <f t="shared" si="26"/>
        <v>0</v>
      </c>
      <c r="F41" s="1511">
        <f t="shared" si="27"/>
        <v>150</v>
      </c>
      <c r="G41" s="1511">
        <f t="shared" si="28"/>
        <v>0</v>
      </c>
      <c r="H41" s="1519">
        <f t="shared" si="37"/>
        <v>0</v>
      </c>
      <c r="I41" s="1513">
        <f t="shared" si="30"/>
        <v>0</v>
      </c>
      <c r="J41" s="1513">
        <f t="shared" si="31"/>
        <v>0</v>
      </c>
      <c r="K41" s="1513">
        <f t="shared" si="32"/>
        <v>0</v>
      </c>
      <c r="L41" s="1514">
        <f t="shared" si="33"/>
        <v>349.30848000000003</v>
      </c>
      <c r="M41" s="1515" t="e">
        <f t="shared" si="34"/>
        <v>#DIV/0!</v>
      </c>
      <c r="N41" s="1521"/>
      <c r="O41" s="1517"/>
      <c r="P41" s="1517"/>
      <c r="Q41" s="1513">
        <f t="shared" si="11"/>
        <v>199.30848</v>
      </c>
      <c r="R41" s="1522"/>
    </row>
    <row r="42" spans="1:18" x14ac:dyDescent="0.3">
      <c r="B42" s="1510" t="s">
        <v>252</v>
      </c>
      <c r="C42" s="1535"/>
      <c r="D42" s="1511">
        <f t="shared" si="25"/>
        <v>0</v>
      </c>
      <c r="E42" s="1511">
        <f t="shared" si="26"/>
        <v>0</v>
      </c>
      <c r="F42" s="1511">
        <f t="shared" si="27"/>
        <v>150</v>
      </c>
      <c r="G42" s="1511">
        <f t="shared" si="28"/>
        <v>0</v>
      </c>
      <c r="H42" s="1519">
        <f t="shared" si="37"/>
        <v>0</v>
      </c>
      <c r="I42" s="1513">
        <f t="shared" si="30"/>
        <v>0</v>
      </c>
      <c r="J42" s="1513">
        <f t="shared" si="31"/>
        <v>0</v>
      </c>
      <c r="K42" s="1513">
        <f t="shared" si="32"/>
        <v>0</v>
      </c>
      <c r="L42" s="1514">
        <f t="shared" si="33"/>
        <v>349.30848000000003</v>
      </c>
      <c r="M42" s="1515" t="e">
        <f t="shared" si="34"/>
        <v>#DIV/0!</v>
      </c>
      <c r="N42" s="1521"/>
      <c r="O42" s="1517"/>
      <c r="P42" s="1517"/>
      <c r="Q42" s="1513">
        <f t="shared" si="11"/>
        <v>199.30848</v>
      </c>
      <c r="R42" s="1522"/>
    </row>
    <row r="43" spans="1:18" x14ac:dyDescent="0.3">
      <c r="H43" s="1524"/>
      <c r="L43" s="1521"/>
      <c r="M43" s="1525"/>
      <c r="N43" s="1521"/>
      <c r="O43" s="1521"/>
      <c r="P43" s="1521"/>
      <c r="Q43" s="1490"/>
      <c r="R43" s="1522"/>
    </row>
    <row r="44" spans="1:18" x14ac:dyDescent="0.3">
      <c r="B44" s="1338" t="s">
        <v>843</v>
      </c>
      <c r="H44" s="1524"/>
      <c r="L44" s="1521"/>
      <c r="M44" s="1525"/>
      <c r="N44" s="1521"/>
      <c r="O44" s="1521"/>
      <c r="P44" s="1521"/>
      <c r="Q44" s="1490"/>
      <c r="R44" s="1522"/>
    </row>
    <row r="45" spans="1:18" x14ac:dyDescent="0.3">
      <c r="A45" s="1526">
        <v>0.15</v>
      </c>
      <c r="B45" s="1510" t="s">
        <v>204</v>
      </c>
      <c r="C45" s="1535">
        <f>C26*(1+$A$45)</f>
        <v>26449.999999999996</v>
      </c>
      <c r="D45" s="1511">
        <f t="shared" ref="D45:D46" si="38">IF(C45*$D$4&lt;$D$3,C45*$D$4,$D$3)</f>
        <v>2645</v>
      </c>
      <c r="E45" s="1511">
        <f t="shared" ref="E45:E59" si="39">C45*$E$4</f>
        <v>7588.5049999999983</v>
      </c>
      <c r="F45" s="1511">
        <f t="shared" si="27"/>
        <v>150</v>
      </c>
      <c r="G45" s="1511">
        <f t="shared" ref="G45:G59" si="40">C45*$G$4</f>
        <v>793.49999999999989</v>
      </c>
      <c r="H45" s="1513">
        <f t="shared" ref="H45" si="41">(((C45*12)/365)*15)/12</f>
        <v>1086.9863013698628</v>
      </c>
      <c r="I45" s="1513">
        <f t="shared" ref="I45" si="42">(((C45*12)/365)*12*$I$1)/12</f>
        <v>217.39726027397259</v>
      </c>
      <c r="J45" s="1513">
        <f t="shared" ref="J45:J59" si="43">(((C45*12)/365)*6*$J$4*$J$2)/12</f>
        <v>434.79452054794518</v>
      </c>
      <c r="K45" s="1513">
        <f t="shared" si="32"/>
        <v>471.02739726027386</v>
      </c>
      <c r="L45" s="1514">
        <f t="shared" ref="L45:L59" si="44">SUM(C45:G45,H45,I45,J45:K45)</f>
        <v>39837.210479452056</v>
      </c>
      <c r="M45" s="1515">
        <f t="shared" ref="M45:M56" si="45">(SUM(C45,I45:K45,D45:G45,H45)-C45)/C45</f>
        <v>0.50613272134034237</v>
      </c>
      <c r="N45" s="1516">
        <f>L45*12</f>
        <v>478046.52575342468</v>
      </c>
      <c r="O45" s="1517"/>
      <c r="P45" s="1517"/>
      <c r="Q45" s="1513">
        <f t="shared" ref="Q45:Q59" si="46">11.4*17.4832</f>
        <v>199.30848</v>
      </c>
    </row>
    <row r="46" spans="1:18" x14ac:dyDescent="0.3">
      <c r="A46" s="1526">
        <v>0.15</v>
      </c>
      <c r="B46" s="1510" t="s">
        <v>267</v>
      </c>
      <c r="C46" s="1535">
        <f>C45*(1+$A$46)</f>
        <v>30417.499999999993</v>
      </c>
      <c r="D46" s="1511">
        <f t="shared" si="38"/>
        <v>3041.7499999999995</v>
      </c>
      <c r="E46" s="1511">
        <f t="shared" si="39"/>
        <v>8726.7807499999981</v>
      </c>
      <c r="F46" s="1511">
        <f t="shared" si="27"/>
        <v>150</v>
      </c>
      <c r="G46" s="1511">
        <f t="shared" si="40"/>
        <v>912.52499999999975</v>
      </c>
      <c r="H46" s="1519">
        <f>C46/12</f>
        <v>2534.7916666666661</v>
      </c>
      <c r="I46" s="1520">
        <f>(((C46*12)/365)*16*$I$1)/12</f>
        <v>333.34246575342456</v>
      </c>
      <c r="J46" s="1513">
        <f t="shared" si="43"/>
        <v>500.01369863013684</v>
      </c>
      <c r="K46" s="1513">
        <f t="shared" si="32"/>
        <v>541.68150684931493</v>
      </c>
      <c r="L46" s="1514">
        <f t="shared" si="44"/>
        <v>47158.385087899536</v>
      </c>
      <c r="M46" s="1515">
        <f t="shared" si="45"/>
        <v>0.55037018452862796</v>
      </c>
      <c r="N46" s="1516">
        <f t="shared" ref="N46:N47" si="47">L46*12</f>
        <v>565900.62105479441</v>
      </c>
      <c r="O46" s="1517"/>
      <c r="P46" s="1517"/>
      <c r="Q46" s="1513">
        <f t="shared" si="46"/>
        <v>199.30848</v>
      </c>
    </row>
    <row r="47" spans="1:18" x14ac:dyDescent="0.3">
      <c r="B47" s="1510" t="s">
        <v>205</v>
      </c>
      <c r="C47" s="1535">
        <v>55000</v>
      </c>
      <c r="D47" s="1511">
        <f>IF(C47*$D$4&lt;$D$3,C47*$D$4,$D$3)</f>
        <v>3300</v>
      </c>
      <c r="E47" s="1511">
        <f t="shared" si="39"/>
        <v>15779.5</v>
      </c>
      <c r="F47" s="1511">
        <f t="shared" si="27"/>
        <v>150</v>
      </c>
      <c r="G47" s="1511">
        <f t="shared" si="40"/>
        <v>1650</v>
      </c>
      <c r="H47" s="1519">
        <f t="shared" ref="H47:H50" si="48">C47/12</f>
        <v>4583.333333333333</v>
      </c>
      <c r="I47" s="1520">
        <f>(((C47*12)/365)*16*$I$1)/12</f>
        <v>602.7397260273973</v>
      </c>
      <c r="J47" s="1513">
        <f t="shared" si="43"/>
        <v>904.10958904109577</v>
      </c>
      <c r="K47" s="1513">
        <f t="shared" si="32"/>
        <v>979.45205479452045</v>
      </c>
      <c r="L47" s="1514">
        <f t="shared" si="44"/>
        <v>82949.134703196338</v>
      </c>
      <c r="M47" s="1515">
        <f t="shared" si="45"/>
        <v>0.50816608551266074</v>
      </c>
      <c r="N47" s="1516">
        <f t="shared" si="47"/>
        <v>995389.616438356</v>
      </c>
      <c r="O47" s="1517"/>
      <c r="P47" s="1517"/>
      <c r="Q47" s="1513">
        <f t="shared" si="46"/>
        <v>199.30848</v>
      </c>
    </row>
    <row r="48" spans="1:18" x14ac:dyDescent="0.3">
      <c r="B48" s="1510" t="s">
        <v>250</v>
      </c>
      <c r="C48" s="1535">
        <v>75000</v>
      </c>
      <c r="D48" s="1511">
        <f t="shared" ref="D48:D59" si="49">IF(C48*$D$4&lt;$D$3,C48*$D$4,$D$3)</f>
        <v>3300</v>
      </c>
      <c r="E48" s="1511">
        <f t="shared" si="39"/>
        <v>21517.5</v>
      </c>
      <c r="F48" s="1511">
        <f t="shared" si="27"/>
        <v>150</v>
      </c>
      <c r="G48" s="1511">
        <f t="shared" si="40"/>
        <v>2250</v>
      </c>
      <c r="H48" s="1519">
        <f t="shared" si="48"/>
        <v>6250</v>
      </c>
      <c r="I48" s="1513">
        <f>(((C48*12)/365)*16*$I$1)/12</f>
        <v>821.91780821917803</v>
      </c>
      <c r="J48" s="1513">
        <f t="shared" si="43"/>
        <v>1232.8767123287671</v>
      </c>
      <c r="K48" s="1513">
        <f t="shared" si="32"/>
        <v>1335.6164383561643</v>
      </c>
      <c r="L48" s="1514">
        <f t="shared" si="44"/>
        <v>111857.91095890412</v>
      </c>
      <c r="M48" s="1515">
        <f t="shared" si="45"/>
        <v>0.49143881278538826</v>
      </c>
      <c r="N48" s="1516"/>
      <c r="O48" s="1517"/>
      <c r="P48" s="1517"/>
      <c r="Q48" s="1513">
        <f t="shared" si="46"/>
        <v>199.30848</v>
      </c>
    </row>
    <row r="49" spans="2:18" x14ac:dyDescent="0.3">
      <c r="B49" s="1510" t="s">
        <v>371</v>
      </c>
      <c r="C49" s="1535">
        <v>90000</v>
      </c>
      <c r="D49" s="1511">
        <f t="shared" si="49"/>
        <v>3300</v>
      </c>
      <c r="E49" s="1511">
        <f t="shared" si="39"/>
        <v>25821</v>
      </c>
      <c r="F49" s="1511">
        <f t="shared" si="27"/>
        <v>150</v>
      </c>
      <c r="G49" s="1511">
        <f t="shared" si="40"/>
        <v>2700</v>
      </c>
      <c r="H49" s="1519">
        <f t="shared" si="48"/>
        <v>7500</v>
      </c>
      <c r="I49" s="1513">
        <f>(((C49*12)/365)*18*$I$1)/12</f>
        <v>1109.5890410958905</v>
      </c>
      <c r="J49" s="1513">
        <f t="shared" si="43"/>
        <v>1479.4520547945206</v>
      </c>
      <c r="K49" s="1513">
        <f t="shared" si="32"/>
        <v>1602.7397260273974</v>
      </c>
      <c r="L49" s="1514">
        <f t="shared" si="44"/>
        <v>133662.78082191781</v>
      </c>
      <c r="M49" s="1515">
        <f t="shared" si="45"/>
        <v>0.48514200913242012</v>
      </c>
      <c r="N49" s="1516"/>
      <c r="O49" s="1517"/>
      <c r="P49" s="1517"/>
      <c r="Q49" s="1513">
        <f t="shared" si="46"/>
        <v>199.30848</v>
      </c>
    </row>
    <row r="50" spans="2:18" x14ac:dyDescent="0.3">
      <c r="B50" s="1510" t="s">
        <v>372</v>
      </c>
      <c r="C50" s="1535">
        <v>120000</v>
      </c>
      <c r="D50" s="1511">
        <f t="shared" si="49"/>
        <v>3300</v>
      </c>
      <c r="E50" s="1511">
        <f t="shared" si="39"/>
        <v>34428</v>
      </c>
      <c r="F50" s="1511">
        <f t="shared" si="27"/>
        <v>150</v>
      </c>
      <c r="G50" s="1511">
        <f t="shared" si="40"/>
        <v>3600</v>
      </c>
      <c r="H50" s="1519">
        <f t="shared" si="48"/>
        <v>10000</v>
      </c>
      <c r="I50" s="1513">
        <f>(((C50*12)/365)*18*$I$1)/12</f>
        <v>1479.4520547945206</v>
      </c>
      <c r="J50" s="1513">
        <f t="shared" si="43"/>
        <v>1972.6027397260275</v>
      </c>
      <c r="K50" s="1513">
        <f t="shared" si="32"/>
        <v>2136.9863013698632</v>
      </c>
      <c r="L50" s="1514">
        <f t="shared" si="44"/>
        <v>177067.0410958904</v>
      </c>
      <c r="M50" s="1515">
        <f t="shared" si="45"/>
        <v>0.47555867579908662</v>
      </c>
      <c r="N50" s="1516"/>
      <c r="O50" s="1517"/>
      <c r="P50" s="1517"/>
      <c r="Q50" s="1513">
        <f t="shared" si="46"/>
        <v>199.30848</v>
      </c>
    </row>
    <row r="51" spans="2:18" x14ac:dyDescent="0.3">
      <c r="B51" s="1510" t="s">
        <v>47</v>
      </c>
      <c r="C51" s="1535">
        <f>C45</f>
        <v>26449.999999999996</v>
      </c>
      <c r="D51" s="1511">
        <f t="shared" si="49"/>
        <v>2645</v>
      </c>
      <c r="E51" s="1511">
        <f t="shared" si="39"/>
        <v>7588.5049999999983</v>
      </c>
      <c r="F51" s="1511">
        <f t="shared" si="27"/>
        <v>150</v>
      </c>
      <c r="G51" s="1511">
        <f t="shared" si="40"/>
        <v>793.49999999999989</v>
      </c>
      <c r="H51" s="1513">
        <f t="shared" ref="H51:H53" si="50">(((C51*12)/365)*15)/12</f>
        <v>1086.9863013698628</v>
      </c>
      <c r="I51" s="1513">
        <f t="shared" ref="I51:I54" si="51">(((C51*12)/365)*12*$I$1)/12</f>
        <v>217.39726027397259</v>
      </c>
      <c r="J51" s="1513">
        <f t="shared" si="43"/>
        <v>434.79452054794518</v>
      </c>
      <c r="K51" s="1513">
        <f t="shared" si="32"/>
        <v>471.02739726027386</v>
      </c>
      <c r="L51" s="1514">
        <f t="shared" si="44"/>
        <v>39837.210479452056</v>
      </c>
      <c r="M51" s="1515">
        <f t="shared" si="45"/>
        <v>0.50613272134034237</v>
      </c>
      <c r="N51" s="1516"/>
      <c r="O51" s="1517"/>
      <c r="P51" s="1517"/>
      <c r="Q51" s="1513">
        <f t="shared" si="46"/>
        <v>199.30848</v>
      </c>
    </row>
    <row r="52" spans="2:18" x14ac:dyDescent="0.3">
      <c r="B52" s="1510" t="s">
        <v>46</v>
      </c>
      <c r="C52" s="1535">
        <f>C45</f>
        <v>26449.999999999996</v>
      </c>
      <c r="D52" s="1511">
        <f t="shared" si="49"/>
        <v>2645</v>
      </c>
      <c r="E52" s="1511">
        <f t="shared" si="39"/>
        <v>7588.5049999999983</v>
      </c>
      <c r="F52" s="1511">
        <f t="shared" si="27"/>
        <v>150</v>
      </c>
      <c r="G52" s="1511">
        <f t="shared" si="40"/>
        <v>793.49999999999989</v>
      </c>
      <c r="H52" s="1513">
        <f t="shared" si="50"/>
        <v>1086.9863013698628</v>
      </c>
      <c r="I52" s="1513">
        <f t="shared" si="51"/>
        <v>217.39726027397259</v>
      </c>
      <c r="J52" s="1513">
        <f t="shared" si="43"/>
        <v>434.79452054794518</v>
      </c>
      <c r="K52" s="1513">
        <f t="shared" si="32"/>
        <v>471.02739726027386</v>
      </c>
      <c r="L52" s="1514">
        <f t="shared" si="44"/>
        <v>39837.210479452056</v>
      </c>
      <c r="M52" s="1515">
        <f t="shared" si="45"/>
        <v>0.50613272134034237</v>
      </c>
      <c r="N52" s="1516"/>
      <c r="O52" s="1517"/>
      <c r="P52" s="1517"/>
      <c r="Q52" s="1513">
        <f t="shared" si="46"/>
        <v>199.30848</v>
      </c>
    </row>
    <row r="53" spans="2:18" x14ac:dyDescent="0.3">
      <c r="B53" s="1510" t="s">
        <v>206</v>
      </c>
      <c r="C53" s="1535">
        <f>C45</f>
        <v>26449.999999999996</v>
      </c>
      <c r="D53" s="1511">
        <f t="shared" si="49"/>
        <v>2645</v>
      </c>
      <c r="E53" s="1511">
        <f t="shared" si="39"/>
        <v>7588.5049999999983</v>
      </c>
      <c r="F53" s="1511">
        <f t="shared" si="27"/>
        <v>150</v>
      </c>
      <c r="G53" s="1511">
        <f t="shared" si="40"/>
        <v>793.49999999999989</v>
      </c>
      <c r="H53" s="1513">
        <f t="shared" si="50"/>
        <v>1086.9863013698628</v>
      </c>
      <c r="I53" s="1513">
        <f t="shared" si="51"/>
        <v>217.39726027397259</v>
      </c>
      <c r="J53" s="1513">
        <f t="shared" si="43"/>
        <v>434.79452054794518</v>
      </c>
      <c r="K53" s="1513">
        <f t="shared" si="32"/>
        <v>471.02739726027386</v>
      </c>
      <c r="L53" s="1514">
        <f t="shared" si="44"/>
        <v>39837.210479452056</v>
      </c>
      <c r="M53" s="1515">
        <f t="shared" si="45"/>
        <v>0.50613272134034237</v>
      </c>
      <c r="N53" s="1516"/>
      <c r="O53" s="1517"/>
      <c r="P53" s="1517"/>
      <c r="Q53" s="1513">
        <f t="shared" si="46"/>
        <v>199.30848</v>
      </c>
      <c r="R53" s="1521"/>
    </row>
    <row r="54" spans="2:18" x14ac:dyDescent="0.3">
      <c r="B54" s="1510" t="s">
        <v>376</v>
      </c>
      <c r="C54" s="1535">
        <v>75000</v>
      </c>
      <c r="D54" s="1511">
        <f t="shared" si="49"/>
        <v>3300</v>
      </c>
      <c r="E54" s="1511">
        <f t="shared" si="39"/>
        <v>21517.5</v>
      </c>
      <c r="F54" s="1511">
        <f t="shared" si="27"/>
        <v>150</v>
      </c>
      <c r="G54" s="1511">
        <f t="shared" si="40"/>
        <v>2250</v>
      </c>
      <c r="H54" s="1519">
        <f t="shared" ref="H54:H59" si="52">C54/12</f>
        <v>6250</v>
      </c>
      <c r="I54" s="1513">
        <f t="shared" si="51"/>
        <v>616.43835616438355</v>
      </c>
      <c r="J54" s="1513">
        <f t="shared" si="43"/>
        <v>1232.8767123287671</v>
      </c>
      <c r="K54" s="1513">
        <f t="shared" si="32"/>
        <v>1335.6164383561643</v>
      </c>
      <c r="L54" s="1514">
        <f t="shared" si="44"/>
        <v>111652.43150684932</v>
      </c>
      <c r="M54" s="1515">
        <f t="shared" si="45"/>
        <v>0.4886990867579909</v>
      </c>
      <c r="N54" s="1516"/>
      <c r="O54" s="1517"/>
      <c r="P54" s="1517"/>
      <c r="Q54" s="1513">
        <f t="shared" si="46"/>
        <v>199.30848</v>
      </c>
      <c r="R54" s="1522"/>
    </row>
    <row r="55" spans="2:18" x14ac:dyDescent="0.3">
      <c r="B55" s="1510" t="s">
        <v>840</v>
      </c>
      <c r="C55" s="1535">
        <v>55000</v>
      </c>
      <c r="D55" s="1511">
        <f t="shared" si="49"/>
        <v>3300</v>
      </c>
      <c r="E55" s="1511">
        <f t="shared" si="39"/>
        <v>15779.5</v>
      </c>
      <c r="F55" s="1511">
        <f t="shared" si="27"/>
        <v>150</v>
      </c>
      <c r="G55" s="1511">
        <f t="shared" si="40"/>
        <v>1650</v>
      </c>
      <c r="H55" s="1519">
        <f t="shared" si="52"/>
        <v>4583.333333333333</v>
      </c>
      <c r="I55" s="1520">
        <f>(((C55*12)/365)*16*$I$1)/12</f>
        <v>602.7397260273973</v>
      </c>
      <c r="J55" s="1513">
        <f t="shared" si="43"/>
        <v>904.10958904109577</v>
      </c>
      <c r="K55" s="1513">
        <f t="shared" si="32"/>
        <v>979.45205479452045</v>
      </c>
      <c r="L55" s="1514">
        <f t="shared" si="44"/>
        <v>82949.134703196338</v>
      </c>
      <c r="M55" s="1515">
        <f t="shared" si="45"/>
        <v>0.50816608551266074</v>
      </c>
      <c r="N55" s="1516"/>
      <c r="O55" s="1517"/>
      <c r="P55" s="1517"/>
      <c r="Q55" s="1513">
        <f t="shared" si="46"/>
        <v>199.30848</v>
      </c>
      <c r="R55" s="1522"/>
    </row>
    <row r="56" spans="2:18" x14ac:dyDescent="0.3">
      <c r="B56" s="1510" t="s">
        <v>841</v>
      </c>
      <c r="C56" s="1535"/>
      <c r="D56" s="1511">
        <f t="shared" si="49"/>
        <v>0</v>
      </c>
      <c r="E56" s="1511">
        <f t="shared" si="39"/>
        <v>0</v>
      </c>
      <c r="F56" s="1511">
        <f t="shared" si="27"/>
        <v>150</v>
      </c>
      <c r="G56" s="1511">
        <f t="shared" si="40"/>
        <v>0</v>
      </c>
      <c r="H56" s="1519">
        <f t="shared" si="52"/>
        <v>0</v>
      </c>
      <c r="I56" s="1513">
        <f t="shared" ref="I56:I59" si="53">(((C56*12)/365)*12*$I$1)/12</f>
        <v>0</v>
      </c>
      <c r="J56" s="1513">
        <f t="shared" si="43"/>
        <v>0</v>
      </c>
      <c r="K56" s="1513">
        <f t="shared" si="32"/>
        <v>0</v>
      </c>
      <c r="L56" s="1514">
        <f t="shared" si="44"/>
        <v>150</v>
      </c>
      <c r="M56" s="1515" t="e">
        <f t="shared" si="45"/>
        <v>#DIV/0!</v>
      </c>
      <c r="N56" s="1516"/>
      <c r="O56" s="1517"/>
      <c r="P56" s="1517"/>
      <c r="Q56" s="1513">
        <f t="shared" si="46"/>
        <v>199.30848</v>
      </c>
      <c r="R56" s="1522"/>
    </row>
    <row r="57" spans="2:18" x14ac:dyDescent="0.3">
      <c r="B57" s="1510" t="s">
        <v>842</v>
      </c>
      <c r="C57" s="1535"/>
      <c r="D57" s="1511">
        <f t="shared" si="49"/>
        <v>0</v>
      </c>
      <c r="E57" s="1511">
        <f t="shared" si="39"/>
        <v>0</v>
      </c>
      <c r="F57" s="1511">
        <f t="shared" si="27"/>
        <v>150</v>
      </c>
      <c r="G57" s="1511">
        <f t="shared" si="40"/>
        <v>0</v>
      </c>
      <c r="H57" s="1519">
        <f t="shared" si="52"/>
        <v>0</v>
      </c>
      <c r="I57" s="1513">
        <f t="shared" si="53"/>
        <v>0</v>
      </c>
      <c r="J57" s="1513">
        <f t="shared" si="43"/>
        <v>0</v>
      </c>
      <c r="K57" s="1513">
        <f t="shared" si="32"/>
        <v>0</v>
      </c>
      <c r="L57" s="1514">
        <f t="shared" si="44"/>
        <v>150</v>
      </c>
      <c r="M57" s="1523" t="e">
        <f>(SUM(C57,I57:K57,D57:G57,H57)-C57)/C57</f>
        <v>#DIV/0!</v>
      </c>
      <c r="N57" s="1521"/>
      <c r="O57" s="1517"/>
      <c r="P57" s="1517"/>
      <c r="Q57" s="1513">
        <f t="shared" si="46"/>
        <v>199.30848</v>
      </c>
      <c r="R57" s="1522"/>
    </row>
    <row r="58" spans="2:18" x14ac:dyDescent="0.3">
      <c r="B58" s="1510" t="s">
        <v>251</v>
      </c>
      <c r="C58" s="1535"/>
      <c r="D58" s="1511">
        <f t="shared" si="49"/>
        <v>0</v>
      </c>
      <c r="E58" s="1511">
        <f t="shared" si="39"/>
        <v>0</v>
      </c>
      <c r="F58" s="1511">
        <f t="shared" si="27"/>
        <v>150</v>
      </c>
      <c r="G58" s="1511">
        <f t="shared" si="40"/>
        <v>0</v>
      </c>
      <c r="H58" s="1519">
        <f t="shared" si="52"/>
        <v>0</v>
      </c>
      <c r="I58" s="1513">
        <f t="shared" si="53"/>
        <v>0</v>
      </c>
      <c r="J58" s="1513">
        <f t="shared" si="43"/>
        <v>0</v>
      </c>
      <c r="K58" s="1513">
        <f t="shared" si="32"/>
        <v>0</v>
      </c>
      <c r="L58" s="1514">
        <f t="shared" si="44"/>
        <v>150</v>
      </c>
      <c r="M58" s="1515" t="e">
        <f t="shared" ref="M58:M59" si="54">(SUM(C58,I58:K58,D58:G58,H58)-C58)/C58</f>
        <v>#DIV/0!</v>
      </c>
      <c r="N58" s="1521"/>
      <c r="O58" s="1517"/>
      <c r="P58" s="1517"/>
      <c r="Q58" s="1513">
        <f t="shared" si="46"/>
        <v>199.30848</v>
      </c>
      <c r="R58" s="1522"/>
    </row>
    <row r="59" spans="2:18" x14ac:dyDescent="0.3">
      <c r="B59" s="1510" t="s">
        <v>252</v>
      </c>
      <c r="C59" s="1535"/>
      <c r="D59" s="1511">
        <f t="shared" si="49"/>
        <v>0</v>
      </c>
      <c r="E59" s="1511">
        <f t="shared" si="39"/>
        <v>0</v>
      </c>
      <c r="F59" s="1511">
        <f t="shared" si="27"/>
        <v>150</v>
      </c>
      <c r="G59" s="1511">
        <f t="shared" si="40"/>
        <v>0</v>
      </c>
      <c r="H59" s="1519">
        <f t="shared" si="52"/>
        <v>0</v>
      </c>
      <c r="I59" s="1513">
        <f t="shared" si="53"/>
        <v>0</v>
      </c>
      <c r="J59" s="1513">
        <f t="shared" si="43"/>
        <v>0</v>
      </c>
      <c r="K59" s="1513">
        <f t="shared" si="32"/>
        <v>0</v>
      </c>
      <c r="L59" s="1514">
        <f t="shared" si="44"/>
        <v>150</v>
      </c>
      <c r="M59" s="1515" t="e">
        <f t="shared" si="54"/>
        <v>#DIV/0!</v>
      </c>
      <c r="N59" s="1521"/>
      <c r="O59" s="1517"/>
      <c r="P59" s="1517"/>
      <c r="Q59" s="1513">
        <f t="shared" si="46"/>
        <v>199.30848</v>
      </c>
      <c r="R59" s="1522"/>
    </row>
    <row r="60" spans="2:18" x14ac:dyDescent="0.3">
      <c r="C60" s="1527"/>
      <c r="D60" s="1527"/>
      <c r="E60" s="1527"/>
      <c r="F60" s="1527"/>
      <c r="L60" s="1521"/>
      <c r="M60" s="1525"/>
      <c r="N60" s="1521"/>
      <c r="O60" s="1521"/>
      <c r="R60" s="1528"/>
    </row>
    <row r="61" spans="2:18" x14ac:dyDescent="0.3">
      <c r="C61" s="1527"/>
      <c r="D61" s="1527"/>
      <c r="E61" s="1527"/>
      <c r="F61" s="1527"/>
      <c r="L61" s="1521"/>
      <c r="M61" s="1525"/>
      <c r="N61" s="1521"/>
      <c r="O61" s="1521"/>
      <c r="R61" s="1528"/>
    </row>
    <row r="62" spans="2:18" x14ac:dyDescent="0.3">
      <c r="C62" s="1527"/>
      <c r="D62" s="1527"/>
      <c r="E62" s="1527"/>
      <c r="F62" s="1527"/>
      <c r="L62" s="1521"/>
      <c r="M62" s="1525"/>
      <c r="N62" s="1521"/>
      <c r="O62" s="1521"/>
      <c r="R62" s="1528"/>
    </row>
    <row r="63" spans="2:18" x14ac:dyDescent="0.3">
      <c r="C63" s="1527"/>
      <c r="D63" s="1527"/>
      <c r="E63" s="1527"/>
      <c r="F63" s="1527"/>
      <c r="L63" s="1521"/>
      <c r="M63" s="1525"/>
      <c r="N63" s="1521"/>
      <c r="O63" s="1521"/>
      <c r="R63" s="1528"/>
    </row>
    <row r="64" spans="2:18" x14ac:dyDescent="0.3">
      <c r="C64" s="1527"/>
      <c r="D64" s="1527"/>
      <c r="E64" s="1527"/>
      <c r="F64" s="1527"/>
      <c r="L64" s="1521"/>
      <c r="M64" s="1525"/>
      <c r="N64" s="1521"/>
      <c r="O64" s="1521"/>
      <c r="R64" s="1528"/>
    </row>
    <row r="65" spans="1:23" x14ac:dyDescent="0.3">
      <c r="C65" s="1527"/>
      <c r="D65" s="1527"/>
      <c r="E65" s="1527"/>
      <c r="F65" s="1527"/>
      <c r="L65" s="1521"/>
      <c r="M65" s="1525"/>
      <c r="N65" s="1521"/>
      <c r="O65" s="1521"/>
      <c r="R65" s="1528"/>
    </row>
    <row r="66" spans="1:23" x14ac:dyDescent="0.3">
      <c r="C66" s="1527"/>
      <c r="D66" s="1527"/>
      <c r="E66" s="1527"/>
      <c r="F66" s="1527"/>
      <c r="L66" s="1521"/>
      <c r="M66" s="1525"/>
      <c r="N66" s="1521"/>
      <c r="O66" s="1521"/>
      <c r="R66" s="1528"/>
    </row>
    <row r="67" spans="1:23" x14ac:dyDescent="0.3">
      <c r="C67" s="1527"/>
      <c r="D67" s="1527"/>
      <c r="E67" s="1527"/>
      <c r="F67" s="1527"/>
      <c r="L67" s="1521"/>
      <c r="M67" s="1525"/>
      <c r="N67" s="1521"/>
      <c r="O67" s="1521"/>
      <c r="R67" s="1528"/>
    </row>
    <row r="68" spans="1:23" x14ac:dyDescent="0.3">
      <c r="C68" s="1527"/>
      <c r="D68" s="1527"/>
      <c r="E68" s="1527"/>
      <c r="F68" s="1527"/>
      <c r="L68" s="1521"/>
      <c r="M68" s="1525"/>
      <c r="N68" s="1521"/>
      <c r="O68" s="1521"/>
      <c r="R68" s="1528"/>
    </row>
    <row r="69" spans="1:23" x14ac:dyDescent="0.3">
      <c r="C69" s="1527"/>
      <c r="D69" s="1527"/>
      <c r="E69" s="1527"/>
      <c r="F69" s="1527"/>
      <c r="L69" s="1521"/>
      <c r="M69" s="1525"/>
      <c r="N69" s="1521"/>
      <c r="O69" s="1521"/>
      <c r="R69" s="1528"/>
    </row>
    <row r="70" spans="1:23" x14ac:dyDescent="0.3">
      <c r="C70" s="1527"/>
      <c r="D70" s="1527"/>
      <c r="E70" s="1527"/>
      <c r="F70" s="1527"/>
      <c r="L70" s="1521"/>
      <c r="M70" s="1525"/>
      <c r="N70" s="1521"/>
      <c r="O70" s="1521"/>
      <c r="R70" s="1528"/>
    </row>
    <row r="71" spans="1:23" x14ac:dyDescent="0.3">
      <c r="C71" s="1527"/>
      <c r="D71" s="1527"/>
      <c r="E71" s="1527"/>
      <c r="F71" s="1527"/>
      <c r="L71" s="1521"/>
      <c r="M71" s="1525"/>
      <c r="N71" s="1521"/>
      <c r="O71" s="1521"/>
      <c r="R71" s="1528"/>
    </row>
    <row r="72" spans="1:23" x14ac:dyDescent="0.3">
      <c r="C72" s="1527"/>
      <c r="D72" s="1527"/>
      <c r="E72" s="1527"/>
      <c r="F72" s="1527"/>
      <c r="L72" s="1521"/>
      <c r="M72" s="1525"/>
      <c r="N72" s="1521"/>
      <c r="O72" s="1521"/>
      <c r="R72" s="1528"/>
    </row>
    <row r="73" spans="1:23" ht="13" customHeight="1" x14ac:dyDescent="0.3">
      <c r="B73" s="1529" t="s">
        <v>844</v>
      </c>
      <c r="C73" s="1496" t="s">
        <v>845</v>
      </c>
      <c r="D73" s="1496" t="s">
        <v>846</v>
      </c>
      <c r="L73" s="1521"/>
      <c r="M73" s="1525"/>
      <c r="N73" s="1521"/>
      <c r="O73" s="1521"/>
      <c r="Q73" s="1509"/>
    </row>
    <row r="74" spans="1:23" ht="24" customHeight="1" x14ac:dyDescent="0.3">
      <c r="B74" s="1529" t="s">
        <v>847</v>
      </c>
      <c r="C74" s="1616" t="s">
        <v>848</v>
      </c>
      <c r="D74" s="1617"/>
    </row>
    <row r="75" spans="1:23" ht="111.65" customHeight="1" x14ac:dyDescent="0.3">
      <c r="B75" s="1529" t="s">
        <v>849</v>
      </c>
      <c r="C75" s="1403" t="s">
        <v>850</v>
      </c>
      <c r="D75" s="1403" t="s">
        <v>851</v>
      </c>
    </row>
    <row r="76" spans="1:23" s="1490" customFormat="1" ht="52" x14ac:dyDescent="0.3">
      <c r="A76" s="1335"/>
      <c r="B76" s="1529" t="s">
        <v>852</v>
      </c>
      <c r="C76" s="1530" t="s">
        <v>853</v>
      </c>
      <c r="D76" s="1403" t="s">
        <v>854</v>
      </c>
      <c r="E76" s="1328"/>
      <c r="F76" s="1328"/>
      <c r="G76" s="1328"/>
      <c r="L76" s="1328"/>
      <c r="M76" s="1328"/>
      <c r="N76" s="1328"/>
      <c r="O76" s="1328"/>
      <c r="P76" s="1328"/>
      <c r="Q76" s="1328"/>
      <c r="R76" s="1328"/>
      <c r="S76" s="1328"/>
      <c r="T76" s="1328"/>
      <c r="U76" s="1328"/>
      <c r="V76" s="1328"/>
      <c r="W76" s="1328"/>
    </row>
    <row r="77" spans="1:23" s="1490" customFormat="1" ht="36" customHeight="1" x14ac:dyDescent="0.3">
      <c r="A77" s="1335"/>
      <c r="B77" s="1529" t="s">
        <v>855</v>
      </c>
      <c r="C77" s="1616" t="s">
        <v>856</v>
      </c>
      <c r="D77" s="1617"/>
      <c r="E77" s="1328"/>
      <c r="F77" s="1328"/>
      <c r="G77" s="1328"/>
      <c r="L77" s="1328"/>
      <c r="M77" s="1328"/>
      <c r="N77" s="1328"/>
      <c r="O77" s="1328"/>
      <c r="P77" s="1328"/>
      <c r="Q77" s="1328"/>
      <c r="R77" s="1328"/>
      <c r="S77" s="1328"/>
      <c r="T77" s="1328"/>
      <c r="U77" s="1328"/>
      <c r="V77" s="1328"/>
      <c r="W77" s="1328"/>
    </row>
    <row r="78" spans="1:23" s="1490" customFormat="1" x14ac:dyDescent="0.3">
      <c r="A78" s="1335"/>
      <c r="B78" s="1328"/>
      <c r="C78" s="1328"/>
      <c r="D78" s="1328"/>
      <c r="E78" s="1328"/>
      <c r="F78" s="1328"/>
      <c r="G78" s="1328"/>
      <c r="H78" s="1531"/>
      <c r="L78" s="1328"/>
      <c r="M78" s="1328"/>
      <c r="N78" s="1328"/>
      <c r="O78" s="1328"/>
      <c r="P78" s="1328"/>
      <c r="Q78" s="1328"/>
      <c r="R78" s="1328"/>
      <c r="S78" s="1328"/>
      <c r="T78" s="1328"/>
      <c r="U78" s="1328"/>
      <c r="V78" s="1328"/>
      <c r="W78" s="1328"/>
    </row>
    <row r="79" spans="1:23" s="1490" customFormat="1" x14ac:dyDescent="0.3">
      <c r="A79" s="1335"/>
      <c r="B79" s="1606" t="s">
        <v>857</v>
      </c>
      <c r="C79" s="1607"/>
      <c r="D79" s="1328"/>
      <c r="E79" s="1328"/>
      <c r="F79" s="1328"/>
      <c r="G79" s="1328"/>
      <c r="H79" s="1531"/>
      <c r="L79" s="1328"/>
      <c r="M79" s="1328"/>
      <c r="N79" s="1328"/>
      <c r="O79" s="1328"/>
      <c r="P79" s="1328"/>
      <c r="Q79" s="1328"/>
      <c r="R79" s="1328"/>
      <c r="S79" s="1328"/>
      <c r="T79" s="1328"/>
      <c r="U79" s="1328"/>
      <c r="V79" s="1328"/>
      <c r="W79" s="1328"/>
    </row>
    <row r="80" spans="1:23" s="1490" customFormat="1" x14ac:dyDescent="0.3">
      <c r="A80" s="1335"/>
      <c r="B80" s="1496" t="s">
        <v>858</v>
      </c>
      <c r="C80" s="1496" t="s">
        <v>859</v>
      </c>
      <c r="D80" s="1328" t="s">
        <v>860</v>
      </c>
      <c r="E80" s="1328"/>
      <c r="F80" s="1328"/>
      <c r="G80" s="1328"/>
      <c r="H80" s="1531"/>
      <c r="L80" s="1328"/>
      <c r="M80" s="1328"/>
      <c r="N80" s="1328"/>
      <c r="O80" s="1328"/>
      <c r="P80" s="1328"/>
      <c r="Q80" s="1328"/>
      <c r="R80" s="1328"/>
      <c r="S80" s="1328"/>
      <c r="T80" s="1328"/>
      <c r="U80" s="1328"/>
      <c r="V80" s="1328"/>
      <c r="W80" s="1328"/>
    </row>
    <row r="81" spans="1:23" s="1490" customFormat="1" x14ac:dyDescent="0.3">
      <c r="A81" s="1335"/>
      <c r="B81" s="1532" t="s">
        <v>861</v>
      </c>
      <c r="C81" s="1532">
        <v>0</v>
      </c>
      <c r="D81" s="1328"/>
      <c r="E81" s="1328"/>
      <c r="F81" s="1328"/>
      <c r="G81" s="1328"/>
      <c r="H81" s="1531"/>
      <c r="L81" s="1328"/>
      <c r="M81" s="1328"/>
      <c r="N81" s="1328"/>
      <c r="O81" s="1328"/>
      <c r="P81" s="1328"/>
      <c r="Q81" s="1328"/>
      <c r="R81" s="1328"/>
      <c r="S81" s="1328"/>
      <c r="T81" s="1328"/>
      <c r="U81" s="1328"/>
      <c r="V81" s="1328"/>
      <c r="W81" s="1328"/>
    </row>
    <row r="82" spans="1:23" s="1490" customFormat="1" x14ac:dyDescent="0.3">
      <c r="A82" s="1335"/>
      <c r="B82" s="1532" t="s">
        <v>862</v>
      </c>
      <c r="C82" s="1532">
        <v>12</v>
      </c>
      <c r="D82" s="1328"/>
      <c r="E82" s="1328"/>
      <c r="F82" s="1328"/>
      <c r="G82" s="1328"/>
      <c r="L82" s="1328"/>
      <c r="M82" s="1328"/>
      <c r="N82" s="1328"/>
      <c r="O82" s="1328"/>
      <c r="P82" s="1328"/>
      <c r="Q82" s="1328"/>
      <c r="R82" s="1328"/>
      <c r="S82" s="1328"/>
      <c r="T82" s="1328"/>
      <c r="U82" s="1328"/>
      <c r="V82" s="1328"/>
      <c r="W82" s="1328"/>
    </row>
    <row r="83" spans="1:23" s="1490" customFormat="1" x14ac:dyDescent="0.3">
      <c r="A83" s="1335"/>
      <c r="B83" s="1532" t="s">
        <v>863</v>
      </c>
      <c r="C83" s="1532">
        <v>14</v>
      </c>
      <c r="D83" s="1328"/>
      <c r="E83" s="1328"/>
      <c r="F83" s="1328"/>
      <c r="G83" s="1328"/>
      <c r="L83" s="1328"/>
      <c r="M83" s="1328"/>
      <c r="N83" s="1328"/>
      <c r="O83" s="1328"/>
      <c r="P83" s="1328"/>
      <c r="Q83" s="1328"/>
      <c r="R83" s="1328"/>
      <c r="S83" s="1328"/>
      <c r="T83" s="1328"/>
      <c r="U83" s="1328"/>
      <c r="V83" s="1328"/>
      <c r="W83" s="1328"/>
    </row>
    <row r="84" spans="1:23" s="1490" customFormat="1" x14ac:dyDescent="0.3">
      <c r="A84" s="1335"/>
      <c r="B84" s="1532" t="s">
        <v>864</v>
      </c>
      <c r="C84" s="1532">
        <v>16</v>
      </c>
      <c r="D84" s="1328"/>
      <c r="E84" s="1328"/>
      <c r="F84" s="1328"/>
      <c r="G84" s="1328"/>
      <c r="L84" s="1328"/>
      <c r="M84" s="1328"/>
      <c r="N84" s="1328"/>
      <c r="O84" s="1328"/>
      <c r="P84" s="1328"/>
      <c r="Q84" s="1328"/>
      <c r="R84" s="1328"/>
      <c r="S84" s="1328"/>
      <c r="T84" s="1328"/>
      <c r="U84" s="1328"/>
      <c r="V84" s="1328"/>
      <c r="W84" s="1328"/>
    </row>
    <row r="85" spans="1:23" s="1490" customFormat="1" x14ac:dyDescent="0.3">
      <c r="A85" s="1335"/>
      <c r="B85" s="1532" t="s">
        <v>865</v>
      </c>
      <c r="C85" s="1532">
        <v>18</v>
      </c>
      <c r="D85" s="1328"/>
      <c r="E85" s="1328"/>
      <c r="F85" s="1328"/>
      <c r="G85" s="1328"/>
      <c r="L85" s="1328"/>
      <c r="M85" s="1328"/>
      <c r="N85" s="1328"/>
      <c r="O85" s="1328"/>
      <c r="P85" s="1328"/>
      <c r="Q85" s="1328"/>
      <c r="R85" s="1328"/>
      <c r="S85" s="1328"/>
      <c r="T85" s="1328"/>
      <c r="U85" s="1328"/>
      <c r="V85" s="1328"/>
      <c r="W85" s="1328"/>
    </row>
    <row r="86" spans="1:23" s="1490" customFormat="1" x14ac:dyDescent="0.3">
      <c r="A86" s="1335"/>
      <c r="B86" s="1532" t="s">
        <v>866</v>
      </c>
      <c r="C86" s="1532">
        <v>20</v>
      </c>
      <c r="D86" s="1328"/>
      <c r="E86" s="1328"/>
      <c r="F86" s="1328"/>
      <c r="G86" s="1328"/>
      <c r="L86" s="1328"/>
      <c r="M86" s="1328"/>
      <c r="N86" s="1328"/>
      <c r="O86" s="1328"/>
      <c r="P86" s="1328"/>
      <c r="Q86" s="1328"/>
      <c r="R86" s="1328"/>
      <c r="S86" s="1328"/>
      <c r="T86" s="1328"/>
      <c r="U86" s="1328"/>
      <c r="V86" s="1328"/>
      <c r="W86" s="1328"/>
    </row>
    <row r="87" spans="1:23" s="1490" customFormat="1" x14ac:dyDescent="0.3">
      <c r="A87" s="1335"/>
      <c r="B87" s="1532" t="s">
        <v>867</v>
      </c>
      <c r="C87" s="1532">
        <v>22</v>
      </c>
      <c r="D87" s="1328"/>
      <c r="E87" s="1328"/>
      <c r="F87" s="1328"/>
      <c r="G87" s="1328"/>
      <c r="L87" s="1328"/>
      <c r="M87" s="1328"/>
      <c r="N87" s="1328"/>
      <c r="O87" s="1328"/>
      <c r="P87" s="1328"/>
      <c r="Q87" s="1328"/>
      <c r="R87" s="1328"/>
      <c r="S87" s="1328"/>
      <c r="T87" s="1328"/>
      <c r="U87" s="1328"/>
      <c r="V87" s="1328"/>
      <c r="W87" s="1328"/>
    </row>
    <row r="88" spans="1:23" s="1490" customFormat="1" x14ac:dyDescent="0.3">
      <c r="A88" s="1335"/>
      <c r="B88" s="1532" t="s">
        <v>868</v>
      </c>
      <c r="C88" s="1532">
        <v>24</v>
      </c>
      <c r="D88" s="1328"/>
      <c r="E88" s="1328"/>
      <c r="F88" s="1328"/>
      <c r="G88" s="1328"/>
      <c r="L88" s="1328"/>
      <c r="M88" s="1328"/>
      <c r="N88" s="1328"/>
      <c r="O88" s="1328"/>
      <c r="P88" s="1328"/>
      <c r="Q88" s="1328"/>
      <c r="R88" s="1328"/>
      <c r="S88" s="1328"/>
      <c r="T88" s="1328"/>
      <c r="U88" s="1328"/>
      <c r="V88" s="1328"/>
      <c r="W88" s="1328"/>
    </row>
    <row r="89" spans="1:23" s="1490" customFormat="1" x14ac:dyDescent="0.3">
      <c r="A89" s="1335"/>
      <c r="B89" s="1532" t="s">
        <v>869</v>
      </c>
      <c r="C89" s="1532">
        <v>26</v>
      </c>
      <c r="D89" s="1328"/>
      <c r="E89" s="1328"/>
      <c r="F89" s="1328"/>
      <c r="G89" s="1328"/>
      <c r="L89" s="1328"/>
      <c r="M89" s="1328"/>
      <c r="N89" s="1328"/>
      <c r="O89" s="1328"/>
      <c r="P89" s="1328"/>
      <c r="Q89" s="1328"/>
      <c r="R89" s="1328"/>
      <c r="S89" s="1328"/>
      <c r="T89" s="1328"/>
      <c r="U89" s="1328"/>
      <c r="V89" s="1328"/>
      <c r="W89" s="1328"/>
    </row>
    <row r="90" spans="1:23" s="1490" customFormat="1" x14ac:dyDescent="0.3">
      <c r="A90" s="1335"/>
      <c r="B90" s="1532" t="s">
        <v>870</v>
      </c>
      <c r="C90" s="1532">
        <v>28</v>
      </c>
      <c r="D90" s="1328"/>
      <c r="E90" s="1328"/>
      <c r="F90" s="1328"/>
      <c r="G90" s="1328"/>
      <c r="L90" s="1328"/>
      <c r="M90" s="1328"/>
      <c r="N90" s="1328"/>
      <c r="O90" s="1328"/>
      <c r="P90" s="1328"/>
      <c r="Q90" s="1328"/>
      <c r="R90" s="1328"/>
      <c r="S90" s="1328"/>
      <c r="T90" s="1328"/>
      <c r="U90" s="1328"/>
      <c r="V90" s="1328"/>
      <c r="W90" s="1328"/>
    </row>
    <row r="91" spans="1:23" s="1490" customFormat="1" x14ac:dyDescent="0.3">
      <c r="A91" s="1335"/>
      <c r="B91" s="1532" t="s">
        <v>871</v>
      </c>
      <c r="C91" s="1532">
        <v>30</v>
      </c>
      <c r="D91" s="1328"/>
      <c r="E91" s="1328"/>
      <c r="F91" s="1328"/>
      <c r="G91" s="1328"/>
      <c r="L91" s="1328"/>
      <c r="M91" s="1328"/>
      <c r="N91" s="1328"/>
      <c r="O91" s="1328"/>
      <c r="P91" s="1328"/>
      <c r="Q91" s="1328"/>
      <c r="R91" s="1328"/>
      <c r="S91" s="1328"/>
      <c r="T91" s="1328"/>
      <c r="U91" s="1328"/>
      <c r="V91" s="1328"/>
      <c r="W91" s="1328"/>
    </row>
    <row r="92" spans="1:23" x14ac:dyDescent="0.3">
      <c r="B92" s="1532" t="s">
        <v>872</v>
      </c>
      <c r="C92" s="1532">
        <v>32</v>
      </c>
    </row>
    <row r="95" spans="1:23" hidden="1" x14ac:dyDescent="0.3">
      <c r="B95" s="1606" t="s">
        <v>873</v>
      </c>
      <c r="C95" s="1607"/>
    </row>
    <row r="96" spans="1:23" hidden="1" x14ac:dyDescent="0.3">
      <c r="B96" s="1533" t="s">
        <v>874</v>
      </c>
    </row>
    <row r="97" spans="2:3" hidden="1" x14ac:dyDescent="0.3">
      <c r="B97" s="1533" t="s">
        <v>875</v>
      </c>
    </row>
    <row r="98" spans="2:3" hidden="1" x14ac:dyDescent="0.3">
      <c r="B98" s="1533" t="s">
        <v>876</v>
      </c>
    </row>
    <row r="99" spans="2:3" hidden="1" x14ac:dyDescent="0.3">
      <c r="B99" s="1533" t="s">
        <v>877</v>
      </c>
    </row>
    <row r="100" spans="2:3" hidden="1" x14ac:dyDescent="0.3">
      <c r="B100" s="1534" t="s">
        <v>878</v>
      </c>
    </row>
    <row r="101" spans="2:3" hidden="1" x14ac:dyDescent="0.3">
      <c r="B101" s="1533" t="s">
        <v>879</v>
      </c>
    </row>
    <row r="102" spans="2:3" hidden="1" x14ac:dyDescent="0.3">
      <c r="B102" s="1534" t="s">
        <v>880</v>
      </c>
    </row>
    <row r="103" spans="2:3" hidden="1" x14ac:dyDescent="0.3">
      <c r="B103" s="1533" t="s">
        <v>881</v>
      </c>
    </row>
    <row r="104" spans="2:3" hidden="1" x14ac:dyDescent="0.3">
      <c r="B104" s="1533" t="s">
        <v>882</v>
      </c>
    </row>
    <row r="105" spans="2:3" hidden="1" x14ac:dyDescent="0.3"/>
    <row r="106" spans="2:3" hidden="1" x14ac:dyDescent="0.3"/>
    <row r="107" spans="2:3" hidden="1" x14ac:dyDescent="0.3"/>
    <row r="110" spans="2:3" hidden="1" x14ac:dyDescent="0.3">
      <c r="B110" s="1529" t="s">
        <v>883</v>
      </c>
      <c r="C110" s="1529" t="s">
        <v>766</v>
      </c>
    </row>
    <row r="111" spans="2:3" hidden="1" x14ac:dyDescent="0.3">
      <c r="B111" s="1529" t="s">
        <v>844</v>
      </c>
      <c r="C111" s="1533" t="s">
        <v>884</v>
      </c>
    </row>
    <row r="112" spans="2:3" hidden="1" x14ac:dyDescent="0.3">
      <c r="B112" s="1529" t="s">
        <v>885</v>
      </c>
      <c r="C112" s="1533" t="s">
        <v>886</v>
      </c>
    </row>
    <row r="113" spans="2:3" hidden="1" x14ac:dyDescent="0.3">
      <c r="B113" s="1529" t="s">
        <v>852</v>
      </c>
      <c r="C113" s="1533" t="s">
        <v>887</v>
      </c>
    </row>
    <row r="114" spans="2:3" hidden="1" x14ac:dyDescent="0.3">
      <c r="B114" s="1529" t="s">
        <v>855</v>
      </c>
      <c r="C114" s="1533" t="s">
        <v>888</v>
      </c>
    </row>
    <row r="115" spans="2:3" hidden="1" x14ac:dyDescent="0.3">
      <c r="B115" s="1529" t="s">
        <v>889</v>
      </c>
      <c r="C115" s="1533" t="s">
        <v>890</v>
      </c>
    </row>
    <row r="116" spans="2:3" hidden="1" x14ac:dyDescent="0.3">
      <c r="B116" s="1529" t="s">
        <v>891</v>
      </c>
      <c r="C116" s="1529" t="s">
        <v>766</v>
      </c>
    </row>
    <row r="117" spans="2:3" hidden="1" x14ac:dyDescent="0.3">
      <c r="B117" s="1529" t="s">
        <v>350</v>
      </c>
      <c r="C117" s="1533" t="s">
        <v>892</v>
      </c>
    </row>
    <row r="118" spans="2:3" hidden="1" x14ac:dyDescent="0.3">
      <c r="B118" s="1529" t="s">
        <v>268</v>
      </c>
      <c r="C118" s="1328" t="s">
        <v>893</v>
      </c>
    </row>
  </sheetData>
  <mergeCells count="7">
    <mergeCell ref="B95:C95"/>
    <mergeCell ref="H2:I4"/>
    <mergeCell ref="A6:A15"/>
    <mergeCell ref="A17:A26"/>
    <mergeCell ref="C74:D74"/>
    <mergeCell ref="C77:D77"/>
    <mergeCell ref="B79:C79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BC99B-BFC5-48A2-BAD6-83ACC04D1456}">
  <sheetPr codeName="Sheet21"/>
  <dimension ref="B1:AI51"/>
  <sheetViews>
    <sheetView showGridLines="0" topLeftCell="F1" zoomScale="90" zoomScaleNormal="90" workbookViewId="0">
      <selection activeCell="Q7" sqref="Q7"/>
    </sheetView>
  </sheetViews>
  <sheetFormatPr defaultColWidth="9.1796875" defaultRowHeight="14.5" outlineLevelCol="1" x14ac:dyDescent="0.35"/>
  <cols>
    <col min="1" max="1" width="9.1796875" style="771"/>
    <col min="2" max="2" width="8.453125" style="771" bestFit="1" customWidth="1"/>
    <col min="3" max="3" width="11.453125" style="771" bestFit="1" customWidth="1"/>
    <col min="4" max="4" width="22" style="772" bestFit="1" customWidth="1"/>
    <col min="5" max="5" width="65.54296875" style="771" bestFit="1" customWidth="1"/>
    <col min="6" max="6" width="18.26953125" style="771" bestFit="1" customWidth="1"/>
    <col min="7" max="7" width="24" style="771" bestFit="1" customWidth="1"/>
    <col min="8" max="8" width="13.453125" style="771" bestFit="1" customWidth="1"/>
    <col min="9" max="10" width="14" style="771" bestFit="1" customWidth="1"/>
    <col min="11" max="11" width="10.81640625" style="771" customWidth="1"/>
    <col min="12" max="12" width="10.81640625" style="771" bestFit="1" customWidth="1"/>
    <col min="13" max="13" width="3.1796875" style="771" customWidth="1"/>
    <col min="14" max="14" width="11.26953125" style="771" bestFit="1" customWidth="1"/>
    <col min="15" max="15" width="8.54296875" style="771" bestFit="1" customWidth="1"/>
    <col min="16" max="16" width="3.1796875" style="771" customWidth="1"/>
    <col min="17" max="18" width="11.26953125" style="771" customWidth="1"/>
    <col min="19" max="19" width="2.26953125" style="771" customWidth="1"/>
    <col min="20" max="20" width="14.54296875" style="771" customWidth="1"/>
    <col min="21" max="21" width="14.1796875" style="771" bestFit="1" customWidth="1"/>
    <col min="22" max="22" width="12.81640625" style="771" bestFit="1" customWidth="1"/>
    <col min="23" max="23" width="13.54296875" style="14" customWidth="1"/>
    <col min="24" max="24" width="13.7265625" style="14" customWidth="1" outlineLevel="1"/>
    <col min="25" max="25" width="14.453125" style="14" customWidth="1" outlineLevel="1"/>
    <col min="26" max="26" width="9.54296875" style="14" customWidth="1" outlineLevel="1"/>
    <col min="27" max="27" width="10.453125" style="14" bestFit="1" customWidth="1" outlineLevel="1"/>
    <col min="28" max="28" width="9.54296875" style="14" customWidth="1" outlineLevel="1"/>
    <col min="29" max="29" width="12.1796875" style="14" customWidth="1" outlineLevel="1"/>
    <col min="30" max="30" width="10.453125" style="14" bestFit="1" customWidth="1" outlineLevel="1"/>
    <col min="31" max="32" width="13" style="14" customWidth="1" outlineLevel="1"/>
    <col min="33" max="33" width="9.54296875" style="14" customWidth="1" outlineLevel="1"/>
    <col min="34" max="34" width="11.453125" style="14" bestFit="1" customWidth="1"/>
    <col min="35" max="35" width="9.54296875" style="14" customWidth="1"/>
    <col min="36" max="16384" width="9.1796875" style="771"/>
  </cols>
  <sheetData>
    <row r="1" spans="2:35" x14ac:dyDescent="0.35">
      <c r="F1" s="773"/>
      <c r="AE1" s="179"/>
      <c r="AF1" s="179"/>
    </row>
    <row r="2" spans="2:35" ht="15" thickBot="1" x14ac:dyDescent="0.4">
      <c r="C2" s="1599" t="s">
        <v>319</v>
      </c>
      <c r="D2" s="1599" t="s">
        <v>320</v>
      </c>
      <c r="E2" s="1599" t="s">
        <v>336</v>
      </c>
      <c r="F2" s="774"/>
      <c r="G2" s="775" t="s">
        <v>351</v>
      </c>
      <c r="I2" s="1600" t="s">
        <v>352</v>
      </c>
      <c r="J2" s="1600"/>
      <c r="K2" s="1600" t="s">
        <v>353</v>
      </c>
      <c r="L2" s="1600"/>
      <c r="N2" s="1597" t="s">
        <v>354</v>
      </c>
      <c r="O2" s="1598"/>
      <c r="AA2" s="959">
        <v>0.12</v>
      </c>
      <c r="AC2" s="777">
        <v>0</v>
      </c>
      <c r="AD2" s="960">
        <v>5.849999999999999E-2</v>
      </c>
      <c r="AE2" s="961">
        <f>30.9*1.43</f>
        <v>44.186999999999998</v>
      </c>
      <c r="AF2" s="179"/>
    </row>
    <row r="3" spans="2:35" ht="39.5" thickTop="1" x14ac:dyDescent="0.35">
      <c r="B3" s="771" t="str">
        <f>'Data Master'!$C$71</f>
        <v>Australia</v>
      </c>
      <c r="C3" s="1599"/>
      <c r="D3" s="1599"/>
      <c r="E3" s="1599"/>
      <c r="F3" s="781" t="s">
        <v>355</v>
      </c>
      <c r="G3" s="781" t="s">
        <v>356</v>
      </c>
      <c r="I3" s="781" t="s">
        <v>357</v>
      </c>
      <c r="J3" s="781" t="s">
        <v>358</v>
      </c>
      <c r="K3" s="781" t="s">
        <v>357</v>
      </c>
      <c r="L3" s="781" t="s">
        <v>358</v>
      </c>
      <c r="N3" s="781" t="s">
        <v>359</v>
      </c>
      <c r="O3" s="781" t="s">
        <v>328</v>
      </c>
      <c r="Q3" s="781" t="s">
        <v>329</v>
      </c>
      <c r="R3" s="781" t="s">
        <v>330</v>
      </c>
      <c r="T3" s="781" t="s">
        <v>360</v>
      </c>
      <c r="U3" s="781" t="s">
        <v>361</v>
      </c>
      <c r="W3" s="783" t="s">
        <v>363</v>
      </c>
      <c r="X3" s="784" t="s">
        <v>518</v>
      </c>
      <c r="Y3" s="785" t="s">
        <v>253</v>
      </c>
      <c r="Z3" s="785" t="s">
        <v>254</v>
      </c>
      <c r="AA3" s="785" t="s">
        <v>519</v>
      </c>
      <c r="AB3" s="785" t="s">
        <v>258</v>
      </c>
      <c r="AC3" s="785" t="s">
        <v>261</v>
      </c>
      <c r="AD3" s="784" t="s">
        <v>520</v>
      </c>
      <c r="AE3" s="962" t="s">
        <v>365</v>
      </c>
      <c r="AF3" s="785" t="s">
        <v>258</v>
      </c>
      <c r="AG3" s="785" t="s">
        <v>264</v>
      </c>
      <c r="AH3" s="786" t="s">
        <v>263</v>
      </c>
      <c r="AI3" s="783" t="s">
        <v>366</v>
      </c>
    </row>
    <row r="4" spans="2:35" x14ac:dyDescent="0.35">
      <c r="B4" s="771" t="str">
        <f>$B$3&amp;C4&amp;D4</f>
        <v>AustraliaVoiceL1</v>
      </c>
      <c r="C4" s="787" t="s">
        <v>266</v>
      </c>
      <c r="D4" s="788" t="s">
        <v>321</v>
      </c>
      <c r="E4" s="789" t="s">
        <v>470</v>
      </c>
      <c r="F4" s="958">
        <f>SUMPRODUCT(I4:J4,K4:L4)</f>
        <v>57330.961142857144</v>
      </c>
      <c r="G4" s="958">
        <f>AH4</f>
        <v>71531.486172565725</v>
      </c>
      <c r="H4" s="791"/>
      <c r="I4" s="1536">
        <v>55268.72</v>
      </c>
      <c r="J4" s="1536">
        <v>62142.857142857138</v>
      </c>
      <c r="K4" s="792">
        <v>0.7</v>
      </c>
      <c r="L4" s="793">
        <f>1-K4</f>
        <v>0.30000000000000004</v>
      </c>
      <c r="N4" s="958">
        <f t="shared" ref="N4:N13" si="0">SUMPRODUCT(T4:U4,Q4:R4)</f>
        <v>1200</v>
      </c>
      <c r="O4" s="958">
        <v>68.272199999999998</v>
      </c>
      <c r="Q4" s="958">
        <v>1200</v>
      </c>
      <c r="R4" s="958">
        <v>1200</v>
      </c>
      <c r="T4" s="794">
        <v>1</v>
      </c>
      <c r="U4" s="794">
        <f>1-T4</f>
        <v>0</v>
      </c>
      <c r="V4" s="963"/>
      <c r="W4" s="964">
        <f t="shared" ref="W4:W13" si="1">F4</f>
        <v>57330.961142857144</v>
      </c>
      <c r="X4" s="965">
        <f t="shared" ref="X4:X13" si="2">W4/(Y4*Z4)</f>
        <v>28.934154866618602</v>
      </c>
      <c r="Y4" s="798">
        <f>38/5</f>
        <v>7.6</v>
      </c>
      <c r="Z4" s="364">
        <f>365*5/7</f>
        <v>260.71428571428572</v>
      </c>
      <c r="AA4" s="966">
        <f>W4*$AA$2</f>
        <v>6879.7153371428567</v>
      </c>
      <c r="AB4" s="966">
        <f>W4*AF4*AG4</f>
        <v>2866.5480571428575</v>
      </c>
      <c r="AC4" s="966">
        <f>SUM(W4,AA4:AB4)*$AC$2</f>
        <v>0</v>
      </c>
      <c r="AD4" s="966">
        <f>SUM(W4,AA4:AC4)*$AD$2</f>
        <v>3924.0176354228565</v>
      </c>
      <c r="AE4" s="966">
        <f>$AE$2*12</f>
        <v>530.24399999999991</v>
      </c>
      <c r="AF4" s="967">
        <v>0.1</v>
      </c>
      <c r="AG4" s="801">
        <v>0.5</v>
      </c>
      <c r="AH4" s="968">
        <f>SUM(W4,AA4:AE4)</f>
        <v>71531.486172565725</v>
      </c>
      <c r="AI4" s="969">
        <f t="shared" ref="AI4:AI13" si="3">IFERROR((AH4-W4)/W4,0)</f>
        <v>0.24769382453442126</v>
      </c>
    </row>
    <row r="5" spans="2:35" s="805" customFormat="1" x14ac:dyDescent="0.35">
      <c r="B5" s="805" t="str">
        <f t="shared" ref="B5:B13" si="4">$B$3&amp;C5&amp;D5</f>
        <v>AustraliaVoiceL2</v>
      </c>
      <c r="C5" s="787" t="s">
        <v>266</v>
      </c>
      <c r="D5" s="788" t="s">
        <v>322</v>
      </c>
      <c r="E5" s="789" t="s">
        <v>471</v>
      </c>
      <c r="F5" s="958">
        <f t="shared" ref="F5:F13" si="5">SUMPRODUCT(I5:J5,K5:L5)</f>
        <v>62499.999999999993</v>
      </c>
      <c r="G5" s="958">
        <f t="shared" ref="G5:G13" si="6">AH5</f>
        <v>77933.056499999992</v>
      </c>
      <c r="H5" s="791"/>
      <c r="I5" s="1536">
        <v>55357.142857142855</v>
      </c>
      <c r="J5" s="1536">
        <v>69642.85714285713</v>
      </c>
      <c r="K5" s="792">
        <v>0.5</v>
      </c>
      <c r="L5" s="793">
        <f t="shared" ref="L5:L13" si="7">1-K5</f>
        <v>0.5</v>
      </c>
      <c r="M5" s="771"/>
      <c r="N5" s="958">
        <f t="shared" si="0"/>
        <v>1200</v>
      </c>
      <c r="O5" s="958">
        <v>68.272199999999998</v>
      </c>
      <c r="Q5" s="958">
        <v>1200</v>
      </c>
      <c r="R5" s="958">
        <v>1200</v>
      </c>
      <c r="S5" s="771"/>
      <c r="T5" s="794">
        <v>1</v>
      </c>
      <c r="U5" s="794">
        <f t="shared" ref="U5:U13" si="8">1-T5</f>
        <v>0</v>
      </c>
      <c r="W5" s="964">
        <f t="shared" si="1"/>
        <v>62499.999999999993</v>
      </c>
      <c r="X5" s="965">
        <f t="shared" si="2"/>
        <v>31.54289834174477</v>
      </c>
      <c r="Y5" s="798">
        <f t="shared" ref="Y5:Y13" si="9">38/5</f>
        <v>7.6</v>
      </c>
      <c r="Z5" s="364">
        <f t="shared" ref="Z5:Z13" si="10">365*5/7</f>
        <v>260.71428571428572</v>
      </c>
      <c r="AA5" s="966">
        <f t="shared" ref="AA5:AA13" si="11">W5*$AA$2</f>
        <v>7499.9999999999991</v>
      </c>
      <c r="AB5" s="966">
        <f t="shared" ref="AB5:AB13" si="12">W5*AF5*AG5</f>
        <v>3125</v>
      </c>
      <c r="AC5" s="966">
        <f t="shared" ref="AC5:AC13" si="13">SUM(W5,AA5:AB5)*$AC$2</f>
        <v>0</v>
      </c>
      <c r="AD5" s="966">
        <f t="shared" ref="AD5:AD13" si="14">SUM(W5,AA5:AC5)*$AD$2</f>
        <v>4277.8124999999982</v>
      </c>
      <c r="AE5" s="966">
        <f t="shared" ref="AE5:AE13" si="15">$AE$2*12</f>
        <v>530.24399999999991</v>
      </c>
      <c r="AF5" s="967">
        <v>0.1</v>
      </c>
      <c r="AG5" s="801">
        <v>0.5</v>
      </c>
      <c r="AH5" s="968">
        <f t="shared" ref="AH5:AH13" si="16">SUM(W5,AA5:AE5)</f>
        <v>77933.056499999992</v>
      </c>
      <c r="AI5" s="969">
        <f t="shared" si="3"/>
        <v>0.246928904</v>
      </c>
    </row>
    <row r="6" spans="2:35" s="805" customFormat="1" x14ac:dyDescent="0.35">
      <c r="B6" s="805" t="str">
        <f t="shared" si="4"/>
        <v>AustraliaVoiceL3</v>
      </c>
      <c r="C6" s="787" t="s">
        <v>266</v>
      </c>
      <c r="D6" s="788" t="s">
        <v>323</v>
      </c>
      <c r="E6" s="789" t="s">
        <v>472</v>
      </c>
      <c r="F6" s="958">
        <f t="shared" si="5"/>
        <v>68750</v>
      </c>
      <c r="G6" s="958">
        <f t="shared" si="6"/>
        <v>85673.337750000006</v>
      </c>
      <c r="H6" s="791"/>
      <c r="I6" s="1536">
        <v>62499.999999999993</v>
      </c>
      <c r="J6" s="1536">
        <v>75000</v>
      </c>
      <c r="K6" s="792">
        <v>0.5</v>
      </c>
      <c r="L6" s="793">
        <f t="shared" si="7"/>
        <v>0.5</v>
      </c>
      <c r="M6" s="771"/>
      <c r="N6" s="958">
        <f t="shared" si="0"/>
        <v>1200</v>
      </c>
      <c r="O6" s="958">
        <v>68.272199999999998</v>
      </c>
      <c r="Q6" s="958">
        <v>1200</v>
      </c>
      <c r="R6" s="958">
        <v>1200</v>
      </c>
      <c r="S6" s="771"/>
      <c r="T6" s="794">
        <v>1</v>
      </c>
      <c r="U6" s="794">
        <f t="shared" si="8"/>
        <v>0</v>
      </c>
      <c r="W6" s="964">
        <f t="shared" si="1"/>
        <v>68750</v>
      </c>
      <c r="X6" s="965">
        <f t="shared" si="2"/>
        <v>34.697188175919251</v>
      </c>
      <c r="Y6" s="798">
        <f t="shared" si="9"/>
        <v>7.6</v>
      </c>
      <c r="Z6" s="364">
        <f t="shared" si="10"/>
        <v>260.71428571428572</v>
      </c>
      <c r="AA6" s="966">
        <f t="shared" si="11"/>
        <v>8250</v>
      </c>
      <c r="AB6" s="966">
        <f t="shared" si="12"/>
        <v>3437.5</v>
      </c>
      <c r="AC6" s="966">
        <f t="shared" si="13"/>
        <v>0</v>
      </c>
      <c r="AD6" s="966">
        <f t="shared" si="14"/>
        <v>4705.5937499999991</v>
      </c>
      <c r="AE6" s="966">
        <f t="shared" si="15"/>
        <v>530.24399999999991</v>
      </c>
      <c r="AF6" s="967">
        <v>0.1</v>
      </c>
      <c r="AG6" s="801">
        <v>0.5</v>
      </c>
      <c r="AH6" s="968">
        <f t="shared" si="16"/>
        <v>85673.337750000006</v>
      </c>
      <c r="AI6" s="969">
        <f t="shared" si="3"/>
        <v>0.24615764000000009</v>
      </c>
    </row>
    <row r="7" spans="2:35" s="805" customFormat="1" x14ac:dyDescent="0.35">
      <c r="B7" s="805" t="str">
        <f t="shared" si="4"/>
        <v>AustraliaVoiceL4</v>
      </c>
      <c r="C7" s="787" t="s">
        <v>266</v>
      </c>
      <c r="D7" s="788" t="s">
        <v>324</v>
      </c>
      <c r="E7" s="789" t="s">
        <v>338</v>
      </c>
      <c r="F7" s="958">
        <f t="shared" si="5"/>
        <v>79910.714285714275</v>
      </c>
      <c r="G7" s="958">
        <f t="shared" si="6"/>
        <v>99495.268553571412</v>
      </c>
      <c r="H7" s="791"/>
      <c r="I7" s="1536">
        <v>75892.85714285713</v>
      </c>
      <c r="J7" s="1536">
        <v>80357.142857142855</v>
      </c>
      <c r="K7" s="792">
        <v>0.1</v>
      </c>
      <c r="L7" s="793">
        <f t="shared" si="7"/>
        <v>0.9</v>
      </c>
      <c r="M7" s="771"/>
      <c r="N7" s="958">
        <f t="shared" si="0"/>
        <v>1200</v>
      </c>
      <c r="O7" s="958">
        <v>68.272199999999998</v>
      </c>
      <c r="Q7" s="958">
        <v>1200</v>
      </c>
      <c r="R7" s="958">
        <v>1200</v>
      </c>
      <c r="S7" s="771"/>
      <c r="T7" s="794">
        <v>1</v>
      </c>
      <c r="U7" s="794">
        <f t="shared" si="8"/>
        <v>0</v>
      </c>
      <c r="W7" s="964">
        <f t="shared" si="1"/>
        <v>79910.714285714275</v>
      </c>
      <c r="X7" s="965">
        <f t="shared" si="2"/>
        <v>40.329848594087956</v>
      </c>
      <c r="Y7" s="798">
        <f t="shared" si="9"/>
        <v>7.6</v>
      </c>
      <c r="Z7" s="364">
        <f t="shared" si="10"/>
        <v>260.71428571428572</v>
      </c>
      <c r="AA7" s="966">
        <f t="shared" si="11"/>
        <v>9589.2857142857119</v>
      </c>
      <c r="AB7" s="966">
        <f t="shared" si="12"/>
        <v>3995.5357142857138</v>
      </c>
      <c r="AC7" s="966">
        <f t="shared" si="13"/>
        <v>0</v>
      </c>
      <c r="AD7" s="966">
        <f t="shared" si="14"/>
        <v>5469.4888392857119</v>
      </c>
      <c r="AE7" s="966">
        <f t="shared" si="15"/>
        <v>530.24399999999991</v>
      </c>
      <c r="AF7" s="967">
        <v>0.1</v>
      </c>
      <c r="AG7" s="801">
        <v>0.5</v>
      </c>
      <c r="AH7" s="968">
        <f t="shared" si="16"/>
        <v>99495.268553571412</v>
      </c>
      <c r="AI7" s="969">
        <f t="shared" si="3"/>
        <v>0.24508045564245806</v>
      </c>
    </row>
    <row r="8" spans="2:35" s="805" customFormat="1" x14ac:dyDescent="0.35">
      <c r="B8" s="805" t="str">
        <f t="shared" si="4"/>
        <v>AustraliaNon-voiceL1</v>
      </c>
      <c r="C8" s="787" t="s">
        <v>325</v>
      </c>
      <c r="D8" s="788" t="s">
        <v>321</v>
      </c>
      <c r="E8" s="789" t="s">
        <v>473</v>
      </c>
      <c r="F8" s="958">
        <f t="shared" si="5"/>
        <v>57330.961142857144</v>
      </c>
      <c r="G8" s="958">
        <f t="shared" si="6"/>
        <v>71531.486172565725</v>
      </c>
      <c r="H8" s="791"/>
      <c r="I8" s="1536">
        <v>55268.72</v>
      </c>
      <c r="J8" s="1536">
        <v>62142.857142857138</v>
      </c>
      <c r="K8" s="792">
        <v>0.7</v>
      </c>
      <c r="L8" s="793">
        <f t="shared" si="7"/>
        <v>0.30000000000000004</v>
      </c>
      <c r="M8" s="771"/>
      <c r="N8" s="958">
        <f t="shared" si="0"/>
        <v>1200</v>
      </c>
      <c r="O8" s="958">
        <v>68.272199999999998</v>
      </c>
      <c r="Q8" s="958">
        <v>1200</v>
      </c>
      <c r="R8" s="958">
        <v>1200</v>
      </c>
      <c r="S8" s="771"/>
      <c r="T8" s="794">
        <v>1</v>
      </c>
      <c r="U8" s="794">
        <f t="shared" si="8"/>
        <v>0</v>
      </c>
      <c r="W8" s="964">
        <f t="shared" si="1"/>
        <v>57330.961142857144</v>
      </c>
      <c r="X8" s="965">
        <f t="shared" si="2"/>
        <v>28.934154866618602</v>
      </c>
      <c r="Y8" s="798">
        <f t="shared" si="9"/>
        <v>7.6</v>
      </c>
      <c r="Z8" s="364">
        <f t="shared" si="10"/>
        <v>260.71428571428572</v>
      </c>
      <c r="AA8" s="966">
        <f t="shared" si="11"/>
        <v>6879.7153371428567</v>
      </c>
      <c r="AB8" s="966">
        <f t="shared" si="12"/>
        <v>2866.5480571428575</v>
      </c>
      <c r="AC8" s="966">
        <f t="shared" si="13"/>
        <v>0</v>
      </c>
      <c r="AD8" s="966">
        <f t="shared" si="14"/>
        <v>3924.0176354228565</v>
      </c>
      <c r="AE8" s="966">
        <f t="shared" si="15"/>
        <v>530.24399999999991</v>
      </c>
      <c r="AF8" s="967">
        <v>0.1</v>
      </c>
      <c r="AG8" s="801">
        <v>0.5</v>
      </c>
      <c r="AH8" s="968">
        <f t="shared" si="16"/>
        <v>71531.486172565725</v>
      </c>
      <c r="AI8" s="969">
        <f t="shared" si="3"/>
        <v>0.24769382453442126</v>
      </c>
    </row>
    <row r="9" spans="2:35" s="805" customFormat="1" x14ac:dyDescent="0.35">
      <c r="B9" s="805" t="str">
        <f t="shared" si="4"/>
        <v>AustraliaNon-voiceL2</v>
      </c>
      <c r="C9" s="787" t="s">
        <v>325</v>
      </c>
      <c r="D9" s="788" t="s">
        <v>322</v>
      </c>
      <c r="E9" s="789" t="s">
        <v>340</v>
      </c>
      <c r="F9" s="958">
        <f t="shared" si="5"/>
        <v>62499.999999999993</v>
      </c>
      <c r="G9" s="958">
        <f t="shared" si="6"/>
        <v>77933.056499999992</v>
      </c>
      <c r="H9" s="791"/>
      <c r="I9" s="1536">
        <v>55357.142857142855</v>
      </c>
      <c r="J9" s="1536">
        <v>69642.85714285713</v>
      </c>
      <c r="K9" s="792">
        <v>0.5</v>
      </c>
      <c r="L9" s="793">
        <f t="shared" si="7"/>
        <v>0.5</v>
      </c>
      <c r="M9" s="771"/>
      <c r="N9" s="958">
        <f t="shared" si="0"/>
        <v>1200</v>
      </c>
      <c r="O9" s="958">
        <v>68.272199999999998</v>
      </c>
      <c r="Q9" s="958">
        <v>1200</v>
      </c>
      <c r="R9" s="958">
        <v>1200</v>
      </c>
      <c r="S9" s="771"/>
      <c r="T9" s="794">
        <v>1</v>
      </c>
      <c r="U9" s="794">
        <f t="shared" si="8"/>
        <v>0</v>
      </c>
      <c r="W9" s="964">
        <f t="shared" si="1"/>
        <v>62499.999999999993</v>
      </c>
      <c r="X9" s="965">
        <f t="shared" si="2"/>
        <v>31.54289834174477</v>
      </c>
      <c r="Y9" s="798">
        <f t="shared" si="9"/>
        <v>7.6</v>
      </c>
      <c r="Z9" s="364">
        <f t="shared" si="10"/>
        <v>260.71428571428572</v>
      </c>
      <c r="AA9" s="966">
        <f t="shared" si="11"/>
        <v>7499.9999999999991</v>
      </c>
      <c r="AB9" s="966">
        <f t="shared" si="12"/>
        <v>3125</v>
      </c>
      <c r="AC9" s="966">
        <f t="shared" si="13"/>
        <v>0</v>
      </c>
      <c r="AD9" s="966">
        <f t="shared" si="14"/>
        <v>4277.8124999999982</v>
      </c>
      <c r="AE9" s="966">
        <f t="shared" si="15"/>
        <v>530.24399999999991</v>
      </c>
      <c r="AF9" s="967">
        <v>0.1</v>
      </c>
      <c r="AG9" s="801">
        <v>0.5</v>
      </c>
      <c r="AH9" s="968">
        <f t="shared" si="16"/>
        <v>77933.056499999992</v>
      </c>
      <c r="AI9" s="969">
        <f t="shared" si="3"/>
        <v>0.246928904</v>
      </c>
    </row>
    <row r="10" spans="2:35" s="805" customFormat="1" x14ac:dyDescent="0.35">
      <c r="B10" s="805" t="str">
        <f t="shared" si="4"/>
        <v>AustraliaBackofficeL1</v>
      </c>
      <c r="C10" s="787" t="s">
        <v>326</v>
      </c>
      <c r="D10" s="788" t="s">
        <v>321</v>
      </c>
      <c r="E10" s="789" t="s">
        <v>474</v>
      </c>
      <c r="F10" s="958">
        <f t="shared" si="5"/>
        <v>57330.961142857144</v>
      </c>
      <c r="G10" s="958">
        <f t="shared" si="6"/>
        <v>71531.486172565725</v>
      </c>
      <c r="H10" s="791"/>
      <c r="I10" s="1536">
        <v>55268.72</v>
      </c>
      <c r="J10" s="1536">
        <v>62142.857142857138</v>
      </c>
      <c r="K10" s="792">
        <v>0.7</v>
      </c>
      <c r="L10" s="793">
        <f t="shared" si="7"/>
        <v>0.30000000000000004</v>
      </c>
      <c r="M10" s="771"/>
      <c r="N10" s="958">
        <f t="shared" si="0"/>
        <v>1200</v>
      </c>
      <c r="O10" s="958">
        <v>68.272199999999998</v>
      </c>
      <c r="Q10" s="958">
        <v>1200</v>
      </c>
      <c r="R10" s="958">
        <v>1200</v>
      </c>
      <c r="S10" s="771"/>
      <c r="T10" s="794">
        <v>1</v>
      </c>
      <c r="U10" s="794">
        <f t="shared" si="8"/>
        <v>0</v>
      </c>
      <c r="W10" s="964">
        <f t="shared" si="1"/>
        <v>57330.961142857144</v>
      </c>
      <c r="X10" s="965">
        <f t="shared" si="2"/>
        <v>28.934154866618602</v>
      </c>
      <c r="Y10" s="798">
        <f t="shared" si="9"/>
        <v>7.6</v>
      </c>
      <c r="Z10" s="364">
        <f t="shared" si="10"/>
        <v>260.71428571428572</v>
      </c>
      <c r="AA10" s="966">
        <f t="shared" si="11"/>
        <v>6879.7153371428567</v>
      </c>
      <c r="AB10" s="966">
        <f t="shared" si="12"/>
        <v>2866.5480571428575</v>
      </c>
      <c r="AC10" s="966">
        <f t="shared" si="13"/>
        <v>0</v>
      </c>
      <c r="AD10" s="966">
        <f t="shared" si="14"/>
        <v>3924.0176354228565</v>
      </c>
      <c r="AE10" s="966">
        <f t="shared" si="15"/>
        <v>530.24399999999991</v>
      </c>
      <c r="AF10" s="967">
        <v>0.1</v>
      </c>
      <c r="AG10" s="801">
        <v>0.5</v>
      </c>
      <c r="AH10" s="968">
        <f t="shared" si="16"/>
        <v>71531.486172565725</v>
      </c>
      <c r="AI10" s="969">
        <f t="shared" si="3"/>
        <v>0.24769382453442126</v>
      </c>
    </row>
    <row r="11" spans="2:35" x14ac:dyDescent="0.35">
      <c r="B11" s="771" t="str">
        <f t="shared" si="4"/>
        <v>AustraliaBackofficeL2</v>
      </c>
      <c r="C11" s="787" t="s">
        <v>326</v>
      </c>
      <c r="D11" s="788" t="s">
        <v>322</v>
      </c>
      <c r="E11" s="789" t="s">
        <v>475</v>
      </c>
      <c r="F11" s="958">
        <f t="shared" si="5"/>
        <v>62499.999999999993</v>
      </c>
      <c r="G11" s="958">
        <f t="shared" si="6"/>
        <v>77933.056499999992</v>
      </c>
      <c r="H11" s="791"/>
      <c r="I11" s="1536">
        <v>55357.142857142855</v>
      </c>
      <c r="J11" s="1536">
        <v>69642.85714285713</v>
      </c>
      <c r="K11" s="792">
        <v>0.5</v>
      </c>
      <c r="L11" s="793">
        <f t="shared" si="7"/>
        <v>0.5</v>
      </c>
      <c r="N11" s="958">
        <f t="shared" si="0"/>
        <v>1200</v>
      </c>
      <c r="O11" s="958">
        <v>68.272199999999998</v>
      </c>
      <c r="Q11" s="958">
        <v>1200</v>
      </c>
      <c r="R11" s="958">
        <v>1200</v>
      </c>
      <c r="T11" s="794">
        <v>1</v>
      </c>
      <c r="U11" s="794">
        <f t="shared" si="8"/>
        <v>0</v>
      </c>
      <c r="W11" s="964">
        <f t="shared" si="1"/>
        <v>62499.999999999993</v>
      </c>
      <c r="X11" s="965">
        <f t="shared" si="2"/>
        <v>31.54289834174477</v>
      </c>
      <c r="Y11" s="798">
        <f t="shared" si="9"/>
        <v>7.6</v>
      </c>
      <c r="Z11" s="364">
        <f t="shared" si="10"/>
        <v>260.71428571428572</v>
      </c>
      <c r="AA11" s="966">
        <f t="shared" si="11"/>
        <v>7499.9999999999991</v>
      </c>
      <c r="AB11" s="966">
        <f t="shared" si="12"/>
        <v>3125</v>
      </c>
      <c r="AC11" s="966">
        <f t="shared" si="13"/>
        <v>0</v>
      </c>
      <c r="AD11" s="966">
        <f t="shared" si="14"/>
        <v>4277.8124999999982</v>
      </c>
      <c r="AE11" s="966">
        <f t="shared" si="15"/>
        <v>530.24399999999991</v>
      </c>
      <c r="AF11" s="967">
        <v>0.1</v>
      </c>
      <c r="AG11" s="801">
        <v>0.5</v>
      </c>
      <c r="AH11" s="968">
        <f t="shared" si="16"/>
        <v>77933.056499999992</v>
      </c>
      <c r="AI11" s="969">
        <f t="shared" si="3"/>
        <v>0.246928904</v>
      </c>
    </row>
    <row r="12" spans="2:35" x14ac:dyDescent="0.35">
      <c r="B12" s="771" t="str">
        <f t="shared" si="4"/>
        <v>AustraliaBackofficeL3</v>
      </c>
      <c r="C12" s="787" t="s">
        <v>326</v>
      </c>
      <c r="D12" s="788" t="s">
        <v>323</v>
      </c>
      <c r="E12" s="789" t="s">
        <v>476</v>
      </c>
      <c r="F12" s="958">
        <f t="shared" si="5"/>
        <v>68750</v>
      </c>
      <c r="G12" s="958">
        <f t="shared" si="6"/>
        <v>85673.337750000006</v>
      </c>
      <c r="H12" s="791"/>
      <c r="I12" s="1536">
        <v>62499.999999999993</v>
      </c>
      <c r="J12" s="1536">
        <v>75000</v>
      </c>
      <c r="K12" s="792">
        <v>0.5</v>
      </c>
      <c r="L12" s="793">
        <f t="shared" si="7"/>
        <v>0.5</v>
      </c>
      <c r="N12" s="958">
        <f t="shared" si="0"/>
        <v>1200</v>
      </c>
      <c r="O12" s="958">
        <v>68.272199999999998</v>
      </c>
      <c r="Q12" s="958">
        <v>1200</v>
      </c>
      <c r="R12" s="958">
        <v>1200</v>
      </c>
      <c r="T12" s="794">
        <v>1</v>
      </c>
      <c r="U12" s="794">
        <f t="shared" si="8"/>
        <v>0</v>
      </c>
      <c r="W12" s="964">
        <f t="shared" si="1"/>
        <v>68750</v>
      </c>
      <c r="X12" s="970">
        <f t="shared" si="2"/>
        <v>34.697188175919251</v>
      </c>
      <c r="Y12" s="798">
        <f t="shared" si="9"/>
        <v>7.6</v>
      </c>
      <c r="Z12" s="364">
        <f t="shared" si="10"/>
        <v>260.71428571428572</v>
      </c>
      <c r="AA12" s="966">
        <f t="shared" si="11"/>
        <v>8250</v>
      </c>
      <c r="AB12" s="966">
        <f t="shared" si="12"/>
        <v>3437.5</v>
      </c>
      <c r="AC12" s="966">
        <f t="shared" si="13"/>
        <v>0</v>
      </c>
      <c r="AD12" s="966">
        <f t="shared" si="14"/>
        <v>4705.5937499999991</v>
      </c>
      <c r="AE12" s="966">
        <f t="shared" si="15"/>
        <v>530.24399999999991</v>
      </c>
      <c r="AF12" s="967">
        <v>0.1</v>
      </c>
      <c r="AG12" s="801">
        <v>0.5</v>
      </c>
      <c r="AH12" s="971">
        <f t="shared" si="16"/>
        <v>85673.337750000006</v>
      </c>
      <c r="AI12" s="969">
        <f t="shared" si="3"/>
        <v>0.24615764000000009</v>
      </c>
    </row>
    <row r="13" spans="2:35" ht="15" thickBot="1" x14ac:dyDescent="0.4">
      <c r="B13" s="771" t="str">
        <f t="shared" si="4"/>
        <v>AustraliaBackofficeL4</v>
      </c>
      <c r="C13" s="787" t="s">
        <v>326</v>
      </c>
      <c r="D13" s="788" t="s">
        <v>324</v>
      </c>
      <c r="E13" s="789" t="s">
        <v>344</v>
      </c>
      <c r="F13" s="958">
        <f t="shared" si="5"/>
        <v>79910.714285714275</v>
      </c>
      <c r="G13" s="958">
        <f t="shared" si="6"/>
        <v>99495.268553571412</v>
      </c>
      <c r="H13" s="791"/>
      <c r="I13" s="1536">
        <v>75892.85714285713</v>
      </c>
      <c r="J13" s="1536">
        <v>80357.142857142855</v>
      </c>
      <c r="K13" s="792">
        <v>0.1</v>
      </c>
      <c r="L13" s="793">
        <f t="shared" si="7"/>
        <v>0.9</v>
      </c>
      <c r="N13" s="958">
        <f t="shared" si="0"/>
        <v>1200</v>
      </c>
      <c r="O13" s="958">
        <v>68.272199999999998</v>
      </c>
      <c r="Q13" s="958">
        <v>1200</v>
      </c>
      <c r="R13" s="958">
        <v>1200</v>
      </c>
      <c r="T13" s="794">
        <v>1</v>
      </c>
      <c r="U13" s="794">
        <f t="shared" si="8"/>
        <v>0</v>
      </c>
      <c r="W13" s="972">
        <f t="shared" si="1"/>
        <v>79910.714285714275</v>
      </c>
      <c r="X13" s="973">
        <f t="shared" si="2"/>
        <v>40.329848594087956</v>
      </c>
      <c r="Y13" s="811">
        <f t="shared" si="9"/>
        <v>7.6</v>
      </c>
      <c r="Z13" s="812">
        <f t="shared" si="10"/>
        <v>260.71428571428572</v>
      </c>
      <c r="AA13" s="974">
        <f t="shared" si="11"/>
        <v>9589.2857142857119</v>
      </c>
      <c r="AB13" s="974">
        <f t="shared" si="12"/>
        <v>3995.5357142857138</v>
      </c>
      <c r="AC13" s="974">
        <f t="shared" si="13"/>
        <v>0</v>
      </c>
      <c r="AD13" s="974">
        <f t="shared" si="14"/>
        <v>5469.4888392857119</v>
      </c>
      <c r="AE13" s="974">
        <f t="shared" si="15"/>
        <v>530.24399999999991</v>
      </c>
      <c r="AF13" s="975">
        <v>0.1</v>
      </c>
      <c r="AG13" s="815">
        <v>0.5</v>
      </c>
      <c r="AH13" s="976">
        <f t="shared" si="16"/>
        <v>99495.268553571412</v>
      </c>
      <c r="AI13" s="977">
        <f t="shared" si="3"/>
        <v>0.24508045564245806</v>
      </c>
    </row>
    <row r="14" spans="2:35" ht="15" thickTop="1" x14ac:dyDescent="0.35">
      <c r="D14" s="771"/>
      <c r="W14" s="771"/>
      <c r="X14" s="963"/>
      <c r="Y14" s="771"/>
      <c r="Z14" s="771"/>
      <c r="AA14" s="771"/>
      <c r="AB14" s="771"/>
      <c r="AC14" s="771"/>
      <c r="AD14" s="771"/>
      <c r="AE14" s="771"/>
      <c r="AF14" s="771"/>
      <c r="AG14" s="771"/>
      <c r="AH14" s="771"/>
      <c r="AI14" s="771"/>
    </row>
    <row r="15" spans="2:35" ht="15" thickBot="1" x14ac:dyDescent="0.4">
      <c r="D15" s="819" t="s">
        <v>265</v>
      </c>
      <c r="E15" s="775"/>
      <c r="F15" s="775" t="s">
        <v>355</v>
      </c>
      <c r="G15" s="775" t="s">
        <v>356</v>
      </c>
      <c r="N15" s="820" t="s">
        <v>370</v>
      </c>
      <c r="O15" s="820" t="s">
        <v>328</v>
      </c>
      <c r="W15" s="771"/>
      <c r="X15" s="963"/>
      <c r="Y15" s="771"/>
      <c r="Z15" s="771"/>
      <c r="AA15" s="771"/>
      <c r="AB15" s="771"/>
      <c r="AC15" s="771"/>
      <c r="AD15" s="771"/>
      <c r="AE15" s="771"/>
      <c r="AF15" s="771"/>
      <c r="AG15" s="771"/>
      <c r="AH15" s="771"/>
      <c r="AI15" s="771"/>
    </row>
    <row r="16" spans="2:35" ht="15" thickTop="1" x14ac:dyDescent="0.35">
      <c r="D16" s="788" t="s">
        <v>204</v>
      </c>
      <c r="E16" s="789"/>
      <c r="F16" s="1536">
        <v>67458.209819775366</v>
      </c>
      <c r="G16" s="958">
        <f t="shared" ref="G16:G31" si="17">AH16</f>
        <v>84073.526660251708</v>
      </c>
      <c r="H16" s="963"/>
      <c r="I16" s="963"/>
      <c r="N16" s="821">
        <f>100%/12</f>
        <v>8.3333333333333329E-2</v>
      </c>
      <c r="O16" s="978">
        <v>68.272199999999998</v>
      </c>
      <c r="V16" s="963"/>
      <c r="W16" s="979">
        <f t="shared" ref="W16:W31" si="18">F16</f>
        <v>67458.209819775366</v>
      </c>
      <c r="X16" s="980">
        <f t="shared" ref="X16:X31" si="19">W16/(Y16*Z16)</f>
        <v>34.045239274580219</v>
      </c>
      <c r="Y16" s="981">
        <f t="shared" ref="Y16:Y31" si="20">38/5</f>
        <v>7.6</v>
      </c>
      <c r="Z16" s="825">
        <f t="shared" ref="Z16:Z31" si="21">365*5/7</f>
        <v>260.71428571428572</v>
      </c>
      <c r="AA16" s="982">
        <f t="shared" ref="AA16:AA31" si="22">W16*$AA$2</f>
        <v>8094.9851783730437</v>
      </c>
      <c r="AB16" s="982">
        <f t="shared" ref="AB16:AB31" si="23">W16*AF16*AG16</f>
        <v>3372.9104909887683</v>
      </c>
      <c r="AC16" s="982">
        <f t="shared" ref="AC16:AC31" si="24">SUM(W16,AA16:AB16)*$AC$2</f>
        <v>0</v>
      </c>
      <c r="AD16" s="982">
        <f t="shared" ref="AD16:AD31" si="25">SUM(W16,AA16:AC16)*$AD$2</f>
        <v>4617.1771711145238</v>
      </c>
      <c r="AE16" s="982">
        <f t="shared" ref="AE16:AE31" si="26">$AE$2*12</f>
        <v>530.24399999999991</v>
      </c>
      <c r="AF16" s="983">
        <v>0.1</v>
      </c>
      <c r="AG16" s="828">
        <v>0.5</v>
      </c>
      <c r="AH16" s="984">
        <f t="shared" ref="AH16:AH31" si="27">SUM(W16,AA16:AE16)</f>
        <v>84073.526660251708</v>
      </c>
      <c r="AI16" s="985">
        <f t="shared" ref="AI16:AI31" si="28">IFERROR((AH16-W16)/W16,0)</f>
        <v>0.2463053331072175</v>
      </c>
    </row>
    <row r="17" spans="4:35" x14ac:dyDescent="0.35">
      <c r="D17" s="788" t="s">
        <v>267</v>
      </c>
      <c r="E17" s="789"/>
      <c r="F17" s="1536">
        <v>92755.038502191121</v>
      </c>
      <c r="G17" s="958">
        <f t="shared" si="17"/>
        <v>115402.25765784609</v>
      </c>
      <c r="H17" s="963"/>
      <c r="I17" s="963"/>
      <c r="W17" s="964">
        <f t="shared" si="18"/>
        <v>92755.038502191121</v>
      </c>
      <c r="X17" s="970">
        <f t="shared" si="19"/>
        <v>46.812204002547794</v>
      </c>
      <c r="Y17" s="798">
        <f t="shared" si="20"/>
        <v>7.6</v>
      </c>
      <c r="Z17" s="364">
        <f t="shared" si="21"/>
        <v>260.71428571428572</v>
      </c>
      <c r="AA17" s="966">
        <f t="shared" si="22"/>
        <v>11130.604620262933</v>
      </c>
      <c r="AB17" s="966">
        <f t="shared" si="23"/>
        <v>4637.7519251095564</v>
      </c>
      <c r="AC17" s="966">
        <f t="shared" si="24"/>
        <v>0</v>
      </c>
      <c r="AD17" s="966">
        <f t="shared" si="25"/>
        <v>6348.6186102824704</v>
      </c>
      <c r="AE17" s="966">
        <f t="shared" si="26"/>
        <v>530.24399999999991</v>
      </c>
      <c r="AF17" s="967">
        <v>0.1</v>
      </c>
      <c r="AG17" s="801">
        <v>0.5</v>
      </c>
      <c r="AH17" s="971">
        <f t="shared" si="27"/>
        <v>115402.25765784609</v>
      </c>
      <c r="AI17" s="969">
        <f t="shared" si="28"/>
        <v>0.24416160589615818</v>
      </c>
    </row>
    <row r="18" spans="4:35" x14ac:dyDescent="0.35">
      <c r="D18" s="788" t="s">
        <v>205</v>
      </c>
      <c r="E18" s="789"/>
      <c r="F18" s="1536">
        <v>118061.25724722102</v>
      </c>
      <c r="G18" s="958">
        <f t="shared" si="17"/>
        <v>146742.61773153464</v>
      </c>
      <c r="H18" s="963"/>
      <c r="I18" s="963"/>
      <c r="W18" s="964">
        <f t="shared" si="18"/>
        <v>118061.25724722102</v>
      </c>
      <c r="X18" s="970">
        <f t="shared" si="19"/>
        <v>59.583907767162735</v>
      </c>
      <c r="Y18" s="798">
        <f t="shared" si="20"/>
        <v>7.6</v>
      </c>
      <c r="Z18" s="364">
        <f t="shared" si="21"/>
        <v>260.71428571428572</v>
      </c>
      <c r="AA18" s="966">
        <f t="shared" si="22"/>
        <v>14167.350869666521</v>
      </c>
      <c r="AB18" s="966">
        <f t="shared" si="23"/>
        <v>5903.062862361051</v>
      </c>
      <c r="AC18" s="966">
        <f t="shared" si="24"/>
        <v>0</v>
      </c>
      <c r="AD18" s="966">
        <f t="shared" si="25"/>
        <v>8080.7027522860408</v>
      </c>
      <c r="AE18" s="966">
        <f t="shared" si="26"/>
        <v>530.24399999999991</v>
      </c>
      <c r="AF18" s="967">
        <v>0.1</v>
      </c>
      <c r="AG18" s="801">
        <v>0.5</v>
      </c>
      <c r="AH18" s="971">
        <f t="shared" si="27"/>
        <v>146742.61773153464</v>
      </c>
      <c r="AI18" s="969">
        <f t="shared" si="28"/>
        <v>0.24293626167519694</v>
      </c>
    </row>
    <row r="19" spans="4:35" x14ac:dyDescent="0.35">
      <c r="D19" s="788" t="s">
        <v>250</v>
      </c>
      <c r="E19" s="789"/>
      <c r="F19" s="1536">
        <v>142034.08710104704</v>
      </c>
      <c r="G19" s="958">
        <f t="shared" si="17"/>
        <v>176431.6489998562</v>
      </c>
      <c r="H19" s="963"/>
      <c r="I19" s="963"/>
      <c r="W19" s="964">
        <f t="shared" si="18"/>
        <v>142034.08710104704</v>
      </c>
      <c r="X19" s="970">
        <f t="shared" si="19"/>
        <v>71.682668327853591</v>
      </c>
      <c r="Y19" s="798">
        <f t="shared" si="20"/>
        <v>7.6</v>
      </c>
      <c r="Z19" s="364">
        <f t="shared" si="21"/>
        <v>260.71428571428572</v>
      </c>
      <c r="AA19" s="966">
        <f t="shared" si="22"/>
        <v>17044.090452125645</v>
      </c>
      <c r="AB19" s="966">
        <f t="shared" si="23"/>
        <v>7101.7043550523522</v>
      </c>
      <c r="AC19" s="966">
        <f t="shared" si="24"/>
        <v>0</v>
      </c>
      <c r="AD19" s="966">
        <f t="shared" si="25"/>
        <v>9721.523091631163</v>
      </c>
      <c r="AE19" s="966">
        <f t="shared" si="26"/>
        <v>530.24399999999991</v>
      </c>
      <c r="AF19" s="967">
        <v>0.1</v>
      </c>
      <c r="AG19" s="801">
        <v>0.5</v>
      </c>
      <c r="AH19" s="971">
        <f t="shared" si="27"/>
        <v>176431.6489998562</v>
      </c>
      <c r="AI19" s="969">
        <f t="shared" si="28"/>
        <v>0.24217821651740379</v>
      </c>
    </row>
    <row r="20" spans="4:35" x14ac:dyDescent="0.35">
      <c r="D20" s="788" t="s">
        <v>371</v>
      </c>
      <c r="E20" s="789"/>
      <c r="F20" s="1536">
        <v>151799.75221972278</v>
      </c>
      <c r="G20" s="958">
        <f t="shared" si="17"/>
        <v>188525.88813775458</v>
      </c>
      <c r="H20" s="963"/>
      <c r="I20" s="963"/>
      <c r="W20" s="964">
        <f t="shared" si="18"/>
        <v>151799.75221972278</v>
      </c>
      <c r="X20" s="970">
        <f t="shared" si="19"/>
        <v>76.611266441100184</v>
      </c>
      <c r="Y20" s="798">
        <f t="shared" si="20"/>
        <v>7.6</v>
      </c>
      <c r="Z20" s="364">
        <f t="shared" si="21"/>
        <v>260.71428571428572</v>
      </c>
      <c r="AA20" s="966">
        <f t="shared" si="22"/>
        <v>18215.970266366734</v>
      </c>
      <c r="AB20" s="966">
        <f t="shared" si="23"/>
        <v>7589.9876109861398</v>
      </c>
      <c r="AC20" s="966">
        <f t="shared" si="24"/>
        <v>0</v>
      </c>
      <c r="AD20" s="966">
        <f t="shared" si="25"/>
        <v>10389.934040678923</v>
      </c>
      <c r="AE20" s="966">
        <f t="shared" si="26"/>
        <v>530.24399999999991</v>
      </c>
      <c r="AF20" s="967">
        <v>0.1</v>
      </c>
      <c r="AG20" s="801">
        <v>0.5</v>
      </c>
      <c r="AH20" s="971">
        <f t="shared" si="27"/>
        <v>188525.88813775458</v>
      </c>
      <c r="AI20" s="969">
        <f t="shared" si="28"/>
        <v>0.24193804917989917</v>
      </c>
    </row>
    <row r="21" spans="4:35" x14ac:dyDescent="0.35">
      <c r="D21" s="788" t="s">
        <v>372</v>
      </c>
      <c r="E21" s="789"/>
      <c r="F21" s="1536">
        <v>185538.2471922246</v>
      </c>
      <c r="G21" s="958">
        <f t="shared" si="17"/>
        <v>230309.1585439746</v>
      </c>
      <c r="H21" s="963"/>
      <c r="I21" s="963"/>
      <c r="W21" s="964">
        <f t="shared" si="18"/>
        <v>185538.2471922246</v>
      </c>
      <c r="X21" s="970">
        <f t="shared" si="19"/>
        <v>93.638625115037655</v>
      </c>
      <c r="Y21" s="798">
        <f t="shared" si="20"/>
        <v>7.6</v>
      </c>
      <c r="Z21" s="364">
        <f t="shared" si="21"/>
        <v>260.71428571428572</v>
      </c>
      <c r="AA21" s="966">
        <f t="shared" si="22"/>
        <v>22264.589663066952</v>
      </c>
      <c r="AB21" s="966">
        <f t="shared" si="23"/>
        <v>9276.9123596112313</v>
      </c>
      <c r="AC21" s="966">
        <f t="shared" si="24"/>
        <v>0</v>
      </c>
      <c r="AD21" s="966">
        <f t="shared" si="25"/>
        <v>12699.165329071811</v>
      </c>
      <c r="AE21" s="966">
        <f t="shared" si="26"/>
        <v>530.24399999999991</v>
      </c>
      <c r="AF21" s="967">
        <v>0.1</v>
      </c>
      <c r="AG21" s="801">
        <v>0.5</v>
      </c>
      <c r="AH21" s="971">
        <f t="shared" si="27"/>
        <v>230309.1585439746</v>
      </c>
      <c r="AI21" s="969">
        <f t="shared" si="28"/>
        <v>0.24130286897324002</v>
      </c>
    </row>
    <row r="22" spans="4:35" x14ac:dyDescent="0.35">
      <c r="D22" s="788" t="s">
        <v>373</v>
      </c>
      <c r="E22" s="789"/>
      <c r="F22" s="1536">
        <v>241199.721349892</v>
      </c>
      <c r="G22" s="958">
        <f t="shared" si="17"/>
        <v>299242.83290716703</v>
      </c>
      <c r="H22" s="963"/>
      <c r="I22" s="963"/>
      <c r="W22" s="964">
        <f t="shared" si="18"/>
        <v>241199.721349892</v>
      </c>
      <c r="X22" s="970">
        <f t="shared" si="19"/>
        <v>121.73021264954896</v>
      </c>
      <c r="Y22" s="798">
        <f t="shared" si="20"/>
        <v>7.6</v>
      </c>
      <c r="Z22" s="364">
        <f t="shared" si="21"/>
        <v>260.71428571428572</v>
      </c>
      <c r="AA22" s="966">
        <f t="shared" si="22"/>
        <v>28943.966561987039</v>
      </c>
      <c r="AB22" s="966">
        <f t="shared" si="23"/>
        <v>12059.986067494601</v>
      </c>
      <c r="AC22" s="966">
        <f t="shared" si="24"/>
        <v>0</v>
      </c>
      <c r="AD22" s="966">
        <f t="shared" si="25"/>
        <v>16508.914927793354</v>
      </c>
      <c r="AE22" s="966">
        <f t="shared" si="26"/>
        <v>530.24399999999991</v>
      </c>
      <c r="AF22" s="967">
        <v>0.1</v>
      </c>
      <c r="AG22" s="801">
        <v>0.5</v>
      </c>
      <c r="AH22" s="971">
        <f t="shared" si="27"/>
        <v>299242.83290716703</v>
      </c>
      <c r="AI22" s="969">
        <f t="shared" si="28"/>
        <v>0.24064336074864631</v>
      </c>
    </row>
    <row r="23" spans="4:35" x14ac:dyDescent="0.35">
      <c r="D23" s="788" t="s">
        <v>374</v>
      </c>
      <c r="E23" s="789"/>
      <c r="F23" s="1536">
        <v>67458.209819775366</v>
      </c>
      <c r="G23" s="958">
        <f t="shared" si="17"/>
        <v>84073.526660251708</v>
      </c>
      <c r="H23" s="963"/>
      <c r="I23" s="963"/>
      <c r="W23" s="986">
        <f t="shared" si="18"/>
        <v>67458.209819775366</v>
      </c>
      <c r="X23" s="987">
        <f t="shared" si="19"/>
        <v>34.045239274580219</v>
      </c>
      <c r="Y23" s="798">
        <f t="shared" si="20"/>
        <v>7.6</v>
      </c>
      <c r="Z23" s="838">
        <f t="shared" si="21"/>
        <v>260.71428571428572</v>
      </c>
      <c r="AA23" s="966">
        <f t="shared" si="22"/>
        <v>8094.9851783730437</v>
      </c>
      <c r="AB23" s="966">
        <f t="shared" si="23"/>
        <v>3372.9104909887683</v>
      </c>
      <c r="AC23" s="966">
        <f t="shared" si="24"/>
        <v>0</v>
      </c>
      <c r="AD23" s="966">
        <f t="shared" si="25"/>
        <v>4617.1771711145238</v>
      </c>
      <c r="AE23" s="966">
        <f t="shared" si="26"/>
        <v>530.24399999999991</v>
      </c>
      <c r="AF23" s="967">
        <v>0.1</v>
      </c>
      <c r="AG23" s="801">
        <v>0.5</v>
      </c>
      <c r="AH23" s="988">
        <f t="shared" si="27"/>
        <v>84073.526660251708</v>
      </c>
      <c r="AI23" s="969">
        <f t="shared" si="28"/>
        <v>0.2463053331072175</v>
      </c>
    </row>
    <row r="24" spans="4:35" x14ac:dyDescent="0.35">
      <c r="D24" s="788" t="s">
        <v>47</v>
      </c>
      <c r="E24" s="789"/>
      <c r="F24" s="1536">
        <v>84322.762274719193</v>
      </c>
      <c r="G24" s="958">
        <f t="shared" si="17"/>
        <v>104959.34732531461</v>
      </c>
      <c r="H24" s="963"/>
      <c r="I24" s="963"/>
      <c r="W24" s="986">
        <f t="shared" si="18"/>
        <v>84322.762274719193</v>
      </c>
      <c r="X24" s="987">
        <f t="shared" si="19"/>
        <v>42.556549093225264</v>
      </c>
      <c r="Y24" s="798">
        <f t="shared" si="20"/>
        <v>7.6</v>
      </c>
      <c r="Z24" s="838">
        <f t="shared" si="21"/>
        <v>260.71428571428572</v>
      </c>
      <c r="AA24" s="966">
        <f t="shared" si="22"/>
        <v>10118.731472966303</v>
      </c>
      <c r="AB24" s="966">
        <f t="shared" si="23"/>
        <v>4216.1381137359595</v>
      </c>
      <c r="AC24" s="966">
        <f t="shared" si="24"/>
        <v>0</v>
      </c>
      <c r="AD24" s="966">
        <f t="shared" si="25"/>
        <v>5771.4714638931537</v>
      </c>
      <c r="AE24" s="966">
        <f t="shared" si="26"/>
        <v>530.24399999999991</v>
      </c>
      <c r="AF24" s="967">
        <v>0.1</v>
      </c>
      <c r="AG24" s="801">
        <v>0.5</v>
      </c>
      <c r="AH24" s="988">
        <f t="shared" si="27"/>
        <v>104959.34732531461</v>
      </c>
      <c r="AI24" s="969">
        <f t="shared" si="28"/>
        <v>0.2447332664857739</v>
      </c>
    </row>
    <row r="25" spans="4:35" x14ac:dyDescent="0.35">
      <c r="D25" s="788" t="s">
        <v>46</v>
      </c>
      <c r="E25" s="789"/>
      <c r="F25" s="1536">
        <v>84322.762274719193</v>
      </c>
      <c r="G25" s="958">
        <f t="shared" si="17"/>
        <v>104959.34732531461</v>
      </c>
      <c r="H25" s="963"/>
      <c r="I25" s="963"/>
      <c r="W25" s="986">
        <f t="shared" si="18"/>
        <v>84322.762274719193</v>
      </c>
      <c r="X25" s="987">
        <f t="shared" si="19"/>
        <v>42.556549093225264</v>
      </c>
      <c r="Y25" s="798">
        <f t="shared" si="20"/>
        <v>7.6</v>
      </c>
      <c r="Z25" s="838">
        <f t="shared" si="21"/>
        <v>260.71428571428572</v>
      </c>
      <c r="AA25" s="966">
        <f t="shared" si="22"/>
        <v>10118.731472966303</v>
      </c>
      <c r="AB25" s="966">
        <f t="shared" si="23"/>
        <v>4216.1381137359595</v>
      </c>
      <c r="AC25" s="966">
        <f t="shared" si="24"/>
        <v>0</v>
      </c>
      <c r="AD25" s="966">
        <f t="shared" si="25"/>
        <v>5771.4714638931537</v>
      </c>
      <c r="AE25" s="966">
        <f t="shared" si="26"/>
        <v>530.24399999999991</v>
      </c>
      <c r="AF25" s="967">
        <v>0.1</v>
      </c>
      <c r="AG25" s="801">
        <v>0.5</v>
      </c>
      <c r="AH25" s="988">
        <f t="shared" si="27"/>
        <v>104959.34732531461</v>
      </c>
      <c r="AI25" s="969">
        <f t="shared" si="28"/>
        <v>0.2447332664857739</v>
      </c>
    </row>
    <row r="26" spans="4:35" x14ac:dyDescent="0.35">
      <c r="D26" s="788" t="s">
        <v>206</v>
      </c>
      <c r="E26" s="789"/>
      <c r="F26" s="1536">
        <v>67458.209819775366</v>
      </c>
      <c r="G26" s="958">
        <f t="shared" si="17"/>
        <v>84073.526660251708</v>
      </c>
      <c r="H26" s="963"/>
      <c r="I26" s="963"/>
      <c r="W26" s="986">
        <f t="shared" si="18"/>
        <v>67458.209819775366</v>
      </c>
      <c r="X26" s="987">
        <f t="shared" si="19"/>
        <v>34.045239274580219</v>
      </c>
      <c r="Y26" s="798">
        <f t="shared" si="20"/>
        <v>7.6</v>
      </c>
      <c r="Z26" s="838">
        <f t="shared" si="21"/>
        <v>260.71428571428572</v>
      </c>
      <c r="AA26" s="966">
        <f t="shared" si="22"/>
        <v>8094.9851783730437</v>
      </c>
      <c r="AB26" s="966">
        <f t="shared" si="23"/>
        <v>3372.9104909887683</v>
      </c>
      <c r="AC26" s="966">
        <f t="shared" si="24"/>
        <v>0</v>
      </c>
      <c r="AD26" s="966">
        <f t="shared" si="25"/>
        <v>4617.1771711145238</v>
      </c>
      <c r="AE26" s="966">
        <f t="shared" si="26"/>
        <v>530.24399999999991</v>
      </c>
      <c r="AF26" s="967">
        <v>0.1</v>
      </c>
      <c r="AG26" s="801">
        <v>0.5</v>
      </c>
      <c r="AH26" s="988">
        <f t="shared" si="27"/>
        <v>84073.526660251708</v>
      </c>
      <c r="AI26" s="969">
        <f t="shared" si="28"/>
        <v>0.2463053331072175</v>
      </c>
    </row>
    <row r="27" spans="4:35" x14ac:dyDescent="0.35">
      <c r="D27" s="788" t="s">
        <v>375</v>
      </c>
      <c r="E27" s="789"/>
      <c r="F27" s="1536">
        <v>142034.08710104704</v>
      </c>
      <c r="G27" s="958">
        <f t="shared" si="17"/>
        <v>176431.6489998562</v>
      </c>
      <c r="H27" s="963"/>
      <c r="I27" s="963"/>
      <c r="W27" s="986">
        <f t="shared" si="18"/>
        <v>142034.08710104704</v>
      </c>
      <c r="X27" s="987">
        <f t="shared" si="19"/>
        <v>71.682668327853591</v>
      </c>
      <c r="Y27" s="798">
        <f t="shared" si="20"/>
        <v>7.6</v>
      </c>
      <c r="Z27" s="838">
        <f t="shared" si="21"/>
        <v>260.71428571428572</v>
      </c>
      <c r="AA27" s="966">
        <f t="shared" si="22"/>
        <v>17044.090452125645</v>
      </c>
      <c r="AB27" s="966">
        <f t="shared" si="23"/>
        <v>7101.7043550523522</v>
      </c>
      <c r="AC27" s="966">
        <f t="shared" si="24"/>
        <v>0</v>
      </c>
      <c r="AD27" s="966">
        <f t="shared" si="25"/>
        <v>9721.523091631163</v>
      </c>
      <c r="AE27" s="966">
        <f t="shared" si="26"/>
        <v>530.24399999999991</v>
      </c>
      <c r="AF27" s="967">
        <v>0.1</v>
      </c>
      <c r="AG27" s="801">
        <v>0.5</v>
      </c>
      <c r="AH27" s="988">
        <f t="shared" si="27"/>
        <v>176431.6489998562</v>
      </c>
      <c r="AI27" s="969">
        <f t="shared" si="28"/>
        <v>0.24217821651740379</v>
      </c>
    </row>
    <row r="28" spans="4:35" x14ac:dyDescent="0.35">
      <c r="D28" s="788" t="s">
        <v>376</v>
      </c>
      <c r="E28" s="789"/>
      <c r="F28" s="1536">
        <v>142034.08710104704</v>
      </c>
      <c r="G28" s="958">
        <f t="shared" si="17"/>
        <v>176431.6489998562</v>
      </c>
      <c r="H28" s="963"/>
      <c r="I28" s="963"/>
      <c r="W28" s="986">
        <f t="shared" si="18"/>
        <v>142034.08710104704</v>
      </c>
      <c r="X28" s="987">
        <f t="shared" si="19"/>
        <v>71.682668327853591</v>
      </c>
      <c r="Y28" s="798">
        <f t="shared" si="20"/>
        <v>7.6</v>
      </c>
      <c r="Z28" s="838">
        <f t="shared" si="21"/>
        <v>260.71428571428572</v>
      </c>
      <c r="AA28" s="966">
        <f t="shared" si="22"/>
        <v>17044.090452125645</v>
      </c>
      <c r="AB28" s="966">
        <f t="shared" si="23"/>
        <v>7101.7043550523522</v>
      </c>
      <c r="AC28" s="966">
        <f t="shared" si="24"/>
        <v>0</v>
      </c>
      <c r="AD28" s="966">
        <f t="shared" si="25"/>
        <v>9721.523091631163</v>
      </c>
      <c r="AE28" s="966">
        <f t="shared" si="26"/>
        <v>530.24399999999991</v>
      </c>
      <c r="AF28" s="967">
        <v>0.1</v>
      </c>
      <c r="AG28" s="801">
        <v>0.5</v>
      </c>
      <c r="AH28" s="988">
        <f t="shared" si="27"/>
        <v>176431.6489998562</v>
      </c>
      <c r="AI28" s="969">
        <f t="shared" si="28"/>
        <v>0.24217821651740379</v>
      </c>
    </row>
    <row r="29" spans="4:35" x14ac:dyDescent="0.35">
      <c r="D29" s="788" t="s">
        <v>377</v>
      </c>
      <c r="E29" s="789"/>
      <c r="F29" s="1536"/>
      <c r="G29" s="958">
        <f t="shared" si="17"/>
        <v>530.24399999999991</v>
      </c>
      <c r="H29" s="963"/>
      <c r="I29" s="963"/>
      <c r="W29" s="986">
        <f t="shared" si="18"/>
        <v>0</v>
      </c>
      <c r="X29" s="987">
        <f t="shared" si="19"/>
        <v>0</v>
      </c>
      <c r="Y29" s="798">
        <f t="shared" si="20"/>
        <v>7.6</v>
      </c>
      <c r="Z29" s="838">
        <f t="shared" si="21"/>
        <v>260.71428571428572</v>
      </c>
      <c r="AA29" s="966">
        <f t="shared" si="22"/>
        <v>0</v>
      </c>
      <c r="AB29" s="966">
        <f t="shared" si="23"/>
        <v>0</v>
      </c>
      <c r="AC29" s="966">
        <f t="shared" si="24"/>
        <v>0</v>
      </c>
      <c r="AD29" s="966">
        <f t="shared" si="25"/>
        <v>0</v>
      </c>
      <c r="AE29" s="966">
        <f t="shared" si="26"/>
        <v>530.24399999999991</v>
      </c>
      <c r="AF29" s="967">
        <v>0.1</v>
      </c>
      <c r="AG29" s="801">
        <v>0.5</v>
      </c>
      <c r="AH29" s="988">
        <f t="shared" si="27"/>
        <v>530.24399999999991</v>
      </c>
      <c r="AI29" s="969">
        <f t="shared" si="28"/>
        <v>0</v>
      </c>
    </row>
    <row r="30" spans="4:35" x14ac:dyDescent="0.35">
      <c r="D30" s="788" t="s">
        <v>378</v>
      </c>
      <c r="E30" s="789"/>
      <c r="F30" s="1536"/>
      <c r="G30" s="958">
        <f t="shared" si="17"/>
        <v>530.24399999999991</v>
      </c>
      <c r="H30" s="963"/>
      <c r="I30" s="963"/>
      <c r="W30" s="986">
        <f t="shared" si="18"/>
        <v>0</v>
      </c>
      <c r="X30" s="987">
        <f t="shared" si="19"/>
        <v>0</v>
      </c>
      <c r="Y30" s="798">
        <f t="shared" si="20"/>
        <v>7.6</v>
      </c>
      <c r="Z30" s="838">
        <f t="shared" si="21"/>
        <v>260.71428571428572</v>
      </c>
      <c r="AA30" s="966">
        <f t="shared" si="22"/>
        <v>0</v>
      </c>
      <c r="AB30" s="966">
        <f t="shared" si="23"/>
        <v>0</v>
      </c>
      <c r="AC30" s="966">
        <f t="shared" si="24"/>
        <v>0</v>
      </c>
      <c r="AD30" s="966">
        <f t="shared" si="25"/>
        <v>0</v>
      </c>
      <c r="AE30" s="966">
        <f t="shared" si="26"/>
        <v>530.24399999999991</v>
      </c>
      <c r="AF30" s="967">
        <v>0.1</v>
      </c>
      <c r="AG30" s="801">
        <v>0.5</v>
      </c>
      <c r="AH30" s="988">
        <f t="shared" si="27"/>
        <v>530.24399999999991</v>
      </c>
      <c r="AI30" s="969">
        <f t="shared" si="28"/>
        <v>0</v>
      </c>
    </row>
    <row r="31" spans="4:35" ht="15" thickBot="1" x14ac:dyDescent="0.4">
      <c r="D31" s="788" t="s">
        <v>379</v>
      </c>
      <c r="E31" s="789"/>
      <c r="F31" s="1536"/>
      <c r="G31" s="958">
        <f t="shared" si="17"/>
        <v>530.24399999999991</v>
      </c>
      <c r="H31" s="963"/>
      <c r="I31" s="963"/>
      <c r="W31" s="972">
        <f t="shared" si="18"/>
        <v>0</v>
      </c>
      <c r="X31" s="973">
        <f t="shared" si="19"/>
        <v>0</v>
      </c>
      <c r="Y31" s="811">
        <f t="shared" si="20"/>
        <v>7.6</v>
      </c>
      <c r="Z31" s="812">
        <f t="shared" si="21"/>
        <v>260.71428571428572</v>
      </c>
      <c r="AA31" s="974">
        <f t="shared" si="22"/>
        <v>0</v>
      </c>
      <c r="AB31" s="974">
        <f t="shared" si="23"/>
        <v>0</v>
      </c>
      <c r="AC31" s="974">
        <f t="shared" si="24"/>
        <v>0</v>
      </c>
      <c r="AD31" s="974">
        <f t="shared" si="25"/>
        <v>0</v>
      </c>
      <c r="AE31" s="974">
        <f t="shared" si="26"/>
        <v>530.24399999999991</v>
      </c>
      <c r="AF31" s="975">
        <v>0.1</v>
      </c>
      <c r="AG31" s="815">
        <v>0.5</v>
      </c>
      <c r="AH31" s="976">
        <f t="shared" si="27"/>
        <v>530.24399999999991</v>
      </c>
      <c r="AI31" s="977">
        <f t="shared" si="28"/>
        <v>0</v>
      </c>
    </row>
    <row r="32" spans="4:35" ht="15" thickTop="1" x14ac:dyDescent="0.35">
      <c r="D32" s="771"/>
      <c r="W32" s="771"/>
      <c r="X32" s="771"/>
      <c r="Y32" s="771"/>
      <c r="Z32" s="771"/>
      <c r="AA32" s="771"/>
      <c r="AB32" s="771"/>
      <c r="AC32" s="771"/>
      <c r="AD32" s="771"/>
      <c r="AE32" s="771"/>
      <c r="AF32" s="771"/>
      <c r="AG32" s="771"/>
      <c r="AH32" s="771"/>
      <c r="AI32" s="771"/>
    </row>
    <row r="33" spans="3:35" x14ac:dyDescent="0.35">
      <c r="D33" s="841" t="s">
        <v>521</v>
      </c>
      <c r="W33" s="771"/>
      <c r="X33" s="771"/>
      <c r="Y33" s="771"/>
      <c r="Z33" s="771"/>
      <c r="AA33" s="771"/>
      <c r="AB33" s="771"/>
      <c r="AC33" s="771"/>
      <c r="AD33" s="771"/>
      <c r="AE33" s="771"/>
      <c r="AF33" s="771"/>
      <c r="AG33" s="771"/>
      <c r="AH33" s="771"/>
      <c r="AI33" s="771"/>
    </row>
    <row r="34" spans="3:35" ht="15" thickBot="1" x14ac:dyDescent="0.4">
      <c r="D34" s="819" t="s">
        <v>265</v>
      </c>
      <c r="E34" s="775"/>
      <c r="F34" s="775" t="s">
        <v>355</v>
      </c>
      <c r="G34" s="775" t="s">
        <v>356</v>
      </c>
      <c r="N34" s="820" t="s">
        <v>370</v>
      </c>
      <c r="O34" s="820" t="s">
        <v>328</v>
      </c>
      <c r="W34" s="771"/>
      <c r="X34" s="963"/>
      <c r="Y34" s="771"/>
      <c r="Z34" s="771"/>
      <c r="AA34" s="771"/>
      <c r="AB34" s="771"/>
      <c r="AC34" s="771"/>
      <c r="AD34" s="771"/>
      <c r="AE34" s="771"/>
      <c r="AF34" s="771"/>
      <c r="AG34" s="771"/>
      <c r="AH34" s="771"/>
      <c r="AI34" s="771"/>
    </row>
    <row r="35" spans="3:35" ht="15" thickTop="1" x14ac:dyDescent="0.35">
      <c r="D35" s="788" t="s">
        <v>204</v>
      </c>
      <c r="E35" s="789"/>
      <c r="F35" s="1536">
        <v>87901.78571428571</v>
      </c>
      <c r="G35" s="958">
        <f t="shared" ref="G35:G47" si="29">AH35</f>
        <v>109391.77100892858</v>
      </c>
      <c r="H35" s="963"/>
      <c r="I35" s="963"/>
      <c r="N35" s="821">
        <f>100%/12</f>
        <v>8.3333333333333329E-2</v>
      </c>
      <c r="O35" s="978">
        <v>50</v>
      </c>
      <c r="W35" s="979">
        <f t="shared" ref="W35:W50" si="30">F35</f>
        <v>87901.78571428571</v>
      </c>
      <c r="X35" s="980">
        <f t="shared" ref="X35:X50" si="31">W35/(Y35*Z35)</f>
        <v>44.362833453496755</v>
      </c>
      <c r="Y35" s="981">
        <f t="shared" ref="Y35:Y50" si="32">38/5</f>
        <v>7.6</v>
      </c>
      <c r="Z35" s="825">
        <f t="shared" ref="Z35:Z50" si="33">365*5/7</f>
        <v>260.71428571428572</v>
      </c>
      <c r="AA35" s="982">
        <f t="shared" ref="AA35:AA50" si="34">W35*$AA$2</f>
        <v>10548.214285714284</v>
      </c>
      <c r="AB35" s="982">
        <f t="shared" ref="AB35:AB50" si="35">W35*AF35*AG35</f>
        <v>4395.0892857142853</v>
      </c>
      <c r="AC35" s="982">
        <f t="shared" ref="AC35:AC50" si="36">SUM(W35,AA35:AB35)*$AC$2</f>
        <v>0</v>
      </c>
      <c r="AD35" s="982">
        <f t="shared" ref="AD35:AD50" si="37">SUM(W35,AA35:AC35)*$AD$2</f>
        <v>6016.4377232142851</v>
      </c>
      <c r="AE35" s="982">
        <f t="shared" ref="AE35:AE50" si="38">$AE$2*12</f>
        <v>530.24399999999991</v>
      </c>
      <c r="AF35" s="983">
        <v>0.1</v>
      </c>
      <c r="AG35" s="828">
        <v>0.5</v>
      </c>
      <c r="AH35" s="984">
        <f t="shared" ref="AH35:AH50" si="39">SUM(W35,AA35:AE35)</f>
        <v>109391.77100892858</v>
      </c>
      <c r="AI35" s="985">
        <f t="shared" ref="AI35:AI50" si="40">IFERROR((AH35-W35)/W35,0)</f>
        <v>0.24447723240223482</v>
      </c>
    </row>
    <row r="36" spans="3:35" x14ac:dyDescent="0.35">
      <c r="C36" s="989">
        <v>0.15</v>
      </c>
      <c r="D36" s="788" t="s">
        <v>267</v>
      </c>
      <c r="E36" s="789"/>
      <c r="F36" s="1536">
        <v>101087.05357142857</v>
      </c>
      <c r="G36" s="958">
        <f t="shared" si="29"/>
        <v>125721.00006026786</v>
      </c>
      <c r="H36" s="963"/>
      <c r="W36" s="964">
        <f t="shared" si="30"/>
        <v>101087.05357142857</v>
      </c>
      <c r="X36" s="970">
        <f t="shared" si="31"/>
        <v>51.017258471521266</v>
      </c>
      <c r="Y36" s="798">
        <f t="shared" si="32"/>
        <v>7.6</v>
      </c>
      <c r="Z36" s="364">
        <f t="shared" si="33"/>
        <v>260.71428571428572</v>
      </c>
      <c r="AA36" s="966">
        <f t="shared" si="34"/>
        <v>12130.446428571428</v>
      </c>
      <c r="AB36" s="966">
        <f t="shared" si="35"/>
        <v>5054.3526785714284</v>
      </c>
      <c r="AC36" s="966">
        <f t="shared" si="36"/>
        <v>0</v>
      </c>
      <c r="AD36" s="966">
        <f t="shared" si="37"/>
        <v>6918.9033816964275</v>
      </c>
      <c r="AE36" s="966">
        <f t="shared" si="38"/>
        <v>530.24399999999991</v>
      </c>
      <c r="AF36" s="967">
        <v>0.1</v>
      </c>
      <c r="AG36" s="801">
        <v>0.5</v>
      </c>
      <c r="AH36" s="971">
        <f t="shared" si="39"/>
        <v>125721.00006026786</v>
      </c>
      <c r="AI36" s="969">
        <f t="shared" si="40"/>
        <v>0.24369041948020417</v>
      </c>
    </row>
    <row r="37" spans="3:35" x14ac:dyDescent="0.35">
      <c r="D37" s="788" t="s">
        <v>205</v>
      </c>
      <c r="E37" s="789"/>
      <c r="F37" s="1536">
        <v>118061.25724722102</v>
      </c>
      <c r="G37" s="958">
        <f t="shared" si="29"/>
        <v>146742.61773153464</v>
      </c>
      <c r="H37" s="963"/>
      <c r="W37" s="964">
        <f t="shared" si="30"/>
        <v>118061.25724722102</v>
      </c>
      <c r="X37" s="970">
        <f t="shared" si="31"/>
        <v>59.583907767162735</v>
      </c>
      <c r="Y37" s="798">
        <f t="shared" si="32"/>
        <v>7.6</v>
      </c>
      <c r="Z37" s="364">
        <f t="shared" si="33"/>
        <v>260.71428571428572</v>
      </c>
      <c r="AA37" s="966">
        <f t="shared" si="34"/>
        <v>14167.350869666521</v>
      </c>
      <c r="AB37" s="966">
        <f t="shared" si="35"/>
        <v>5903.062862361051</v>
      </c>
      <c r="AC37" s="966">
        <f t="shared" si="36"/>
        <v>0</v>
      </c>
      <c r="AD37" s="966">
        <f t="shared" si="37"/>
        <v>8080.7027522860408</v>
      </c>
      <c r="AE37" s="966">
        <f t="shared" si="38"/>
        <v>530.24399999999991</v>
      </c>
      <c r="AF37" s="967">
        <v>0.1</v>
      </c>
      <c r="AG37" s="801">
        <v>0.5</v>
      </c>
      <c r="AH37" s="971">
        <f t="shared" si="39"/>
        <v>146742.61773153464</v>
      </c>
      <c r="AI37" s="969">
        <f t="shared" si="40"/>
        <v>0.24293626167519694</v>
      </c>
    </row>
    <row r="38" spans="3:35" x14ac:dyDescent="0.35">
      <c r="D38" s="788" t="s">
        <v>250</v>
      </c>
      <c r="E38" s="789"/>
      <c r="F38" s="1536">
        <v>142034.08710104704</v>
      </c>
      <c r="G38" s="958">
        <f t="shared" si="29"/>
        <v>176431.6489998562</v>
      </c>
      <c r="H38" s="963"/>
      <c r="W38" s="964">
        <f t="shared" si="30"/>
        <v>142034.08710104704</v>
      </c>
      <c r="X38" s="970">
        <f t="shared" si="31"/>
        <v>71.682668327853591</v>
      </c>
      <c r="Y38" s="798">
        <f t="shared" si="32"/>
        <v>7.6</v>
      </c>
      <c r="Z38" s="364">
        <f t="shared" si="33"/>
        <v>260.71428571428572</v>
      </c>
      <c r="AA38" s="966">
        <f t="shared" si="34"/>
        <v>17044.090452125645</v>
      </c>
      <c r="AB38" s="966">
        <f t="shared" si="35"/>
        <v>7101.7043550523522</v>
      </c>
      <c r="AC38" s="966">
        <f t="shared" si="36"/>
        <v>0</v>
      </c>
      <c r="AD38" s="966">
        <f t="shared" si="37"/>
        <v>9721.523091631163</v>
      </c>
      <c r="AE38" s="966">
        <f t="shared" si="38"/>
        <v>530.24399999999991</v>
      </c>
      <c r="AF38" s="967">
        <v>0.1</v>
      </c>
      <c r="AG38" s="801">
        <v>0.5</v>
      </c>
      <c r="AH38" s="971">
        <f t="shared" si="39"/>
        <v>176431.6489998562</v>
      </c>
      <c r="AI38" s="969">
        <f t="shared" si="40"/>
        <v>0.24217821651740379</v>
      </c>
    </row>
    <row r="39" spans="3:35" x14ac:dyDescent="0.35">
      <c r="D39" s="788" t="s">
        <v>371</v>
      </c>
      <c r="E39" s="789"/>
      <c r="F39" s="1536">
        <v>151799.75221972278</v>
      </c>
      <c r="G39" s="958">
        <f t="shared" si="29"/>
        <v>188525.88813775458</v>
      </c>
      <c r="H39" s="963"/>
      <c r="W39" s="964">
        <f t="shared" si="30"/>
        <v>151799.75221972278</v>
      </c>
      <c r="X39" s="970">
        <f t="shared" si="31"/>
        <v>76.611266441100184</v>
      </c>
      <c r="Y39" s="798">
        <f t="shared" si="32"/>
        <v>7.6</v>
      </c>
      <c r="Z39" s="364">
        <f t="shared" si="33"/>
        <v>260.71428571428572</v>
      </c>
      <c r="AA39" s="966">
        <f t="shared" si="34"/>
        <v>18215.970266366734</v>
      </c>
      <c r="AB39" s="966">
        <f t="shared" si="35"/>
        <v>7589.9876109861398</v>
      </c>
      <c r="AC39" s="966">
        <f t="shared" si="36"/>
        <v>0</v>
      </c>
      <c r="AD39" s="966">
        <f t="shared" si="37"/>
        <v>10389.934040678923</v>
      </c>
      <c r="AE39" s="966">
        <f t="shared" si="38"/>
        <v>530.24399999999991</v>
      </c>
      <c r="AF39" s="967">
        <v>0.1</v>
      </c>
      <c r="AG39" s="801">
        <v>0.5</v>
      </c>
      <c r="AH39" s="971">
        <f t="shared" si="39"/>
        <v>188525.88813775458</v>
      </c>
      <c r="AI39" s="969">
        <f t="shared" si="40"/>
        <v>0.24193804917989917</v>
      </c>
    </row>
    <row r="40" spans="3:35" x14ac:dyDescent="0.35">
      <c r="D40" s="788" t="s">
        <v>372</v>
      </c>
      <c r="E40" s="789"/>
      <c r="F40" s="1536">
        <v>185538.2471922246</v>
      </c>
      <c r="G40" s="958">
        <f t="shared" si="29"/>
        <v>230309.1585439746</v>
      </c>
      <c r="H40" s="963"/>
      <c r="W40" s="964">
        <f t="shared" si="30"/>
        <v>185538.2471922246</v>
      </c>
      <c r="X40" s="970">
        <f t="shared" si="31"/>
        <v>93.638625115037655</v>
      </c>
      <c r="Y40" s="798">
        <f t="shared" si="32"/>
        <v>7.6</v>
      </c>
      <c r="Z40" s="364">
        <f t="shared" si="33"/>
        <v>260.71428571428572</v>
      </c>
      <c r="AA40" s="966">
        <f t="shared" si="34"/>
        <v>22264.589663066952</v>
      </c>
      <c r="AB40" s="966">
        <f t="shared" si="35"/>
        <v>9276.9123596112313</v>
      </c>
      <c r="AC40" s="966">
        <f t="shared" si="36"/>
        <v>0</v>
      </c>
      <c r="AD40" s="966">
        <f t="shared" si="37"/>
        <v>12699.165329071811</v>
      </c>
      <c r="AE40" s="966">
        <f t="shared" si="38"/>
        <v>530.24399999999991</v>
      </c>
      <c r="AF40" s="967">
        <v>0.1</v>
      </c>
      <c r="AG40" s="801">
        <v>0.5</v>
      </c>
      <c r="AH40" s="971">
        <f t="shared" si="39"/>
        <v>230309.1585439746</v>
      </c>
      <c r="AI40" s="969">
        <f t="shared" si="40"/>
        <v>0.24130286897324002</v>
      </c>
    </row>
    <row r="41" spans="3:35" x14ac:dyDescent="0.35">
      <c r="C41" s="832">
        <v>0.3</v>
      </c>
      <c r="D41" s="788" t="s">
        <v>373</v>
      </c>
      <c r="E41" s="789"/>
      <c r="F41" s="1536">
        <v>241199.721349892</v>
      </c>
      <c r="G41" s="958">
        <f t="shared" si="29"/>
        <v>299242.83290716703</v>
      </c>
      <c r="H41" s="963"/>
      <c r="W41" s="964">
        <f t="shared" si="30"/>
        <v>241199.721349892</v>
      </c>
      <c r="X41" s="970">
        <f t="shared" si="31"/>
        <v>121.73021264954896</v>
      </c>
      <c r="Y41" s="798">
        <f t="shared" si="32"/>
        <v>7.6</v>
      </c>
      <c r="Z41" s="364">
        <f t="shared" si="33"/>
        <v>260.71428571428572</v>
      </c>
      <c r="AA41" s="966">
        <f t="shared" si="34"/>
        <v>28943.966561987039</v>
      </c>
      <c r="AB41" s="966">
        <f t="shared" si="35"/>
        <v>12059.986067494601</v>
      </c>
      <c r="AC41" s="966">
        <f t="shared" si="36"/>
        <v>0</v>
      </c>
      <c r="AD41" s="966">
        <f t="shared" si="37"/>
        <v>16508.914927793354</v>
      </c>
      <c r="AE41" s="966">
        <f t="shared" si="38"/>
        <v>530.24399999999991</v>
      </c>
      <c r="AF41" s="967">
        <v>0.1</v>
      </c>
      <c r="AG41" s="801">
        <v>0.5</v>
      </c>
      <c r="AH41" s="971">
        <f t="shared" si="39"/>
        <v>299242.83290716703</v>
      </c>
      <c r="AI41" s="969">
        <f t="shared" si="40"/>
        <v>0.24064336074864631</v>
      </c>
    </row>
    <row r="42" spans="3:35" x14ac:dyDescent="0.35">
      <c r="D42" s="788" t="s">
        <v>374</v>
      </c>
      <c r="E42" s="789"/>
      <c r="F42" s="1536">
        <v>87901.78571428571</v>
      </c>
      <c r="G42" s="958">
        <f t="shared" si="29"/>
        <v>109391.77100892858</v>
      </c>
      <c r="H42" s="963"/>
      <c r="W42" s="986">
        <f t="shared" si="30"/>
        <v>87901.78571428571</v>
      </c>
      <c r="X42" s="987">
        <f t="shared" si="31"/>
        <v>44.362833453496755</v>
      </c>
      <c r="Y42" s="798">
        <f t="shared" si="32"/>
        <v>7.6</v>
      </c>
      <c r="Z42" s="838">
        <f t="shared" si="33"/>
        <v>260.71428571428572</v>
      </c>
      <c r="AA42" s="966">
        <f t="shared" si="34"/>
        <v>10548.214285714284</v>
      </c>
      <c r="AB42" s="966">
        <f t="shared" si="35"/>
        <v>4395.0892857142853</v>
      </c>
      <c r="AC42" s="966">
        <f t="shared" si="36"/>
        <v>0</v>
      </c>
      <c r="AD42" s="966">
        <f t="shared" si="37"/>
        <v>6016.4377232142851</v>
      </c>
      <c r="AE42" s="966">
        <f t="shared" si="38"/>
        <v>530.24399999999991</v>
      </c>
      <c r="AF42" s="967">
        <v>0.1</v>
      </c>
      <c r="AG42" s="801">
        <v>0.5</v>
      </c>
      <c r="AH42" s="988">
        <f t="shared" si="39"/>
        <v>109391.77100892858</v>
      </c>
      <c r="AI42" s="969">
        <f t="shared" si="40"/>
        <v>0.24447723240223482</v>
      </c>
    </row>
    <row r="43" spans="3:35" x14ac:dyDescent="0.35">
      <c r="D43" s="788" t="s">
        <v>47</v>
      </c>
      <c r="E43" s="789"/>
      <c r="F43" s="1536">
        <v>87901.78571428571</v>
      </c>
      <c r="G43" s="958">
        <f t="shared" si="29"/>
        <v>109391.77100892858</v>
      </c>
      <c r="H43" s="963"/>
      <c r="W43" s="986">
        <f t="shared" si="30"/>
        <v>87901.78571428571</v>
      </c>
      <c r="X43" s="987">
        <f t="shared" si="31"/>
        <v>44.362833453496755</v>
      </c>
      <c r="Y43" s="798">
        <f t="shared" si="32"/>
        <v>7.6</v>
      </c>
      <c r="Z43" s="838">
        <f t="shared" si="33"/>
        <v>260.71428571428572</v>
      </c>
      <c r="AA43" s="966">
        <f t="shared" si="34"/>
        <v>10548.214285714284</v>
      </c>
      <c r="AB43" s="966">
        <f t="shared" si="35"/>
        <v>4395.0892857142853</v>
      </c>
      <c r="AC43" s="966">
        <f t="shared" si="36"/>
        <v>0</v>
      </c>
      <c r="AD43" s="966">
        <f t="shared" si="37"/>
        <v>6016.4377232142851</v>
      </c>
      <c r="AE43" s="966">
        <f t="shared" si="38"/>
        <v>530.24399999999991</v>
      </c>
      <c r="AF43" s="967">
        <v>0.1</v>
      </c>
      <c r="AG43" s="801">
        <v>0.5</v>
      </c>
      <c r="AH43" s="988">
        <f t="shared" si="39"/>
        <v>109391.77100892858</v>
      </c>
      <c r="AI43" s="969">
        <f t="shared" si="40"/>
        <v>0.24447723240223482</v>
      </c>
    </row>
    <row r="44" spans="3:35" x14ac:dyDescent="0.35">
      <c r="D44" s="788" t="s">
        <v>46</v>
      </c>
      <c r="E44" s="789"/>
      <c r="F44" s="1536">
        <v>87901.78571428571</v>
      </c>
      <c r="G44" s="958">
        <f t="shared" si="29"/>
        <v>109391.77100892858</v>
      </c>
      <c r="H44" s="963"/>
      <c r="W44" s="986">
        <f t="shared" si="30"/>
        <v>87901.78571428571</v>
      </c>
      <c r="X44" s="987">
        <f t="shared" si="31"/>
        <v>44.362833453496755</v>
      </c>
      <c r="Y44" s="798">
        <f t="shared" si="32"/>
        <v>7.6</v>
      </c>
      <c r="Z44" s="838">
        <f t="shared" si="33"/>
        <v>260.71428571428572</v>
      </c>
      <c r="AA44" s="966">
        <f t="shared" si="34"/>
        <v>10548.214285714284</v>
      </c>
      <c r="AB44" s="966">
        <f t="shared" si="35"/>
        <v>4395.0892857142853</v>
      </c>
      <c r="AC44" s="966">
        <f t="shared" si="36"/>
        <v>0</v>
      </c>
      <c r="AD44" s="966">
        <f t="shared" si="37"/>
        <v>6016.4377232142851</v>
      </c>
      <c r="AE44" s="966">
        <f t="shared" si="38"/>
        <v>530.24399999999991</v>
      </c>
      <c r="AF44" s="967">
        <v>0.1</v>
      </c>
      <c r="AG44" s="801">
        <v>0.5</v>
      </c>
      <c r="AH44" s="988">
        <f t="shared" si="39"/>
        <v>109391.77100892858</v>
      </c>
      <c r="AI44" s="969">
        <f t="shared" si="40"/>
        <v>0.24447723240223482</v>
      </c>
    </row>
    <row r="45" spans="3:35" x14ac:dyDescent="0.35">
      <c r="D45" s="788" t="s">
        <v>206</v>
      </c>
      <c r="E45" s="789"/>
      <c r="F45" s="1536">
        <v>87901.78571428571</v>
      </c>
      <c r="G45" s="958">
        <f t="shared" si="29"/>
        <v>109391.77100892858</v>
      </c>
      <c r="H45" s="963"/>
      <c r="W45" s="986">
        <f t="shared" si="30"/>
        <v>87901.78571428571</v>
      </c>
      <c r="X45" s="987">
        <f t="shared" si="31"/>
        <v>44.362833453496755</v>
      </c>
      <c r="Y45" s="798">
        <f t="shared" si="32"/>
        <v>7.6</v>
      </c>
      <c r="Z45" s="838">
        <f t="shared" si="33"/>
        <v>260.71428571428572</v>
      </c>
      <c r="AA45" s="966">
        <f t="shared" si="34"/>
        <v>10548.214285714284</v>
      </c>
      <c r="AB45" s="966">
        <f t="shared" si="35"/>
        <v>4395.0892857142853</v>
      </c>
      <c r="AC45" s="966">
        <f t="shared" si="36"/>
        <v>0</v>
      </c>
      <c r="AD45" s="966">
        <f t="shared" si="37"/>
        <v>6016.4377232142851</v>
      </c>
      <c r="AE45" s="966">
        <f t="shared" si="38"/>
        <v>530.24399999999991</v>
      </c>
      <c r="AF45" s="967">
        <v>0.1</v>
      </c>
      <c r="AG45" s="801">
        <v>0.5</v>
      </c>
      <c r="AH45" s="988">
        <f t="shared" si="39"/>
        <v>109391.77100892858</v>
      </c>
      <c r="AI45" s="969">
        <f t="shared" si="40"/>
        <v>0.24447723240223482</v>
      </c>
    </row>
    <row r="46" spans="3:35" x14ac:dyDescent="0.35">
      <c r="D46" s="788" t="s">
        <v>375</v>
      </c>
      <c r="E46" s="789"/>
      <c r="F46" s="1536">
        <v>142034.08710104704</v>
      </c>
      <c r="G46" s="958">
        <f t="shared" si="29"/>
        <v>176431.6489998562</v>
      </c>
      <c r="H46" s="963"/>
      <c r="W46" s="986">
        <f t="shared" si="30"/>
        <v>142034.08710104704</v>
      </c>
      <c r="X46" s="987">
        <f t="shared" si="31"/>
        <v>71.682668327853591</v>
      </c>
      <c r="Y46" s="798">
        <f t="shared" si="32"/>
        <v>7.6</v>
      </c>
      <c r="Z46" s="838">
        <f t="shared" si="33"/>
        <v>260.71428571428572</v>
      </c>
      <c r="AA46" s="966">
        <f t="shared" si="34"/>
        <v>17044.090452125645</v>
      </c>
      <c r="AB46" s="966">
        <f t="shared" si="35"/>
        <v>7101.7043550523522</v>
      </c>
      <c r="AC46" s="966">
        <f t="shared" si="36"/>
        <v>0</v>
      </c>
      <c r="AD46" s="966">
        <f t="shared" si="37"/>
        <v>9721.523091631163</v>
      </c>
      <c r="AE46" s="966">
        <f t="shared" si="38"/>
        <v>530.24399999999991</v>
      </c>
      <c r="AF46" s="967">
        <v>0.1</v>
      </c>
      <c r="AG46" s="801">
        <v>0.5</v>
      </c>
      <c r="AH46" s="988">
        <f t="shared" si="39"/>
        <v>176431.6489998562</v>
      </c>
      <c r="AI46" s="969">
        <f t="shared" si="40"/>
        <v>0.24217821651740379</v>
      </c>
    </row>
    <row r="47" spans="3:35" x14ac:dyDescent="0.35">
      <c r="D47" s="788" t="s">
        <v>376</v>
      </c>
      <c r="E47" s="789"/>
      <c r="F47" s="1536">
        <v>142034.08710104704</v>
      </c>
      <c r="G47" s="958">
        <f t="shared" si="29"/>
        <v>176431.6489998562</v>
      </c>
      <c r="H47" s="963"/>
      <c r="W47" s="986">
        <f t="shared" si="30"/>
        <v>142034.08710104704</v>
      </c>
      <c r="X47" s="987">
        <f t="shared" si="31"/>
        <v>71.682668327853591</v>
      </c>
      <c r="Y47" s="798">
        <f t="shared" si="32"/>
        <v>7.6</v>
      </c>
      <c r="Z47" s="838">
        <f t="shared" si="33"/>
        <v>260.71428571428572</v>
      </c>
      <c r="AA47" s="966">
        <f t="shared" si="34"/>
        <v>17044.090452125645</v>
      </c>
      <c r="AB47" s="966">
        <f t="shared" si="35"/>
        <v>7101.7043550523522</v>
      </c>
      <c r="AC47" s="966">
        <f t="shared" si="36"/>
        <v>0</v>
      </c>
      <c r="AD47" s="966">
        <f t="shared" si="37"/>
        <v>9721.523091631163</v>
      </c>
      <c r="AE47" s="966">
        <f t="shared" si="38"/>
        <v>530.24399999999991</v>
      </c>
      <c r="AF47" s="967">
        <v>0.1</v>
      </c>
      <c r="AG47" s="801">
        <v>0.5</v>
      </c>
      <c r="AH47" s="988">
        <f t="shared" si="39"/>
        <v>176431.6489998562</v>
      </c>
      <c r="AI47" s="969">
        <f t="shared" si="40"/>
        <v>0.24217821651740379</v>
      </c>
    </row>
    <row r="48" spans="3:35" x14ac:dyDescent="0.35">
      <c r="D48" s="788" t="s">
        <v>377</v>
      </c>
      <c r="E48" s="789"/>
      <c r="F48" s="958"/>
      <c r="G48" s="958"/>
      <c r="W48" s="986">
        <f t="shared" si="30"/>
        <v>0</v>
      </c>
      <c r="X48" s="987">
        <f t="shared" si="31"/>
        <v>0</v>
      </c>
      <c r="Y48" s="798">
        <f t="shared" si="32"/>
        <v>7.6</v>
      </c>
      <c r="Z48" s="838">
        <f t="shared" si="33"/>
        <v>260.71428571428572</v>
      </c>
      <c r="AA48" s="966">
        <f t="shared" si="34"/>
        <v>0</v>
      </c>
      <c r="AB48" s="966">
        <f t="shared" si="35"/>
        <v>0</v>
      </c>
      <c r="AC48" s="966">
        <f t="shared" si="36"/>
        <v>0</v>
      </c>
      <c r="AD48" s="966">
        <f t="shared" si="37"/>
        <v>0</v>
      </c>
      <c r="AE48" s="966">
        <f t="shared" si="38"/>
        <v>530.24399999999991</v>
      </c>
      <c r="AF48" s="967">
        <v>0.1</v>
      </c>
      <c r="AG48" s="801">
        <v>0.5</v>
      </c>
      <c r="AH48" s="988">
        <f t="shared" si="39"/>
        <v>530.24399999999991</v>
      </c>
      <c r="AI48" s="969">
        <f t="shared" si="40"/>
        <v>0</v>
      </c>
    </row>
    <row r="49" spans="4:35" x14ac:dyDescent="0.35">
      <c r="D49" s="788" t="s">
        <v>378</v>
      </c>
      <c r="E49" s="789"/>
      <c r="F49" s="958"/>
      <c r="G49" s="958"/>
      <c r="W49" s="986">
        <f t="shared" si="30"/>
        <v>0</v>
      </c>
      <c r="X49" s="987">
        <f t="shared" si="31"/>
        <v>0</v>
      </c>
      <c r="Y49" s="798">
        <f t="shared" si="32"/>
        <v>7.6</v>
      </c>
      <c r="Z49" s="838">
        <f t="shared" si="33"/>
        <v>260.71428571428572</v>
      </c>
      <c r="AA49" s="966">
        <f t="shared" si="34"/>
        <v>0</v>
      </c>
      <c r="AB49" s="966">
        <f t="shared" si="35"/>
        <v>0</v>
      </c>
      <c r="AC49" s="966">
        <f t="shared" si="36"/>
        <v>0</v>
      </c>
      <c r="AD49" s="966">
        <f t="shared" si="37"/>
        <v>0</v>
      </c>
      <c r="AE49" s="966">
        <f t="shared" si="38"/>
        <v>530.24399999999991</v>
      </c>
      <c r="AF49" s="967">
        <v>0.1</v>
      </c>
      <c r="AG49" s="801">
        <v>0.5</v>
      </c>
      <c r="AH49" s="988">
        <f t="shared" si="39"/>
        <v>530.24399999999991</v>
      </c>
      <c r="AI49" s="969">
        <f t="shared" si="40"/>
        <v>0</v>
      </c>
    </row>
    <row r="50" spans="4:35" ht="15" thickBot="1" x14ac:dyDescent="0.4">
      <c r="D50" s="788" t="s">
        <v>379</v>
      </c>
      <c r="E50" s="789"/>
      <c r="F50" s="958"/>
      <c r="G50" s="958"/>
      <c r="W50" s="972">
        <f t="shared" si="30"/>
        <v>0</v>
      </c>
      <c r="X50" s="973">
        <f t="shared" si="31"/>
        <v>0</v>
      </c>
      <c r="Y50" s="811">
        <f t="shared" si="32"/>
        <v>7.6</v>
      </c>
      <c r="Z50" s="812">
        <f t="shared" si="33"/>
        <v>260.71428571428572</v>
      </c>
      <c r="AA50" s="974">
        <f t="shared" si="34"/>
        <v>0</v>
      </c>
      <c r="AB50" s="974">
        <f t="shared" si="35"/>
        <v>0</v>
      </c>
      <c r="AC50" s="974">
        <f t="shared" si="36"/>
        <v>0</v>
      </c>
      <c r="AD50" s="974">
        <f t="shared" si="37"/>
        <v>0</v>
      </c>
      <c r="AE50" s="974">
        <f t="shared" si="38"/>
        <v>530.24399999999991</v>
      </c>
      <c r="AF50" s="975">
        <v>0.1</v>
      </c>
      <c r="AG50" s="815">
        <v>0.5</v>
      </c>
      <c r="AH50" s="976">
        <f t="shared" si="39"/>
        <v>530.24399999999991</v>
      </c>
      <c r="AI50" s="977">
        <f t="shared" si="40"/>
        <v>0</v>
      </c>
    </row>
    <row r="51" spans="4:35" ht="15" thickTop="1" x14ac:dyDescent="0.35"/>
  </sheetData>
  <mergeCells count="6">
    <mergeCell ref="N2:O2"/>
    <mergeCell ref="C2:C3"/>
    <mergeCell ref="D2:D3"/>
    <mergeCell ref="E2:E3"/>
    <mergeCell ref="I2:J2"/>
    <mergeCell ref="K2:L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C2FD-85F9-4F93-B161-AF8EE22BF7E5}">
  <sheetPr codeName="Sheet8"/>
  <dimension ref="B2:AF51"/>
  <sheetViews>
    <sheetView showGridLines="0" topLeftCell="G1" zoomScale="90" zoomScaleNormal="90" workbookViewId="0">
      <selection activeCell="Q23" sqref="Q23"/>
    </sheetView>
  </sheetViews>
  <sheetFormatPr defaultColWidth="9.1796875" defaultRowHeight="13" x14ac:dyDescent="0.3"/>
  <cols>
    <col min="1" max="1" width="9.1796875" style="14"/>
    <col min="2" max="2" width="7.1796875" style="14" bestFit="1" customWidth="1"/>
    <col min="3" max="3" width="11.453125" style="14" bestFit="1" customWidth="1"/>
    <col min="4" max="4" width="22" style="338" bestFit="1" customWidth="1"/>
    <col min="5" max="5" width="65.54296875" style="14" bestFit="1" customWidth="1"/>
    <col min="6" max="7" width="24" style="14" bestFit="1" customWidth="1"/>
    <col min="8" max="8" width="13.453125" style="14" bestFit="1" customWidth="1"/>
    <col min="9" max="10" width="14.7265625" style="14" bestFit="1" customWidth="1"/>
    <col min="11" max="11" width="10.81640625" style="14" customWidth="1"/>
    <col min="12" max="12" width="11" style="14" bestFit="1" customWidth="1"/>
    <col min="13" max="13" width="3.1796875" style="14" customWidth="1"/>
    <col min="14" max="14" width="12.54296875" style="14" bestFit="1" customWidth="1"/>
    <col min="15" max="15" width="9.54296875" style="14" bestFit="1" customWidth="1"/>
    <col min="16" max="16" width="3.1796875" style="14" customWidth="1"/>
    <col min="17" max="18" width="11.26953125" style="14" customWidth="1"/>
    <col min="19" max="19" width="2.26953125" style="14" customWidth="1"/>
    <col min="20" max="20" width="14.54296875" style="14" customWidth="1"/>
    <col min="21" max="21" width="14.26953125" style="14" bestFit="1" customWidth="1"/>
    <col min="22" max="22" width="9.1796875" style="14"/>
    <col min="23" max="23" width="15.7265625" style="14" bestFit="1" customWidth="1"/>
    <col min="24" max="24" width="17.7265625" style="14" bestFit="1" customWidth="1"/>
    <col min="25" max="25" width="16.7265625" style="14" bestFit="1" customWidth="1"/>
    <col min="26" max="26" width="14.81640625" style="14" bestFit="1" customWidth="1"/>
    <col min="27" max="27" width="19.453125" style="14" bestFit="1" customWidth="1"/>
    <col min="28" max="28" width="21.1796875" style="14" bestFit="1" customWidth="1"/>
    <col min="29" max="29" width="19" style="14" bestFit="1" customWidth="1"/>
    <col min="30" max="30" width="16.26953125" style="14" bestFit="1" customWidth="1"/>
    <col min="31" max="31" width="13.453125" style="14" bestFit="1" customWidth="1"/>
    <col min="32" max="16384" width="9.1796875" style="14"/>
  </cols>
  <sheetData>
    <row r="2" spans="2:32" x14ac:dyDescent="0.3">
      <c r="C2" s="1620" t="s">
        <v>319</v>
      </c>
      <c r="D2" s="1620" t="s">
        <v>320</v>
      </c>
      <c r="E2" s="1620" t="s">
        <v>336</v>
      </c>
      <c r="F2" s="877"/>
      <c r="G2" s="877" t="s">
        <v>351</v>
      </c>
      <c r="I2" s="1621" t="s">
        <v>427</v>
      </c>
      <c r="J2" s="1621"/>
      <c r="K2" s="1621" t="s">
        <v>353</v>
      </c>
      <c r="L2" s="1621"/>
      <c r="N2" s="1618" t="s">
        <v>354</v>
      </c>
      <c r="O2" s="1619"/>
      <c r="W2" s="878"/>
      <c r="X2" s="879"/>
      <c r="Y2" s="879"/>
      <c r="Z2" s="879"/>
      <c r="AA2" s="880">
        <v>0</v>
      </c>
      <c r="AB2" s="880">
        <v>0</v>
      </c>
      <c r="AC2" s="692">
        <v>1</v>
      </c>
    </row>
    <row r="3" spans="2:32" ht="39" x14ac:dyDescent="0.3">
      <c r="B3" s="14" t="s">
        <v>597</v>
      </c>
      <c r="C3" s="1620"/>
      <c r="D3" s="1620"/>
      <c r="E3" s="1620"/>
      <c r="F3" s="881" t="s">
        <v>428</v>
      </c>
      <c r="G3" s="881" t="s">
        <v>356</v>
      </c>
      <c r="I3" s="881" t="s">
        <v>357</v>
      </c>
      <c r="J3" s="881" t="s">
        <v>358</v>
      </c>
      <c r="K3" s="881" t="s">
        <v>357</v>
      </c>
      <c r="L3" s="881" t="s">
        <v>358</v>
      </c>
      <c r="N3" s="881" t="s">
        <v>359</v>
      </c>
      <c r="O3" s="881" t="s">
        <v>328</v>
      </c>
      <c r="Q3" s="881" t="s">
        <v>329</v>
      </c>
      <c r="R3" s="881" t="s">
        <v>330</v>
      </c>
      <c r="T3" s="881" t="s">
        <v>360</v>
      </c>
      <c r="U3" s="881" t="s">
        <v>361</v>
      </c>
      <c r="W3" s="882" t="s">
        <v>429</v>
      </c>
      <c r="X3" s="883" t="s">
        <v>430</v>
      </c>
      <c r="Y3" s="883" t="s">
        <v>431</v>
      </c>
      <c r="Z3" s="883" t="s">
        <v>431</v>
      </c>
      <c r="AA3" s="883" t="s">
        <v>432</v>
      </c>
      <c r="AB3" s="884" t="s">
        <v>433</v>
      </c>
      <c r="AC3" s="883" t="s">
        <v>434</v>
      </c>
      <c r="AE3" s="884" t="s">
        <v>937</v>
      </c>
    </row>
    <row r="4" spans="2:32" x14ac:dyDescent="0.3">
      <c r="B4" s="14" t="str">
        <f>$B$3&amp;C4&amp;D4</f>
        <v>Trinidad and TobagoVoiceL1</v>
      </c>
      <c r="C4" s="885" t="s">
        <v>266</v>
      </c>
      <c r="D4" s="886" t="s">
        <v>321</v>
      </c>
      <c r="E4" s="887" t="s">
        <v>367</v>
      </c>
      <c r="F4" s="888">
        <f>SUMPRODUCT(I4:J4,K4:L4)</f>
        <v>6000.7999999999993</v>
      </c>
      <c r="G4" s="888">
        <f>'T&amp;T Salary'!AC4*12</f>
        <v>85421.731199999995</v>
      </c>
      <c r="H4" s="889"/>
      <c r="I4" s="890">
        <v>6000.7999999999993</v>
      </c>
      <c r="J4" s="890">
        <v>6000.7999999999993</v>
      </c>
      <c r="K4" s="121">
        <v>0.5</v>
      </c>
      <c r="L4" s="121">
        <v>0.5</v>
      </c>
      <c r="N4" s="890">
        <f t="shared" ref="N4:N13" si="0">SUMPRODUCT(T4:U4,Q4:R4)</f>
        <v>170</v>
      </c>
      <c r="O4" s="890">
        <v>34</v>
      </c>
      <c r="Q4" s="890">
        <v>170</v>
      </c>
      <c r="R4" s="890">
        <f>Q4</f>
        <v>170</v>
      </c>
      <c r="T4" s="121">
        <v>0.5</v>
      </c>
      <c r="U4" s="121">
        <f>1-T4</f>
        <v>0.5</v>
      </c>
      <c r="W4" s="888">
        <f>F4</f>
        <v>6000.7999999999993</v>
      </c>
      <c r="X4" s="890">
        <v>400</v>
      </c>
      <c r="Y4" s="891">
        <f>'T&amp;T Salary'!$Y$37</f>
        <v>9.7000000000000003E-2</v>
      </c>
      <c r="Z4" s="888">
        <f t="shared" ref="Z4:Z13" si="1">W4*(Y4)</f>
        <v>582.07759999999996</v>
      </c>
      <c r="AA4" s="890">
        <f>$AA$2</f>
        <v>0</v>
      </c>
      <c r="AB4" s="888">
        <f>$AB$2</f>
        <v>0</v>
      </c>
      <c r="AC4" s="890">
        <f>SUM(Z4:AB4,X4,W4,AE4)</f>
        <v>7118.4775999999993</v>
      </c>
      <c r="AE4" s="888">
        <f>20*6.78</f>
        <v>135.6</v>
      </c>
    </row>
    <row r="5" spans="2:32" s="93" customFormat="1" x14ac:dyDescent="0.3">
      <c r="B5" s="14" t="str">
        <f t="shared" ref="B5:B13" si="2">$B$3&amp;C5&amp;D5</f>
        <v>Trinidad and TobagoVoiceL2</v>
      </c>
      <c r="C5" s="885" t="s">
        <v>266</v>
      </c>
      <c r="D5" s="886" t="s">
        <v>322</v>
      </c>
      <c r="E5" s="887" t="s">
        <v>368</v>
      </c>
      <c r="F5" s="888">
        <f t="shared" ref="F5:F13" si="3">SUMPRODUCT(I5:J5,K5:L5)</f>
        <v>6156.6613333333335</v>
      </c>
      <c r="G5" s="888">
        <f>'T&amp;T Salary'!AC5*12</f>
        <v>87473.489792000008</v>
      </c>
      <c r="H5" s="889"/>
      <c r="I5" s="890">
        <v>6156.6613333333335</v>
      </c>
      <c r="J5" s="890">
        <v>6156.6613333333335</v>
      </c>
      <c r="K5" s="121">
        <v>0.5</v>
      </c>
      <c r="L5" s="121">
        <v>0.5</v>
      </c>
      <c r="M5" s="14"/>
      <c r="N5" s="890">
        <f t="shared" si="0"/>
        <v>170</v>
      </c>
      <c r="O5" s="890">
        <v>34</v>
      </c>
      <c r="Q5" s="890">
        <v>170</v>
      </c>
      <c r="R5" s="890">
        <f t="shared" ref="R5:R13" si="4">Q5</f>
        <v>170</v>
      </c>
      <c r="S5" s="14"/>
      <c r="T5" s="121">
        <v>0.5</v>
      </c>
      <c r="U5" s="121">
        <f t="shared" ref="U5:U13" si="5">1-T5</f>
        <v>0.5</v>
      </c>
      <c r="W5" s="888">
        <f t="shared" ref="W5:W13" si="6">F5</f>
        <v>6156.6613333333335</v>
      </c>
      <c r="X5" s="890">
        <v>400</v>
      </c>
      <c r="Y5" s="891">
        <f>'T&amp;T Salary'!$Y$37</f>
        <v>9.7000000000000003E-2</v>
      </c>
      <c r="Z5" s="888">
        <f t="shared" si="1"/>
        <v>597.19614933333332</v>
      </c>
      <c r="AA5" s="890">
        <f t="shared" ref="AA5:AA13" si="7">$AA$2</f>
        <v>0</v>
      </c>
      <c r="AB5" s="888">
        <f t="shared" ref="AB5:AB13" si="8">$AB$2</f>
        <v>0</v>
      </c>
      <c r="AC5" s="890">
        <f t="shared" ref="AC5:AC13" si="9">SUM(Z5:AB5,X5,W5,AE5)</f>
        <v>7289.4574826666667</v>
      </c>
      <c r="AE5" s="888">
        <f t="shared" ref="AE5:AE13" si="10">20*6.78</f>
        <v>135.6</v>
      </c>
    </row>
    <row r="6" spans="2:32" s="93" customFormat="1" x14ac:dyDescent="0.3">
      <c r="B6" s="14" t="str">
        <f t="shared" si="2"/>
        <v>Trinidad and TobagoVoiceL3</v>
      </c>
      <c r="C6" s="885" t="s">
        <v>266</v>
      </c>
      <c r="D6" s="886" t="s">
        <v>323</v>
      </c>
      <c r="E6" s="887" t="s">
        <v>337</v>
      </c>
      <c r="F6" s="888">
        <f t="shared" si="3"/>
        <v>6933.333333333333</v>
      </c>
      <c r="G6" s="888">
        <f>'T&amp;T Salary'!AC6*12</f>
        <v>97697.600000000006</v>
      </c>
      <c r="H6" s="889"/>
      <c r="I6" s="890">
        <v>6933.333333333333</v>
      </c>
      <c r="J6" s="890">
        <v>6933.333333333333</v>
      </c>
      <c r="K6" s="121">
        <v>0.5</v>
      </c>
      <c r="L6" s="121">
        <v>0.5</v>
      </c>
      <c r="M6" s="14"/>
      <c r="N6" s="890">
        <f t="shared" si="0"/>
        <v>170</v>
      </c>
      <c r="O6" s="890">
        <v>34</v>
      </c>
      <c r="Q6" s="890">
        <v>170</v>
      </c>
      <c r="R6" s="890">
        <f t="shared" si="4"/>
        <v>170</v>
      </c>
      <c r="S6" s="14"/>
      <c r="T6" s="121">
        <v>0.5</v>
      </c>
      <c r="U6" s="121">
        <f t="shared" si="5"/>
        <v>0.5</v>
      </c>
      <c r="W6" s="888">
        <f t="shared" si="6"/>
        <v>6933.333333333333</v>
      </c>
      <c r="X6" s="890">
        <v>400</v>
      </c>
      <c r="Y6" s="891">
        <f>'T&amp;T Salary'!$Y$37</f>
        <v>9.7000000000000003E-2</v>
      </c>
      <c r="Z6" s="888">
        <f t="shared" si="1"/>
        <v>672.5333333333333</v>
      </c>
      <c r="AA6" s="890">
        <f t="shared" si="7"/>
        <v>0</v>
      </c>
      <c r="AB6" s="888">
        <f t="shared" si="8"/>
        <v>0</v>
      </c>
      <c r="AC6" s="890">
        <f t="shared" si="9"/>
        <v>8141.4666666666672</v>
      </c>
      <c r="AE6" s="888">
        <f t="shared" si="10"/>
        <v>135.6</v>
      </c>
    </row>
    <row r="7" spans="2:32" s="93" customFormat="1" x14ac:dyDescent="0.3">
      <c r="B7" s="14" t="str">
        <f t="shared" si="2"/>
        <v>Trinidad and TobagoVoiceL4</v>
      </c>
      <c r="C7" s="885" t="s">
        <v>266</v>
      </c>
      <c r="D7" s="886" t="s">
        <v>324</v>
      </c>
      <c r="E7" s="887" t="s">
        <v>338</v>
      </c>
      <c r="F7" s="888">
        <f t="shared" si="3"/>
        <v>6933.333333333333</v>
      </c>
      <c r="G7" s="888">
        <f>'T&amp;T Salary'!AC7*12</f>
        <v>97697.600000000006</v>
      </c>
      <c r="H7" s="889"/>
      <c r="I7" s="890">
        <v>6933.333333333333</v>
      </c>
      <c r="J7" s="890">
        <v>6933.333333333333</v>
      </c>
      <c r="K7" s="121">
        <v>0.5</v>
      </c>
      <c r="L7" s="121">
        <v>0.5</v>
      </c>
      <c r="M7" s="14"/>
      <c r="N7" s="890">
        <f t="shared" si="0"/>
        <v>170</v>
      </c>
      <c r="O7" s="890">
        <v>34</v>
      </c>
      <c r="Q7" s="890">
        <v>170</v>
      </c>
      <c r="R7" s="890">
        <f t="shared" si="4"/>
        <v>170</v>
      </c>
      <c r="S7" s="14"/>
      <c r="T7" s="121">
        <v>0.5</v>
      </c>
      <c r="U7" s="121">
        <f t="shared" si="5"/>
        <v>0.5</v>
      </c>
      <c r="W7" s="888">
        <f t="shared" si="6"/>
        <v>6933.333333333333</v>
      </c>
      <c r="X7" s="890">
        <v>400</v>
      </c>
      <c r="Y7" s="891">
        <f>'T&amp;T Salary'!$Y$37</f>
        <v>9.7000000000000003E-2</v>
      </c>
      <c r="Z7" s="888">
        <f t="shared" si="1"/>
        <v>672.5333333333333</v>
      </c>
      <c r="AA7" s="890">
        <f t="shared" si="7"/>
        <v>0</v>
      </c>
      <c r="AB7" s="888">
        <f t="shared" si="8"/>
        <v>0</v>
      </c>
      <c r="AC7" s="890">
        <f t="shared" si="9"/>
        <v>8141.4666666666672</v>
      </c>
      <c r="AE7" s="888">
        <f t="shared" si="10"/>
        <v>135.6</v>
      </c>
    </row>
    <row r="8" spans="2:32" s="93" customFormat="1" x14ac:dyDescent="0.3">
      <c r="B8" s="14" t="str">
        <f t="shared" si="2"/>
        <v>Trinidad and TobagoNon-voiceL1</v>
      </c>
      <c r="C8" s="885" t="s">
        <v>325</v>
      </c>
      <c r="D8" s="886" t="s">
        <v>321</v>
      </c>
      <c r="E8" s="887" t="s">
        <v>339</v>
      </c>
      <c r="F8" s="888">
        <f t="shared" si="3"/>
        <v>6000.7999999999993</v>
      </c>
      <c r="G8" s="888">
        <f>'T&amp;T Salary'!AC8*12</f>
        <v>85421.731199999995</v>
      </c>
      <c r="H8" s="889"/>
      <c r="I8" s="890">
        <v>6000.7999999999993</v>
      </c>
      <c r="J8" s="890">
        <v>6000.7999999999993</v>
      </c>
      <c r="K8" s="121">
        <v>0.5</v>
      </c>
      <c r="L8" s="121">
        <v>0.5</v>
      </c>
      <c r="M8" s="14"/>
      <c r="N8" s="890">
        <f t="shared" si="0"/>
        <v>170</v>
      </c>
      <c r="O8" s="890">
        <v>34</v>
      </c>
      <c r="Q8" s="890">
        <v>170</v>
      </c>
      <c r="R8" s="890">
        <f t="shared" si="4"/>
        <v>170</v>
      </c>
      <c r="S8" s="14"/>
      <c r="T8" s="121">
        <v>0.5</v>
      </c>
      <c r="U8" s="121">
        <f t="shared" si="5"/>
        <v>0.5</v>
      </c>
      <c r="W8" s="888">
        <f t="shared" si="6"/>
        <v>6000.7999999999993</v>
      </c>
      <c r="X8" s="890">
        <v>400</v>
      </c>
      <c r="Y8" s="891">
        <f>'T&amp;T Salary'!$Y$37</f>
        <v>9.7000000000000003E-2</v>
      </c>
      <c r="Z8" s="888">
        <f t="shared" si="1"/>
        <v>582.07759999999996</v>
      </c>
      <c r="AA8" s="890">
        <f t="shared" si="7"/>
        <v>0</v>
      </c>
      <c r="AB8" s="888">
        <f t="shared" si="8"/>
        <v>0</v>
      </c>
      <c r="AC8" s="890">
        <f t="shared" si="9"/>
        <v>7118.4775999999993</v>
      </c>
      <c r="AE8" s="888">
        <f t="shared" si="10"/>
        <v>135.6</v>
      </c>
    </row>
    <row r="9" spans="2:32" s="93" customFormat="1" x14ac:dyDescent="0.3">
      <c r="B9" s="14" t="str">
        <f t="shared" si="2"/>
        <v>Trinidad and TobagoNon-voiceL2</v>
      </c>
      <c r="C9" s="885" t="s">
        <v>325</v>
      </c>
      <c r="D9" s="886" t="s">
        <v>322</v>
      </c>
      <c r="E9" s="887" t="s">
        <v>340</v>
      </c>
      <c r="F9" s="888">
        <f t="shared" si="3"/>
        <v>6156.6613333333335</v>
      </c>
      <c r="G9" s="888">
        <f>'T&amp;T Salary'!AC9*12</f>
        <v>87473.489792000008</v>
      </c>
      <c r="H9" s="889"/>
      <c r="I9" s="890">
        <v>6156.6613333333335</v>
      </c>
      <c r="J9" s="890">
        <v>6156.6613333333335</v>
      </c>
      <c r="K9" s="121">
        <v>0.5</v>
      </c>
      <c r="L9" s="121">
        <v>0.5</v>
      </c>
      <c r="M9" s="14"/>
      <c r="N9" s="890">
        <f t="shared" si="0"/>
        <v>170</v>
      </c>
      <c r="O9" s="890">
        <v>34</v>
      </c>
      <c r="Q9" s="890">
        <v>170</v>
      </c>
      <c r="R9" s="890">
        <f t="shared" si="4"/>
        <v>170</v>
      </c>
      <c r="S9" s="14"/>
      <c r="T9" s="121">
        <v>0.5</v>
      </c>
      <c r="U9" s="121">
        <f t="shared" si="5"/>
        <v>0.5</v>
      </c>
      <c r="W9" s="888">
        <f t="shared" si="6"/>
        <v>6156.6613333333335</v>
      </c>
      <c r="X9" s="890">
        <v>400</v>
      </c>
      <c r="Y9" s="891">
        <f>'T&amp;T Salary'!$Y$37</f>
        <v>9.7000000000000003E-2</v>
      </c>
      <c r="Z9" s="888">
        <f t="shared" si="1"/>
        <v>597.19614933333332</v>
      </c>
      <c r="AA9" s="890">
        <f t="shared" si="7"/>
        <v>0</v>
      </c>
      <c r="AB9" s="888">
        <f t="shared" si="8"/>
        <v>0</v>
      </c>
      <c r="AC9" s="890">
        <f t="shared" si="9"/>
        <v>7289.4574826666667</v>
      </c>
      <c r="AE9" s="888">
        <f t="shared" si="10"/>
        <v>135.6</v>
      </c>
    </row>
    <row r="10" spans="2:32" s="93" customFormat="1" x14ac:dyDescent="0.3">
      <c r="B10" s="14" t="str">
        <f t="shared" si="2"/>
        <v>Trinidad and TobagoBackofficeL1</v>
      </c>
      <c r="C10" s="885" t="s">
        <v>326</v>
      </c>
      <c r="D10" s="886" t="s">
        <v>321</v>
      </c>
      <c r="E10" s="887" t="s">
        <v>341</v>
      </c>
      <c r="F10" s="888">
        <f t="shared" si="3"/>
        <v>5400.7199999999984</v>
      </c>
      <c r="G10" s="888">
        <f>'T&amp;T Salary'!AC10*12</f>
        <v>77522.278079999989</v>
      </c>
      <c r="H10" s="889"/>
      <c r="I10" s="890">
        <v>5400.7199999999984</v>
      </c>
      <c r="J10" s="890">
        <v>5400.7199999999984</v>
      </c>
      <c r="K10" s="121">
        <v>0.5</v>
      </c>
      <c r="L10" s="121">
        <v>0.5</v>
      </c>
      <c r="M10" s="14"/>
      <c r="N10" s="890">
        <f t="shared" si="0"/>
        <v>170</v>
      </c>
      <c r="O10" s="890">
        <v>34</v>
      </c>
      <c r="Q10" s="890">
        <v>170</v>
      </c>
      <c r="R10" s="890">
        <f t="shared" si="4"/>
        <v>170</v>
      </c>
      <c r="S10" s="14"/>
      <c r="T10" s="121">
        <v>0.5</v>
      </c>
      <c r="U10" s="121">
        <f t="shared" si="5"/>
        <v>0.5</v>
      </c>
      <c r="W10" s="888">
        <f t="shared" si="6"/>
        <v>5400.7199999999984</v>
      </c>
      <c r="X10" s="890">
        <v>400</v>
      </c>
      <c r="Y10" s="891">
        <f>'T&amp;T Salary'!$Y$37</f>
        <v>9.7000000000000003E-2</v>
      </c>
      <c r="Z10" s="888">
        <f t="shared" si="1"/>
        <v>523.86983999999984</v>
      </c>
      <c r="AA10" s="890">
        <f t="shared" si="7"/>
        <v>0</v>
      </c>
      <c r="AB10" s="888">
        <f t="shared" si="8"/>
        <v>0</v>
      </c>
      <c r="AC10" s="890">
        <f t="shared" si="9"/>
        <v>6460.1898399999991</v>
      </c>
      <c r="AE10" s="888">
        <f t="shared" si="10"/>
        <v>135.6</v>
      </c>
    </row>
    <row r="11" spans="2:32" x14ac:dyDescent="0.3">
      <c r="B11" s="14" t="str">
        <f t="shared" si="2"/>
        <v>Trinidad and TobagoBackofficeL2</v>
      </c>
      <c r="C11" s="885" t="s">
        <v>326</v>
      </c>
      <c r="D11" s="886" t="s">
        <v>322</v>
      </c>
      <c r="E11" s="887" t="s">
        <v>342</v>
      </c>
      <c r="F11" s="888">
        <f t="shared" si="3"/>
        <v>5540.9952000000003</v>
      </c>
      <c r="G11" s="888">
        <f>'T&amp;T Salary'!AC11*12</f>
        <v>79368.860812800005</v>
      </c>
      <c r="H11" s="889"/>
      <c r="I11" s="890">
        <v>5540.9952000000003</v>
      </c>
      <c r="J11" s="890">
        <v>5540.9952000000003</v>
      </c>
      <c r="K11" s="121">
        <v>0.5</v>
      </c>
      <c r="L11" s="121">
        <v>0.5</v>
      </c>
      <c r="N11" s="890">
        <f t="shared" si="0"/>
        <v>170</v>
      </c>
      <c r="O11" s="890">
        <v>34</v>
      </c>
      <c r="Q11" s="890">
        <v>170</v>
      </c>
      <c r="R11" s="890">
        <f t="shared" si="4"/>
        <v>170</v>
      </c>
      <c r="T11" s="121">
        <v>0.5</v>
      </c>
      <c r="U11" s="121">
        <f t="shared" si="5"/>
        <v>0.5</v>
      </c>
      <c r="W11" s="888">
        <f t="shared" si="6"/>
        <v>5540.9952000000003</v>
      </c>
      <c r="X11" s="890">
        <v>400</v>
      </c>
      <c r="Y11" s="891">
        <f>'T&amp;T Salary'!$Y$37</f>
        <v>9.7000000000000003E-2</v>
      </c>
      <c r="Z11" s="888">
        <f t="shared" si="1"/>
        <v>537.47653439999999</v>
      </c>
      <c r="AA11" s="890">
        <f t="shared" si="7"/>
        <v>0</v>
      </c>
      <c r="AB11" s="888">
        <f t="shared" si="8"/>
        <v>0</v>
      </c>
      <c r="AC11" s="890">
        <f t="shared" si="9"/>
        <v>6614.0717344000004</v>
      </c>
      <c r="AE11" s="888">
        <f t="shared" si="10"/>
        <v>135.6</v>
      </c>
    </row>
    <row r="12" spans="2:32" x14ac:dyDescent="0.3">
      <c r="B12" s="14" t="str">
        <f t="shared" si="2"/>
        <v>Trinidad and TobagoBackofficeL3</v>
      </c>
      <c r="C12" s="885" t="s">
        <v>326</v>
      </c>
      <c r="D12" s="886" t="s">
        <v>323</v>
      </c>
      <c r="E12" s="887" t="s">
        <v>343</v>
      </c>
      <c r="F12" s="888">
        <f t="shared" si="3"/>
        <v>6933.333333333333</v>
      </c>
      <c r="G12" s="888">
        <f>'T&amp;T Salary'!AC12*12</f>
        <v>97697.600000000006</v>
      </c>
      <c r="H12" s="889"/>
      <c r="I12" s="890">
        <v>6933.333333333333</v>
      </c>
      <c r="J12" s="890">
        <v>6933.333333333333</v>
      </c>
      <c r="K12" s="121">
        <v>0.5</v>
      </c>
      <c r="L12" s="121">
        <v>0.5</v>
      </c>
      <c r="N12" s="890">
        <f t="shared" si="0"/>
        <v>170</v>
      </c>
      <c r="O12" s="890">
        <v>34</v>
      </c>
      <c r="Q12" s="890">
        <v>170</v>
      </c>
      <c r="R12" s="890">
        <f t="shared" si="4"/>
        <v>170</v>
      </c>
      <c r="T12" s="121">
        <v>0.5</v>
      </c>
      <c r="U12" s="121">
        <f t="shared" si="5"/>
        <v>0.5</v>
      </c>
      <c r="W12" s="888">
        <f t="shared" si="6"/>
        <v>6933.333333333333</v>
      </c>
      <c r="X12" s="890">
        <v>400</v>
      </c>
      <c r="Y12" s="891">
        <f>'T&amp;T Salary'!$Y$37</f>
        <v>9.7000000000000003E-2</v>
      </c>
      <c r="Z12" s="888">
        <f t="shared" si="1"/>
        <v>672.5333333333333</v>
      </c>
      <c r="AA12" s="890">
        <f t="shared" si="7"/>
        <v>0</v>
      </c>
      <c r="AB12" s="888">
        <f t="shared" si="8"/>
        <v>0</v>
      </c>
      <c r="AC12" s="890">
        <f t="shared" si="9"/>
        <v>8141.4666666666672</v>
      </c>
      <c r="AE12" s="888">
        <f t="shared" si="10"/>
        <v>135.6</v>
      </c>
    </row>
    <row r="13" spans="2:32" x14ac:dyDescent="0.3">
      <c r="B13" s="14" t="str">
        <f t="shared" si="2"/>
        <v>Trinidad and TobagoBackofficeL4</v>
      </c>
      <c r="C13" s="885" t="s">
        <v>326</v>
      </c>
      <c r="D13" s="886" t="s">
        <v>324</v>
      </c>
      <c r="E13" s="887" t="s">
        <v>344</v>
      </c>
      <c r="F13" s="888">
        <f t="shared" si="3"/>
        <v>6933.333333333333</v>
      </c>
      <c r="G13" s="888">
        <f>'T&amp;T Salary'!AC13*12</f>
        <v>97697.600000000006</v>
      </c>
      <c r="H13" s="889"/>
      <c r="I13" s="890">
        <v>6933.333333333333</v>
      </c>
      <c r="J13" s="890">
        <v>6933.333333333333</v>
      </c>
      <c r="K13" s="121">
        <v>0.5</v>
      </c>
      <c r="L13" s="121">
        <v>0.5</v>
      </c>
      <c r="N13" s="890">
        <f t="shared" si="0"/>
        <v>170</v>
      </c>
      <c r="O13" s="890">
        <v>34</v>
      </c>
      <c r="Q13" s="890">
        <v>170</v>
      </c>
      <c r="R13" s="890">
        <f t="shared" si="4"/>
        <v>170</v>
      </c>
      <c r="T13" s="121">
        <v>0.5</v>
      </c>
      <c r="U13" s="121">
        <f t="shared" si="5"/>
        <v>0.5</v>
      </c>
      <c r="W13" s="888">
        <f t="shared" si="6"/>
        <v>6933.333333333333</v>
      </c>
      <c r="X13" s="890">
        <v>400</v>
      </c>
      <c r="Y13" s="891">
        <f>'T&amp;T Salary'!$Y$37</f>
        <v>9.7000000000000003E-2</v>
      </c>
      <c r="Z13" s="888">
        <f t="shared" si="1"/>
        <v>672.5333333333333</v>
      </c>
      <c r="AA13" s="890">
        <f t="shared" si="7"/>
        <v>0</v>
      </c>
      <c r="AB13" s="888">
        <f t="shared" si="8"/>
        <v>0</v>
      </c>
      <c r="AC13" s="890">
        <f t="shared" si="9"/>
        <v>8141.4666666666672</v>
      </c>
      <c r="AE13" s="888">
        <f t="shared" si="10"/>
        <v>135.6</v>
      </c>
    </row>
    <row r="14" spans="2:32" x14ac:dyDescent="0.3">
      <c r="D14" s="14"/>
    </row>
    <row r="15" spans="2:32" x14ac:dyDescent="0.3">
      <c r="D15" s="893" t="s">
        <v>265</v>
      </c>
      <c r="E15" s="877"/>
      <c r="F15" s="877" t="str">
        <f>'T&amp;T Salary'!F3</f>
        <v xml:space="preserve">Base  Monthly Salary </v>
      </c>
      <c r="G15" s="877" t="str">
        <f>'T&amp;T Salary'!G3</f>
        <v>Annual Salary Inc. Benefit</v>
      </c>
      <c r="I15" s="894"/>
      <c r="N15" s="176" t="s">
        <v>370</v>
      </c>
      <c r="O15" s="176" t="s">
        <v>328</v>
      </c>
    </row>
    <row r="16" spans="2:32" x14ac:dyDescent="0.3">
      <c r="D16" s="886" t="s">
        <v>204</v>
      </c>
      <c r="E16" s="887"/>
      <c r="F16" s="1537">
        <v>11250</v>
      </c>
      <c r="G16" s="888">
        <f>'T&amp;T Salary'!AC16*12</f>
        <v>159322.20000000001</v>
      </c>
      <c r="H16" s="894">
        <f>G16/12</f>
        <v>13276.85</v>
      </c>
      <c r="N16" s="290">
        <v>8.3299999999999999E-2</v>
      </c>
      <c r="O16" s="890">
        <v>34</v>
      </c>
      <c r="W16" s="888">
        <f>F16</f>
        <v>11250</v>
      </c>
      <c r="X16" s="890">
        <v>500</v>
      </c>
      <c r="Y16" s="891">
        <f>'T&amp;T Salary'!$Y$37</f>
        <v>9.7000000000000003E-2</v>
      </c>
      <c r="Z16" s="888">
        <f t="shared" ref="Z16:Z31" si="11">W16*(Y16)</f>
        <v>1091.25</v>
      </c>
      <c r="AA16" s="890">
        <v>300</v>
      </c>
      <c r="AB16" s="888">
        <f t="shared" ref="AB16:AB31" si="12">$AB$2</f>
        <v>0</v>
      </c>
      <c r="AC16" s="890">
        <f t="shared" ref="AC16:AC31" si="13">SUM(Z16:AB16,X16,W16,AE16)</f>
        <v>13276.85</v>
      </c>
      <c r="AD16" s="892"/>
      <c r="AE16" s="888">
        <f t="shared" ref="AE16:AE31" si="14">20*6.78</f>
        <v>135.6</v>
      </c>
      <c r="AF16" s="892"/>
    </row>
    <row r="17" spans="3:32" x14ac:dyDescent="0.3">
      <c r="D17" s="886" t="s">
        <v>267</v>
      </c>
      <c r="E17" s="887"/>
      <c r="F17" s="1537">
        <v>14500</v>
      </c>
      <c r="G17" s="888">
        <f>'T&amp;T Salary'!AC17*12</f>
        <v>200905.19999999998</v>
      </c>
      <c r="H17" s="894">
        <f t="shared" ref="H17:H31" si="15">G17/12</f>
        <v>16742.099999999999</v>
      </c>
      <c r="W17" s="888">
        <f t="shared" ref="W17:W31" si="16">F17</f>
        <v>14500</v>
      </c>
      <c r="X17" s="890">
        <v>400</v>
      </c>
      <c r="Y17" s="891">
        <f>'T&amp;T Salary'!$Y$37</f>
        <v>9.7000000000000003E-2</v>
      </c>
      <c r="Z17" s="888">
        <f t="shared" si="11"/>
        <v>1406.5</v>
      </c>
      <c r="AA17" s="890">
        <v>300</v>
      </c>
      <c r="AB17" s="888">
        <f t="shared" si="12"/>
        <v>0</v>
      </c>
      <c r="AC17" s="890">
        <f t="shared" si="13"/>
        <v>16742.099999999999</v>
      </c>
      <c r="AD17" s="892"/>
      <c r="AE17" s="888">
        <f t="shared" si="14"/>
        <v>135.6</v>
      </c>
      <c r="AF17" s="892"/>
    </row>
    <row r="18" spans="3:32" x14ac:dyDescent="0.3">
      <c r="D18" s="886" t="s">
        <v>205</v>
      </c>
      <c r="E18" s="887"/>
      <c r="F18" s="1537">
        <v>20000</v>
      </c>
      <c r="G18" s="888">
        <f>'T&amp;T Salary'!AC18*12</f>
        <v>268507.19999999995</v>
      </c>
      <c r="H18" s="894">
        <f t="shared" si="15"/>
        <v>22375.599999999995</v>
      </c>
      <c r="W18" s="888">
        <f t="shared" si="16"/>
        <v>20000</v>
      </c>
      <c r="X18" s="890">
        <f t="shared" ref="X18:X31" si="17">W18*$X$2</f>
        <v>0</v>
      </c>
      <c r="Y18" s="891">
        <f>'T&amp;T Salary'!$Y$37</f>
        <v>9.7000000000000003E-2</v>
      </c>
      <c r="Z18" s="888">
        <f t="shared" si="11"/>
        <v>1940</v>
      </c>
      <c r="AA18" s="890">
        <v>300</v>
      </c>
      <c r="AB18" s="888">
        <f t="shared" si="12"/>
        <v>0</v>
      </c>
      <c r="AC18" s="890">
        <f t="shared" si="13"/>
        <v>22375.599999999999</v>
      </c>
      <c r="AD18" s="892"/>
      <c r="AE18" s="888">
        <f t="shared" si="14"/>
        <v>135.6</v>
      </c>
      <c r="AF18" s="892"/>
    </row>
    <row r="19" spans="3:32" x14ac:dyDescent="0.3">
      <c r="D19" s="886" t="s">
        <v>250</v>
      </c>
      <c r="E19" s="887"/>
      <c r="F19" s="1537">
        <v>23500</v>
      </c>
      <c r="G19" s="888">
        <f>'T&amp;T Salary'!AC19*12</f>
        <v>314581.19999999995</v>
      </c>
      <c r="H19" s="894">
        <f t="shared" si="15"/>
        <v>26215.099999999995</v>
      </c>
      <c r="W19" s="888">
        <f t="shared" si="16"/>
        <v>23500</v>
      </c>
      <c r="X19" s="890">
        <f t="shared" si="17"/>
        <v>0</v>
      </c>
      <c r="Y19" s="891">
        <f>'T&amp;T Salary'!$Y$37</f>
        <v>9.7000000000000003E-2</v>
      </c>
      <c r="Z19" s="888">
        <f t="shared" si="11"/>
        <v>2279.5</v>
      </c>
      <c r="AA19" s="890">
        <v>300</v>
      </c>
      <c r="AB19" s="888">
        <f t="shared" si="12"/>
        <v>0</v>
      </c>
      <c r="AC19" s="890">
        <f t="shared" si="13"/>
        <v>26215.1</v>
      </c>
      <c r="AD19" s="892"/>
      <c r="AE19" s="888">
        <f t="shared" si="14"/>
        <v>135.6</v>
      </c>
      <c r="AF19" s="892"/>
    </row>
    <row r="20" spans="3:32" x14ac:dyDescent="0.3">
      <c r="D20" s="886" t="s">
        <v>371</v>
      </c>
      <c r="E20" s="887"/>
      <c r="F20" s="1537">
        <v>31500</v>
      </c>
      <c r="G20" s="888">
        <f>'T&amp;T Salary'!AC20*12</f>
        <v>419893.19999999995</v>
      </c>
      <c r="H20" s="894">
        <f t="shared" si="15"/>
        <v>34991.1</v>
      </c>
      <c r="W20" s="888">
        <f t="shared" si="16"/>
        <v>31500</v>
      </c>
      <c r="X20" s="890">
        <f t="shared" si="17"/>
        <v>0</v>
      </c>
      <c r="Y20" s="891">
        <f>'T&amp;T Salary'!$Y$37</f>
        <v>9.7000000000000003E-2</v>
      </c>
      <c r="Z20" s="888">
        <f t="shared" si="11"/>
        <v>3055.5</v>
      </c>
      <c r="AA20" s="890">
        <v>300</v>
      </c>
      <c r="AB20" s="888">
        <f t="shared" si="12"/>
        <v>0</v>
      </c>
      <c r="AC20" s="890">
        <f t="shared" si="13"/>
        <v>34991.1</v>
      </c>
      <c r="AD20" s="892"/>
      <c r="AE20" s="888">
        <f t="shared" si="14"/>
        <v>135.6</v>
      </c>
      <c r="AF20" s="892"/>
    </row>
    <row r="21" spans="3:32" x14ac:dyDescent="0.3">
      <c r="D21" s="886" t="s">
        <v>372</v>
      </c>
      <c r="E21" s="887"/>
      <c r="F21" s="1537">
        <v>42500</v>
      </c>
      <c r="G21" s="888">
        <f>'T&amp;T Salary'!AC21*12</f>
        <v>564697.19999999995</v>
      </c>
      <c r="H21" s="894">
        <f t="shared" si="15"/>
        <v>47058.1</v>
      </c>
      <c r="W21" s="888">
        <f t="shared" si="16"/>
        <v>42500</v>
      </c>
      <c r="X21" s="890">
        <f t="shared" si="17"/>
        <v>0</v>
      </c>
      <c r="Y21" s="891">
        <f>'T&amp;T Salary'!$Y$37</f>
        <v>9.7000000000000003E-2</v>
      </c>
      <c r="Z21" s="888">
        <f t="shared" si="11"/>
        <v>4122.5</v>
      </c>
      <c r="AA21" s="890">
        <v>300</v>
      </c>
      <c r="AB21" s="888">
        <f t="shared" si="12"/>
        <v>0</v>
      </c>
      <c r="AC21" s="890">
        <f t="shared" si="13"/>
        <v>47058.1</v>
      </c>
      <c r="AD21" s="892"/>
      <c r="AE21" s="888">
        <f t="shared" si="14"/>
        <v>135.6</v>
      </c>
      <c r="AF21" s="892"/>
    </row>
    <row r="22" spans="3:32" x14ac:dyDescent="0.3">
      <c r="C22" s="895">
        <v>0.3</v>
      </c>
      <c r="D22" s="886" t="s">
        <v>373</v>
      </c>
      <c r="E22" s="887"/>
      <c r="F22" s="1537">
        <v>55000</v>
      </c>
      <c r="G22" s="888">
        <f>'T&amp;T Salary'!AC22*12</f>
        <v>729247.2</v>
      </c>
      <c r="H22" s="894">
        <f t="shared" si="15"/>
        <v>60770.6</v>
      </c>
      <c r="W22" s="888">
        <f t="shared" si="16"/>
        <v>55000</v>
      </c>
      <c r="X22" s="890">
        <f t="shared" si="17"/>
        <v>0</v>
      </c>
      <c r="Y22" s="891">
        <f>'T&amp;T Salary'!$Y$37</f>
        <v>9.7000000000000003E-2</v>
      </c>
      <c r="Z22" s="888">
        <f t="shared" si="11"/>
        <v>5335</v>
      </c>
      <c r="AA22" s="890">
        <v>300</v>
      </c>
      <c r="AB22" s="888">
        <f t="shared" si="12"/>
        <v>0</v>
      </c>
      <c r="AC22" s="890">
        <f t="shared" si="13"/>
        <v>60770.6</v>
      </c>
      <c r="AD22" s="892"/>
      <c r="AE22" s="888">
        <f t="shared" si="14"/>
        <v>135.6</v>
      </c>
    </row>
    <row r="23" spans="3:32" x14ac:dyDescent="0.3">
      <c r="D23" s="886" t="s">
        <v>374</v>
      </c>
      <c r="E23" s="887"/>
      <c r="F23" s="1537">
        <v>8000</v>
      </c>
      <c r="G23" s="888">
        <f>'T&amp;T Salary'!AC23*12</f>
        <v>110539.20000000001</v>
      </c>
      <c r="H23" s="894">
        <f t="shared" si="15"/>
        <v>9211.6</v>
      </c>
      <c r="W23" s="888">
        <f t="shared" si="16"/>
        <v>8000</v>
      </c>
      <c r="X23" s="890">
        <f t="shared" si="17"/>
        <v>0</v>
      </c>
      <c r="Y23" s="891">
        <f>'T&amp;T Salary'!$Y$37</f>
        <v>9.7000000000000003E-2</v>
      </c>
      <c r="Z23" s="888">
        <f t="shared" si="11"/>
        <v>776</v>
      </c>
      <c r="AA23" s="890">
        <v>300</v>
      </c>
      <c r="AB23" s="888">
        <f t="shared" si="12"/>
        <v>0</v>
      </c>
      <c r="AC23" s="890">
        <f t="shared" si="13"/>
        <v>9211.6</v>
      </c>
      <c r="AD23" s="892"/>
      <c r="AE23" s="888">
        <f t="shared" si="14"/>
        <v>135.6</v>
      </c>
    </row>
    <row r="24" spans="3:32" x14ac:dyDescent="0.3">
      <c r="D24" s="886" t="s">
        <v>47</v>
      </c>
      <c r="E24" s="887"/>
      <c r="F24" s="1537">
        <v>11000</v>
      </c>
      <c r="G24" s="888">
        <f>'T&amp;T Salary'!AC24*12</f>
        <v>154831.20000000001</v>
      </c>
      <c r="H24" s="894">
        <f t="shared" si="15"/>
        <v>12902.6</v>
      </c>
      <c r="W24" s="888">
        <f t="shared" si="16"/>
        <v>11000</v>
      </c>
      <c r="X24" s="890">
        <v>400</v>
      </c>
      <c r="Y24" s="891">
        <f>'T&amp;T Salary'!$Y$37</f>
        <v>9.7000000000000003E-2</v>
      </c>
      <c r="Z24" s="888">
        <f t="shared" si="11"/>
        <v>1067</v>
      </c>
      <c r="AA24" s="890">
        <v>300</v>
      </c>
      <c r="AB24" s="888">
        <f t="shared" si="12"/>
        <v>0</v>
      </c>
      <c r="AC24" s="890">
        <f t="shared" si="13"/>
        <v>12902.6</v>
      </c>
      <c r="AD24" s="892"/>
      <c r="AE24" s="888">
        <f t="shared" si="14"/>
        <v>135.6</v>
      </c>
      <c r="AF24" s="892"/>
    </row>
    <row r="25" spans="3:32" x14ac:dyDescent="0.3">
      <c r="D25" s="886" t="s">
        <v>46</v>
      </c>
      <c r="E25" s="887"/>
      <c r="F25" s="1537">
        <v>10000</v>
      </c>
      <c r="G25" s="888">
        <f>'T&amp;T Salary'!AC25*12</f>
        <v>141667.20000000001</v>
      </c>
      <c r="H25" s="894">
        <f t="shared" si="15"/>
        <v>11805.6</v>
      </c>
      <c r="W25" s="888">
        <f t="shared" si="16"/>
        <v>10000</v>
      </c>
      <c r="X25" s="890">
        <v>400</v>
      </c>
      <c r="Y25" s="891">
        <f>'T&amp;T Salary'!$Y$37</f>
        <v>9.7000000000000003E-2</v>
      </c>
      <c r="Z25" s="888">
        <f t="shared" si="11"/>
        <v>970</v>
      </c>
      <c r="AA25" s="890">
        <v>300</v>
      </c>
      <c r="AB25" s="888">
        <f t="shared" si="12"/>
        <v>0</v>
      </c>
      <c r="AC25" s="890">
        <f t="shared" si="13"/>
        <v>11805.6</v>
      </c>
      <c r="AD25" s="892"/>
      <c r="AE25" s="888">
        <f t="shared" si="14"/>
        <v>135.6</v>
      </c>
      <c r="AF25" s="892"/>
    </row>
    <row r="26" spans="3:32" x14ac:dyDescent="0.3">
      <c r="D26" s="886" t="s">
        <v>206</v>
      </c>
      <c r="E26" s="887"/>
      <c r="F26" s="1537">
        <v>8500</v>
      </c>
      <c r="G26" s="888">
        <f>'T&amp;T Salary'!AC26*12</f>
        <v>123121.20000000001</v>
      </c>
      <c r="H26" s="894">
        <f t="shared" si="15"/>
        <v>10260.1</v>
      </c>
      <c r="W26" s="888">
        <f t="shared" si="16"/>
        <v>8500</v>
      </c>
      <c r="X26" s="890">
        <v>500</v>
      </c>
      <c r="Y26" s="891">
        <f>'T&amp;T Salary'!$Y$37</f>
        <v>9.7000000000000003E-2</v>
      </c>
      <c r="Z26" s="888">
        <f t="shared" si="11"/>
        <v>824.5</v>
      </c>
      <c r="AA26" s="890">
        <v>300</v>
      </c>
      <c r="AB26" s="888">
        <f t="shared" si="12"/>
        <v>0</v>
      </c>
      <c r="AC26" s="890">
        <f t="shared" si="13"/>
        <v>10260.1</v>
      </c>
      <c r="AD26" s="892"/>
      <c r="AE26" s="888">
        <f t="shared" si="14"/>
        <v>135.6</v>
      </c>
      <c r="AF26" s="892"/>
    </row>
    <row r="27" spans="3:32" x14ac:dyDescent="0.3">
      <c r="D27" s="886" t="s">
        <v>375</v>
      </c>
      <c r="E27" s="887"/>
      <c r="F27" s="1537">
        <v>22425</v>
      </c>
      <c r="G27" s="888">
        <f>'T&amp;T Salary'!AC27*12</f>
        <v>300429.89999999997</v>
      </c>
      <c r="H27" s="894">
        <f t="shared" si="15"/>
        <v>25035.824999999997</v>
      </c>
      <c r="W27" s="888">
        <f t="shared" si="16"/>
        <v>22425</v>
      </c>
      <c r="X27" s="890">
        <f t="shared" si="17"/>
        <v>0</v>
      </c>
      <c r="Y27" s="891">
        <f>'T&amp;T Salary'!$Y$37</f>
        <v>9.7000000000000003E-2</v>
      </c>
      <c r="Z27" s="888">
        <f t="shared" si="11"/>
        <v>2175.2249999999999</v>
      </c>
      <c r="AA27" s="890">
        <v>300</v>
      </c>
      <c r="AB27" s="888">
        <f t="shared" si="12"/>
        <v>0</v>
      </c>
      <c r="AC27" s="890">
        <f t="shared" si="13"/>
        <v>25035.824999999997</v>
      </c>
      <c r="AD27" s="892"/>
      <c r="AE27" s="888">
        <f t="shared" si="14"/>
        <v>135.6</v>
      </c>
      <c r="AF27" s="892"/>
    </row>
    <row r="28" spans="3:32" x14ac:dyDescent="0.3">
      <c r="D28" s="886" t="s">
        <v>376</v>
      </c>
      <c r="E28" s="887"/>
      <c r="F28" s="1537">
        <v>22425</v>
      </c>
      <c r="G28" s="888">
        <f>'T&amp;T Salary'!AC28*12</f>
        <v>300429.89999999997</v>
      </c>
      <c r="H28" s="894">
        <f t="shared" si="15"/>
        <v>25035.824999999997</v>
      </c>
      <c r="W28" s="888">
        <f t="shared" si="16"/>
        <v>22425</v>
      </c>
      <c r="X28" s="890">
        <f t="shared" si="17"/>
        <v>0</v>
      </c>
      <c r="Y28" s="891">
        <f>'T&amp;T Salary'!$Y$37</f>
        <v>9.7000000000000003E-2</v>
      </c>
      <c r="Z28" s="888">
        <f t="shared" si="11"/>
        <v>2175.2249999999999</v>
      </c>
      <c r="AA28" s="890">
        <v>300</v>
      </c>
      <c r="AB28" s="888">
        <f t="shared" si="12"/>
        <v>0</v>
      </c>
      <c r="AC28" s="890">
        <f t="shared" si="13"/>
        <v>25035.824999999997</v>
      </c>
      <c r="AD28" s="892"/>
      <c r="AE28" s="888">
        <f t="shared" si="14"/>
        <v>135.6</v>
      </c>
      <c r="AF28" s="892"/>
    </row>
    <row r="29" spans="3:32" x14ac:dyDescent="0.3">
      <c r="D29" s="886" t="s">
        <v>377</v>
      </c>
      <c r="E29" s="887"/>
      <c r="F29" s="1537">
        <v>0</v>
      </c>
      <c r="G29" s="888">
        <f>'T&amp;T Salary'!AC29*12</f>
        <v>5227.2000000000007</v>
      </c>
      <c r="H29" s="894">
        <f t="shared" si="15"/>
        <v>435.60000000000008</v>
      </c>
      <c r="W29" s="888">
        <f t="shared" si="16"/>
        <v>0</v>
      </c>
      <c r="X29" s="890">
        <f t="shared" si="17"/>
        <v>0</v>
      </c>
      <c r="Y29" s="891">
        <f>'T&amp;T Salary'!$Y$37</f>
        <v>9.7000000000000003E-2</v>
      </c>
      <c r="Z29" s="888">
        <f t="shared" si="11"/>
        <v>0</v>
      </c>
      <c r="AA29" s="890">
        <v>300</v>
      </c>
      <c r="AB29" s="888">
        <f t="shared" si="12"/>
        <v>0</v>
      </c>
      <c r="AC29" s="890">
        <f t="shared" si="13"/>
        <v>435.6</v>
      </c>
      <c r="AD29" s="892"/>
      <c r="AE29" s="888">
        <f t="shared" si="14"/>
        <v>135.6</v>
      </c>
    </row>
    <row r="30" spans="3:32" x14ac:dyDescent="0.3">
      <c r="D30" s="886" t="s">
        <v>378</v>
      </c>
      <c r="E30" s="887"/>
      <c r="F30" s="1537">
        <v>0</v>
      </c>
      <c r="G30" s="888">
        <f>'T&amp;T Salary'!AC30*12</f>
        <v>5227.2000000000007</v>
      </c>
      <c r="H30" s="894">
        <f t="shared" si="15"/>
        <v>435.60000000000008</v>
      </c>
      <c r="W30" s="888">
        <f t="shared" si="16"/>
        <v>0</v>
      </c>
      <c r="X30" s="890">
        <f t="shared" si="17"/>
        <v>0</v>
      </c>
      <c r="Y30" s="891">
        <f>'T&amp;T Salary'!$Y$37</f>
        <v>9.7000000000000003E-2</v>
      </c>
      <c r="Z30" s="888">
        <f t="shared" si="11"/>
        <v>0</v>
      </c>
      <c r="AA30" s="890">
        <v>300</v>
      </c>
      <c r="AB30" s="888">
        <f t="shared" si="12"/>
        <v>0</v>
      </c>
      <c r="AC30" s="890">
        <f t="shared" si="13"/>
        <v>435.6</v>
      </c>
      <c r="AD30" s="892"/>
      <c r="AE30" s="888">
        <f t="shared" si="14"/>
        <v>135.6</v>
      </c>
    </row>
    <row r="31" spans="3:32" x14ac:dyDescent="0.3">
      <c r="D31" s="886" t="s">
        <v>379</v>
      </c>
      <c r="E31" s="887"/>
      <c r="F31" s="1537">
        <v>0</v>
      </c>
      <c r="G31" s="888">
        <f>'T&amp;T Salary'!AC31*12</f>
        <v>5227.2000000000007</v>
      </c>
      <c r="H31" s="894">
        <f t="shared" si="15"/>
        <v>435.60000000000008</v>
      </c>
      <c r="W31" s="888">
        <f t="shared" si="16"/>
        <v>0</v>
      </c>
      <c r="X31" s="890">
        <f t="shared" si="17"/>
        <v>0</v>
      </c>
      <c r="Y31" s="891">
        <f>'T&amp;T Salary'!$Y$37</f>
        <v>9.7000000000000003E-2</v>
      </c>
      <c r="Z31" s="888">
        <f t="shared" si="11"/>
        <v>0</v>
      </c>
      <c r="AA31" s="890">
        <v>300</v>
      </c>
      <c r="AB31" s="888">
        <f t="shared" si="12"/>
        <v>0</v>
      </c>
      <c r="AC31" s="890">
        <f t="shared" si="13"/>
        <v>435.6</v>
      </c>
      <c r="AD31" s="892"/>
      <c r="AE31" s="888">
        <f t="shared" si="14"/>
        <v>135.6</v>
      </c>
    </row>
    <row r="32" spans="3:32" x14ac:dyDescent="0.3">
      <c r="AE32" s="14">
        <v>0</v>
      </c>
    </row>
    <row r="34" spans="4:25" x14ac:dyDescent="0.3">
      <c r="W34" s="370" t="s">
        <v>435</v>
      </c>
      <c r="X34" s="644"/>
      <c r="Y34" s="891">
        <v>6.5000000000000002E-2</v>
      </c>
    </row>
    <row r="35" spans="4:25" x14ac:dyDescent="0.3">
      <c r="D35" s="362" t="s">
        <v>436</v>
      </c>
      <c r="E35" s="63"/>
      <c r="F35" s="64"/>
      <c r="G35" s="13"/>
      <c r="H35" s="13"/>
      <c r="I35" s="896"/>
      <c r="J35" s="13"/>
      <c r="W35" s="370" t="s">
        <v>437</v>
      </c>
      <c r="X35" s="644"/>
      <c r="Y35" s="891">
        <v>1.7000000000000001E-2</v>
      </c>
    </row>
    <row r="36" spans="4:25" x14ac:dyDescent="0.3">
      <c r="D36" s="63"/>
      <c r="E36" s="63"/>
      <c r="F36" s="64"/>
      <c r="G36" s="13"/>
      <c r="H36" s="13"/>
      <c r="I36" s="896"/>
      <c r="J36" s="13"/>
      <c r="W36" s="370" t="s">
        <v>438</v>
      </c>
      <c r="X36" s="644"/>
      <c r="Y36" s="891">
        <v>1.4999999999999999E-2</v>
      </c>
    </row>
    <row r="37" spans="4:25" ht="25.5" customHeight="1" x14ac:dyDescent="0.3">
      <c r="D37" s="897" t="s">
        <v>439</v>
      </c>
      <c r="E37" s="897" t="s">
        <v>440</v>
      </c>
      <c r="F37" s="182" t="s">
        <v>441</v>
      </c>
      <c r="G37" s="182" t="s">
        <v>442</v>
      </c>
      <c r="H37" s="182" t="s">
        <v>443</v>
      </c>
      <c r="I37" s="898" t="s">
        <v>444</v>
      </c>
      <c r="J37" s="182" t="s">
        <v>445</v>
      </c>
      <c r="X37" s="64"/>
      <c r="Y37" s="688">
        <f>SUM(Y34:Y36)</f>
        <v>9.7000000000000003E-2</v>
      </c>
    </row>
    <row r="38" spans="4:25" x14ac:dyDescent="0.3">
      <c r="D38" s="33" t="s">
        <v>446</v>
      </c>
      <c r="E38" s="33" t="s">
        <v>447</v>
      </c>
      <c r="F38" s="644"/>
      <c r="G38" s="890">
        <v>24</v>
      </c>
      <c r="H38" s="728">
        <v>40</v>
      </c>
      <c r="I38" s="890">
        <f>G38*H38*52</f>
        <v>49920</v>
      </c>
      <c r="J38" s="890">
        <f>I38/12</f>
        <v>4160</v>
      </c>
    </row>
    <row r="39" spans="4:25" x14ac:dyDescent="0.3">
      <c r="D39" s="33"/>
      <c r="E39" s="180" t="s">
        <v>448</v>
      </c>
      <c r="F39" s="290">
        <f>J39/J38-1</f>
        <v>0.66666666666666652</v>
      </c>
      <c r="G39" s="890">
        <v>40</v>
      </c>
      <c r="H39" s="728">
        <v>40</v>
      </c>
      <c r="I39" s="890">
        <f>G39*H39*52</f>
        <v>83200</v>
      </c>
      <c r="J39" s="890">
        <f>I39/12</f>
        <v>6933.333333333333</v>
      </c>
    </row>
    <row r="40" spans="4:25" x14ac:dyDescent="0.3">
      <c r="D40" s="63"/>
      <c r="E40" s="63"/>
      <c r="F40" s="64"/>
      <c r="G40" s="890"/>
      <c r="H40" s="13"/>
      <c r="I40" s="890"/>
      <c r="J40" s="890"/>
    </row>
    <row r="41" spans="4:25" x14ac:dyDescent="0.3">
      <c r="D41" s="33" t="s">
        <v>449</v>
      </c>
      <c r="E41" s="33" t="s">
        <v>450</v>
      </c>
      <c r="F41" s="644"/>
      <c r="G41" s="890">
        <v>30.62</v>
      </c>
      <c r="H41" s="728">
        <v>40</v>
      </c>
      <c r="I41" s="890">
        <f t="shared" ref="I41:I48" si="18">G41*H41*52</f>
        <v>63689.599999999999</v>
      </c>
      <c r="J41" s="890">
        <f t="shared" ref="J41:J48" si="19">I41/12</f>
        <v>5307.4666666666662</v>
      </c>
      <c r="K41" s="14" t="str">
        <f>D41</f>
        <v>Cx Voice</v>
      </c>
    </row>
    <row r="42" spans="4:25" x14ac:dyDescent="0.3">
      <c r="D42" s="33"/>
      <c r="E42" s="33" t="s">
        <v>451</v>
      </c>
      <c r="F42" s="290">
        <f>G42/G41-1</f>
        <v>0.13063357282821664</v>
      </c>
      <c r="G42" s="890">
        <v>34.619999999999997</v>
      </c>
      <c r="H42" s="728">
        <v>40</v>
      </c>
      <c r="I42" s="890">
        <f t="shared" si="18"/>
        <v>72009.599999999991</v>
      </c>
      <c r="J42" s="890">
        <f t="shared" si="19"/>
        <v>6000.7999999999993</v>
      </c>
      <c r="K42" s="14" t="str">
        <f>D45</f>
        <v>Basic Skill</v>
      </c>
    </row>
    <row r="43" spans="4:25" x14ac:dyDescent="0.3">
      <c r="D43" s="33"/>
      <c r="E43" s="33" t="s">
        <v>452</v>
      </c>
      <c r="F43" s="290">
        <f>G43/G41-1</f>
        <v>0.15999999999999992</v>
      </c>
      <c r="G43" s="890">
        <f>G41*116%</f>
        <v>35.519199999999998</v>
      </c>
      <c r="H43" s="728">
        <v>40</v>
      </c>
      <c r="I43" s="890">
        <f t="shared" si="18"/>
        <v>73879.936000000002</v>
      </c>
      <c r="J43" s="890">
        <f t="shared" si="19"/>
        <v>6156.6613333333335</v>
      </c>
    </row>
    <row r="44" spans="4:25" x14ac:dyDescent="0.3">
      <c r="D44" s="33"/>
      <c r="E44" s="33" t="s">
        <v>453</v>
      </c>
      <c r="F44" s="290">
        <f>G44/G41-1</f>
        <v>0.30633572828216837</v>
      </c>
      <c r="G44" s="890">
        <v>40</v>
      </c>
      <c r="H44" s="728">
        <v>40</v>
      </c>
      <c r="I44" s="890">
        <f t="shared" si="18"/>
        <v>83200</v>
      </c>
      <c r="J44" s="890">
        <f t="shared" si="19"/>
        <v>6933.333333333333</v>
      </c>
    </row>
    <row r="45" spans="4:25" x14ac:dyDescent="0.3">
      <c r="D45" s="33" t="s">
        <v>454</v>
      </c>
      <c r="E45" s="33" t="s">
        <v>450</v>
      </c>
      <c r="F45" s="644"/>
      <c r="G45" s="890">
        <f>G41*90%</f>
        <v>27.558</v>
      </c>
      <c r="H45" s="728">
        <v>40</v>
      </c>
      <c r="I45" s="890">
        <f t="shared" si="18"/>
        <v>57320.639999999999</v>
      </c>
      <c r="J45" s="890">
        <f t="shared" si="19"/>
        <v>4776.72</v>
      </c>
    </row>
    <row r="46" spans="4:25" x14ac:dyDescent="0.3">
      <c r="D46" s="33"/>
      <c r="E46" s="33" t="s">
        <v>451</v>
      </c>
      <c r="F46" s="290">
        <f>J46/J45-1</f>
        <v>0.13063357282821642</v>
      </c>
      <c r="G46" s="890">
        <f>G45*(1+F42)</f>
        <v>31.157999999999994</v>
      </c>
      <c r="H46" s="728">
        <v>40</v>
      </c>
      <c r="I46" s="890">
        <f t="shared" si="18"/>
        <v>64808.639999999985</v>
      </c>
      <c r="J46" s="890">
        <f t="shared" si="19"/>
        <v>5400.7199999999984</v>
      </c>
    </row>
    <row r="47" spans="4:25" x14ac:dyDescent="0.3">
      <c r="D47" s="33"/>
      <c r="E47" s="33" t="s">
        <v>452</v>
      </c>
      <c r="F47" s="290">
        <f>J47/J45-1</f>
        <v>0.15999999999999992</v>
      </c>
      <c r="G47" s="890">
        <f>G45*(1+F43)</f>
        <v>31.967279999999999</v>
      </c>
      <c r="H47" s="728">
        <v>40</v>
      </c>
      <c r="I47" s="890">
        <f t="shared" si="18"/>
        <v>66491.9424</v>
      </c>
      <c r="J47" s="890">
        <f t="shared" si="19"/>
        <v>5540.9952000000003</v>
      </c>
    </row>
    <row r="48" spans="4:25" x14ac:dyDescent="0.3">
      <c r="D48" s="33"/>
      <c r="E48" s="33" t="str">
        <f>E44</f>
        <v>Complex Bilingual</v>
      </c>
      <c r="F48" s="290">
        <v>0</v>
      </c>
      <c r="G48" s="890">
        <v>0</v>
      </c>
      <c r="H48" s="728">
        <v>40</v>
      </c>
      <c r="I48" s="890">
        <f t="shared" si="18"/>
        <v>0</v>
      </c>
      <c r="J48" s="890">
        <f t="shared" si="19"/>
        <v>0</v>
      </c>
    </row>
    <row r="49" spans="4:10" x14ac:dyDescent="0.3">
      <c r="D49" s="63"/>
      <c r="E49" s="63"/>
      <c r="F49" s="64"/>
      <c r="G49" s="13"/>
      <c r="H49" s="13"/>
      <c r="I49" s="896"/>
      <c r="J49" s="13"/>
    </row>
    <row r="50" spans="4:10" x14ac:dyDescent="0.3">
      <c r="D50" s="899" t="s">
        <v>455</v>
      </c>
      <c r="E50" s="63"/>
      <c r="F50" s="64"/>
      <c r="G50" s="900" t="s">
        <v>456</v>
      </c>
      <c r="H50" s="890">
        <f>(24*2080/12)</f>
        <v>4160</v>
      </c>
      <c r="I50" s="896"/>
      <c r="J50" s="13"/>
    </row>
    <row r="51" spans="4:10" x14ac:dyDescent="0.3">
      <c r="D51" s="899" t="s">
        <v>457</v>
      </c>
      <c r="E51" s="63"/>
      <c r="F51" s="64"/>
      <c r="G51" s="13"/>
      <c r="H51" s="13"/>
      <c r="I51" s="896"/>
      <c r="J51" s="13"/>
    </row>
  </sheetData>
  <mergeCells count="6">
    <mergeCell ref="N2:O2"/>
    <mergeCell ref="C2:C3"/>
    <mergeCell ref="D2:D3"/>
    <mergeCell ref="E2:E3"/>
    <mergeCell ref="I2:J2"/>
    <mergeCell ref="K2:L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195C5-1792-40EF-975E-BD67D156C731}">
  <sheetPr codeName="Sheet17"/>
  <dimension ref="B1:BA37"/>
  <sheetViews>
    <sheetView showGridLines="0" topLeftCell="A8" zoomScale="90" zoomScaleNormal="90" workbookViewId="0">
      <selection activeCell="C16" sqref="C16"/>
    </sheetView>
  </sheetViews>
  <sheetFormatPr defaultColWidth="9.1796875" defaultRowHeight="14.5" x14ac:dyDescent="0.35"/>
  <cols>
    <col min="2" max="2" width="8.36328125" bestFit="1" customWidth="1"/>
    <col min="3" max="3" width="11.453125" bestFit="1" customWidth="1"/>
    <col min="4" max="4" width="22" style="768" bestFit="1" customWidth="1"/>
    <col min="5" max="5" width="65.54296875" bestFit="1" customWidth="1"/>
    <col min="6" max="7" width="24" bestFit="1" customWidth="1"/>
    <col min="8" max="8" width="13.453125" bestFit="1" customWidth="1"/>
    <col min="9" max="9" width="11.7265625" bestFit="1" customWidth="1"/>
    <col min="10" max="10" width="8.1796875" bestFit="1" customWidth="1"/>
    <col min="11" max="11" width="9.7265625" bestFit="1" customWidth="1"/>
    <col min="12" max="12" width="11.7265625" bestFit="1" customWidth="1"/>
    <col min="13" max="13" width="3.1796875" customWidth="1"/>
    <col min="14" max="14" width="12.54296875" bestFit="1" customWidth="1"/>
    <col min="15" max="15" width="9.54296875" bestFit="1" customWidth="1"/>
    <col min="16" max="16" width="3.1796875" customWidth="1"/>
    <col min="17" max="18" width="11.26953125" customWidth="1"/>
    <col min="19" max="19" width="2.26953125" customWidth="1"/>
    <col min="20" max="20" width="14.54296875" customWidth="1"/>
    <col min="21" max="21" width="14.26953125" bestFit="1" customWidth="1"/>
    <col min="22" max="22" width="2.81640625" customWidth="1"/>
    <col min="23" max="23" width="12.54296875" bestFit="1" customWidth="1"/>
    <col min="24" max="24" width="9.54296875" bestFit="1" customWidth="1"/>
    <col min="25" max="25" width="3.1796875" customWidth="1"/>
    <col min="26" max="27" width="11.26953125" customWidth="1"/>
    <col min="28" max="28" width="2.26953125" customWidth="1"/>
    <col min="29" max="29" width="14.54296875" customWidth="1"/>
    <col min="30" max="30" width="14.26953125" bestFit="1" customWidth="1"/>
    <col min="31" max="31" width="2.81640625" customWidth="1"/>
    <col min="32" max="32" width="12.54296875" bestFit="1" customWidth="1"/>
    <col min="33" max="33" width="9.54296875" bestFit="1" customWidth="1"/>
    <col min="34" max="34" width="3.1796875" customWidth="1"/>
    <col min="35" max="36" width="11.26953125" customWidth="1"/>
    <col min="37" max="37" width="2.26953125" customWidth="1"/>
    <col min="38" max="38" width="14.54296875" customWidth="1"/>
    <col min="39" max="39" width="14.26953125" bestFit="1" customWidth="1"/>
    <col min="40" max="40" width="15.81640625" bestFit="1" customWidth="1"/>
    <col min="41" max="41" width="17.81640625" bestFit="1" customWidth="1"/>
    <col min="42" max="42" width="16.81640625" bestFit="1" customWidth="1"/>
    <col min="43" max="43" width="21" bestFit="1" customWidth="1"/>
    <col min="44" max="44" width="19.54296875" bestFit="1" customWidth="1"/>
    <col min="45" max="45" width="21.26953125" bestFit="1" customWidth="1"/>
    <col min="46" max="46" width="21" bestFit="1" customWidth="1"/>
    <col min="47" max="47" width="16.26953125" bestFit="1" customWidth="1"/>
    <col min="48" max="48" width="13.453125" bestFit="1" customWidth="1"/>
    <col min="49" max="49" width="13.453125" customWidth="1"/>
    <col min="50" max="50" width="14.26953125" customWidth="1"/>
    <col min="51" max="51" width="10.26953125" bestFit="1" customWidth="1"/>
    <col min="53" max="53" width="16" customWidth="1"/>
  </cols>
  <sheetData>
    <row r="1" spans="2:53" ht="15" thickBot="1" x14ac:dyDescent="0.4">
      <c r="B1" t="s">
        <v>349</v>
      </c>
    </row>
    <row r="2" spans="2:53" ht="15" thickTop="1" x14ac:dyDescent="0.35">
      <c r="C2" s="1599" t="s">
        <v>319</v>
      </c>
      <c r="D2" s="1599" t="s">
        <v>320</v>
      </c>
      <c r="E2" s="1599" t="s">
        <v>336</v>
      </c>
      <c r="F2" s="775"/>
      <c r="G2" s="775" t="s">
        <v>351</v>
      </c>
      <c r="I2" s="1600" t="s">
        <v>807</v>
      </c>
      <c r="J2" s="1600"/>
      <c r="K2" s="1600" t="s">
        <v>353</v>
      </c>
      <c r="L2" s="1600"/>
      <c r="N2" s="1597" t="s">
        <v>477</v>
      </c>
      <c r="O2" s="1598"/>
      <c r="W2" s="1597" t="s">
        <v>478</v>
      </c>
      <c r="X2" s="1598"/>
      <c r="AF2" s="1597" t="s">
        <v>479</v>
      </c>
      <c r="AG2" s="1598"/>
      <c r="AN2" s="901"/>
      <c r="AO2" s="902"/>
      <c r="AP2" s="902"/>
      <c r="AQ2" s="1622" t="s">
        <v>480</v>
      </c>
      <c r="AR2" s="1623"/>
      <c r="AS2" s="902"/>
      <c r="AT2" s="902"/>
      <c r="AZ2" s="1600" t="s">
        <v>353</v>
      </c>
      <c r="BA2" s="1600"/>
    </row>
    <row r="3" spans="2:53" ht="29" x14ac:dyDescent="0.35">
      <c r="C3" s="1599"/>
      <c r="D3" s="1599"/>
      <c r="E3" s="1599"/>
      <c r="F3" s="781" t="s">
        <v>355</v>
      </c>
      <c r="G3" s="781" t="s">
        <v>356</v>
      </c>
      <c r="I3" s="781" t="s">
        <v>357</v>
      </c>
      <c r="J3" s="781" t="s">
        <v>358</v>
      </c>
      <c r="K3" s="781" t="s">
        <v>357</v>
      </c>
      <c r="L3" s="781" t="s">
        <v>358</v>
      </c>
      <c r="N3" s="781" t="s">
        <v>359</v>
      </c>
      <c r="O3" s="781" t="s">
        <v>328</v>
      </c>
      <c r="Q3" s="781" t="s">
        <v>329</v>
      </c>
      <c r="R3" s="781" t="s">
        <v>330</v>
      </c>
      <c r="T3" s="781" t="s">
        <v>360</v>
      </c>
      <c r="U3" s="781" t="s">
        <v>361</v>
      </c>
      <c r="W3" s="781" t="s">
        <v>359</v>
      </c>
      <c r="X3" s="781" t="s">
        <v>328</v>
      </c>
      <c r="Z3" s="781" t="s">
        <v>329</v>
      </c>
      <c r="AA3" s="781" t="s">
        <v>330</v>
      </c>
      <c r="AC3" s="781" t="s">
        <v>360</v>
      </c>
      <c r="AD3" s="781" t="s">
        <v>361</v>
      </c>
      <c r="AF3" s="781" t="s">
        <v>359</v>
      </c>
      <c r="AG3" s="781" t="s">
        <v>328</v>
      </c>
      <c r="AI3" s="781" t="s">
        <v>329</v>
      </c>
      <c r="AJ3" s="781" t="s">
        <v>330</v>
      </c>
      <c r="AL3" s="781" t="s">
        <v>360</v>
      </c>
      <c r="AM3" s="781" t="s">
        <v>361</v>
      </c>
      <c r="AN3" s="903" t="s">
        <v>481</v>
      </c>
      <c r="AO3" s="904" t="s">
        <v>482</v>
      </c>
      <c r="AP3" s="915" t="s">
        <v>483</v>
      </c>
      <c r="AQ3" s="916" t="s">
        <v>484</v>
      </c>
      <c r="AR3" s="917" t="s">
        <v>485</v>
      </c>
      <c r="AS3" s="918" t="s">
        <v>486</v>
      </c>
      <c r="AT3" s="904" t="s">
        <v>487</v>
      </c>
      <c r="AU3" s="904" t="s">
        <v>488</v>
      </c>
      <c r="AX3" s="781" t="s">
        <v>357</v>
      </c>
      <c r="AY3" s="781" t="s">
        <v>357</v>
      </c>
      <c r="AZ3" s="781" t="s">
        <v>357</v>
      </c>
      <c r="BA3" s="781" t="s">
        <v>358</v>
      </c>
    </row>
    <row r="4" spans="2:53" x14ac:dyDescent="0.35">
      <c r="B4" t="str">
        <f>$B$1&amp;C4&amp;D4</f>
        <v>RomaniaVoiceL1</v>
      </c>
      <c r="C4" s="787" t="s">
        <v>266</v>
      </c>
      <c r="D4" s="788" t="s">
        <v>321</v>
      </c>
      <c r="E4" s="789" t="s">
        <v>367</v>
      </c>
      <c r="F4" s="919">
        <f>SUMPRODUCT(I4:J4,K4:L4)*12</f>
        <v>91237.914059999996</v>
      </c>
      <c r="G4" s="919">
        <f>F4</f>
        <v>91237.914059999996</v>
      </c>
      <c r="H4" s="920">
        <f>G4/12</f>
        <v>7603.1595049999996</v>
      </c>
      <c r="I4" s="1539">
        <v>7603.1595049999996</v>
      </c>
      <c r="J4" s="1539">
        <v>7603.1595049999996</v>
      </c>
      <c r="K4" s="792">
        <v>0.5</v>
      </c>
      <c r="L4" s="793">
        <f>(1-K4)</f>
        <v>0.5</v>
      </c>
      <c r="N4" s="919">
        <f t="shared" ref="N4:N13" si="0">SUMPRODUCT(T4:U4,Q4:R4)</f>
        <v>1654.8266666666668</v>
      </c>
      <c r="O4" s="919">
        <v>0</v>
      </c>
      <c r="Q4" s="1539">
        <v>7247</v>
      </c>
      <c r="R4" s="1539">
        <v>256.7833333333333</v>
      </c>
      <c r="T4" s="792">
        <v>0.2</v>
      </c>
      <c r="U4" s="793">
        <f>1-T4</f>
        <v>0.8</v>
      </c>
      <c r="W4" s="919">
        <f t="shared" ref="W4:W13" si="1">SUMPRODUCT(AC4:AD4,Z4:AA4)</f>
        <v>256.7833333333333</v>
      </c>
      <c r="X4" s="919">
        <v>0</v>
      </c>
      <c r="Z4" s="919">
        <f>Q4</f>
        <v>7247</v>
      </c>
      <c r="AA4" s="919">
        <f>(31000/600)*4.97</f>
        <v>256.7833333333333</v>
      </c>
      <c r="AC4" s="793">
        <v>0</v>
      </c>
      <c r="AD4" s="793">
        <f>1-AC4</f>
        <v>1</v>
      </c>
      <c r="AF4" s="919">
        <f t="shared" ref="AF4:AF13" si="2">SUMPRODUCT(AL4:AM4,AI4:AJ4)</f>
        <v>256.7833333333333</v>
      </c>
      <c r="AG4" s="919">
        <v>0</v>
      </c>
      <c r="AI4" s="919">
        <f>Q4</f>
        <v>7247</v>
      </c>
      <c r="AJ4" s="919">
        <f>(31000/600)*4.97</f>
        <v>256.7833333333333</v>
      </c>
      <c r="AL4" s="793">
        <v>0</v>
      </c>
      <c r="AM4" s="793">
        <f>1-AL4</f>
        <v>1</v>
      </c>
      <c r="AN4" s="921">
        <f t="shared" ref="AN4:AN13" si="3">F4</f>
        <v>91237.914059999996</v>
      </c>
      <c r="AO4" s="919">
        <f>AN4*$AO$35</f>
        <v>2052.8530663499996</v>
      </c>
      <c r="AP4" s="922">
        <f>SUM(AN4:AO4)</f>
        <v>93290.767126349994</v>
      </c>
      <c r="AQ4" s="923">
        <f>AN4*$AQ$36</f>
        <v>22809.478514999999</v>
      </c>
      <c r="AR4" s="924">
        <f>AN4*$AR$36</f>
        <v>9123.7914060000003</v>
      </c>
      <c r="AS4" s="925">
        <f>AN4-SUM(AO4,AQ4,AR4)</f>
        <v>57251.791072649998</v>
      </c>
      <c r="AT4" s="919">
        <f>AS4*$AT$36</f>
        <v>5725.1791072650003</v>
      </c>
      <c r="AU4" s="919">
        <f>AS4-AT4</f>
        <v>51526.611965384996</v>
      </c>
      <c r="AV4" s="909"/>
      <c r="AW4" s="926">
        <f>SUMPRODUCT(AX4:AY4,AZ4:BA4)</f>
        <v>1455.02</v>
      </c>
      <c r="AX4" s="926">
        <v>1455.02</v>
      </c>
      <c r="AY4" s="926">
        <v>1455.02</v>
      </c>
      <c r="AZ4" s="793">
        <v>0.5</v>
      </c>
      <c r="BA4" s="793">
        <v>0.5</v>
      </c>
    </row>
    <row r="5" spans="2:53" s="910" customFormat="1" x14ac:dyDescent="0.35">
      <c r="B5" t="str">
        <f t="shared" ref="B5:B13" si="4">$B$1&amp;C5&amp;D5</f>
        <v>RomaniaVoiceL2</v>
      </c>
      <c r="C5" s="787" t="s">
        <v>266</v>
      </c>
      <c r="D5" s="788" t="s">
        <v>322</v>
      </c>
      <c r="E5" s="789" t="s">
        <v>368</v>
      </c>
      <c r="F5" s="919">
        <f t="shared" ref="F5:F13" si="5">SUMPRODUCT(I5:J5,K5:L5)*12</f>
        <v>95650.455419999984</v>
      </c>
      <c r="G5" s="919">
        <f t="shared" ref="G5:G13" si="6">F5</f>
        <v>95650.455419999984</v>
      </c>
      <c r="H5" s="920">
        <f t="shared" ref="H5:H13" si="7">G5/12</f>
        <v>7970.8712849999984</v>
      </c>
      <c r="I5" s="1539">
        <v>7970.8712849999993</v>
      </c>
      <c r="J5" s="1539">
        <v>7970.8712849999993</v>
      </c>
      <c r="K5" s="792">
        <v>0.5</v>
      </c>
      <c r="L5" s="793">
        <f t="shared" ref="L5:L13" si="8">(1-K5)</f>
        <v>0.5</v>
      </c>
      <c r="M5"/>
      <c r="N5" s="919">
        <f t="shared" si="0"/>
        <v>1654.8266666666668</v>
      </c>
      <c r="O5" s="919">
        <v>0</v>
      </c>
      <c r="Q5" s="1539">
        <v>7247</v>
      </c>
      <c r="R5" s="1539">
        <v>256.7833333333333</v>
      </c>
      <c r="S5"/>
      <c r="T5" s="792">
        <v>0.2</v>
      </c>
      <c r="U5" s="793">
        <f t="shared" ref="U5:U13" si="9">1-T5</f>
        <v>0.8</v>
      </c>
      <c r="W5" s="919">
        <f t="shared" si="1"/>
        <v>256.7833333333333</v>
      </c>
      <c r="X5" s="919">
        <v>0</v>
      </c>
      <c r="Z5" s="919">
        <f t="shared" ref="Z5:Z13" si="10">Q5</f>
        <v>7247</v>
      </c>
      <c r="AA5" s="919">
        <f t="shared" ref="AA5:AA13" si="11">(31000/600)*4.97</f>
        <v>256.7833333333333</v>
      </c>
      <c r="AB5"/>
      <c r="AC5" s="793">
        <v>0</v>
      </c>
      <c r="AD5" s="793">
        <f t="shared" ref="AD5:AD13" si="12">1-AC5</f>
        <v>1</v>
      </c>
      <c r="AF5" s="919">
        <f t="shared" si="2"/>
        <v>256.7833333333333</v>
      </c>
      <c r="AG5" s="919">
        <v>0</v>
      </c>
      <c r="AI5" s="919">
        <f t="shared" ref="AI5:AI13" si="13">Q5</f>
        <v>7247</v>
      </c>
      <c r="AJ5" s="919">
        <f t="shared" ref="AJ5:AJ13" si="14">(31000/600)*4.97</f>
        <v>256.7833333333333</v>
      </c>
      <c r="AK5"/>
      <c r="AL5" s="793">
        <v>0</v>
      </c>
      <c r="AM5" s="793">
        <f t="shared" ref="AM5:AM13" si="15">1-AL5</f>
        <v>1</v>
      </c>
      <c r="AN5" s="921">
        <f t="shared" si="3"/>
        <v>95650.455419999984</v>
      </c>
      <c r="AO5" s="919">
        <f t="shared" ref="AO5:AO13" si="16">AN5*$AO$35</f>
        <v>2152.1352469499998</v>
      </c>
      <c r="AP5" s="922">
        <f t="shared" ref="AP5:AP13" si="17">SUM(AN5:AO5)</f>
        <v>97802.590666949982</v>
      </c>
      <c r="AQ5" s="923">
        <f t="shared" ref="AQ5:AQ13" si="18">AN5*$AQ$36</f>
        <v>23912.613854999996</v>
      </c>
      <c r="AR5" s="924">
        <f t="shared" ref="AR5:AR13" si="19">AN5*$AR$36</f>
        <v>9565.045541999998</v>
      </c>
      <c r="AS5" s="925">
        <f t="shared" ref="AS5:AS13" si="20">AN5-SUM(AO5,AQ5,AR5)</f>
        <v>60020.66077604999</v>
      </c>
      <c r="AT5" s="919">
        <f t="shared" ref="AT5:AT13" si="21">AS5*$AT$36</f>
        <v>6002.066077604999</v>
      </c>
      <c r="AU5" s="919">
        <f t="shared" ref="AU5:AU13" si="22">AS5-AT5</f>
        <v>54018.594698444991</v>
      </c>
      <c r="AW5" s="926">
        <f t="shared" ref="AW5:AW13" si="23">SUMPRODUCT(AX5:AY5,AZ5:BA5)</f>
        <v>1525.5</v>
      </c>
      <c r="AX5" s="926">
        <v>1525.5</v>
      </c>
      <c r="AY5" s="926">
        <v>1525.5</v>
      </c>
      <c r="AZ5" s="793">
        <v>0.5</v>
      </c>
      <c r="BA5" s="793">
        <v>0.5</v>
      </c>
    </row>
    <row r="6" spans="2:53" s="910" customFormat="1" x14ac:dyDescent="0.35">
      <c r="B6" t="str">
        <f t="shared" si="4"/>
        <v>RomaniaVoiceL3</v>
      </c>
      <c r="C6" s="787" t="s">
        <v>266</v>
      </c>
      <c r="D6" s="788" t="s">
        <v>323</v>
      </c>
      <c r="E6" s="789" t="s">
        <v>337</v>
      </c>
      <c r="F6" s="919">
        <f t="shared" si="5"/>
        <v>100050.47537999999</v>
      </c>
      <c r="G6" s="919">
        <f t="shared" si="6"/>
        <v>100050.47537999999</v>
      </c>
      <c r="H6" s="920">
        <f t="shared" si="7"/>
        <v>8337.5396149999997</v>
      </c>
      <c r="I6" s="1539">
        <v>8337.5396149999997</v>
      </c>
      <c r="J6" s="1539">
        <v>8337.5396149999997</v>
      </c>
      <c r="K6" s="792">
        <v>0.5</v>
      </c>
      <c r="L6" s="793">
        <f t="shared" si="8"/>
        <v>0.5</v>
      </c>
      <c r="M6"/>
      <c r="N6" s="919">
        <f t="shared" si="0"/>
        <v>1654.8266666666668</v>
      </c>
      <c r="O6" s="919">
        <v>0</v>
      </c>
      <c r="Q6" s="1539">
        <v>7247</v>
      </c>
      <c r="R6" s="1539">
        <v>256.7833333333333</v>
      </c>
      <c r="S6"/>
      <c r="T6" s="792">
        <v>0.2</v>
      </c>
      <c r="U6" s="793">
        <f t="shared" si="9"/>
        <v>0.8</v>
      </c>
      <c r="W6" s="919">
        <f t="shared" si="1"/>
        <v>256.7833333333333</v>
      </c>
      <c r="X6" s="919">
        <v>0</v>
      </c>
      <c r="Z6" s="919">
        <f t="shared" si="10"/>
        <v>7247</v>
      </c>
      <c r="AA6" s="919">
        <f t="shared" si="11"/>
        <v>256.7833333333333</v>
      </c>
      <c r="AB6"/>
      <c r="AC6" s="793">
        <v>0</v>
      </c>
      <c r="AD6" s="793">
        <f t="shared" si="12"/>
        <v>1</v>
      </c>
      <c r="AF6" s="919">
        <f t="shared" si="2"/>
        <v>256.7833333333333</v>
      </c>
      <c r="AG6" s="919">
        <v>0</v>
      </c>
      <c r="AI6" s="919">
        <f t="shared" si="13"/>
        <v>7247</v>
      </c>
      <c r="AJ6" s="919">
        <f t="shared" si="14"/>
        <v>256.7833333333333</v>
      </c>
      <c r="AK6"/>
      <c r="AL6" s="793">
        <v>0</v>
      </c>
      <c r="AM6" s="793">
        <f t="shared" si="15"/>
        <v>1</v>
      </c>
      <c r="AN6" s="921">
        <f t="shared" si="3"/>
        <v>100050.47537999999</v>
      </c>
      <c r="AO6" s="919">
        <f t="shared" si="16"/>
        <v>2251.1356960499998</v>
      </c>
      <c r="AP6" s="922">
        <f t="shared" si="17"/>
        <v>102301.61107604999</v>
      </c>
      <c r="AQ6" s="923">
        <f t="shared" si="18"/>
        <v>25012.618844999997</v>
      </c>
      <c r="AR6" s="924">
        <f t="shared" si="19"/>
        <v>10005.047537999999</v>
      </c>
      <c r="AS6" s="925">
        <f t="shared" si="20"/>
        <v>62781.673300949995</v>
      </c>
      <c r="AT6" s="919">
        <f t="shared" si="21"/>
        <v>6278.1673300949997</v>
      </c>
      <c r="AU6" s="919">
        <f t="shared" si="22"/>
        <v>56503.505970854996</v>
      </c>
      <c r="AW6" s="926">
        <f t="shared" si="23"/>
        <v>1595.78</v>
      </c>
      <c r="AX6" s="926">
        <v>1595.78</v>
      </c>
      <c r="AY6" s="926">
        <v>1595.78</v>
      </c>
      <c r="AZ6" s="793">
        <v>0.5</v>
      </c>
      <c r="BA6" s="793">
        <v>0.5</v>
      </c>
    </row>
    <row r="7" spans="2:53" s="910" customFormat="1" x14ac:dyDescent="0.35">
      <c r="B7" t="str">
        <f t="shared" si="4"/>
        <v>RomaniaVoiceL4</v>
      </c>
      <c r="C7" s="787" t="s">
        <v>266</v>
      </c>
      <c r="D7" s="788" t="s">
        <v>324</v>
      </c>
      <c r="E7" s="789" t="s">
        <v>338</v>
      </c>
      <c r="F7" s="919">
        <f t="shared" si="5"/>
        <v>110041.17522600002</v>
      </c>
      <c r="G7" s="919">
        <f t="shared" si="6"/>
        <v>110041.17522600002</v>
      </c>
      <c r="H7" s="920">
        <f t="shared" si="7"/>
        <v>9170.0979355000018</v>
      </c>
      <c r="I7" s="1539">
        <v>9170.0979355000018</v>
      </c>
      <c r="J7" s="1539">
        <v>9170.0979355000018</v>
      </c>
      <c r="K7" s="792">
        <v>0.5</v>
      </c>
      <c r="L7" s="793">
        <f t="shared" si="8"/>
        <v>0.5</v>
      </c>
      <c r="M7"/>
      <c r="N7" s="927">
        <f t="shared" si="0"/>
        <v>2039.4462537666673</v>
      </c>
      <c r="O7" s="927">
        <v>0</v>
      </c>
      <c r="Q7" s="1539">
        <v>9170.0979355000018</v>
      </c>
      <c r="R7" s="1539">
        <v>256.7833333333333</v>
      </c>
      <c r="S7"/>
      <c r="T7" s="792">
        <v>0.2</v>
      </c>
      <c r="U7" s="793">
        <f t="shared" si="9"/>
        <v>0.8</v>
      </c>
      <c r="W7" s="927">
        <f t="shared" si="1"/>
        <v>256.7833333333333</v>
      </c>
      <c r="X7" s="927">
        <v>0</v>
      </c>
      <c r="Z7" s="927">
        <f t="shared" si="10"/>
        <v>9170.0979355000018</v>
      </c>
      <c r="AA7" s="927">
        <f t="shared" si="11"/>
        <v>256.7833333333333</v>
      </c>
      <c r="AB7"/>
      <c r="AC7" s="793">
        <v>0</v>
      </c>
      <c r="AD7" s="793">
        <f t="shared" si="12"/>
        <v>1</v>
      </c>
      <c r="AF7" s="927">
        <f t="shared" si="2"/>
        <v>256.7833333333333</v>
      </c>
      <c r="AG7" s="927">
        <v>0</v>
      </c>
      <c r="AI7" s="927">
        <f t="shared" si="13"/>
        <v>9170.0979355000018</v>
      </c>
      <c r="AJ7" s="927">
        <f t="shared" si="14"/>
        <v>256.7833333333333</v>
      </c>
      <c r="AK7"/>
      <c r="AL7" s="793">
        <v>0</v>
      </c>
      <c r="AM7" s="793">
        <f t="shared" si="15"/>
        <v>1</v>
      </c>
      <c r="AN7" s="921">
        <f t="shared" si="3"/>
        <v>110041.17522600002</v>
      </c>
      <c r="AO7" s="919">
        <f t="shared" si="16"/>
        <v>2475.9264425850006</v>
      </c>
      <c r="AP7" s="922">
        <f t="shared" si="17"/>
        <v>112517.10166858502</v>
      </c>
      <c r="AQ7" s="923">
        <f t="shared" si="18"/>
        <v>27510.293806500005</v>
      </c>
      <c r="AR7" s="924">
        <f t="shared" si="19"/>
        <v>11004.117522600003</v>
      </c>
      <c r="AS7" s="925">
        <f t="shared" si="20"/>
        <v>69050.837454315013</v>
      </c>
      <c r="AT7" s="919">
        <f t="shared" si="21"/>
        <v>6905.0837454315015</v>
      </c>
      <c r="AU7" s="919">
        <f t="shared" si="22"/>
        <v>62145.753708883509</v>
      </c>
      <c r="AW7" s="926">
        <f t="shared" si="23"/>
        <v>1755.3580000000002</v>
      </c>
      <c r="AX7" s="926">
        <v>1755.3580000000002</v>
      </c>
      <c r="AY7" s="926">
        <v>1755.3580000000002</v>
      </c>
      <c r="AZ7" s="793">
        <v>0.5</v>
      </c>
      <c r="BA7" s="793">
        <v>0.5</v>
      </c>
    </row>
    <row r="8" spans="2:53" s="910" customFormat="1" x14ac:dyDescent="0.35">
      <c r="B8" t="str">
        <f t="shared" si="4"/>
        <v>RomaniaNon-voiceL1</v>
      </c>
      <c r="C8" s="787" t="s">
        <v>325</v>
      </c>
      <c r="D8" s="788" t="s">
        <v>321</v>
      </c>
      <c r="E8" s="789" t="s">
        <v>339</v>
      </c>
      <c r="F8" s="919">
        <f t="shared" si="5"/>
        <v>91237.914059999996</v>
      </c>
      <c r="G8" s="919">
        <f t="shared" si="6"/>
        <v>91237.914059999996</v>
      </c>
      <c r="H8" s="920">
        <f t="shared" si="7"/>
        <v>7603.1595049999996</v>
      </c>
      <c r="I8" s="1539">
        <v>7603.1595049999996</v>
      </c>
      <c r="J8" s="1539">
        <v>7603.1595049999996</v>
      </c>
      <c r="K8" s="792">
        <v>0.5</v>
      </c>
      <c r="L8" s="793">
        <f t="shared" si="8"/>
        <v>0.5</v>
      </c>
      <c r="M8"/>
      <c r="N8" s="919">
        <f t="shared" si="0"/>
        <v>1654.8266666666668</v>
      </c>
      <c r="O8" s="919">
        <v>0</v>
      </c>
      <c r="Q8" s="1539">
        <v>7247</v>
      </c>
      <c r="R8" s="1539">
        <v>256.7833333333333</v>
      </c>
      <c r="S8"/>
      <c r="T8" s="792">
        <v>0.2</v>
      </c>
      <c r="U8" s="793">
        <f t="shared" si="9"/>
        <v>0.8</v>
      </c>
      <c r="W8" s="919">
        <f t="shared" si="1"/>
        <v>256.7833333333333</v>
      </c>
      <c r="X8" s="919">
        <v>0</v>
      </c>
      <c r="Z8" s="919">
        <f t="shared" si="10"/>
        <v>7247</v>
      </c>
      <c r="AA8" s="919">
        <f t="shared" si="11"/>
        <v>256.7833333333333</v>
      </c>
      <c r="AB8"/>
      <c r="AC8" s="793">
        <v>0</v>
      </c>
      <c r="AD8" s="793">
        <f t="shared" si="12"/>
        <v>1</v>
      </c>
      <c r="AF8" s="919">
        <f t="shared" si="2"/>
        <v>256.7833333333333</v>
      </c>
      <c r="AG8" s="919">
        <v>0</v>
      </c>
      <c r="AI8" s="919">
        <f t="shared" si="13"/>
        <v>7247</v>
      </c>
      <c r="AJ8" s="919">
        <f t="shared" si="14"/>
        <v>256.7833333333333</v>
      </c>
      <c r="AK8"/>
      <c r="AL8" s="793">
        <v>0</v>
      </c>
      <c r="AM8" s="793">
        <f t="shared" si="15"/>
        <v>1</v>
      </c>
      <c r="AN8" s="921">
        <f t="shared" si="3"/>
        <v>91237.914059999996</v>
      </c>
      <c r="AO8" s="919">
        <f t="shared" si="16"/>
        <v>2052.8530663499996</v>
      </c>
      <c r="AP8" s="922">
        <f t="shared" si="17"/>
        <v>93290.767126349994</v>
      </c>
      <c r="AQ8" s="923">
        <f t="shared" si="18"/>
        <v>22809.478514999999</v>
      </c>
      <c r="AR8" s="924">
        <f t="shared" si="19"/>
        <v>9123.7914060000003</v>
      </c>
      <c r="AS8" s="925">
        <f t="shared" si="20"/>
        <v>57251.791072649998</v>
      </c>
      <c r="AT8" s="919">
        <f t="shared" si="21"/>
        <v>5725.1791072650003</v>
      </c>
      <c r="AU8" s="919">
        <f t="shared" si="22"/>
        <v>51526.611965384996</v>
      </c>
      <c r="AW8" s="926">
        <f t="shared" si="23"/>
        <v>1384.54</v>
      </c>
      <c r="AX8" s="926">
        <v>1384.54</v>
      </c>
      <c r="AY8" s="926">
        <v>1384.54</v>
      </c>
      <c r="AZ8" s="793">
        <v>0.5</v>
      </c>
      <c r="BA8" s="793">
        <v>0.5</v>
      </c>
    </row>
    <row r="9" spans="2:53" s="910" customFormat="1" x14ac:dyDescent="0.35">
      <c r="B9" t="str">
        <f t="shared" si="4"/>
        <v>RomaniaNon-voiceL2</v>
      </c>
      <c r="C9" s="787" t="s">
        <v>325</v>
      </c>
      <c r="D9" s="788" t="s">
        <v>322</v>
      </c>
      <c r="E9" s="789" t="s">
        <v>340</v>
      </c>
      <c r="F9" s="919">
        <f t="shared" si="5"/>
        <v>95493.562277999998</v>
      </c>
      <c r="G9" s="919">
        <f t="shared" si="6"/>
        <v>95493.562277999998</v>
      </c>
      <c r="H9" s="920">
        <f t="shared" si="7"/>
        <v>7957.7968565000001</v>
      </c>
      <c r="I9" s="1539">
        <v>7957.7968565000001</v>
      </c>
      <c r="J9" s="1539">
        <v>7957.7968565000001</v>
      </c>
      <c r="K9" s="792">
        <v>0.5</v>
      </c>
      <c r="L9" s="793">
        <f t="shared" si="8"/>
        <v>0.5</v>
      </c>
      <c r="M9"/>
      <c r="N9" s="927">
        <f t="shared" si="0"/>
        <v>1796.9860379666668</v>
      </c>
      <c r="O9" s="927">
        <v>0</v>
      </c>
      <c r="Q9" s="1539">
        <v>7957.7968565000001</v>
      </c>
      <c r="R9" s="1539">
        <v>256.7833333333333</v>
      </c>
      <c r="S9"/>
      <c r="T9" s="792">
        <v>0.2</v>
      </c>
      <c r="U9" s="793">
        <f t="shared" si="9"/>
        <v>0.8</v>
      </c>
      <c r="W9" s="927">
        <f t="shared" si="1"/>
        <v>256.7833333333333</v>
      </c>
      <c r="X9" s="927">
        <v>0</v>
      </c>
      <c r="Z9" s="927">
        <f t="shared" si="10"/>
        <v>7957.7968565000001</v>
      </c>
      <c r="AA9" s="927">
        <f t="shared" si="11"/>
        <v>256.7833333333333</v>
      </c>
      <c r="AB9"/>
      <c r="AC9" s="793">
        <v>0</v>
      </c>
      <c r="AD9" s="793">
        <f t="shared" si="12"/>
        <v>1</v>
      </c>
      <c r="AF9" s="927">
        <f t="shared" si="2"/>
        <v>256.7833333333333</v>
      </c>
      <c r="AG9" s="927">
        <v>0</v>
      </c>
      <c r="AI9" s="927">
        <f t="shared" si="13"/>
        <v>7957.7968565000001</v>
      </c>
      <c r="AJ9" s="927">
        <f t="shared" si="14"/>
        <v>256.7833333333333</v>
      </c>
      <c r="AK9"/>
      <c r="AL9" s="793">
        <v>0</v>
      </c>
      <c r="AM9" s="793">
        <f t="shared" si="15"/>
        <v>1</v>
      </c>
      <c r="AN9" s="921">
        <f t="shared" si="3"/>
        <v>95493.562277999998</v>
      </c>
      <c r="AO9" s="919">
        <f t="shared" si="16"/>
        <v>2148.6051512549998</v>
      </c>
      <c r="AP9" s="922">
        <f t="shared" si="17"/>
        <v>97642.167429255001</v>
      </c>
      <c r="AQ9" s="923">
        <f t="shared" si="18"/>
        <v>23873.390569499999</v>
      </c>
      <c r="AR9" s="924">
        <f t="shared" si="19"/>
        <v>9549.3562278000009</v>
      </c>
      <c r="AS9" s="925">
        <f t="shared" si="20"/>
        <v>59922.210329444999</v>
      </c>
      <c r="AT9" s="919">
        <f t="shared" si="21"/>
        <v>5992.2210329445006</v>
      </c>
      <c r="AU9" s="919">
        <f t="shared" si="22"/>
        <v>53929.989296500498</v>
      </c>
      <c r="AW9" s="926">
        <f t="shared" si="23"/>
        <v>1522.9940000000001</v>
      </c>
      <c r="AX9" s="926">
        <v>1522.9940000000001</v>
      </c>
      <c r="AY9" s="926">
        <v>1522.9940000000001</v>
      </c>
      <c r="AZ9" s="793">
        <v>0.5</v>
      </c>
      <c r="BA9" s="793">
        <v>0.5</v>
      </c>
    </row>
    <row r="10" spans="2:53" s="910" customFormat="1" x14ac:dyDescent="0.35">
      <c r="B10" t="str">
        <f t="shared" si="4"/>
        <v>RomaniaBackofficeL1</v>
      </c>
      <c r="C10" s="787" t="s">
        <v>326</v>
      </c>
      <c r="D10" s="788" t="s">
        <v>321</v>
      </c>
      <c r="E10" s="789" t="s">
        <v>341</v>
      </c>
      <c r="F10" s="919">
        <f t="shared" si="5"/>
        <v>89037.904080000008</v>
      </c>
      <c r="G10" s="919">
        <f t="shared" si="6"/>
        <v>89037.904080000008</v>
      </c>
      <c r="H10" s="920">
        <f t="shared" si="7"/>
        <v>7419.8253400000003</v>
      </c>
      <c r="I10" s="1539">
        <v>7419.8253400000003</v>
      </c>
      <c r="J10" s="1539">
        <v>7419.8253400000003</v>
      </c>
      <c r="K10" s="792">
        <v>0.5</v>
      </c>
      <c r="L10" s="793">
        <f t="shared" si="8"/>
        <v>0.5</v>
      </c>
      <c r="M10"/>
      <c r="N10" s="919">
        <f t="shared" si="0"/>
        <v>1654.8266666666668</v>
      </c>
      <c r="O10" s="919">
        <v>0</v>
      </c>
      <c r="Q10" s="1539">
        <v>7247</v>
      </c>
      <c r="R10" s="1539">
        <v>256.7833333333333</v>
      </c>
      <c r="S10"/>
      <c r="T10" s="792">
        <v>0.2</v>
      </c>
      <c r="U10" s="793">
        <f t="shared" si="9"/>
        <v>0.8</v>
      </c>
      <c r="W10" s="919">
        <f t="shared" si="1"/>
        <v>256.7833333333333</v>
      </c>
      <c r="X10" s="919">
        <v>0</v>
      </c>
      <c r="Z10" s="919">
        <f t="shared" si="10"/>
        <v>7247</v>
      </c>
      <c r="AA10" s="919">
        <f t="shared" si="11"/>
        <v>256.7833333333333</v>
      </c>
      <c r="AB10"/>
      <c r="AC10" s="793">
        <v>0</v>
      </c>
      <c r="AD10" s="793">
        <f t="shared" si="12"/>
        <v>1</v>
      </c>
      <c r="AF10" s="919">
        <f t="shared" si="2"/>
        <v>256.7833333333333</v>
      </c>
      <c r="AG10" s="919">
        <v>0</v>
      </c>
      <c r="AI10" s="919">
        <f t="shared" si="13"/>
        <v>7247</v>
      </c>
      <c r="AJ10" s="919">
        <f t="shared" si="14"/>
        <v>256.7833333333333</v>
      </c>
      <c r="AK10"/>
      <c r="AL10" s="793">
        <v>0</v>
      </c>
      <c r="AM10" s="793">
        <f t="shared" si="15"/>
        <v>1</v>
      </c>
      <c r="AN10" s="921">
        <f t="shared" si="3"/>
        <v>89037.904080000008</v>
      </c>
      <c r="AO10" s="919">
        <f t="shared" si="16"/>
        <v>2003.3528418000001</v>
      </c>
      <c r="AP10" s="922">
        <f t="shared" si="17"/>
        <v>91041.256921800014</v>
      </c>
      <c r="AQ10" s="923">
        <f t="shared" si="18"/>
        <v>22259.476020000002</v>
      </c>
      <c r="AR10" s="924">
        <f t="shared" si="19"/>
        <v>8903.7904080000008</v>
      </c>
      <c r="AS10" s="925">
        <f t="shared" si="20"/>
        <v>55871.284810200006</v>
      </c>
      <c r="AT10" s="919">
        <f t="shared" si="21"/>
        <v>5587.1284810200013</v>
      </c>
      <c r="AU10" s="919">
        <f t="shared" si="22"/>
        <v>50284.156329180005</v>
      </c>
      <c r="AW10" s="926">
        <f t="shared" si="23"/>
        <v>1419.88</v>
      </c>
      <c r="AX10" s="926">
        <v>1419.88</v>
      </c>
      <c r="AY10" s="926">
        <v>1419.88</v>
      </c>
      <c r="AZ10" s="793">
        <v>0.5</v>
      </c>
      <c r="BA10" s="793">
        <v>0.5</v>
      </c>
    </row>
    <row r="11" spans="2:53" x14ac:dyDescent="0.35">
      <c r="B11" t="str">
        <f t="shared" si="4"/>
        <v>RomaniaBackofficeL2</v>
      </c>
      <c r="C11" s="787" t="s">
        <v>326</v>
      </c>
      <c r="D11" s="788" t="s">
        <v>322</v>
      </c>
      <c r="E11" s="789" t="s">
        <v>342</v>
      </c>
      <c r="F11" s="919">
        <f t="shared" si="5"/>
        <v>93450.445439999981</v>
      </c>
      <c r="G11" s="919">
        <f t="shared" si="6"/>
        <v>93450.445439999981</v>
      </c>
      <c r="H11" s="920">
        <f t="shared" si="7"/>
        <v>7787.5371199999981</v>
      </c>
      <c r="I11" s="1539">
        <v>7787.537119999999</v>
      </c>
      <c r="J11" s="1539">
        <v>7787.537119999999</v>
      </c>
      <c r="K11" s="792">
        <v>0.5</v>
      </c>
      <c r="L11" s="793">
        <f t="shared" si="8"/>
        <v>0.5</v>
      </c>
      <c r="N11" s="919">
        <f t="shared" si="0"/>
        <v>1654.8266666666668</v>
      </c>
      <c r="O11" s="919">
        <v>0</v>
      </c>
      <c r="Q11" s="1539">
        <v>7247</v>
      </c>
      <c r="R11" s="1539">
        <v>256.7833333333333</v>
      </c>
      <c r="T11" s="792">
        <v>0.2</v>
      </c>
      <c r="U11" s="793">
        <f t="shared" si="9"/>
        <v>0.8</v>
      </c>
      <c r="W11" s="919">
        <f t="shared" si="1"/>
        <v>256.7833333333333</v>
      </c>
      <c r="X11" s="919">
        <v>0</v>
      </c>
      <c r="Z11" s="919">
        <f t="shared" si="10"/>
        <v>7247</v>
      </c>
      <c r="AA11" s="919">
        <f t="shared" si="11"/>
        <v>256.7833333333333</v>
      </c>
      <c r="AC11" s="793">
        <v>0</v>
      </c>
      <c r="AD11" s="793">
        <f t="shared" si="12"/>
        <v>1</v>
      </c>
      <c r="AF11" s="919">
        <f t="shared" si="2"/>
        <v>256.7833333333333</v>
      </c>
      <c r="AG11" s="919">
        <v>0</v>
      </c>
      <c r="AI11" s="919">
        <f t="shared" si="13"/>
        <v>7247</v>
      </c>
      <c r="AJ11" s="919">
        <f t="shared" si="14"/>
        <v>256.7833333333333</v>
      </c>
      <c r="AL11" s="793">
        <v>0</v>
      </c>
      <c r="AM11" s="793">
        <f t="shared" si="15"/>
        <v>1</v>
      </c>
      <c r="AN11" s="921">
        <f t="shared" si="3"/>
        <v>93450.445439999981</v>
      </c>
      <c r="AO11" s="919">
        <f t="shared" si="16"/>
        <v>2102.6350223999993</v>
      </c>
      <c r="AP11" s="922">
        <f t="shared" si="17"/>
        <v>95553.080462399987</v>
      </c>
      <c r="AQ11" s="923">
        <f t="shared" si="18"/>
        <v>23362.611359999995</v>
      </c>
      <c r="AR11" s="924">
        <f t="shared" si="19"/>
        <v>9345.0445439999985</v>
      </c>
      <c r="AS11" s="925">
        <f t="shared" si="20"/>
        <v>58640.154513599991</v>
      </c>
      <c r="AT11" s="919">
        <f t="shared" si="21"/>
        <v>5864.0154513599991</v>
      </c>
      <c r="AU11" s="919">
        <f t="shared" si="22"/>
        <v>52776.139062239992</v>
      </c>
      <c r="AW11" s="926">
        <f t="shared" si="23"/>
        <v>1490.36</v>
      </c>
      <c r="AX11" s="926">
        <v>1490.36</v>
      </c>
      <c r="AY11" s="926">
        <v>1490.36</v>
      </c>
      <c r="AZ11" s="793">
        <v>0.5</v>
      </c>
      <c r="BA11" s="793">
        <v>0.5</v>
      </c>
    </row>
    <row r="12" spans="2:53" x14ac:dyDescent="0.35">
      <c r="B12" t="str">
        <f t="shared" si="4"/>
        <v>RomaniaBackofficeL3</v>
      </c>
      <c r="C12" s="787" t="s">
        <v>326</v>
      </c>
      <c r="D12" s="788" t="s">
        <v>323</v>
      </c>
      <c r="E12" s="789" t="s">
        <v>343</v>
      </c>
      <c r="F12" s="919">
        <f t="shared" si="5"/>
        <v>97837.943999999989</v>
      </c>
      <c r="G12" s="919">
        <f t="shared" si="6"/>
        <v>97837.943999999989</v>
      </c>
      <c r="H12" s="920">
        <f t="shared" si="7"/>
        <v>8153.1619999999994</v>
      </c>
      <c r="I12" s="1539">
        <v>8153.1619999999994</v>
      </c>
      <c r="J12" s="1539">
        <v>8153.1619999999994</v>
      </c>
      <c r="K12" s="792">
        <v>0.5</v>
      </c>
      <c r="L12" s="793">
        <f t="shared" si="8"/>
        <v>0.5</v>
      </c>
      <c r="N12" s="919">
        <f t="shared" si="0"/>
        <v>1654.8266666666668</v>
      </c>
      <c r="O12" s="919">
        <v>0</v>
      </c>
      <c r="Q12" s="1539">
        <v>7247</v>
      </c>
      <c r="R12" s="1539">
        <v>256.7833333333333</v>
      </c>
      <c r="T12" s="792">
        <v>0.2</v>
      </c>
      <c r="U12" s="793">
        <f t="shared" si="9"/>
        <v>0.8</v>
      </c>
      <c r="W12" s="919">
        <f t="shared" si="1"/>
        <v>256.7833333333333</v>
      </c>
      <c r="X12" s="919">
        <v>0</v>
      </c>
      <c r="Z12" s="919">
        <f t="shared" si="10"/>
        <v>7247</v>
      </c>
      <c r="AA12" s="919">
        <f t="shared" si="11"/>
        <v>256.7833333333333</v>
      </c>
      <c r="AC12" s="793">
        <v>0</v>
      </c>
      <c r="AD12" s="793">
        <f t="shared" si="12"/>
        <v>1</v>
      </c>
      <c r="AF12" s="919">
        <f t="shared" si="2"/>
        <v>256.7833333333333</v>
      </c>
      <c r="AG12" s="919">
        <v>0</v>
      </c>
      <c r="AI12" s="919">
        <f t="shared" si="13"/>
        <v>7247</v>
      </c>
      <c r="AJ12" s="919">
        <f t="shared" si="14"/>
        <v>256.7833333333333</v>
      </c>
      <c r="AL12" s="793">
        <v>0</v>
      </c>
      <c r="AM12" s="793">
        <f t="shared" si="15"/>
        <v>1</v>
      </c>
      <c r="AN12" s="921">
        <f t="shared" si="3"/>
        <v>97837.943999999989</v>
      </c>
      <c r="AO12" s="919">
        <f t="shared" si="16"/>
        <v>2201.3537399999996</v>
      </c>
      <c r="AP12" s="922">
        <f t="shared" si="17"/>
        <v>100039.29773999999</v>
      </c>
      <c r="AQ12" s="923">
        <f t="shared" si="18"/>
        <v>24459.485999999997</v>
      </c>
      <c r="AR12" s="924">
        <f t="shared" si="19"/>
        <v>9783.7943999999989</v>
      </c>
      <c r="AS12" s="925">
        <f t="shared" si="20"/>
        <v>61393.309859999994</v>
      </c>
      <c r="AT12" s="919">
        <f t="shared" si="21"/>
        <v>6139.3309859999999</v>
      </c>
      <c r="AU12" s="919">
        <f t="shared" si="22"/>
        <v>55253.978873999993</v>
      </c>
      <c r="AW12" s="926">
        <f t="shared" si="23"/>
        <v>1560.44</v>
      </c>
      <c r="AX12" s="926">
        <v>1560.44</v>
      </c>
      <c r="AY12" s="926">
        <v>1560.44</v>
      </c>
      <c r="AZ12" s="793">
        <v>0.5</v>
      </c>
      <c r="BA12" s="793">
        <v>0.5</v>
      </c>
    </row>
    <row r="13" spans="2:53" ht="15" thickBot="1" x14ac:dyDescent="0.4">
      <c r="B13" t="str">
        <f t="shared" si="4"/>
        <v>RomaniaBackofficeL4</v>
      </c>
      <c r="C13" s="787" t="s">
        <v>326</v>
      </c>
      <c r="D13" s="788" t="s">
        <v>324</v>
      </c>
      <c r="E13" s="789" t="s">
        <v>344</v>
      </c>
      <c r="F13" s="919">
        <f t="shared" si="5"/>
        <v>107607.39070800002</v>
      </c>
      <c r="G13" s="919">
        <f t="shared" si="6"/>
        <v>107607.39070800002</v>
      </c>
      <c r="H13" s="920">
        <f t="shared" si="7"/>
        <v>8967.2825590000011</v>
      </c>
      <c r="I13" s="1539">
        <v>8967.2825590000011</v>
      </c>
      <c r="J13" s="1539">
        <v>8967.2825590000011</v>
      </c>
      <c r="K13" s="792">
        <v>0.5</v>
      </c>
      <c r="L13" s="793">
        <f t="shared" si="8"/>
        <v>0.5</v>
      </c>
      <c r="N13" s="927">
        <f t="shared" si="0"/>
        <v>1998.883178466667</v>
      </c>
      <c r="O13" s="927">
        <v>0</v>
      </c>
      <c r="Q13" s="1539">
        <v>8967.2825590000011</v>
      </c>
      <c r="R13" s="1539">
        <v>256.7833333333333</v>
      </c>
      <c r="T13" s="792">
        <v>0.2</v>
      </c>
      <c r="U13" s="793">
        <f t="shared" si="9"/>
        <v>0.8</v>
      </c>
      <c r="W13" s="927">
        <f t="shared" si="1"/>
        <v>256.7833333333333</v>
      </c>
      <c r="X13" s="927">
        <v>0</v>
      </c>
      <c r="Z13" s="927">
        <f t="shared" si="10"/>
        <v>8967.2825590000011</v>
      </c>
      <c r="AA13" s="927">
        <f t="shared" si="11"/>
        <v>256.7833333333333</v>
      </c>
      <c r="AC13" s="793">
        <v>0</v>
      </c>
      <c r="AD13" s="793">
        <f t="shared" si="12"/>
        <v>1</v>
      </c>
      <c r="AF13" s="927">
        <f t="shared" si="2"/>
        <v>256.7833333333333</v>
      </c>
      <c r="AG13" s="927">
        <v>0</v>
      </c>
      <c r="AI13" s="927">
        <f t="shared" si="13"/>
        <v>8967.2825590000011</v>
      </c>
      <c r="AJ13" s="927">
        <f t="shared" si="14"/>
        <v>256.7833333333333</v>
      </c>
      <c r="AL13" s="793">
        <v>0</v>
      </c>
      <c r="AM13" s="793">
        <f t="shared" si="15"/>
        <v>1</v>
      </c>
      <c r="AN13" s="921">
        <f t="shared" si="3"/>
        <v>107607.39070800002</v>
      </c>
      <c r="AO13" s="919">
        <f t="shared" si="16"/>
        <v>2421.1662909300003</v>
      </c>
      <c r="AP13" s="922">
        <f t="shared" si="17"/>
        <v>110028.55699893003</v>
      </c>
      <c r="AQ13" s="928">
        <f t="shared" si="18"/>
        <v>26901.847677000005</v>
      </c>
      <c r="AR13" s="929">
        <f t="shared" si="19"/>
        <v>10760.739070800002</v>
      </c>
      <c r="AS13" s="925">
        <f t="shared" si="20"/>
        <v>67523.637669270014</v>
      </c>
      <c r="AT13" s="919">
        <f t="shared" si="21"/>
        <v>6752.363766927002</v>
      </c>
      <c r="AU13" s="919">
        <f t="shared" si="22"/>
        <v>60771.273902343011</v>
      </c>
      <c r="AW13" s="926">
        <f t="shared" si="23"/>
        <v>1716.4840000000002</v>
      </c>
      <c r="AX13" s="926">
        <v>1716.4840000000002</v>
      </c>
      <c r="AY13" s="926">
        <v>1716.4840000000002</v>
      </c>
      <c r="AZ13" s="793">
        <v>0.5</v>
      </c>
      <c r="BA13" s="793">
        <v>0.5</v>
      </c>
    </row>
    <row r="14" spans="2:53" ht="15" thickTop="1" x14ac:dyDescent="0.35">
      <c r="D14"/>
      <c r="K14" s="1574">
        <v>2.5000000000000001E-2</v>
      </c>
    </row>
    <row r="15" spans="2:53" ht="73" thickBot="1" x14ac:dyDescent="0.4">
      <c r="D15" s="819" t="s">
        <v>265</v>
      </c>
      <c r="E15" s="775"/>
      <c r="F15" s="775" t="str">
        <f>'ROM Salary'!F3</f>
        <v xml:space="preserve">Annual Base Salary </v>
      </c>
      <c r="G15" s="775" t="str">
        <f>'ROM Salary'!G3</f>
        <v>Annual Salary Inc. Benefit</v>
      </c>
      <c r="I15" s="781" t="s">
        <v>938</v>
      </c>
      <c r="J15" s="781" t="s">
        <v>939</v>
      </c>
      <c r="K15" s="781" t="s">
        <v>940</v>
      </c>
      <c r="L15" s="781" t="s">
        <v>941</v>
      </c>
      <c r="N15" s="912" t="s">
        <v>370</v>
      </c>
      <c r="O15" s="912" t="s">
        <v>328</v>
      </c>
      <c r="W15" s="912" t="s">
        <v>370</v>
      </c>
      <c r="X15" s="912" t="s">
        <v>328</v>
      </c>
      <c r="AF15" s="912" t="s">
        <v>370</v>
      </c>
      <c r="AG15" s="912" t="s">
        <v>328</v>
      </c>
    </row>
    <row r="16" spans="2:53" ht="15" thickTop="1" x14ac:dyDescent="0.35">
      <c r="D16" s="788" t="s">
        <v>204</v>
      </c>
      <c r="E16" s="789"/>
      <c r="F16" s="1539">
        <v>132015.97718197375</v>
      </c>
      <c r="G16" s="919">
        <f>I16</f>
        <v>135464.4446115231</v>
      </c>
      <c r="H16" s="911"/>
      <c r="I16" s="919">
        <f>SUM(J16:L16)</f>
        <v>135464.4446115231</v>
      </c>
      <c r="J16" s="919">
        <f>2.7*4.57*12</f>
        <v>148.06800000000004</v>
      </c>
      <c r="K16" s="919">
        <f>L16*$K$14</f>
        <v>3300.3994295493439</v>
      </c>
      <c r="L16" s="919">
        <f>AN16</f>
        <v>132015.97718197375</v>
      </c>
      <c r="N16" s="861">
        <v>8.3299999999999999E-2</v>
      </c>
      <c r="O16" s="919">
        <v>0</v>
      </c>
      <c r="W16" s="861">
        <v>8.3299999999999999E-2</v>
      </c>
      <c r="X16" s="919">
        <v>0</v>
      </c>
      <c r="AF16" s="861">
        <v>8.3299999999999999E-2</v>
      </c>
      <c r="AG16" s="919">
        <v>0</v>
      </c>
      <c r="AN16" s="930">
        <f t="shared" ref="AN16:AN31" si="24">F16</f>
        <v>132015.97718197375</v>
      </c>
      <c r="AO16" s="919">
        <f t="shared" ref="AO16:AO31" si="25">AN16*$AO$35</f>
        <v>2970.3594865944092</v>
      </c>
      <c r="AP16" s="922">
        <f t="shared" ref="AP16" si="26">SUM(AN16:AO16)</f>
        <v>134986.33666856817</v>
      </c>
      <c r="AQ16" s="931">
        <f t="shared" ref="AQ16:AQ31" si="27">AN16*$AQ$36</f>
        <v>33003.994295493438</v>
      </c>
      <c r="AR16" s="932">
        <f t="shared" ref="AR16:AR31" si="28">AN16*$AR$36</f>
        <v>13201.597718197376</v>
      </c>
      <c r="AS16" s="925">
        <f t="shared" ref="AS16:AS31" si="29">AN16-SUM(AO16,AQ16,AR16)</f>
        <v>82840.025681688523</v>
      </c>
      <c r="AT16" s="919">
        <f t="shared" ref="AT16:AT31" si="30">AS16*$AT$36</f>
        <v>8284.002568168853</v>
      </c>
      <c r="AU16" s="919">
        <f t="shared" ref="AU16:AU31" si="31">AS16-AT16</f>
        <v>74556.023113519666</v>
      </c>
      <c r="AX16" s="909"/>
    </row>
    <row r="17" spans="3:50" x14ac:dyDescent="0.35">
      <c r="D17" s="788" t="s">
        <v>267</v>
      </c>
      <c r="E17" s="789"/>
      <c r="F17" s="1539">
        <v>165056.50884198517</v>
      </c>
      <c r="G17" s="919">
        <f t="shared" ref="G17:G31" si="32">I17</f>
        <v>169330.98956303479</v>
      </c>
      <c r="H17" s="911"/>
      <c r="I17" s="919">
        <f t="shared" ref="I17:I31" si="33">SUM(J17:L17)</f>
        <v>169330.98956303479</v>
      </c>
      <c r="J17" s="919">
        <f t="shared" ref="J17:J31" si="34">2.7*4.57*12</f>
        <v>148.06800000000004</v>
      </c>
      <c r="K17" s="919">
        <f t="shared" ref="K17:K31" si="35">L17*$K$14</f>
        <v>4126.412721049629</v>
      </c>
      <c r="L17" s="919">
        <f t="shared" ref="L17:L31" si="36">AN17</f>
        <v>165056.50884198517</v>
      </c>
      <c r="AN17" s="930">
        <f t="shared" si="24"/>
        <v>165056.50884198517</v>
      </c>
      <c r="AO17" s="919">
        <f t="shared" si="25"/>
        <v>3713.7714489446662</v>
      </c>
      <c r="AP17" s="922">
        <f t="shared" ref="AP17:AP31" si="37">SUM(AN17:AO17)</f>
        <v>168770.28029092983</v>
      </c>
      <c r="AQ17" s="923">
        <f t="shared" si="27"/>
        <v>41264.127210496292</v>
      </c>
      <c r="AR17" s="924">
        <f t="shared" si="28"/>
        <v>16505.650884198516</v>
      </c>
      <c r="AS17" s="925">
        <f t="shared" si="29"/>
        <v>103572.9592983457</v>
      </c>
      <c r="AT17" s="919">
        <f t="shared" si="30"/>
        <v>10357.29592983457</v>
      </c>
      <c r="AU17" s="919">
        <f t="shared" si="31"/>
        <v>93215.66336851113</v>
      </c>
      <c r="AX17" s="909"/>
    </row>
    <row r="18" spans="3:50" x14ac:dyDescent="0.35">
      <c r="D18" s="788" t="s">
        <v>205</v>
      </c>
      <c r="E18" s="789"/>
      <c r="F18" s="1539">
        <v>211657.51283513976</v>
      </c>
      <c r="G18" s="919">
        <f t="shared" si="32"/>
        <v>217097.01865601825</v>
      </c>
      <c r="H18" s="911"/>
      <c r="I18" s="919">
        <f t="shared" si="33"/>
        <v>217097.01865601825</v>
      </c>
      <c r="J18" s="919">
        <f t="shared" si="34"/>
        <v>148.06800000000004</v>
      </c>
      <c r="K18" s="919">
        <f t="shared" si="35"/>
        <v>5291.4378208784947</v>
      </c>
      <c r="L18" s="919">
        <f t="shared" si="36"/>
        <v>211657.51283513976</v>
      </c>
      <c r="AN18" s="930">
        <f t="shared" si="24"/>
        <v>211657.51283513976</v>
      </c>
      <c r="AO18" s="919">
        <f t="shared" si="25"/>
        <v>4762.2940387906447</v>
      </c>
      <c r="AP18" s="922">
        <f t="shared" si="37"/>
        <v>216419.80687393041</v>
      </c>
      <c r="AQ18" s="923">
        <f t="shared" si="27"/>
        <v>52914.378208784939</v>
      </c>
      <c r="AR18" s="924">
        <f t="shared" si="28"/>
        <v>21165.751283513979</v>
      </c>
      <c r="AS18" s="925">
        <f t="shared" si="29"/>
        <v>132815.0893040502</v>
      </c>
      <c r="AT18" s="919">
        <f t="shared" si="30"/>
        <v>13281.50893040502</v>
      </c>
      <c r="AU18" s="919">
        <f t="shared" si="31"/>
        <v>119533.58037364518</v>
      </c>
      <c r="AX18" s="909"/>
    </row>
    <row r="19" spans="3:50" x14ac:dyDescent="0.35">
      <c r="D19" s="788" t="s">
        <v>250</v>
      </c>
      <c r="E19" s="789"/>
      <c r="F19" s="1539">
        <v>264052.15516257845</v>
      </c>
      <c r="G19" s="919">
        <f t="shared" si="32"/>
        <v>270801.52704164293</v>
      </c>
      <c r="H19" s="911"/>
      <c r="I19" s="919">
        <f t="shared" si="33"/>
        <v>270801.52704164293</v>
      </c>
      <c r="J19" s="919">
        <f t="shared" si="34"/>
        <v>148.06800000000004</v>
      </c>
      <c r="K19" s="919">
        <f t="shared" si="35"/>
        <v>6601.3038790644614</v>
      </c>
      <c r="L19" s="919">
        <f t="shared" si="36"/>
        <v>264052.15516257845</v>
      </c>
      <c r="AN19" s="930">
        <f t="shared" si="24"/>
        <v>264052.15516257845</v>
      </c>
      <c r="AO19" s="919">
        <f t="shared" si="25"/>
        <v>5941.1734911580152</v>
      </c>
      <c r="AP19" s="922">
        <f t="shared" si="37"/>
        <v>269993.32865373645</v>
      </c>
      <c r="AQ19" s="923">
        <f t="shared" si="27"/>
        <v>66013.038790644612</v>
      </c>
      <c r="AR19" s="924">
        <f t="shared" si="28"/>
        <v>26405.215516257846</v>
      </c>
      <c r="AS19" s="925">
        <f t="shared" si="29"/>
        <v>165692.72736451798</v>
      </c>
      <c r="AT19" s="919">
        <f t="shared" si="30"/>
        <v>16569.2727364518</v>
      </c>
      <c r="AU19" s="919">
        <f t="shared" si="31"/>
        <v>149123.45462806619</v>
      </c>
      <c r="AX19" s="909"/>
    </row>
    <row r="20" spans="3:50" x14ac:dyDescent="0.35">
      <c r="D20" s="788" t="s">
        <v>371</v>
      </c>
      <c r="E20" s="789"/>
      <c r="F20" s="1539">
        <v>316887.61779806047</v>
      </c>
      <c r="G20" s="919">
        <f t="shared" si="32"/>
        <v>324957.87624301197</v>
      </c>
      <c r="H20" s="911"/>
      <c r="I20" s="919">
        <f t="shared" si="33"/>
        <v>324957.87624301197</v>
      </c>
      <c r="J20" s="919">
        <f t="shared" si="34"/>
        <v>148.06800000000004</v>
      </c>
      <c r="K20" s="919">
        <f t="shared" si="35"/>
        <v>7922.1904449515123</v>
      </c>
      <c r="L20" s="919">
        <f t="shared" si="36"/>
        <v>316887.61779806047</v>
      </c>
      <c r="AN20" s="930">
        <f t="shared" si="24"/>
        <v>316887.61779806047</v>
      </c>
      <c r="AO20" s="919">
        <f t="shared" si="25"/>
        <v>7129.9714004563602</v>
      </c>
      <c r="AP20" s="922">
        <f t="shared" si="37"/>
        <v>324017.58919851686</v>
      </c>
      <c r="AQ20" s="923">
        <f t="shared" si="27"/>
        <v>79221.904449515117</v>
      </c>
      <c r="AR20" s="924">
        <f t="shared" si="28"/>
        <v>31688.761779806049</v>
      </c>
      <c r="AS20" s="925">
        <f t="shared" si="29"/>
        <v>198846.98016828293</v>
      </c>
      <c r="AT20" s="919">
        <f t="shared" si="30"/>
        <v>19884.698016828293</v>
      </c>
      <c r="AU20" s="919">
        <f t="shared" si="31"/>
        <v>178962.28215145462</v>
      </c>
      <c r="AX20" s="909"/>
    </row>
    <row r="21" spans="3:50" x14ac:dyDescent="0.35">
      <c r="D21" s="788" t="s">
        <v>372</v>
      </c>
      <c r="E21" s="789"/>
      <c r="F21" s="1539">
        <v>380260.78494010266</v>
      </c>
      <c r="G21" s="919">
        <f t="shared" si="32"/>
        <v>389915.37256360525</v>
      </c>
      <c r="H21" s="911"/>
      <c r="I21" s="919">
        <f t="shared" si="33"/>
        <v>389915.37256360525</v>
      </c>
      <c r="J21" s="919">
        <f t="shared" si="34"/>
        <v>148.06800000000004</v>
      </c>
      <c r="K21" s="919">
        <f t="shared" si="35"/>
        <v>9506.5196235025669</v>
      </c>
      <c r="L21" s="919">
        <f t="shared" si="36"/>
        <v>380260.78494010266</v>
      </c>
      <c r="AN21" s="930">
        <f t="shared" si="24"/>
        <v>380260.78494010266</v>
      </c>
      <c r="AO21" s="919">
        <f t="shared" si="25"/>
        <v>8555.8676611523097</v>
      </c>
      <c r="AP21" s="922">
        <f t="shared" si="37"/>
        <v>388816.65260125499</v>
      </c>
      <c r="AQ21" s="923">
        <f t="shared" si="27"/>
        <v>95065.196235025665</v>
      </c>
      <c r="AR21" s="924">
        <f t="shared" si="28"/>
        <v>38026.078494010268</v>
      </c>
      <c r="AS21" s="925">
        <f t="shared" si="29"/>
        <v>238613.64254991442</v>
      </c>
      <c r="AT21" s="919">
        <f t="shared" si="30"/>
        <v>23861.364254991444</v>
      </c>
      <c r="AU21" s="919">
        <f t="shared" si="31"/>
        <v>214752.27829492299</v>
      </c>
      <c r="AX21" s="909"/>
    </row>
    <row r="22" spans="3:50" x14ac:dyDescent="0.35">
      <c r="C22" s="914">
        <v>0.3</v>
      </c>
      <c r="D22" s="788" t="s">
        <v>373</v>
      </c>
      <c r="E22" s="789"/>
      <c r="F22" s="1539">
        <v>494339.0204221335</v>
      </c>
      <c r="G22" s="919">
        <f t="shared" si="32"/>
        <v>506845.56393268681</v>
      </c>
      <c r="H22" s="911"/>
      <c r="I22" s="919">
        <f t="shared" si="33"/>
        <v>506845.56393268681</v>
      </c>
      <c r="J22" s="919">
        <f t="shared" si="34"/>
        <v>148.06800000000004</v>
      </c>
      <c r="K22" s="919">
        <f t="shared" si="35"/>
        <v>12358.475510553339</v>
      </c>
      <c r="L22" s="919">
        <f t="shared" si="36"/>
        <v>494339.0204221335</v>
      </c>
      <c r="AN22" s="930">
        <f t="shared" si="24"/>
        <v>494339.0204221335</v>
      </c>
      <c r="AO22" s="919">
        <f t="shared" si="25"/>
        <v>11122.627959498004</v>
      </c>
      <c r="AP22" s="922">
        <f t="shared" si="37"/>
        <v>505461.64838163153</v>
      </c>
      <c r="AQ22" s="923">
        <f t="shared" si="27"/>
        <v>123584.75510553338</v>
      </c>
      <c r="AR22" s="924">
        <f t="shared" si="28"/>
        <v>49433.902042213354</v>
      </c>
      <c r="AS22" s="925">
        <f t="shared" si="29"/>
        <v>310197.73531488876</v>
      </c>
      <c r="AT22" s="919">
        <f t="shared" si="30"/>
        <v>31019.773531488878</v>
      </c>
      <c r="AU22" s="919">
        <f t="shared" si="31"/>
        <v>279177.96178339986</v>
      </c>
    </row>
    <row r="23" spans="3:50" x14ac:dyDescent="0.35">
      <c r="D23" s="788" t="s">
        <v>374</v>
      </c>
      <c r="E23" s="789"/>
      <c r="F23" s="1539">
        <v>132015.97718197375</v>
      </c>
      <c r="G23" s="919">
        <f t="shared" si="32"/>
        <v>135464.4446115231</v>
      </c>
      <c r="H23" s="911"/>
      <c r="I23" s="919">
        <f t="shared" si="33"/>
        <v>135464.4446115231</v>
      </c>
      <c r="J23" s="919">
        <f t="shared" si="34"/>
        <v>148.06800000000004</v>
      </c>
      <c r="K23" s="919">
        <f t="shared" si="35"/>
        <v>3300.3994295493439</v>
      </c>
      <c r="L23" s="919">
        <f t="shared" si="36"/>
        <v>132015.97718197375</v>
      </c>
      <c r="AN23" s="930">
        <f t="shared" si="24"/>
        <v>132015.97718197375</v>
      </c>
      <c r="AO23" s="919">
        <f t="shared" si="25"/>
        <v>2970.3594865944092</v>
      </c>
      <c r="AP23" s="922">
        <f t="shared" si="37"/>
        <v>134986.33666856817</v>
      </c>
      <c r="AQ23" s="923">
        <f t="shared" si="27"/>
        <v>33003.994295493438</v>
      </c>
      <c r="AR23" s="924">
        <f t="shared" si="28"/>
        <v>13201.597718197376</v>
      </c>
      <c r="AS23" s="925">
        <f t="shared" si="29"/>
        <v>82840.025681688523</v>
      </c>
      <c r="AT23" s="919">
        <f t="shared" si="30"/>
        <v>8284.002568168853</v>
      </c>
      <c r="AU23" s="919">
        <f t="shared" si="31"/>
        <v>74556.023113519666</v>
      </c>
    </row>
    <row r="24" spans="3:50" x14ac:dyDescent="0.35">
      <c r="D24" s="788" t="s">
        <v>47</v>
      </c>
      <c r="E24" s="789"/>
      <c r="F24" s="1539">
        <v>132015.97718197375</v>
      </c>
      <c r="G24" s="919">
        <f t="shared" si="32"/>
        <v>135464.4446115231</v>
      </c>
      <c r="H24" s="911"/>
      <c r="I24" s="919">
        <f t="shared" si="33"/>
        <v>135464.4446115231</v>
      </c>
      <c r="J24" s="919">
        <f t="shared" si="34"/>
        <v>148.06800000000004</v>
      </c>
      <c r="K24" s="919">
        <f t="shared" si="35"/>
        <v>3300.3994295493439</v>
      </c>
      <c r="L24" s="919">
        <f t="shared" si="36"/>
        <v>132015.97718197375</v>
      </c>
      <c r="AN24" s="930">
        <f t="shared" si="24"/>
        <v>132015.97718197375</v>
      </c>
      <c r="AO24" s="919">
        <f t="shared" si="25"/>
        <v>2970.3594865944092</v>
      </c>
      <c r="AP24" s="922">
        <f t="shared" si="37"/>
        <v>134986.33666856817</v>
      </c>
      <c r="AQ24" s="923">
        <f t="shared" si="27"/>
        <v>33003.994295493438</v>
      </c>
      <c r="AR24" s="924">
        <f t="shared" si="28"/>
        <v>13201.597718197376</v>
      </c>
      <c r="AS24" s="925">
        <f t="shared" si="29"/>
        <v>82840.025681688523</v>
      </c>
      <c r="AT24" s="919">
        <f t="shared" si="30"/>
        <v>8284.002568168853</v>
      </c>
      <c r="AU24" s="919">
        <f t="shared" si="31"/>
        <v>74556.023113519666</v>
      </c>
      <c r="AX24" s="909"/>
    </row>
    <row r="25" spans="3:50" x14ac:dyDescent="0.35">
      <c r="D25" s="788" t="s">
        <v>46</v>
      </c>
      <c r="E25" s="789"/>
      <c r="F25" s="1539">
        <v>132015.97718197375</v>
      </c>
      <c r="G25" s="919">
        <f t="shared" si="32"/>
        <v>135464.4446115231</v>
      </c>
      <c r="H25" s="911"/>
      <c r="I25" s="919">
        <f t="shared" si="33"/>
        <v>135464.4446115231</v>
      </c>
      <c r="J25" s="919">
        <f t="shared" si="34"/>
        <v>148.06800000000004</v>
      </c>
      <c r="K25" s="919">
        <f t="shared" si="35"/>
        <v>3300.3994295493439</v>
      </c>
      <c r="L25" s="919">
        <f t="shared" si="36"/>
        <v>132015.97718197375</v>
      </c>
      <c r="AN25" s="930">
        <f t="shared" si="24"/>
        <v>132015.97718197375</v>
      </c>
      <c r="AO25" s="919">
        <f t="shared" si="25"/>
        <v>2970.3594865944092</v>
      </c>
      <c r="AP25" s="922">
        <f t="shared" si="37"/>
        <v>134986.33666856817</v>
      </c>
      <c r="AQ25" s="923">
        <f t="shared" si="27"/>
        <v>33003.994295493438</v>
      </c>
      <c r="AR25" s="924">
        <f t="shared" si="28"/>
        <v>13201.597718197376</v>
      </c>
      <c r="AS25" s="925">
        <f t="shared" si="29"/>
        <v>82840.025681688523</v>
      </c>
      <c r="AT25" s="919">
        <f t="shared" si="30"/>
        <v>8284.002568168853</v>
      </c>
      <c r="AU25" s="919">
        <f t="shared" si="31"/>
        <v>74556.023113519666</v>
      </c>
      <c r="AX25" s="909"/>
    </row>
    <row r="26" spans="3:50" x14ac:dyDescent="0.35">
      <c r="D26" s="788" t="s">
        <v>206</v>
      </c>
      <c r="E26" s="789"/>
      <c r="F26" s="1539">
        <v>132015.97718197375</v>
      </c>
      <c r="G26" s="919">
        <f t="shared" si="32"/>
        <v>135464.4446115231</v>
      </c>
      <c r="H26" s="911"/>
      <c r="I26" s="919">
        <f t="shared" si="33"/>
        <v>135464.4446115231</v>
      </c>
      <c r="J26" s="919">
        <f t="shared" si="34"/>
        <v>148.06800000000004</v>
      </c>
      <c r="K26" s="919">
        <f t="shared" si="35"/>
        <v>3300.3994295493439</v>
      </c>
      <c r="L26" s="919">
        <f t="shared" si="36"/>
        <v>132015.97718197375</v>
      </c>
      <c r="AN26" s="930">
        <f t="shared" si="24"/>
        <v>132015.97718197375</v>
      </c>
      <c r="AO26" s="919">
        <f t="shared" si="25"/>
        <v>2970.3594865944092</v>
      </c>
      <c r="AP26" s="922">
        <f t="shared" si="37"/>
        <v>134986.33666856817</v>
      </c>
      <c r="AQ26" s="923">
        <f t="shared" si="27"/>
        <v>33003.994295493438</v>
      </c>
      <c r="AR26" s="924">
        <f t="shared" si="28"/>
        <v>13201.597718197376</v>
      </c>
      <c r="AS26" s="925">
        <f t="shared" si="29"/>
        <v>82840.025681688523</v>
      </c>
      <c r="AT26" s="919">
        <f t="shared" si="30"/>
        <v>8284.002568168853</v>
      </c>
      <c r="AU26" s="919">
        <f t="shared" si="31"/>
        <v>74556.023113519666</v>
      </c>
      <c r="AX26" s="909"/>
    </row>
    <row r="27" spans="3:50" x14ac:dyDescent="0.35">
      <c r="D27" s="788" t="s">
        <v>375</v>
      </c>
      <c r="E27" s="789"/>
      <c r="F27" s="1539">
        <v>316887.61779806047</v>
      </c>
      <c r="G27" s="919">
        <f t="shared" si="32"/>
        <v>324957.87624301197</v>
      </c>
      <c r="H27" s="911"/>
      <c r="I27" s="919">
        <f t="shared" si="33"/>
        <v>324957.87624301197</v>
      </c>
      <c r="J27" s="919">
        <f t="shared" si="34"/>
        <v>148.06800000000004</v>
      </c>
      <c r="K27" s="919">
        <f t="shared" si="35"/>
        <v>7922.1904449515123</v>
      </c>
      <c r="L27" s="919">
        <f t="shared" si="36"/>
        <v>316887.61779806047</v>
      </c>
      <c r="AN27" s="930">
        <f t="shared" si="24"/>
        <v>316887.61779806047</v>
      </c>
      <c r="AO27" s="919">
        <f t="shared" si="25"/>
        <v>7129.9714004563602</v>
      </c>
      <c r="AP27" s="922">
        <f t="shared" si="37"/>
        <v>324017.58919851686</v>
      </c>
      <c r="AQ27" s="923">
        <f t="shared" si="27"/>
        <v>79221.904449515117</v>
      </c>
      <c r="AR27" s="924">
        <f t="shared" si="28"/>
        <v>31688.761779806049</v>
      </c>
      <c r="AS27" s="925">
        <f t="shared" si="29"/>
        <v>198846.98016828293</v>
      </c>
      <c r="AT27" s="919">
        <f t="shared" si="30"/>
        <v>19884.698016828293</v>
      </c>
      <c r="AU27" s="919">
        <f t="shared" si="31"/>
        <v>178962.28215145462</v>
      </c>
      <c r="AX27" s="909"/>
    </row>
    <row r="28" spans="3:50" x14ac:dyDescent="0.35">
      <c r="D28" s="788" t="s">
        <v>376</v>
      </c>
      <c r="E28" s="789"/>
      <c r="F28" s="1539">
        <v>316887.61779806047</v>
      </c>
      <c r="G28" s="919">
        <f t="shared" si="32"/>
        <v>324957.87624301197</v>
      </c>
      <c r="H28" s="911"/>
      <c r="I28" s="919">
        <f t="shared" si="33"/>
        <v>324957.87624301197</v>
      </c>
      <c r="J28" s="919">
        <f t="shared" si="34"/>
        <v>148.06800000000004</v>
      </c>
      <c r="K28" s="919">
        <f t="shared" si="35"/>
        <v>7922.1904449515123</v>
      </c>
      <c r="L28" s="919">
        <f t="shared" si="36"/>
        <v>316887.61779806047</v>
      </c>
      <c r="AN28" s="930">
        <f t="shared" si="24"/>
        <v>316887.61779806047</v>
      </c>
      <c r="AO28" s="919">
        <f t="shared" si="25"/>
        <v>7129.9714004563602</v>
      </c>
      <c r="AP28" s="922">
        <f t="shared" si="37"/>
        <v>324017.58919851686</v>
      </c>
      <c r="AQ28" s="923">
        <f t="shared" si="27"/>
        <v>79221.904449515117</v>
      </c>
      <c r="AR28" s="924">
        <f t="shared" si="28"/>
        <v>31688.761779806049</v>
      </c>
      <c r="AS28" s="925">
        <f t="shared" si="29"/>
        <v>198846.98016828293</v>
      </c>
      <c r="AT28" s="919">
        <f t="shared" si="30"/>
        <v>19884.698016828293</v>
      </c>
      <c r="AU28" s="919">
        <f t="shared" si="31"/>
        <v>178962.28215145462</v>
      </c>
      <c r="AX28" s="909"/>
    </row>
    <row r="29" spans="3:50" x14ac:dyDescent="0.35">
      <c r="D29" s="788" t="s">
        <v>377</v>
      </c>
      <c r="E29" s="789"/>
      <c r="F29" s="1539"/>
      <c r="G29" s="919">
        <f t="shared" si="32"/>
        <v>148.06800000000004</v>
      </c>
      <c r="H29" s="911"/>
      <c r="I29" s="919">
        <f t="shared" si="33"/>
        <v>148.06800000000004</v>
      </c>
      <c r="J29" s="919">
        <f t="shared" si="34"/>
        <v>148.06800000000004</v>
      </c>
      <c r="K29" s="919">
        <f t="shared" si="35"/>
        <v>0</v>
      </c>
      <c r="L29" s="919">
        <f t="shared" si="36"/>
        <v>0</v>
      </c>
      <c r="AN29" s="930">
        <f t="shared" si="24"/>
        <v>0</v>
      </c>
      <c r="AO29" s="919">
        <f t="shared" si="25"/>
        <v>0</v>
      </c>
      <c r="AP29" s="922">
        <f t="shared" si="37"/>
        <v>0</v>
      </c>
      <c r="AQ29" s="923">
        <f t="shared" si="27"/>
        <v>0</v>
      </c>
      <c r="AR29" s="924">
        <f t="shared" si="28"/>
        <v>0</v>
      </c>
      <c r="AS29" s="925">
        <f t="shared" si="29"/>
        <v>0</v>
      </c>
      <c r="AT29" s="919">
        <f t="shared" si="30"/>
        <v>0</v>
      </c>
      <c r="AU29" s="919">
        <f t="shared" si="31"/>
        <v>0</v>
      </c>
    </row>
    <row r="30" spans="3:50" x14ac:dyDescent="0.35">
      <c r="D30" s="788" t="s">
        <v>378</v>
      </c>
      <c r="E30" s="789"/>
      <c r="F30" s="1539"/>
      <c r="G30" s="919">
        <f t="shared" si="32"/>
        <v>148.06800000000004</v>
      </c>
      <c r="H30" s="911"/>
      <c r="I30" s="919">
        <f t="shared" si="33"/>
        <v>148.06800000000004</v>
      </c>
      <c r="J30" s="919">
        <f t="shared" si="34"/>
        <v>148.06800000000004</v>
      </c>
      <c r="K30" s="919">
        <f t="shared" si="35"/>
        <v>0</v>
      </c>
      <c r="L30" s="919">
        <f t="shared" si="36"/>
        <v>0</v>
      </c>
      <c r="AN30" s="930">
        <f t="shared" si="24"/>
        <v>0</v>
      </c>
      <c r="AO30" s="919">
        <f t="shared" si="25"/>
        <v>0</v>
      </c>
      <c r="AP30" s="922">
        <f t="shared" si="37"/>
        <v>0</v>
      </c>
      <c r="AQ30" s="923">
        <f t="shared" si="27"/>
        <v>0</v>
      </c>
      <c r="AR30" s="924">
        <f t="shared" si="28"/>
        <v>0</v>
      </c>
      <c r="AS30" s="925">
        <f t="shared" si="29"/>
        <v>0</v>
      </c>
      <c r="AT30" s="919">
        <f t="shared" si="30"/>
        <v>0</v>
      </c>
      <c r="AU30" s="919">
        <f t="shared" si="31"/>
        <v>0</v>
      </c>
    </row>
    <row r="31" spans="3:50" ht="15" thickBot="1" x14ac:dyDescent="0.4">
      <c r="D31" s="788" t="s">
        <v>379</v>
      </c>
      <c r="E31" s="789"/>
      <c r="F31" s="1539"/>
      <c r="G31" s="919">
        <f t="shared" si="32"/>
        <v>148.06800000000004</v>
      </c>
      <c r="H31" s="911"/>
      <c r="I31" s="919">
        <f t="shared" si="33"/>
        <v>148.06800000000004</v>
      </c>
      <c r="J31" s="919">
        <f t="shared" si="34"/>
        <v>148.06800000000004</v>
      </c>
      <c r="K31" s="919">
        <f t="shared" si="35"/>
        <v>0</v>
      </c>
      <c r="L31" s="919">
        <f t="shared" si="36"/>
        <v>0</v>
      </c>
      <c r="AN31" s="930">
        <f t="shared" si="24"/>
        <v>0</v>
      </c>
      <c r="AO31" s="919">
        <f t="shared" si="25"/>
        <v>0</v>
      </c>
      <c r="AP31" s="922">
        <f t="shared" si="37"/>
        <v>0</v>
      </c>
      <c r="AQ31" s="928">
        <f t="shared" si="27"/>
        <v>0</v>
      </c>
      <c r="AR31" s="929">
        <f t="shared" si="28"/>
        <v>0</v>
      </c>
      <c r="AS31" s="925">
        <f t="shared" si="29"/>
        <v>0</v>
      </c>
      <c r="AT31" s="919">
        <f t="shared" si="30"/>
        <v>0</v>
      </c>
      <c r="AU31" s="919">
        <f t="shared" si="31"/>
        <v>0</v>
      </c>
    </row>
    <row r="32" spans="3:50" ht="15" thickTop="1" x14ac:dyDescent="0.35"/>
    <row r="33" spans="40:47" x14ac:dyDescent="0.35">
      <c r="AN33" s="64"/>
      <c r="AO33" s="64"/>
      <c r="AP33" s="64"/>
      <c r="AQ33" s="933" t="s">
        <v>480</v>
      </c>
      <c r="AR33" s="933"/>
      <c r="AS33" s="64"/>
      <c r="AT33" s="64"/>
      <c r="AU33" s="64"/>
    </row>
    <row r="34" spans="40:47" x14ac:dyDescent="0.35">
      <c r="AN34" s="934" t="s">
        <v>489</v>
      </c>
      <c r="AO34" s="934" t="s">
        <v>482</v>
      </c>
      <c r="AP34" s="934" t="s">
        <v>483</v>
      </c>
      <c r="AQ34" s="934" t="s">
        <v>484</v>
      </c>
      <c r="AR34" s="934" t="s">
        <v>485</v>
      </c>
      <c r="AS34" s="934" t="s">
        <v>486</v>
      </c>
      <c r="AT34" s="934" t="s">
        <v>487</v>
      </c>
      <c r="AU34" s="934" t="s">
        <v>488</v>
      </c>
    </row>
    <row r="35" spans="40:47" x14ac:dyDescent="0.35">
      <c r="AN35" s="935"/>
      <c r="AO35" s="936">
        <v>2.2499999999999999E-2</v>
      </c>
      <c r="AP35" s="935"/>
      <c r="AQ35" s="935"/>
      <c r="AR35" s="935"/>
      <c r="AS35" s="935"/>
      <c r="AT35" s="935"/>
      <c r="AU35" s="935"/>
    </row>
    <row r="36" spans="40:47" x14ac:dyDescent="0.35">
      <c r="AN36" s="935"/>
      <c r="AO36" s="935"/>
      <c r="AP36" s="935"/>
      <c r="AQ36" s="936">
        <v>0.25</v>
      </c>
      <c r="AR36" s="936">
        <v>0.1</v>
      </c>
      <c r="AS36" s="935"/>
      <c r="AT36" s="936">
        <v>0.1</v>
      </c>
      <c r="AU36" s="935"/>
    </row>
    <row r="37" spans="40:47" x14ac:dyDescent="0.35">
      <c r="AN37" s="723"/>
      <c r="AO37" s="724"/>
      <c r="AP37" s="937"/>
    </row>
  </sheetData>
  <mergeCells count="10">
    <mergeCell ref="W2:X2"/>
    <mergeCell ref="AF2:AG2"/>
    <mergeCell ref="AQ2:AR2"/>
    <mergeCell ref="AZ2:BA2"/>
    <mergeCell ref="C2:C3"/>
    <mergeCell ref="D2:D3"/>
    <mergeCell ref="E2:E3"/>
    <mergeCell ref="I2:J2"/>
    <mergeCell ref="K2:L2"/>
    <mergeCell ref="N2:O2"/>
  </mergeCell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DE93-2648-4B23-8FB5-21D67EF46E9E}">
  <sheetPr codeName="Sheet18"/>
  <dimension ref="B1:AE31"/>
  <sheetViews>
    <sheetView showGridLines="0" zoomScale="90" zoomScaleNormal="90" workbookViewId="0">
      <selection activeCell="F4" sqref="F4"/>
    </sheetView>
  </sheetViews>
  <sheetFormatPr defaultColWidth="9.1796875" defaultRowHeight="14.5" x14ac:dyDescent="0.35"/>
  <cols>
    <col min="1" max="1" width="9.1796875" style="771"/>
    <col min="2" max="2" width="10.1796875" style="771" bestFit="1" customWidth="1"/>
    <col min="3" max="3" width="11.453125" style="771" bestFit="1" customWidth="1"/>
    <col min="4" max="4" width="22" style="772" bestFit="1" customWidth="1"/>
    <col min="5" max="5" width="65.54296875" style="771" bestFit="1" customWidth="1"/>
    <col min="6" max="6" width="14.54296875" style="771" bestFit="1" customWidth="1"/>
    <col min="7" max="7" width="12.453125" style="771" bestFit="1" customWidth="1"/>
    <col min="8" max="9" width="14" style="771" bestFit="1" customWidth="1"/>
    <col min="10" max="10" width="10.81640625" style="771" customWidth="1"/>
    <col min="11" max="11" width="10.81640625" style="771" bestFit="1" customWidth="1"/>
    <col min="12" max="12" width="3.1796875" style="771" customWidth="1"/>
    <col min="13" max="13" width="11.26953125" style="771" bestFit="1" customWidth="1"/>
    <col min="14" max="14" width="10.1796875" style="771" bestFit="1" customWidth="1"/>
    <col min="15" max="15" width="3.1796875" style="771" customWidth="1"/>
    <col min="16" max="16" width="11.1796875" style="771" bestFit="1" customWidth="1"/>
    <col min="17" max="17" width="10.54296875" style="771" bestFit="1" customWidth="1"/>
    <col min="18" max="18" width="2.26953125" style="771" customWidth="1"/>
    <col min="19" max="19" width="14.54296875" style="771" customWidth="1"/>
    <col min="20" max="20" width="14.1796875" style="771" bestFit="1" customWidth="1"/>
    <col min="21" max="21" width="9.1796875" style="771"/>
    <col min="22" max="22" width="10.1796875" style="771" bestFit="1" customWidth="1"/>
    <col min="23" max="23" width="11.54296875" style="771" customWidth="1"/>
    <col min="24" max="24" width="12.453125" style="771" customWidth="1"/>
    <col min="25" max="16384" width="9.1796875" style="771"/>
  </cols>
  <sheetData>
    <row r="1" spans="2:31" x14ac:dyDescent="0.35">
      <c r="B1" s="771" t="str">
        <f>'Data Master'!$C$76</f>
        <v>Philippines</v>
      </c>
    </row>
    <row r="2" spans="2:31" x14ac:dyDescent="0.35">
      <c r="C2" s="1599" t="s">
        <v>319</v>
      </c>
      <c r="D2" s="1599" t="s">
        <v>320</v>
      </c>
      <c r="E2" s="1599" t="s">
        <v>336</v>
      </c>
      <c r="F2" s="775" t="s">
        <v>351</v>
      </c>
      <c r="H2" s="1600" t="s">
        <v>352</v>
      </c>
      <c r="I2" s="1600"/>
      <c r="J2" s="1600" t="s">
        <v>353</v>
      </c>
      <c r="K2" s="1600"/>
      <c r="M2" s="1597" t="s">
        <v>354</v>
      </c>
      <c r="N2" s="1598"/>
    </row>
    <row r="3" spans="2:31" ht="29" x14ac:dyDescent="0.35">
      <c r="C3" s="1599"/>
      <c r="D3" s="1599"/>
      <c r="E3" s="1599"/>
      <c r="F3" s="781" t="s">
        <v>490</v>
      </c>
      <c r="H3" s="781" t="s">
        <v>357</v>
      </c>
      <c r="I3" s="781" t="s">
        <v>358</v>
      </c>
      <c r="J3" s="781" t="s">
        <v>357</v>
      </c>
      <c r="K3" s="781" t="s">
        <v>358</v>
      </c>
      <c r="M3" s="781" t="s">
        <v>359</v>
      </c>
      <c r="N3" s="781" t="s">
        <v>328</v>
      </c>
      <c r="P3" s="781" t="s">
        <v>329</v>
      </c>
      <c r="Q3" s="781" t="s">
        <v>330</v>
      </c>
      <c r="S3" s="781" t="s">
        <v>360</v>
      </c>
      <c r="T3" s="781" t="s">
        <v>361</v>
      </c>
    </row>
    <row r="4" spans="2:31" x14ac:dyDescent="0.35">
      <c r="B4" s="771" t="str">
        <f>$B$1&amp;C4&amp;D4</f>
        <v>PhilippinesVoiceL1</v>
      </c>
      <c r="C4" s="787" t="s">
        <v>266</v>
      </c>
      <c r="D4" s="788" t="s">
        <v>321</v>
      </c>
      <c r="E4" s="789" t="s">
        <v>367</v>
      </c>
      <c r="F4" s="938">
        <f>SUMPRODUCT(H4:I4,J4:K4)</f>
        <v>314600</v>
      </c>
      <c r="G4" s="853"/>
      <c r="H4" s="938">
        <v>299000</v>
      </c>
      <c r="I4" s="938">
        <v>351000</v>
      </c>
      <c r="J4" s="792">
        <v>0.7</v>
      </c>
      <c r="K4" s="793">
        <f>1-J4</f>
        <v>0.30000000000000004</v>
      </c>
      <c r="M4" s="938">
        <v>10000</v>
      </c>
      <c r="N4" s="938">
        <v>2800</v>
      </c>
      <c r="P4" s="938">
        <v>10000</v>
      </c>
      <c r="Q4" s="938">
        <v>6000</v>
      </c>
      <c r="S4" s="794">
        <v>1</v>
      </c>
      <c r="T4" s="794">
        <f>1-S4</f>
        <v>0</v>
      </c>
    </row>
    <row r="5" spans="2:31" s="805" customFormat="1" x14ac:dyDescent="0.35">
      <c r="B5" s="771" t="str">
        <f t="shared" ref="B5:B13" si="0">$B$1&amp;C5&amp;D5</f>
        <v>PhilippinesVoiceL2</v>
      </c>
      <c r="C5" s="787" t="s">
        <v>266</v>
      </c>
      <c r="D5" s="788" t="s">
        <v>322</v>
      </c>
      <c r="E5" s="789" t="s">
        <v>368</v>
      </c>
      <c r="F5" s="938">
        <f t="shared" ref="F5:F13" si="1">SUMPRODUCT(H5:I5,J5:K5)</f>
        <v>346732.3</v>
      </c>
      <c r="G5" s="853"/>
      <c r="H5" s="938">
        <v>299000</v>
      </c>
      <c r="I5" s="938">
        <v>367189</v>
      </c>
      <c r="J5" s="792">
        <v>0.3</v>
      </c>
      <c r="K5" s="793">
        <f t="shared" ref="K5:K13" si="2">1-J5</f>
        <v>0.7</v>
      </c>
      <c r="L5" s="771"/>
      <c r="M5" s="938">
        <v>10000</v>
      </c>
      <c r="N5" s="938">
        <v>2800</v>
      </c>
      <c r="P5" s="938">
        <v>10000</v>
      </c>
      <c r="Q5" s="938">
        <v>6000</v>
      </c>
      <c r="R5" s="771"/>
      <c r="S5" s="794">
        <v>1</v>
      </c>
      <c r="T5" s="794">
        <f t="shared" ref="T5:T13" si="3">1-S5</f>
        <v>0</v>
      </c>
    </row>
    <row r="6" spans="2:31" s="805" customFormat="1" x14ac:dyDescent="0.35">
      <c r="B6" s="771" t="str">
        <f t="shared" si="0"/>
        <v>PhilippinesVoiceL3</v>
      </c>
      <c r="C6" s="787" t="s">
        <v>266</v>
      </c>
      <c r="D6" s="788" t="s">
        <v>323</v>
      </c>
      <c r="E6" s="789" t="s">
        <v>337</v>
      </c>
      <c r="F6" s="938">
        <f t="shared" si="1"/>
        <v>386177.3</v>
      </c>
      <c r="G6" s="853"/>
      <c r="H6" s="938">
        <v>299000</v>
      </c>
      <c r="I6" s="938">
        <v>423539</v>
      </c>
      <c r="J6" s="792">
        <v>0.3</v>
      </c>
      <c r="K6" s="793">
        <f t="shared" si="2"/>
        <v>0.7</v>
      </c>
      <c r="L6" s="771"/>
      <c r="M6" s="938">
        <v>12000</v>
      </c>
      <c r="N6" s="938">
        <v>2800</v>
      </c>
      <c r="P6" s="938">
        <v>12000</v>
      </c>
      <c r="Q6" s="938">
        <v>6000</v>
      </c>
      <c r="R6" s="771"/>
      <c r="S6" s="794">
        <v>1</v>
      </c>
      <c r="T6" s="794">
        <f t="shared" si="3"/>
        <v>0</v>
      </c>
    </row>
    <row r="7" spans="2:31" s="805" customFormat="1" x14ac:dyDescent="0.35">
      <c r="B7" s="771" t="str">
        <f t="shared" si="0"/>
        <v>PhilippinesVoiceL4</v>
      </c>
      <c r="C7" s="787" t="s">
        <v>266</v>
      </c>
      <c r="D7" s="788" t="s">
        <v>324</v>
      </c>
      <c r="E7" s="789" t="s">
        <v>338</v>
      </c>
      <c r="F7" s="938">
        <f t="shared" si="1"/>
        <v>521038.56000000006</v>
      </c>
      <c r="G7" s="870"/>
      <c r="H7" s="938">
        <v>402790</v>
      </c>
      <c r="I7" s="938">
        <v>550600.70000000007</v>
      </c>
      <c r="J7" s="792">
        <v>0.2</v>
      </c>
      <c r="K7" s="793">
        <f t="shared" si="2"/>
        <v>0.8</v>
      </c>
      <c r="L7" s="771"/>
      <c r="M7" s="938">
        <v>15000</v>
      </c>
      <c r="N7" s="938">
        <v>2800</v>
      </c>
      <c r="P7" s="938">
        <v>15000</v>
      </c>
      <c r="Q7" s="938">
        <v>6000</v>
      </c>
      <c r="R7" s="771"/>
      <c r="S7" s="794">
        <v>1</v>
      </c>
      <c r="T7" s="794">
        <f t="shared" si="3"/>
        <v>0</v>
      </c>
    </row>
    <row r="8" spans="2:31" s="805" customFormat="1" x14ac:dyDescent="0.35">
      <c r="B8" s="771" t="str">
        <f t="shared" si="0"/>
        <v>PhilippinesNon-voiceL1</v>
      </c>
      <c r="C8" s="787" t="s">
        <v>325</v>
      </c>
      <c r="D8" s="788" t="s">
        <v>321</v>
      </c>
      <c r="E8" s="789" t="s">
        <v>339</v>
      </c>
      <c r="F8" s="938">
        <f t="shared" si="1"/>
        <v>314600</v>
      </c>
      <c r="G8" s="853"/>
      <c r="H8" s="938">
        <v>299000</v>
      </c>
      <c r="I8" s="938">
        <v>351000</v>
      </c>
      <c r="J8" s="792">
        <v>0.7</v>
      </c>
      <c r="K8" s="793">
        <f t="shared" si="2"/>
        <v>0.30000000000000004</v>
      </c>
      <c r="L8" s="771"/>
      <c r="M8" s="938">
        <v>10000</v>
      </c>
      <c r="N8" s="938">
        <v>2800</v>
      </c>
      <c r="P8" s="938">
        <v>10000</v>
      </c>
      <c r="Q8" s="938">
        <v>6000</v>
      </c>
      <c r="R8" s="771"/>
      <c r="S8" s="794">
        <v>1</v>
      </c>
      <c r="T8" s="794">
        <f t="shared" si="3"/>
        <v>0</v>
      </c>
    </row>
    <row r="9" spans="2:31" s="805" customFormat="1" x14ac:dyDescent="0.35">
      <c r="B9" s="771" t="str">
        <f t="shared" si="0"/>
        <v>PhilippinesNon-voiceL2</v>
      </c>
      <c r="C9" s="787" t="s">
        <v>325</v>
      </c>
      <c r="D9" s="788" t="s">
        <v>322</v>
      </c>
      <c r="E9" s="789" t="s">
        <v>491</v>
      </c>
      <c r="F9" s="938">
        <f t="shared" si="1"/>
        <v>361269.5</v>
      </c>
      <c r="G9" s="853"/>
      <c r="H9" s="938">
        <v>299000</v>
      </c>
      <c r="I9" s="938">
        <v>423539</v>
      </c>
      <c r="J9" s="792">
        <v>0.5</v>
      </c>
      <c r="K9" s="793">
        <f t="shared" si="2"/>
        <v>0.5</v>
      </c>
      <c r="L9" s="771"/>
      <c r="M9" s="938">
        <v>12000</v>
      </c>
      <c r="N9" s="938">
        <v>2800</v>
      </c>
      <c r="P9" s="938">
        <v>12000</v>
      </c>
      <c r="Q9" s="938">
        <v>6000</v>
      </c>
      <c r="R9" s="771"/>
      <c r="S9" s="794">
        <v>1</v>
      </c>
      <c r="T9" s="794">
        <f t="shared" si="3"/>
        <v>0</v>
      </c>
    </row>
    <row r="10" spans="2:31" s="805" customFormat="1" x14ac:dyDescent="0.35">
      <c r="B10" s="771" t="str">
        <f t="shared" si="0"/>
        <v>PhilippinesBackofficeL1</v>
      </c>
      <c r="C10" s="787" t="s">
        <v>326</v>
      </c>
      <c r="D10" s="788" t="s">
        <v>321</v>
      </c>
      <c r="E10" s="789" t="s">
        <v>341</v>
      </c>
      <c r="F10" s="938">
        <f t="shared" si="1"/>
        <v>314600</v>
      </c>
      <c r="G10" s="853"/>
      <c r="H10" s="938">
        <v>299000</v>
      </c>
      <c r="I10" s="938">
        <v>351000</v>
      </c>
      <c r="J10" s="792">
        <v>0.7</v>
      </c>
      <c r="K10" s="793">
        <f t="shared" si="2"/>
        <v>0.30000000000000004</v>
      </c>
      <c r="L10" s="771"/>
      <c r="M10" s="938">
        <v>10000</v>
      </c>
      <c r="N10" s="938">
        <v>2800</v>
      </c>
      <c r="P10" s="938">
        <v>10000</v>
      </c>
      <c r="Q10" s="938">
        <v>6000</v>
      </c>
      <c r="R10" s="771"/>
      <c r="S10" s="794">
        <v>1</v>
      </c>
      <c r="T10" s="794">
        <f t="shared" si="3"/>
        <v>0</v>
      </c>
    </row>
    <row r="11" spans="2:31" x14ac:dyDescent="0.35">
      <c r="B11" s="771" t="str">
        <f t="shared" si="0"/>
        <v>PhilippinesBackofficeL2</v>
      </c>
      <c r="C11" s="787" t="s">
        <v>326</v>
      </c>
      <c r="D11" s="788" t="s">
        <v>322</v>
      </c>
      <c r="E11" s="789" t="s">
        <v>342</v>
      </c>
      <c r="F11" s="938">
        <f t="shared" si="1"/>
        <v>333094.5</v>
      </c>
      <c r="G11" s="853"/>
      <c r="H11" s="938">
        <v>299000</v>
      </c>
      <c r="I11" s="938">
        <v>367189</v>
      </c>
      <c r="J11" s="792">
        <v>0.5</v>
      </c>
      <c r="K11" s="793">
        <f t="shared" si="2"/>
        <v>0.5</v>
      </c>
      <c r="M11" s="938">
        <v>10000</v>
      </c>
      <c r="N11" s="938">
        <v>2800</v>
      </c>
      <c r="P11" s="938">
        <v>10000</v>
      </c>
      <c r="Q11" s="938">
        <v>6000</v>
      </c>
      <c r="S11" s="794">
        <v>1</v>
      </c>
      <c r="T11" s="794">
        <f t="shared" si="3"/>
        <v>0</v>
      </c>
    </row>
    <row r="12" spans="2:31" x14ac:dyDescent="0.35">
      <c r="B12" s="771" t="str">
        <f t="shared" si="0"/>
        <v>PhilippinesBackofficeL3</v>
      </c>
      <c r="C12" s="787" t="s">
        <v>326</v>
      </c>
      <c r="D12" s="788" t="s">
        <v>323</v>
      </c>
      <c r="E12" s="789" t="s">
        <v>343</v>
      </c>
      <c r="F12" s="938">
        <f t="shared" si="1"/>
        <v>361269.5</v>
      </c>
      <c r="G12" s="853"/>
      <c r="H12" s="938">
        <v>299000</v>
      </c>
      <c r="I12" s="938">
        <v>423539</v>
      </c>
      <c r="J12" s="792">
        <v>0.5</v>
      </c>
      <c r="K12" s="793">
        <f t="shared" si="2"/>
        <v>0.5</v>
      </c>
      <c r="M12" s="938">
        <v>12000</v>
      </c>
      <c r="N12" s="938">
        <v>2800</v>
      </c>
      <c r="P12" s="938">
        <v>12000</v>
      </c>
      <c r="Q12" s="938">
        <v>6000</v>
      </c>
      <c r="S12" s="794">
        <v>1</v>
      </c>
      <c r="T12" s="794">
        <f t="shared" si="3"/>
        <v>0</v>
      </c>
    </row>
    <row r="13" spans="2:31" x14ac:dyDescent="0.35">
      <c r="B13" s="771" t="str">
        <f t="shared" si="0"/>
        <v>PhilippinesBackofficeL4</v>
      </c>
      <c r="C13" s="787" t="s">
        <v>326</v>
      </c>
      <c r="D13" s="788" t="s">
        <v>324</v>
      </c>
      <c r="E13" s="789" t="s">
        <v>344</v>
      </c>
      <c r="F13" s="938">
        <f t="shared" si="1"/>
        <v>521038.56000000006</v>
      </c>
      <c r="G13" s="853"/>
      <c r="H13" s="938">
        <v>402790</v>
      </c>
      <c r="I13" s="938">
        <v>550600.70000000007</v>
      </c>
      <c r="J13" s="792">
        <v>0.2</v>
      </c>
      <c r="K13" s="793">
        <f t="shared" si="2"/>
        <v>0.8</v>
      </c>
      <c r="M13" s="938">
        <v>15000</v>
      </c>
      <c r="N13" s="938">
        <v>2800</v>
      </c>
      <c r="P13" s="938">
        <v>15000</v>
      </c>
      <c r="Q13" s="938">
        <v>6000</v>
      </c>
      <c r="S13" s="794">
        <v>1</v>
      </c>
      <c r="T13" s="794">
        <f t="shared" si="3"/>
        <v>0</v>
      </c>
      <c r="V13"/>
      <c r="W13" s="939"/>
      <c r="X13" s="939"/>
      <c r="Y13" s="939"/>
      <c r="Z13" s="939"/>
      <c r="AA13" s="939"/>
      <c r="AB13" s="939"/>
      <c r="AC13" s="939"/>
      <c r="AD13" s="939"/>
      <c r="AE13" s="939"/>
    </row>
    <row r="14" spans="2:31" x14ac:dyDescent="0.35">
      <c r="F14" s="872"/>
    </row>
    <row r="15" spans="2:31" x14ac:dyDescent="0.35">
      <c r="D15" s="819" t="s">
        <v>265</v>
      </c>
      <c r="E15" s="775"/>
      <c r="F15" s="775" t="s">
        <v>423</v>
      </c>
      <c r="M15" s="820" t="s">
        <v>370</v>
      </c>
      <c r="N15" s="820" t="s">
        <v>328</v>
      </c>
      <c r="V15" s="940" t="s">
        <v>80</v>
      </c>
      <c r="W15" s="941" t="s">
        <v>492</v>
      </c>
      <c r="X15" s="941" t="s">
        <v>493</v>
      </c>
      <c r="Y15" s="874"/>
      <c r="Z15" s="874"/>
      <c r="AA15" s="874"/>
      <c r="AB15" s="874"/>
      <c r="AC15" s="874"/>
      <c r="AD15" s="874"/>
      <c r="AE15" s="874"/>
    </row>
    <row r="16" spans="2:31" x14ac:dyDescent="0.35">
      <c r="D16" s="788" t="s">
        <v>204</v>
      </c>
      <c r="E16" s="789"/>
      <c r="F16" s="1540">
        <v>750000</v>
      </c>
      <c r="M16" s="794">
        <v>0.06</v>
      </c>
      <c r="N16" s="938">
        <v>2800</v>
      </c>
      <c r="V16" s="942" t="s">
        <v>204</v>
      </c>
      <c r="W16" s="943">
        <v>750000</v>
      </c>
      <c r="X16" s="943">
        <v>675000</v>
      </c>
    </row>
    <row r="17" spans="4:24" x14ac:dyDescent="0.35">
      <c r="D17" s="788" t="s">
        <v>267</v>
      </c>
      <c r="E17" s="789"/>
      <c r="F17" s="1540">
        <v>1100000</v>
      </c>
      <c r="V17" s="942" t="s">
        <v>267</v>
      </c>
      <c r="W17" s="943">
        <v>1100000</v>
      </c>
      <c r="X17" s="943">
        <v>900000</v>
      </c>
    </row>
    <row r="18" spans="4:24" x14ac:dyDescent="0.35">
      <c r="D18" s="788" t="s">
        <v>205</v>
      </c>
      <c r="E18" s="789"/>
      <c r="F18" s="1540">
        <v>1300000</v>
      </c>
      <c r="V18" s="942" t="s">
        <v>494</v>
      </c>
      <c r="W18" s="943">
        <v>1300000</v>
      </c>
      <c r="X18" s="943">
        <v>1150000</v>
      </c>
    </row>
    <row r="19" spans="4:24" x14ac:dyDescent="0.35">
      <c r="D19" s="788" t="s">
        <v>250</v>
      </c>
      <c r="E19" s="789"/>
      <c r="F19" s="1540">
        <v>1600000</v>
      </c>
      <c r="V19" s="942" t="s">
        <v>495</v>
      </c>
      <c r="W19" s="943">
        <v>1600000</v>
      </c>
      <c r="X19" s="943">
        <v>1500000</v>
      </c>
    </row>
    <row r="20" spans="4:24" x14ac:dyDescent="0.35">
      <c r="D20" s="788" t="s">
        <v>371</v>
      </c>
      <c r="E20" s="789"/>
      <c r="F20" s="1540">
        <v>3300000</v>
      </c>
      <c r="V20" s="942" t="s">
        <v>496</v>
      </c>
      <c r="W20" s="943">
        <v>3300000</v>
      </c>
      <c r="X20" s="943">
        <f>W20</f>
        <v>3300000</v>
      </c>
    </row>
    <row r="21" spans="4:24" x14ac:dyDescent="0.35">
      <c r="D21" s="788" t="s">
        <v>372</v>
      </c>
      <c r="E21" s="789"/>
      <c r="F21" s="1540">
        <v>3700000</v>
      </c>
      <c r="V21" s="942" t="s">
        <v>497</v>
      </c>
      <c r="W21" s="943">
        <v>3700000</v>
      </c>
      <c r="X21" s="943">
        <f>W21</f>
        <v>3700000</v>
      </c>
    </row>
    <row r="22" spans="4:24" x14ac:dyDescent="0.35">
      <c r="D22" s="788" t="s">
        <v>373</v>
      </c>
      <c r="E22" s="789"/>
      <c r="F22" s="1540">
        <v>4440000</v>
      </c>
      <c r="V22" s="942" t="s">
        <v>47</v>
      </c>
      <c r="W22" s="943">
        <v>750000</v>
      </c>
      <c r="X22" s="943">
        <v>675000</v>
      </c>
    </row>
    <row r="23" spans="4:24" x14ac:dyDescent="0.35">
      <c r="D23" s="788" t="s">
        <v>374</v>
      </c>
      <c r="E23" s="789"/>
      <c r="F23" s="1540">
        <v>750000</v>
      </c>
      <c r="V23" s="942" t="s">
        <v>46</v>
      </c>
      <c r="W23" s="943">
        <v>650000</v>
      </c>
      <c r="X23" s="943">
        <v>600000</v>
      </c>
    </row>
    <row r="24" spans="4:24" x14ac:dyDescent="0.35">
      <c r="D24" s="788" t="s">
        <v>47</v>
      </c>
      <c r="E24" s="789"/>
      <c r="F24" s="1540">
        <v>750000</v>
      </c>
      <c r="V24" s="942" t="s">
        <v>206</v>
      </c>
      <c r="W24" s="943">
        <v>700000</v>
      </c>
      <c r="X24" s="943">
        <v>600000</v>
      </c>
    </row>
    <row r="25" spans="4:24" x14ac:dyDescent="0.35">
      <c r="D25" s="788" t="s">
        <v>46</v>
      </c>
      <c r="E25" s="789"/>
      <c r="F25" s="1540">
        <v>650000</v>
      </c>
    </row>
    <row r="26" spans="4:24" x14ac:dyDescent="0.35">
      <c r="D26" s="788" t="s">
        <v>206</v>
      </c>
      <c r="E26" s="789"/>
      <c r="F26" s="1540">
        <v>700000</v>
      </c>
    </row>
    <row r="27" spans="4:24" x14ac:dyDescent="0.35">
      <c r="D27" s="788" t="s">
        <v>375</v>
      </c>
      <c r="E27" s="789"/>
      <c r="F27" s="1540">
        <v>1600000</v>
      </c>
    </row>
    <row r="28" spans="4:24" x14ac:dyDescent="0.35">
      <c r="D28" s="788" t="s">
        <v>376</v>
      </c>
      <c r="E28" s="789"/>
      <c r="F28" s="1540">
        <v>1800000</v>
      </c>
    </row>
    <row r="29" spans="4:24" x14ac:dyDescent="0.35">
      <c r="D29" s="788" t="s">
        <v>377</v>
      </c>
      <c r="E29" s="789"/>
      <c r="F29" s="1540">
        <v>0</v>
      </c>
    </row>
    <row r="30" spans="4:24" x14ac:dyDescent="0.35">
      <c r="D30" s="788" t="s">
        <v>378</v>
      </c>
      <c r="E30" s="789"/>
      <c r="F30" s="1540">
        <v>0</v>
      </c>
    </row>
    <row r="31" spans="4:24" x14ac:dyDescent="0.35">
      <c r="D31" s="788" t="s">
        <v>379</v>
      </c>
      <c r="E31" s="789"/>
      <c r="F31" s="1540">
        <v>0</v>
      </c>
    </row>
  </sheetData>
  <mergeCells count="6">
    <mergeCell ref="M2:N2"/>
    <mergeCell ref="C2:C3"/>
    <mergeCell ref="D2:D3"/>
    <mergeCell ref="E2:E3"/>
    <mergeCell ref="H2:I2"/>
    <mergeCell ref="J2:K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8EC03-46EC-42A1-85C1-CAE7FCF839B1}">
  <sheetPr codeName="Sheet20"/>
  <dimension ref="B2:AK32"/>
  <sheetViews>
    <sheetView showGridLines="0" zoomScale="90" zoomScaleNormal="90" workbookViewId="0">
      <selection activeCell="E6" sqref="E6"/>
    </sheetView>
  </sheetViews>
  <sheetFormatPr defaultColWidth="9.1796875" defaultRowHeight="14.5" x14ac:dyDescent="0.35"/>
  <cols>
    <col min="1" max="1" width="9.1796875" style="771"/>
    <col min="2" max="2" width="11.54296875" style="771" bestFit="1" customWidth="1"/>
    <col min="3" max="3" width="11.453125" style="771" bestFit="1" customWidth="1"/>
    <col min="4" max="4" width="22" style="772" bestFit="1" customWidth="1"/>
    <col min="5" max="5" width="65.54296875" style="771" customWidth="1"/>
    <col min="6" max="6" width="14.54296875" style="771" customWidth="1"/>
    <col min="7" max="7" width="21" style="771" customWidth="1"/>
    <col min="8" max="9" width="14" style="771" bestFit="1" customWidth="1"/>
    <col min="10" max="10" width="10.81640625" style="771" customWidth="1"/>
    <col min="11" max="11" width="10.81640625" style="771" bestFit="1" customWidth="1"/>
    <col min="12" max="12" width="3.1796875" style="771" customWidth="1"/>
    <col min="13" max="13" width="11.26953125" style="771" bestFit="1" customWidth="1"/>
    <col min="14" max="14" width="8.54296875" style="771" bestFit="1" customWidth="1"/>
    <col min="15" max="15" width="3.1796875" style="771" customWidth="1"/>
    <col min="16" max="17" width="13.08984375" style="771" bestFit="1" customWidth="1"/>
    <col min="18" max="18" width="2.26953125" style="771" customWidth="1"/>
    <col min="19" max="19" width="14.54296875" style="771" customWidth="1"/>
    <col min="20" max="20" width="14.1796875" style="771" bestFit="1" customWidth="1"/>
    <col min="21" max="33" width="9.1796875" style="771"/>
    <col min="34" max="37" width="10.36328125" style="771" bestFit="1" customWidth="1"/>
    <col min="38" max="16384" width="9.1796875" style="771"/>
  </cols>
  <sheetData>
    <row r="2" spans="2:37" x14ac:dyDescent="0.35">
      <c r="B2" s="1581" t="str">
        <f>VLOOKUP(Summary!$B$3,'Data Master'!C243:J258,8,0)</f>
        <v>T1</v>
      </c>
      <c r="C2" s="1599" t="s">
        <v>319</v>
      </c>
      <c r="D2" s="1599" t="s">
        <v>320</v>
      </c>
      <c r="E2" s="1599" t="s">
        <v>336</v>
      </c>
      <c r="F2" s="775" t="s">
        <v>351</v>
      </c>
      <c r="H2" s="1600" t="s">
        <v>352</v>
      </c>
      <c r="I2" s="1600"/>
      <c r="J2" s="1600" t="s">
        <v>353</v>
      </c>
      <c r="K2" s="1600"/>
      <c r="M2" s="1597" t="s">
        <v>354</v>
      </c>
      <c r="N2" s="1598"/>
      <c r="V2" s="1625" t="s">
        <v>80</v>
      </c>
      <c r="W2" s="1626" t="s">
        <v>266</v>
      </c>
      <c r="X2" s="1627"/>
      <c r="Y2" s="1627"/>
      <c r="Z2" s="1627"/>
      <c r="AA2" s="1627"/>
      <c r="AB2" s="1627"/>
      <c r="AC2" s="1627"/>
      <c r="AD2" s="1627"/>
      <c r="AE2" s="1627"/>
      <c r="AH2" s="1624" t="s">
        <v>945</v>
      </c>
      <c r="AI2" s="1624"/>
      <c r="AJ2" s="1624" t="s">
        <v>946</v>
      </c>
      <c r="AK2" s="1624"/>
    </row>
    <row r="3" spans="2:37" ht="58" x14ac:dyDescent="0.35">
      <c r="B3" s="771" t="str">
        <f>'Data Master'!$C$75</f>
        <v>India</v>
      </c>
      <c r="C3" s="1599"/>
      <c r="D3" s="1599"/>
      <c r="E3" s="1599"/>
      <c r="F3" s="781" t="s">
        <v>490</v>
      </c>
      <c r="H3" s="781" t="s">
        <v>357</v>
      </c>
      <c r="I3" s="781" t="s">
        <v>358</v>
      </c>
      <c r="J3" s="781" t="s">
        <v>357</v>
      </c>
      <c r="K3" s="781" t="s">
        <v>358</v>
      </c>
      <c r="M3" s="781" t="s">
        <v>359</v>
      </c>
      <c r="N3" s="781" t="s">
        <v>328</v>
      </c>
      <c r="P3" s="781" t="s">
        <v>329</v>
      </c>
      <c r="Q3" s="781" t="s">
        <v>330</v>
      </c>
      <c r="S3" s="781" t="s">
        <v>360</v>
      </c>
      <c r="T3" s="781" t="s">
        <v>361</v>
      </c>
      <c r="U3" s="1575" t="s">
        <v>942</v>
      </c>
      <c r="V3" s="1625"/>
      <c r="W3" s="946" t="s">
        <v>204</v>
      </c>
      <c r="X3" s="946" t="s">
        <v>267</v>
      </c>
      <c r="Y3" s="946" t="s">
        <v>494</v>
      </c>
      <c r="Z3" s="946" t="s">
        <v>495</v>
      </c>
      <c r="AA3" s="947" t="s">
        <v>496</v>
      </c>
      <c r="AB3" s="947" t="s">
        <v>497</v>
      </c>
      <c r="AC3" s="947" t="s">
        <v>47</v>
      </c>
      <c r="AD3" s="947" t="s">
        <v>46</v>
      </c>
      <c r="AE3" s="946" t="s">
        <v>206</v>
      </c>
      <c r="AH3" s="1580" t="s">
        <v>357</v>
      </c>
      <c r="AI3" s="1580" t="s">
        <v>947</v>
      </c>
      <c r="AJ3" s="1580" t="s">
        <v>357</v>
      </c>
      <c r="AK3" s="1580" t="s">
        <v>947</v>
      </c>
    </row>
    <row r="4" spans="2:37" x14ac:dyDescent="0.35">
      <c r="B4" s="771" t="str">
        <f>$B$3&amp;C4&amp;D4</f>
        <v>IndiaVoiceL1</v>
      </c>
      <c r="C4" s="787" t="s">
        <v>266</v>
      </c>
      <c r="D4" s="788" t="s">
        <v>321</v>
      </c>
      <c r="E4" s="789" t="s">
        <v>367</v>
      </c>
      <c r="F4" s="948">
        <f>SUMPRODUCT(H4:I4,J4:K4)+U4</f>
        <v>309500</v>
      </c>
      <c r="G4" s="949">
        <f>F4/12</f>
        <v>25791.666666666668</v>
      </c>
      <c r="H4" s="948">
        <f>IF($B$2="T1",AH4,AJ4)</f>
        <v>305000</v>
      </c>
      <c r="I4" s="948">
        <f>IF($B$2="T1",AI4,AK4)</f>
        <v>320000</v>
      </c>
      <c r="J4" s="792">
        <v>0.7</v>
      </c>
      <c r="K4" s="793">
        <f>1-J4</f>
        <v>0.30000000000000004</v>
      </c>
      <c r="M4" s="948">
        <f>SUMPRODUCT(P4:Q4,S4:T4)</f>
        <v>12000</v>
      </c>
      <c r="N4" s="948">
        <v>850</v>
      </c>
      <c r="P4" s="956">
        <v>12000</v>
      </c>
      <c r="Q4" s="956">
        <v>5000</v>
      </c>
      <c r="S4" s="1572">
        <v>1</v>
      </c>
      <c r="T4" s="1572">
        <v>0</v>
      </c>
      <c r="U4" s="948"/>
      <c r="V4" s="950" t="s">
        <v>502</v>
      </c>
      <c r="W4" s="951">
        <v>750000</v>
      </c>
      <c r="X4" s="952">
        <f>(W4*45%)+W4</f>
        <v>1087500</v>
      </c>
      <c r="Y4" s="952">
        <v>1700000</v>
      </c>
      <c r="Z4" s="952">
        <v>2200000</v>
      </c>
      <c r="AA4" s="952">
        <v>3050000</v>
      </c>
      <c r="AB4" s="952">
        <v>3800000</v>
      </c>
      <c r="AC4" s="951">
        <v>750000</v>
      </c>
      <c r="AD4" s="952">
        <v>900000</v>
      </c>
      <c r="AE4" s="951">
        <v>750000</v>
      </c>
      <c r="AH4" s="1582">
        <v>305000</v>
      </c>
      <c r="AI4" s="1582">
        <v>320000</v>
      </c>
      <c r="AJ4" s="1582">
        <v>295000</v>
      </c>
      <c r="AK4" s="1582">
        <v>310000</v>
      </c>
    </row>
    <row r="5" spans="2:37" s="805" customFormat="1" x14ac:dyDescent="0.35">
      <c r="B5" s="771" t="str">
        <f t="shared" ref="B5:B14" si="0">$B$3&amp;C5&amp;D5</f>
        <v>IndiaVoiceL2</v>
      </c>
      <c r="C5" s="787" t="s">
        <v>266</v>
      </c>
      <c r="D5" s="788" t="s">
        <v>322</v>
      </c>
      <c r="E5" s="789" t="s">
        <v>368</v>
      </c>
      <c r="F5" s="948">
        <f t="shared" ref="F5:F14" si="1">SUMPRODUCT(H5:I5,J5:K5)+U5</f>
        <v>340000</v>
      </c>
      <c r="G5" s="949">
        <f t="shared" ref="G5:G14" si="2">F5/12</f>
        <v>28333.333333333332</v>
      </c>
      <c r="H5" s="948">
        <f t="shared" ref="H5:H14" si="3">IF($B$2="T1",AH5,AJ5)</f>
        <v>330000</v>
      </c>
      <c r="I5" s="948">
        <f t="shared" ref="I5:I14" si="4">IF($B$2="T1",AI5,AK5)</f>
        <v>350000</v>
      </c>
      <c r="J5" s="792">
        <v>0.5</v>
      </c>
      <c r="K5" s="793">
        <f t="shared" ref="K5:K14" si="5">1-J5</f>
        <v>0.5</v>
      </c>
      <c r="L5" s="771"/>
      <c r="M5" s="948">
        <f t="shared" ref="M5:M14" si="6">SUMPRODUCT(P5:Q5,S5:T5)</f>
        <v>12000</v>
      </c>
      <c r="N5" s="948">
        <v>850</v>
      </c>
      <c r="P5" s="956">
        <v>12000</v>
      </c>
      <c r="Q5" s="956">
        <v>5000</v>
      </c>
      <c r="R5" s="771"/>
      <c r="S5" s="1572">
        <v>1</v>
      </c>
      <c r="T5" s="1572">
        <v>0</v>
      </c>
      <c r="U5" s="948"/>
      <c r="V5" s="950" t="s">
        <v>503</v>
      </c>
      <c r="W5" s="951">
        <v>750000</v>
      </c>
      <c r="X5" s="952">
        <f t="shared" ref="X5:X11" si="7">(W5*45%)+W5</f>
        <v>1087500</v>
      </c>
      <c r="Y5" s="952">
        <v>1800000</v>
      </c>
      <c r="Z5" s="952">
        <v>2400000</v>
      </c>
      <c r="AA5" s="952">
        <v>3300000</v>
      </c>
      <c r="AB5" s="952">
        <v>3800000</v>
      </c>
      <c r="AC5" s="951">
        <v>750000</v>
      </c>
      <c r="AD5" s="952">
        <v>900000</v>
      </c>
      <c r="AE5" s="951">
        <v>750000</v>
      </c>
      <c r="AH5" s="1582">
        <v>330000</v>
      </c>
      <c r="AI5" s="1582">
        <v>350000</v>
      </c>
      <c r="AJ5" s="1582">
        <v>295000</v>
      </c>
      <c r="AK5" s="1582">
        <v>325000</v>
      </c>
    </row>
    <row r="6" spans="2:37" s="805" customFormat="1" x14ac:dyDescent="0.35">
      <c r="B6" s="771" t="str">
        <f t="shared" si="0"/>
        <v>IndiaVoiceL3</v>
      </c>
      <c r="C6" s="787" t="s">
        <v>266</v>
      </c>
      <c r="D6" s="788" t="s">
        <v>323</v>
      </c>
      <c r="E6" s="789" t="s">
        <v>504</v>
      </c>
      <c r="F6" s="948">
        <f t="shared" si="1"/>
        <v>402500</v>
      </c>
      <c r="G6" s="949">
        <f t="shared" si="2"/>
        <v>33541.666666666664</v>
      </c>
      <c r="H6" s="948">
        <f t="shared" si="3"/>
        <v>330000</v>
      </c>
      <c r="I6" s="948">
        <f t="shared" si="4"/>
        <v>475000</v>
      </c>
      <c r="J6" s="792">
        <v>0.5</v>
      </c>
      <c r="K6" s="793">
        <f t="shared" si="5"/>
        <v>0.5</v>
      </c>
      <c r="L6" s="771"/>
      <c r="M6" s="948">
        <f t="shared" si="6"/>
        <v>18000</v>
      </c>
      <c r="N6" s="948">
        <v>850</v>
      </c>
      <c r="P6" s="956">
        <v>18000</v>
      </c>
      <c r="Q6" s="956">
        <v>5000</v>
      </c>
      <c r="R6" s="771"/>
      <c r="S6" s="1572">
        <v>1</v>
      </c>
      <c r="T6" s="1572">
        <v>0</v>
      </c>
      <c r="U6" s="948"/>
      <c r="V6" s="950" t="s">
        <v>505</v>
      </c>
      <c r="W6" s="951">
        <v>750000</v>
      </c>
      <c r="X6" s="952">
        <f t="shared" si="7"/>
        <v>1087500</v>
      </c>
      <c r="Y6" s="952">
        <v>1800000</v>
      </c>
      <c r="Z6" s="952">
        <v>2400000</v>
      </c>
      <c r="AA6" s="952">
        <v>3300000</v>
      </c>
      <c r="AB6" s="952">
        <v>3800000</v>
      </c>
      <c r="AC6" s="951">
        <v>750000</v>
      </c>
      <c r="AD6" s="952">
        <v>900000</v>
      </c>
      <c r="AE6" s="951">
        <v>750000</v>
      </c>
      <c r="AH6" s="1582">
        <v>330000</v>
      </c>
      <c r="AI6" s="1582">
        <v>475000</v>
      </c>
      <c r="AJ6" s="1582">
        <v>300000</v>
      </c>
      <c r="AK6" s="1582">
        <v>460000</v>
      </c>
    </row>
    <row r="7" spans="2:37" s="805" customFormat="1" x14ac:dyDescent="0.35">
      <c r="B7" s="771" t="str">
        <f t="shared" si="0"/>
        <v>IndiaVoiceL4</v>
      </c>
      <c r="C7" s="787" t="s">
        <v>266</v>
      </c>
      <c r="D7" s="788" t="s">
        <v>324</v>
      </c>
      <c r="E7" s="789" t="s">
        <v>506</v>
      </c>
      <c r="F7" s="948">
        <f t="shared" si="1"/>
        <v>518400</v>
      </c>
      <c r="G7" s="949">
        <f t="shared" si="2"/>
        <v>43200</v>
      </c>
      <c r="H7" s="948">
        <f t="shared" si="3"/>
        <v>360000</v>
      </c>
      <c r="I7" s="948">
        <f t="shared" si="4"/>
        <v>558000</v>
      </c>
      <c r="J7" s="792">
        <v>0.2</v>
      </c>
      <c r="K7" s="793">
        <f t="shared" si="5"/>
        <v>0.8</v>
      </c>
      <c r="L7" s="771"/>
      <c r="M7" s="948">
        <f t="shared" si="6"/>
        <v>20000</v>
      </c>
      <c r="N7" s="948">
        <v>850</v>
      </c>
      <c r="P7" s="956">
        <v>20000</v>
      </c>
      <c r="Q7" s="956">
        <v>5000</v>
      </c>
      <c r="R7" s="771"/>
      <c r="S7" s="1572">
        <v>1</v>
      </c>
      <c r="T7" s="1572">
        <v>0</v>
      </c>
      <c r="U7" s="948"/>
      <c r="V7" s="953" t="s">
        <v>507</v>
      </c>
      <c r="W7" s="951">
        <v>750000</v>
      </c>
      <c r="X7" s="952">
        <f t="shared" si="7"/>
        <v>1087500</v>
      </c>
      <c r="Y7" s="952">
        <v>1700000</v>
      </c>
      <c r="Z7" s="952">
        <v>2700000</v>
      </c>
      <c r="AA7" s="952">
        <v>3050000</v>
      </c>
      <c r="AB7" s="952">
        <v>3800000</v>
      </c>
      <c r="AC7" s="951">
        <v>750000</v>
      </c>
      <c r="AD7" s="952">
        <v>900000</v>
      </c>
      <c r="AE7" s="951">
        <v>750000</v>
      </c>
      <c r="AH7" s="1582">
        <v>360000</v>
      </c>
      <c r="AI7" s="1582">
        <v>558000</v>
      </c>
      <c r="AJ7" s="1582">
        <v>360000</v>
      </c>
      <c r="AK7" s="1582">
        <v>558000</v>
      </c>
    </row>
    <row r="8" spans="2:37" s="805" customFormat="1" x14ac:dyDescent="0.35">
      <c r="B8" s="771" t="str">
        <f t="shared" si="0"/>
        <v>IndiaNon-voiceL1</v>
      </c>
      <c r="C8" s="787" t="s">
        <v>325</v>
      </c>
      <c r="D8" s="788" t="s">
        <v>321</v>
      </c>
      <c r="E8" s="789" t="s">
        <v>339</v>
      </c>
      <c r="F8" s="948">
        <f t="shared" si="1"/>
        <v>312500</v>
      </c>
      <c r="G8" s="949">
        <f t="shared" si="2"/>
        <v>26041.666666666668</v>
      </c>
      <c r="H8" s="948">
        <f t="shared" si="3"/>
        <v>305000</v>
      </c>
      <c r="I8" s="948">
        <f t="shared" si="4"/>
        <v>320000</v>
      </c>
      <c r="J8" s="792">
        <v>0.5</v>
      </c>
      <c r="K8" s="793">
        <f t="shared" si="5"/>
        <v>0.5</v>
      </c>
      <c r="L8" s="771"/>
      <c r="M8" s="948">
        <f t="shared" si="6"/>
        <v>13000</v>
      </c>
      <c r="N8" s="948">
        <v>850</v>
      </c>
      <c r="P8" s="956">
        <v>13000</v>
      </c>
      <c r="Q8" s="956">
        <v>5000</v>
      </c>
      <c r="R8" s="771"/>
      <c r="S8" s="1572">
        <v>1</v>
      </c>
      <c r="T8" s="1572">
        <v>0</v>
      </c>
      <c r="U8" s="948"/>
      <c r="V8" s="953" t="s">
        <v>508</v>
      </c>
      <c r="W8" s="952">
        <v>750000</v>
      </c>
      <c r="X8" s="952">
        <f t="shared" si="7"/>
        <v>1087500</v>
      </c>
      <c r="Y8" s="952">
        <v>1430000</v>
      </c>
      <c r="Z8" s="952">
        <v>3000000</v>
      </c>
      <c r="AA8" s="952">
        <v>3050000</v>
      </c>
      <c r="AB8" s="952">
        <v>3800000</v>
      </c>
      <c r="AC8" s="952">
        <v>750000</v>
      </c>
      <c r="AD8" s="952">
        <v>750000</v>
      </c>
      <c r="AE8" s="952">
        <v>750000</v>
      </c>
      <c r="AH8" s="1582">
        <v>305000</v>
      </c>
      <c r="AI8" s="1582">
        <v>320000</v>
      </c>
      <c r="AJ8" s="1582">
        <v>295000</v>
      </c>
      <c r="AK8" s="1582">
        <v>310000</v>
      </c>
    </row>
    <row r="9" spans="2:37" s="805" customFormat="1" x14ac:dyDescent="0.35">
      <c r="B9" s="771" t="str">
        <f t="shared" si="0"/>
        <v>IndiaNon-voiceL2</v>
      </c>
      <c r="C9" s="787" t="s">
        <v>325</v>
      </c>
      <c r="D9" s="788" t="s">
        <v>322</v>
      </c>
      <c r="E9" s="789" t="s">
        <v>417</v>
      </c>
      <c r="F9" s="948">
        <f t="shared" si="1"/>
        <v>340000</v>
      </c>
      <c r="G9" s="949">
        <f t="shared" si="2"/>
        <v>28333.333333333332</v>
      </c>
      <c r="H9" s="948">
        <f t="shared" si="3"/>
        <v>330000</v>
      </c>
      <c r="I9" s="948">
        <f t="shared" si="4"/>
        <v>350000</v>
      </c>
      <c r="J9" s="792">
        <v>0.5</v>
      </c>
      <c r="K9" s="793">
        <f t="shared" si="5"/>
        <v>0.5</v>
      </c>
      <c r="L9" s="771"/>
      <c r="M9" s="948">
        <f t="shared" si="6"/>
        <v>13000</v>
      </c>
      <c r="N9" s="948">
        <v>850</v>
      </c>
      <c r="P9" s="956">
        <v>13000</v>
      </c>
      <c r="Q9" s="956">
        <v>5000</v>
      </c>
      <c r="R9" s="771"/>
      <c r="S9" s="1572">
        <v>1</v>
      </c>
      <c r="T9" s="1572">
        <v>0</v>
      </c>
      <c r="U9" s="948"/>
      <c r="V9" s="950" t="s">
        <v>509</v>
      </c>
      <c r="W9" s="952">
        <v>700000</v>
      </c>
      <c r="X9" s="952">
        <f t="shared" si="7"/>
        <v>1015000</v>
      </c>
      <c r="Y9" s="952">
        <v>1480000</v>
      </c>
      <c r="Z9" s="952">
        <v>3000000</v>
      </c>
      <c r="AA9" s="952">
        <v>3050000</v>
      </c>
      <c r="AB9" s="952">
        <v>3800000</v>
      </c>
      <c r="AC9" s="952">
        <v>700000</v>
      </c>
      <c r="AD9" s="952">
        <v>700000</v>
      </c>
      <c r="AE9" s="952">
        <v>700000</v>
      </c>
      <c r="AH9" s="1582">
        <v>330000</v>
      </c>
      <c r="AI9" s="1582">
        <v>350000</v>
      </c>
      <c r="AJ9" s="1582">
        <v>295000</v>
      </c>
      <c r="AK9" s="1582">
        <v>325000</v>
      </c>
    </row>
    <row r="10" spans="2:37" s="805" customFormat="1" x14ac:dyDescent="0.35">
      <c r="B10" s="771" t="str">
        <f t="shared" si="0"/>
        <v>IndiaBackofficeL1</v>
      </c>
      <c r="C10" s="787" t="s">
        <v>326</v>
      </c>
      <c r="D10" s="788" t="s">
        <v>321</v>
      </c>
      <c r="E10" s="789" t="s">
        <v>510</v>
      </c>
      <c r="F10" s="948">
        <f t="shared" si="1"/>
        <v>309500</v>
      </c>
      <c r="G10" s="949">
        <f t="shared" si="2"/>
        <v>25791.666666666668</v>
      </c>
      <c r="H10" s="948">
        <f t="shared" si="3"/>
        <v>305000</v>
      </c>
      <c r="I10" s="948">
        <f t="shared" si="4"/>
        <v>320000</v>
      </c>
      <c r="J10" s="792">
        <v>0.7</v>
      </c>
      <c r="K10" s="793">
        <f t="shared" si="5"/>
        <v>0.30000000000000004</v>
      </c>
      <c r="L10" s="771"/>
      <c r="M10" s="948">
        <f t="shared" si="6"/>
        <v>6000</v>
      </c>
      <c r="N10" s="948">
        <v>850</v>
      </c>
      <c r="P10" s="956">
        <v>6000</v>
      </c>
      <c r="Q10" s="956">
        <v>5000</v>
      </c>
      <c r="R10" s="771"/>
      <c r="S10" s="1572">
        <v>1</v>
      </c>
      <c r="T10" s="1572">
        <v>0</v>
      </c>
      <c r="U10" s="948"/>
      <c r="V10" s="950" t="s">
        <v>511</v>
      </c>
      <c r="W10" s="952">
        <v>725000</v>
      </c>
      <c r="X10" s="952">
        <f t="shared" si="7"/>
        <v>1051250</v>
      </c>
      <c r="Y10" s="952">
        <v>1480000</v>
      </c>
      <c r="Z10" s="952">
        <v>3000000</v>
      </c>
      <c r="AA10" s="952">
        <v>3050000</v>
      </c>
      <c r="AB10" s="952">
        <v>3800000</v>
      </c>
      <c r="AC10" s="952">
        <v>725000</v>
      </c>
      <c r="AD10" s="952">
        <v>725000</v>
      </c>
      <c r="AE10" s="952">
        <v>725000</v>
      </c>
      <c r="AH10" s="1582">
        <v>305000</v>
      </c>
      <c r="AI10" s="1582">
        <v>320000</v>
      </c>
      <c r="AJ10" s="1582">
        <v>295000</v>
      </c>
      <c r="AK10" s="1582">
        <v>310000</v>
      </c>
    </row>
    <row r="11" spans="2:37" s="805" customFormat="1" x14ac:dyDescent="0.35">
      <c r="B11" s="771" t="str">
        <f t="shared" si="0"/>
        <v>IndiaBackofficeL2</v>
      </c>
      <c r="C11" s="787" t="s">
        <v>326</v>
      </c>
      <c r="D11" s="788" t="s">
        <v>322</v>
      </c>
      <c r="E11" s="789" t="s">
        <v>512</v>
      </c>
      <c r="F11" s="948">
        <f t="shared" si="1"/>
        <v>336000</v>
      </c>
      <c r="G11" s="949">
        <f t="shared" si="2"/>
        <v>28000</v>
      </c>
      <c r="H11" s="948">
        <f t="shared" si="3"/>
        <v>330000</v>
      </c>
      <c r="I11" s="948">
        <f t="shared" si="4"/>
        <v>350000</v>
      </c>
      <c r="J11" s="792">
        <v>0.7</v>
      </c>
      <c r="K11" s="793">
        <f t="shared" si="5"/>
        <v>0.30000000000000004</v>
      </c>
      <c r="L11" s="771"/>
      <c r="M11" s="948">
        <f t="shared" si="6"/>
        <v>9000</v>
      </c>
      <c r="N11" s="948">
        <v>850</v>
      </c>
      <c r="P11" s="956">
        <v>9000</v>
      </c>
      <c r="Q11" s="956">
        <v>5000</v>
      </c>
      <c r="R11" s="771"/>
      <c r="S11" s="1572">
        <v>1</v>
      </c>
      <c r="T11" s="1572">
        <v>0</v>
      </c>
      <c r="U11" s="948"/>
      <c r="V11" s="950" t="s">
        <v>513</v>
      </c>
      <c r="W11" s="952">
        <v>700000</v>
      </c>
      <c r="X11" s="952">
        <f t="shared" si="7"/>
        <v>1015000</v>
      </c>
      <c r="Y11" s="952">
        <v>1480000</v>
      </c>
      <c r="Z11" s="952">
        <v>3000000</v>
      </c>
      <c r="AA11" s="952">
        <v>3050000</v>
      </c>
      <c r="AB11" s="952">
        <v>3800000</v>
      </c>
      <c r="AC11" s="952">
        <v>700000</v>
      </c>
      <c r="AD11" s="952">
        <v>700000</v>
      </c>
      <c r="AE11" s="952">
        <v>700000</v>
      </c>
      <c r="AH11" s="1582">
        <v>330000</v>
      </c>
      <c r="AI11" s="1582">
        <v>350000</v>
      </c>
      <c r="AJ11" s="1582">
        <v>295000</v>
      </c>
      <c r="AK11" s="1582">
        <v>325000</v>
      </c>
    </row>
    <row r="12" spans="2:37" x14ac:dyDescent="0.35">
      <c r="B12" s="771" t="str">
        <f t="shared" si="0"/>
        <v>IndiaBackofficeL3</v>
      </c>
      <c r="C12" s="787" t="s">
        <v>326</v>
      </c>
      <c r="D12" s="788" t="s">
        <v>323</v>
      </c>
      <c r="E12" s="789" t="s">
        <v>342</v>
      </c>
      <c r="F12" s="948">
        <f t="shared" si="1"/>
        <v>355000</v>
      </c>
      <c r="G12" s="949">
        <f t="shared" si="2"/>
        <v>29583.333333333332</v>
      </c>
      <c r="H12" s="948">
        <f t="shared" si="3"/>
        <v>330000</v>
      </c>
      <c r="I12" s="948">
        <f t="shared" si="4"/>
        <v>380000</v>
      </c>
      <c r="J12" s="792">
        <v>0.5</v>
      </c>
      <c r="K12" s="793">
        <f t="shared" si="5"/>
        <v>0.5</v>
      </c>
      <c r="M12" s="948">
        <f t="shared" si="6"/>
        <v>10000</v>
      </c>
      <c r="N12" s="948">
        <v>850</v>
      </c>
      <c r="P12" s="956">
        <v>10000</v>
      </c>
      <c r="Q12" s="956">
        <v>5000</v>
      </c>
      <c r="S12" s="1572">
        <v>1</v>
      </c>
      <c r="T12" s="1572">
        <v>0</v>
      </c>
      <c r="U12" s="948"/>
      <c r="V12" s="954" t="s">
        <v>514</v>
      </c>
      <c r="W12" s="955">
        <f t="shared" ref="W12:AE12" si="8">MAX(W4:W11)</f>
        <v>750000</v>
      </c>
      <c r="X12" s="955">
        <f t="shared" si="8"/>
        <v>1087500</v>
      </c>
      <c r="Y12" s="955">
        <f t="shared" si="8"/>
        <v>1800000</v>
      </c>
      <c r="Z12" s="955">
        <f t="shared" si="8"/>
        <v>3000000</v>
      </c>
      <c r="AA12" s="955">
        <f t="shared" si="8"/>
        <v>3300000</v>
      </c>
      <c r="AB12" s="955">
        <f t="shared" si="8"/>
        <v>3800000</v>
      </c>
      <c r="AC12" s="955">
        <f t="shared" si="8"/>
        <v>750000</v>
      </c>
      <c r="AD12" s="955">
        <f t="shared" si="8"/>
        <v>900000</v>
      </c>
      <c r="AE12" s="955">
        <f t="shared" si="8"/>
        <v>750000</v>
      </c>
      <c r="AH12" s="1582">
        <v>330000</v>
      </c>
      <c r="AI12" s="1582">
        <v>380000</v>
      </c>
      <c r="AJ12" s="1582">
        <v>295000</v>
      </c>
      <c r="AK12" s="1582">
        <v>380000</v>
      </c>
    </row>
    <row r="13" spans="2:37" x14ac:dyDescent="0.35">
      <c r="B13" s="771" t="str">
        <f t="shared" si="0"/>
        <v>IndiaBackofficeL4</v>
      </c>
      <c r="C13" s="787" t="s">
        <v>326</v>
      </c>
      <c r="D13" s="788" t="s">
        <v>324</v>
      </c>
      <c r="E13" s="789" t="s">
        <v>515</v>
      </c>
      <c r="F13" s="948">
        <f t="shared" si="1"/>
        <v>420000</v>
      </c>
      <c r="G13" s="949">
        <f t="shared" si="2"/>
        <v>35000</v>
      </c>
      <c r="H13" s="948">
        <f t="shared" si="3"/>
        <v>330000</v>
      </c>
      <c r="I13" s="948">
        <f t="shared" si="4"/>
        <v>510000</v>
      </c>
      <c r="J13" s="792">
        <v>0.5</v>
      </c>
      <c r="K13" s="793">
        <f t="shared" si="5"/>
        <v>0.5</v>
      </c>
      <c r="M13" s="948">
        <f t="shared" si="6"/>
        <v>15000</v>
      </c>
      <c r="N13" s="948">
        <v>850</v>
      </c>
      <c r="P13" s="956">
        <v>15000</v>
      </c>
      <c r="Q13" s="956">
        <v>5000</v>
      </c>
      <c r="S13" s="1572">
        <v>1</v>
      </c>
      <c r="T13" s="1572">
        <v>0</v>
      </c>
      <c r="U13" s="948"/>
      <c r="V13"/>
      <c r="W13" s="939"/>
      <c r="X13" s="939"/>
      <c r="Y13" s="939"/>
      <c r="Z13" s="939"/>
      <c r="AA13" s="939"/>
      <c r="AB13" s="939"/>
      <c r="AC13" s="939"/>
      <c r="AD13" s="939"/>
      <c r="AE13" s="939"/>
      <c r="AH13" s="1582">
        <v>330000</v>
      </c>
      <c r="AI13" s="1582">
        <v>510000</v>
      </c>
      <c r="AJ13" s="1582">
        <v>295000</v>
      </c>
      <c r="AK13" s="1582">
        <v>510000</v>
      </c>
    </row>
    <row r="14" spans="2:37" x14ac:dyDescent="0.35">
      <c r="B14" s="771" t="str">
        <f t="shared" si="0"/>
        <v>IndiaBackofficeL5</v>
      </c>
      <c r="C14" s="787" t="s">
        <v>326</v>
      </c>
      <c r="D14" s="788" t="s">
        <v>327</v>
      </c>
      <c r="E14" s="789" t="s">
        <v>344</v>
      </c>
      <c r="F14" s="948">
        <f t="shared" si="1"/>
        <v>700000</v>
      </c>
      <c r="G14" s="949">
        <f t="shared" si="2"/>
        <v>58333.333333333336</v>
      </c>
      <c r="H14" s="948">
        <f t="shared" si="3"/>
        <v>500000</v>
      </c>
      <c r="I14" s="948">
        <f t="shared" si="4"/>
        <v>750000</v>
      </c>
      <c r="J14" s="792">
        <v>0.2</v>
      </c>
      <c r="K14" s="793">
        <f t="shared" si="5"/>
        <v>0.8</v>
      </c>
      <c r="M14" s="948">
        <f t="shared" si="6"/>
        <v>18000</v>
      </c>
      <c r="N14" s="948">
        <v>850</v>
      </c>
      <c r="P14" s="956">
        <v>18000</v>
      </c>
      <c r="Q14" s="956">
        <v>5000</v>
      </c>
      <c r="S14" s="1572">
        <v>1</v>
      </c>
      <c r="T14" s="1572">
        <v>0</v>
      </c>
      <c r="U14" s="948"/>
      <c r="AH14" s="1582">
        <v>500000</v>
      </c>
      <c r="AI14" s="1582">
        <v>750000</v>
      </c>
      <c r="AJ14" s="1582">
        <v>500000</v>
      </c>
      <c r="AK14" s="1582">
        <v>750000</v>
      </c>
    </row>
    <row r="15" spans="2:37" x14ac:dyDescent="0.35">
      <c r="F15" s="872"/>
      <c r="W15" s="874"/>
      <c r="X15" s="874"/>
      <c r="Y15" s="874"/>
      <c r="Z15" s="874"/>
      <c r="AA15" s="874"/>
      <c r="AB15" s="874"/>
      <c r="AC15" s="874"/>
      <c r="AD15" s="874"/>
      <c r="AE15" s="874"/>
    </row>
    <row r="16" spans="2:37" ht="43.5" x14ac:dyDescent="0.35">
      <c r="D16" s="819" t="s">
        <v>265</v>
      </c>
      <c r="E16" s="775"/>
      <c r="F16" s="775" t="s">
        <v>423</v>
      </c>
      <c r="G16" s="775" t="s">
        <v>516</v>
      </c>
      <c r="I16" s="1575" t="s">
        <v>942</v>
      </c>
      <c r="M16" s="820" t="s">
        <v>370</v>
      </c>
      <c r="N16" s="820" t="s">
        <v>328</v>
      </c>
      <c r="P16" s="775" t="s">
        <v>423</v>
      </c>
      <c r="Q16" s="775" t="s">
        <v>516</v>
      </c>
    </row>
    <row r="17" spans="4:17" x14ac:dyDescent="0.35">
      <c r="D17" s="788" t="s">
        <v>204</v>
      </c>
      <c r="E17" s="789"/>
      <c r="F17" s="948">
        <f>SUM($I$17,P17)</f>
        <v>750000</v>
      </c>
      <c r="G17" s="948">
        <f>SUM($I$17,Q17)</f>
        <v>900000</v>
      </c>
      <c r="I17" s="948"/>
      <c r="M17" s="794">
        <v>0.06</v>
      </c>
      <c r="N17" s="948">
        <v>850</v>
      </c>
      <c r="P17" s="956">
        <v>750000</v>
      </c>
      <c r="Q17" s="956">
        <v>900000</v>
      </c>
    </row>
    <row r="18" spans="4:17" x14ac:dyDescent="0.35">
      <c r="D18" s="788" t="s">
        <v>267</v>
      </c>
      <c r="E18" s="789"/>
      <c r="F18" s="948">
        <f t="shared" ref="F18:F32" si="9">SUM($I$17,P18)</f>
        <v>1120000</v>
      </c>
      <c r="G18" s="948">
        <f t="shared" ref="G18:G32" si="10">SUM($I$17,Q18)</f>
        <v>1120000</v>
      </c>
      <c r="P18" s="956">
        <v>1120000</v>
      </c>
      <c r="Q18" s="956">
        <f>P18</f>
        <v>1120000</v>
      </c>
    </row>
    <row r="19" spans="4:17" x14ac:dyDescent="0.35">
      <c r="D19" s="788" t="s">
        <v>205</v>
      </c>
      <c r="E19" s="789"/>
      <c r="F19" s="948">
        <f t="shared" si="9"/>
        <v>1800000</v>
      </c>
      <c r="G19" s="948">
        <f t="shared" si="10"/>
        <v>1800000</v>
      </c>
      <c r="H19" s="957"/>
      <c r="P19" s="956">
        <v>1800000</v>
      </c>
      <c r="Q19" s="956">
        <f t="shared" ref="Q19:Q29" si="11">P19</f>
        <v>1800000</v>
      </c>
    </row>
    <row r="20" spans="4:17" x14ac:dyDescent="0.35">
      <c r="D20" s="788" t="s">
        <v>250</v>
      </c>
      <c r="E20" s="789"/>
      <c r="F20" s="948">
        <f t="shared" si="9"/>
        <v>3000000</v>
      </c>
      <c r="G20" s="948">
        <f t="shared" si="10"/>
        <v>3000000</v>
      </c>
      <c r="P20" s="956">
        <v>3000000</v>
      </c>
      <c r="Q20" s="956">
        <f t="shared" si="11"/>
        <v>3000000</v>
      </c>
    </row>
    <row r="21" spans="4:17" x14ac:dyDescent="0.35">
      <c r="D21" s="788" t="s">
        <v>371</v>
      </c>
      <c r="E21" s="789"/>
      <c r="F21" s="948">
        <f t="shared" si="9"/>
        <v>3395000</v>
      </c>
      <c r="G21" s="948">
        <f t="shared" si="10"/>
        <v>3395000</v>
      </c>
      <c r="P21" s="956">
        <v>3395000</v>
      </c>
      <c r="Q21" s="956">
        <f t="shared" si="11"/>
        <v>3395000</v>
      </c>
    </row>
    <row r="22" spans="4:17" x14ac:dyDescent="0.35">
      <c r="D22" s="788" t="s">
        <v>372</v>
      </c>
      <c r="E22" s="789"/>
      <c r="F22" s="948">
        <f t="shared" si="9"/>
        <v>3915000</v>
      </c>
      <c r="G22" s="948">
        <f t="shared" si="10"/>
        <v>3915000</v>
      </c>
      <c r="P22" s="956">
        <v>3915000</v>
      </c>
      <c r="Q22" s="956">
        <f t="shared" si="11"/>
        <v>3915000</v>
      </c>
    </row>
    <row r="23" spans="4:17" x14ac:dyDescent="0.35">
      <c r="D23" s="788" t="s">
        <v>373</v>
      </c>
      <c r="E23" s="789"/>
      <c r="F23" s="948">
        <f t="shared" si="9"/>
        <v>4541400</v>
      </c>
      <c r="G23" s="948">
        <f t="shared" si="10"/>
        <v>4541400</v>
      </c>
      <c r="P23" s="956">
        <f>P22*(1+16%)</f>
        <v>4541400</v>
      </c>
      <c r="Q23" s="956">
        <f t="shared" si="11"/>
        <v>4541400</v>
      </c>
    </row>
    <row r="24" spans="4:17" x14ac:dyDescent="0.35">
      <c r="D24" s="788" t="s">
        <v>374</v>
      </c>
      <c r="E24" s="789"/>
      <c r="F24" s="948">
        <f t="shared" si="9"/>
        <v>750000</v>
      </c>
      <c r="G24" s="948">
        <f t="shared" si="10"/>
        <v>900000</v>
      </c>
      <c r="P24" s="956">
        <v>750000</v>
      </c>
      <c r="Q24" s="956">
        <f>Q17</f>
        <v>900000</v>
      </c>
    </row>
    <row r="25" spans="4:17" x14ac:dyDescent="0.35">
      <c r="D25" s="788" t="s">
        <v>47</v>
      </c>
      <c r="E25" s="789"/>
      <c r="F25" s="948">
        <f t="shared" si="9"/>
        <v>750000</v>
      </c>
      <c r="G25" s="948">
        <f t="shared" si="10"/>
        <v>900000</v>
      </c>
      <c r="P25" s="956">
        <v>750000</v>
      </c>
      <c r="Q25" s="956">
        <f>Q17</f>
        <v>900000</v>
      </c>
    </row>
    <row r="26" spans="4:17" x14ac:dyDescent="0.35">
      <c r="D26" s="788" t="s">
        <v>46</v>
      </c>
      <c r="E26" s="789"/>
      <c r="F26" s="948">
        <f t="shared" si="9"/>
        <v>900000</v>
      </c>
      <c r="G26" s="948">
        <f t="shared" si="10"/>
        <v>900000</v>
      </c>
      <c r="P26" s="956">
        <v>900000</v>
      </c>
      <c r="Q26" s="956">
        <f t="shared" si="11"/>
        <v>900000</v>
      </c>
    </row>
    <row r="27" spans="4:17" x14ac:dyDescent="0.35">
      <c r="D27" s="788" t="s">
        <v>206</v>
      </c>
      <c r="E27" s="789"/>
      <c r="F27" s="948">
        <f t="shared" si="9"/>
        <v>750000</v>
      </c>
      <c r="G27" s="948">
        <f t="shared" si="10"/>
        <v>750000</v>
      </c>
      <c r="P27" s="956">
        <v>750000</v>
      </c>
      <c r="Q27" s="956">
        <f>P27</f>
        <v>750000</v>
      </c>
    </row>
    <row r="28" spans="4:17" x14ac:dyDescent="0.35">
      <c r="D28" s="788" t="s">
        <v>375</v>
      </c>
      <c r="E28" s="789"/>
      <c r="F28" s="948">
        <f t="shared" si="9"/>
        <v>2875000</v>
      </c>
      <c r="G28" s="948">
        <f t="shared" si="10"/>
        <v>2875000</v>
      </c>
      <c r="P28" s="956">
        <v>2875000</v>
      </c>
      <c r="Q28" s="956">
        <f t="shared" si="11"/>
        <v>2875000</v>
      </c>
    </row>
    <row r="29" spans="4:17" x14ac:dyDescent="0.35">
      <c r="D29" s="788" t="s">
        <v>376</v>
      </c>
      <c r="E29" s="789"/>
      <c r="F29" s="948">
        <f t="shared" si="9"/>
        <v>3000000</v>
      </c>
      <c r="G29" s="948">
        <f t="shared" si="10"/>
        <v>3000000</v>
      </c>
      <c r="P29" s="956">
        <v>3000000</v>
      </c>
      <c r="Q29" s="956">
        <f t="shared" si="11"/>
        <v>3000000</v>
      </c>
    </row>
    <row r="30" spans="4:17" x14ac:dyDescent="0.35">
      <c r="D30" s="788" t="s">
        <v>377</v>
      </c>
      <c r="E30" s="789"/>
      <c r="F30" s="948">
        <f t="shared" si="9"/>
        <v>0</v>
      </c>
      <c r="G30" s="948">
        <f t="shared" si="10"/>
        <v>0</v>
      </c>
      <c r="P30" s="956"/>
      <c r="Q30" s="956">
        <v>0</v>
      </c>
    </row>
    <row r="31" spans="4:17" x14ac:dyDescent="0.35">
      <c r="D31" s="788" t="s">
        <v>378</v>
      </c>
      <c r="E31" s="789"/>
      <c r="F31" s="948">
        <f t="shared" si="9"/>
        <v>0</v>
      </c>
      <c r="G31" s="948">
        <f t="shared" si="10"/>
        <v>0</v>
      </c>
      <c r="P31" s="956"/>
      <c r="Q31" s="956">
        <v>0</v>
      </c>
    </row>
    <row r="32" spans="4:17" x14ac:dyDescent="0.35">
      <c r="D32" s="788" t="s">
        <v>379</v>
      </c>
      <c r="E32" s="789"/>
      <c r="F32" s="948">
        <f t="shared" si="9"/>
        <v>0</v>
      </c>
      <c r="G32" s="948">
        <f t="shared" si="10"/>
        <v>0</v>
      </c>
      <c r="P32" s="956"/>
      <c r="Q32" s="956">
        <v>0</v>
      </c>
    </row>
  </sheetData>
  <mergeCells count="10">
    <mergeCell ref="AH2:AI2"/>
    <mergeCell ref="AJ2:AK2"/>
    <mergeCell ref="V2:V3"/>
    <mergeCell ref="W2:AE2"/>
    <mergeCell ref="C2:C3"/>
    <mergeCell ref="D2:D3"/>
    <mergeCell ref="E2:E3"/>
    <mergeCell ref="H2:I2"/>
    <mergeCell ref="J2:K2"/>
    <mergeCell ref="M2:N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C799C-9B2D-4FEE-9EEA-184B27B50B91}">
  <sheetPr codeName="Sheet36">
    <tabColor theme="4" tint="0.79998168889431442"/>
  </sheetPr>
  <dimension ref="B2:XCM44"/>
  <sheetViews>
    <sheetView showGridLines="0" topLeftCell="B1" zoomScale="80" zoomScaleNormal="80" workbookViewId="0">
      <pane xSplit="2" ySplit="4" topLeftCell="D32" activePane="bottomRight" state="frozen"/>
      <selection activeCell="B1" sqref="B1"/>
      <selection pane="topRight" activeCell="D1" sqref="D1"/>
      <selection pane="bottomLeft" activeCell="B5" sqref="B5"/>
      <selection pane="bottomRight" activeCell="G43" sqref="G43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/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v>965</v>
      </c>
      <c r="E6" s="1004">
        <f t="shared" ref="E6:E18" si="0">D6/36</f>
        <v>26.805555555555557</v>
      </c>
      <c r="F6" s="1002"/>
      <c r="G6" s="1002"/>
      <c r="H6" s="1002"/>
    </row>
    <row r="7" spans="2:8 16312:16315" x14ac:dyDescent="0.35">
      <c r="B7" s="1638"/>
      <c r="C7" s="1019" t="s">
        <v>532</v>
      </c>
      <c r="D7" s="1000"/>
      <c r="E7" s="1001"/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/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/>
      <c r="F9" s="1002"/>
      <c r="G9" s="1002"/>
      <c r="H9" s="1002"/>
    </row>
    <row r="10" spans="2:8 16312:16315" x14ac:dyDescent="0.35">
      <c r="B10" s="1638"/>
      <c r="C10" s="1019" t="s">
        <v>535</v>
      </c>
      <c r="D10" s="1000"/>
      <c r="E10" s="1001"/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>D11/36</f>
        <v>38.888888888888886</v>
      </c>
      <c r="F11" s="1002">
        <f>E11</f>
        <v>38.888888888888886</v>
      </c>
      <c r="G11" s="1002">
        <f>F11</f>
        <v>38.888888888888886</v>
      </c>
      <c r="H11" s="1002">
        <f>G11</f>
        <v>38.888888888888886</v>
      </c>
    </row>
    <row r="12" spans="2:8 16312:16315" x14ac:dyDescent="0.35">
      <c r="B12" s="1638"/>
      <c r="C12" s="1019" t="s">
        <v>537</v>
      </c>
      <c r="D12" s="1005">
        <v>1700</v>
      </c>
      <c r="E12" s="1001">
        <f>D12/36</f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/>
      <c r="E13" s="1001"/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</row>
    <row r="15" spans="2:8 16312:16315" x14ac:dyDescent="0.35">
      <c r="B15" s="1638"/>
      <c r="C15" s="1019" t="s">
        <v>540</v>
      </c>
      <c r="D15" s="1000">
        <v>24</v>
      </c>
      <c r="E15" s="1001">
        <f t="shared" si="0"/>
        <v>0.66666666666666663</v>
      </c>
      <c r="F15" s="1002">
        <f t="shared" si="1"/>
        <v>0.66666666666666663</v>
      </c>
      <c r="G15" s="1002">
        <f>E15</f>
        <v>0.66666666666666663</v>
      </c>
      <c r="H15" s="1002">
        <f>E15</f>
        <v>0.66666666666666663</v>
      </c>
    </row>
    <row r="16" spans="2:8 16312:16315" x14ac:dyDescent="0.35">
      <c r="B16" s="1639"/>
      <c r="C16" s="1019" t="s">
        <v>541</v>
      </c>
      <c r="D16" s="744">
        <f>2908/80</f>
        <v>36.35</v>
      </c>
      <c r="E16" s="1007">
        <f t="shared" si="0"/>
        <v>1.0097222222222222</v>
      </c>
      <c r="F16" s="1002">
        <f t="shared" si="1"/>
        <v>1.0097222222222222</v>
      </c>
      <c r="G16" s="1002">
        <f>E16</f>
        <v>1.0097222222222222</v>
      </c>
      <c r="H16" s="1002">
        <f>E16</f>
        <v>1.0097222222222222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>
        <f>E34</f>
        <v>2.65</v>
      </c>
      <c r="G34" s="1002">
        <f>E34</f>
        <v>2.65</v>
      </c>
      <c r="H34" s="1002">
        <f>E34</f>
        <v>2.65</v>
      </c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/>
      <c r="G38" s="1002"/>
      <c r="H38" s="1002"/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163.42166666666665</v>
      </c>
      <c r="F43" s="1015">
        <f>SUM(F5:F42)</f>
        <v>91.243055555555557</v>
      </c>
      <c r="G43" s="1015">
        <f>SUM(G5:G42)</f>
        <v>87.843055555555566</v>
      </c>
      <c r="H43" s="1015">
        <f>SUM(H5:H42)</f>
        <v>83.520833333333343</v>
      </c>
    </row>
    <row r="44" spans="2:8" s="1013" customFormat="1" x14ac:dyDescent="0.35">
      <c r="B44" s="1016"/>
      <c r="C44" s="1017"/>
      <c r="E44" s="1018"/>
    </row>
  </sheetData>
  <mergeCells count="12">
    <mergeCell ref="B34:B41"/>
    <mergeCell ref="B2:H2"/>
    <mergeCell ref="F3:H3"/>
    <mergeCell ref="E29:E32"/>
    <mergeCell ref="F29:F32"/>
    <mergeCell ref="G29:G32"/>
    <mergeCell ref="H29:H32"/>
    <mergeCell ref="B5:B16"/>
    <mergeCell ref="B17:B21"/>
    <mergeCell ref="B22:B24"/>
    <mergeCell ref="B25:B28"/>
    <mergeCell ref="B29:B32"/>
  </mergeCells>
  <dataValidations count="1">
    <dataValidation type="list" allowBlank="1" showInputMessage="1" showErrorMessage="1" sqref="F42:H42" xr:uid="{0F0BB8FD-DF00-498D-9995-85316EEC91CC}">
      <formula1>#REF!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81662-D384-4EC5-B849-221CB9627674}">
  <sheetPr codeName="Sheet3">
    <tabColor theme="4" tint="0.79998168889431442"/>
  </sheetPr>
  <dimension ref="B2:XCO44"/>
  <sheetViews>
    <sheetView showGridLines="0" topLeftCell="D35" workbookViewId="0">
      <selection activeCell="G43" sqref="G43:H43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0" width="16.7265625" style="990" hidden="1" customWidth="1"/>
    <col min="11" max="11" width="16.453125" style="990" bestFit="1" customWidth="1"/>
    <col min="12" max="16384" width="9.1796875" style="990"/>
  </cols>
  <sheetData>
    <row r="2" spans="2:11 16314:16317" ht="23.5" x14ac:dyDescent="0.35">
      <c r="B2" s="1629" t="s">
        <v>522</v>
      </c>
      <c r="C2" s="1629"/>
      <c r="D2" s="1629"/>
      <c r="E2" s="1629"/>
      <c r="F2" s="1629"/>
      <c r="G2" s="1629"/>
      <c r="H2" s="1629"/>
      <c r="I2" s="1629"/>
      <c r="J2" s="1629"/>
    </row>
    <row r="3" spans="2:11 16314:16317" x14ac:dyDescent="0.35">
      <c r="F3" s="1630"/>
      <c r="G3" s="1630"/>
      <c r="H3" s="1630"/>
      <c r="I3" s="1630"/>
    </row>
    <row r="4" spans="2:11 16314:16317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I4" s="996" t="s">
        <v>527</v>
      </c>
      <c r="J4" s="997" t="s">
        <v>528</v>
      </c>
      <c r="XCL4" s="998"/>
      <c r="XCM4" s="998"/>
      <c r="XCN4" s="998"/>
      <c r="XCO4" s="998"/>
    </row>
    <row r="5" spans="2:11 16314:16317" x14ac:dyDescent="0.35">
      <c r="B5" s="1637" t="s">
        <v>529</v>
      </c>
      <c r="C5" s="1019" t="s">
        <v>530</v>
      </c>
      <c r="D5" s="1000"/>
      <c r="E5" s="1001">
        <f t="shared" ref="E5:E18" si="0">D5/36</f>
        <v>0</v>
      </c>
      <c r="F5" s="1002"/>
      <c r="G5" s="1002"/>
      <c r="H5" s="1002"/>
      <c r="I5" s="1002"/>
      <c r="J5" s="1002"/>
    </row>
    <row r="6" spans="2:11 16314:16317" x14ac:dyDescent="0.35">
      <c r="B6" s="1638"/>
      <c r="C6" s="1020" t="s">
        <v>531</v>
      </c>
      <c r="D6" s="1003">
        <f>900+150</f>
        <v>1050</v>
      </c>
      <c r="E6" s="1004">
        <f t="shared" si="0"/>
        <v>29.166666666666668</v>
      </c>
      <c r="F6" s="1002">
        <f>E6</f>
        <v>29.166666666666668</v>
      </c>
      <c r="G6" s="1002">
        <f>E6</f>
        <v>29.166666666666668</v>
      </c>
      <c r="H6" s="1002">
        <f>E6</f>
        <v>29.166666666666668</v>
      </c>
      <c r="I6" s="1002"/>
      <c r="J6" s="1002"/>
      <c r="K6" s="1569"/>
    </row>
    <row r="7" spans="2:11 16314:16317" x14ac:dyDescent="0.35">
      <c r="B7" s="1638"/>
      <c r="C7" s="1019" t="s">
        <v>532</v>
      </c>
      <c r="D7" s="1000"/>
      <c r="E7" s="1001">
        <f t="shared" si="0"/>
        <v>0</v>
      </c>
      <c r="F7" s="1002"/>
      <c r="G7" s="1002"/>
      <c r="H7" s="1002"/>
      <c r="I7" s="1002"/>
      <c r="J7" s="1002"/>
    </row>
    <row r="8" spans="2:11 16314:16317" x14ac:dyDescent="0.35">
      <c r="B8" s="1638"/>
      <c r="C8" s="1019" t="s">
        <v>533</v>
      </c>
      <c r="D8" s="1000"/>
      <c r="E8" s="1001">
        <f t="shared" si="0"/>
        <v>0</v>
      </c>
      <c r="F8" s="1002"/>
      <c r="G8" s="1002"/>
      <c r="H8" s="1002"/>
      <c r="I8" s="1002"/>
      <c r="J8" s="1002"/>
    </row>
    <row r="9" spans="2:11 16314:16317" x14ac:dyDescent="0.35">
      <c r="B9" s="1638"/>
      <c r="C9" s="1019" t="s">
        <v>534</v>
      </c>
      <c r="D9" s="1000"/>
      <c r="E9" s="1001">
        <f t="shared" si="0"/>
        <v>0</v>
      </c>
      <c r="F9" s="1002"/>
      <c r="G9" s="1002"/>
      <c r="H9" s="1002"/>
      <c r="I9" s="1002"/>
      <c r="J9" s="1002"/>
    </row>
    <row r="10" spans="2:11 16314:16317" x14ac:dyDescent="0.35">
      <c r="B10" s="1638"/>
      <c r="C10" s="1019" t="s">
        <v>535</v>
      </c>
      <c r="D10" s="1000"/>
      <c r="E10" s="1001">
        <f t="shared" si="0"/>
        <v>0</v>
      </c>
      <c r="F10" s="1002"/>
      <c r="G10" s="1002"/>
      <c r="H10" s="1002"/>
      <c r="I10" s="1002"/>
      <c r="J10" s="1002"/>
    </row>
    <row r="11" spans="2:11 16314:16317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/>
      <c r="G11" s="1002"/>
      <c r="H11" s="1002"/>
      <c r="I11" s="1002"/>
      <c r="J11" s="1002"/>
    </row>
    <row r="12" spans="2:11 16314:16317" x14ac:dyDescent="0.35">
      <c r="B12" s="1638"/>
      <c r="C12" s="1019" t="s">
        <v>537</v>
      </c>
      <c r="D12" s="1000">
        <v>1600</v>
      </c>
      <c r="E12" s="1001">
        <f t="shared" si="0"/>
        <v>44.444444444444443</v>
      </c>
      <c r="F12" s="1002"/>
      <c r="G12" s="1002"/>
      <c r="H12" s="1002"/>
      <c r="I12" s="1002"/>
      <c r="J12" s="1002"/>
    </row>
    <row r="13" spans="2:11 16314:16317" ht="30" customHeight="1" x14ac:dyDescent="0.35">
      <c r="B13" s="1638"/>
      <c r="C13" s="1021" t="s">
        <v>538</v>
      </c>
      <c r="D13" s="1000"/>
      <c r="E13" s="1001">
        <f t="shared" si="0"/>
        <v>0</v>
      </c>
      <c r="F13" s="1002"/>
      <c r="G13" s="1006"/>
      <c r="H13" s="1002"/>
      <c r="I13" s="1002" t="e">
        <v>#REF!</v>
      </c>
      <c r="J13" s="1002"/>
    </row>
    <row r="14" spans="2:11 16314:16317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  <c r="I14" s="1002" t="e">
        <v>#REF!</v>
      </c>
      <c r="J14" s="1002"/>
    </row>
    <row r="15" spans="2:11 16314:16317" x14ac:dyDescent="0.35">
      <c r="B15" s="1638"/>
      <c r="C15" s="1019" t="s">
        <v>540</v>
      </c>
      <c r="D15" s="1000">
        <v>20</v>
      </c>
      <c r="E15" s="1001">
        <f t="shared" si="0"/>
        <v>0.55555555555555558</v>
      </c>
      <c r="F15" s="1002">
        <f t="shared" si="1"/>
        <v>0.55555555555555558</v>
      </c>
      <c r="G15" s="1002">
        <f>E15</f>
        <v>0.55555555555555558</v>
      </c>
      <c r="H15" s="1002">
        <f>E15</f>
        <v>0.55555555555555558</v>
      </c>
      <c r="I15" s="1002" t="e">
        <v>#REF!</v>
      </c>
      <c r="J15" s="1002"/>
    </row>
    <row r="16" spans="2:11 16314:16317" x14ac:dyDescent="0.35">
      <c r="B16" s="1639"/>
      <c r="C16" s="1019" t="s">
        <v>541</v>
      </c>
      <c r="D16" s="1000">
        <f>2908/80</f>
        <v>36.35</v>
      </c>
      <c r="E16" s="1001">
        <f t="shared" si="0"/>
        <v>1.0097222222222222</v>
      </c>
      <c r="F16" s="1002">
        <f t="shared" si="1"/>
        <v>1.0097222222222222</v>
      </c>
      <c r="G16" s="1002">
        <f>E16</f>
        <v>1.0097222222222222</v>
      </c>
      <c r="H16" s="1002">
        <f>E16</f>
        <v>1.0097222222222222</v>
      </c>
      <c r="I16" s="1002" t="e">
        <v>#REF!</v>
      </c>
      <c r="J16" s="1002"/>
    </row>
    <row r="17" spans="2:10 16314:16317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I17" s="1002" t="e">
        <v>#REF!</v>
      </c>
      <c r="J17" s="1002" t="e">
        <v>#REF!</v>
      </c>
      <c r="XCL17" s="998"/>
      <c r="XCM17" s="998"/>
      <c r="XCN17" s="998"/>
      <c r="XCO17" s="998"/>
    </row>
    <row r="18" spans="2:10 16314:16317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  <c r="I18" s="1002" t="e">
        <v>#REF!</v>
      </c>
      <c r="J18" s="1002" t="e">
        <v>#REF!</v>
      </c>
    </row>
    <row r="19" spans="2:10 16314:16317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  <c r="I19" s="1002" t="e">
        <v>#REF!</v>
      </c>
      <c r="J19" s="1002"/>
    </row>
    <row r="20" spans="2:10 16314:16317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  <c r="I20" s="1002" t="e">
        <v>#REF!</v>
      </c>
      <c r="J20" s="1002"/>
    </row>
    <row r="21" spans="2:10 16314:16317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  <c r="I21" s="1002" t="e">
        <v>#REF!</v>
      </c>
      <c r="J21" s="1002"/>
    </row>
    <row r="22" spans="2:10 16314:16317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  <c r="I22" s="1002" t="e">
        <v>#REF!</v>
      </c>
      <c r="J22" s="1002" t="e">
        <v>#REF!</v>
      </c>
    </row>
    <row r="23" spans="2:10 16314:16317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  <c r="I23" s="1002" t="e">
        <v>#REF!</v>
      </c>
      <c r="J23" s="1002" t="e">
        <v>#REF!</v>
      </c>
    </row>
    <row r="24" spans="2:10 16314:16317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  <c r="I24" s="1002"/>
      <c r="J24" s="1002" t="e">
        <v>#REF!</v>
      </c>
    </row>
    <row r="25" spans="2:10 16314:16317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  <c r="I25" s="1002" t="e">
        <v>#REF!</v>
      </c>
      <c r="J25" s="1002" t="e">
        <v>#REF!</v>
      </c>
    </row>
    <row r="26" spans="2:10 16314:16317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  <c r="I26" s="1002"/>
      <c r="J26" s="1002"/>
    </row>
    <row r="27" spans="2:10 16314:16317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  <c r="I27" s="1002"/>
      <c r="J27" s="1002"/>
    </row>
    <row r="28" spans="2:10 16314:16317" x14ac:dyDescent="0.35">
      <c r="B28" s="1647"/>
      <c r="C28" s="999" t="s">
        <v>556</v>
      </c>
      <c r="D28" s="744"/>
      <c r="E28" s="1001"/>
      <c r="F28" s="1002"/>
      <c r="G28" s="1002"/>
      <c r="H28" s="1002"/>
      <c r="I28" s="1002"/>
      <c r="J28" s="1002"/>
    </row>
    <row r="29" spans="2:10 16314:16317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  <c r="I29" s="1002" t="e">
        <v>#REF!</v>
      </c>
      <c r="J29" s="1002"/>
    </row>
    <row r="30" spans="2:10 16314:16317" x14ac:dyDescent="0.35">
      <c r="B30" s="1648"/>
      <c r="C30" s="999" t="s">
        <v>559</v>
      </c>
      <c r="D30" s="744"/>
      <c r="E30" s="1632"/>
      <c r="F30" s="1635"/>
      <c r="G30" s="1635"/>
      <c r="H30" s="1635"/>
      <c r="I30" s="1002" t="e">
        <v>#REF!</v>
      </c>
      <c r="J30" s="1002"/>
    </row>
    <row r="31" spans="2:10 16314:16317" x14ac:dyDescent="0.35">
      <c r="B31" s="1648"/>
      <c r="C31" s="999" t="s">
        <v>560</v>
      </c>
      <c r="D31" s="744"/>
      <c r="E31" s="1632"/>
      <c r="F31" s="1635"/>
      <c r="G31" s="1635"/>
      <c r="H31" s="1635"/>
      <c r="I31" s="1002" t="e">
        <v>#REF!</v>
      </c>
      <c r="J31" s="1002"/>
    </row>
    <row r="32" spans="2:10 16314:16317" x14ac:dyDescent="0.35">
      <c r="B32" s="1648"/>
      <c r="C32" s="999" t="s">
        <v>561</v>
      </c>
      <c r="D32" s="744"/>
      <c r="E32" s="1633"/>
      <c r="F32" s="1636"/>
      <c r="G32" s="1636"/>
      <c r="H32" s="1636"/>
      <c r="I32" s="1002" t="e">
        <v>#REF!</v>
      </c>
      <c r="J32" s="1002"/>
    </row>
    <row r="33" spans="2:10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  <c r="I33" s="1002"/>
      <c r="J33" s="1002"/>
    </row>
    <row r="34" spans="2:10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/>
      <c r="G34" s="1002"/>
      <c r="H34" s="1002"/>
      <c r="I34" s="1002" t="e">
        <v>#REF!</v>
      </c>
      <c r="J34" s="1002" t="e">
        <v>#REF!</v>
      </c>
    </row>
    <row r="35" spans="2:10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  <c r="I35" s="1002"/>
      <c r="J35" s="1002"/>
    </row>
    <row r="36" spans="2:10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  <c r="I36" s="1002"/>
      <c r="J36" s="1002"/>
    </row>
    <row r="37" spans="2:10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  <c r="I37" s="1002"/>
      <c r="J37" s="1002"/>
    </row>
    <row r="38" spans="2:10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>
        <f>E38</f>
        <v>1.2733333333333332</v>
      </c>
      <c r="G38" s="1002">
        <f>E38</f>
        <v>1.2733333333333332</v>
      </c>
      <c r="H38" s="1002">
        <f>E38</f>
        <v>1.2733333333333332</v>
      </c>
      <c r="I38" s="1002"/>
      <c r="J38" s="1002"/>
    </row>
    <row r="39" spans="2:10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  <c r="I39" s="1002"/>
      <c r="J39" s="1002"/>
    </row>
    <row r="40" spans="2:10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  <c r="I40" s="1002"/>
      <c r="J40" s="1002"/>
    </row>
    <row r="41" spans="2:10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  <c r="I41" s="1002"/>
      <c r="J41" s="1002"/>
    </row>
    <row r="42" spans="2:10" x14ac:dyDescent="0.35">
      <c r="B42" s="1012"/>
      <c r="C42" s="355"/>
      <c r="E42" s="1007"/>
      <c r="F42" s="1013"/>
      <c r="G42" s="1013"/>
      <c r="H42" s="1013"/>
      <c r="I42" s="1013"/>
      <c r="J42" s="1013"/>
    </row>
    <row r="43" spans="2:10" x14ac:dyDescent="0.35">
      <c r="B43" s="1010" t="s">
        <v>573</v>
      </c>
      <c r="C43" s="1014"/>
      <c r="E43" s="1015">
        <f>SUM(E13:E42)</f>
        <v>163.31055555555557</v>
      </c>
      <c r="F43" s="1015">
        <f>SUM(F5:F42)</f>
        <v>80.033055555555549</v>
      </c>
      <c r="G43" s="1015">
        <f>SUM(G5:G42)</f>
        <v>76.633055555555543</v>
      </c>
      <c r="H43" s="1015">
        <f>SUM(H5:H42)</f>
        <v>72.310833333333321</v>
      </c>
      <c r="I43" s="1015" t="e">
        <f>SUM(I5:I42)</f>
        <v>#REF!</v>
      </c>
      <c r="J43" s="1015" t="e">
        <f>SUM(J5:J42)</f>
        <v>#REF!</v>
      </c>
    </row>
    <row r="44" spans="2:10" s="1013" customFormat="1" x14ac:dyDescent="0.35">
      <c r="B44" s="1016"/>
      <c r="C44" s="1017"/>
      <c r="E44" s="1018"/>
    </row>
  </sheetData>
  <mergeCells count="12">
    <mergeCell ref="B25:B28"/>
    <mergeCell ref="B29:B32"/>
    <mergeCell ref="B2:J2"/>
    <mergeCell ref="F3:I3"/>
    <mergeCell ref="B5:B16"/>
    <mergeCell ref="B17:B21"/>
    <mergeCell ref="B22:B24"/>
    <mergeCell ref="B34:B41"/>
    <mergeCell ref="E29:E32"/>
    <mergeCell ref="F29:F32"/>
    <mergeCell ref="G29:G32"/>
    <mergeCell ref="H29:H32"/>
  </mergeCells>
  <dataValidations count="1">
    <dataValidation type="list" allowBlank="1" showInputMessage="1" showErrorMessage="1" sqref="F42:I42" xr:uid="{469ED29E-ED55-4C45-9243-35504FB96ABF}">
      <formula1>#REF!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A77F1-DC17-4596-9690-670BDCD2E81E}">
  <sheetPr codeName="Sheet23">
    <tabColor theme="4" tint="0.79998168889431442"/>
  </sheetPr>
  <dimension ref="B2:XCM44"/>
  <sheetViews>
    <sheetView showGridLines="0" topLeftCell="D1" workbookViewId="0">
      <pane xSplit="2" ySplit="4" topLeftCell="F43" activePane="bottomRight" state="frozen"/>
      <selection activeCell="D1" sqref="D1"/>
      <selection pane="topRight" activeCell="F1" sqref="F1"/>
      <selection pane="bottomLeft" activeCell="D5" sqref="D5"/>
      <selection pane="bottomRight" activeCell="H43" sqref="H43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/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f>900+150</f>
        <v>1050</v>
      </c>
      <c r="E6" s="1004">
        <f t="shared" ref="E6:E18" si="0">D6/36</f>
        <v>29.166666666666668</v>
      </c>
      <c r="F6" s="1002"/>
      <c r="G6" s="1002"/>
      <c r="H6" s="1002"/>
    </row>
    <row r="7" spans="2:8 16312:16315" x14ac:dyDescent="0.35">
      <c r="B7" s="1638"/>
      <c r="C7" s="1019" t="s">
        <v>532</v>
      </c>
      <c r="D7" s="1000"/>
      <c r="E7" s="1001"/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/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/>
      <c r="F9" s="1002"/>
      <c r="G9" s="1002"/>
      <c r="H9" s="1002"/>
    </row>
    <row r="10" spans="2:8 16312:16315" x14ac:dyDescent="0.35">
      <c r="B10" s="1638"/>
      <c r="C10" s="1019" t="s">
        <v>535</v>
      </c>
      <c r="D10" s="1000"/>
      <c r="E10" s="1001"/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>
        <f>E11</f>
        <v>38.888888888888886</v>
      </c>
      <c r="G11" s="1002">
        <f>F11</f>
        <v>38.888888888888886</v>
      </c>
      <c r="H11" s="1002">
        <f>G11</f>
        <v>38.888888888888886</v>
      </c>
    </row>
    <row r="12" spans="2:8 16312:16315" x14ac:dyDescent="0.35">
      <c r="B12" s="1638"/>
      <c r="C12" s="1019" t="s">
        <v>537</v>
      </c>
      <c r="D12" s="1005">
        <v>1700</v>
      </c>
      <c r="E12" s="1001">
        <f t="shared" si="0"/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/>
      <c r="E13" s="1001"/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</row>
    <row r="15" spans="2:8 16312:16315" x14ac:dyDescent="0.35">
      <c r="B15" s="1638"/>
      <c r="C15" s="1019" t="s">
        <v>540</v>
      </c>
      <c r="D15" s="1000">
        <v>15</v>
      </c>
      <c r="E15" s="1001">
        <f t="shared" si="0"/>
        <v>0.41666666666666669</v>
      </c>
      <c r="F15" s="1002">
        <f t="shared" si="1"/>
        <v>0.41666666666666669</v>
      </c>
      <c r="G15" s="1002">
        <f>E15</f>
        <v>0.41666666666666669</v>
      </c>
      <c r="H15" s="1002">
        <f>E15</f>
        <v>0.41666666666666669</v>
      </c>
    </row>
    <row r="16" spans="2:8 16312:16315" x14ac:dyDescent="0.35">
      <c r="B16" s="1639"/>
      <c r="C16" s="1019" t="s">
        <v>541</v>
      </c>
      <c r="D16" s="744">
        <f>2908/80</f>
        <v>36.35</v>
      </c>
      <c r="E16" s="1007">
        <f t="shared" si="0"/>
        <v>1.0097222222222222</v>
      </c>
      <c r="F16" s="1002">
        <f t="shared" si="1"/>
        <v>1.0097222222222222</v>
      </c>
      <c r="G16" s="1002">
        <f>E16</f>
        <v>1.0097222222222222</v>
      </c>
      <c r="H16" s="1002">
        <f>E16</f>
        <v>1.0097222222222222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>
        <f>E34</f>
        <v>2.65</v>
      </c>
      <c r="G34" s="1002">
        <f>E34</f>
        <v>2.65</v>
      </c>
      <c r="H34" s="1002">
        <f>E34</f>
        <v>2.65</v>
      </c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/>
      <c r="G38" s="1002"/>
      <c r="H38" s="1002"/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163.17166666666665</v>
      </c>
      <c r="F43" s="1015">
        <f>SUM(F5:F42)</f>
        <v>90.993055555555557</v>
      </c>
      <c r="G43" s="1015">
        <f>SUM(G5:G42)</f>
        <v>87.593055555555566</v>
      </c>
      <c r="H43" s="1015">
        <f>SUM(H5:H42)</f>
        <v>83.270833333333343</v>
      </c>
    </row>
    <row r="44" spans="2:8" s="1013" customFormat="1" x14ac:dyDescent="0.35">
      <c r="B44" s="1016"/>
      <c r="C44" s="1017"/>
      <c r="E44" s="1018"/>
    </row>
  </sheetData>
  <mergeCells count="12">
    <mergeCell ref="B34:B41"/>
    <mergeCell ref="B2:H2"/>
    <mergeCell ref="F3:H3"/>
    <mergeCell ref="E29:E32"/>
    <mergeCell ref="F29:F32"/>
    <mergeCell ref="G29:G32"/>
    <mergeCell ref="H29:H32"/>
    <mergeCell ref="B5:B16"/>
    <mergeCell ref="B17:B21"/>
    <mergeCell ref="B22:B24"/>
    <mergeCell ref="B25:B28"/>
    <mergeCell ref="B29:B32"/>
  </mergeCells>
  <dataValidations disablePrompts="1" count="1">
    <dataValidation type="list" allowBlank="1" showInputMessage="1" showErrorMessage="1" sqref="F42:H42" xr:uid="{B60BC51E-D42B-42C4-9E65-72A3F5358E3B}">
      <formula1>#REF!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CFD4-E0FD-4ABA-A6A3-B1D6D1864105}">
  <sheetPr codeName="Sheet5">
    <tabColor theme="4" tint="0.79998168889431442"/>
  </sheetPr>
  <dimension ref="B2:XCM44"/>
  <sheetViews>
    <sheetView showGridLines="0" topLeftCell="D67" workbookViewId="0">
      <selection activeCell="F22" sqref="F22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>
        <f t="shared" ref="E5:E18" si="0">D5/36</f>
        <v>0</v>
      </c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f>1200+150</f>
        <v>1350</v>
      </c>
      <c r="E6" s="1004">
        <f t="shared" si="0"/>
        <v>37.5</v>
      </c>
      <c r="F6" s="1002">
        <f>E6</f>
        <v>37.5</v>
      </c>
      <c r="G6" s="1002">
        <f>E6</f>
        <v>37.5</v>
      </c>
      <c r="H6" s="1002">
        <f>E6</f>
        <v>37.5</v>
      </c>
    </row>
    <row r="7" spans="2:8 16312:16315" x14ac:dyDescent="0.35">
      <c r="B7" s="1638"/>
      <c r="C7" s="1019" t="s">
        <v>532</v>
      </c>
      <c r="D7" s="1000"/>
      <c r="E7" s="1001">
        <f t="shared" si="0"/>
        <v>0</v>
      </c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>
        <f t="shared" si="0"/>
        <v>0</v>
      </c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>
        <f t="shared" si="0"/>
        <v>0</v>
      </c>
      <c r="F9" s="1002"/>
      <c r="G9" s="1002"/>
      <c r="H9" s="1002"/>
    </row>
    <row r="10" spans="2:8 16312:16315" x14ac:dyDescent="0.35">
      <c r="B10" s="1638"/>
      <c r="C10" s="1019" t="s">
        <v>535</v>
      </c>
      <c r="D10" s="1000"/>
      <c r="E10" s="1001">
        <f t="shared" si="0"/>
        <v>0</v>
      </c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/>
      <c r="G11" s="1002"/>
      <c r="H11" s="1002"/>
    </row>
    <row r="12" spans="2:8 16312:16315" x14ac:dyDescent="0.35">
      <c r="B12" s="1638"/>
      <c r="C12" s="1019" t="s">
        <v>537</v>
      </c>
      <c r="D12" s="1005">
        <v>1700</v>
      </c>
      <c r="E12" s="1001">
        <f t="shared" si="0"/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>
        <v>0</v>
      </c>
      <c r="E13" s="1001">
        <v>0</v>
      </c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</row>
    <row r="15" spans="2:8 16312:16315" x14ac:dyDescent="0.35">
      <c r="B15" s="1638"/>
      <c r="C15" s="1019" t="s">
        <v>540</v>
      </c>
      <c r="D15" s="1000">
        <v>15</v>
      </c>
      <c r="E15" s="1001">
        <f t="shared" si="0"/>
        <v>0.41666666666666669</v>
      </c>
      <c r="F15" s="1002">
        <f t="shared" si="1"/>
        <v>0.41666666666666669</v>
      </c>
      <c r="G15" s="1002">
        <f>E15</f>
        <v>0.41666666666666669</v>
      </c>
      <c r="H15" s="1002">
        <f>E15</f>
        <v>0.41666666666666669</v>
      </c>
    </row>
    <row r="16" spans="2:8 16312:16315" x14ac:dyDescent="0.35">
      <c r="B16" s="1639"/>
      <c r="C16" s="1019" t="s">
        <v>541</v>
      </c>
      <c r="D16" s="744">
        <v>32</v>
      </c>
      <c r="E16" s="1007">
        <f t="shared" si="0"/>
        <v>0.88888888888888884</v>
      </c>
      <c r="F16" s="1002">
        <f t="shared" si="1"/>
        <v>0.88888888888888884</v>
      </c>
      <c r="G16" s="1002">
        <f>E16</f>
        <v>0.88888888888888884</v>
      </c>
      <c r="H16" s="1002">
        <f>E16</f>
        <v>0.88888888888888884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>
        <f>E34</f>
        <v>2.65</v>
      </c>
      <c r="G34" s="1002">
        <f>E34</f>
        <v>2.65</v>
      </c>
      <c r="H34" s="1002">
        <f>E34</f>
        <v>2.65</v>
      </c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/>
      <c r="G38" s="1002"/>
      <c r="H38" s="1002"/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163.05083333333334</v>
      </c>
      <c r="F43" s="1015">
        <f>SUM(F5:F42)</f>
        <v>89.483333333333334</v>
      </c>
      <c r="G43" s="1015">
        <f>SUM(G5:G42)</f>
        <v>86.083333333333343</v>
      </c>
      <c r="H43" s="1015">
        <f>SUM(H5:H42)</f>
        <v>81.76111111111112</v>
      </c>
    </row>
    <row r="44" spans="2:8" s="1013" customFormat="1" x14ac:dyDescent="0.35">
      <c r="B44" s="1016"/>
      <c r="C44" s="1017"/>
      <c r="E44" s="1018"/>
    </row>
  </sheetData>
  <mergeCells count="12">
    <mergeCell ref="B34:B41"/>
    <mergeCell ref="B2:H2"/>
    <mergeCell ref="F3:H3"/>
    <mergeCell ref="E29:E32"/>
    <mergeCell ref="F29:F32"/>
    <mergeCell ref="G29:G32"/>
    <mergeCell ref="H29:H32"/>
    <mergeCell ref="B5:B16"/>
    <mergeCell ref="B17:B21"/>
    <mergeCell ref="B22:B24"/>
    <mergeCell ref="B25:B28"/>
    <mergeCell ref="B29:B32"/>
  </mergeCells>
  <dataValidations count="1">
    <dataValidation type="list" allowBlank="1" showInputMessage="1" showErrorMessage="1" sqref="F42:H42" xr:uid="{47AD6BB0-01EF-4EA3-9F34-F1444A635735}">
      <formula1>#REF!</formula1>
    </dataValidation>
  </dataValidation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B2EB-FD5C-4F27-A48A-AD27EAB1F2F8}">
  <sheetPr codeName="Sheet4">
    <tabColor theme="4" tint="0.79998168889431442"/>
  </sheetPr>
  <dimension ref="B2:XCM44"/>
  <sheetViews>
    <sheetView showGridLines="0" topLeftCell="D1" workbookViewId="0">
      <pane xSplit="2" ySplit="4" topLeftCell="F43" activePane="bottomRight" state="frozen"/>
      <selection activeCell="D1" sqref="D1"/>
      <selection pane="topRight" activeCell="F1" sqref="F1"/>
      <selection pane="bottomLeft" activeCell="D5" sqref="D5"/>
      <selection pane="bottomRight" activeCell="H43" sqref="H43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>
        <f t="shared" ref="E5:E18" si="0">D5/36</f>
        <v>0</v>
      </c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f>1200+150</f>
        <v>1350</v>
      </c>
      <c r="E6" s="1004">
        <f t="shared" si="0"/>
        <v>37.5</v>
      </c>
      <c r="F6" s="1002">
        <f>E6</f>
        <v>37.5</v>
      </c>
      <c r="G6" s="1002">
        <f>E6</f>
        <v>37.5</v>
      </c>
      <c r="H6" s="1002">
        <f>E6</f>
        <v>37.5</v>
      </c>
    </row>
    <row r="7" spans="2:8 16312:16315" x14ac:dyDescent="0.35">
      <c r="B7" s="1638"/>
      <c r="C7" s="1019" t="s">
        <v>532</v>
      </c>
      <c r="D7" s="1000"/>
      <c r="E7" s="1001">
        <f t="shared" si="0"/>
        <v>0</v>
      </c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>
        <f t="shared" si="0"/>
        <v>0</v>
      </c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>
        <f t="shared" si="0"/>
        <v>0</v>
      </c>
      <c r="F9" s="1002"/>
      <c r="G9" s="1002"/>
      <c r="H9" s="1002"/>
    </row>
    <row r="10" spans="2:8 16312:16315" x14ac:dyDescent="0.35">
      <c r="B10" s="1638"/>
      <c r="C10" s="1019" t="s">
        <v>535</v>
      </c>
      <c r="D10" s="1000"/>
      <c r="E10" s="1001">
        <f t="shared" si="0"/>
        <v>0</v>
      </c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/>
      <c r="G11" s="1002"/>
      <c r="H11" s="1002"/>
    </row>
    <row r="12" spans="2:8 16312:16315" x14ac:dyDescent="0.35">
      <c r="B12" s="1638"/>
      <c r="C12" s="1019" t="s">
        <v>537</v>
      </c>
      <c r="D12" s="1005">
        <v>1700</v>
      </c>
      <c r="E12" s="1001">
        <f t="shared" si="0"/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>
        <v>0</v>
      </c>
      <c r="E13" s="1001">
        <v>0</v>
      </c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</row>
    <row r="15" spans="2:8 16312:16315" x14ac:dyDescent="0.35">
      <c r="B15" s="1638"/>
      <c r="C15" s="1019" t="s">
        <v>540</v>
      </c>
      <c r="D15" s="1000">
        <v>15</v>
      </c>
      <c r="E15" s="1001">
        <f t="shared" si="0"/>
        <v>0.41666666666666669</v>
      </c>
      <c r="F15" s="1002">
        <f t="shared" si="1"/>
        <v>0.41666666666666669</v>
      </c>
      <c r="G15" s="1002">
        <f>E15</f>
        <v>0.41666666666666669</v>
      </c>
      <c r="H15" s="1002">
        <f>E15</f>
        <v>0.41666666666666669</v>
      </c>
    </row>
    <row r="16" spans="2:8 16312:16315" x14ac:dyDescent="0.35">
      <c r="B16" s="1639"/>
      <c r="C16" s="1019" t="s">
        <v>541</v>
      </c>
      <c r="D16" s="744">
        <v>32</v>
      </c>
      <c r="E16" s="1007">
        <f t="shared" si="0"/>
        <v>0.88888888888888884</v>
      </c>
      <c r="F16" s="1002">
        <f t="shared" si="1"/>
        <v>0.88888888888888884</v>
      </c>
      <c r="G16" s="1002">
        <f>E16</f>
        <v>0.88888888888888884</v>
      </c>
      <c r="H16" s="1002">
        <f>E16</f>
        <v>0.88888888888888884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>
        <f>E34</f>
        <v>2.65</v>
      </c>
      <c r="G34" s="1002">
        <f>E34</f>
        <v>2.65</v>
      </c>
      <c r="H34" s="1002">
        <f>E34</f>
        <v>2.65</v>
      </c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/>
      <c r="G38" s="1002"/>
      <c r="H38" s="1002"/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163.05083333333334</v>
      </c>
      <c r="F43" s="1015">
        <f>SUM(F5:F42)</f>
        <v>89.483333333333334</v>
      </c>
      <c r="G43" s="1015">
        <f>SUM(G5:G42)</f>
        <v>86.083333333333343</v>
      </c>
      <c r="H43" s="1015">
        <f>SUM(H5:H42)</f>
        <v>81.76111111111112</v>
      </c>
    </row>
    <row r="44" spans="2:8" s="1013" customFormat="1" x14ac:dyDescent="0.35">
      <c r="B44" s="1016"/>
      <c r="C44" s="1017"/>
      <c r="E44" s="1018"/>
    </row>
  </sheetData>
  <mergeCells count="12">
    <mergeCell ref="B34:B41"/>
    <mergeCell ref="B2:H2"/>
    <mergeCell ref="F3:H3"/>
    <mergeCell ref="E29:E32"/>
    <mergeCell ref="F29:F32"/>
    <mergeCell ref="G29:G32"/>
    <mergeCell ref="H29:H32"/>
    <mergeCell ref="B5:B16"/>
    <mergeCell ref="B17:B21"/>
    <mergeCell ref="B22:B24"/>
    <mergeCell ref="B25:B28"/>
    <mergeCell ref="B29:B32"/>
  </mergeCells>
  <dataValidations disablePrompts="1" count="1">
    <dataValidation type="list" allowBlank="1" showInputMessage="1" showErrorMessage="1" sqref="F42:H42" xr:uid="{E5EEC0BF-D377-44F5-8812-7D3359C8B1B8}">
      <formula1>#REF!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B074-B9F5-4AE9-B1FD-F80193A35B5C}">
  <sheetPr codeName="Sheet24">
    <tabColor theme="4" tint="0.79998168889431442"/>
  </sheetPr>
  <dimension ref="B2:XCM44"/>
  <sheetViews>
    <sheetView showGridLines="0" topLeftCell="E35" workbookViewId="0">
      <selection activeCell="G43" sqref="G43:H43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/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f>950+130</f>
        <v>1080</v>
      </c>
      <c r="E6" s="1004">
        <f t="shared" ref="E6:E18" si="0">D6/36</f>
        <v>30</v>
      </c>
      <c r="F6" s="1002">
        <f>E6</f>
        <v>30</v>
      </c>
      <c r="G6" s="1002">
        <f>E6</f>
        <v>30</v>
      </c>
      <c r="H6" s="1002">
        <f>E6</f>
        <v>30</v>
      </c>
    </row>
    <row r="7" spans="2:8 16312:16315" x14ac:dyDescent="0.35">
      <c r="B7" s="1638"/>
      <c r="C7" s="1019" t="s">
        <v>532</v>
      </c>
      <c r="D7" s="1000"/>
      <c r="E7" s="1001"/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/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/>
      <c r="F9" s="1002"/>
      <c r="G9" s="1002"/>
      <c r="H9" s="1002"/>
    </row>
    <row r="10" spans="2:8 16312:16315" x14ac:dyDescent="0.35">
      <c r="B10" s="1638"/>
      <c r="C10" s="1019" t="s">
        <v>535</v>
      </c>
      <c r="D10" s="1005"/>
      <c r="E10" s="1001"/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/>
      <c r="G11" s="1002"/>
      <c r="H11" s="1002"/>
    </row>
    <row r="12" spans="2:8 16312:16315" x14ac:dyDescent="0.35">
      <c r="B12" s="1638"/>
      <c r="C12" s="1019" t="s">
        <v>537</v>
      </c>
      <c r="D12" s="1005">
        <v>1700</v>
      </c>
      <c r="E12" s="1001">
        <f t="shared" si="0"/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/>
      <c r="E13" s="1001"/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130</v>
      </c>
      <c r="E14" s="1001">
        <f t="shared" si="0"/>
        <v>3.6111111111111112</v>
      </c>
      <c r="F14" s="1002">
        <f t="shared" ref="F14:F22" si="1">E14</f>
        <v>3.6111111111111112</v>
      </c>
      <c r="G14" s="1002">
        <f>E14</f>
        <v>3.6111111111111112</v>
      </c>
      <c r="H14" s="1002">
        <f>E14</f>
        <v>3.6111111111111112</v>
      </c>
    </row>
    <row r="15" spans="2:8 16312:16315" x14ac:dyDescent="0.35">
      <c r="B15" s="1638"/>
      <c r="C15" s="1019" t="s">
        <v>540</v>
      </c>
      <c r="D15" s="1000">
        <v>15</v>
      </c>
      <c r="E15" s="1001">
        <f t="shared" si="0"/>
        <v>0.41666666666666669</v>
      </c>
      <c r="F15" s="1002">
        <f t="shared" si="1"/>
        <v>0.41666666666666669</v>
      </c>
      <c r="G15" s="1002">
        <f>E15</f>
        <v>0.41666666666666669</v>
      </c>
      <c r="H15" s="1002">
        <f>E15</f>
        <v>0.41666666666666669</v>
      </c>
    </row>
    <row r="16" spans="2:8 16312:16315" x14ac:dyDescent="0.35">
      <c r="B16" s="1639"/>
      <c r="C16" s="1019" t="s">
        <v>541</v>
      </c>
      <c r="D16" s="744">
        <v>45</v>
      </c>
      <c r="E16" s="1007">
        <f t="shared" si="0"/>
        <v>1.25</v>
      </c>
      <c r="F16" s="1002">
        <f t="shared" si="1"/>
        <v>1.25</v>
      </c>
      <c r="G16" s="1002">
        <f>E16</f>
        <v>1.25</v>
      </c>
      <c r="H16" s="1002">
        <f>E16</f>
        <v>1.25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/>
      <c r="G34" s="1002"/>
      <c r="H34" s="1002"/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>
        <f>E38</f>
        <v>1.2733333333333332</v>
      </c>
      <c r="G38" s="1002">
        <f>E38</f>
        <v>1.2733333333333332</v>
      </c>
      <c r="H38" s="1002">
        <f>E38</f>
        <v>1.2733333333333332</v>
      </c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163.68972222222223</v>
      </c>
      <c r="F43" s="1015">
        <f>SUM(F5:F42)</f>
        <v>81.245555555555555</v>
      </c>
      <c r="G43" s="1015">
        <f>SUM(G5:G42)</f>
        <v>77.845555555555549</v>
      </c>
      <c r="H43" s="1015">
        <f>SUM(H5:H42)</f>
        <v>73.523333333333326</v>
      </c>
    </row>
    <row r="44" spans="2:8" s="1013" customFormat="1" x14ac:dyDescent="0.35">
      <c r="B44" s="1016"/>
      <c r="C44" s="1017"/>
      <c r="E44" s="1018"/>
    </row>
  </sheetData>
  <mergeCells count="12">
    <mergeCell ref="B34:B41"/>
    <mergeCell ref="B2:H2"/>
    <mergeCell ref="F3:H3"/>
    <mergeCell ref="E29:E32"/>
    <mergeCell ref="F29:F32"/>
    <mergeCell ref="G29:G32"/>
    <mergeCell ref="H29:H32"/>
    <mergeCell ref="B5:B16"/>
    <mergeCell ref="B17:B21"/>
    <mergeCell ref="B22:B24"/>
    <mergeCell ref="B25:B28"/>
    <mergeCell ref="B29:B32"/>
  </mergeCells>
  <dataValidations count="1">
    <dataValidation type="list" allowBlank="1" showInputMessage="1" showErrorMessage="1" sqref="F42:H42" xr:uid="{C2CCCFBA-F41C-4A19-AB78-AE2065550814}">
      <formula1>#REF!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7909-2B7B-47E5-B63E-A03742CF5A39}">
  <sheetPr codeName="Sheet22">
    <tabColor theme="4" tint="0.79998168889431442"/>
  </sheetPr>
  <dimension ref="B2:XCM44"/>
  <sheetViews>
    <sheetView showGridLines="0" topLeftCell="C68" workbookViewId="0">
      <selection activeCell="F22" sqref="F22"/>
    </sheetView>
  </sheetViews>
  <sheetFormatPr defaultColWidth="9.1796875" defaultRowHeight="14.5" x14ac:dyDescent="0.35"/>
  <cols>
    <col min="1" max="1" width="3.81640625" style="990" customWidth="1"/>
    <col min="2" max="2" width="34.26953125" style="990" bestFit="1" customWidth="1"/>
    <col min="3" max="3" width="67.1796875" style="743" customWidth="1"/>
    <col min="4" max="5" width="15.7265625" style="990" customWidth="1"/>
    <col min="6" max="6" width="22.81640625" style="990" customWidth="1"/>
    <col min="7" max="7" width="22" style="990" customWidth="1"/>
    <col min="8" max="8" width="27.26953125" style="990" customWidth="1"/>
    <col min="9" max="16384" width="9.1796875" style="990"/>
  </cols>
  <sheetData>
    <row r="2" spans="2:8 16312:16315" ht="23.5" x14ac:dyDescent="0.35">
      <c r="B2" s="1629" t="s">
        <v>522</v>
      </c>
      <c r="C2" s="1629"/>
      <c r="D2" s="1629"/>
      <c r="E2" s="1629"/>
      <c r="F2" s="1629"/>
      <c r="G2" s="1629"/>
      <c r="H2" s="1629"/>
    </row>
    <row r="3" spans="2:8 16312:16315" x14ac:dyDescent="0.35">
      <c r="F3" s="1630"/>
      <c r="G3" s="1630"/>
      <c r="H3" s="1630"/>
    </row>
    <row r="4" spans="2:8 16312:16315" ht="64.5" customHeight="1" x14ac:dyDescent="0.35">
      <c r="B4" s="992" t="s">
        <v>523</v>
      </c>
      <c r="C4" s="992" t="s">
        <v>524</v>
      </c>
      <c r="D4" s="992" t="s">
        <v>525</v>
      </c>
      <c r="E4" s="992" t="s">
        <v>526</v>
      </c>
      <c r="F4" s="993" t="s">
        <v>931</v>
      </c>
      <c r="G4" s="994" t="s">
        <v>932</v>
      </c>
      <c r="H4" s="995" t="s">
        <v>933</v>
      </c>
      <c r="XCJ4" s="998"/>
      <c r="XCK4" s="998"/>
      <c r="XCL4" s="998"/>
      <c r="XCM4" s="998"/>
    </row>
    <row r="5" spans="2:8 16312:16315" x14ac:dyDescent="0.35">
      <c r="B5" s="1637" t="s">
        <v>529</v>
      </c>
      <c r="C5" s="1019" t="s">
        <v>530</v>
      </c>
      <c r="D5" s="1000"/>
      <c r="E5" s="1001">
        <f t="shared" ref="E5:E18" si="0">D5/36</f>
        <v>0</v>
      </c>
      <c r="F5" s="1002"/>
      <c r="G5" s="1002"/>
      <c r="H5" s="1002"/>
    </row>
    <row r="6" spans="2:8 16312:16315" x14ac:dyDescent="0.35">
      <c r="B6" s="1638"/>
      <c r="C6" s="1020" t="s">
        <v>531</v>
      </c>
      <c r="D6" s="1003">
        <f>1200+150</f>
        <v>1350</v>
      </c>
      <c r="E6" s="1004">
        <f t="shared" si="0"/>
        <v>37.5</v>
      </c>
      <c r="F6" s="1002">
        <f>E6</f>
        <v>37.5</v>
      </c>
      <c r="G6" s="1002">
        <f>E6</f>
        <v>37.5</v>
      </c>
      <c r="H6" s="1002">
        <f>E6</f>
        <v>37.5</v>
      </c>
    </row>
    <row r="7" spans="2:8 16312:16315" x14ac:dyDescent="0.35">
      <c r="B7" s="1638"/>
      <c r="C7" s="1019" t="s">
        <v>532</v>
      </c>
      <c r="D7" s="1000"/>
      <c r="E7" s="1001">
        <f t="shared" si="0"/>
        <v>0</v>
      </c>
      <c r="F7" s="1002"/>
      <c r="G7" s="1002"/>
      <c r="H7" s="1002"/>
    </row>
    <row r="8" spans="2:8 16312:16315" x14ac:dyDescent="0.35">
      <c r="B8" s="1638"/>
      <c r="C8" s="1019" t="s">
        <v>533</v>
      </c>
      <c r="D8" s="1000"/>
      <c r="E8" s="1001">
        <f t="shared" si="0"/>
        <v>0</v>
      </c>
      <c r="F8" s="1002"/>
      <c r="G8" s="1002"/>
      <c r="H8" s="1002"/>
    </row>
    <row r="9" spans="2:8 16312:16315" x14ac:dyDescent="0.35">
      <c r="B9" s="1638"/>
      <c r="C9" s="1019" t="s">
        <v>534</v>
      </c>
      <c r="D9" s="1000"/>
      <c r="E9" s="1001">
        <f t="shared" si="0"/>
        <v>0</v>
      </c>
      <c r="F9" s="1002"/>
      <c r="G9" s="1002"/>
      <c r="H9" s="1002"/>
    </row>
    <row r="10" spans="2:8 16312:16315" x14ac:dyDescent="0.35">
      <c r="B10" s="1638"/>
      <c r="C10" s="1019" t="s">
        <v>535</v>
      </c>
      <c r="D10" s="1000"/>
      <c r="E10" s="1001">
        <f t="shared" si="0"/>
        <v>0</v>
      </c>
      <c r="F10" s="1002"/>
      <c r="G10" s="1002"/>
      <c r="H10" s="1002"/>
    </row>
    <row r="11" spans="2:8 16312:16315" x14ac:dyDescent="0.35">
      <c r="B11" s="1638"/>
      <c r="C11" s="1019" t="s">
        <v>536</v>
      </c>
      <c r="D11" s="1000">
        <v>1400</v>
      </c>
      <c r="E11" s="1001">
        <f t="shared" si="0"/>
        <v>38.888888888888886</v>
      </c>
      <c r="F11" s="1002"/>
      <c r="G11" s="1002"/>
      <c r="H11" s="1002"/>
    </row>
    <row r="12" spans="2:8 16312:16315" x14ac:dyDescent="0.35">
      <c r="B12" s="1638"/>
      <c r="C12" s="1019" t="s">
        <v>537</v>
      </c>
      <c r="D12" s="1005">
        <v>1700</v>
      </c>
      <c r="E12" s="1001">
        <f t="shared" si="0"/>
        <v>47.222222222222221</v>
      </c>
      <c r="F12" s="1002"/>
      <c r="G12" s="1002"/>
      <c r="H12" s="1002"/>
    </row>
    <row r="13" spans="2:8 16312:16315" ht="30" customHeight="1" x14ac:dyDescent="0.35">
      <c r="B13" s="1638"/>
      <c r="C13" s="1021" t="s">
        <v>538</v>
      </c>
      <c r="D13" s="1000">
        <v>0</v>
      </c>
      <c r="E13" s="1001">
        <v>0</v>
      </c>
      <c r="F13" s="1002"/>
      <c r="G13" s="1006"/>
      <c r="H13" s="1002"/>
    </row>
    <row r="14" spans="2:8 16312:16315" x14ac:dyDescent="0.35">
      <c r="B14" s="1638"/>
      <c r="C14" s="1019" t="s">
        <v>539</v>
      </c>
      <c r="D14" s="1000">
        <v>120</v>
      </c>
      <c r="E14" s="1001">
        <f t="shared" si="0"/>
        <v>3.3333333333333335</v>
      </c>
      <c r="F14" s="1002">
        <f t="shared" ref="F14:F22" si="1">E14</f>
        <v>3.3333333333333335</v>
      </c>
      <c r="G14" s="1002">
        <f>E14</f>
        <v>3.3333333333333335</v>
      </c>
      <c r="H14" s="1002">
        <f>E14</f>
        <v>3.3333333333333335</v>
      </c>
    </row>
    <row r="15" spans="2:8 16312:16315" x14ac:dyDescent="0.35">
      <c r="B15" s="1638"/>
      <c r="C15" s="1019" t="s">
        <v>540</v>
      </c>
      <c r="D15" s="1000">
        <v>15</v>
      </c>
      <c r="E15" s="1001">
        <f t="shared" si="0"/>
        <v>0.41666666666666669</v>
      </c>
      <c r="F15" s="1002">
        <f t="shared" si="1"/>
        <v>0.41666666666666669</v>
      </c>
      <c r="G15" s="1002">
        <f>E15</f>
        <v>0.41666666666666669</v>
      </c>
      <c r="H15" s="1002">
        <f>E15</f>
        <v>0.41666666666666669</v>
      </c>
    </row>
    <row r="16" spans="2:8 16312:16315" x14ac:dyDescent="0.35">
      <c r="B16" s="1639"/>
      <c r="C16" s="1019" t="s">
        <v>541</v>
      </c>
      <c r="D16" s="744">
        <v>32</v>
      </c>
      <c r="E16" s="1007">
        <f t="shared" si="0"/>
        <v>0.88888888888888884</v>
      </c>
      <c r="F16" s="1002">
        <f t="shared" si="1"/>
        <v>0.88888888888888884</v>
      </c>
      <c r="G16" s="1002">
        <f>E16</f>
        <v>0.88888888888888884</v>
      </c>
      <c r="H16" s="1002">
        <f>E16</f>
        <v>0.88888888888888884</v>
      </c>
    </row>
    <row r="17" spans="2:8 16312:16315" x14ac:dyDescent="0.35">
      <c r="B17" s="1640" t="s">
        <v>542</v>
      </c>
      <c r="C17" s="999" t="s">
        <v>543</v>
      </c>
      <c r="D17" s="744">
        <v>278</v>
      </c>
      <c r="E17" s="1007">
        <f t="shared" si="0"/>
        <v>7.7222222222222223</v>
      </c>
      <c r="F17" s="1002">
        <f t="shared" si="1"/>
        <v>7.7222222222222223</v>
      </c>
      <c r="G17" s="1002">
        <f>F17-3.4</f>
        <v>4.3222222222222229</v>
      </c>
      <c r="H17" s="1002">
        <v>0</v>
      </c>
      <c r="XCJ17" s="998"/>
      <c r="XCK17" s="998"/>
      <c r="XCL17" s="998"/>
      <c r="XCM17" s="998"/>
    </row>
    <row r="18" spans="2:8 16312:16315" x14ac:dyDescent="0.35">
      <c r="B18" s="1641"/>
      <c r="C18" s="999" t="s">
        <v>544</v>
      </c>
      <c r="D18" s="744">
        <v>50</v>
      </c>
      <c r="E18" s="1007">
        <f t="shared" si="0"/>
        <v>1.3888888888888888</v>
      </c>
      <c r="F18" s="1002">
        <f t="shared" si="1"/>
        <v>1.3888888888888888</v>
      </c>
      <c r="G18" s="1002">
        <f>E18</f>
        <v>1.3888888888888888</v>
      </c>
      <c r="H18" s="1002">
        <f>E18</f>
        <v>1.3888888888888888</v>
      </c>
    </row>
    <row r="19" spans="2:8 16312:16315" x14ac:dyDescent="0.35">
      <c r="B19" s="1641"/>
      <c r="C19" s="999" t="s">
        <v>545</v>
      </c>
      <c r="D19" s="744">
        <v>4</v>
      </c>
      <c r="E19" s="1007">
        <f>D19/12</f>
        <v>0.33333333333333331</v>
      </c>
      <c r="F19" s="1002">
        <f t="shared" si="1"/>
        <v>0.33333333333333331</v>
      </c>
      <c r="G19" s="1002">
        <f>E19</f>
        <v>0.33333333333333331</v>
      </c>
      <c r="H19" s="1002">
        <f>E19</f>
        <v>0.33333333333333331</v>
      </c>
    </row>
    <row r="20" spans="2:8 16312:16315" x14ac:dyDescent="0.35">
      <c r="B20" s="1641"/>
      <c r="C20" s="999" t="s">
        <v>546</v>
      </c>
      <c r="D20" s="744">
        <v>96</v>
      </c>
      <c r="E20" s="1007">
        <f>D20/12</f>
        <v>8</v>
      </c>
      <c r="F20" s="1002">
        <f t="shared" si="1"/>
        <v>8</v>
      </c>
      <c r="G20" s="1002">
        <f>E20</f>
        <v>8</v>
      </c>
      <c r="H20" s="1002">
        <f>E20</f>
        <v>8</v>
      </c>
    </row>
    <row r="21" spans="2:8 16312:16315" x14ac:dyDescent="0.35">
      <c r="B21" s="1641"/>
      <c r="C21" s="999" t="s">
        <v>547</v>
      </c>
      <c r="D21" s="744">
        <v>15</v>
      </c>
      <c r="E21" s="1007">
        <f>D21/12</f>
        <v>1.25</v>
      </c>
      <c r="F21" s="1002">
        <f t="shared" si="1"/>
        <v>1.25</v>
      </c>
      <c r="G21" s="1002">
        <f>E21</f>
        <v>1.25</v>
      </c>
      <c r="H21" s="1002">
        <f>E21</f>
        <v>1.25</v>
      </c>
    </row>
    <row r="22" spans="2:8 16312:16315" x14ac:dyDescent="0.35">
      <c r="B22" s="1642" t="s">
        <v>548</v>
      </c>
      <c r="C22" s="999" t="s">
        <v>549</v>
      </c>
      <c r="D22" s="744">
        <v>96</v>
      </c>
      <c r="E22" s="1007">
        <f t="shared" ref="E22:E27" si="2">D22/12</f>
        <v>8</v>
      </c>
      <c r="F22" s="1002">
        <f t="shared" si="1"/>
        <v>8</v>
      </c>
      <c r="G22" s="1002">
        <f>E22</f>
        <v>8</v>
      </c>
      <c r="H22" s="1002"/>
    </row>
    <row r="23" spans="2:8 16312:16315" x14ac:dyDescent="0.35">
      <c r="B23" s="1643"/>
      <c r="C23" s="999" t="s">
        <v>550</v>
      </c>
      <c r="D23" s="744">
        <v>96</v>
      </c>
      <c r="E23" s="1007">
        <f t="shared" si="2"/>
        <v>8</v>
      </c>
      <c r="F23" s="1002"/>
      <c r="G23" s="1002"/>
      <c r="H23" s="1002">
        <f>E23</f>
        <v>8</v>
      </c>
    </row>
    <row r="24" spans="2:8 16312:16315" x14ac:dyDescent="0.35">
      <c r="B24" s="1644"/>
      <c r="C24" s="999" t="s">
        <v>551</v>
      </c>
      <c r="D24" s="744"/>
      <c r="E24" s="1007">
        <v>8</v>
      </c>
      <c r="F24" s="1002"/>
      <c r="G24" s="1002"/>
      <c r="H24" s="1002"/>
    </row>
    <row r="25" spans="2:8 16312:16315" x14ac:dyDescent="0.35">
      <c r="B25" s="1645" t="s">
        <v>552</v>
      </c>
      <c r="C25" s="999" t="s">
        <v>553</v>
      </c>
      <c r="D25" s="744">
        <v>96</v>
      </c>
      <c r="E25" s="1007">
        <f t="shared" si="2"/>
        <v>8</v>
      </c>
      <c r="F25" s="1002">
        <f>E25</f>
        <v>8</v>
      </c>
      <c r="G25" s="1002">
        <f>E25</f>
        <v>8</v>
      </c>
      <c r="H25" s="1002">
        <f>E25</f>
        <v>8</v>
      </c>
    </row>
    <row r="26" spans="2:8 16312:16315" x14ac:dyDescent="0.35">
      <c r="B26" s="1646"/>
      <c r="C26" s="999" t="s">
        <v>554</v>
      </c>
      <c r="D26" s="744">
        <v>96</v>
      </c>
      <c r="E26" s="1007">
        <f t="shared" si="2"/>
        <v>8</v>
      </c>
      <c r="F26" s="1002"/>
      <c r="G26" s="1002"/>
      <c r="H26" s="1002"/>
    </row>
    <row r="27" spans="2:8 16312:16315" x14ac:dyDescent="0.35">
      <c r="B27" s="1646"/>
      <c r="C27" s="999" t="s">
        <v>555</v>
      </c>
      <c r="D27" s="744">
        <v>720</v>
      </c>
      <c r="E27" s="1007">
        <f t="shared" si="2"/>
        <v>60</v>
      </c>
      <c r="F27" s="1002"/>
      <c r="G27" s="1002"/>
      <c r="H27" s="1002"/>
    </row>
    <row r="28" spans="2:8 16312:16315" x14ac:dyDescent="0.35">
      <c r="B28" s="1647"/>
      <c r="C28" s="999" t="s">
        <v>556</v>
      </c>
      <c r="D28" s="744"/>
      <c r="E28" s="1001"/>
      <c r="F28" s="1002"/>
      <c r="G28" s="1002"/>
      <c r="H28" s="1002"/>
    </row>
    <row r="29" spans="2:8 16312:16315" x14ac:dyDescent="0.35">
      <c r="B29" s="1648" t="s">
        <v>557</v>
      </c>
      <c r="C29" s="999" t="s">
        <v>558</v>
      </c>
      <c r="D29" s="744"/>
      <c r="E29" s="1631">
        <v>10</v>
      </c>
      <c r="F29" s="1634">
        <f>E29</f>
        <v>10</v>
      </c>
      <c r="G29" s="1634">
        <f>E29</f>
        <v>10</v>
      </c>
      <c r="H29" s="1634">
        <f>E29</f>
        <v>10</v>
      </c>
    </row>
    <row r="30" spans="2:8 16312:16315" x14ac:dyDescent="0.35">
      <c r="B30" s="1648"/>
      <c r="C30" s="999" t="s">
        <v>559</v>
      </c>
      <c r="D30" s="744"/>
      <c r="E30" s="1632"/>
      <c r="F30" s="1635"/>
      <c r="G30" s="1635"/>
      <c r="H30" s="1635"/>
    </row>
    <row r="31" spans="2:8 16312:16315" x14ac:dyDescent="0.35">
      <c r="B31" s="1648"/>
      <c r="C31" s="999" t="s">
        <v>560</v>
      </c>
      <c r="D31" s="744"/>
      <c r="E31" s="1632"/>
      <c r="F31" s="1635"/>
      <c r="G31" s="1635"/>
      <c r="H31" s="1635"/>
    </row>
    <row r="32" spans="2:8 16312:16315" x14ac:dyDescent="0.35">
      <c r="B32" s="1648"/>
      <c r="C32" s="999" t="s">
        <v>561</v>
      </c>
      <c r="D32" s="744"/>
      <c r="E32" s="1633"/>
      <c r="F32" s="1636"/>
      <c r="G32" s="1636"/>
      <c r="H32" s="1636"/>
    </row>
    <row r="33" spans="2:8" x14ac:dyDescent="0.35">
      <c r="B33" s="1008" t="s">
        <v>562</v>
      </c>
      <c r="C33" s="1009" t="s">
        <v>563</v>
      </c>
      <c r="D33" s="744">
        <v>48</v>
      </c>
      <c r="E33" s="1007">
        <f t="shared" ref="E33:E41" si="3">D33/12</f>
        <v>4</v>
      </c>
      <c r="F33" s="1002"/>
      <c r="G33" s="1002"/>
      <c r="H33" s="1002"/>
    </row>
    <row r="34" spans="2:8" ht="26" x14ac:dyDescent="0.35">
      <c r="B34" s="1628" t="s">
        <v>564</v>
      </c>
      <c r="C34" s="1011" t="s">
        <v>565</v>
      </c>
      <c r="D34" s="744">
        <v>31.8</v>
      </c>
      <c r="E34" s="1007">
        <f t="shared" si="3"/>
        <v>2.65</v>
      </c>
      <c r="F34" s="1002">
        <f>E34</f>
        <v>2.65</v>
      </c>
      <c r="G34" s="1002">
        <f>E34</f>
        <v>2.65</v>
      </c>
      <c r="H34" s="1002">
        <f>E34</f>
        <v>2.65</v>
      </c>
    </row>
    <row r="35" spans="2:8" x14ac:dyDescent="0.35">
      <c r="B35" s="1628"/>
      <c r="C35" s="1011" t="s">
        <v>566</v>
      </c>
      <c r="D35" s="744">
        <v>9.6300000000000008</v>
      </c>
      <c r="E35" s="1007">
        <f t="shared" si="3"/>
        <v>0.8025000000000001</v>
      </c>
      <c r="F35" s="1002"/>
      <c r="G35" s="1002"/>
      <c r="H35" s="1002"/>
    </row>
    <row r="36" spans="2:8" ht="26" x14ac:dyDescent="0.35">
      <c r="B36" s="1628"/>
      <c r="C36" s="1011" t="s">
        <v>567</v>
      </c>
      <c r="D36" s="744">
        <v>131</v>
      </c>
      <c r="E36" s="1007">
        <f t="shared" si="3"/>
        <v>10.916666666666666</v>
      </c>
      <c r="F36" s="1002"/>
      <c r="G36" s="1002"/>
      <c r="H36" s="1002"/>
    </row>
    <row r="37" spans="2:8" ht="26" x14ac:dyDescent="0.35">
      <c r="B37" s="1628"/>
      <c r="C37" s="1011" t="s">
        <v>568</v>
      </c>
      <c r="D37" s="744">
        <v>62.67</v>
      </c>
      <c r="E37" s="1007">
        <f t="shared" si="3"/>
        <v>5.2225000000000001</v>
      </c>
      <c r="F37" s="1002"/>
      <c r="G37" s="1002"/>
      <c r="H37" s="1002"/>
    </row>
    <row r="38" spans="2:8" x14ac:dyDescent="0.35">
      <c r="B38" s="1628"/>
      <c r="C38" s="1011" t="s">
        <v>569</v>
      </c>
      <c r="D38" s="744">
        <v>15.28</v>
      </c>
      <c r="E38" s="1007">
        <f t="shared" si="3"/>
        <v>1.2733333333333332</v>
      </c>
      <c r="F38" s="1002"/>
      <c r="G38" s="1002"/>
      <c r="H38" s="1002"/>
    </row>
    <row r="39" spans="2:8" x14ac:dyDescent="0.35">
      <c r="B39" s="1628"/>
      <c r="C39" s="1011" t="s">
        <v>570</v>
      </c>
      <c r="D39" s="744">
        <v>26.01</v>
      </c>
      <c r="E39" s="1007">
        <f t="shared" si="3"/>
        <v>2.1675</v>
      </c>
      <c r="F39" s="1002"/>
      <c r="G39" s="1002"/>
      <c r="H39" s="1002"/>
    </row>
    <row r="40" spans="2:8" ht="26" x14ac:dyDescent="0.35">
      <c r="B40" s="1628"/>
      <c r="C40" s="1011" t="s">
        <v>571</v>
      </c>
      <c r="D40" s="744">
        <v>12.59</v>
      </c>
      <c r="E40" s="1007">
        <f t="shared" si="3"/>
        <v>1.0491666666666666</v>
      </c>
      <c r="F40" s="1002"/>
      <c r="G40" s="1002"/>
      <c r="H40" s="1002"/>
    </row>
    <row r="41" spans="2:8" x14ac:dyDescent="0.35">
      <c r="B41" s="1628"/>
      <c r="C41" s="1011" t="s">
        <v>572</v>
      </c>
      <c r="D41" s="744">
        <v>19.63</v>
      </c>
      <c r="E41" s="1007">
        <f t="shared" si="3"/>
        <v>1.6358333333333333</v>
      </c>
      <c r="F41" s="1002"/>
      <c r="G41" s="1002"/>
      <c r="H41" s="1002"/>
    </row>
    <row r="42" spans="2:8" x14ac:dyDescent="0.35">
      <c r="B42" s="1012"/>
      <c r="C42" s="355"/>
      <c r="E42" s="1007"/>
      <c r="F42" s="1013"/>
      <c r="G42" s="1013"/>
      <c r="H42" s="1013"/>
    </row>
    <row r="43" spans="2:8" x14ac:dyDescent="0.35">
      <c r="B43" s="1010" t="s">
        <v>573</v>
      </c>
      <c r="C43" s="1014"/>
      <c r="E43" s="1015">
        <f>SUM(E13:E42)</f>
        <v>163.05083333333334</v>
      </c>
      <c r="F43" s="1015">
        <f>SUM(F5:F42)</f>
        <v>89.483333333333334</v>
      </c>
      <c r="G43" s="1015">
        <f>SUM(G5:G42)</f>
        <v>86.083333333333343</v>
      </c>
      <c r="H43" s="1015">
        <f>SUM(H5:H42)</f>
        <v>81.76111111111112</v>
      </c>
    </row>
    <row r="44" spans="2:8" s="1013" customFormat="1" x14ac:dyDescent="0.35">
      <c r="B44" s="1016"/>
      <c r="C44" s="1017"/>
      <c r="E44" s="1018"/>
    </row>
  </sheetData>
  <mergeCells count="12">
    <mergeCell ref="B25:B28"/>
    <mergeCell ref="B5:B16"/>
    <mergeCell ref="B17:B21"/>
    <mergeCell ref="B22:B24"/>
    <mergeCell ref="B2:H2"/>
    <mergeCell ref="F3:H3"/>
    <mergeCell ref="H29:H32"/>
    <mergeCell ref="B29:B32"/>
    <mergeCell ref="B34:B41"/>
    <mergeCell ref="E29:E32"/>
    <mergeCell ref="F29:F32"/>
    <mergeCell ref="G29:G32"/>
  </mergeCells>
  <dataValidations disablePrompts="1" count="1">
    <dataValidation type="list" allowBlank="1" showInputMessage="1" showErrorMessage="1" sqref="F42:H42" xr:uid="{59C6A40D-5A98-4A51-A462-2FCB6DC43D64}">
      <formula1>#REF!</formula1>
    </dataValidation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4"/>
  <dimension ref="A1:O102"/>
  <sheetViews>
    <sheetView showGridLines="0" zoomScale="80" zoomScaleNormal="80" workbookViewId="0">
      <selection activeCell="G9" sqref="G9"/>
    </sheetView>
  </sheetViews>
  <sheetFormatPr defaultColWidth="9.1796875" defaultRowHeight="13" x14ac:dyDescent="0.3"/>
  <cols>
    <col min="1" max="1" width="2.7265625" style="14" customWidth="1"/>
    <col min="2" max="2" width="7.453125" style="745" bestFit="1" customWidth="1"/>
    <col min="3" max="3" width="49.7265625" style="745" bestFit="1" customWidth="1"/>
    <col min="4" max="4" width="8.54296875" style="745" bestFit="1" customWidth="1"/>
    <col min="5" max="5" width="20.7265625" style="746" bestFit="1" customWidth="1"/>
    <col min="6" max="6" width="20.54296875" style="745" bestFit="1" customWidth="1"/>
    <col min="7" max="7" width="3.453125" style="745" bestFit="1" customWidth="1"/>
    <col min="8" max="8" width="35.81640625" style="745" bestFit="1" customWidth="1"/>
    <col min="9" max="9" width="17.81640625" style="745" bestFit="1" customWidth="1"/>
    <col min="10" max="10" width="19.1796875" style="745" bestFit="1" customWidth="1"/>
    <col min="11" max="12" width="7.54296875" style="745" bestFit="1" customWidth="1"/>
    <col min="13" max="13" width="8.453125" style="745" bestFit="1" customWidth="1"/>
    <col min="14" max="15" width="9.26953125" style="745" bestFit="1" customWidth="1"/>
    <col min="16" max="16384" width="9.1796875" style="745"/>
  </cols>
  <sheetData>
    <row r="1" spans="2:15" ht="13.5" thickBot="1" x14ac:dyDescent="0.35"/>
    <row r="2" spans="2:15" ht="13.5" thickBot="1" x14ac:dyDescent="0.35">
      <c r="B2" s="645"/>
      <c r="C2" s="654" t="s">
        <v>29</v>
      </c>
      <c r="D2" s="655"/>
      <c r="E2" s="64"/>
    </row>
    <row r="3" spans="2:15" ht="13.5" thickBot="1" x14ac:dyDescent="0.35">
      <c r="B3" s="645"/>
      <c r="C3" s="656" t="s">
        <v>269</v>
      </c>
      <c r="D3" s="657">
        <f>8.5*5</f>
        <v>42.5</v>
      </c>
      <c r="E3" s="64"/>
    </row>
    <row r="4" spans="2:15" ht="13.5" thickBot="1" x14ac:dyDescent="0.35">
      <c r="B4" s="658" t="s">
        <v>270</v>
      </c>
      <c r="C4" s="659" t="s">
        <v>271</v>
      </c>
      <c r="D4" s="660">
        <f>(30*5)/60</f>
        <v>2.5</v>
      </c>
      <c r="E4" s="64"/>
    </row>
    <row r="5" spans="2:15" ht="13.5" thickBot="1" x14ac:dyDescent="0.35">
      <c r="B5" s="661" t="s">
        <v>272</v>
      </c>
      <c r="C5" s="659" t="s">
        <v>273</v>
      </c>
      <c r="D5" s="660">
        <f t="shared" ref="D5" si="0">(30*5)/60</f>
        <v>2.5</v>
      </c>
      <c r="E5" s="64"/>
      <c r="K5" s="747" t="s">
        <v>29</v>
      </c>
      <c r="L5" s="748" t="s">
        <v>73</v>
      </c>
      <c r="M5" s="748" t="s">
        <v>69</v>
      </c>
      <c r="N5" s="747" t="s">
        <v>44</v>
      </c>
      <c r="O5" s="747" t="s">
        <v>74</v>
      </c>
    </row>
    <row r="6" spans="2:15" ht="13.5" thickBot="1" x14ac:dyDescent="0.35">
      <c r="B6" s="661" t="s">
        <v>272</v>
      </c>
      <c r="C6" s="659" t="s">
        <v>274</v>
      </c>
      <c r="D6" s="660">
        <f t="shared" ref="D6" si="1">(15*5)/60</f>
        <v>1.25</v>
      </c>
      <c r="E6" s="64"/>
      <c r="J6" s="749" t="s">
        <v>275</v>
      </c>
      <c r="K6" s="750">
        <v>0.22</v>
      </c>
      <c r="L6" s="750" t="e">
        <f>SUM(L7:L8)</f>
        <v>#REF!</v>
      </c>
      <c r="M6" s="750">
        <f>SUM(M7:M8)</f>
        <v>0.15713103448275861</v>
      </c>
      <c r="N6" s="750">
        <v>0.15</v>
      </c>
      <c r="O6" s="750">
        <f>SUM(O7:O8)</f>
        <v>6.5482758620689654E-2</v>
      </c>
    </row>
    <row r="7" spans="2:15" ht="13.5" thickBot="1" x14ac:dyDescent="0.35">
      <c r="B7" s="661" t="s">
        <v>272</v>
      </c>
      <c r="C7" s="659" t="s">
        <v>276</v>
      </c>
      <c r="D7" s="662">
        <f t="shared" ref="D7" si="2">2/(52/12)</f>
        <v>0.46153846153846156</v>
      </c>
      <c r="E7" s="64"/>
      <c r="J7" s="751" t="s">
        <v>272</v>
      </c>
      <c r="K7" s="752">
        <f>29/261</f>
        <v>0.1111111111111111</v>
      </c>
      <c r="L7" s="677" t="e">
        <f>IF(Summary!#REF!="Bangalore",35/(365-104),31/(365-104))</f>
        <v>#REF!</v>
      </c>
      <c r="M7" s="752">
        <f>36/261</f>
        <v>0.13793103448275862</v>
      </c>
      <c r="N7" s="752">
        <f>16/261</f>
        <v>6.1302681992337162E-2</v>
      </c>
      <c r="O7" s="752">
        <f>I60</f>
        <v>3.4482758620689655E-2</v>
      </c>
    </row>
    <row r="8" spans="2:15" ht="13.5" thickBot="1" x14ac:dyDescent="0.35">
      <c r="B8" s="661" t="s">
        <v>272</v>
      </c>
      <c r="C8" s="659" t="s">
        <v>277</v>
      </c>
      <c r="D8" s="662">
        <f t="shared" ref="D8" si="3">1/(52/12)</f>
        <v>0.23076923076923078</v>
      </c>
      <c r="E8" s="64"/>
      <c r="J8" s="751" t="s">
        <v>270</v>
      </c>
      <c r="K8" s="752">
        <f>K6-K7</f>
        <v>0.1088888888888889</v>
      </c>
      <c r="L8" s="752">
        <v>1.5300383141762464E-2</v>
      </c>
      <c r="M8" s="752">
        <v>1.9199999999999995E-2</v>
      </c>
      <c r="N8" s="752">
        <v>0.109</v>
      </c>
      <c r="O8" s="752">
        <f>I61</f>
        <v>3.1E-2</v>
      </c>
    </row>
    <row r="9" spans="2:15" ht="13.5" thickBot="1" x14ac:dyDescent="0.35">
      <c r="B9" s="663" t="s">
        <v>272</v>
      </c>
      <c r="C9" s="659" t="s">
        <v>278</v>
      </c>
      <c r="D9" s="660">
        <f t="shared" ref="D9" si="4">(30)/60</f>
        <v>0.5</v>
      </c>
      <c r="E9" s="681" t="s">
        <v>0</v>
      </c>
    </row>
    <row r="10" spans="2:15" ht="13.5" thickBot="1" x14ac:dyDescent="0.35">
      <c r="B10" s="645"/>
      <c r="C10" s="664" t="s">
        <v>279</v>
      </c>
      <c r="D10" s="665">
        <f>D3-SUM(D4:D9)</f>
        <v>35.057692307692307</v>
      </c>
      <c r="E10" s="682">
        <f>SUM(D5:D9)/(D3-D4)</f>
        <v>0.12355769230769231</v>
      </c>
      <c r="I10" s="35"/>
    </row>
    <row r="11" spans="2:15" x14ac:dyDescent="0.3">
      <c r="B11" s="64"/>
      <c r="C11" s="675" t="s">
        <v>280</v>
      </c>
      <c r="D11" s="676">
        <f>SUM(D5:D10)</f>
        <v>40</v>
      </c>
      <c r="E11" s="64"/>
      <c r="I11" s="35"/>
    </row>
    <row r="12" spans="2:15" ht="13.5" thickBot="1" x14ac:dyDescent="0.35">
      <c r="B12" s="64"/>
      <c r="C12" s="666" t="s">
        <v>281</v>
      </c>
      <c r="D12" s="667">
        <f t="shared" ref="D12" si="5">D4</f>
        <v>2.5</v>
      </c>
      <c r="E12" s="64"/>
    </row>
    <row r="13" spans="2:15" ht="13.5" thickBot="1" x14ac:dyDescent="0.35">
      <c r="B13" s="64"/>
      <c r="C13" s="355"/>
      <c r="D13" s="64"/>
      <c r="E13" s="64"/>
    </row>
    <row r="14" spans="2:15" x14ac:dyDescent="0.3">
      <c r="B14" s="645"/>
      <c r="C14" s="668" t="s">
        <v>282</v>
      </c>
      <c r="D14" s="669">
        <f>SUM(D4:D9)/D3</f>
        <v>0.17511312217194572</v>
      </c>
      <c r="E14" s="64"/>
    </row>
    <row r="15" spans="2:15" x14ac:dyDescent="0.3">
      <c r="B15" s="670"/>
      <c r="C15" s="659" t="s">
        <v>283</v>
      </c>
      <c r="D15" s="671">
        <f>SUM(D5:D9)/(D3)</f>
        <v>0.116289592760181</v>
      </c>
      <c r="E15" s="64"/>
    </row>
    <row r="16" spans="2:15" ht="13.5" thickBot="1" x14ac:dyDescent="0.35">
      <c r="B16" s="64"/>
      <c r="C16" s="672" t="s">
        <v>284</v>
      </c>
      <c r="D16" s="673">
        <f>D4/D3</f>
        <v>5.8823529411764705E-2</v>
      </c>
      <c r="E16" s="64"/>
    </row>
    <row r="17" spans="2:9" ht="13.5" thickBot="1" x14ac:dyDescent="0.35"/>
    <row r="18" spans="2:9" ht="13.5" thickBot="1" x14ac:dyDescent="0.35">
      <c r="B18" s="645"/>
      <c r="C18" s="654" t="s">
        <v>73</v>
      </c>
      <c r="D18" s="655"/>
      <c r="E18" s="64"/>
    </row>
    <row r="19" spans="2:9" ht="13.5" thickBot="1" x14ac:dyDescent="0.35">
      <c r="B19" s="645"/>
      <c r="C19" s="656" t="s">
        <v>269</v>
      </c>
      <c r="D19" s="657">
        <v>45</v>
      </c>
      <c r="E19" s="64"/>
      <c r="H19" s="745" t="s">
        <v>285</v>
      </c>
      <c r="I19" s="753" t="e">
        <f>Summary!#REF!</f>
        <v>#REF!</v>
      </c>
    </row>
    <row r="20" spans="2:9" x14ac:dyDescent="0.3">
      <c r="B20" s="658" t="s">
        <v>270</v>
      </c>
      <c r="C20" s="659" t="s">
        <v>271</v>
      </c>
      <c r="D20" s="660">
        <f>(30*5)/60</f>
        <v>2.5</v>
      </c>
      <c r="E20" s="64"/>
      <c r="H20" s="745" t="s">
        <v>286</v>
      </c>
      <c r="I20" s="753">
        <f>D28</f>
        <v>40</v>
      </c>
    </row>
    <row r="21" spans="2:9" x14ac:dyDescent="0.3">
      <c r="B21" s="661" t="s">
        <v>272</v>
      </c>
      <c r="C21" s="659" t="s">
        <v>273</v>
      </c>
      <c r="D21" s="660">
        <f t="shared" ref="D21" si="6">(30*5)/60</f>
        <v>2.5</v>
      </c>
      <c r="E21" s="64"/>
      <c r="H21" s="745" t="s">
        <v>287</v>
      </c>
      <c r="I21" s="754" t="e">
        <f>I19*I20</f>
        <v>#REF!</v>
      </c>
    </row>
    <row r="22" spans="2:9" x14ac:dyDescent="0.3">
      <c r="B22" s="661" t="s">
        <v>272</v>
      </c>
      <c r="C22" s="659" t="s">
        <v>274</v>
      </c>
      <c r="D22" s="660">
        <f t="shared" ref="D22" si="7">(15*5)/60</f>
        <v>1.25</v>
      </c>
      <c r="E22" s="64"/>
      <c r="H22" s="745" t="s">
        <v>288</v>
      </c>
      <c r="I22" s="755">
        <f>D27</f>
        <v>42.5</v>
      </c>
    </row>
    <row r="23" spans="2:9" x14ac:dyDescent="0.3">
      <c r="B23" s="661" t="s">
        <v>272</v>
      </c>
      <c r="C23" s="659" t="s">
        <v>276</v>
      </c>
      <c r="D23" s="662">
        <f t="shared" ref="D23" si="8">2/(52/12)</f>
        <v>0.46153846153846156</v>
      </c>
      <c r="E23" s="64"/>
      <c r="H23" s="745" t="s">
        <v>289</v>
      </c>
      <c r="I23" s="753" t="e">
        <f>I21/I22</f>
        <v>#REF!</v>
      </c>
    </row>
    <row r="24" spans="2:9" ht="13.5" thickBot="1" x14ac:dyDescent="0.35">
      <c r="B24" s="661" t="s">
        <v>272</v>
      </c>
      <c r="C24" s="659" t="s">
        <v>277</v>
      </c>
      <c r="D24" s="662">
        <f t="shared" ref="D24" si="9">1/(52/12)</f>
        <v>0.23076923076923078</v>
      </c>
      <c r="E24" s="64"/>
      <c r="H24" s="745" t="s">
        <v>290</v>
      </c>
      <c r="I24" s="756" t="e">
        <f>L6</f>
        <v>#REF!</v>
      </c>
    </row>
    <row r="25" spans="2:9" ht="13.5" thickBot="1" x14ac:dyDescent="0.35">
      <c r="B25" s="663" t="s">
        <v>272</v>
      </c>
      <c r="C25" s="659" t="s">
        <v>278</v>
      </c>
      <c r="D25" s="660">
        <f t="shared" ref="D25" si="10">(30)/60</f>
        <v>0.5</v>
      </c>
      <c r="E25" s="681" t="s">
        <v>0</v>
      </c>
      <c r="H25" s="745" t="s">
        <v>291</v>
      </c>
      <c r="I25" s="746" t="e">
        <f>ROUNDUP(I23/(1-I24),0)</f>
        <v>#REF!</v>
      </c>
    </row>
    <row r="26" spans="2:9" ht="13.5" thickBot="1" x14ac:dyDescent="0.35">
      <c r="B26" s="645"/>
      <c r="C26" s="664" t="s">
        <v>279</v>
      </c>
      <c r="D26" s="665">
        <f>D19-SUM(D20:D25)</f>
        <v>37.557692307692307</v>
      </c>
      <c r="E26" s="682">
        <f>SUM(D21:D25)/(D19-D20)</f>
        <v>0.116289592760181</v>
      </c>
    </row>
    <row r="27" spans="2:9" x14ac:dyDescent="0.3">
      <c r="B27" s="64"/>
      <c r="C27" s="675" t="s">
        <v>280</v>
      </c>
      <c r="D27" s="676">
        <f>SUM(D21:D26)</f>
        <v>42.5</v>
      </c>
      <c r="E27" s="64"/>
    </row>
    <row r="28" spans="2:9" x14ac:dyDescent="0.3">
      <c r="B28" s="64"/>
      <c r="C28" s="757" t="s">
        <v>292</v>
      </c>
      <c r="D28" s="758">
        <f>D27-D21</f>
        <v>40</v>
      </c>
      <c r="E28" s="64"/>
    </row>
    <row r="29" spans="2:9" ht="13.5" thickBot="1" x14ac:dyDescent="0.35">
      <c r="B29" s="64"/>
      <c r="C29" s="666" t="s">
        <v>281</v>
      </c>
      <c r="D29" s="667">
        <f t="shared" ref="D29" si="11">D20</f>
        <v>2.5</v>
      </c>
      <c r="E29" s="64"/>
    </row>
    <row r="30" spans="2:9" ht="13.5" thickBot="1" x14ac:dyDescent="0.35">
      <c r="B30" s="64"/>
      <c r="C30" s="355"/>
      <c r="D30" s="64"/>
      <c r="E30" s="64"/>
    </row>
    <row r="31" spans="2:9" x14ac:dyDescent="0.3">
      <c r="B31" s="645"/>
      <c r="C31" s="668" t="s">
        <v>282</v>
      </c>
      <c r="D31" s="669">
        <f>SUM(D20:D25)/D19</f>
        <v>0.16538461538461538</v>
      </c>
      <c r="E31" s="64"/>
    </row>
    <row r="32" spans="2:9" x14ac:dyDescent="0.3">
      <c r="B32" s="670"/>
      <c r="C32" s="659" t="s">
        <v>283</v>
      </c>
      <c r="D32" s="671">
        <f>SUM(D21:D25)/(D19)</f>
        <v>0.10982905982905983</v>
      </c>
      <c r="E32" s="64"/>
    </row>
    <row r="33" spans="2:5" ht="13.5" thickBot="1" x14ac:dyDescent="0.35">
      <c r="B33" s="64"/>
      <c r="C33" s="672" t="s">
        <v>284</v>
      </c>
      <c r="D33" s="673">
        <f>D20/D19</f>
        <v>5.5555555555555552E-2</v>
      </c>
      <c r="E33" s="64"/>
    </row>
    <row r="34" spans="2:5" ht="13.5" thickBot="1" x14ac:dyDescent="0.35"/>
    <row r="35" spans="2:5" ht="13.5" thickBot="1" x14ac:dyDescent="0.35">
      <c r="B35" s="645"/>
      <c r="C35" s="654" t="s">
        <v>69</v>
      </c>
      <c r="D35" s="655"/>
      <c r="E35" s="64"/>
    </row>
    <row r="36" spans="2:5" ht="13.5" thickBot="1" x14ac:dyDescent="0.35">
      <c r="B36" s="645"/>
      <c r="C36" s="656" t="s">
        <v>269</v>
      </c>
      <c r="D36" s="657">
        <v>42.5</v>
      </c>
      <c r="E36" s="64"/>
    </row>
    <row r="37" spans="2:5" x14ac:dyDescent="0.3">
      <c r="B37" s="658" t="s">
        <v>270</v>
      </c>
      <c r="C37" s="659" t="s">
        <v>271</v>
      </c>
      <c r="D37" s="660">
        <f>(30*5)/60</f>
        <v>2.5</v>
      </c>
      <c r="E37" s="64"/>
    </row>
    <row r="38" spans="2:5" x14ac:dyDescent="0.3">
      <c r="B38" s="661" t="s">
        <v>272</v>
      </c>
      <c r="C38" s="659" t="s">
        <v>273</v>
      </c>
      <c r="D38" s="660">
        <f t="shared" ref="D38" si="12">(30*5)/60</f>
        <v>2.5</v>
      </c>
      <c r="E38" s="64"/>
    </row>
    <row r="39" spans="2:5" x14ac:dyDescent="0.3">
      <c r="B39" s="661" t="s">
        <v>272</v>
      </c>
      <c r="C39" s="659" t="s">
        <v>274</v>
      </c>
      <c r="D39" s="660">
        <f t="shared" ref="D39" si="13">(15*5)/60</f>
        <v>1.25</v>
      </c>
      <c r="E39" s="64"/>
    </row>
    <row r="40" spans="2:5" x14ac:dyDescent="0.3">
      <c r="B40" s="661" t="s">
        <v>272</v>
      </c>
      <c r="C40" s="659" t="s">
        <v>276</v>
      </c>
      <c r="D40" s="662">
        <f t="shared" ref="D40" si="14">2/(52/12)</f>
        <v>0.46153846153846156</v>
      </c>
      <c r="E40" s="64"/>
    </row>
    <row r="41" spans="2:5" ht="13.5" thickBot="1" x14ac:dyDescent="0.35">
      <c r="B41" s="661" t="s">
        <v>272</v>
      </c>
      <c r="C41" s="659" t="s">
        <v>277</v>
      </c>
      <c r="D41" s="662">
        <f t="shared" ref="D41" si="15">1/(52/12)</f>
        <v>0.23076923076923078</v>
      </c>
      <c r="E41" s="64"/>
    </row>
    <row r="42" spans="2:5" ht="13.5" thickBot="1" x14ac:dyDescent="0.35">
      <c r="B42" s="663" t="s">
        <v>272</v>
      </c>
      <c r="C42" s="659" t="s">
        <v>278</v>
      </c>
      <c r="D42" s="660">
        <f t="shared" ref="D42" si="16">(30)/60</f>
        <v>0.5</v>
      </c>
      <c r="E42" s="681" t="s">
        <v>0</v>
      </c>
    </row>
    <row r="43" spans="2:5" ht="13.5" thickBot="1" x14ac:dyDescent="0.35">
      <c r="B43" s="645"/>
      <c r="C43" s="664" t="s">
        <v>279</v>
      </c>
      <c r="D43" s="665">
        <f>D36-SUM(D37:D42)</f>
        <v>35.057692307692307</v>
      </c>
      <c r="E43" s="682">
        <f>SUM(D38:D42)/(D36-D37)</f>
        <v>0.12355769230769231</v>
      </c>
    </row>
    <row r="44" spans="2:5" x14ac:dyDescent="0.3">
      <c r="B44" s="64"/>
      <c r="C44" s="675" t="s">
        <v>280</v>
      </c>
      <c r="D44" s="676">
        <f>SUM(D38:D43)</f>
        <v>40</v>
      </c>
      <c r="E44" s="64"/>
    </row>
    <row r="45" spans="2:5" ht="13.5" thickBot="1" x14ac:dyDescent="0.35">
      <c r="B45" s="64"/>
      <c r="C45" s="666" t="s">
        <v>281</v>
      </c>
      <c r="D45" s="667">
        <f t="shared" ref="D45" si="17">D37</f>
        <v>2.5</v>
      </c>
      <c r="E45" s="64"/>
    </row>
    <row r="46" spans="2:5" ht="13.5" thickBot="1" x14ac:dyDescent="0.35">
      <c r="B46" s="64"/>
      <c r="C46" s="355"/>
      <c r="D46" s="64"/>
      <c r="E46" s="64"/>
    </row>
    <row r="47" spans="2:5" x14ac:dyDescent="0.3">
      <c r="B47" s="645"/>
      <c r="C47" s="668" t="s">
        <v>282</v>
      </c>
      <c r="D47" s="669">
        <f>SUM(D37:D42)/D36</f>
        <v>0.17511312217194572</v>
      </c>
      <c r="E47" s="64"/>
    </row>
    <row r="48" spans="2:5" x14ac:dyDescent="0.3">
      <c r="B48" s="670"/>
      <c r="C48" s="659" t="s">
        <v>283</v>
      </c>
      <c r="D48" s="671">
        <f>SUM(D38:D42)/(D36)</f>
        <v>0.116289592760181</v>
      </c>
      <c r="E48" s="64"/>
    </row>
    <row r="49" spans="2:13" ht="13.5" thickBot="1" x14ac:dyDescent="0.35">
      <c r="B49" s="64"/>
      <c r="C49" s="672" t="s">
        <v>284</v>
      </c>
      <c r="D49" s="673">
        <f>D37/D36</f>
        <v>5.8823529411764705E-2</v>
      </c>
      <c r="E49" s="64"/>
    </row>
    <row r="50" spans="2:13" ht="13.5" thickBot="1" x14ac:dyDescent="0.35"/>
    <row r="51" spans="2:13" ht="13.5" thickBot="1" x14ac:dyDescent="0.35">
      <c r="B51" s="645"/>
      <c r="C51" s="654" t="s">
        <v>74</v>
      </c>
      <c r="D51" s="655"/>
      <c r="E51" s="64"/>
      <c r="H51" s="646" t="s">
        <v>293</v>
      </c>
      <c r="I51" s="647" t="s">
        <v>294</v>
      </c>
      <c r="J51" s="647" t="s">
        <v>295</v>
      </c>
      <c r="K51" s="647" t="s">
        <v>296</v>
      </c>
      <c r="L51" s="647" t="s">
        <v>297</v>
      </c>
      <c r="M51" s="647" t="s">
        <v>298</v>
      </c>
    </row>
    <row r="52" spans="2:13" ht="13.5" thickBot="1" x14ac:dyDescent="0.35">
      <c r="B52" s="645"/>
      <c r="C52" s="656" t="s">
        <v>269</v>
      </c>
      <c r="D52" s="657">
        <v>45</v>
      </c>
      <c r="E52" s="64"/>
      <c r="H52" s="120" t="s">
        <v>299</v>
      </c>
      <c r="I52" s="316">
        <v>365</v>
      </c>
      <c r="J52" s="316">
        <v>365</v>
      </c>
      <c r="K52" s="316">
        <v>365</v>
      </c>
      <c r="L52" s="316">
        <v>365</v>
      </c>
      <c r="M52" s="316">
        <v>365</v>
      </c>
    </row>
    <row r="53" spans="2:13" ht="14.5" customHeight="1" x14ac:dyDescent="0.3">
      <c r="B53" s="658" t="s">
        <v>270</v>
      </c>
      <c r="C53" s="659" t="s">
        <v>271</v>
      </c>
      <c r="D53" s="660">
        <f>(30*5)/60</f>
        <v>2.5</v>
      </c>
      <c r="E53" s="64"/>
      <c r="H53" s="120" t="s">
        <v>300</v>
      </c>
      <c r="I53" s="316">
        <v>104</v>
      </c>
      <c r="J53" s="316">
        <v>104</v>
      </c>
      <c r="K53" s="316">
        <v>104</v>
      </c>
      <c r="L53" s="316">
        <v>104</v>
      </c>
      <c r="M53" s="316">
        <v>104</v>
      </c>
    </row>
    <row r="54" spans="2:13" ht="14.5" customHeight="1" x14ac:dyDescent="0.3">
      <c r="B54" s="661" t="s">
        <v>272</v>
      </c>
      <c r="C54" s="659" t="s">
        <v>273</v>
      </c>
      <c r="D54" s="660">
        <f t="shared" ref="D54" si="18">(30*5)/60</f>
        <v>2.5</v>
      </c>
      <c r="E54" s="64"/>
      <c r="H54" s="648" t="s">
        <v>301</v>
      </c>
      <c r="I54" s="649">
        <f>I52-I53</f>
        <v>261</v>
      </c>
      <c r="J54" s="649">
        <f>J52-J53</f>
        <v>261</v>
      </c>
      <c r="K54" s="649">
        <f>K52-K53</f>
        <v>261</v>
      </c>
      <c r="L54" s="649">
        <f>L52-L53</f>
        <v>261</v>
      </c>
      <c r="M54" s="649">
        <f>M52-M53</f>
        <v>261</v>
      </c>
    </row>
    <row r="55" spans="2:13" ht="14.5" customHeight="1" x14ac:dyDescent="0.3">
      <c r="B55" s="661" t="s">
        <v>272</v>
      </c>
      <c r="C55" s="659" t="s">
        <v>274</v>
      </c>
      <c r="D55" s="660">
        <f t="shared" ref="D55" si="19">(15*5)/60</f>
        <v>1.25</v>
      </c>
      <c r="E55" s="64"/>
      <c r="H55" s="120" t="s">
        <v>302</v>
      </c>
      <c r="I55" s="316">
        <v>6</v>
      </c>
      <c r="J55" s="316">
        <v>6</v>
      </c>
      <c r="K55" s="316">
        <v>6</v>
      </c>
      <c r="L55" s="316">
        <v>6</v>
      </c>
      <c r="M55" s="316">
        <v>6</v>
      </c>
    </row>
    <row r="56" spans="2:13" ht="14.5" customHeight="1" x14ac:dyDescent="0.3">
      <c r="B56" s="661" t="s">
        <v>272</v>
      </c>
      <c r="C56" s="659" t="s">
        <v>276</v>
      </c>
      <c r="D56" s="662">
        <f t="shared" ref="D56" si="20">2/(52/12)</f>
        <v>0.46153846153846156</v>
      </c>
      <c r="E56" s="64"/>
      <c r="H56" s="120" t="s">
        <v>303</v>
      </c>
      <c r="I56" s="316">
        <v>0</v>
      </c>
      <c r="J56" s="316">
        <v>12</v>
      </c>
      <c r="K56" s="316">
        <v>14</v>
      </c>
      <c r="L56" s="316">
        <v>16</v>
      </c>
      <c r="M56" s="316">
        <v>18</v>
      </c>
    </row>
    <row r="57" spans="2:13" ht="14.5" customHeight="1" thickBot="1" x14ac:dyDescent="0.35">
      <c r="B57" s="661" t="s">
        <v>272</v>
      </c>
      <c r="C57" s="659" t="s">
        <v>277</v>
      </c>
      <c r="D57" s="662">
        <f t="shared" ref="D57" si="21">1/(52/12)</f>
        <v>0.23076923076923078</v>
      </c>
      <c r="E57" s="64"/>
      <c r="H57" s="120" t="s">
        <v>304</v>
      </c>
      <c r="I57" s="316">
        <v>3</v>
      </c>
      <c r="J57" s="316">
        <v>3</v>
      </c>
      <c r="K57" s="316">
        <v>3</v>
      </c>
      <c r="L57" s="316">
        <v>3</v>
      </c>
      <c r="M57" s="316">
        <v>3</v>
      </c>
    </row>
    <row r="58" spans="2:13" ht="14.5" customHeight="1" thickBot="1" x14ac:dyDescent="0.35">
      <c r="B58" s="663" t="s">
        <v>272</v>
      </c>
      <c r="C58" s="659" t="s">
        <v>278</v>
      </c>
      <c r="D58" s="660">
        <f t="shared" ref="D58" si="22">(30)/60</f>
        <v>0.5</v>
      </c>
      <c r="E58" s="681" t="s">
        <v>0</v>
      </c>
      <c r="H58" s="648" t="s">
        <v>305</v>
      </c>
      <c r="I58" s="649">
        <f>SUM(I55:I57)</f>
        <v>9</v>
      </c>
      <c r="J58" s="649">
        <f>SUM(J55:J57)</f>
        <v>21</v>
      </c>
      <c r="K58" s="649">
        <f>SUM(K55:K57)</f>
        <v>23</v>
      </c>
      <c r="L58" s="649">
        <f>SUM(L55:L57)</f>
        <v>25</v>
      </c>
      <c r="M58" s="649">
        <f>SUM(M55:M57)</f>
        <v>27</v>
      </c>
    </row>
    <row r="59" spans="2:13" ht="14.5" customHeight="1" thickBot="1" x14ac:dyDescent="0.35">
      <c r="B59" s="645"/>
      <c r="C59" s="664" t="s">
        <v>279</v>
      </c>
      <c r="D59" s="665">
        <f>D52-SUM(D53:D58)</f>
        <v>37.557692307692307</v>
      </c>
      <c r="E59" s="682">
        <f>SUM(D54:D58)/(D52-D53)</f>
        <v>0.116289592760181</v>
      </c>
      <c r="H59" s="650" t="s">
        <v>306</v>
      </c>
      <c r="I59" s="651">
        <f>I54-I58</f>
        <v>252</v>
      </c>
      <c r="J59" s="651">
        <f>J54-J58</f>
        <v>240</v>
      </c>
      <c r="K59" s="651">
        <f>K54-K58</f>
        <v>238</v>
      </c>
      <c r="L59" s="651">
        <f>L54-L58</f>
        <v>236</v>
      </c>
      <c r="M59" s="651">
        <f>M54-M58</f>
        <v>234</v>
      </c>
    </row>
    <row r="60" spans="2:13" ht="14.5" customHeight="1" x14ac:dyDescent="0.3">
      <c r="B60" s="64"/>
      <c r="C60" s="675" t="s">
        <v>280</v>
      </c>
      <c r="D60" s="676">
        <f>SUM(D54:D59)</f>
        <v>42.5</v>
      </c>
      <c r="E60" s="64"/>
      <c r="H60" s="120" t="s">
        <v>307</v>
      </c>
      <c r="I60" s="652">
        <f>I58/I54</f>
        <v>3.4482758620689655E-2</v>
      </c>
      <c r="J60" s="652">
        <f>J58/J54</f>
        <v>8.0459770114942528E-2</v>
      </c>
      <c r="K60" s="652">
        <f>K58/K54</f>
        <v>8.8122605363984668E-2</v>
      </c>
      <c r="L60" s="652">
        <f>L58/L54</f>
        <v>9.5785440613026823E-2</v>
      </c>
      <c r="M60" s="652">
        <f>M58/M54</f>
        <v>0.10344827586206896</v>
      </c>
    </row>
    <row r="61" spans="2:13" ht="14.5" customHeight="1" thickBot="1" x14ac:dyDescent="0.35">
      <c r="B61" s="64"/>
      <c r="C61" s="666" t="s">
        <v>281</v>
      </c>
      <c r="D61" s="667">
        <f t="shared" ref="D61" si="23">D53</f>
        <v>2.5</v>
      </c>
      <c r="E61" s="64"/>
      <c r="H61" s="120" t="s">
        <v>268</v>
      </c>
      <c r="I61" s="353">
        <v>3.1E-2</v>
      </c>
      <c r="J61" s="353">
        <v>3.1E-2</v>
      </c>
      <c r="K61" s="353">
        <v>3.1E-2</v>
      </c>
      <c r="L61" s="353">
        <v>3.1E-2</v>
      </c>
      <c r="M61" s="353">
        <v>3.1E-2</v>
      </c>
    </row>
    <row r="62" spans="2:13" ht="14.5" customHeight="1" thickBot="1" x14ac:dyDescent="0.35">
      <c r="B62" s="64"/>
      <c r="C62" s="355"/>
      <c r="D62" s="64"/>
      <c r="E62" s="64"/>
      <c r="H62" s="648" t="s">
        <v>308</v>
      </c>
      <c r="I62" s="118">
        <f>SUM(I60:I61)</f>
        <v>6.5482758620689654E-2</v>
      </c>
      <c r="J62" s="118">
        <f>SUM(J60:J61)</f>
        <v>0.11145977011494253</v>
      </c>
      <c r="K62" s="118">
        <f>SUM(K60:K61)</f>
        <v>0.11912260536398467</v>
      </c>
      <c r="L62" s="118">
        <f>SUM(L60:L61)</f>
        <v>0.12678544061302682</v>
      </c>
      <c r="M62" s="118">
        <f>SUM(M60:M61)</f>
        <v>0.13444827586206898</v>
      </c>
    </row>
    <row r="63" spans="2:13" ht="14.5" customHeight="1" x14ac:dyDescent="0.3">
      <c r="B63" s="645"/>
      <c r="C63" s="668" t="s">
        <v>282</v>
      </c>
      <c r="D63" s="669">
        <f>SUM(D53:D58)/D52</f>
        <v>0.16538461538461538</v>
      </c>
      <c r="E63" s="64"/>
    </row>
    <row r="64" spans="2:13" ht="14.5" customHeight="1" x14ac:dyDescent="0.3">
      <c r="B64" s="670"/>
      <c r="C64" s="659" t="s">
        <v>283</v>
      </c>
      <c r="D64" s="671">
        <f>SUM(D54:D58)/(D52)</f>
        <v>0.10982905982905983</v>
      </c>
      <c r="E64" s="64"/>
    </row>
    <row r="65" spans="2:5" ht="14.5" customHeight="1" thickBot="1" x14ac:dyDescent="0.35">
      <c r="B65" s="64"/>
      <c r="C65" s="672" t="s">
        <v>284</v>
      </c>
      <c r="D65" s="673">
        <f>D53/D52</f>
        <v>5.5555555555555552E-2</v>
      </c>
      <c r="E65" s="64"/>
    </row>
    <row r="66" spans="2:5" ht="14.5" customHeight="1" thickBot="1" x14ac:dyDescent="0.35">
      <c r="B66" s="14"/>
      <c r="C66" s="14"/>
      <c r="D66" s="14"/>
      <c r="E66" s="64"/>
    </row>
    <row r="67" spans="2:5" ht="14.5" customHeight="1" thickBot="1" x14ac:dyDescent="0.35">
      <c r="B67" s="645"/>
      <c r="C67" s="654" t="s">
        <v>44</v>
      </c>
      <c r="D67" s="655"/>
      <c r="E67" s="64"/>
    </row>
    <row r="68" spans="2:5" ht="14.5" customHeight="1" thickBot="1" x14ac:dyDescent="0.35">
      <c r="B68" s="645"/>
      <c r="C68" s="656" t="s">
        <v>269</v>
      </c>
      <c r="D68" s="657">
        <v>42.5</v>
      </c>
      <c r="E68" s="64"/>
    </row>
    <row r="69" spans="2:5" ht="14.5" customHeight="1" x14ac:dyDescent="0.3">
      <c r="B69" s="658" t="s">
        <v>270</v>
      </c>
      <c r="C69" s="659" t="s">
        <v>271</v>
      </c>
      <c r="D69" s="660">
        <f>(30*5)/60</f>
        <v>2.5</v>
      </c>
      <c r="E69" s="64"/>
    </row>
    <row r="70" spans="2:5" ht="14.5" customHeight="1" x14ac:dyDescent="0.3">
      <c r="B70" s="661" t="s">
        <v>272</v>
      </c>
      <c r="C70" s="659" t="s">
        <v>273</v>
      </c>
      <c r="D70" s="660">
        <f t="shared" ref="D70" si="24">(30*5)/60</f>
        <v>2.5</v>
      </c>
      <c r="E70" s="64"/>
    </row>
    <row r="71" spans="2:5" ht="14.5" customHeight="1" x14ac:dyDescent="0.3">
      <c r="B71" s="661" t="s">
        <v>272</v>
      </c>
      <c r="C71" s="659" t="s">
        <v>274</v>
      </c>
      <c r="D71" s="660">
        <f t="shared" ref="D71" si="25">(15*5)/60</f>
        <v>1.25</v>
      </c>
      <c r="E71" s="64"/>
    </row>
    <row r="72" spans="2:5" ht="14.5" customHeight="1" x14ac:dyDescent="0.3">
      <c r="B72" s="661" t="s">
        <v>272</v>
      </c>
      <c r="C72" s="659" t="s">
        <v>276</v>
      </c>
      <c r="D72" s="662">
        <f t="shared" ref="D72" si="26">2/(52/12)</f>
        <v>0.46153846153846156</v>
      </c>
      <c r="E72" s="64"/>
    </row>
    <row r="73" spans="2:5" ht="14.5" customHeight="1" thickBot="1" x14ac:dyDescent="0.35">
      <c r="B73" s="661" t="s">
        <v>272</v>
      </c>
      <c r="C73" s="659" t="s">
        <v>277</v>
      </c>
      <c r="D73" s="662">
        <f t="shared" ref="D73" si="27">1/(52/12)</f>
        <v>0.23076923076923078</v>
      </c>
      <c r="E73" s="64"/>
    </row>
    <row r="74" spans="2:5" ht="14.5" customHeight="1" thickBot="1" x14ac:dyDescent="0.35">
      <c r="B74" s="663" t="s">
        <v>272</v>
      </c>
      <c r="C74" s="659" t="s">
        <v>278</v>
      </c>
      <c r="D74" s="660">
        <f t="shared" ref="D74" si="28">(30)/60</f>
        <v>0.5</v>
      </c>
      <c r="E74" s="681" t="s">
        <v>0</v>
      </c>
    </row>
    <row r="75" spans="2:5" ht="14.5" customHeight="1" thickBot="1" x14ac:dyDescent="0.35">
      <c r="B75" s="645"/>
      <c r="C75" s="664" t="s">
        <v>279</v>
      </c>
      <c r="D75" s="665">
        <f>D68-SUM(D69:D74)</f>
        <v>35.057692307692307</v>
      </c>
      <c r="E75" s="682">
        <f>SUM(D70:D74)/(D68-D69)</f>
        <v>0.12355769230769231</v>
      </c>
    </row>
    <row r="76" spans="2:5" ht="14.5" customHeight="1" x14ac:dyDescent="0.3">
      <c r="B76" s="64"/>
      <c r="C76" s="675" t="s">
        <v>280</v>
      </c>
      <c r="D76" s="676">
        <f>SUM(D70:D75)</f>
        <v>40</v>
      </c>
      <c r="E76" s="64"/>
    </row>
    <row r="77" spans="2:5" ht="14.5" customHeight="1" thickBot="1" x14ac:dyDescent="0.35">
      <c r="B77" s="64"/>
      <c r="C77" s="666" t="s">
        <v>281</v>
      </c>
      <c r="D77" s="667">
        <f t="shared" ref="D77" si="29">D69</f>
        <v>2.5</v>
      </c>
      <c r="E77" s="64"/>
    </row>
    <row r="78" spans="2:5" ht="14.5" customHeight="1" thickBot="1" x14ac:dyDescent="0.35">
      <c r="B78" s="64"/>
      <c r="C78" s="355"/>
      <c r="D78" s="64"/>
      <c r="E78" s="64"/>
    </row>
    <row r="79" spans="2:5" ht="14.5" customHeight="1" x14ac:dyDescent="0.3">
      <c r="B79" s="645"/>
      <c r="C79" s="668" t="s">
        <v>282</v>
      </c>
      <c r="D79" s="669">
        <f>SUM(D69:D74)/D68</f>
        <v>0.17511312217194572</v>
      </c>
      <c r="E79" s="64"/>
    </row>
    <row r="80" spans="2:5" ht="14.5" customHeight="1" x14ac:dyDescent="0.3">
      <c r="B80" s="670"/>
      <c r="C80" s="659" t="s">
        <v>283</v>
      </c>
      <c r="D80" s="671">
        <f>SUM(D70:D74)/(D68)</f>
        <v>0.116289592760181</v>
      </c>
      <c r="E80" s="64"/>
    </row>
    <row r="81" spans="2:10" ht="14.5" customHeight="1" thickBot="1" x14ac:dyDescent="0.35">
      <c r="B81" s="64"/>
      <c r="C81" s="672" t="s">
        <v>284</v>
      </c>
      <c r="D81" s="673">
        <f>D69/D68</f>
        <v>5.8823529411764705E-2</v>
      </c>
      <c r="E81" s="64"/>
    </row>
    <row r="82" spans="2:10" ht="14.5" customHeight="1" thickBot="1" x14ac:dyDescent="0.35">
      <c r="B82" s="14"/>
      <c r="C82" s="14"/>
      <c r="D82" s="14"/>
      <c r="E82" s="64"/>
    </row>
    <row r="83" spans="2:10" ht="13.5" thickBot="1" x14ac:dyDescent="0.35">
      <c r="B83" s="645"/>
      <c r="C83" s="654" t="s">
        <v>332</v>
      </c>
      <c r="D83" s="655"/>
      <c r="E83" s="64"/>
      <c r="G83" s="746"/>
      <c r="H83" s="759" t="s">
        <v>293</v>
      </c>
      <c r="I83" s="760" t="e">
        <f>Summary!#REF!</f>
        <v>#REF!</v>
      </c>
      <c r="J83" s="760" t="e">
        <f>I83</f>
        <v>#REF!</v>
      </c>
    </row>
    <row r="84" spans="2:10" ht="13.5" thickBot="1" x14ac:dyDescent="0.35">
      <c r="B84" s="645"/>
      <c r="C84" s="656" t="s">
        <v>269</v>
      </c>
      <c r="D84" s="657">
        <v>45</v>
      </c>
      <c r="E84" s="64"/>
      <c r="G84" s="746"/>
      <c r="H84" s="644" t="s">
        <v>299</v>
      </c>
      <c r="I84" s="728">
        <v>365</v>
      </c>
      <c r="J84" s="728">
        <v>365</v>
      </c>
    </row>
    <row r="85" spans="2:10" x14ac:dyDescent="0.3">
      <c r="B85" s="658" t="s">
        <v>270</v>
      </c>
      <c r="C85" s="659" t="s">
        <v>271</v>
      </c>
      <c r="D85" s="660">
        <f>(30*5)/60</f>
        <v>2.5</v>
      </c>
      <c r="E85" s="64"/>
      <c r="G85" s="746"/>
      <c r="H85" s="644" t="s">
        <v>300</v>
      </c>
      <c r="I85" s="728">
        <v>104</v>
      </c>
      <c r="J85" s="728">
        <v>104</v>
      </c>
    </row>
    <row r="86" spans="2:10" x14ac:dyDescent="0.3">
      <c r="B86" s="661" t="s">
        <v>272</v>
      </c>
      <c r="C86" s="659" t="s">
        <v>273</v>
      </c>
      <c r="D86" s="660">
        <f t="shared" ref="D86" si="30">(30*5)/60</f>
        <v>2.5</v>
      </c>
      <c r="E86" s="64"/>
      <c r="G86" s="746"/>
      <c r="H86" s="761" t="s">
        <v>301</v>
      </c>
      <c r="I86" s="762">
        <f>I84-I85</f>
        <v>261</v>
      </c>
      <c r="J86" s="762">
        <f>J84-J85</f>
        <v>261</v>
      </c>
    </row>
    <row r="87" spans="2:10" x14ac:dyDescent="0.3">
      <c r="B87" s="661" t="s">
        <v>272</v>
      </c>
      <c r="C87" s="659" t="s">
        <v>274</v>
      </c>
      <c r="D87" s="660">
        <f t="shared" ref="D87" si="31">(15*5)/60</f>
        <v>1.25</v>
      </c>
      <c r="E87" s="64"/>
      <c r="G87" s="746"/>
      <c r="H87" s="644" t="s">
        <v>333</v>
      </c>
      <c r="I87" s="728"/>
      <c r="J87" s="728"/>
    </row>
    <row r="88" spans="2:10" x14ac:dyDescent="0.3">
      <c r="B88" s="661" t="s">
        <v>272</v>
      </c>
      <c r="C88" s="659" t="s">
        <v>276</v>
      </c>
      <c r="D88" s="662">
        <f>2/(52/12)</f>
        <v>0.46153846153846156</v>
      </c>
      <c r="E88" s="64"/>
      <c r="F88" s="64"/>
      <c r="G88" s="746"/>
      <c r="H88" s="644" t="s">
        <v>334</v>
      </c>
      <c r="I88" s="728">
        <v>9</v>
      </c>
      <c r="J88" s="728">
        <v>9</v>
      </c>
    </row>
    <row r="89" spans="2:10" ht="13.5" thickBot="1" x14ac:dyDescent="0.35">
      <c r="B89" s="661" t="s">
        <v>272</v>
      </c>
      <c r="C89" s="659" t="s">
        <v>277</v>
      </c>
      <c r="D89" s="662">
        <f t="shared" ref="D89" si="32">1/(52/12)</f>
        <v>0.23076923076923078</v>
      </c>
      <c r="E89" s="64"/>
      <c r="F89" s="64"/>
      <c r="G89" s="746"/>
      <c r="H89" s="644" t="s">
        <v>303</v>
      </c>
      <c r="I89" s="728">
        <v>10</v>
      </c>
      <c r="J89" s="728">
        <v>10</v>
      </c>
    </row>
    <row r="90" spans="2:10" ht="13.5" thickBot="1" x14ac:dyDescent="0.35">
      <c r="B90" s="663" t="s">
        <v>272</v>
      </c>
      <c r="C90" s="659" t="s">
        <v>278</v>
      </c>
      <c r="D90" s="660">
        <f t="shared" ref="D90" si="33">(30)/60</f>
        <v>0.5</v>
      </c>
      <c r="E90" s="681" t="s">
        <v>0</v>
      </c>
      <c r="G90" s="746"/>
      <c r="H90" s="761" t="s">
        <v>305</v>
      </c>
      <c r="I90" s="762">
        <f>SUM(I87:I89)</f>
        <v>19</v>
      </c>
      <c r="J90" s="762">
        <f>SUM(J87:J89)</f>
        <v>19</v>
      </c>
    </row>
    <row r="91" spans="2:10" ht="13.5" thickBot="1" x14ac:dyDescent="0.35">
      <c r="B91" s="645"/>
      <c r="C91" s="664" t="s">
        <v>279</v>
      </c>
      <c r="D91" s="665">
        <f>D84-SUM(D85:D90)</f>
        <v>37.557692307692307</v>
      </c>
      <c r="E91" s="682">
        <f>SUM(D87:D90)/(D84-D85-D86)</f>
        <v>6.1057692307692313E-2</v>
      </c>
      <c r="G91" s="746"/>
      <c r="H91" s="763" t="s">
        <v>306</v>
      </c>
      <c r="I91" s="764">
        <f>I86-I90</f>
        <v>242</v>
      </c>
      <c r="J91" s="764">
        <f>J86-J90</f>
        <v>242</v>
      </c>
    </row>
    <row r="92" spans="2:10" x14ac:dyDescent="0.3">
      <c r="B92" s="64"/>
      <c r="C92" s="675" t="s">
        <v>280</v>
      </c>
      <c r="D92" s="676">
        <f>SUM(D87:D91)</f>
        <v>40</v>
      </c>
      <c r="E92" s="64"/>
      <c r="G92" s="765">
        <v>10</v>
      </c>
      <c r="H92" s="644" t="s">
        <v>307</v>
      </c>
      <c r="I92" s="766">
        <f>I90/I86</f>
        <v>7.2796934865900387E-2</v>
      </c>
      <c r="J92" s="766">
        <f>J90/J86</f>
        <v>7.2796934865900387E-2</v>
      </c>
    </row>
    <row r="93" spans="2:10" ht="13.5" thickBot="1" x14ac:dyDescent="0.35">
      <c r="B93" s="64"/>
      <c r="C93" s="666" t="s">
        <v>281</v>
      </c>
      <c r="D93" s="667">
        <f>SUM(D85:D86)</f>
        <v>5</v>
      </c>
      <c r="E93" s="64"/>
      <c r="G93" s="765">
        <v>4</v>
      </c>
      <c r="H93" s="644" t="s">
        <v>268</v>
      </c>
      <c r="I93" s="290">
        <f>G92/I86</f>
        <v>3.8314176245210725E-2</v>
      </c>
      <c r="J93" s="290">
        <f>G93/J86</f>
        <v>1.532567049808429E-2</v>
      </c>
    </row>
    <row r="94" spans="2:10" ht="13.5" thickBot="1" x14ac:dyDescent="0.35">
      <c r="B94" s="64"/>
      <c r="C94" s="355"/>
      <c r="D94" s="64"/>
      <c r="E94" s="64"/>
      <c r="G94" s="746"/>
      <c r="H94" s="761" t="s">
        <v>308</v>
      </c>
      <c r="I94" s="767">
        <f>SUM(I92:I93)</f>
        <v>0.1111111111111111</v>
      </c>
      <c r="J94" s="767">
        <f>SUM(J92:J93)</f>
        <v>8.8122605363984682E-2</v>
      </c>
    </row>
    <row r="95" spans="2:10" x14ac:dyDescent="0.3">
      <c r="B95" s="645"/>
      <c r="C95" s="668" t="s">
        <v>282</v>
      </c>
      <c r="D95" s="669">
        <f>SUM(D85:D90)/D84</f>
        <v>0.16538461538461538</v>
      </c>
      <c r="E95" s="64"/>
    </row>
    <row r="96" spans="2:10" x14ac:dyDescent="0.3">
      <c r="B96" s="670"/>
      <c r="C96" s="659" t="s">
        <v>283</v>
      </c>
      <c r="D96" s="671">
        <f>SUM(D87:D90)/(D84)</f>
        <v>5.4273504273504275E-2</v>
      </c>
      <c r="E96" s="64"/>
    </row>
    <row r="97" spans="2:10" ht="13.5" thickBot="1" x14ac:dyDescent="0.35">
      <c r="B97" s="64"/>
      <c r="C97" s="672" t="s">
        <v>284</v>
      </c>
      <c r="D97" s="673">
        <f>SUM(D85,D86)/D84</f>
        <v>0.1111111111111111</v>
      </c>
      <c r="E97" s="64"/>
    </row>
    <row r="102" spans="2:10" x14ac:dyDescent="0.3">
      <c r="G102" s="64"/>
      <c r="H102" s="64"/>
      <c r="I102" s="64"/>
      <c r="J102" s="746"/>
    </row>
  </sheetData>
  <customSheetViews>
    <customSheetView guid="{8575BA2F-1C78-4E30-AE5C-07AED6245426}" scale="80" showGridLines="0" topLeftCell="A49">
      <selection activeCell="D75" sqref="D75"/>
      <pageMargins left="0" right="0" top="0" bottom="0" header="0" footer="0"/>
      <pageSetup orientation="portrait" r:id="rId1"/>
    </customSheetView>
  </customSheetViews>
  <conditionalFormatting sqref="I60:M62">
    <cfRule type="cellIs" dxfId="2" priority="3" stopIfTrue="1" operator="lessThan">
      <formula>0</formula>
    </cfRule>
  </conditionalFormatting>
  <conditionalFormatting sqref="I92:I94">
    <cfRule type="cellIs" dxfId="1" priority="2" stopIfTrue="1" operator="lessThan">
      <formula>0</formula>
    </cfRule>
  </conditionalFormatting>
  <conditionalFormatting sqref="J92:J94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1">
    <tabColor rgb="FFFF0000"/>
  </sheetPr>
  <dimension ref="A1"/>
  <sheetViews>
    <sheetView showGridLines="0" zoomScale="80" zoomScaleNormal="80" workbookViewId="0">
      <selection activeCell="C1" sqref="C1"/>
    </sheetView>
  </sheetViews>
  <sheetFormatPr defaultColWidth="8.7265625" defaultRowHeight="13" x14ac:dyDescent="0.3"/>
  <cols>
    <col min="1" max="16384" width="8.7265625" style="14"/>
  </cols>
  <sheetData/>
  <customSheetViews>
    <customSheetView guid="{8575BA2F-1C78-4E30-AE5C-07AED6245426}" showGridLines="0">
      <selection activeCell="C1" sqref="C1"/>
      <pageMargins left="0" right="0" top="0" bottom="0" header="0" footer="0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51094bd9-7d08-4fe7-b310-5d7f4d6ce029">
      <Terms xmlns="http://schemas.microsoft.com/office/infopath/2007/PartnerControls"/>
    </lcf76f155ced4ddcb4097134ff3c332f>
    <TaxCatchAll xmlns="1bfee5d0-c995-4951-9fd4-088bbb99a43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FDB32423FB94CAA8E64C09F85FB21" ma:contentTypeVersion="19" ma:contentTypeDescription="Create a new document." ma:contentTypeScope="" ma:versionID="f3a282c9568af89945bd1d48b8cb446a">
  <xsd:schema xmlns:xsd="http://www.w3.org/2001/XMLSchema" xmlns:xs="http://www.w3.org/2001/XMLSchema" xmlns:p="http://schemas.microsoft.com/office/2006/metadata/properties" xmlns:ns1="http://schemas.microsoft.com/sharepoint/v3" xmlns:ns2="51094bd9-7d08-4fe7-b310-5d7f4d6ce029" xmlns:ns3="1bfee5d0-c995-4951-9fd4-088bbb99a43b" targetNamespace="http://schemas.microsoft.com/office/2006/metadata/properties" ma:root="true" ma:fieldsID="4ef588b614844e2109e27c9c7988bcdb" ns1:_="" ns2:_="" ns3:_="">
    <xsd:import namespace="http://schemas.microsoft.com/sharepoint/v3"/>
    <xsd:import namespace="51094bd9-7d08-4fe7-b310-5d7f4d6ce029"/>
    <xsd:import namespace="1bfee5d0-c995-4951-9fd4-088bbb99a4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094bd9-7d08-4fe7-b310-5d7f4d6ce0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3f937939-f422-4a34-a346-d046b9590f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fee5d0-c995-4951-9fd4-088bbb99a43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5cc5007-8507-4f20-91c6-6a7324cc0c19}" ma:internalName="TaxCatchAll" ma:showField="CatchAllData" ma:web="1bfee5d0-c995-4951-9fd4-088bbb99a43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36C9BC-4C21-4B53-A719-B343A4EC74A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51094bd9-7d08-4fe7-b310-5d7f4d6ce029"/>
    <ds:schemaRef ds:uri="1bfee5d0-c995-4951-9fd4-088bbb99a43b"/>
  </ds:schemaRefs>
</ds:datastoreItem>
</file>

<file path=customXml/itemProps2.xml><?xml version="1.0" encoding="utf-8"?>
<ds:datastoreItem xmlns:ds="http://schemas.openxmlformats.org/officeDocument/2006/customXml" ds:itemID="{F7FACBC0-5B67-4038-BBC0-40A241615C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848A26-656E-4487-A89F-2E16001460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1094bd9-7d08-4fe7-b310-5d7f4d6ce029"/>
    <ds:schemaRef ds:uri="1bfee5d0-c995-4951-9fd4-088bbb99a4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PPT (2)</vt:lpstr>
      <vt:lpstr>Cost Summary</vt:lpstr>
      <vt:lpstr>Rate Chart</vt:lpstr>
      <vt:lpstr>PPT</vt:lpstr>
      <vt:lpstr>Threshold Guidance</vt:lpstr>
      <vt:lpstr>SF Details</vt:lpstr>
      <vt:lpstr>Summary</vt:lpstr>
      <vt:lpstr>P&amp;L</vt:lpstr>
      <vt:lpstr>Rev.</vt:lpstr>
      <vt:lpstr>Data</vt:lpstr>
      <vt:lpstr>Data Master</vt:lpstr>
      <vt:lpstr>US Salary</vt:lpstr>
      <vt:lpstr>UK Salary</vt:lpstr>
      <vt:lpstr>SA Salary</vt:lpstr>
      <vt:lpstr>Salary Maxico</vt:lpstr>
      <vt:lpstr>Mexico Salary</vt:lpstr>
      <vt:lpstr>Aus Salary</vt:lpstr>
      <vt:lpstr>T&amp;T Salary</vt:lpstr>
      <vt:lpstr>ROM Salary</vt:lpstr>
      <vt:lpstr>Salary PHP</vt:lpstr>
      <vt:lpstr>IND Salary</vt:lpstr>
      <vt:lpstr>BOM - AUS</vt:lpstr>
      <vt:lpstr>BOM-IND</vt:lpstr>
      <vt:lpstr>BOM-UK</vt:lpstr>
      <vt:lpstr>BOM-SA</vt:lpstr>
      <vt:lpstr>BOM-ROM,T&amp;T,US</vt:lpstr>
      <vt:lpstr>BOM-Phil</vt:lpstr>
      <vt:lpstr>BOM-Mexico</vt:lpstr>
      <vt:lpstr>Shrinkage</vt:lpstr>
      <vt:lpstr>FSL Confidential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Mithun Somaiah</dc:creator>
  <cp:keywords/>
  <dc:description/>
  <cp:lastModifiedBy>Dipanjan Sil</cp:lastModifiedBy>
  <cp:revision/>
  <cp:lastPrinted>2026-02-27T06:28:41Z</cp:lastPrinted>
  <dcterms:created xsi:type="dcterms:W3CDTF">2017-09-26T09:39:20Z</dcterms:created>
  <dcterms:modified xsi:type="dcterms:W3CDTF">2026-08-25T07:28:50Z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0x010100538FDB32423FB94CAA8E64C09F85FB21</vt:lpwstr>
  </property>
  <property fmtid="{D5CDD505-2E9C-101B-9397-08002B2CF9AE}" pid="3" name="MediaServiceImageTags">
    <vt:lpwstr/>
  </property>
  <property fmtid="{D5CDD505-2E9C-101B-9397-08002B2CF9AE}" pid="4" name="MSIP_Label_164a375b-e5f1-4d9e-bbc1-03a9feab5b41_Enabled">
    <vt:lpwstr>true</vt:lpwstr>
  </property>
  <property fmtid="{D5CDD505-2E9C-101B-9397-08002B2CF9AE}" pid="5" name="MSIP_Label_164a375b-e5f1-4d9e-bbc1-03a9feab5b41_SetDate">
    <vt:lpwstr>2025-07-09T13:31:55Z</vt:lpwstr>
  </property>
  <property fmtid="{D5CDD505-2E9C-101B-9397-08002B2CF9AE}" pid="6" name="MSIP_Label_164a375b-e5f1-4d9e-bbc1-03a9feab5b41_Method">
    <vt:lpwstr>Standard</vt:lpwstr>
  </property>
  <property fmtid="{D5CDD505-2E9C-101B-9397-08002B2CF9AE}" pid="7" name="MSIP_Label_164a375b-e5f1-4d9e-bbc1-03a9feab5b41_Name">
    <vt:lpwstr>FSL_General</vt:lpwstr>
  </property>
  <property fmtid="{D5CDD505-2E9C-101B-9397-08002B2CF9AE}" pid="8" name="MSIP_Label_164a375b-e5f1-4d9e-bbc1-03a9feab5b41_SiteId">
    <vt:lpwstr>a7fdc8c0-f597-4c07-9e01-344a32000d20</vt:lpwstr>
  </property>
  <property fmtid="{D5CDD505-2E9C-101B-9397-08002B2CF9AE}" pid="9" name="MSIP_Label_164a375b-e5f1-4d9e-bbc1-03a9feab5b41_ActionId">
    <vt:lpwstr>4eec715a-5a96-4e53-b25b-88ce2f988fae</vt:lpwstr>
  </property>
  <property fmtid="{D5CDD505-2E9C-101B-9397-08002B2CF9AE}" pid="10" name="MSIP_Label_164a375b-e5f1-4d9e-bbc1-03a9feab5b41_ContentBits">
    <vt:lpwstr>0</vt:lpwstr>
  </property>
  <property fmtid="{D5CDD505-2E9C-101B-9397-08002B2CF9AE}" pid="11" name="MSIP_Label_164a375b-e5f1-4d9e-bbc1-03a9feab5b41_Tag">
    <vt:lpwstr>10, 3, 0, 1</vt:lpwstr>
  </property>
</Properties>
</file>